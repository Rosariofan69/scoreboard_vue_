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9D4DA8D6-5755-4BF3-8836-7B6CA19899E0}" xr6:coauthVersionLast="47" xr6:coauthVersionMax="47" xr10:uidLastSave="{00000000-0000-0000-0000-000000000000}"/>
  <bookViews>
    <workbookView xWindow="-108" yWindow="-108" windowWidth="23256" windowHeight="12576" tabRatio="877" xr2:uid="{00000000-000D-0000-FFFF-FFFF00000000}" activeTab="0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sharedStrings.xml><?xml version="1.0" encoding="utf-8"?>
<sst xmlns="http://schemas.openxmlformats.org/spreadsheetml/2006/main">
  <si>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</si>
  <si>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</si>
  <si>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</si>
  <si>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</si>
  <si>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</si>
  <si>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</si>
  <si>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</si>
  <si>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</si>
  <si>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</si>
  <si>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</si>
  <si>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</si>
  <si>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</si>
  <si>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</si>
  <si>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</si>
  <si>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</si>
  <si>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</si>
  <si>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</si>
  <si>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</si>
  <si>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</si>
  <si>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</si>
  <si>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</si>
  <si>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</si>
  <si>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</si>
  <si>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</si>
  <si>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</si>
  <si>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</si>
  <si>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</si>
  <si>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</si>
  <si>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</si>
  <si>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</si>
  <si>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</si>
  <si>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</si>
  <si>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</si>
  <si>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</si>
  <si>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</si>
  <si>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</si>
  <si>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</si>
  <si>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</si>
  <si>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</si>
  <si>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</si>
  <si>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</si>
  <si>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</si>
  <si>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</si>
  <si>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</si>
  <si>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</si>
  <si>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</si>
  <si>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</si>
  <si>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</si>
  <si>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</si>
  <si>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</si>
  <si>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</si>
  <si>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</si>
  <si>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</si>
  <si>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</si>
  <si>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</si>
  <si>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</si>
  <si>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</si>
  <si>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</si>
  <si>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</si>
  <si>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</si>
  <si>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</si>
  <si>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</si>
  <si>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</si>
  <si>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</si>
  <si>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</si>
  <si>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</si>
  <si>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</si>
  <si>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</si>
  <si>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</si>
  <si>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</si>
  <si>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</si>
  <si>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</si>
  <si>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</si>
  <si>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</si>
  <si>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</si>
  <si>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</si>
  <si>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</si>
  <si>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</si>
  <si>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</si>
  <si>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</si>
  <si>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</si>
  <si>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</si>
  <si>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</si>
  <si>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</si>
  <si>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</si>
  <si>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</si>
  <si>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</si>
  <si>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</si>
  <si>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</si>
  <si>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</si>
  <si>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</si>
  <si>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</si>
  <si>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</si>
  <si>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</si>
  <si>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</si>
  <si>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</si>
  <si>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</si>
  <si>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</si>
  <si>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</si>
  <si>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</si>
  <si>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</si>
  <si>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</si>
  <si>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</si>
  <si>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</si>
  <si>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</si>
  <si>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</si>
  <si>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</si>
  <si>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</si>
  <si>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</si>
  <si>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</si>
  <si>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</si>
  <si>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</si>
  <si>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</si>
  <si>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</si>
  <si>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</si>
  <si>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</si>
  <si>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</si>
  <si>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</si>
  <si>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</si>
  <si>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</si>
  <si>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</si>
  <si>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</si>
  <si>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</si>
  <si>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</si>
  <si>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</si>
  <si>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</si>
  <si>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</si>
  <si>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</si>
  <si>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</si>
  <si>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</si>
  <si>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</si>
  <si>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</si>
  <si>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</si>
  <si>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</si>
  <si>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</si>
  <si>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</si>
  <si>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</si>
  <si>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</si>
  <si>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</si>
  <si>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</si>
  <si>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</si>
  <si>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</si>
  <si>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</si>
  <si>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</si>
  <si>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</si>
  <si>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</si>
  <si>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</si>
  <si>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</si>
  <si>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</si>
  <si>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</si>
  <si>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</si>
  <si>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</si>
  <si>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</si>
  <si>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</si>
  <si>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</si>
  <si>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</si>
  <si>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</si>
  <si>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</si>
  <si>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</si>
  <si>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</si>
  <si>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</si>
  <si>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</si>
  <si>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</si>
  <si>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</si>
  <si>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</si>
  <si>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</si>
  <si>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</si>
  <si>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</si>
  <si>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</si>
  <si>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</si>
  <si>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</si>
  <si>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</si>
  <si>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</si>
  <si>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</si>
  <si>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</si>
  <si>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</si>
  <si>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</si>
  <si>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</si>
  <si>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</si>
  <si>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</si>
  <si>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</si>
  <si>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</si>
  <si>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</si>
  <si>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</si>
  <si>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</si>
  <si>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</si>
  <si>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</si>
  <si>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</si>
  <si>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</si>
  <si>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</si>
  <si>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</si>
  <si>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</si>
  <si>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</si>
  <si>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</si>
  <si>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</si>
  <si>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</si>
  <si>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</si>
  <si>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</si>
  <si>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</si>
  <si>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</si>
  <si>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</si>
  <si>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</si>
  <si>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</si>
  <si>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</si>
  <si>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</si>
  <si>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</si>
  <si>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</si>
  <si>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</si>
  <si>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</si>
  <si>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</si>
  <si>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</si>
  <si>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</si>
  <si>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</si>
  <si>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</si>
  <si>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</si>
  <si>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</si>
  <si>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</si>
  <si>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</si>
  <si>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</si>
  <si>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</si>
  <si>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</si>
  <si>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</si>
  <si>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</si>
  <si>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</si>
  <si>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</si>
  <si>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</si>
  <si>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</si>
  <si>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</si>
  <si>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</si>
  <si>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</si>
  <si>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</si>
  <si>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</si>
  <si>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</si>
  <si>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</si>
  <si>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</si>
  <si>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</si>
  <si>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</si>
  <si>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</si>
  <si>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</si>
  <si>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</si>
  <si>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</si>
  <si>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</si>
  <si>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</si>
  <si>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</si>
  <si>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</si>
  <si>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</si>
  <si>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</si>
  <si>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</si>
  <si>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</si>
  <si>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</si>
  <si>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</si>
  <si>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</si>
  <si>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</si>
  <si>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</si>
  <si>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</si>
  <si>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</si>
  <si>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</si>
  <si>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</si>
  <si>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</si>
  <si>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</si>
  <si>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</si>
  <si>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</si>
  <si>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</si>
  <si>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</si>
  <si>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</si>
  <si>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</si>
  <si>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</si>
  <si>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</si>
  <si>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</si>
  <si>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</si>
  <si>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</si>
  <si>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</si>
  <si>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</si>
  <si>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</si>
  <si>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</si>
  <si>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</si>
  <si>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</si>
  <si>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</si>
  <si>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</si>
  <si>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</si>
  <si>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</si>
  <si>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</si>
  <si>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</si>
  <si>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</si>
  <si>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</si>
  <si>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</si>
  <si>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</si>
  <si>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</si>
  <si>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</si>
  <si>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</si>
  <si>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</si>
  <si>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</si>
  <si>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</si>
  <si>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</si>
  <si>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</si>
  <si>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</si>
  <si>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</si>
  <si>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</si>
  <si>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</si>
  <si>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</si>
  <si>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</si>
  <si>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</si>
  <si>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</si>
  <si>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</si>
  <si>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</si>
  <si>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</si>
  <si>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</si>
  <si>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</si>
  <si>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</si>
  <si>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</si>
  <si>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</si>
  <si>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</si>
  <si>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</si>
  <si>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</si>
  <si>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</si>
  <si>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</si>
  <si>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</si>
  <si>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</si>
  <si>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</si>
  <si>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</si>
  <si>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</si>
  <si>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</si>
  <si>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</si>
  <si>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</si>
  <si>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</si>
  <si>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</si>
  <si>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</si>
  <si>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</si>
  <si>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</si>
  <si>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</si>
  <si>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</si>
  <si>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</si>
  <si>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</si>
  <si>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</si>
  <si>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</si>
  <si>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</si>
  <si>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</si>
  <si>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</si>
  <si>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</si>
  <si>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</si>
  <si>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</si>
  <si>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</si>
  <si>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</si>
  <si>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</si>
  <si>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</si>
  <si>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</si>
  <si>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</si>
  <si>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</si>
  <si>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</si>
  <si>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</si>
  <si>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</si>
  <si>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</si>
  <si>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</si>
  <si>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</si>
  <si>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</si>
  <si>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</si>
  <si>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</si>
  <si>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</si>
  <si>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</si>
  <si>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</si>
  <si>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</si>
  <si>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</si>
  <si>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</si>
  <si>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</si>
  <si>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</si>
  <si>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</si>
  <si>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</si>
  <si>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</si>
  <si>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</si>
  <si>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</si>
  <si>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</si>
  <si>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</si>
  <si>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</si>
  <si>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</si>
  <si>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</si>
  <si>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</si>
  <si>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</si>
  <si>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</si>
  <si>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</si>
  <si>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</si>
  <si>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</si>
  <si>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</si>
  <si>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</si>
  <si>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</si>
  <si>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</si>
  <si>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</si>
  <si>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</si>
  <si>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</si>
  <si>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</si>
  <si>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</si>
  <si>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</si>
  <si>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</si>
  <si>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</si>
  <si>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</si>
  <si>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</si>
  <si>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</si>
  <si>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</si>
  <si>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</si>
  <si>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</si>
  <si>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</si>
  <si>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</si>
  <si>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</si>
  <si>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</si>
  <si>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</si>
  <si>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</si>
  <si>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</si>
  <si>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</si>
  <si>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</si>
  <si>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</si>
  <si>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</si>
  <si>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</si>
  <si>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</si>
  <si>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</si>
  <si>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</si>
  <si>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</si>
  <si>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</si>
  <si>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</si>
  <si>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</si>
  <si>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</si>
  <si>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</si>
  <si>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</si>
  <si>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</si>
  <si>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</si>
  <si>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</si>
  <si>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</si>
  <si>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</si>
  <si>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</si>
  <si>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</si>
  <si>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</si>
  <si>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</si>
  <si>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</si>
  <si>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</si>
  <si>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</si>
  <si>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</si>
  <si>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</si>
  <si>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</si>
  <si>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</si>
  <si>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</si>
  <si>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</si>
  <si>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</si>
  <si>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</si>
  <si>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</si>
  <si>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</si>
  <si>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</si>
  <si>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</si>
  <si>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</si>
  <si>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</si>
  <si>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</si>
  <si>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</si>
  <si>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</si>
  <si>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</si>
  <si>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</si>
  <si>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</si>
  <si>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</si>
  <si>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</si>
  <si>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</si>
  <si>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</si>
  <si>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</si>
  <si>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</si>
  <si>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</si>
  <si>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</si>
  <si>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</si>
  <si>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</si>
  <si>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</si>
  <si>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</si>
  <si>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</si>
  <si>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</si>
  <si>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</si>
  <si>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</si>
  <si>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</si>
  <si>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</si>
  <si>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</si>
  <si>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</si>
  <si>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</si>
  <si>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</si>
  <si>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</si>
  <si>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</si>
  <si>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</si>
  <si>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</si>
  <si>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</si>
  <si>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</si>
  <si>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</si>
  <si>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</si>
  <si>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</si>
  <si>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</si>
  <si>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</si>
  <si>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</si>
  <si>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</si>
  <si>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</si>
  <si>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</si>
  <si>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</si>
  <si>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</si>
  <si>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</si>
  <si>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</si>
  <si>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</si>
  <si>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</si>
  <si>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</si>
  <si>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</si>
  <si>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</si>
  <si>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</si>
  <si>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</si>
  <si>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</si>
  <si>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</si>
  <si>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</si>
  <si>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</si>
  <si>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</si>
  <si>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</si>
  <si>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</si>
  <si>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</si>
  <si>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</si>
  <si>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</si>
  <si>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</si>
  <si>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</si>
  <si>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</si>
  <si>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</si>
  <si>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</si>
  <si>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</si>
  <si>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</si>
  <si>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</si>
  <si>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</si>
  <si>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</si>
  <si>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</si>
  <si>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</si>
  <si>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</si>
  <si>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</si>
  <si>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</si>
  <si>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</si>
  <si>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</si>
  <si>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</si>
  <si>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</si>
  <si>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</si>
  <si>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</si>
  <si>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</si>
  <si>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</si>
  <si>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</si>
  <si>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</si>
  <si>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</si>
  <si>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</si>
  <si>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</si>
  <si>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</si>
  <si>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</si>
  <si>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</si>
  <si>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</si>
  <si>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</si>
  <si>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</si>
  <si>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</si>
  <si>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</si>
  <si>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</si>
  <si>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</si>
  <si>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</si>
  <si>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</si>
  <si>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</si>
  <si>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</si>
  <si>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</si>
  <si>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</si>
  <si>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</si>
  <si>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</si>
  <si>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</si>
  <si>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</si>
  <si>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</si>
  <si>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</si>
  <si>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</si>
  <si>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</si>
  <si>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</si>
  <si>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</si>
  <si>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</si>
  <si>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</si>
  <si>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</si>
  <si>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</si>
  <si>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</si>
  <si>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</si>
  <si>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</si>
  <si>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</si>
  <si>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</si>
  <si>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</si>
  <si>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</si>
  <si>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</si>
  <si>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</si>
  <si>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</si>
  <si>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</si>
  <si>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</si>
  <si>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</si>
  <si>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</si>
  <si>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</si>
  <si>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</si>
  <si>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</si>
  <si>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</si>
  <si>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</si>
  <si>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</si>
  <si>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</si>
  <si>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</si>
  <si>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</si>
  <si>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</si>
  <si>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</si>
  <si>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</si>
  <si>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</si>
  <si>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</si>
  <si>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</si>
  <si>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</si>
  <si>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</si>
  <si>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</si>
  <si>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</si>
  <si>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</si>
  <si>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</si>
  <si>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</si>
  <si>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</si>
  <si>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</si>
  <si>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</si>
  <si>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</si>
  <si>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</si>
  <si>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</si>
  <si>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</si>
  <si>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</si>
  <si>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</si>
  <si>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</si>
  <si>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</si>
  <si>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</si>
  <si>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</si>
  <si>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</si>
  <si>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</si>
  <si>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</si>
  <si>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</si>
  <si>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</si>
  <si>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</si>
  <si>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</si>
  <si>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</si>
  <si>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</si>
  <si>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</si>
  <si>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</si>
  <si>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</si>
  <si>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</si>
  <si>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</si>
  <si>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</si>
  <si>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</si>
  <si>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</si>
  <si>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</si>
  <si>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</si>
  <si>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</si>
  <si>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</si>
  <si>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</si>
  <si>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</si>
  <si>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</si>
  <si>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</si>
  <si>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</si>
  <si>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</si>
  <si>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</si>
  <si>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</si>
  <si>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</si>
  <si>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</si>
  <si>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</si>
  <si>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</si>
  <si>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</si>
  <si>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</si>
  <si>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</si>
  <si>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</si>
  <si>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</si>
  <si>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</si>
  <si>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</si>
  <si>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</si>
  <si>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</si>
  <si>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</si>
  <si>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</si>
  <si>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</si>
  <si>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</si>
  <si>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</si>
  <si>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</si>
  <si>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</si>
  <si>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</si>
  <si>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</si>
  <si>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</si>
  <si>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</si>
  <si>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</si>
  <si>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</si>
  <si>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</si>
  <si>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</si>
  <si>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</si>
  <si>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</si>
  <si>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</si>
  <si>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</si>
  <si>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</si>
  <si>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</si>
  <si>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</si>
  <si>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</si>
  <si>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</si>
  <si>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</si>
  <si>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</si>
  <si>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</si>
  <si>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</si>
  <si>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</si>
  <si>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</si>
  <si>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</si>
  <si>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</si>
  <si>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</si>
  <si>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</si>
  <si>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</si>
  <si>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</si>
  <si>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</si>
  <si>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</si>
  <si>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</si>
  <si>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</si>
  <si>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</si>
  <si>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</si>
  <si>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</si>
  <si>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</si>
  <si>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</si>
  <si>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</si>
  <si>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</si>
  <si>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</si>
  <si>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</si>
  <si>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</si>
  <si>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</si>
  <si>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</si>
  <si>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</si>
  <si>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</si>
  <si>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</si>
  <si>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</si>
  <si>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</si>
  <si>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</si>
  <si>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</si>
  <si>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</si>
  <si>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</si>
  <si>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</si>
  <si>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</si>
  <si>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</si>
  <si>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</si>
  <si>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</si>
  <si>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</si>
  <si>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</si>
  <si>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</si>
  <si>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</si>
  <si>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</si>
  <si>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</si>
  <si>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</si>
  <si>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</si>
  <si>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</si>
  <si>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</si>
  <si>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</si>
  <si>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</si>
  <si>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</si>
  <si>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</si>
  <si>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</si>
  <si>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</si>
  <si>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</si>
  <si>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</si>
  <si>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</si>
  <si>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</si>
  <si>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</si>
  <si>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</si>
  <si>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</si>
  <si>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</si>
  <si>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</si>
  <si>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</si>
  <si>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</si>
  <si>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</si>
  <si>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</si>
  <si>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</si>
  <si>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</si>
  <si>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</si>
  <si>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</si>
  <si>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</si>
  <si>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</si>
  <si>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</si>
  <si>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</si>
  <si>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</si>
  <si>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</si>
  <si>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</si>
  <si>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</si>
  <si>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</si>
  <si>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</si>
  <si>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</si>
  <si>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</si>
  <si>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</si>
  <si>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</si>
  <si>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</si>
  <si>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</si>
  <si>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</si>
  <si>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</si>
  <si>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</si>
  <si>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</si>
  <si>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</si>
  <si>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</si>
  <si>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</si>
  <si>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</si>
  <si>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</si>
  <si>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</si>
  <si>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</si>
  <si>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</si>
  <si>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</si>
  <si>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</si>
  <si>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</si>
  <si>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</si>
  <si>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</si>
  <si>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</si>
  <si>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</si>
  <si>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</si>
  <si>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</si>
  <si>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</si>
  <si>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</si>
  <si>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</si>
  <si>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</si>
  <si>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</si>
  <si>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</si>
  <si>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</si>
  <si>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</si>
  <si>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</si>
  <si>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</si>
  <si>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</si>
  <si>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</si>
  <si>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</si>
  <si>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</si>
  <si>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</si>
  <si>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</si>
  <si>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</si>
  <si>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</si>
  <si>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</si>
  <si>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</si>
  <si>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</si>
  <si>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</si>
  <si>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</si>
  <si>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</si>
  <si>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</si>
  <si>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</si>
  <si>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</si>
  <si>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</si>
  <si>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</si>
  <si>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</si>
  <si>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</si>
  <si>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</si>
  <si>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</si>
  <si>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</si>
  <si>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</si>
  <si>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</si>
  <si>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</si>
  <si>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</si>
  <si>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</si>
  <si>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</si>
  <si>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</si>
  <si>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</si>
  <si>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</si>
  <si>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</si>
  <si>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</si>
  <si>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</si>
  <si>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</si>
  <si>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</si>
  <si>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</si>
  <si>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</si>
  <si>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</si>
  <si>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</si>
  <si>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</si>
  <si>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</si>
  <si>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</si>
  <si>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</si>
  <si>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</si>
  <si>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</si>
  <si>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</si>
  <si>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</si>
  <si>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</si>
  <si>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</si>
  <si>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</si>
  <si>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</si>
  <si>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</si>
  <si>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</si>
  <si>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</si>
  <si>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</si>
  <si>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</si>
  <si>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</si>
  <si>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</si>
  <si>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</si>
  <si>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</si>
  <si>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</si>
  <si>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</si>
  <si>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</si>
  <si>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</si>
  <si>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</si>
  <si>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</si>
  <si>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</si>
  <si>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</si>
  <si>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</si>
  <si>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</si>
  <si>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</si>
  <si>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</si>
  <si>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</si>
  <si>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</si>
  <si>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</si>
  <si>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</si>
  <si>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</si>
  <si>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</si>
  <si>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</si>
  <si>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</si>
  <si>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</si>
  <si>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</si>
  <si>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</si>
  <si>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</si>
  <si>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</si>
  <si>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</si>
  <si>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</si>
  <si>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</si>
  <si>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</si>
  <si>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</si>
  <si>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</si>
  <si>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</si>
  <si>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</si>
  <si>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</si>
  <si>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</si>
  <si>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</si>
  <si>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</si>
  <si>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</si>
  <si>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</si>
  <si>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</si>
  <si>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</si>
  <si>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</si>
  <si>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</si>
  <si>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</si>
  <si>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</si>
  <si>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</si>
  <si>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</si>
  <si>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</si>
  <si>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</si>
  <si>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</si>
  <si>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</si>
  <si>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</si>
  <si>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</si>
  <si>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</si>
  <si>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</si>
  <si>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</si>
  <si>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</si>
  <si>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</si>
  <si>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</si>
  <si>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</si>
  <si>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</si>
  <si>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</si>
  <si>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</si>
  <si>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</si>
  <si>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</si>
  <si>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</si>
  <si>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</si>
  <si>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</si>
  <si>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</si>
  <si>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</si>
  <si>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</si>
  <si>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</si>
  <si>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</si>
  <si>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</si>
  <si>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</si>
  <si>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</si>
  <si>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</si>
  <si>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</si>
  <si>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</si>
  <si>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</si>
  <si>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</si>
  <si>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</si>
  <si>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</si>
  <si>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</si>
  <si>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</si>
  <si>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</si>
  <si>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</si>
  <si>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</si>
  <si>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</si>
  <si>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</si>
  <si>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</si>
  <si>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</si>
  <si>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</si>
  <si>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</si>
  <si>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</si>
  <si>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</si>
  <si>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</si>
  <si>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</si>
  <si>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</si>
  <si>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</si>
  <si>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</si>
  <si>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</si>
  <si>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</si>
  <si>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</si>
  <si>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</si>
  <si>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</si>
  <si>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</si>
  <si>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</si>
  <si>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</si>
  <si>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</si>
  <si>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</si>
  <si>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</si>
  <si>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</si>
  <si>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</si>
  <si>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</si>
  <si>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</si>
  <si>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</si>
  <si>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</si>
  <si>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</si>
  <si>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</si>
  <si>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</si>
  <si>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</si>
  <si>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</si>
  <si>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</si>
  <si>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</si>
  <si>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</si>
  <si>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</si>
  <si>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</si>
  <si>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</si>
  <si>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</si>
  <si>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</si>
  <si>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</si>
  <si>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</si>
  <si>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</si>
  <si>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</si>
  <si>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</si>
  <si>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</si>
  <si>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</si>
  <si>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</si>
  <si>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</si>
  <si>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</si>
  <si>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</si>
  <si>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</si>
  <si>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</si>
  <si>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</si>
  <si>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</si>
  <si>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</si>
  <si>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</si>
  <si>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</si>
  <si>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</si>
  <si>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</si>
  <si>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</si>
  <si>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</si>
  <si>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</si>
  <si>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</si>
  <si>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</si>
  <si>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</si>
  <si>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</si>
  <si>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</si>
  <si>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</si>
  <si>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</si>
  <si>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</si>
  <si>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</si>
  <si>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</si>
  <si>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</si>
  <si>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</si>
  <si>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</si>
  <si>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</si>
  <si>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</si>
  <si>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</si>
  <si>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</si>
  <si>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</si>
  <si>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</si>
  <si>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</si>
  <si>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</si>
  <si>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</si>
  <si>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</si>
  <si>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</si>
  <si>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</si>
  <si>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</si>
  <si>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</si>
  <si>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</si>
  <si>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</si>
  <si>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</si>
  <si>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</si>
  <si>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</si>
  <si>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</si>
  <si>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</si>
  <si>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</si>
  <si>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</si>
  <si>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山崎 伊織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</si>
  <si>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</si>
  <si>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</si>
  <si>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</si>
  <si>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</si>
  <si>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</si>
  <si>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</si>
  <si>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</si>
  <si>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</si>
  <si>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</si>
  <si>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</si>
  <si>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</si>
  <si>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</si>
  <si>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</si>
  <si>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</si>
  <si>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</si>
  <si>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</si>
  <si>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</si>
  <si>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</si>
  <si>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</si>
  <si>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</si>
  <si>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</si>
  <si>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</si>
  <si>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</si>
  <si>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</si>
  <si>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</si>
  <si>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</si>
  <si>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</si>
  <si>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</si>
  <si>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</si>
  <si>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</si>
  <si>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</si>
  <si>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</si>
  <si>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</si>
  <si>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</si>
  <si>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</si>
  <si>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</si>
  <si>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</si>
  <si>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</si>
  <si>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</si>
  <si>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</si>
  <si>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</si>
  <si>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</si>
  <si>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</si>
  <si>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</si>
  <si>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</si>
  <si>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</si>
  <si>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</si>
  <si>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</si>
  <si>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</si>
  <si>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</si>
  <si>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</si>
  <si>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</si>
  <si>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</si>
  <si>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</si>
  <si>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</si>
  <si>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</si>
  <si>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</si>
  <si>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</si>
  <si>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</si>
  <si>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</si>
  <si>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</si>
  <si>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</si>
  <si>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</si>
  <si>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</si>
  <si>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</si>
  <si>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</si>
  <si>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</si>
  <si>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</si>
  <si>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</si>
  <si>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</si>
  <si>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</si>
  <si>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</si>
  <si>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</si>
  <si>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</si>
  <si>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</si>
  <si>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</si>
  <si>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</si>
  <si>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</si>
  <si>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</si>
  <si>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</si>
  <si>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</si>
  <si>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</si>
  <si>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</si>
  <si>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</si>
  <si>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</si>
  <si>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</si>
  <si>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</si>
  <si>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</si>
  <si>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</si>
  <si>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</si>
  <si>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</si>
  <si>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</si>
  <si>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</si>
  <si>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</si>
  <si>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</si>
  <si>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</si>
  <si>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</si>
  <si>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</si>
  <si>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</si>
  <si>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</si>
  <si>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</si>
  <si>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</si>
  <si>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</si>
  <si>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</si>
  <si>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</si>
  <si>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</si>
  <si>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</si>
  <si>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</si>
  <si>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</si>
  <si>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</si>
  <si>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</si>
  <si>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</si>
  <si>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</si>
  <si>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</si>
  <si>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</si>
  <si>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</si>
  <si>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</si>
  <si>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</si>
  <si>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</si>
  <si>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</si>
  <si>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</si>
  <si>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</si>
  <si>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</si>
  <si>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</si>
  <si>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</si>
  <si>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</si>
  <si>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</si>
  <si>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</si>
  <si>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</si>
  <si>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</si>
  <si>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</si>
  <si>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</si>
  <si>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</si>
  <si>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</si>
  <si>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</si>
  <si>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</si>
  <si>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</si>
  <si>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</si>
  <si>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</si>
  <si>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</si>
  <si>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</si>
  <si>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</si>
  <si>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</si>
  <si>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</si>
  <si>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</si>
  <si>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</si>
  <si>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</si>
  <si>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</si>
  <si>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</si>
  <si>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</si>
  <si>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</si>
  <si>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</si>
  <si>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</si>
  <si>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</si>
  <si>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</si>
  <si>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</si>
  <si>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</si>
  <si>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</si>
  <si>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</si>
  <si>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</si>
  <si>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</si>
  <si>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</si>
  <si>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</si>
  <si>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</si>
  <si>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</si>
  <si>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</si>
  <si>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</si>
  <si>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</si>
  <si>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</si>
  <si>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</si>
  <si>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</si>
  <si>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</si>
  <si>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</si>
  <si>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</si>
  <si>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</si>
  <si>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</si>
  <si>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</si>
  <si>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</si>
  <si>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</si>
  <si>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</si>
  <si>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</si>
  <si>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</si>
  <si>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</si>
  <si>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</si>
  <si>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</si>
  <si>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</si>
  <si>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</si>
  <si>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</si>
  <si>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</si>
  <si>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</si>
  <si>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</si>
  <si>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</si>
  <si>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</si>
  <si>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</si>
  <si>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</si>
  <si>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</si>
  <si>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</si>
  <si>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</si>
  <si>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</si>
  <si>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</si>
  <si>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</si>
  <si>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</si>
  <si>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</si>
  <si>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</si>
  <si>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</si>
  <si>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</si>
  <si>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</si>
  <si>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</si>
  <si>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</si>
  <si>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</si>
  <si>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</si>
  <si>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</si>
  <si>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</si>
  <si>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</si>
  <si>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</si>
  <si>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</si>
  <si>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</si>
  <si>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</si>
  <si>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</si>
  <si>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</si>
  <si>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</si>
  <si>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</si>
  <si>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</si>
  <si>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</si>
  <si>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</si>
  <si>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</si>
  <si>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</si>
  <si>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</si>
  <si>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</si>
  <si>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</si>
  <si>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</si>
  <si>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</si>
  <si>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</si>
  <si>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</si>
  <si>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</si>
  <si>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</si>
  <si>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</si>
  <si>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</si>
  <si>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</si>
  <si>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</si>
  <si>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</si>
  <si>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</si>
  <si>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</si>
  <si>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</si>
  <si>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</si>
  <si>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</si>
  <si>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</si>
  <si>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</si>
  <si>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</si>
  <si>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</si>
  <si>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</si>
  <si>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</si>
  <si>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</si>
  <si>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</si>
  <si>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</si>
  <si>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</si>
  <si>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</si>
  <si>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</si>
  <si>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</si>
  <si>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</si>
  <si>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</si>
  <si>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</si>
  <si>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</si>
  <si>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</si>
  <si>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</si>
  <si>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</si>
  <si>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</si>
  <si>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</si>
  <si>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</si>
  <si>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</si>
  <si>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</si>
  <si>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</si>
  <si>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</si>
  <si>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</si>
  <si>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</si>
  <si>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</si>
  <si>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</si>
  <si>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</si>
  <si>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</si>
  <si>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</si>
  <si>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</si>
  <si>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</si>
  <si>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</si>
  <si>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</si>
  <si>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</si>
  <si>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</si>
  <si>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</si>
  <si>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</si>
  <si>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</si>
  <si>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</si>
  <si>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</si>
  <si>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</si>
  <si>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</si>
  <si>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</si>
  <si>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</si>
  <si>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</si>
  <si>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</si>
  <si>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</si>
  <si>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</si>
  <si>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</si>
  <si>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</si>
  <si>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</si>
  <si>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</si>
  <si>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</si>
  <si>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</si>
  <si>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</si>
  <si>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</si>
  <si>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</si>
  <si>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</si>
  <si>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</si>
  <si>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</si>
  <si>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</si>
  <si>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</si>
  <si>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</si>
  <si>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</si>
  <si>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</si>
  <si>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</si>
  <si>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</si>
  <si>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</si>
  <si>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</si>
  <si>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</si>
  <si>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</si>
  <si>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</si>
  <si>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</si>
  <si>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</si>
  <si>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</si>
  <si>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</si>
  <si>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</si>
  <si>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</si>
  <si>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</si>
  <si>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</si>
  <si>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</si>
  <si>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</si>
  <si>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</si>
  <si>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</si>
  <si>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</si>
  <si>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</si>
  <si>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</si>
  <si>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</si>
  <si>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</si>
  <si>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</si>
  <si>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</si>
  <si>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</si>
  <si>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</si>
  <si>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</si>
  <si>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</si>
  <si>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</si>
  <si>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</si>
  <si>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</si>
  <si>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</si>
  <si>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</si>
  <si>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</si>
  <si>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</si>
  <si>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</si>
  <si>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</si>
  <si>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</si>
  <si>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</si>
  <si>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</si>
  <si>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</si>
  <si>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</si>
  <si>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</si>
  <si>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</si>
  <si>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</si>
  <si>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</si>
  <si>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</si>
  <si>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</si>
  <si>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</si>
  <si>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</si>
  <si>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</si>
  <si>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</si>
  <si>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</si>
  <si>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</si>
  <si>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</si>
  <si>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</si>
  <si>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</si>
  <si>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</si>
  <si>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</si>
  <si>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</si>
  <si>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</si>
  <si>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</si>
  <si>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</si>
  <si>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</si>
  <si>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</si>
  <si>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</si>
  <si>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</si>
  <si>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</si>
  <si>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</si>
  <si>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</si>
  <si>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</si>
  <si>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</si>
  <si>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</si>
  <si>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</si>
  <si>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</si>
  <si>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</si>
  <si>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</si>
  <si>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</si>
  <si>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</si>
  <si>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</si>
  <si>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</si>
  <si>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</si>
  <si>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</si>
  <si>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</si>
  <si>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</si>
  <si>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</si>
  <si>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</si>
  <si>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</si>
  <si>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</si>
  <si>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</si>
  <si>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</si>
  <si>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</si>
  <si>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</si>
  <si>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</si>
  <si>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</si>
  <si>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</si>
  <si>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</si>
  <si>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</si>
  <si>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</si>
  <si>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</si>
  <si>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</si>
  <si>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</si>
  <si>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</si>
  <si>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</si>
  <si>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</si>
  <si>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</si>
  <si>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</si>
  <si>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</si>
  <si>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</si>
  <si>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</si>
  <si>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</si>
  <si>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</si>
  <si>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</si>
  <si>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</si>
  <si>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</si>
  <si>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</si>
  <si>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</si>
  <si>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</si>
  <si>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</si>
  <si>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</si>
  <si>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</si>
  <si>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</si>
  <si>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</si>
  <si>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</si>
  <si>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</si>
  <si>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</si>
  <si>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</si>
  <si>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</si>
  <si>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</si>
  <si>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</si>
  <si>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</si>
  <si>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</si>
  <si>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</si>
  <si>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</si>
  <si>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</si>
  <si>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</si>
  <si>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</si>
  <si>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</si>
  <si>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</si>
  <si>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</si>
  <si>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</si>
  <si>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</si>
  <si>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</si>
  <si>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</si>
  <si>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</si>
  <si>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</si>
  <si>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</si>
  <si>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</si>
  <si>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</si>
  <si>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</si>
  <si>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</si>
  <si>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</si>
  <si>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</si>
  <si>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</si>
  <si>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</si>
  <si>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藤井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</si>
  <si>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</si>
  <si>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</si>
  <si>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</si>
  <si>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</si>
  <si>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</si>
  <si>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</si>
  <si>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</si>
  <si>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</si>
  <si>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</si>
  <si>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</si>
  <si>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</si>
  <si>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</si>
  <si>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</si>
  <si>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</si>
  <si>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</si>
  <si>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</si>
  <si>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</si>
  <si>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</si>
  <si>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</si>
  <si>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</si>
  <si>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</si>
  <si>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</si>
  <si>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</si>
  <si>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</si>
  <si>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</si>
  <si>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</si>
  <si>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</si>
  <si>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</si>
  <si>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</si>
  <si>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</si>
  <si>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</si>
  <si>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</si>
  <si>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</si>
  <si>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</si>
  <si>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</si>
  <si>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</si>
  <si>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</si>
  <si>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</si>
  <si>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</si>
  <si>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</si>
  <si>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</si>
  <si>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</si>
  <si>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</si>
  <si>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</si>
  <si>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</si>
  <si>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</si>
  <si>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</si>
  <si>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</si>
  <si>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</si>
  <si>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</si>
  <si>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</si>
  <si>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</si>
  <si>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</si>
  <si>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</si>
  <si>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</si>
  <si>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</si>
  <si>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</si>
  <si>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</si>
  <si>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</si>
  <si>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</si>
  <si>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</si>
  <si>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</si>
  <si>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</si>
  <si>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</si>
  <si>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</si>
  <si>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</si>
  <si>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</si>
  <si>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</si>
  <si>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</si>
  <si>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</si>
  <si>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</si>
  <si>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</si>
  <si>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</si>
  <si>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</si>
  <si>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</si>
  <si>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</si>
  <si>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</si>
  <si>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</si>
  <si>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</si>
  <si>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</si>
  <si>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</si>
  <si>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</si>
  <si>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</si>
  <si>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</si>
  <si>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</si>
  <si>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</si>
  <si>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</si>
  <si>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</si>
  <si>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</si>
  <si>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</si>
  <si>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</si>
  <si>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</si>
  <si>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</si>
  <si>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</si>
  <si>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</si>
  <si>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</si>
  <si>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</si>
  <si>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</si>
  <si>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</si>
  <si>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</si>
  <si>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</si>
  <si>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</si>
  <si>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</si>
  <si>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</si>
  <si>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</si>
  <si>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</si>
  <si>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</si>
  <si>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</si>
  <si>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</si>
  <si>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</si>
  <si>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</si>
  <si>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</si>
  <si>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</si>
  <si>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</si>
  <si>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</si>
  <si>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</si>
  <si>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</si>
  <si>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</si>
  <si>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</si>
  <si>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</si>
  <si>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</si>
  <si>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</si>
  <si>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</si>
  <si>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</si>
  <si>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</si>
  <si>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</si>
  <si>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</si>
  <si>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</si>
  <si>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</si>
  <si>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</si>
  <si>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</si>
  <si>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</si>
  <si>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</si>
  <si>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</si>
  <si>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</si>
  <si>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</si>
  <si>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</si>
  <si>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</si>
  <si>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</si>
  <si>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</si>
  <si>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</si>
  <si>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</si>
  <si>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</si>
  <si>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</si>
  <si>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</si>
  <si>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</si>
  <si>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</si>
  <si>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</si>
  <si>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</si>
  <si>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</si>
  <si>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</si>
  <si>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</si>
  <si>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</si>
  <si>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</si>
  <si>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</si>
  <si>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</si>
  <si>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</si>
  <si>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</si>
  <si>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</si>
  <si>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</si>
  <si>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</si>
  <si>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</si>
  <si>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</si>
  <si>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</si>
  <si>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</si>
  <si>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</si>
  <si>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</si>
  <si>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</si>
  <si>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</si>
  <si>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</si>
  <si>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</si>
  <si>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</si>
  <si>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</si>
  <si>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</si>
  <si>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</si>
  <si>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</si>
  <si>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</si>
  <si>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</si>
  <si>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</si>
  <si>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</si>
  <si>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</si>
  <si>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</si>
  <si>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</si>
  <si>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</si>
  <si>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</si>
  <si>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</si>
  <si>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</si>
  <si>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</si>
  <si>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</si>
  <si>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</si>
  <si>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</si>
  <si>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</si>
  <si>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</si>
  <si>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</si>
  <si>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</si>
  <si>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</si>
  <si>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</si>
  <si>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</si>
  <si>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</si>
  <si>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</si>
  <si>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</si>
  <si>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</si>
  <si>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</si>
  <si>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</si>
  <si>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</si>
  <si>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</si>
  <si>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</si>
  <si>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</si>
  <si>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</si>
  <si>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</si>
  <si>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</si>
  <si>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</si>
  <si>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</si>
  <si>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</si>
  <si>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</si>
  <si>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</si>
  <si>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</si>
  <si>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</si>
  <si>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</si>
  <si>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</si>
  <si>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</si>
  <si>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</si>
  <si>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</si>
  <si>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</si>
  <si>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</si>
  <si>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</si>
  <si>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</si>
  <si>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</si>
  <si>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</si>
  <si>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</si>
  <si>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</si>
  <si>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</si>
  <si>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</si>
  <si>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</si>
  <si>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</si>
  <si>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</si>
  <si>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</si>
  <si>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</si>
  <si>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</si>
  <si>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</si>
  <si>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</si>
  <si>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</si>
  <si>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</si>
  <si>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</si>
  <si>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</si>
  <si>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</si>
  <si>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</si>
  <si>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</si>
  <si>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</si>
  <si>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</si>
  <si>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</si>
  <si>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</si>
  <si>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</si>
  <si>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</si>
  <si>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</si>
  <si>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</si>
  <si>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</si>
  <si>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</si>
  <si>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</si>
  <si>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</si>
  <si>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</si>
  <si>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</si>
  <si>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</si>
  <si>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</si>
  <si>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</si>
  <si>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</si>
  <si>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</si>
  <si>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</si>
  <si>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</si>
  <si>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</si>
  <si>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</si>
  <si>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</si>
  <si>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</si>
  <si>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</si>
  <si>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</si>
  <si>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</si>
  <si>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</si>
  <si>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</si>
  <si>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</si>
  <si>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</si>
  <si>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</si>
  <si>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</si>
  <si>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</si>
  <si>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</si>
  <si>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</si>
  <si>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</si>
  <si>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</si>
  <si>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</si>
  <si>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</si>
  <si>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</si>
  <si>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</si>
  <si>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</si>
  <si>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</si>
  <si>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</si>
  <si>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</si>
  <si>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</si>
  <si>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</si>
  <si>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</si>
  <si>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</si>
  <si>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</si>
  <si>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</si>
  <si>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</si>
  <si>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</si>
  <si>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</si>
  <si>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</si>
  <si>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</si>
  <si>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</si>
  <si>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</si>
  <si>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</si>
  <si>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</si>
  <si>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</si>
  <si>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</si>
  <si>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</si>
  <si>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</si>
  <si>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</si>
  <si>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</si>
  <si>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</si>
  <si>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</si>
  <si>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</si>
  <si>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</si>
  <si>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</si>
  <si>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</si>
  <si>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</si>
  <si>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</si>
  <si>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</si>
  <si>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</si>
  <si>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</si>
  <si>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</si>
  <si>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</si>
  <si>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</si>
  <si>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</si>
  <si>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</si>
  <si>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</si>
  <si>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</si>
  <si>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</si>
  <si>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</si>
  <si>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</si>
  <si>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</si>
  <si>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</si>
  <si>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</si>
  <si>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</si>
  <si>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</si>
  <si>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</si>
  <si>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</si>
  <si>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</si>
  <si>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</si>
  <si>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</si>
  <si>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</si>
  <si>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</si>
  <si>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</si>
  <si>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</si>
  <si>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</si>
  <si>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</si>
  <si>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</si>
  <si>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</si>
  <si>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</si>
  <si>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</si>
  <si>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</si>
  <si>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</si>
  <si>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</si>
  <si>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</si>
  <si>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</si>
  <si>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</si>
  <si>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</si>
  <si>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</si>
  <si>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</si>
  <si>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</si>
  <si>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</si>
  <si>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</si>
  <si>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</si>
  <si>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</si>
  <si>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</si>
  <si>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</si>
  <si>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</si>
  <si>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</si>
  <si>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</si>
  <si>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</si>
  <si>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</si>
  <si>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</si>
  <si>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</si>
  <si>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</si>
  <si>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</si>
  <si>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</si>
  <si>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</si>
  <si>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</si>
  <si>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</si>
  <si>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</si>
  <si>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</si>
  <si>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</si>
  <si>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</si>
  <si>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</si>
  <si>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</si>
  <si>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</si>
  <si>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</si>
  <si>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</si>
  <si>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</si>
  <si>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</si>
  <si>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</si>
  <si>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</si>
  <si>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</si>
  <si>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</si>
  <si>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</si>
  <si>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</si>
  <si>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</si>
  <si>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</si>
  <si>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</si>
  <si>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</si>
  <si>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</si>
  <si>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</si>
  <si>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</si>
  <si>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</si>
  <si>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</si>
  <si>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</si>
  <si>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</si>
  <si>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</si>
  <si>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</si>
  <si>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</si>
  <si>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</si>
  <si>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</si>
  <si>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</si>
  <si>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</si>
  <si>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</si>
  <si>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</si>
  <si>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</si>
  <si>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</si>
  <si>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</si>
  <si>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</si>
  <si>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</si>
  <si>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</si>
  <si>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</si>
  <si>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</si>
  <si>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</si>
  <si>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</si>
  <si>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</si>
  <si>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</si>
  <si>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</si>
  <si>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</si>
  <si>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</si>
  <si>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</si>
  <si>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</si>
  <si>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</si>
  <si>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</si>
  <si>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</si>
  <si>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</si>
  <si>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</si>
  <si>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</si>
  <si>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</si>
  <si>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</si>
  <si>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</si>
  <si>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</si>
  <si>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</si>
  <si>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</si>
  <si>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</si>
  <si>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</si>
  <si>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</si>
  <si>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</si>
  <si>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</si>
  <si>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</si>
  <si>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</si>
  <si>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</si>
  <si>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</si>
  <si>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</si>
  <si>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</si>
  <si>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</si>
  <si>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</si>
  <si>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</si>
  <si>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</si>
  <si>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</si>
  <si>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</si>
  <si>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</si>
  <si>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</si>
  <si>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</si>
  <si>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</si>
  <si>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</si>
  <si>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</si>
  <si>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</si>
  <si>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</si>
  <si>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</si>
  <si>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</si>
  <si>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</si>
  <si>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</si>
  <si>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</si>
  <si>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</si>
  <si>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</si>
  <si>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</si>
  <si>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</si>
  <si>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</si>
  <si>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</si>
  <si>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</si>
  <si>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</si>
  <si>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</si>
  <si>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</si>
  <si>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</si>
  <si>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</si>
  <si>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</si>
  <si>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</si>
  <si>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</si>
  <si>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</si>
  <si>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</si>
  <si>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</si>
  <si>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</si>
  <si>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</si>
  <si>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</si>
  <si>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</si>
  <si>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</si>
  <si>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</si>
  <si>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</si>
  <si>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</si>
  <si>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</si>
  <si>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</si>
  <si>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BAYSTARS</t>
    <phoneticPr fontId="1"/>
  </si>
  <si>
    <t>FIGHTERS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</si>
</sst>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176" formatCode=".000"/>
  </numFmts>
  <fonts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1" borderId="4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7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4" fillId="28" borderId="4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23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18" fillId="31" borderId="4" xfId="0" applyFont="1" applyFill="1" applyBorder="1" applyAlignment="1">
      <alignment horizontal="center" vertical="center"/>
    </xf>
    <xf numFmtId="0" fontId="24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5" borderId="4" xfId="0" applyFont="1" applyFill="1" applyBorder="1" applyAlignment="1">
      <alignment horizontal="center" vertical="center"/>
    </xf>
    <xf numFmtId="0" fontId="8" fillId="36" borderId="4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28" fillId="41" borderId="4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71FF"/>
      <color rgb="FFE6E6E6"/>
      <color rgb="FFF6AB00"/>
      <color rgb="FF870011"/>
      <color rgb="FF60000B"/>
      <color rgb="FFB8A536"/>
      <color rgb="FF00037A"/>
      <color rgb="FF000121"/>
      <color rgb="FF00408E"/>
      <color rgb="FF001F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sheetViews>
    <sheetView tabSelected="1" zoomScaleNormal="100" workbookViewId="0">
      <selection activeCell="H20" sqref="H20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t="s" s="2">
        <v>875</v>
      </c>
      <c r="E3" t="s" s="2">
        <v>876</v>
      </c>
      <c r="P3" t="s" s="2">
        <v>875</v>
      </c>
      <c r="Q3" t="s" s="2">
        <v>876</v>
      </c>
    </row>
    <row r="4" spans="2:18" ht="13.2" customHeight="1" x14ac:dyDescent="0.2">
      <c r="B4" t="s" s="107">
        <v>844</v>
      </c>
      <c r="C4" t="s" s="2">
        <v>846</v>
      </c>
      <c r="D4" t="s" s="83">
        <v>850</v>
      </c>
      <c r="E4" t="s" s="67">
        <v>850</v>
      </c>
      <c r="G4" t="s" s="110">
        <v>864</v>
      </c>
      <c r="H4" t="s" s="2">
        <v>846</v>
      </c>
      <c r="I4" t="s" s="40">
        <v>865</v>
      </c>
      <c r="K4" t="s" s="3">
        <v>870</v>
      </c>
      <c r="L4" t="s" s="3">
        <v>2008</v>
      </c>
      <c r="N4" t="s" s="118">
        <v>844</v>
      </c>
      <c r="O4" t="s" s="44">
        <v>877</v>
      </c>
      <c r="P4" s="3">
        <f>textcolor(D4)</f>
      </c>
      <c r="Q4" s="3">
        <f>textcolor(E4)</f>
      </c>
      <c r="R4" t="s">
        <v>890</v>
      </c>
    </row>
    <row r="5" spans="2:18" x14ac:dyDescent="0.2">
      <c r="B5" s="108"/>
      <c r="C5" t="s" s="2">
        <v>847</v>
      </c>
      <c r="D5" s="79"/>
      <c r="E5" s="66"/>
      <c r="G5" s="117"/>
      <c r="H5" t="s" s="2">
        <v>847</v>
      </c>
      <c r="I5" s="37"/>
      <c r="K5" t="s" s="3">
        <v>888</v>
      </c>
      <c r="L5" t="s" s="3">
        <v>2044</v>
      </c>
      <c r="N5" s="119"/>
      <c r="O5" t="s" s="44">
        <v>884</v>
      </c>
      <c r="P5" s="3">
        <f>BackGroundColor(D4,D5,D6,D7,D8,FALSE)</f>
      </c>
      <c r="Q5" s="3">
        <f>BackGroundColor(E4,E5,E6,E7,E8,FALSE)</f>
      </c>
      <c r="R5" t="s">
        <v>890</v>
      </c>
    </row>
    <row r="6" spans="2:18" x14ac:dyDescent="0.2">
      <c r="B6" s="108"/>
      <c r="C6" t="s" s="2">
        <v>842</v>
      </c>
      <c r="D6" t="s" s="2">
        <v>843</v>
      </c>
      <c r="E6" t="s" s="2">
        <v>843</v>
      </c>
      <c r="G6" s="117"/>
      <c r="H6" t="s" s="2">
        <v>842</v>
      </c>
      <c r="I6" s="2"/>
      <c r="K6" t="s" s="3">
        <v>903</v>
      </c>
      <c r="L6" s="43">
        <f>GetLastRow(L4)</f>
      </c>
      <c r="N6" t="s" s="111">
        <v>861</v>
      </c>
      <c r="O6" t="s" s="44">
        <v>877</v>
      </c>
      <c r="P6" s="3">
        <f>textcolor(D9)</f>
      </c>
      <c r="Q6" s="3">
        <f>textcolor(E9)</f>
      </c>
      <c r="R6" t="s">
        <v>890</v>
      </c>
    </row>
    <row r="7" spans="2:18" x14ac:dyDescent="0.2">
      <c r="B7" s="108"/>
      <c r="C7" t="s" s="2">
        <v>851</v>
      </c>
      <c r="D7" s="34">
        <v>0.4</v>
      </c>
      <c r="E7" s="34">
        <v>0.4</v>
      </c>
      <c r="G7" s="117"/>
      <c r="H7" t="s" s="2">
        <v>851</v>
      </c>
      <c r="I7" s="34"/>
      <c r="K7" t="s" s="3">
        <v>871</v>
      </c>
      <c r="L7" t="s" s="3">
        <v>872</v>
      </c>
      <c r="N7" s="112"/>
      <c r="O7" t="s" s="44">
        <v>884</v>
      </c>
      <c r="P7" s="3">
        <f>BackGroundColor(D9,D10,D11,D12,D13,FALSE)</f>
      </c>
      <c r="Q7" s="3">
        <f>BackGroundColor(E9,E10,E11,E12,E13,FALSE)</f>
      </c>
      <c r="R7" t="s">
        <v>890</v>
      </c>
    </row>
    <row r="8" spans="2:18" x14ac:dyDescent="0.2">
      <c r="B8" s="109"/>
      <c r="C8" t="s" s="2">
        <v>852</v>
      </c>
      <c r="D8" s="34">
        <v>0.6</v>
      </c>
      <c r="E8" s="34">
        <v>0.6</v>
      </c>
      <c r="G8" s="117"/>
      <c r="H8" t="s" s="2">
        <v>852</v>
      </c>
      <c r="I8" s="34"/>
      <c r="K8" t="s" s="3">
        <v>889</v>
      </c>
      <c r="L8" t="s" s="3">
        <v>2045</v>
      </c>
      <c r="N8" t="s" s="48">
        <v>845</v>
      </c>
      <c r="O8" t="s" s="44">
        <v>887</v>
      </c>
      <c r="P8" s="3">
        <f>BackGroundColorSingle(D14)</f>
      </c>
      <c r="Q8" s="3">
        <f t="shared" ref="Q8:Q10" si="0">BackGroundColorSingle(E14)</f>
      </c>
      <c r="R8" t="s">
        <v>890</v>
      </c>
    </row>
    <row r="9" spans="2:18" x14ac:dyDescent="0.2">
      <c r="B9" t="s" s="107">
        <v>861</v>
      </c>
      <c r="C9" t="s" s="2">
        <v>846</v>
      </c>
      <c r="D9" t="s" s="29">
        <v>850</v>
      </c>
      <c r="E9" t="s" s="29">
        <v>850</v>
      </c>
      <c r="G9" t="s" s="110">
        <v>866</v>
      </c>
      <c r="H9" t="s" s="2">
        <v>846</v>
      </c>
      <c r="I9" t="s" s="41">
        <v>865</v>
      </c>
      <c r="K9" t="s" s="3">
        <v>904</v>
      </c>
      <c r="L9" s="43">
        <f>GetLastRow(L7)</f>
      </c>
      <c r="N9" t="s" s="48">
        <v>895</v>
      </c>
      <c r="O9" t="s" s="44">
        <v>887</v>
      </c>
      <c r="P9" s="3">
        <f>BackGroundColorSingle(D15)</f>
      </c>
      <c r="Q9" s="3">
        <f t="shared" si="0"/>
      </c>
      <c r="R9" t="s">
        <v>890</v>
      </c>
    </row>
    <row r="10" spans="2:18" x14ac:dyDescent="0.2">
      <c r="B10" s="108"/>
      <c r="C10" t="s" s="2">
        <v>847</v>
      </c>
      <c r="D10" s="37"/>
      <c r="E10" s="37"/>
      <c r="G10" s="117"/>
      <c r="H10" t="s" s="2">
        <v>847</v>
      </c>
      <c r="I10" s="37"/>
      <c r="K10" t="s" s="3">
        <v>873</v>
      </c>
      <c r="L10" s="43">
        <v>9</v>
      </c>
      <c r="N10" t="s" s="48">
        <v>894</v>
      </c>
      <c r="O10" t="s" s="44">
        <v>887</v>
      </c>
      <c r="P10" s="3">
        <f>BackGroundColorSingle(D16)</f>
      </c>
      <c r="Q10" s="3">
        <f t="shared" si="0"/>
      </c>
      <c r="R10" t="s">
        <v>890</v>
      </c>
    </row>
    <row r="11" spans="2:18" x14ac:dyDescent="0.2">
      <c r="B11" s="108"/>
      <c r="C11" t="s" s="2">
        <v>842</v>
      </c>
      <c r="D11" s="2"/>
      <c r="E11" s="2"/>
      <c r="G11" s="117"/>
      <c r="H11" t="s" s="2">
        <v>842</v>
      </c>
      <c r="I11" s="2"/>
      <c r="K11" t="s" s="3">
        <v>874</v>
      </c>
      <c r="L11" t="s" s="3">
        <v>2043</v>
      </c>
      <c r="N11" t="s" s="118">
        <v>848</v>
      </c>
      <c r="O11" t="s" s="44">
        <v>877</v>
      </c>
      <c r="P11" s="3">
        <f>textcolor(D17)</f>
      </c>
      <c r="Q11" s="3">
        <f>textcolor(E16)</f>
      </c>
      <c r="R11" t="s">
        <v>890</v>
      </c>
    </row>
    <row r="12" spans="2:18" x14ac:dyDescent="0.2">
      <c r="B12" s="108"/>
      <c r="C12" t="s" s="2">
        <v>851</v>
      </c>
      <c r="D12" s="34"/>
      <c r="E12" s="34"/>
      <c r="G12" s="117"/>
      <c r="H12" t="s" s="2">
        <v>851</v>
      </c>
      <c r="I12" s="34"/>
      <c r="K12" t="s" s="3">
        <v>901</v>
      </c>
      <c r="L12" t="s" s="3">
        <v>902</v>
      </c>
      <c r="N12" s="119"/>
      <c r="O12" t="s" s="44">
        <v>884</v>
      </c>
      <c r="P12" s="3">
        <f>BackGroundColor(D17,D18,D19,D20,D21,FALSE)</f>
      </c>
      <c r="Q12" s="3">
        <f>BackGroundColor(E17,E18,E19,E20,E21,FALSE)</f>
      </c>
      <c r="R12" t="s">
        <v>890</v>
      </c>
    </row>
    <row r="13" spans="2:18" x14ac:dyDescent="0.2">
      <c r="B13" s="109"/>
      <c r="C13" t="s" s="2">
        <v>852</v>
      </c>
      <c r="D13" s="34"/>
      <c r="E13" s="34"/>
      <c r="G13" s="117"/>
      <c r="H13" t="s" s="2">
        <v>852</v>
      </c>
      <c r="I13" s="34"/>
      <c r="N13" t="s" s="118">
        <v>849</v>
      </c>
      <c r="O13" t="s" s="44">
        <v>877</v>
      </c>
      <c r="P13" s="3">
        <f>textcolor(D22)</f>
      </c>
      <c r="Q13" s="3">
        <f>textcolor(E22)</f>
      </c>
      <c r="R13" t="s">
        <v>890</v>
      </c>
    </row>
    <row r="14" spans="2:18" ht="13.2" customHeight="1" x14ac:dyDescent="0.2">
      <c r="B14" t="s" s="28">
        <v>845</v>
      </c>
      <c r="C14" t="s" s="2">
        <v>887</v>
      </c>
      <c r="D14" s="84"/>
      <c r="E14" s="36"/>
      <c r="G14" t="s" s="110">
        <v>867</v>
      </c>
      <c r="H14" t="s" s="2">
        <v>846</v>
      </c>
      <c r="I14" t="s" s="38">
        <v>865</v>
      </c>
      <c r="N14" s="119"/>
      <c r="O14" t="s" s="44">
        <v>884</v>
      </c>
      <c r="P14" s="3">
        <f>BackGroundColor(D22,D23,D24,D25,D26,TRUE)</f>
      </c>
      <c r="Q14" s="3">
        <f>BackGroundColor(E22,E23,E24,E25,E26,TRUE)</f>
      </c>
      <c r="R14" t="s">
        <v>890</v>
      </c>
    </row>
    <row r="15" spans="2:18" ht="13.2" customHeight="1" x14ac:dyDescent="0.2">
      <c r="B15" t="s" s="28">
        <v>895</v>
      </c>
      <c r="C15" t="s" s="2">
        <v>887</v>
      </c>
      <c r="D15" s="52"/>
      <c r="E15" s="52"/>
      <c r="G15" s="117"/>
      <c r="H15" t="s" s="2">
        <v>847</v>
      </c>
      <c r="I15" s="37"/>
      <c r="N15" t="s" s="118">
        <v>854</v>
      </c>
      <c r="O15" t="s" s="44">
        <v>877</v>
      </c>
      <c r="P15" s="3">
        <f>textcolor(D27)</f>
      </c>
      <c r="Q15" s="3">
        <f>textcolor(E27)</f>
      </c>
      <c r="R15" t="s">
        <v>890</v>
      </c>
    </row>
    <row r="16" spans="2:18" x14ac:dyDescent="0.2">
      <c r="B16" t="s" s="28">
        <v>894</v>
      </c>
      <c r="C16" t="s" s="2">
        <v>887</v>
      </c>
      <c r="D16" s="51"/>
      <c r="E16" s="51"/>
      <c r="G16" s="117"/>
      <c r="H16" t="s" s="2">
        <v>842</v>
      </c>
      <c r="I16" s="2"/>
      <c r="N16" s="119"/>
      <c r="O16" t="s" s="44">
        <v>884</v>
      </c>
      <c r="P16" s="3">
        <f>BackGroundColor(D27,D28,D29,D30,D31,FALSE)</f>
      </c>
      <c r="Q16" s="3">
        <f>BackGroundColor(E27,E28,E29,E30,E31,FALSE)</f>
      </c>
      <c r="R16" t="s">
        <v>890</v>
      </c>
    </row>
    <row r="17" spans="2:18" x14ac:dyDescent="0.2">
      <c r="B17" t="s" s="107">
        <v>848</v>
      </c>
      <c r="C17" t="s" s="2">
        <v>846</v>
      </c>
      <c r="D17" t="s" s="29">
        <v>856</v>
      </c>
      <c r="E17" t="s" s="29">
        <v>856</v>
      </c>
      <c r="G17" s="117"/>
      <c r="H17" t="s" s="2">
        <v>851</v>
      </c>
      <c r="I17" s="34"/>
      <c r="N17" t="s" s="118">
        <v>855</v>
      </c>
      <c r="O17" t="s" s="44">
        <v>877</v>
      </c>
      <c r="P17" s="3">
        <f>textcolor(D32)</f>
      </c>
      <c r="Q17" s="3">
        <f>textcolor(E32)</f>
      </c>
      <c r="R17" t="s">
        <v>890</v>
      </c>
    </row>
    <row r="18" spans="2:18" x14ac:dyDescent="0.2">
      <c r="B18" s="108"/>
      <c r="C18" t="s" s="2">
        <v>847</v>
      </c>
      <c r="D18" s="30"/>
      <c r="E18" s="30"/>
      <c r="G18" s="117"/>
      <c r="H18" t="s" s="2">
        <v>852</v>
      </c>
      <c r="I18" s="34"/>
      <c r="N18" s="119"/>
      <c r="O18" t="s" s="44">
        <v>884</v>
      </c>
      <c r="P18" s="3">
        <f>BackGroundColor(D27,D28,D29,D30,D31,FALSE)</f>
      </c>
      <c r="Q18" s="3">
        <f>BackGroundColor(E27,E28,E29,E30,E31,FALSE)</f>
      </c>
      <c r="R18" t="s">
        <v>890</v>
      </c>
    </row>
    <row r="19" spans="2:18" x14ac:dyDescent="0.2">
      <c r="B19" s="108"/>
      <c r="C19" t="s" s="2">
        <v>842</v>
      </c>
      <c r="D19" t="s" s="2">
        <v>843</v>
      </c>
      <c r="E19" t="s" s="2">
        <v>843</v>
      </c>
      <c r="G19" t="s" s="110">
        <v>885</v>
      </c>
      <c r="H19" t="s" s="2">
        <v>846</v>
      </c>
      <c r="I19" s="64">
        <v>1</v>
      </c>
      <c r="N19" t="s" s="118">
        <v>857</v>
      </c>
      <c r="O19" t="s" s="44">
        <v>877</v>
      </c>
      <c r="P19" s="3">
        <f>textcolor(D37)</f>
      </c>
      <c r="Q19" s="3">
        <f>textcolor(E37)</f>
      </c>
      <c r="R19" t="s">
        <v>890</v>
      </c>
    </row>
    <row r="20" spans="2:18" ht="13.2" customHeight="1" x14ac:dyDescent="0.2">
      <c r="B20" s="108"/>
      <c r="C20" t="s" s="2">
        <v>851</v>
      </c>
      <c r="D20" s="34">
        <v>0.4</v>
      </c>
      <c r="E20" s="34">
        <v>0.4</v>
      </c>
      <c r="G20" s="117"/>
      <c r="H20" t="s" s="2">
        <v>847</v>
      </c>
      <c r="I20" s="37"/>
      <c r="N20" s="119"/>
      <c r="O20" t="s" s="44">
        <v>884</v>
      </c>
      <c r="P20" s="3">
        <f>BackGroundColor(D37,D38,D39,D40,D41,FALSE)</f>
      </c>
      <c r="Q20" s="3">
        <f>BackGroundColor(E37,E38,E39,E40,E41,FALSE)</f>
      </c>
      <c r="R20" t="s">
        <v>890</v>
      </c>
    </row>
    <row r="21" spans="2:18" x14ac:dyDescent="0.2">
      <c r="B21" s="109"/>
      <c r="C21" t="s" s="2">
        <v>852</v>
      </c>
      <c r="D21" s="34">
        <v>0.6</v>
      </c>
      <c r="E21" s="34">
        <v>0.6</v>
      </c>
      <c r="G21" s="117"/>
      <c r="H21" t="s" s="2">
        <v>842</v>
      </c>
      <c r="I21" s="2"/>
      <c r="N21" t="s" s="118">
        <v>858</v>
      </c>
      <c r="O21" t="s" s="44">
        <v>877</v>
      </c>
      <c r="P21" s="3">
        <f>textcolor(D42)</f>
      </c>
      <c r="Q21" s="3">
        <f>textcolor(E42)</f>
      </c>
      <c r="R21" t="s">
        <v>890</v>
      </c>
    </row>
    <row r="22" spans="2:18" x14ac:dyDescent="0.2">
      <c r="B22" t="s" s="110">
        <v>849</v>
      </c>
      <c r="C22" t="s" s="2">
        <v>846</v>
      </c>
      <c r="D22" t="s" s="53">
        <v>853</v>
      </c>
      <c r="E22" t="s" s="53">
        <v>853</v>
      </c>
      <c r="G22" s="117"/>
      <c r="H22" t="s" s="2">
        <v>851</v>
      </c>
      <c r="I22" s="34"/>
      <c r="N22" s="119"/>
      <c r="O22" t="s" s="44">
        <v>884</v>
      </c>
      <c r="P22" s="3">
        <f>BackGroundColor(D42,D43,D44,D45,D46,TRUE)</f>
      </c>
      <c r="Q22" s="3">
        <f>BackGroundColor(E42,E43,E44,E45,E46,TRUE)</f>
      </c>
      <c r="R22" t="s">
        <v>890</v>
      </c>
    </row>
    <row r="23" spans="2:18" x14ac:dyDescent="0.2">
      <c r="B23" s="110"/>
      <c r="C23" t="s" s="2">
        <v>847</v>
      </c>
      <c r="D23" t="s" s="35">
        <v>853</v>
      </c>
      <c r="E23" t="s" s="35">
        <v>853</v>
      </c>
      <c r="G23" s="117"/>
      <c r="H23" t="s" s="2">
        <v>852</v>
      </c>
      <c r="I23" s="34"/>
      <c r="N23" t="s" s="118">
        <v>893</v>
      </c>
      <c r="O23" t="s" s="44">
        <v>877</v>
      </c>
      <c r="P23" s="3">
        <f>textcolor(D47)</f>
      </c>
      <c r="Q23" s="3">
        <f>textcolor(E47)</f>
      </c>
      <c r="R23" t="s">
        <v>890</v>
      </c>
    </row>
    <row r="24" spans="2:18" x14ac:dyDescent="0.2">
      <c r="B24" s="110"/>
      <c r="C24" t="s" s="2">
        <v>842</v>
      </c>
      <c r="D24" s="2"/>
      <c r="E24" s="2"/>
      <c r="G24" t="s" s="110">
        <v>868</v>
      </c>
      <c r="H24" t="s" s="2">
        <v>846</v>
      </c>
      <c r="I24" t="s" s="39">
        <v>869</v>
      </c>
      <c r="N24" s="119"/>
      <c r="O24" t="s" s="44">
        <v>884</v>
      </c>
      <c r="P24" s="3">
        <f>BackGroundColor(D47,D48,D49,D50,D51,FALSE)</f>
      </c>
      <c r="Q24" s="3">
        <f>BackGroundColor(E47,E48,E49,E50,E51,FALSE)</f>
      </c>
      <c r="R24" t="s">
        <v>890</v>
      </c>
    </row>
    <row r="25" spans="2:18" ht="13.2" customHeight="1" x14ac:dyDescent="0.2">
      <c r="B25" s="110"/>
      <c r="C25" t="s" s="2">
        <v>851</v>
      </c>
      <c r="D25" s="34"/>
      <c r="E25" s="34"/>
      <c r="G25" s="117"/>
      <c r="H25" t="s" s="2">
        <v>847</v>
      </c>
      <c r="I25" s="37"/>
      <c r="N25" t="s" s="118">
        <v>892</v>
      </c>
      <c r="O25" t="s" s="44">
        <v>877</v>
      </c>
      <c r="P25" s="3">
        <f>textcolor(D52)</f>
      </c>
      <c r="Q25" s="3">
        <f>textcolor(E52)</f>
      </c>
      <c r="R25" t="s">
        <v>890</v>
      </c>
    </row>
    <row r="26" spans="2:18" x14ac:dyDescent="0.2">
      <c r="B26" s="110"/>
      <c r="C26" t="s" s="2">
        <v>852</v>
      </c>
      <c r="D26" s="34"/>
      <c r="E26" s="34"/>
      <c r="G26" s="117"/>
      <c r="H26" t="s" s="2">
        <v>842</v>
      </c>
      <c r="I26" s="2"/>
      <c r="N26" s="119"/>
      <c r="O26" t="s" s="44">
        <v>884</v>
      </c>
      <c r="P26" s="3">
        <f>BackGroundColor(D52,D53,D54,D55,D56,TRUE)</f>
      </c>
      <c r="Q26" s="3">
        <f>BackGroundColor(E52,E53,E54,E55,E56,TRUE)</f>
      </c>
      <c r="R26" t="s">
        <v>890</v>
      </c>
    </row>
    <row r="27" spans="2:18" x14ac:dyDescent="0.2">
      <c r="B27" t="s" s="107">
        <v>854</v>
      </c>
      <c r="C27" t="s" s="2">
        <v>846</v>
      </c>
      <c r="D27" t="s" s="83">
        <v>856</v>
      </c>
      <c r="E27" t="s" s="65">
        <v>856</v>
      </c>
      <c r="G27" s="117"/>
      <c r="H27" t="s" s="2">
        <v>851</v>
      </c>
      <c r="I27" s="34"/>
      <c r="N27" t="s" s="120">
        <v>859</v>
      </c>
      <c r="O27" t="s" s="44">
        <v>877</v>
      </c>
      <c r="P27" s="3">
        <f>textcolor(D57)</f>
      </c>
      <c r="Q27" s="3">
        <f>textcolor(E57)</f>
      </c>
      <c r="R27" t="s">
        <v>890</v>
      </c>
    </row>
    <row r="28" spans="2:18" x14ac:dyDescent="0.2">
      <c r="B28" s="108"/>
      <c r="C28" t="s" s="2">
        <v>847</v>
      </c>
      <c r="D28" s="79"/>
      <c r="E28" s="105"/>
      <c r="G28" s="117"/>
      <c r="H28" t="s" s="2">
        <v>852</v>
      </c>
      <c r="I28" s="34"/>
      <c r="N28" s="121"/>
      <c r="O28" t="s" s="44">
        <v>884</v>
      </c>
      <c r="P28" s="3">
        <f>BackGroundColor(D57,D58,D59,D60,D61,TRUE)</f>
      </c>
      <c r="Q28" s="3">
        <f>BackGroundColor(E57,E58,E59,E60,E61,TRUE)</f>
      </c>
      <c r="R28" t="s">
        <v>890</v>
      </c>
    </row>
    <row r="29" spans="2:18" x14ac:dyDescent="0.2">
      <c r="B29" s="108"/>
      <c r="C29" t="s" s="2">
        <v>842</v>
      </c>
      <c r="D29" t="s" s="2">
        <v>843</v>
      </c>
      <c r="E29" t="s" s="2">
        <v>843</v>
      </c>
      <c r="G29" t="s" s="107">
        <v>884</v>
      </c>
      <c r="H29" t="s" s="2">
        <v>846</v>
      </c>
      <c r="I29" s="42"/>
      <c r="N29" t="s" s="113">
        <v>862</v>
      </c>
      <c r="O29" t="s" s="44">
        <v>877</v>
      </c>
      <c r="P29" s="3">
        <f>textcolor(D62)</f>
      </c>
      <c r="Q29" s="3">
        <f>textcolor(E62)</f>
      </c>
      <c r="R29" t="s">
        <v>890</v>
      </c>
    </row>
    <row r="30" spans="2:18" ht="13.2" customHeight="1" x14ac:dyDescent="0.2">
      <c r="B30" s="108"/>
      <c r="C30" t="s" s="2">
        <v>851</v>
      </c>
      <c r="D30" s="34">
        <v>0.4</v>
      </c>
      <c r="E30" s="34">
        <v>0.4</v>
      </c>
      <c r="G30" s="108"/>
      <c r="H30" t="s" s="2">
        <v>847</v>
      </c>
      <c r="I30" s="37"/>
      <c r="N30" s="114"/>
      <c r="O30" t="s" s="44">
        <v>884</v>
      </c>
      <c r="P30" s="3">
        <f>BackGroundColor(D62,D63,D64,D65,D66,FALSE)</f>
      </c>
      <c r="Q30" s="3">
        <f>BackGroundColor(E62,E63,E64,E65,E66,FALSE)</f>
      </c>
      <c r="R30" t="s">
        <v>890</v>
      </c>
    </row>
    <row r="31" spans="2:18" x14ac:dyDescent="0.2">
      <c r="B31" s="109"/>
      <c r="C31" t="s" s="2">
        <v>852</v>
      </c>
      <c r="D31" s="34">
        <v>0.6</v>
      </c>
      <c r="E31" s="34">
        <v>0.6</v>
      </c>
      <c r="G31" s="108"/>
      <c r="H31" t="s" s="2">
        <v>842</v>
      </c>
      <c r="I31" s="2"/>
      <c r="N31" t="s" s="113">
        <v>863</v>
      </c>
      <c r="O31" t="s" s="44">
        <v>877</v>
      </c>
      <c r="P31" s="3">
        <f>textcolor(D67)</f>
      </c>
      <c r="Q31" s="3">
        <f>textcolor(E67)</f>
      </c>
      <c r="R31" t="s">
        <v>890</v>
      </c>
    </row>
    <row r="32" spans="2:18" x14ac:dyDescent="0.2">
      <c r="B32" t="s" s="110">
        <v>855</v>
      </c>
      <c r="C32" t="s" s="2">
        <v>846</v>
      </c>
      <c r="D32" t="s" s="83">
        <v>853</v>
      </c>
      <c r="E32" t="s" s="65">
        <v>853</v>
      </c>
      <c r="G32" s="108"/>
      <c r="H32" t="s" s="2">
        <v>851</v>
      </c>
      <c r="I32" s="34"/>
      <c r="N32" s="114"/>
      <c r="O32" t="s" s="44">
        <v>884</v>
      </c>
      <c r="P32" s="3">
        <f>BackGroundColor(D67,D68,D69,D70,D71,FALSE)</f>
      </c>
      <c r="Q32" s="3">
        <f>BackGroundColor(E67,E68,E69,E70,E71,FALSE)</f>
      </c>
      <c r="R32" t="s">
        <v>890</v>
      </c>
    </row>
    <row r="33" spans="2:18" x14ac:dyDescent="0.2">
      <c r="B33" s="110"/>
      <c r="C33" t="s" s="2">
        <v>847</v>
      </c>
      <c r="D33" s="79"/>
      <c r="E33" s="105"/>
      <c r="G33" s="109"/>
      <c r="H33" t="s" s="2">
        <v>852</v>
      </c>
      <c r="I33" s="34"/>
      <c r="N33" t="s" s="115">
        <v>860</v>
      </c>
      <c r="O33" t="s" s="44">
        <v>877</v>
      </c>
      <c r="P33" s="3">
        <f>textcolor(D72)</f>
      </c>
      <c r="Q33" s="3">
        <f>textcolor(E72)</f>
      </c>
      <c r="R33" t="s">
        <v>890</v>
      </c>
    </row>
    <row r="34" spans="2:18" x14ac:dyDescent="0.2">
      <c r="B34" s="110"/>
      <c r="C34" t="s" s="2">
        <v>842</v>
      </c>
      <c r="D34" t="s" s="2">
        <v>843</v>
      </c>
      <c r="E34" t="s" s="2">
        <v>843</v>
      </c>
      <c r="G34" t="s" s="2">
        <v>886</v>
      </c>
      <c r="H34" t="s" s="2">
        <v>887</v>
      </c>
      <c r="I34" s="47"/>
      <c r="N34" s="116"/>
      <c r="O34" t="s" s="44">
        <v>884</v>
      </c>
      <c r="P34" s="3">
        <f>BackGroundColor(D72,D73,D74,D75,D76,TRUE)</f>
      </c>
      <c r="Q34" s="3">
        <f>BackGroundColor(E72,E73,E74,E75,E76,TRUE)</f>
      </c>
      <c r="R34" t="s">
        <v>890</v>
      </c>
    </row>
    <row r="35" spans="2:18" ht="13.2" customHeight="1" x14ac:dyDescent="0.2">
      <c r="B35" s="110"/>
      <c r="C35" t="s" s="2">
        <v>851</v>
      </c>
      <c r="D35" s="34">
        <v>0.4</v>
      </c>
      <c r="E35" s="34">
        <v>0.4</v>
      </c>
      <c r="G35" t="s" s="2">
        <v>896</v>
      </c>
      <c r="H35" t="s" s="2">
        <v>887</v>
      </c>
      <c r="I35" s="52"/>
      <c r="N35" t="s" s="48">
        <v>878</v>
      </c>
      <c r="O35" t="s" s="44">
        <v>877</v>
      </c>
      <c r="P35" s="3">
        <f>textcolor(D77)</f>
      </c>
      <c r="Q35" s="3">
        <f>textcolor(E77)</f>
      </c>
      <c r="R35" t="s">
        <v>890</v>
      </c>
    </row>
    <row r="36" spans="2:18" x14ac:dyDescent="0.2">
      <c r="B36" s="110"/>
      <c r="C36" t="s" s="2">
        <v>852</v>
      </c>
      <c r="D36" s="34">
        <v>0.6</v>
      </c>
      <c r="E36" s="34">
        <v>0.6</v>
      </c>
      <c r="G36" t="s" s="107">
        <v>897</v>
      </c>
      <c r="H36" t="s" s="2">
        <v>846</v>
      </c>
      <c r="I36" t="s" s="39">
        <v>856</v>
      </c>
      <c r="N36" t="s" s="111">
        <v>880</v>
      </c>
      <c r="O36" t="s" s="44">
        <v>877</v>
      </c>
      <c r="P36" s="3">
        <f>textcolor(I4)</f>
      </c>
      <c r="Q36" t="s">
        <v>890</v>
      </c>
      <c r="R36" t="s">
        <v>890</v>
      </c>
    </row>
    <row r="37" spans="2:18" x14ac:dyDescent="0.2">
      <c r="B37" t="s" s="107">
        <v>857</v>
      </c>
      <c r="C37" t="s" s="2">
        <v>846</v>
      </c>
      <c r="D37" t="s" s="29">
        <v>856</v>
      </c>
      <c r="E37" t="s" s="29">
        <v>856</v>
      </c>
      <c r="G37" s="108"/>
      <c r="H37" t="s" s="2">
        <v>847</v>
      </c>
      <c r="I37" s="37"/>
      <c r="N37" s="112"/>
      <c r="O37" t="s" s="44">
        <v>884</v>
      </c>
      <c r="P37" s="3">
        <f>BackGroundColor(I4,I5,I6,I7,I8,TRUE)</f>
      </c>
      <c r="Q37" t="s">
        <v>890</v>
      </c>
    </row>
    <row r="38" spans="2:18" x14ac:dyDescent="0.2">
      <c r="B38" s="108"/>
      <c r="C38" t="s" s="2">
        <v>847</v>
      </c>
      <c r="D38" s="30"/>
      <c r="E38" s="30"/>
      <c r="G38" s="108"/>
      <c r="H38" t="s" s="2">
        <v>842</v>
      </c>
      <c r="I38" s="2"/>
      <c r="N38" t="s" s="111">
        <v>881</v>
      </c>
      <c r="O38" t="s" s="44">
        <v>877</v>
      </c>
      <c r="P38" s="3">
        <f>textcolor(I9)</f>
      </c>
      <c r="Q38" t="s">
        <v>890</v>
      </c>
    </row>
    <row r="39" spans="2:18" x14ac:dyDescent="0.2">
      <c r="B39" s="108"/>
      <c r="C39" t="s" s="2">
        <v>842</v>
      </c>
      <c r="D39" t="s" s="2">
        <v>843</v>
      </c>
      <c r="E39" t="s" s="2">
        <v>843</v>
      </c>
      <c r="G39" s="108"/>
      <c r="H39" t="s" s="2">
        <v>851</v>
      </c>
      <c r="I39" s="34"/>
      <c r="N39" s="112"/>
      <c r="O39" t="s" s="44">
        <v>884</v>
      </c>
      <c r="P39" s="3">
        <f>BackGroundColor(I9,I10,I11,I12,I13,TRUE)</f>
      </c>
      <c r="Q39" t="s">
        <v>890</v>
      </c>
    </row>
    <row r="40" spans="2:18" ht="13.2" customHeight="1" x14ac:dyDescent="0.2">
      <c r="B40" s="108"/>
      <c r="C40" t="s" s="2">
        <v>851</v>
      </c>
      <c r="D40" s="34">
        <v>0.4</v>
      </c>
      <c r="E40" s="34">
        <v>0.4</v>
      </c>
      <c r="G40" s="109"/>
      <c r="H40" t="s" s="2">
        <v>852</v>
      </c>
      <c r="I40" s="34"/>
      <c r="N40" t="s" s="111">
        <v>882</v>
      </c>
      <c r="O40" t="s" s="44">
        <v>877</v>
      </c>
      <c r="P40" s="3">
        <f>textcolor(I14)</f>
      </c>
      <c r="Q40" t="s">
        <v>890</v>
      </c>
    </row>
    <row r="41" spans="2:18" x14ac:dyDescent="0.2">
      <c r="B41" s="109"/>
      <c r="C41" t="s" s="2">
        <v>852</v>
      </c>
      <c r="D41" s="34">
        <v>0.6</v>
      </c>
      <c r="E41" s="34">
        <v>0.6</v>
      </c>
      <c r="G41" t="s" s="110">
        <v>898</v>
      </c>
      <c r="H41" t="s" s="2">
        <v>846</v>
      </c>
      <c r="I41" t="s" s="53">
        <v>853</v>
      </c>
      <c r="N41" s="112"/>
      <c r="O41" t="s" s="44">
        <v>884</v>
      </c>
      <c r="P41" s="3">
        <f>BackGroundColor(I14,I15,I16,I17,I18,TRUE)</f>
      </c>
      <c r="Q41" t="s">
        <v>890</v>
      </c>
    </row>
    <row r="42" spans="2:18" x14ac:dyDescent="0.2">
      <c r="B42" t="s" s="110">
        <v>858</v>
      </c>
      <c r="C42" t="s" s="2">
        <v>846</v>
      </c>
      <c r="D42" t="s" s="54">
        <v>853</v>
      </c>
      <c r="E42" t="s" s="54">
        <v>853</v>
      </c>
      <c r="G42" s="110"/>
      <c r="H42" t="s" s="2">
        <v>847</v>
      </c>
      <c r="I42" s="37"/>
      <c r="N42" t="s" s="111">
        <v>891</v>
      </c>
      <c r="O42" t="s" s="44">
        <v>877</v>
      </c>
      <c r="P42" s="3">
        <f>textcolor(I19)</f>
      </c>
      <c r="Q42" t="s">
        <v>890</v>
      </c>
    </row>
    <row r="43" spans="2:18" x14ac:dyDescent="0.2">
      <c r="B43" s="110"/>
      <c r="C43" t="s" s="2">
        <v>847</v>
      </c>
      <c r="D43" t="s" s="31">
        <v>853</v>
      </c>
      <c r="E43" t="s" s="31">
        <v>853</v>
      </c>
      <c r="G43" s="110"/>
      <c r="H43" t="s" s="2">
        <v>842</v>
      </c>
      <c r="I43" s="2"/>
      <c r="N43" s="112"/>
      <c r="O43" t="s" s="44">
        <v>884</v>
      </c>
      <c r="P43" s="3">
        <f>BackGroundColor(I19,I20,I21,I22,I23,FALSE)</f>
      </c>
      <c r="Q43" t="s">
        <v>890</v>
      </c>
    </row>
    <row r="44" spans="2:18" x14ac:dyDescent="0.2">
      <c r="B44" s="110"/>
      <c r="C44" t="s" s="2">
        <v>842</v>
      </c>
      <c r="D44" s="2"/>
      <c r="E44" s="2"/>
      <c r="G44" s="110"/>
      <c r="H44" t="s" s="2">
        <v>851</v>
      </c>
      <c r="I44" s="34"/>
      <c r="N44" t="s" s="111">
        <v>883</v>
      </c>
      <c r="O44" t="s" s="44">
        <v>877</v>
      </c>
      <c r="P44" s="3">
        <f>textcolor(I24)</f>
      </c>
      <c r="Q44" t="s">
        <v>890</v>
      </c>
    </row>
    <row r="45" spans="2:18" ht="13.2" customHeight="1" x14ac:dyDescent="0.2">
      <c r="B45" s="110"/>
      <c r="C45" t="s" s="2">
        <v>851</v>
      </c>
      <c r="D45" s="34"/>
      <c r="E45" s="34"/>
      <c r="G45" s="110"/>
      <c r="H45" t="s" s="2">
        <v>852</v>
      </c>
      <c r="I45" s="34"/>
      <c r="N45" s="112"/>
      <c r="O45" t="s" s="44">
        <v>884</v>
      </c>
      <c r="P45" s="3">
        <f>BackGroundColor(I24,I25,I26,I27,I28,FALSE)</f>
      </c>
      <c r="Q45" t="s">
        <v>890</v>
      </c>
    </row>
    <row r="46" spans="2:18" x14ac:dyDescent="0.2">
      <c r="B46" s="110"/>
      <c r="C46" t="s" s="2">
        <v>852</v>
      </c>
      <c r="D46" s="34"/>
      <c r="E46" s="34"/>
      <c r="N46" t="s" s="50">
        <v>884</v>
      </c>
      <c r="O46" t="s" s="44">
        <v>887</v>
      </c>
      <c r="P46" s="3">
        <f>BackGroundColor(I29,I30,I31,I32,I33,FALSE)</f>
      </c>
      <c r="Q46" t="s">
        <v>890</v>
      </c>
    </row>
    <row r="47" spans="2:18" x14ac:dyDescent="0.2">
      <c r="B47" t="s" s="107">
        <v>893</v>
      </c>
      <c r="C47" t="s" s="2">
        <v>846</v>
      </c>
      <c r="D47" t="s" s="83">
        <v>856</v>
      </c>
      <c r="E47" t="s" s="65">
        <v>856</v>
      </c>
      <c r="N47" t="s" s="49">
        <v>886</v>
      </c>
      <c r="O47" t="s" s="44">
        <v>887</v>
      </c>
      <c r="P47" s="3">
        <f>BackGroundColorSingle(I34)</f>
      </c>
      <c r="Q47" t="s">
        <v>890</v>
      </c>
    </row>
    <row r="48" spans="2:18" x14ac:dyDescent="0.2">
      <c r="B48" s="108"/>
      <c r="C48" t="s" s="2">
        <v>847</v>
      </c>
      <c r="D48" s="79"/>
      <c r="E48" s="105"/>
      <c r="N48" t="s" s="49">
        <v>896</v>
      </c>
      <c r="O48" t="s" s="44">
        <v>887</v>
      </c>
      <c r="P48" s="3">
        <f>BackGroundColorSingle(I35)</f>
      </c>
      <c r="Q48" t="s">
        <v>890</v>
      </c>
    </row>
    <row r="49" spans="2:17" x14ac:dyDescent="0.2">
      <c r="B49" s="108"/>
      <c r="C49" t="s" s="2">
        <v>842</v>
      </c>
      <c r="D49" t="s" s="2">
        <v>843</v>
      </c>
      <c r="E49" t="s" s="2">
        <v>843</v>
      </c>
      <c r="N49" t="s" s="111">
        <v>899</v>
      </c>
      <c r="O49" t="s" s="44">
        <v>877</v>
      </c>
      <c r="P49" s="3">
        <f>textcolor(I36)</f>
      </c>
      <c r="Q49" t="s">
        <v>890</v>
      </c>
    </row>
    <row r="50" spans="2:17" x14ac:dyDescent="0.2">
      <c r="B50" s="108"/>
      <c r="C50" t="s" s="2">
        <v>851</v>
      </c>
      <c r="D50" s="34">
        <v>0.4</v>
      </c>
      <c r="E50" s="34">
        <v>0.4</v>
      </c>
      <c r="N50" s="112"/>
      <c r="O50" t="s" s="44">
        <v>884</v>
      </c>
      <c r="P50" s="3">
        <f>BackGroundColor(I36,I37,I38,I39,I40,FALSE)</f>
      </c>
      <c r="Q50" t="s">
        <v>890</v>
      </c>
    </row>
    <row r="51" spans="2:17" x14ac:dyDescent="0.2">
      <c r="B51" s="109"/>
      <c r="C51" t="s" s="2">
        <v>852</v>
      </c>
      <c r="D51" s="34">
        <v>0.6</v>
      </c>
      <c r="E51" s="34">
        <v>0.6</v>
      </c>
      <c r="N51" t="s" s="111">
        <v>900</v>
      </c>
      <c r="O51" t="s" s="44">
        <v>877</v>
      </c>
      <c r="P51" s="3">
        <f>textcolor(I41)</f>
      </c>
      <c r="Q51" t="s">
        <v>890</v>
      </c>
    </row>
    <row r="52" spans="2:17" x14ac:dyDescent="0.2">
      <c r="B52" t="s" s="110">
        <v>892</v>
      </c>
      <c r="C52" t="s" s="2">
        <v>846</v>
      </c>
      <c r="D52" t="s" s="53">
        <v>853</v>
      </c>
      <c r="E52" t="s" s="53">
        <v>853</v>
      </c>
      <c r="N52" s="112"/>
      <c r="O52" t="s" s="44">
        <v>884</v>
      </c>
      <c r="P52" s="3">
        <f>BackGroundColor(I41,I42,I43,I44,I45,FALSE)</f>
      </c>
      <c r="Q52" t="s">
        <v>890</v>
      </c>
    </row>
    <row r="53" spans="2:17" x14ac:dyDescent="0.2">
      <c r="B53" s="110"/>
      <c r="C53" t="s" s="2">
        <v>847</v>
      </c>
      <c r="D53" t="s" s="31">
        <v>853</v>
      </c>
      <c r="E53" t="s" s="31">
        <v>853</v>
      </c>
    </row>
    <row r="54" spans="2:17" x14ac:dyDescent="0.2">
      <c r="B54" s="110"/>
      <c r="C54" t="s" s="2">
        <v>842</v>
      </c>
      <c r="D54" s="2"/>
      <c r="E54" s="2"/>
    </row>
    <row r="55" spans="2:17" x14ac:dyDescent="0.2">
      <c r="B55" s="110"/>
      <c r="C55" t="s" s="2">
        <v>851</v>
      </c>
      <c r="D55" s="34"/>
      <c r="E55" s="34"/>
    </row>
    <row r="56" spans="2:17" x14ac:dyDescent="0.2">
      <c r="B56" s="110"/>
      <c r="C56" t="s" s="2">
        <v>852</v>
      </c>
      <c r="D56" s="34"/>
      <c r="E56" s="34"/>
    </row>
    <row r="57" spans="2:17" x14ac:dyDescent="0.2">
      <c r="B57" t="s" s="110">
        <v>859</v>
      </c>
      <c r="C57" t="s" s="2">
        <v>846</v>
      </c>
      <c r="D57" t="s" s="83">
        <v>853</v>
      </c>
      <c r="E57" t="s" s="67">
        <v>853</v>
      </c>
    </row>
    <row r="58" spans="2:17" x14ac:dyDescent="0.2">
      <c r="B58" s="110"/>
      <c r="C58" t="s" s="2">
        <v>847</v>
      </c>
      <c r="D58" s="79"/>
      <c r="E58" s="66"/>
    </row>
    <row r="59" spans="2:17" x14ac:dyDescent="0.2">
      <c r="B59" s="110"/>
      <c r="C59" t="s" s="2">
        <v>842</v>
      </c>
      <c r="D59" t="s" s="2">
        <v>843</v>
      </c>
      <c r="E59" t="s" s="2">
        <v>843</v>
      </c>
    </row>
    <row r="60" spans="2:17" x14ac:dyDescent="0.2">
      <c r="B60" s="110"/>
      <c r="C60" t="s" s="2">
        <v>851</v>
      </c>
      <c r="D60" s="34">
        <v>0.4</v>
      </c>
      <c r="E60" s="34">
        <v>0.4</v>
      </c>
    </row>
    <row r="61" spans="2:17" x14ac:dyDescent="0.2">
      <c r="B61" s="110"/>
      <c r="C61" t="s" s="2">
        <v>852</v>
      </c>
      <c r="D61" s="34">
        <v>0.6</v>
      </c>
      <c r="E61" s="34">
        <v>0.6</v>
      </c>
    </row>
    <row r="62" spans="2:17" x14ac:dyDescent="0.2">
      <c r="B62" t="s" s="110">
        <v>862</v>
      </c>
      <c r="C62" t="s" s="2">
        <v>846</v>
      </c>
      <c r="D62" t="s" s="83">
        <v>853</v>
      </c>
      <c r="E62" t="s" s="67">
        <v>853</v>
      </c>
    </row>
    <row r="63" spans="2:17" x14ac:dyDescent="0.2">
      <c r="B63" s="110"/>
      <c r="C63" t="s" s="2">
        <v>847</v>
      </c>
      <c r="D63" s="79"/>
      <c r="E63" s="66"/>
    </row>
    <row r="64" spans="2:17" x14ac:dyDescent="0.2">
      <c r="B64" s="110"/>
      <c r="C64" t="s" s="2">
        <v>842</v>
      </c>
      <c r="D64" t="s" s="2">
        <v>843</v>
      </c>
      <c r="E64" t="s" s="2">
        <v>843</v>
      </c>
    </row>
    <row r="65" spans="2:5" x14ac:dyDescent="0.2">
      <c r="B65" s="110"/>
      <c r="C65" t="s" s="2">
        <v>851</v>
      </c>
      <c r="D65" s="34">
        <v>0.4</v>
      </c>
      <c r="E65" s="34">
        <v>0.4</v>
      </c>
    </row>
    <row r="66" spans="2:5" x14ac:dyDescent="0.2">
      <c r="B66" s="110"/>
      <c r="C66" t="s" s="2">
        <v>852</v>
      </c>
      <c r="D66" s="34">
        <v>0.6</v>
      </c>
      <c r="E66" s="34">
        <v>0.6</v>
      </c>
    </row>
    <row r="67" spans="2:5" x14ac:dyDescent="0.2">
      <c r="B67" t="s" s="110">
        <v>863</v>
      </c>
      <c r="C67" t="s" s="2">
        <v>846</v>
      </c>
      <c r="D67" t="s" s="54">
        <v>853</v>
      </c>
      <c r="E67" t="s" s="54">
        <v>853</v>
      </c>
    </row>
    <row r="68" spans="2:5" x14ac:dyDescent="0.2">
      <c r="B68" s="110"/>
      <c r="C68" t="s" s="2">
        <v>847</v>
      </c>
      <c r="D68" t="s" s="31">
        <v>853</v>
      </c>
      <c r="E68" t="s" s="31">
        <v>853</v>
      </c>
    </row>
    <row r="69" spans="2:5" x14ac:dyDescent="0.2">
      <c r="B69" s="110"/>
      <c r="C69" t="s" s="2">
        <v>842</v>
      </c>
      <c r="D69" s="2"/>
      <c r="E69" s="2"/>
    </row>
    <row r="70" spans="2:5" x14ac:dyDescent="0.2">
      <c r="B70" s="110"/>
      <c r="C70" t="s" s="2">
        <v>851</v>
      </c>
      <c r="D70" s="34"/>
      <c r="E70" s="34"/>
    </row>
    <row r="71" spans="2:5" x14ac:dyDescent="0.2">
      <c r="B71" s="110"/>
      <c r="C71" t="s" s="2">
        <v>852</v>
      </c>
      <c r="D71" s="34"/>
      <c r="E71" s="34"/>
    </row>
    <row r="72" spans="2:5" x14ac:dyDescent="0.2">
      <c r="B72" t="s" s="110">
        <v>860</v>
      </c>
      <c r="C72" t="s" s="2">
        <v>846</v>
      </c>
      <c r="D72" t="s" s="83">
        <v>853</v>
      </c>
      <c r="E72" t="s" s="67">
        <v>853</v>
      </c>
    </row>
    <row r="73" spans="2:5" x14ac:dyDescent="0.2">
      <c r="B73" s="110"/>
      <c r="C73" t="s" s="2">
        <v>847</v>
      </c>
      <c r="D73" s="79"/>
      <c r="E73" s="66"/>
    </row>
    <row r="74" spans="2:5" x14ac:dyDescent="0.2">
      <c r="B74" s="110"/>
      <c r="C74" t="s" s="2">
        <v>842</v>
      </c>
      <c r="D74" t="s" s="2">
        <v>843</v>
      </c>
      <c r="E74" t="s" s="2">
        <v>843</v>
      </c>
    </row>
    <row r="75" spans="2:5" x14ac:dyDescent="0.2">
      <c r="B75" s="110"/>
      <c r="C75" t="s" s="2">
        <v>851</v>
      </c>
      <c r="D75" s="34">
        <v>0.4</v>
      </c>
      <c r="E75" s="34">
        <v>0.4</v>
      </c>
    </row>
    <row r="76" spans="2:5" x14ac:dyDescent="0.2">
      <c r="B76" s="110"/>
      <c r="C76" t="s" s="2">
        <v>852</v>
      </c>
      <c r="D76" s="34">
        <v>0.6</v>
      </c>
      <c r="E76" s="34">
        <v>0.6</v>
      </c>
    </row>
    <row r="77" spans="2:5" x14ac:dyDescent="0.2">
      <c r="B77" t="s" s="28">
        <v>878</v>
      </c>
      <c r="C77" t="s" s="2">
        <v>879</v>
      </c>
      <c r="D77" t="s" s="106">
        <v>877</v>
      </c>
      <c r="E77" t="s" s="46">
        <v>877</v>
      </c>
    </row>
  </sheetData>
  <mergeCells count="43">
    <mergeCell ref="N17:N18"/>
    <mergeCell ref="N19:N20"/>
    <mergeCell ref="N21:N22"/>
    <mergeCell ref="N27:N28"/>
    <mergeCell ref="N29:N30"/>
    <mergeCell ref="N23:N24"/>
    <mergeCell ref="N25:N26"/>
    <mergeCell ref="N4:N5"/>
    <mergeCell ref="N6:N7"/>
    <mergeCell ref="N11:N12"/>
    <mergeCell ref="N13:N14"/>
    <mergeCell ref="N15:N16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</mergeCells>
  <phoneticPr fontId="1"/>
  <dataValidations count="3">
    <dataValidation type="list" allowBlank="1" showInputMessage="1" showErrorMessage="1" sqref="D29:E29 D6:E6 D44:E44 D34:E34 D39:E39 D19:E19 I38 D59:E59 D64:E64 D74:E74 D69:E69 D11:E11 I6 I11 I16 I21 I26 I31 D54:E54 D49:E49 I43 D24:E24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sheetViews>
    <sheetView topLeftCell="A46" zoomScaleNormal="100" workbookViewId="0">
      <selection activeCell="J3" sqref="J3:J76"/>
    </sheetView>
  </sheetViews>
  <sheetFormatPr defaultColWidth="11.6640625" defaultRowHeight="13.2" x14ac:dyDescent="0.2"/>
  <sheetData>
    <row r="2" spans="2:13" x14ac:dyDescent="0.2">
      <c r="B2" t="s" s="68">
        <v>1287</v>
      </c>
      <c r="C2" t="s" s="69">
        <v>2006</v>
      </c>
      <c r="D2" t="s" s="69">
        <v>2007</v>
      </c>
      <c r="E2" t="s" s="69">
        <v>2008</v>
      </c>
      <c r="F2" t="s" s="69">
        <v>2009</v>
      </c>
      <c r="G2" t="s" s="69">
        <v>2010</v>
      </c>
      <c r="H2" t="s" s="69">
        <v>2011</v>
      </c>
      <c r="I2" t="s" s="69">
        <v>2012</v>
      </c>
      <c r="J2" t="s" s="69">
        <v>872</v>
      </c>
      <c r="K2" t="s" s="69">
        <v>2013</v>
      </c>
      <c r="L2" t="s" s="69">
        <v>2014</v>
      </c>
      <c r="M2" t="s" s="69">
        <v>2015</v>
      </c>
    </row>
    <row r="3" spans="2:13" ht="13.2" customHeight="1" x14ac:dyDescent="0.2">
      <c r="B3" t="s" s="33">
        <v>850</v>
      </c>
      <c r="C3" t="s" s="70">
        <v>850</v>
      </c>
      <c r="D3" t="s" s="74">
        <v>850</v>
      </c>
      <c r="E3" t="s" s="83">
        <v>850</v>
      </c>
      <c r="F3" t="s" s="81">
        <v>850</v>
      </c>
      <c r="G3" t="s" s="89">
        <v>850</v>
      </c>
      <c r="H3" t="s" s="86">
        <v>850</v>
      </c>
      <c r="I3" t="s" s="94">
        <v>850</v>
      </c>
      <c r="J3" t="s" s="67">
        <v>850</v>
      </c>
      <c r="K3" t="s" s="91">
        <v>850</v>
      </c>
      <c r="L3" t="s" s="101">
        <v>850</v>
      </c>
      <c r="M3" t="s" s="104">
        <v>850</v>
      </c>
    </row>
    <row r="4" spans="2:13" x14ac:dyDescent="0.2">
      <c r="B4" s="32"/>
      <c r="C4" s="72"/>
      <c r="D4" s="75"/>
      <c r="E4" s="79"/>
      <c r="F4" s="82"/>
      <c r="G4" s="85"/>
      <c r="H4" s="88"/>
      <c r="I4" s="93"/>
      <c r="J4" s="66"/>
      <c r="K4" s="105"/>
      <c r="L4" s="98"/>
      <c r="M4" s="103"/>
    </row>
    <row r="5" spans="2:13" x14ac:dyDescent="0.2">
      <c r="B5" t="s" s="2">
        <v>843</v>
      </c>
      <c r="C5" t="s" s="2">
        <v>843</v>
      </c>
      <c r="D5" t="s" s="2">
        <v>843</v>
      </c>
      <c r="E5" t="s" s="2">
        <v>843</v>
      </c>
      <c r="F5" t="s" s="2">
        <v>843</v>
      </c>
      <c r="G5" t="s" s="2">
        <v>843</v>
      </c>
      <c r="H5" t="s" s="2">
        <v>843</v>
      </c>
      <c r="I5" t="s" s="2">
        <v>843</v>
      </c>
      <c r="J5" t="s" s="2">
        <v>843</v>
      </c>
      <c r="K5" t="s" s="2">
        <v>843</v>
      </c>
      <c r="L5" t="s" s="2">
        <v>843</v>
      </c>
      <c r="M5" t="s" s="2">
        <v>843</v>
      </c>
    </row>
    <row r="6" spans="2:13" x14ac:dyDescent="0.2">
      <c r="B6" s="34">
        <v>0.4</v>
      </c>
      <c r="C6" s="34">
        <v>0.4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</row>
    <row r="7" spans="2:13" x14ac:dyDescent="0.2">
      <c r="B7" s="34">
        <v>0.6</v>
      </c>
      <c r="C7" s="34">
        <v>0.6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</row>
    <row r="8" spans="2:13" x14ac:dyDescent="0.2">
      <c r="B8" t="s" s="29">
        <v>850</v>
      </c>
      <c r="C8" t="s" s="29">
        <v>850</v>
      </c>
      <c r="D8" t="s" s="29">
        <v>850</v>
      </c>
      <c r="E8" t="s" s="29">
        <v>850</v>
      </c>
      <c r="F8" t="s" s="29">
        <v>850</v>
      </c>
      <c r="G8" t="s" s="29">
        <v>850</v>
      </c>
      <c r="H8" t="s" s="29">
        <v>850</v>
      </c>
      <c r="I8" t="s" s="29">
        <v>850</v>
      </c>
      <c r="J8" t="s" s="29">
        <v>850</v>
      </c>
      <c r="K8" t="s" s="29">
        <v>850</v>
      </c>
      <c r="L8" t="s" s="29">
        <v>850</v>
      </c>
      <c r="M8" t="s" s="29">
        <v>850</v>
      </c>
    </row>
    <row r="9" spans="2:13" x14ac:dyDescent="0.2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2:1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3" x14ac:dyDescent="0.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3" x14ac:dyDescent="0.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3" ht="13.2" customHeight="1" x14ac:dyDescent="0.2">
      <c r="B13" s="27"/>
      <c r="C13" s="71"/>
      <c r="D13" s="73"/>
      <c r="E13" s="84"/>
      <c r="F13" s="80"/>
      <c r="G13" s="90"/>
      <c r="H13" s="87"/>
      <c r="I13" s="95"/>
      <c r="J13" s="36"/>
      <c r="K13" s="51"/>
      <c r="L13" s="99"/>
      <c r="M13" s="102"/>
    </row>
    <row r="14" spans="2:13" ht="13.2" customHeight="1" x14ac:dyDescent="0.2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</row>
    <row r="15" spans="2:13" x14ac:dyDescent="0.2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2:13" x14ac:dyDescent="0.2">
      <c r="B16" t="s" s="29">
        <v>856</v>
      </c>
      <c r="C16" t="s" s="29">
        <v>856</v>
      </c>
      <c r="D16" t="s" s="29">
        <v>856</v>
      </c>
      <c r="E16" t="s" s="29">
        <v>856</v>
      </c>
      <c r="F16" t="s" s="29">
        <v>856</v>
      </c>
      <c r="G16" t="s" s="29">
        <v>856</v>
      </c>
      <c r="H16" t="s" s="29">
        <v>856</v>
      </c>
      <c r="I16" t="s" s="29">
        <v>856</v>
      </c>
      <c r="J16" t="s" s="29">
        <v>856</v>
      </c>
      <c r="K16" t="s" s="29">
        <v>856</v>
      </c>
      <c r="L16" t="s" s="29">
        <v>856</v>
      </c>
      <c r="M16" t="s" s="29">
        <v>856</v>
      </c>
    </row>
    <row r="17" spans="2:13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</row>
    <row r="18" spans="2:13" x14ac:dyDescent="0.2">
      <c r="B18" t="s" s="2">
        <v>843</v>
      </c>
      <c r="C18" t="s" s="2">
        <v>843</v>
      </c>
      <c r="D18" t="s" s="2">
        <v>843</v>
      </c>
      <c r="E18" t="s" s="2">
        <v>843</v>
      </c>
      <c r="F18" t="s" s="2">
        <v>843</v>
      </c>
      <c r="G18" t="s" s="2">
        <v>843</v>
      </c>
      <c r="H18" t="s" s="2">
        <v>843</v>
      </c>
      <c r="I18" t="s" s="2">
        <v>843</v>
      </c>
      <c r="J18" t="s" s="2">
        <v>843</v>
      </c>
      <c r="K18" t="s" s="2">
        <v>843</v>
      </c>
      <c r="L18" t="s" s="2">
        <v>843</v>
      </c>
      <c r="M18" t="s" s="2">
        <v>843</v>
      </c>
    </row>
    <row r="19" spans="2:13" ht="13.2" customHeight="1" x14ac:dyDescent="0.2">
      <c r="B19" s="34">
        <v>0.4</v>
      </c>
      <c r="C19" s="34">
        <v>0.4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</row>
    <row r="20" spans="2:13" x14ac:dyDescent="0.2">
      <c r="B20" s="34">
        <v>0.6</v>
      </c>
      <c r="C20" s="34">
        <v>0.6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</row>
    <row r="21" spans="2:13" x14ac:dyDescent="0.2">
      <c r="B21" t="s" s="53">
        <v>853</v>
      </c>
      <c r="C21" t="s" s="53">
        <v>853</v>
      </c>
      <c r="D21" t="s" s="53">
        <v>853</v>
      </c>
      <c r="E21" t="s" s="53">
        <v>853</v>
      </c>
      <c r="F21" t="s" s="53">
        <v>853</v>
      </c>
      <c r="G21" t="s" s="53">
        <v>853</v>
      </c>
      <c r="H21" t="s" s="53">
        <v>853</v>
      </c>
      <c r="I21" t="s" s="53">
        <v>853</v>
      </c>
      <c r="J21" t="s" s="53">
        <v>853</v>
      </c>
      <c r="K21" t="s" s="53">
        <v>853</v>
      </c>
      <c r="L21" t="s" s="53">
        <v>853</v>
      </c>
      <c r="M21" t="s" s="53">
        <v>853</v>
      </c>
    </row>
    <row r="22" spans="2:13" x14ac:dyDescent="0.2">
      <c r="B22" t="s" s="35">
        <v>853</v>
      </c>
      <c r="C22" t="s" s="35">
        <v>853</v>
      </c>
      <c r="D22" t="s" s="35">
        <v>853</v>
      </c>
      <c r="E22" t="s" s="35">
        <v>853</v>
      </c>
      <c r="F22" t="s" s="35">
        <v>853</v>
      </c>
      <c r="G22" t="s" s="35">
        <v>853</v>
      </c>
      <c r="H22" t="s" s="35">
        <v>853</v>
      </c>
      <c r="I22" t="s" s="35">
        <v>853</v>
      </c>
      <c r="J22" t="s" s="35">
        <v>853</v>
      </c>
      <c r="K22" t="s" s="35">
        <v>853</v>
      </c>
      <c r="L22" t="s" s="35">
        <v>853</v>
      </c>
      <c r="M22" t="s" s="35">
        <v>853</v>
      </c>
    </row>
    <row r="23" spans="2:1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3.2" customHeight="1" x14ac:dyDescent="0.2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2:13" x14ac:dyDescent="0.2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2:13" x14ac:dyDescent="0.2">
      <c r="B26" t="s" s="33">
        <v>856</v>
      </c>
      <c r="C26" t="s" s="70">
        <v>856</v>
      </c>
      <c r="D26" t="s" s="77">
        <v>856</v>
      </c>
      <c r="E26" t="s" s="83">
        <v>856</v>
      </c>
      <c r="F26" t="s" s="81">
        <v>856</v>
      </c>
      <c r="G26" t="s" s="89">
        <v>856</v>
      </c>
      <c r="H26" t="s" s="86">
        <v>856</v>
      </c>
      <c r="I26" t="s" s="97">
        <v>856</v>
      </c>
      <c r="J26" t="s" s="65">
        <v>856</v>
      </c>
      <c r="K26" t="s" s="91">
        <v>856</v>
      </c>
      <c r="L26" t="s" s="100">
        <v>856</v>
      </c>
      <c r="M26" t="s" s="104">
        <v>856</v>
      </c>
    </row>
    <row r="27" spans="2:13" x14ac:dyDescent="0.2">
      <c r="B27" s="32"/>
      <c r="C27" s="72"/>
      <c r="D27" s="76"/>
      <c r="E27" s="79"/>
      <c r="F27" s="82"/>
      <c r="G27" s="85"/>
      <c r="H27" s="88"/>
      <c r="I27" s="105"/>
      <c r="J27" s="105"/>
      <c r="K27" s="105"/>
      <c r="L27" s="105"/>
      <c r="M27" s="103"/>
    </row>
    <row r="28" spans="2:13" x14ac:dyDescent="0.2">
      <c r="B28" t="s" s="2">
        <v>843</v>
      </c>
      <c r="C28" t="s" s="2">
        <v>843</v>
      </c>
      <c r="D28" t="s" s="2">
        <v>843</v>
      </c>
      <c r="E28" t="s" s="2">
        <v>843</v>
      </c>
      <c r="F28" t="s" s="2">
        <v>843</v>
      </c>
      <c r="G28" t="s" s="2">
        <v>843</v>
      </c>
      <c r="H28" t="s" s="2">
        <v>843</v>
      </c>
      <c r="I28" t="s" s="2">
        <v>843</v>
      </c>
      <c r="J28" t="s" s="2">
        <v>843</v>
      </c>
      <c r="K28" t="s" s="2">
        <v>843</v>
      </c>
      <c r="L28" t="s" s="2">
        <v>843</v>
      </c>
      <c r="M28" t="s" s="2">
        <v>843</v>
      </c>
    </row>
    <row r="29" spans="2:13" ht="13.2" customHeight="1" x14ac:dyDescent="0.2">
      <c r="B29" s="34">
        <v>0.4</v>
      </c>
      <c r="C29" s="34">
        <v>0.4</v>
      </c>
      <c r="D29" s="34">
        <v>0.4</v>
      </c>
      <c r="E29" s="34">
        <v>0.4</v>
      </c>
      <c r="F29" s="34">
        <v>0.4</v>
      </c>
      <c r="G29" s="34">
        <v>0.4</v>
      </c>
      <c r="H29" s="34">
        <v>0.4</v>
      </c>
      <c r="I29" s="34">
        <v>0.4</v>
      </c>
      <c r="J29" s="34">
        <v>0.4</v>
      </c>
      <c r="K29" s="34">
        <v>0.4</v>
      </c>
      <c r="L29" s="34">
        <v>0.4</v>
      </c>
      <c r="M29" s="34">
        <v>0.4</v>
      </c>
    </row>
    <row r="30" spans="2:13" x14ac:dyDescent="0.2">
      <c r="B30" s="34">
        <v>0.6</v>
      </c>
      <c r="C30" s="34">
        <v>0.6</v>
      </c>
      <c r="D30" s="34">
        <v>0.6</v>
      </c>
      <c r="E30" s="34">
        <v>0.6</v>
      </c>
      <c r="F30" s="34">
        <v>0.6</v>
      </c>
      <c r="G30" s="34">
        <v>0.6</v>
      </c>
      <c r="H30" s="34">
        <v>0.6</v>
      </c>
      <c r="I30" s="34">
        <v>0.6</v>
      </c>
      <c r="J30" s="34">
        <v>0.6</v>
      </c>
      <c r="K30" s="34">
        <v>0.6</v>
      </c>
      <c r="L30" s="34">
        <v>0.6</v>
      </c>
      <c r="M30" s="34">
        <v>0.6</v>
      </c>
    </row>
    <row r="31" spans="2:13" x14ac:dyDescent="0.2">
      <c r="B31" t="s" s="33">
        <v>853</v>
      </c>
      <c r="C31" t="s" s="70">
        <v>853</v>
      </c>
      <c r="D31" t="s" s="77">
        <v>853</v>
      </c>
      <c r="E31" t="s" s="83">
        <v>853</v>
      </c>
      <c r="F31" t="s" s="81">
        <v>853</v>
      </c>
      <c r="G31" t="s" s="89">
        <v>853</v>
      </c>
      <c r="H31" t="s" s="86">
        <v>853</v>
      </c>
      <c r="I31" t="s" s="97">
        <v>853</v>
      </c>
      <c r="J31" t="s" s="65">
        <v>853</v>
      </c>
      <c r="K31" t="s" s="91">
        <v>853</v>
      </c>
      <c r="L31" t="s" s="100">
        <v>853</v>
      </c>
      <c r="M31" t="s" s="104">
        <v>853</v>
      </c>
    </row>
    <row r="32" spans="2:13" x14ac:dyDescent="0.2">
      <c r="B32" s="32"/>
      <c r="C32" s="72"/>
      <c r="D32" s="76"/>
      <c r="E32" s="79"/>
      <c r="F32" s="82"/>
      <c r="G32" s="85"/>
      <c r="H32" s="88"/>
      <c r="I32" s="105"/>
      <c r="J32" s="105"/>
      <c r="K32" s="105"/>
      <c r="L32" s="105"/>
      <c r="M32" s="103"/>
    </row>
    <row r="33" spans="2:13" x14ac:dyDescent="0.2">
      <c r="B33" t="s" s="2">
        <v>843</v>
      </c>
      <c r="C33" t="s" s="2">
        <v>843</v>
      </c>
      <c r="D33" t="s" s="2">
        <v>843</v>
      </c>
      <c r="E33" t="s" s="2">
        <v>843</v>
      </c>
      <c r="F33" t="s" s="2">
        <v>843</v>
      </c>
      <c r="G33" t="s" s="2">
        <v>843</v>
      </c>
      <c r="H33" t="s" s="2">
        <v>843</v>
      </c>
      <c r="I33" t="s" s="2">
        <v>843</v>
      </c>
      <c r="J33" t="s" s="2">
        <v>843</v>
      </c>
      <c r="K33" t="s" s="2">
        <v>843</v>
      </c>
      <c r="L33" t="s" s="2">
        <v>843</v>
      </c>
      <c r="M33" t="s" s="2">
        <v>843</v>
      </c>
    </row>
    <row r="34" spans="2:13" ht="13.2" customHeight="1" x14ac:dyDescent="0.2">
      <c r="B34" s="34">
        <v>0.4</v>
      </c>
      <c r="C34" s="34">
        <v>0.4</v>
      </c>
      <c r="D34" s="34">
        <v>0.4</v>
      </c>
      <c r="E34" s="34">
        <v>0.4</v>
      </c>
      <c r="F34" s="34">
        <v>0.4</v>
      </c>
      <c r="G34" s="34">
        <v>0.4</v>
      </c>
      <c r="H34" s="34">
        <v>0.4</v>
      </c>
      <c r="I34" s="34">
        <v>0.4</v>
      </c>
      <c r="J34" s="34">
        <v>0.4</v>
      </c>
      <c r="K34" s="34">
        <v>0.4</v>
      </c>
      <c r="L34" s="34">
        <v>0.4</v>
      </c>
      <c r="M34" s="34">
        <v>0.4</v>
      </c>
    </row>
    <row r="35" spans="2:13" x14ac:dyDescent="0.2">
      <c r="B35" s="34">
        <v>0.6</v>
      </c>
      <c r="C35" s="34">
        <v>0.6</v>
      </c>
      <c r="D35" s="34">
        <v>0.6</v>
      </c>
      <c r="E35" s="34">
        <v>0.6</v>
      </c>
      <c r="F35" s="34">
        <v>0.6</v>
      </c>
      <c r="G35" s="34">
        <v>0.6</v>
      </c>
      <c r="H35" s="34">
        <v>0.6</v>
      </c>
      <c r="I35" s="34">
        <v>0.6</v>
      </c>
      <c r="J35" s="34">
        <v>0.6</v>
      </c>
      <c r="K35" s="34">
        <v>0.6</v>
      </c>
      <c r="L35" s="34">
        <v>0.6</v>
      </c>
      <c r="M35" s="34">
        <v>0.6</v>
      </c>
    </row>
    <row r="36" spans="2:13" x14ac:dyDescent="0.2">
      <c r="B36" t="s" s="29">
        <v>856</v>
      </c>
      <c r="C36" t="s" s="29">
        <v>856</v>
      </c>
      <c r="D36" t="s" s="29">
        <v>856</v>
      </c>
      <c r="E36" t="s" s="29">
        <v>856</v>
      </c>
      <c r="F36" t="s" s="29">
        <v>856</v>
      </c>
      <c r="G36" t="s" s="29">
        <v>856</v>
      </c>
      <c r="H36" t="s" s="29">
        <v>856</v>
      </c>
      <c r="I36" t="s" s="29">
        <v>856</v>
      </c>
      <c r="J36" t="s" s="29">
        <v>856</v>
      </c>
      <c r="K36" t="s" s="29">
        <v>856</v>
      </c>
      <c r="L36" t="s" s="29">
        <v>856</v>
      </c>
      <c r="M36" t="s" s="29">
        <v>856</v>
      </c>
    </row>
    <row r="37" spans="2:13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2:13" x14ac:dyDescent="0.2">
      <c r="B38" t="s" s="2">
        <v>843</v>
      </c>
      <c r="C38" t="s" s="2">
        <v>843</v>
      </c>
      <c r="D38" t="s" s="2">
        <v>843</v>
      </c>
      <c r="E38" t="s" s="2">
        <v>843</v>
      </c>
      <c r="F38" t="s" s="2">
        <v>843</v>
      </c>
      <c r="G38" t="s" s="2">
        <v>843</v>
      </c>
      <c r="H38" t="s" s="2">
        <v>843</v>
      </c>
      <c r="I38" t="s" s="2">
        <v>843</v>
      </c>
      <c r="J38" t="s" s="2">
        <v>843</v>
      </c>
      <c r="K38" t="s" s="2">
        <v>843</v>
      </c>
      <c r="L38" t="s" s="2">
        <v>843</v>
      </c>
      <c r="M38" t="s" s="2">
        <v>843</v>
      </c>
    </row>
    <row r="39" spans="2:13" ht="13.2" customHeight="1" x14ac:dyDescent="0.2">
      <c r="B39" s="34">
        <v>0.4</v>
      </c>
      <c r="C39" s="34">
        <v>0.4</v>
      </c>
      <c r="D39" s="34">
        <v>0.4</v>
      </c>
      <c r="E39" s="34">
        <v>0.4</v>
      </c>
      <c r="F39" s="34">
        <v>0.4</v>
      </c>
      <c r="G39" s="34">
        <v>0.4</v>
      </c>
      <c r="H39" s="34">
        <v>0.4</v>
      </c>
      <c r="I39" s="34">
        <v>0.4</v>
      </c>
      <c r="J39" s="34">
        <v>0.4</v>
      </c>
      <c r="K39" s="34">
        <v>0.4</v>
      </c>
      <c r="L39" s="34">
        <v>0.4</v>
      </c>
      <c r="M39" s="34">
        <v>0.4</v>
      </c>
    </row>
    <row r="40" spans="2:13" x14ac:dyDescent="0.2">
      <c r="B40" s="34">
        <v>0.6</v>
      </c>
      <c r="C40" s="34">
        <v>0.6</v>
      </c>
      <c r="D40" s="34">
        <v>0.6</v>
      </c>
      <c r="E40" s="34">
        <v>0.6</v>
      </c>
      <c r="F40" s="34">
        <v>0.6</v>
      </c>
      <c r="G40" s="34">
        <v>0.6</v>
      </c>
      <c r="H40" s="34">
        <v>0.6</v>
      </c>
      <c r="I40" s="34">
        <v>0.6</v>
      </c>
      <c r="J40" s="34">
        <v>0.6</v>
      </c>
      <c r="K40" s="34">
        <v>0.6</v>
      </c>
      <c r="L40" s="34">
        <v>0.6</v>
      </c>
      <c r="M40" s="34">
        <v>0.6</v>
      </c>
    </row>
    <row r="41" spans="2:13" x14ac:dyDescent="0.2">
      <c r="B41" t="s" s="54">
        <v>853</v>
      </c>
      <c r="C41" t="s" s="54">
        <v>853</v>
      </c>
      <c r="D41" t="s" s="54">
        <v>853</v>
      </c>
      <c r="E41" t="s" s="54">
        <v>853</v>
      </c>
      <c r="F41" t="s" s="54">
        <v>853</v>
      </c>
      <c r="G41" t="s" s="54">
        <v>853</v>
      </c>
      <c r="H41" t="s" s="54">
        <v>853</v>
      </c>
      <c r="I41" t="s" s="54">
        <v>853</v>
      </c>
      <c r="J41" t="s" s="54">
        <v>853</v>
      </c>
      <c r="K41" t="s" s="54">
        <v>853</v>
      </c>
      <c r="L41" t="s" s="54">
        <v>853</v>
      </c>
      <c r="M41" t="s" s="54">
        <v>853</v>
      </c>
    </row>
    <row r="42" spans="2:13" x14ac:dyDescent="0.2">
      <c r="B42" t="s" s="31">
        <v>853</v>
      </c>
      <c r="C42" t="s" s="31">
        <v>853</v>
      </c>
      <c r="D42" t="s" s="31">
        <v>853</v>
      </c>
      <c r="E42" t="s" s="31">
        <v>853</v>
      </c>
      <c r="F42" t="s" s="31">
        <v>853</v>
      </c>
      <c r="G42" t="s" s="31">
        <v>853</v>
      </c>
      <c r="H42" t="s" s="31">
        <v>853</v>
      </c>
      <c r="I42" t="s" s="31">
        <v>853</v>
      </c>
      <c r="J42" t="s" s="31">
        <v>853</v>
      </c>
      <c r="K42" t="s" s="31">
        <v>853</v>
      </c>
      <c r="L42" t="s" s="31">
        <v>853</v>
      </c>
      <c r="M42" t="s" s="31">
        <v>853</v>
      </c>
    </row>
    <row r="43" spans="2:1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13.2" customHeigh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2:13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2:13" x14ac:dyDescent="0.2">
      <c r="B46" t="s" s="33">
        <v>856</v>
      </c>
      <c r="C46" t="s" s="70">
        <v>856</v>
      </c>
      <c r="D46" t="s" s="77">
        <v>856</v>
      </c>
      <c r="E46" t="s" s="83">
        <v>856</v>
      </c>
      <c r="F46" t="s" s="81">
        <v>856</v>
      </c>
      <c r="G46" t="s" s="89">
        <v>856</v>
      </c>
      <c r="H46" t="s" s="86">
        <v>856</v>
      </c>
      <c r="I46" t="s" s="97">
        <v>856</v>
      </c>
      <c r="J46" t="s" s="65">
        <v>856</v>
      </c>
      <c r="K46" t="s" s="91">
        <v>856</v>
      </c>
      <c r="L46" t="s" s="100">
        <v>856</v>
      </c>
      <c r="M46" t="s" s="104">
        <v>856</v>
      </c>
    </row>
    <row r="47" spans="2:13" x14ac:dyDescent="0.2">
      <c r="B47" s="32"/>
      <c r="C47" s="72"/>
      <c r="D47" s="76"/>
      <c r="E47" s="79"/>
      <c r="F47" s="82"/>
      <c r="G47" s="85"/>
      <c r="H47" s="88"/>
      <c r="I47" s="105"/>
      <c r="J47" s="105"/>
      <c r="K47" s="105"/>
      <c r="L47" s="105"/>
      <c r="M47" s="103"/>
    </row>
    <row r="48" spans="2:13" x14ac:dyDescent="0.2">
      <c r="B48" t="s" s="2">
        <v>843</v>
      </c>
      <c r="C48" t="s" s="2">
        <v>843</v>
      </c>
      <c r="D48" t="s" s="2">
        <v>843</v>
      </c>
      <c r="E48" t="s" s="2">
        <v>843</v>
      </c>
      <c r="F48" t="s" s="2">
        <v>843</v>
      </c>
      <c r="G48" t="s" s="2">
        <v>843</v>
      </c>
      <c r="H48" t="s" s="2">
        <v>843</v>
      </c>
      <c r="I48" t="s" s="2">
        <v>843</v>
      </c>
      <c r="J48" t="s" s="2">
        <v>843</v>
      </c>
      <c r="K48" t="s" s="2">
        <v>843</v>
      </c>
      <c r="L48" t="s" s="2">
        <v>843</v>
      </c>
      <c r="M48" t="s" s="2">
        <v>843</v>
      </c>
    </row>
    <row r="49" spans="2:13" x14ac:dyDescent="0.2">
      <c r="B49" s="34">
        <v>0.4</v>
      </c>
      <c r="C49" s="34">
        <v>0.4</v>
      </c>
      <c r="D49" s="34">
        <v>0.4</v>
      </c>
      <c r="E49" s="34">
        <v>0.4</v>
      </c>
      <c r="F49" s="34">
        <v>0.4</v>
      </c>
      <c r="G49" s="34">
        <v>0.4</v>
      </c>
      <c r="H49" s="34">
        <v>0.4</v>
      </c>
      <c r="I49" s="34">
        <v>0.4</v>
      </c>
      <c r="J49" s="34">
        <v>0.4</v>
      </c>
      <c r="K49" s="34">
        <v>0.4</v>
      </c>
      <c r="L49" s="34">
        <v>0.4</v>
      </c>
      <c r="M49" s="34">
        <v>0.4</v>
      </c>
    </row>
    <row r="50" spans="2:13" x14ac:dyDescent="0.2">
      <c r="B50" s="34">
        <v>0.6</v>
      </c>
      <c r="C50" s="34">
        <v>0.6</v>
      </c>
      <c r="D50" s="34">
        <v>0.6</v>
      </c>
      <c r="E50" s="34">
        <v>0.6</v>
      </c>
      <c r="F50" s="34">
        <v>0.6</v>
      </c>
      <c r="G50" s="34">
        <v>0.6</v>
      </c>
      <c r="H50" s="34">
        <v>0.6</v>
      </c>
      <c r="I50" s="34">
        <v>0.6</v>
      </c>
      <c r="J50" s="34">
        <v>0.6</v>
      </c>
      <c r="K50" s="34">
        <v>0.6</v>
      </c>
      <c r="L50" s="34">
        <v>0.6</v>
      </c>
      <c r="M50" s="34">
        <v>0.6</v>
      </c>
    </row>
    <row r="51" spans="2:13" x14ac:dyDescent="0.2">
      <c r="B51" t="s" s="53">
        <v>853</v>
      </c>
      <c r="C51" t="s" s="53">
        <v>853</v>
      </c>
      <c r="D51" t="s" s="53">
        <v>853</v>
      </c>
      <c r="E51" t="s" s="53">
        <v>853</v>
      </c>
      <c r="F51" t="s" s="53">
        <v>853</v>
      </c>
      <c r="G51" t="s" s="53">
        <v>853</v>
      </c>
      <c r="H51" t="s" s="53">
        <v>853</v>
      </c>
      <c r="I51" t="s" s="53">
        <v>853</v>
      </c>
      <c r="J51" t="s" s="53">
        <v>853</v>
      </c>
      <c r="K51" t="s" s="53">
        <v>853</v>
      </c>
      <c r="L51" t="s" s="53">
        <v>853</v>
      </c>
      <c r="M51" t="s" s="53">
        <v>853</v>
      </c>
    </row>
    <row r="52" spans="2:13" x14ac:dyDescent="0.2">
      <c r="B52" t="s" s="31">
        <v>853</v>
      </c>
      <c r="C52" t="s" s="31">
        <v>853</v>
      </c>
      <c r="D52" t="s" s="31">
        <v>853</v>
      </c>
      <c r="E52" t="s" s="31">
        <v>853</v>
      </c>
      <c r="F52" t="s" s="31">
        <v>853</v>
      </c>
      <c r="G52" t="s" s="31">
        <v>853</v>
      </c>
      <c r="H52" t="s" s="31">
        <v>853</v>
      </c>
      <c r="I52" t="s" s="31">
        <v>853</v>
      </c>
      <c r="J52" t="s" s="31">
        <v>853</v>
      </c>
      <c r="K52" t="s" s="31">
        <v>853</v>
      </c>
      <c r="L52" t="s" s="31">
        <v>853</v>
      </c>
      <c r="M52" t="s" s="31">
        <v>853</v>
      </c>
    </row>
    <row r="53" spans="2:13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</row>
    <row r="55" spans="2:13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</row>
    <row r="56" spans="2:13" x14ac:dyDescent="0.2">
      <c r="B56" t="s" s="33">
        <v>853</v>
      </c>
      <c r="C56" t="s" s="78">
        <v>853</v>
      </c>
      <c r="D56" t="s" s="77">
        <v>853</v>
      </c>
      <c r="E56" t="s" s="83">
        <v>853</v>
      </c>
      <c r="F56" t="s" s="81">
        <v>853</v>
      </c>
      <c r="G56" t="s" s="89">
        <v>853</v>
      </c>
      <c r="H56" t="s" s="86">
        <v>853</v>
      </c>
      <c r="I56" t="s" s="94">
        <v>853</v>
      </c>
      <c r="J56" t="s" s="67">
        <v>853</v>
      </c>
      <c r="K56" t="s" s="92">
        <v>853</v>
      </c>
      <c r="L56" t="s" s="101">
        <v>853</v>
      </c>
      <c r="M56" t="s" s="104">
        <v>853</v>
      </c>
    </row>
    <row r="57" spans="2:13" x14ac:dyDescent="0.2">
      <c r="B57" s="32"/>
      <c r="C57" s="96"/>
      <c r="D57" s="76"/>
      <c r="E57" s="79"/>
      <c r="F57" s="82"/>
      <c r="G57" s="85"/>
      <c r="H57" s="88"/>
      <c r="I57" s="93"/>
      <c r="J57" s="66"/>
      <c r="K57" s="96"/>
      <c r="L57" s="98"/>
      <c r="M57" s="103"/>
    </row>
    <row r="58" spans="2:13" x14ac:dyDescent="0.2">
      <c r="B58" t="s" s="2">
        <v>843</v>
      </c>
      <c r="C58" t="s" s="2">
        <v>843</v>
      </c>
      <c r="D58" t="s" s="2">
        <v>843</v>
      </c>
      <c r="E58" t="s" s="2">
        <v>843</v>
      </c>
      <c r="F58" t="s" s="2">
        <v>843</v>
      </c>
      <c r="G58" t="s" s="2">
        <v>843</v>
      </c>
      <c r="H58" t="s" s="2">
        <v>843</v>
      </c>
      <c r="I58" t="s" s="2">
        <v>843</v>
      </c>
      <c r="J58" t="s" s="2">
        <v>843</v>
      </c>
      <c r="K58" t="s" s="2">
        <v>843</v>
      </c>
      <c r="L58" t="s" s="2">
        <v>843</v>
      </c>
      <c r="M58" t="s" s="2">
        <v>843</v>
      </c>
    </row>
    <row r="59" spans="2:13" x14ac:dyDescent="0.2">
      <c r="B59" s="34">
        <v>0.4</v>
      </c>
      <c r="C59" s="34">
        <v>0.4</v>
      </c>
      <c r="D59" s="34">
        <v>0.4</v>
      </c>
      <c r="E59" s="34">
        <v>0.4</v>
      </c>
      <c r="F59" s="34">
        <v>0.4</v>
      </c>
      <c r="G59" s="34">
        <v>0.4</v>
      </c>
      <c r="H59" s="34">
        <v>0.4</v>
      </c>
      <c r="I59" s="34">
        <v>0.4</v>
      </c>
      <c r="J59" s="34">
        <v>0.4</v>
      </c>
      <c r="K59" s="34">
        <v>0.4</v>
      </c>
      <c r="L59" s="34">
        <v>0.4</v>
      </c>
      <c r="M59" s="34">
        <v>0.4</v>
      </c>
    </row>
    <row r="60" spans="2:13" x14ac:dyDescent="0.2">
      <c r="B60" s="34">
        <v>0.6</v>
      </c>
      <c r="C60" s="34">
        <v>0.6</v>
      </c>
      <c r="D60" s="34">
        <v>0.6</v>
      </c>
      <c r="E60" s="34">
        <v>0.6</v>
      </c>
      <c r="F60" s="34">
        <v>0.6</v>
      </c>
      <c r="G60" s="34">
        <v>0.6</v>
      </c>
      <c r="H60" s="34">
        <v>0.6</v>
      </c>
      <c r="I60" s="34">
        <v>0.6</v>
      </c>
      <c r="J60" s="34">
        <v>0.6</v>
      </c>
      <c r="K60" s="34">
        <v>0.6</v>
      </c>
      <c r="L60" s="34">
        <v>0.6</v>
      </c>
      <c r="M60" s="34">
        <v>0.6</v>
      </c>
    </row>
    <row r="61" spans="2:13" x14ac:dyDescent="0.2">
      <c r="B61" t="s" s="33">
        <v>853</v>
      </c>
      <c r="C61" t="s" s="78">
        <v>853</v>
      </c>
      <c r="D61" t="s" s="77">
        <v>853</v>
      </c>
      <c r="E61" t="s" s="83">
        <v>853</v>
      </c>
      <c r="F61" t="s" s="81">
        <v>853</v>
      </c>
      <c r="G61" t="s" s="89">
        <v>853</v>
      </c>
      <c r="H61" t="s" s="86">
        <v>853</v>
      </c>
      <c r="I61" t="s" s="94">
        <v>853</v>
      </c>
      <c r="J61" t="s" s="67">
        <v>853</v>
      </c>
      <c r="K61" t="s" s="92">
        <v>853</v>
      </c>
      <c r="L61" t="s" s="101">
        <v>853</v>
      </c>
      <c r="M61" t="s" s="104">
        <v>853</v>
      </c>
    </row>
    <row r="62" spans="2:13" x14ac:dyDescent="0.2">
      <c r="B62" s="32"/>
      <c r="C62" s="96"/>
      <c r="D62" s="76"/>
      <c r="E62" s="79"/>
      <c r="F62" s="82"/>
      <c r="G62" s="85"/>
      <c r="H62" s="88"/>
      <c r="I62" s="93"/>
      <c r="J62" s="66"/>
      <c r="K62" s="96"/>
      <c r="L62" s="98"/>
      <c r="M62" s="103"/>
    </row>
    <row r="63" spans="2:13" x14ac:dyDescent="0.2">
      <c r="B63" t="s" s="2">
        <v>843</v>
      </c>
      <c r="C63" t="s" s="2">
        <v>843</v>
      </c>
      <c r="D63" t="s" s="2">
        <v>843</v>
      </c>
      <c r="E63" t="s" s="2">
        <v>843</v>
      </c>
      <c r="F63" t="s" s="2">
        <v>843</v>
      </c>
      <c r="G63" t="s" s="2">
        <v>843</v>
      </c>
      <c r="H63" t="s" s="2">
        <v>843</v>
      </c>
      <c r="I63" t="s" s="2">
        <v>843</v>
      </c>
      <c r="J63" t="s" s="2">
        <v>843</v>
      </c>
      <c r="K63" t="s" s="2">
        <v>843</v>
      </c>
      <c r="L63" t="s" s="2">
        <v>843</v>
      </c>
      <c r="M63" t="s" s="2">
        <v>843</v>
      </c>
    </row>
    <row r="64" spans="2:13" x14ac:dyDescent="0.2">
      <c r="B64" s="34">
        <v>0.4</v>
      </c>
      <c r="C64" s="34">
        <v>0.4</v>
      </c>
      <c r="D64" s="34">
        <v>0.4</v>
      </c>
      <c r="E64" s="34">
        <v>0.4</v>
      </c>
      <c r="F64" s="34">
        <v>0.4</v>
      </c>
      <c r="G64" s="34">
        <v>0.4</v>
      </c>
      <c r="H64" s="34">
        <v>0.4</v>
      </c>
      <c r="I64" s="34">
        <v>0.4</v>
      </c>
      <c r="J64" s="34">
        <v>0.4</v>
      </c>
      <c r="K64" s="34">
        <v>0.4</v>
      </c>
      <c r="L64" s="34">
        <v>0.4</v>
      </c>
      <c r="M64" s="34">
        <v>0.4</v>
      </c>
    </row>
    <row r="65" spans="2:13" x14ac:dyDescent="0.2">
      <c r="B65" s="34">
        <v>0.6</v>
      </c>
      <c r="C65" s="34">
        <v>0.6</v>
      </c>
      <c r="D65" s="34">
        <v>0.6</v>
      </c>
      <c r="E65" s="34">
        <v>0.6</v>
      </c>
      <c r="F65" s="34">
        <v>0.6</v>
      </c>
      <c r="G65" s="34">
        <v>0.6</v>
      </c>
      <c r="H65" s="34">
        <v>0.6</v>
      </c>
      <c r="I65" s="34">
        <v>0.6</v>
      </c>
      <c r="J65" s="34">
        <v>0.6</v>
      </c>
      <c r="K65" s="34">
        <v>0.6</v>
      </c>
      <c r="L65" s="34">
        <v>0.6</v>
      </c>
      <c r="M65" s="34">
        <v>0.6</v>
      </c>
    </row>
    <row r="66" spans="2:13" x14ac:dyDescent="0.2">
      <c r="B66" t="s" s="54">
        <v>853</v>
      </c>
      <c r="C66" t="s" s="54">
        <v>853</v>
      </c>
      <c r="D66" t="s" s="54">
        <v>853</v>
      </c>
      <c r="E66" t="s" s="54">
        <v>853</v>
      </c>
      <c r="F66" t="s" s="54">
        <v>853</v>
      </c>
      <c r="G66" t="s" s="54">
        <v>853</v>
      </c>
      <c r="H66" t="s" s="54">
        <v>853</v>
      </c>
      <c r="I66" t="s" s="54">
        <v>853</v>
      </c>
      <c r="J66" t="s" s="54">
        <v>853</v>
      </c>
      <c r="K66" t="s" s="54">
        <v>853</v>
      </c>
      <c r="L66" t="s" s="54">
        <v>853</v>
      </c>
      <c r="M66" t="s" s="54">
        <v>853</v>
      </c>
    </row>
    <row r="67" spans="2:13" x14ac:dyDescent="0.2">
      <c r="B67" t="s" s="31">
        <v>853</v>
      </c>
      <c r="C67" t="s" s="31">
        <v>853</v>
      </c>
      <c r="D67" t="s" s="31">
        <v>853</v>
      </c>
      <c r="E67" t="s" s="31">
        <v>853</v>
      </c>
      <c r="F67" t="s" s="31">
        <v>853</v>
      </c>
      <c r="G67" t="s" s="31">
        <v>853</v>
      </c>
      <c r="H67" t="s" s="31">
        <v>853</v>
      </c>
      <c r="I67" t="s" s="31">
        <v>853</v>
      </c>
      <c r="J67" t="s" s="31">
        <v>853</v>
      </c>
      <c r="K67" t="s" s="31">
        <v>853</v>
      </c>
      <c r="L67" t="s" s="31">
        <v>853</v>
      </c>
      <c r="M67" t="s" s="31">
        <v>853</v>
      </c>
    </row>
    <row r="68" spans="2:13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2:13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</row>
    <row r="70" spans="2:13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</row>
    <row r="71" spans="2:13" x14ac:dyDescent="0.2">
      <c r="B71" t="s" s="33">
        <v>853</v>
      </c>
      <c r="C71" t="s" s="78">
        <v>853</v>
      </c>
      <c r="D71" t="s" s="77">
        <v>853</v>
      </c>
      <c r="E71" t="s" s="83">
        <v>853</v>
      </c>
      <c r="F71" t="s" s="81">
        <v>853</v>
      </c>
      <c r="G71" t="s" s="89">
        <v>853</v>
      </c>
      <c r="H71" t="s" s="86">
        <v>853</v>
      </c>
      <c r="I71" t="s" s="94">
        <v>853</v>
      </c>
      <c r="J71" t="s" s="67">
        <v>853</v>
      </c>
      <c r="K71" t="s" s="92">
        <v>853</v>
      </c>
      <c r="L71" t="s" s="101">
        <v>853</v>
      </c>
      <c r="M71" t="s" s="104">
        <v>853</v>
      </c>
    </row>
    <row r="72" spans="2:13" x14ac:dyDescent="0.2">
      <c r="B72" s="32"/>
      <c r="C72" s="96"/>
      <c r="D72" s="76"/>
      <c r="E72" s="79"/>
      <c r="F72" s="82"/>
      <c r="G72" s="85"/>
      <c r="H72" s="88"/>
      <c r="I72" s="93"/>
      <c r="J72" s="66"/>
      <c r="K72" s="96"/>
      <c r="L72" s="98"/>
      <c r="M72" s="103"/>
    </row>
    <row r="73" spans="2:13" x14ac:dyDescent="0.2">
      <c r="B73" t="s" s="2">
        <v>843</v>
      </c>
      <c r="C73" t="s" s="2">
        <v>843</v>
      </c>
      <c r="D73" t="s" s="2">
        <v>843</v>
      </c>
      <c r="E73" t="s" s="2">
        <v>843</v>
      </c>
      <c r="F73" t="s" s="2">
        <v>843</v>
      </c>
      <c r="G73" t="s" s="2">
        <v>843</v>
      </c>
      <c r="H73" t="s" s="2">
        <v>843</v>
      </c>
      <c r="I73" t="s" s="2">
        <v>843</v>
      </c>
      <c r="J73" t="s" s="2">
        <v>843</v>
      </c>
      <c r="K73" t="s" s="2">
        <v>843</v>
      </c>
      <c r="L73" t="s" s="2">
        <v>843</v>
      </c>
      <c r="M73" t="s" s="2">
        <v>843</v>
      </c>
    </row>
    <row r="74" spans="2:13" x14ac:dyDescent="0.2">
      <c r="B74" s="34">
        <v>0.4</v>
      </c>
      <c r="C74" s="34">
        <v>0.4</v>
      </c>
      <c r="D74" s="34">
        <v>0.4</v>
      </c>
      <c r="E74" s="34">
        <v>0.4</v>
      </c>
      <c r="F74" s="34">
        <v>0.4</v>
      </c>
      <c r="G74" s="34">
        <v>0.4</v>
      </c>
      <c r="H74" s="34">
        <v>0.4</v>
      </c>
      <c r="I74" s="34">
        <v>0.4</v>
      </c>
      <c r="J74" s="34">
        <v>0.4</v>
      </c>
      <c r="K74" s="34">
        <v>0.4</v>
      </c>
      <c r="L74" s="34">
        <v>0.4</v>
      </c>
      <c r="M74" s="34">
        <v>0.4</v>
      </c>
    </row>
    <row r="75" spans="2:13" x14ac:dyDescent="0.2">
      <c r="B75" s="34">
        <v>0.6</v>
      </c>
      <c r="C75" s="34">
        <v>0.6</v>
      </c>
      <c r="D75" s="34">
        <v>0.6</v>
      </c>
      <c r="E75" s="34">
        <v>0.6</v>
      </c>
      <c r="F75" s="34">
        <v>0.6</v>
      </c>
      <c r="G75" s="34">
        <v>0.6</v>
      </c>
      <c r="H75" s="34">
        <v>0.6</v>
      </c>
      <c r="I75" s="34">
        <v>0.6</v>
      </c>
      <c r="J75" s="34">
        <v>0.6</v>
      </c>
      <c r="K75" s="34">
        <v>0.6</v>
      </c>
      <c r="L75" s="34">
        <v>0.6</v>
      </c>
      <c r="M75" s="34">
        <v>0.6</v>
      </c>
    </row>
    <row r="76" spans="2:13" x14ac:dyDescent="0.2">
      <c r="B76" t="s" s="45">
        <v>877</v>
      </c>
      <c r="C76" t="s" s="45">
        <v>877</v>
      </c>
      <c r="D76" t="s" s="46">
        <v>877</v>
      </c>
      <c r="E76" t="s" s="106">
        <v>877</v>
      </c>
      <c r="F76" t="s" s="106">
        <v>877</v>
      </c>
      <c r="G76" t="s" s="45">
        <v>877</v>
      </c>
      <c r="H76" t="s" s="106">
        <v>877</v>
      </c>
      <c r="I76" t="s" s="45">
        <v>877</v>
      </c>
      <c r="J76" t="s" s="46">
        <v>877</v>
      </c>
      <c r="K76" t="s" s="46">
        <v>877</v>
      </c>
      <c r="L76" t="s" s="45">
        <v>877</v>
      </c>
      <c r="M76" t="s" s="46">
        <v>877</v>
      </c>
    </row>
  </sheetData>
  <phoneticPr fontId="1"/>
  <dataValidations count="1">
    <dataValidation type="list" allowBlank="1" showInputMessage="1" showErrorMessage="1" sqref="B53:M53 B10:M10 B68:M68 B73:M73 B63:M63 B58:M58 B18:M18 B38:M38 B33:M33 B43:M43 B28:M28 B5:M5 B23:M23 B48:M48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984</v>
      </c>
      <c r="E4" s="11">
        <f t="shared" ref="E4:E68" si="2">IFERROR(IF(G4/F4=1,"1.00",G4/F4),"---")</f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</c>
      <c r="L4" s="7">
        <v>0</v>
      </c>
      <c r="M4" s="11">
        <f t="shared" ref="M4:M67" si="3">IFERROR(IF((G4+P4+Q4)/(F4+P4+Q4+S4)=1,"1.00",(G4+P4+Q4)/(F4+P4+Q4+S4)),0)</f>
      </c>
      <c r="N4" s="11">
        <f t="shared" ref="N4:N67" si="4">IFERROR(SUM(K4/F4,((G4+P4+Q4)/(F4+P4+Q4+S4))),M4)</f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</c>
      <c r="X4" t="s" s="13">
        <v>292</v>
      </c>
    </row>
    <row r="5" spans="2:24" ht="13.8" x14ac:dyDescent="0.2">
      <c r="B5" s="8">
        <f t="shared" ref="B5:B68" si="5">IF(C5="","",C5)</f>
      </c>
      <c r="C5" s="10">
        <v>0</v>
      </c>
      <c r="D5" t="s" s="13">
        <v>985</v>
      </c>
      <c r="E5" s="11">
        <f t="shared" si="2"/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</c>
      <c r="L5" s="7">
        <v>17</v>
      </c>
      <c r="M5" s="11">
        <f t="shared" si="3"/>
      </c>
      <c r="N5" s="11">
        <f t="shared" si="4"/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</c>
      <c r="X5" t="s" s="13">
        <v>293</v>
      </c>
    </row>
    <row r="6" spans="2:24" ht="13.8" x14ac:dyDescent="0.2">
      <c r="B6" s="8">
        <f t="shared" si="5"/>
      </c>
      <c r="C6" s="10">
        <v>1</v>
      </c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</c>
      <c r="L6" s="7">
        <v>0</v>
      </c>
      <c r="M6" s="11">
        <f t="shared" si="3"/>
      </c>
      <c r="N6" s="11">
        <f t="shared" si="4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13"/>
    </row>
    <row r="7" spans="2:24" ht="13.8" x14ac:dyDescent="0.2">
      <c r="B7" s="8">
        <f t="shared" si="5"/>
      </c>
      <c r="C7" s="10">
        <v>2</v>
      </c>
      <c r="D7" t="s" s="13">
        <v>1744</v>
      </c>
      <c r="E7" s="11">
        <f t="shared" si="2"/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</c>
      <c r="L7" s="7">
        <v>28</v>
      </c>
      <c r="M7" s="11">
        <f t="shared" si="3"/>
      </c>
      <c r="N7" s="11">
        <f t="shared" si="4"/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</c>
      <c r="X7" t="s" s="13">
        <v>295</v>
      </c>
    </row>
    <row r="8" spans="2:24" ht="13.8" x14ac:dyDescent="0.2">
      <c r="B8" s="8">
        <f t="shared" si="5"/>
      </c>
      <c r="C8" s="10">
        <v>3</v>
      </c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</c>
      <c r="L8" s="7">
        <v>0</v>
      </c>
      <c r="M8" s="11">
        <f t="shared" si="3"/>
      </c>
      <c r="N8" s="11">
        <f t="shared" si="4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13"/>
    </row>
    <row r="9" spans="2:24" ht="13.8" x14ac:dyDescent="0.2">
      <c r="B9" s="8">
        <f t="shared" si="5"/>
      </c>
      <c r="C9" s="10">
        <v>4</v>
      </c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</c>
      <c r="L9" s="7">
        <v>0</v>
      </c>
      <c r="M9" s="11">
        <f t="shared" si="3"/>
      </c>
      <c r="N9" s="11">
        <f t="shared" si="4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13"/>
    </row>
    <row r="10" spans="2:24" ht="13.8" x14ac:dyDescent="0.2">
      <c r="B10" s="8">
        <f t="shared" si="5"/>
      </c>
      <c r="C10" s="10">
        <v>5</v>
      </c>
      <c r="D10" s="13"/>
      <c r="E10" s="11">
        <f t="shared" ref="E10" si="7">IFERROR(IF(G10/F10=1,"1.00",G10/F10),"---")</f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</c>
      <c r="L10" s="7">
        <v>0</v>
      </c>
      <c r="M10" s="11">
        <f t="shared" si="3"/>
      </c>
      <c r="N10" s="11">
        <f t="shared" si="4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13"/>
    </row>
    <row r="11" spans="2:24" ht="13.8" x14ac:dyDescent="0.2">
      <c r="B11" s="8">
        <f t="shared" si="5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</c>
      <c r="L11" s="7">
        <v>0</v>
      </c>
      <c r="M11" s="11">
        <f t="shared" si="3"/>
      </c>
      <c r="N11" s="11">
        <f t="shared" si="4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13"/>
    </row>
    <row r="12" spans="2:24" ht="13.8" x14ac:dyDescent="0.2">
      <c r="B12" s="8">
        <f t="shared" si="5"/>
      </c>
      <c r="C12" s="10">
        <v>7</v>
      </c>
      <c r="D12" t="s" s="13">
        <v>986</v>
      </c>
      <c r="E12" s="11">
        <f t="shared" si="2"/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2">
        <f t="shared" si="6"/>
      </c>
      <c r="L12" s="7">
        <v>35</v>
      </c>
      <c r="M12" s="11">
        <f t="shared" si="3"/>
      </c>
      <c r="N12" s="11">
        <f t="shared" si="4"/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</c>
      <c r="X12" t="s" s="13">
        <v>296</v>
      </c>
    </row>
    <row r="13" spans="2:24" ht="13.8" x14ac:dyDescent="0.2">
      <c r="B13" s="8">
        <f t="shared" si="5"/>
      </c>
      <c r="C13" s="10">
        <v>8</v>
      </c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</c>
      <c r="L13" s="7">
        <v>0</v>
      </c>
      <c r="M13" s="11">
        <f t="shared" si="3"/>
      </c>
      <c r="N13" s="11">
        <f t="shared" si="4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13"/>
    </row>
    <row r="14" spans="2:24" ht="13.8" x14ac:dyDescent="0.2">
      <c r="B14" s="8">
        <f t="shared" si="5"/>
      </c>
      <c r="C14" s="10">
        <v>9</v>
      </c>
      <c r="D14" t="s" s="13">
        <v>818</v>
      </c>
      <c r="E14" s="11">
        <f t="shared" si="2"/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</c>
      <c r="L14" s="7">
        <v>38</v>
      </c>
      <c r="M14" s="11">
        <f t="shared" si="3"/>
      </c>
      <c r="N14" s="11">
        <f t="shared" si="4"/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</c>
      <c r="X14" t="s" s="13">
        <v>914</v>
      </c>
    </row>
    <row r="15" spans="2:24" ht="13.8" x14ac:dyDescent="0.2">
      <c r="B15" s="8">
        <f t="shared" si="5"/>
      </c>
      <c r="C15" s="10">
        <v>10</v>
      </c>
      <c r="D15" t="s" s="13">
        <v>987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</c>
      <c r="L15" s="7">
        <v>0</v>
      </c>
      <c r="M15" s="11">
        <f t="shared" si="3"/>
      </c>
      <c r="N15" s="11">
        <f t="shared" si="4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13">
        <v>1022</v>
      </c>
    </row>
    <row r="16" spans="2:24" ht="13.8" x14ac:dyDescent="0.2">
      <c r="B16" s="8">
        <f t="shared" si="5"/>
      </c>
      <c r="C16" s="10">
        <v>11</v>
      </c>
      <c r="D16" t="s" s="13">
        <v>988</v>
      </c>
      <c r="E16" s="11">
        <f t="shared" si="2"/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</c>
      <c r="L16" s="7">
        <v>0</v>
      </c>
      <c r="M16" s="11">
        <f t="shared" si="3"/>
      </c>
      <c r="N16" s="11">
        <f t="shared" si="4"/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313</v>
      </c>
    </row>
    <row r="17" spans="2:24" ht="13.8" x14ac:dyDescent="0.2">
      <c r="B17" s="8">
        <f t="shared" si="5"/>
      </c>
      <c r="C17" s="10">
        <v>12</v>
      </c>
      <c r="D17" t="s" s="13">
        <v>989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</c>
      <c r="L17" s="7">
        <v>0</v>
      </c>
      <c r="M17" s="11">
        <f t="shared" si="3"/>
      </c>
      <c r="N17" s="11">
        <f t="shared" si="4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314</v>
      </c>
    </row>
    <row r="18" spans="2:24" ht="13.8" x14ac:dyDescent="0.2">
      <c r="B18" s="8">
        <f t="shared" si="5"/>
      </c>
      <c r="C18" s="10">
        <v>13</v>
      </c>
      <c r="D18" t="s" s="13">
        <v>990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</c>
      <c r="L18" s="7">
        <v>0</v>
      </c>
      <c r="M18" s="11">
        <f t="shared" si="3"/>
      </c>
      <c r="N18" s="11">
        <f t="shared" si="4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315</v>
      </c>
    </row>
    <row r="19" spans="2:24" ht="13.8" x14ac:dyDescent="0.2">
      <c r="B19" s="8">
        <f t="shared" si="5"/>
      </c>
      <c r="C19" s="10">
        <v>14</v>
      </c>
      <c r="D19" t="s" s="13">
        <v>991</v>
      </c>
      <c r="E19" s="11">
        <f t="shared" si="2"/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</c>
      <c r="L19" s="7">
        <v>0</v>
      </c>
      <c r="M19" s="11">
        <f t="shared" si="3"/>
      </c>
      <c r="N19" s="11">
        <f t="shared" si="4"/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268</v>
      </c>
    </row>
    <row r="20" spans="2:24" ht="13.8" x14ac:dyDescent="0.2">
      <c r="B20" s="8">
        <f t="shared" si="5"/>
      </c>
      <c r="C20" s="10">
        <v>15</v>
      </c>
      <c r="D20" s="13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</c>
      <c r="L20" s="7">
        <v>0</v>
      </c>
      <c r="M20" s="11">
        <f t="shared" si="3"/>
      </c>
      <c r="N20" s="11">
        <f t="shared" si="4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13"/>
    </row>
    <row r="21" spans="2:24" ht="13.8" x14ac:dyDescent="0.2">
      <c r="B21" s="8">
        <f t="shared" si="5"/>
      </c>
      <c r="C21" s="10">
        <v>16</v>
      </c>
      <c r="D21" t="s" s="13">
        <v>1438</v>
      </c>
      <c r="E21" s="11">
        <f t="shared" si="2"/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</c>
      <c r="L21" s="7">
        <v>1</v>
      </c>
      <c r="M21" s="11">
        <f t="shared" si="3"/>
      </c>
      <c r="N21" s="11">
        <f t="shared" si="4"/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13">
        <v>675</v>
      </c>
    </row>
    <row r="22" spans="2:24" ht="13.8" x14ac:dyDescent="0.2">
      <c r="B22" s="8">
        <f t="shared" si="5"/>
      </c>
      <c r="C22" s="10">
        <v>17</v>
      </c>
      <c r="D22" t="s" s="13">
        <v>992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</c>
      <c r="L22" s="7">
        <v>0</v>
      </c>
      <c r="M22" s="11">
        <f t="shared" si="3"/>
      </c>
      <c r="N22" s="11">
        <f t="shared" si="4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1023</v>
      </c>
    </row>
    <row r="23" spans="2:24" ht="13.8" x14ac:dyDescent="0.2">
      <c r="B23" s="8">
        <f t="shared" si="5"/>
      </c>
      <c r="C23" s="10">
        <v>18</v>
      </c>
      <c r="D23" t="s" s="13">
        <v>1320</v>
      </c>
      <c r="E23" s="11">
        <f t="shared" si="2"/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</c>
      <c r="L23" s="7">
        <v>4</v>
      </c>
      <c r="M23" s="11">
        <f t="shared" si="3"/>
      </c>
      <c r="N23" s="11">
        <f t="shared" si="4"/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317</v>
      </c>
    </row>
    <row r="24" spans="2:24" ht="13.8" x14ac:dyDescent="0.2">
      <c r="B24" s="8">
        <f t="shared" si="5"/>
      </c>
      <c r="C24" s="10">
        <v>19</v>
      </c>
      <c r="D24" t="s" s="13">
        <v>1685</v>
      </c>
      <c r="E24" s="11">
        <f t="shared" si="2"/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</c>
      <c r="L24" s="7">
        <v>0</v>
      </c>
      <c r="M24" s="11">
        <f t="shared" si="3"/>
      </c>
      <c r="N24" s="11">
        <f t="shared" si="4"/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318</v>
      </c>
    </row>
    <row r="25" spans="2:24" ht="13.8" x14ac:dyDescent="0.2">
      <c r="B25" s="8">
        <f t="shared" si="5"/>
      </c>
      <c r="C25" s="10">
        <v>20</v>
      </c>
      <c r="D25" t="s" s="13">
        <v>993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</c>
      <c r="L25" s="7">
        <v>0</v>
      </c>
      <c r="M25" s="11">
        <f t="shared" si="3"/>
      </c>
      <c r="N25" s="11">
        <f t="shared" si="4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319</v>
      </c>
    </row>
    <row r="26" spans="2:24" ht="13.8" x14ac:dyDescent="0.2">
      <c r="B26" s="8">
        <f t="shared" si="5"/>
      </c>
      <c r="C26" s="10">
        <v>21</v>
      </c>
      <c r="D26" t="s" s="13">
        <v>994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</c>
      <c r="L26" s="7">
        <v>0</v>
      </c>
      <c r="M26" s="11">
        <f t="shared" si="3"/>
      </c>
      <c r="N26" s="11">
        <f t="shared" si="4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13">
        <v>1024</v>
      </c>
    </row>
    <row r="27" spans="2:24" ht="13.8" x14ac:dyDescent="0.2">
      <c r="B27" s="8">
        <f t="shared" si="5"/>
      </c>
      <c r="C27" s="10">
        <v>22</v>
      </c>
      <c r="D27" t="s" s="13">
        <v>995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</c>
      <c r="L27" s="7">
        <v>0</v>
      </c>
      <c r="M27" s="11">
        <f t="shared" si="3"/>
      </c>
      <c r="N27" s="11">
        <f t="shared" si="4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1025</v>
      </c>
    </row>
    <row r="28" spans="2:24" ht="13.8" x14ac:dyDescent="0.2">
      <c r="B28" s="8">
        <f t="shared" si="5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</c>
      <c r="L28" s="7">
        <v>0</v>
      </c>
      <c r="M28" s="11">
        <f t="shared" si="3"/>
      </c>
      <c r="N28" s="11">
        <f t="shared" si="4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5"/>
      </c>
      <c r="C29" s="10">
        <v>24</v>
      </c>
      <c r="D29" t="s" s="13">
        <v>664</v>
      </c>
      <c r="E29" s="11">
        <f t="shared" si="2"/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</c>
      <c r="L29" s="7">
        <v>0</v>
      </c>
      <c r="M29" s="11">
        <f t="shared" si="3"/>
      </c>
      <c r="N29" s="11">
        <f t="shared" si="4"/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13">
        <v>676</v>
      </c>
    </row>
    <row r="30" spans="2:24" ht="13.8" x14ac:dyDescent="0.2">
      <c r="B30" s="8">
        <f t="shared" si="5"/>
      </c>
      <c r="C30" s="10">
        <v>25</v>
      </c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</c>
      <c r="L30" s="7">
        <v>0</v>
      </c>
      <c r="M30" s="11">
        <f t="shared" si="3"/>
      </c>
      <c r="N30" s="11">
        <f t="shared" si="4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13"/>
    </row>
    <row r="31" spans="2:24" ht="13.8" x14ac:dyDescent="0.2">
      <c r="B31" s="8">
        <f t="shared" si="5"/>
      </c>
      <c r="C31" s="10">
        <v>26</v>
      </c>
      <c r="D31" t="s" s="13">
        <v>905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</c>
      <c r="L31" s="7">
        <v>0</v>
      </c>
      <c r="M31" s="11">
        <f t="shared" si="3"/>
      </c>
      <c r="N31" s="11">
        <f t="shared" si="4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915</v>
      </c>
    </row>
    <row r="32" spans="2:24" ht="13.8" x14ac:dyDescent="0.2">
      <c r="B32" s="8">
        <f t="shared" si="5"/>
      </c>
      <c r="C32" s="10">
        <v>27</v>
      </c>
      <c r="D32" t="s" s="13">
        <v>996</v>
      </c>
      <c r="E32" s="11">
        <f t="shared" si="2"/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</c>
      <c r="L32" s="7">
        <v>10</v>
      </c>
      <c r="M32" s="11">
        <f t="shared" si="3"/>
      </c>
      <c r="N32" s="11">
        <f t="shared" si="4"/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</c>
      <c r="X32" t="s" s="13">
        <v>298</v>
      </c>
    </row>
    <row r="33" spans="2:24" ht="13.8" x14ac:dyDescent="0.2">
      <c r="B33" s="8">
        <f t="shared" si="5"/>
      </c>
      <c r="C33" s="10">
        <v>28</v>
      </c>
      <c r="D33" t="s" s="13">
        <v>997</v>
      </c>
      <c r="E33" s="11">
        <f t="shared" si="2"/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</c>
      <c r="L33" s="7">
        <v>1</v>
      </c>
      <c r="M33" s="11">
        <f t="shared" si="3"/>
      </c>
      <c r="N33" s="11">
        <f t="shared" si="4"/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320</v>
      </c>
    </row>
    <row r="34" spans="2:24" ht="13.8" x14ac:dyDescent="0.2">
      <c r="B34" s="8">
        <f t="shared" si="5"/>
      </c>
      <c r="C34" s="10">
        <v>29</v>
      </c>
      <c r="D34" t="s" s="13">
        <v>665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</c>
      <c r="L34" s="7">
        <v>0</v>
      </c>
      <c r="M34" s="11">
        <f t="shared" si="3"/>
      </c>
      <c r="N34" s="11">
        <f t="shared" si="4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321</v>
      </c>
    </row>
    <row r="35" spans="2:24" ht="13.8" x14ac:dyDescent="0.2">
      <c r="B35" s="8">
        <f t="shared" si="5"/>
      </c>
      <c r="C35" s="10">
        <v>30</v>
      </c>
      <c r="D35" t="s" s="13">
        <v>998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</c>
      <c r="L35" s="7">
        <v>0</v>
      </c>
      <c r="M35" s="11">
        <f t="shared" si="3"/>
      </c>
      <c r="N35" s="11">
        <f t="shared" si="4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1026</v>
      </c>
    </row>
    <row r="36" spans="2:24" ht="13.8" x14ac:dyDescent="0.2">
      <c r="B36" s="8">
        <f t="shared" si="5"/>
      </c>
      <c r="C36" s="10">
        <v>31</v>
      </c>
      <c r="D36" t="s" s="13">
        <v>999</v>
      </c>
      <c r="E36" s="11">
        <f t="shared" si="2"/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</c>
      <c r="L36" s="7">
        <v>44</v>
      </c>
      <c r="M36" s="11">
        <f t="shared" si="3"/>
      </c>
      <c r="N36" s="11">
        <f t="shared" si="4"/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</c>
      <c r="X36" t="s" s="13">
        <v>299</v>
      </c>
    </row>
    <row r="37" spans="2:24" ht="13.8" x14ac:dyDescent="0.2">
      <c r="B37" s="8">
        <f t="shared" si="5"/>
      </c>
      <c r="C37" s="10">
        <v>32</v>
      </c>
      <c r="D37" t="s" s="13">
        <v>1190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</c>
      <c r="L37" s="7">
        <v>0</v>
      </c>
      <c r="M37" s="11">
        <f t="shared" si="3"/>
      </c>
      <c r="N37" s="11">
        <f t="shared" si="4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310</v>
      </c>
    </row>
    <row r="38" spans="2:24" ht="13.8" x14ac:dyDescent="0.2">
      <c r="B38" s="8">
        <f t="shared" si="5"/>
      </c>
      <c r="C38" s="10">
        <v>33</v>
      </c>
      <c r="D38" t="s" s="13">
        <v>1000</v>
      </c>
      <c r="E38" s="11">
        <f t="shared" si="2"/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</c>
      <c r="L38" s="7">
        <v>27</v>
      </c>
      <c r="M38" s="11">
        <f t="shared" si="3"/>
      </c>
      <c r="N38" s="11">
        <f t="shared" si="4"/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</c>
      <c r="X38" t="s" s="13">
        <v>300</v>
      </c>
    </row>
    <row r="39" spans="2:24" ht="13.8" x14ac:dyDescent="0.2">
      <c r="B39" s="8">
        <f t="shared" si="5"/>
      </c>
      <c r="C39" s="10">
        <v>34</v>
      </c>
      <c r="D39" t="s" s="13">
        <v>1001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</c>
      <c r="L39" s="7">
        <v>0</v>
      </c>
      <c r="M39" s="11">
        <f t="shared" si="3"/>
      </c>
      <c r="N39" s="11">
        <f t="shared" si="4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322</v>
      </c>
    </row>
    <row r="40" spans="2:24" ht="13.8" x14ac:dyDescent="0.2">
      <c r="B40" s="8">
        <f t="shared" si="5"/>
      </c>
      <c r="C40" s="10">
        <v>35</v>
      </c>
      <c r="D40" t="s" s="13">
        <v>1002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</c>
      <c r="L40" s="7">
        <v>0</v>
      </c>
      <c r="M40" s="11">
        <f t="shared" si="3"/>
      </c>
      <c r="N40" s="11">
        <f t="shared" si="4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1027</v>
      </c>
    </row>
    <row r="41" spans="2:24" ht="13.8" x14ac:dyDescent="0.2">
      <c r="B41" s="8">
        <f t="shared" si="5"/>
      </c>
      <c r="C41" s="10">
        <v>36</v>
      </c>
      <c r="D41" t="s" s="13">
        <v>1003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</c>
      <c r="L41" s="7">
        <v>0</v>
      </c>
      <c r="M41" s="11">
        <f t="shared" si="3"/>
      </c>
      <c r="N41" s="11">
        <f t="shared" si="4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323</v>
      </c>
    </row>
    <row r="42" spans="2:24" ht="13.8" x14ac:dyDescent="0.2">
      <c r="B42" s="8">
        <f t="shared" si="5"/>
      </c>
      <c r="C42" s="10">
        <v>37</v>
      </c>
      <c r="D42" t="s" s="13">
        <v>1004</v>
      </c>
      <c r="E42" s="11">
        <f t="shared" si="2"/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</c>
      <c r="L42" s="7">
        <v>26</v>
      </c>
      <c r="M42" s="11">
        <f t="shared" si="3"/>
      </c>
      <c r="N42" s="11">
        <f t="shared" si="4"/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</c>
      <c r="X42" t="s" s="13">
        <v>301</v>
      </c>
    </row>
    <row r="43" spans="2:24" ht="13.8" x14ac:dyDescent="0.2">
      <c r="B43" s="8">
        <f t="shared" si="5"/>
      </c>
      <c r="C43" s="10">
        <v>38</v>
      </c>
      <c r="D43" t="s" s="13">
        <v>1005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</c>
      <c r="L43" s="7">
        <v>0</v>
      </c>
      <c r="M43" s="11">
        <f t="shared" si="3"/>
      </c>
      <c r="N43" s="11">
        <f t="shared" si="4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302</v>
      </c>
    </row>
    <row r="44" spans="2:24" ht="13.8" x14ac:dyDescent="0.2">
      <c r="B44" s="8">
        <f t="shared" si="5"/>
      </c>
      <c r="C44" s="10">
        <v>39</v>
      </c>
      <c r="D44" t="s" s="13">
        <v>906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</c>
      <c r="L44" s="7">
        <v>0</v>
      </c>
      <c r="M44" s="11">
        <f t="shared" si="3"/>
      </c>
      <c r="N44" s="11">
        <f t="shared" si="4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916</v>
      </c>
    </row>
    <row r="45" spans="2:24" ht="13.8" x14ac:dyDescent="0.2">
      <c r="B45" s="8">
        <f t="shared" si="5"/>
      </c>
      <c r="C45" s="10">
        <v>40</v>
      </c>
      <c r="D45" t="s" s="13">
        <v>1006</v>
      </c>
      <c r="E45" s="11">
        <f t="shared" si="2"/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</c>
      <c r="L45" s="7">
        <v>4</v>
      </c>
      <c r="M45" s="11">
        <f t="shared" si="3"/>
      </c>
      <c r="N45" s="11">
        <f t="shared" si="4"/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</c>
      <c r="X45" t="s" s="13">
        <v>303</v>
      </c>
    </row>
    <row r="46" spans="2:24" ht="13.8" x14ac:dyDescent="0.2">
      <c r="B46" s="8">
        <f t="shared" si="5"/>
      </c>
      <c r="C46" s="10">
        <v>41</v>
      </c>
      <c r="D46" t="s" s="13">
        <v>1007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</c>
      <c r="L46" s="7">
        <v>0</v>
      </c>
      <c r="M46" s="11">
        <f t="shared" si="3"/>
      </c>
      <c r="N46" s="11">
        <f t="shared" si="4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324</v>
      </c>
    </row>
    <row r="47" spans="2:24" ht="13.8" x14ac:dyDescent="0.2">
      <c r="B47" s="8">
        <f t="shared" si="5"/>
      </c>
      <c r="C47" s="10">
        <v>42</v>
      </c>
      <c r="D47" t="s" s="13">
        <v>1008</v>
      </c>
      <c r="E47" s="11">
        <f t="shared" si="2"/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</c>
      <c r="L47" s="7">
        <v>0</v>
      </c>
      <c r="M47" s="11">
        <f t="shared" si="3"/>
      </c>
      <c r="N47" s="11">
        <f t="shared" si="4"/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13">
        <v>1028</v>
      </c>
    </row>
    <row r="48" spans="2:24" ht="13.8" x14ac:dyDescent="0.2">
      <c r="B48" s="8">
        <f t="shared" si="5"/>
      </c>
      <c r="C48" s="10">
        <v>43</v>
      </c>
      <c r="D48" t="s" s="13">
        <v>1009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</c>
      <c r="L48" s="7">
        <v>0</v>
      </c>
      <c r="M48" s="11">
        <f t="shared" si="3"/>
      </c>
      <c r="N48" s="11">
        <f t="shared" si="4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269</v>
      </c>
    </row>
    <row r="49" spans="2:24" ht="13.8" x14ac:dyDescent="0.2">
      <c r="B49" s="8">
        <f t="shared" si="5"/>
      </c>
      <c r="C49" s="10">
        <v>44</v>
      </c>
      <c r="D49" t="s" s="13">
        <v>1310</v>
      </c>
      <c r="E49" s="11">
        <f t="shared" si="2"/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</c>
      <c r="L49" s="7">
        <v>5</v>
      </c>
      <c r="M49" s="11">
        <f t="shared" si="3"/>
      </c>
      <c r="N49" s="11">
        <f t="shared" si="4"/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304</v>
      </c>
    </row>
    <row r="50" spans="2:24" ht="13.8" x14ac:dyDescent="0.2">
      <c r="B50" s="8">
        <f t="shared" si="5"/>
      </c>
      <c r="C50" s="10">
        <v>45</v>
      </c>
      <c r="D50" t="s" s="13">
        <v>1319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</c>
      <c r="L50" s="7">
        <v>0</v>
      </c>
      <c r="M50" s="11">
        <f t="shared" si="3"/>
      </c>
      <c r="N50" s="11">
        <f t="shared" si="4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677</v>
      </c>
    </row>
    <row r="51" spans="2:24" ht="13.8" x14ac:dyDescent="0.2">
      <c r="B51" s="8">
        <f t="shared" si="5"/>
      </c>
      <c r="C51" s="10">
        <v>46</v>
      </c>
      <c r="D51" t="s" s="13">
        <v>1840</v>
      </c>
      <c r="E51" s="11">
        <f t="shared" si="2"/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</c>
      <c r="L51" s="7">
        <v>0</v>
      </c>
      <c r="M51" s="11">
        <f t="shared" si="3"/>
      </c>
      <c r="N51" s="11">
        <f t="shared" si="4"/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917</v>
      </c>
    </row>
    <row r="52" spans="2:24" ht="13.8" x14ac:dyDescent="0.2">
      <c r="B52" s="8">
        <f t="shared" si="5"/>
      </c>
      <c r="C52" s="10">
        <v>47</v>
      </c>
      <c r="D52" t="s" s="13">
        <v>907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</c>
      <c r="L52" s="7">
        <v>0</v>
      </c>
      <c r="M52" s="11">
        <f t="shared" si="3"/>
      </c>
      <c r="N52" s="11">
        <f t="shared" si="4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918</v>
      </c>
    </row>
    <row r="53" spans="2:24" ht="13.8" x14ac:dyDescent="0.2">
      <c r="B53" s="8">
        <f t="shared" si="5"/>
      </c>
      <c r="C53" s="10">
        <v>48</v>
      </c>
      <c r="D53" t="s" s="13">
        <v>666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</c>
      <c r="L53" s="7">
        <v>0</v>
      </c>
      <c r="M53" s="11">
        <f t="shared" si="3"/>
      </c>
      <c r="N53" s="11">
        <f t="shared" si="4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270</v>
      </c>
    </row>
    <row r="54" spans="2:24" ht="13.8" x14ac:dyDescent="0.2">
      <c r="B54" s="8">
        <f t="shared" si="5"/>
      </c>
      <c r="C54" s="10">
        <v>49</v>
      </c>
      <c r="D54" t="s" s="13">
        <v>908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</c>
      <c r="L54" s="7">
        <v>0</v>
      </c>
      <c r="M54" s="11">
        <f t="shared" si="3"/>
      </c>
      <c r="N54" s="11">
        <f t="shared" si="4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919</v>
      </c>
    </row>
    <row r="55" spans="2:24" ht="13.8" x14ac:dyDescent="0.2">
      <c r="B55" s="8">
        <f t="shared" si="5"/>
      </c>
      <c r="C55" s="10">
        <v>50</v>
      </c>
      <c r="D55" t="s" s="13">
        <v>667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</c>
      <c r="L55" s="7">
        <v>0</v>
      </c>
      <c r="M55" s="11">
        <f t="shared" si="3"/>
      </c>
      <c r="N55" s="11">
        <f t="shared" si="4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678</v>
      </c>
    </row>
    <row r="56" spans="2:24" ht="13.8" x14ac:dyDescent="0.2">
      <c r="B56" s="8">
        <f t="shared" si="5"/>
      </c>
      <c r="C56" s="10">
        <v>51</v>
      </c>
      <c r="D56" t="s" s="13">
        <v>1010</v>
      </c>
      <c r="E56" s="11">
        <f t="shared" si="2"/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</c>
      <c r="L56" s="7">
        <v>31</v>
      </c>
      <c r="M56" s="11">
        <f t="shared" si="3"/>
      </c>
      <c r="N56" s="11">
        <f t="shared" si="4"/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</c>
      <c r="X56" t="s" s="13">
        <v>305</v>
      </c>
    </row>
    <row r="57" spans="2:24" ht="13.8" x14ac:dyDescent="0.2">
      <c r="B57" s="8">
        <f t="shared" si="5"/>
      </c>
      <c r="C57" s="10">
        <v>52</v>
      </c>
      <c r="D57" t="s" s="13">
        <v>668</v>
      </c>
      <c r="E57" s="11">
        <f t="shared" si="2"/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</c>
      <c r="L57" s="7">
        <v>27</v>
      </c>
      <c r="M57" s="11">
        <f t="shared" si="3"/>
      </c>
      <c r="N57" s="11">
        <f t="shared" si="4"/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</c>
      <c r="X57" t="s" s="13">
        <v>679</v>
      </c>
    </row>
    <row r="58" spans="2:24" ht="13.8" x14ac:dyDescent="0.2">
      <c r="B58" s="8">
        <f t="shared" si="5"/>
      </c>
      <c r="C58" s="10">
        <v>53</v>
      </c>
      <c r="D58" t="s" s="13">
        <v>1571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</c>
      <c r="L58" s="7">
        <v>0</v>
      </c>
      <c r="M58" s="11">
        <f t="shared" si="3"/>
      </c>
      <c r="N58" s="11">
        <f t="shared" si="4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325</v>
      </c>
    </row>
    <row r="59" spans="2:24" ht="13.8" x14ac:dyDescent="0.2">
      <c r="B59" s="8">
        <f t="shared" si="5"/>
      </c>
      <c r="C59" s="10">
        <v>54</v>
      </c>
      <c r="D59" t="s" s="13">
        <v>1011</v>
      </c>
      <c r="E59" s="11">
        <f t="shared" si="2"/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</c>
      <c r="L59" s="7">
        <v>3</v>
      </c>
      <c r="M59" s="11">
        <f t="shared" si="3"/>
      </c>
      <c r="N59" s="11">
        <f t="shared" si="4"/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</c>
      <c r="X59" t="s" s="13">
        <v>306</v>
      </c>
    </row>
    <row r="60" spans="2:24" ht="13.8" x14ac:dyDescent="0.2">
      <c r="B60" s="8">
        <f t="shared" si="5"/>
      </c>
      <c r="C60" s="10">
        <v>55</v>
      </c>
      <c r="D60" t="s" s="13">
        <v>1960</v>
      </c>
      <c r="E60" s="11">
        <f t="shared" si="2"/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</c>
      <c r="L60" s="7">
        <v>27</v>
      </c>
      <c r="M60" s="11">
        <f t="shared" si="3"/>
      </c>
      <c r="N60" s="11">
        <f t="shared" si="4"/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</c>
      <c r="X60" t="s" s="13">
        <v>307</v>
      </c>
    </row>
    <row r="61" spans="2:24" ht="13.8" x14ac:dyDescent="0.2">
      <c r="B61" s="8">
        <f t="shared" si="5"/>
      </c>
      <c r="C61" s="10">
        <v>56</v>
      </c>
      <c r="D61" t="s" s="13">
        <v>909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</c>
      <c r="L61" s="7">
        <v>0</v>
      </c>
      <c r="M61" s="11">
        <f t="shared" si="3"/>
      </c>
      <c r="N61" s="11">
        <f t="shared" si="4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920</v>
      </c>
    </row>
    <row r="62" spans="2:24" ht="13.8" x14ac:dyDescent="0.2">
      <c r="B62" s="8">
        <f t="shared" si="5"/>
      </c>
      <c r="C62" s="10">
        <v>57</v>
      </c>
      <c r="D62" t="s" s="13">
        <v>673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</c>
      <c r="L62" s="7">
        <v>0</v>
      </c>
      <c r="M62" s="11">
        <f t="shared" si="3"/>
      </c>
      <c r="N62" s="11">
        <f t="shared" si="4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312</v>
      </c>
    </row>
    <row r="63" spans="2:24" ht="13.8" x14ac:dyDescent="0.2">
      <c r="B63" s="8">
        <f t="shared" si="5"/>
      </c>
      <c r="C63" s="10">
        <v>58</v>
      </c>
      <c r="D63" t="s" s="13">
        <v>1570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</c>
      <c r="L63" s="7">
        <v>0</v>
      </c>
      <c r="M63" s="11">
        <f t="shared" si="3"/>
      </c>
      <c r="N63" s="11">
        <f t="shared" si="4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1029</v>
      </c>
    </row>
    <row r="64" spans="2:24" ht="13.8" x14ac:dyDescent="0.2">
      <c r="B64" s="8">
        <f t="shared" si="5"/>
      </c>
      <c r="C64" s="10">
        <v>59</v>
      </c>
      <c r="D64" t="s" s="13">
        <v>1012</v>
      </c>
      <c r="E64" s="11">
        <f t="shared" si="2"/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</c>
      <c r="L64" s="7">
        <v>5</v>
      </c>
      <c r="M64" s="11">
        <f t="shared" si="3"/>
      </c>
      <c r="N64" s="11">
        <f t="shared" si="4"/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</c>
      <c r="X64" t="s" s="13">
        <v>308</v>
      </c>
    </row>
    <row r="65" spans="2:24" ht="13.8" x14ac:dyDescent="0.2">
      <c r="B65" s="8">
        <f t="shared" si="5"/>
      </c>
      <c r="C65" s="10">
        <v>60</v>
      </c>
      <c r="D65" t="s" s="13">
        <v>1657</v>
      </c>
      <c r="E65" s="11">
        <f t="shared" si="2"/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2">
        <f t="shared" si="6"/>
      </c>
      <c r="L65" s="7">
        <v>0</v>
      </c>
      <c r="M65" s="11">
        <f t="shared" si="3"/>
      </c>
      <c r="N65" s="11">
        <f t="shared" si="4"/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</c>
      <c r="X65" t="s" s="13">
        <v>680</v>
      </c>
    </row>
    <row r="66" spans="2:24" ht="13.8" x14ac:dyDescent="0.2">
      <c r="B66" s="8">
        <f t="shared" si="5"/>
      </c>
      <c r="C66" s="10">
        <v>61</v>
      </c>
      <c r="D66" t="s" s="13">
        <v>1013</v>
      </c>
      <c r="E66" s="11">
        <f t="shared" si="2"/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</c>
      <c r="L66" s="7">
        <v>3</v>
      </c>
      <c r="M66" s="11">
        <f t="shared" si="3"/>
      </c>
      <c r="N66" s="11">
        <f t="shared" si="4"/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</c>
      <c r="X66" t="s" s="13">
        <v>309</v>
      </c>
    </row>
    <row r="67" spans="2:24" ht="13.8" x14ac:dyDescent="0.2">
      <c r="B67" s="8">
        <f t="shared" si="5"/>
      </c>
      <c r="C67" s="10">
        <v>62</v>
      </c>
      <c r="D67" t="s" s="13">
        <v>1182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</c>
      <c r="L67" s="7">
        <v>0</v>
      </c>
      <c r="M67" s="11">
        <f t="shared" si="3"/>
      </c>
      <c r="N67" s="11">
        <f t="shared" si="4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921</v>
      </c>
    </row>
    <row r="68" spans="2:24" ht="13.8" x14ac:dyDescent="0.2">
      <c r="B68" s="8">
        <f t="shared" si="5"/>
      </c>
      <c r="C68" s="10">
        <v>63</v>
      </c>
      <c r="D68" t="s" s="13">
        <v>910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13">
        <v>1030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669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681</v>
      </c>
    </row>
    <row r="70" spans="2:24" ht="13.8" x14ac:dyDescent="0.2">
      <c r="B70" s="8">
        <f t="shared" si="10"/>
      </c>
      <c r="C70" s="10">
        <v>65</v>
      </c>
      <c r="D70" t="s" s="13">
        <v>1285</v>
      </c>
      <c r="E70" s="11">
        <f t="shared" si="11"/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</c>
      <c r="L70" s="7">
        <v>2</v>
      </c>
      <c r="M70" s="11">
        <f t="shared" si="8"/>
      </c>
      <c r="N70" s="11">
        <f t="shared" si="9"/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326</v>
      </c>
    </row>
    <row r="71" spans="2:24" ht="13.8" x14ac:dyDescent="0.2">
      <c r="B71" s="8">
        <f t="shared" si="10"/>
      </c>
      <c r="C71" s="10">
        <v>66</v>
      </c>
      <c r="D71" t="s" s="13">
        <v>1014</v>
      </c>
      <c r="E71" s="11">
        <f t="shared" si="11"/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8"/>
      </c>
      <c r="N71" s="11">
        <f t="shared" si="9"/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327</v>
      </c>
    </row>
    <row r="72" spans="2:24" ht="13.8" x14ac:dyDescent="0.2">
      <c r="B72" s="8">
        <f t="shared" si="10"/>
      </c>
      <c r="C72" s="10">
        <v>67</v>
      </c>
      <c r="D72" t="s" s="13">
        <v>1219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1220</v>
      </c>
    </row>
    <row r="73" spans="2:24" ht="13.8" x14ac:dyDescent="0.2">
      <c r="B73" s="8">
        <f t="shared" si="10"/>
      </c>
      <c r="C73" s="10">
        <v>68</v>
      </c>
      <c r="D73" t="s" s="13">
        <v>1015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1031</v>
      </c>
    </row>
    <row r="74" spans="2:24" ht="13.8" x14ac:dyDescent="0.2">
      <c r="B74" s="8">
        <f t="shared" si="10"/>
      </c>
      <c r="C74" s="10">
        <v>69</v>
      </c>
      <c r="D74" t="s" s="13">
        <v>1016</v>
      </c>
      <c r="E74" s="11">
        <f t="shared" si="11"/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</c>
      <c r="L74" s="7">
        <v>4</v>
      </c>
      <c r="M74" s="11">
        <f t="shared" si="8"/>
      </c>
      <c r="N74" s="11">
        <f t="shared" si="9"/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</c>
      <c r="X74" t="s" s="13">
        <v>271</v>
      </c>
    </row>
    <row r="75" spans="2:24" ht="13.8" x14ac:dyDescent="0.2">
      <c r="B75" s="8">
        <f t="shared" si="10"/>
      </c>
      <c r="C75" s="10">
        <v>70</v>
      </c>
      <c r="D75" t="s" s="13">
        <v>1286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13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13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13"/>
    </row>
    <row r="98" spans="2:24" ht="13.8" x14ac:dyDescent="0.2">
      <c r="B98" s="8">
        <f t="shared" si="10"/>
      </c>
      <c r="C98" s="10">
        <v>93</v>
      </c>
      <c r="D98" s="13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13"/>
    </row>
    <row r="99" spans="2:24" ht="13.8" x14ac:dyDescent="0.2">
      <c r="B99" s="8">
        <f t="shared" si="10"/>
      </c>
      <c r="C99" s="10">
        <v>94</v>
      </c>
      <c r="D99" s="13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13"/>
    </row>
    <row r="100" spans="2:24" ht="13.8" x14ac:dyDescent="0.2">
      <c r="B100" s="8">
        <f t="shared" si="10"/>
      </c>
      <c r="C100" s="10">
        <v>95</v>
      </c>
      <c r="D100" t="s" s="13">
        <v>1017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13">
        <v>1032</v>
      </c>
    </row>
    <row r="101" spans="2:24" ht="13.8" x14ac:dyDescent="0.2">
      <c r="B101" s="8">
        <f t="shared" si="10"/>
      </c>
      <c r="C101" s="10">
        <v>96</v>
      </c>
      <c r="D101" t="s" s="13">
        <v>1018</v>
      </c>
      <c r="E101" s="11">
        <f t="shared" si="11"/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8"/>
      </c>
      <c r="N101" s="11">
        <f t="shared" si="9"/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</c>
      <c r="X101" t="s" s="13">
        <v>297</v>
      </c>
    </row>
    <row r="102" spans="2:24" ht="13.8" x14ac:dyDescent="0.2">
      <c r="B102" s="8">
        <f t="shared" si="10"/>
      </c>
      <c r="C102" s="10">
        <v>97</v>
      </c>
      <c r="D102" t="s" s="13">
        <v>911</v>
      </c>
      <c r="E102" s="11">
        <f t="shared" si="11"/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</c>
      <c r="L102" s="7">
        <v>3</v>
      </c>
      <c r="M102" s="11">
        <f t="shared" si="8"/>
      </c>
      <c r="N102" s="11">
        <f t="shared" si="9"/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</c>
      <c r="X102" t="s" s="13">
        <v>922</v>
      </c>
    </row>
    <row r="103" spans="2:24" ht="13.8" x14ac:dyDescent="0.2">
      <c r="B103" s="8">
        <f t="shared" si="10"/>
      </c>
      <c r="C103" s="10">
        <v>98</v>
      </c>
      <c r="D103" t="s" s="13">
        <v>670</v>
      </c>
      <c r="E103" s="11">
        <f t="shared" si="11"/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8"/>
      </c>
      <c r="N103" s="11">
        <f t="shared" si="9"/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13">
        <v>1033</v>
      </c>
    </row>
    <row r="104" spans="2:24" ht="13.8" x14ac:dyDescent="0.2">
      <c r="B104" s="8">
        <f t="shared" si="10"/>
      </c>
      <c r="C104" s="10">
        <v>99</v>
      </c>
      <c r="D104" t="s" s="13">
        <v>671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311</v>
      </c>
    </row>
    <row r="105" spans="2:24" ht="13.8" x14ac:dyDescent="0.2">
      <c r="B105" s="8">
        <f t="shared" si="10"/>
      </c>
      <c r="C105" s="10">
        <v>120</v>
      </c>
      <c r="D105" t="s" s="23">
        <v>1019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1034</v>
      </c>
    </row>
    <row r="106" spans="2:24" ht="13.8" x14ac:dyDescent="0.2">
      <c r="B106" s="8">
        <f t="shared" si="10"/>
      </c>
      <c r="C106" s="10">
        <v>121</v>
      </c>
      <c r="D106" t="s" s="13">
        <v>912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923</v>
      </c>
    </row>
    <row r="107" spans="2:24" ht="13.8" x14ac:dyDescent="0.2">
      <c r="B107" s="8">
        <f t="shared" si="10"/>
      </c>
      <c r="C107" s="10">
        <v>122</v>
      </c>
      <c r="D107" t="s" s="13">
        <v>672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682</v>
      </c>
    </row>
    <row r="108" spans="2:24" ht="13.8" x14ac:dyDescent="0.2">
      <c r="B108" s="8">
        <f t="shared" si="10"/>
      </c>
      <c r="C108" s="10">
        <v>123</v>
      </c>
      <c r="D108" t="s" s="13">
        <v>1468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316</v>
      </c>
    </row>
    <row r="109" spans="2:24" ht="13.8" x14ac:dyDescent="0.2">
      <c r="B109" s="8">
        <f t="shared" si="10"/>
      </c>
      <c r="C109" s="10">
        <v>124</v>
      </c>
      <c r="D109" t="s" s="13">
        <v>1020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1035</v>
      </c>
    </row>
    <row r="110" spans="2:24" ht="13.8" x14ac:dyDescent="0.2">
      <c r="B110" s="8">
        <f t="shared" si="10"/>
      </c>
      <c r="C110" s="10">
        <v>125</v>
      </c>
      <c r="D110" t="s" s="13">
        <v>913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924</v>
      </c>
    </row>
    <row r="111" spans="2:24" ht="13.8" x14ac:dyDescent="0.2">
      <c r="B111" s="8">
        <f t="shared" si="10"/>
      </c>
      <c r="C111" s="10">
        <v>126</v>
      </c>
      <c r="D111" t="s" s="13">
        <v>674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683</v>
      </c>
    </row>
    <row r="112" spans="2:24" ht="13.8" x14ac:dyDescent="0.2">
      <c r="B112" s="8">
        <f t="shared" si="10"/>
      </c>
      <c r="C112" s="10">
        <v>127</v>
      </c>
      <c r="D112" t="s" s="13">
        <v>653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684</v>
      </c>
    </row>
    <row r="113" spans="2:24" ht="13.8" x14ac:dyDescent="0.2">
      <c r="B113" s="8">
        <f t="shared" si="10"/>
      </c>
      <c r="C113" s="10">
        <v>128</v>
      </c>
      <c r="D113" t="s" s="13">
        <v>1021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1036</v>
      </c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8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7</v>
      </c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2">((G4-H4-I4-J4)+(H4*2)+(I4*3)+(J4*4))</f>
      </c>
      <c r="L4" s="7">
        <v>0</v>
      </c>
      <c r="M4" s="11">
        <f t="shared" ref="M4:M5" si="3">IFERROR(IF((G4+P4+Q4)/(F4+P4+Q4+S4)=1,"1.00",(G4+P4+Q4)/(F4+P4+Q4+S4)),0)</f>
      </c>
      <c r="N4" s="11">
        <f t="shared" ref="N4:N5" si="4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1042</v>
      </c>
    </row>
    <row r="5" spans="2:24" ht="13.8" x14ac:dyDescent="0.2">
      <c r="B5" s="8">
        <f t="shared" ref="B5:B68" si="5">IF(C5="","",C5)</f>
      </c>
      <c r="C5" s="10">
        <v>0</v>
      </c>
      <c r="D5" t="s" s="13">
        <v>41</v>
      </c>
      <c r="E5" s="11">
        <f t="shared" ref="E5:E68" si="6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</c>
      <c r="L5" s="7">
        <v>0</v>
      </c>
      <c r="M5" s="11">
        <f t="shared" si="3"/>
      </c>
      <c r="N5" s="11">
        <f t="shared" si="4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1043</v>
      </c>
    </row>
    <row r="6" spans="2:24" ht="13.8" x14ac:dyDescent="0.2">
      <c r="B6" s="8">
        <f t="shared" si="5"/>
      </c>
      <c r="C6" s="10">
        <v>1</v>
      </c>
      <c r="D6" s="13"/>
      <c r="E6" s="11">
        <f t="shared" si="6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</c>
      <c r="L6" s="7">
        <v>0</v>
      </c>
      <c r="M6" s="11">
        <f t="shared" ref="M6:M69" si="8">IFERROR(IF((G6+P6+Q6)/(F6+P6+Q6+S6)=1,"1.00",(G6+P6+Q6)/(F6+P6+Q6+S6)),0)</f>
      </c>
      <c r="N6" s="11">
        <f t="shared" ref="N6:N69" si="9">IFERROR(SUM(K6/F6,((G6+P6+Q6)/(F6+P6+Q6+S6))),M6)</f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13"/>
    </row>
    <row r="7" spans="2:24" ht="13.8" x14ac:dyDescent="0.2">
      <c r="B7" s="8">
        <f t="shared" si="5"/>
      </c>
      <c r="C7" s="10">
        <v>2</v>
      </c>
      <c r="D7" t="s" s="13">
        <v>1044</v>
      </c>
      <c r="E7" s="11">
        <f t="shared" si="6"/>
      </c>
      <c r="F7" s="5">
        <v>3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1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1045</v>
      </c>
    </row>
    <row r="8" spans="2:24" ht="13.8" x14ac:dyDescent="0.2">
      <c r="B8" s="8">
        <f t="shared" si="5"/>
      </c>
      <c r="C8" s="10">
        <v>3</v>
      </c>
      <c r="D8" s="13"/>
      <c r="E8" s="11">
        <f t="shared" si="6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13"/>
    </row>
    <row r="9" spans="2:24" ht="13.8" x14ac:dyDescent="0.2">
      <c r="B9" s="8">
        <f t="shared" si="5"/>
      </c>
      <c r="C9" s="10">
        <v>4</v>
      </c>
      <c r="D9" s="13"/>
      <c r="E9" s="11">
        <f t="shared" si="6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13"/>
    </row>
    <row r="10" spans="2:24" ht="13.8" x14ac:dyDescent="0.2">
      <c r="B10" s="8">
        <f t="shared" si="5"/>
      </c>
      <c r="C10" s="10">
        <v>5</v>
      </c>
      <c r="D10" t="s" s="13">
        <v>1046</v>
      </c>
      <c r="E10" s="11">
        <f t="shared" si="6"/>
      </c>
      <c r="F10" s="5">
        <v>1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1</v>
      </c>
      <c r="S10" s="22">
        <v>0</v>
      </c>
      <c r="T10" s="20">
        <v>0</v>
      </c>
      <c r="U10" s="20">
        <v>0</v>
      </c>
      <c r="V10" s="20">
        <v>1</v>
      </c>
      <c r="W10" s="63">
        <f>IFERROR(CalcRC27(F10,G10,K10,O10,P10,Q10,R10,S10,T10,U10,V10),"-")</f>
      </c>
      <c r="X10" t="s" s="13">
        <v>1047</v>
      </c>
    </row>
    <row r="11" spans="2:24" ht="13.8" x14ac:dyDescent="0.2">
      <c r="B11" s="8">
        <f t="shared" si="5"/>
      </c>
      <c r="C11" s="10">
        <v>6</v>
      </c>
      <c r="D11" t="s" s="13">
        <v>1745</v>
      </c>
      <c r="E11" s="11">
        <f t="shared" si="6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1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13">
        <v>1048</v>
      </c>
    </row>
    <row r="12" spans="2:24" ht="13.8" x14ac:dyDescent="0.2">
      <c r="B12" s="8">
        <f t="shared" si="5"/>
      </c>
      <c r="C12" s="10">
        <v>7</v>
      </c>
      <c r="D12" t="s" s="13">
        <v>1049</v>
      </c>
      <c r="E12" s="11">
        <f t="shared" si="6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1050</v>
      </c>
    </row>
    <row r="13" spans="2:24" ht="13.8" x14ac:dyDescent="0.2">
      <c r="B13" s="8">
        <f t="shared" si="5"/>
      </c>
      <c r="C13" s="10">
        <v>8</v>
      </c>
      <c r="D13" t="s" s="13">
        <v>4</v>
      </c>
      <c r="E13" s="11">
        <f t="shared" si="6"/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1051</v>
      </c>
    </row>
    <row r="14" spans="2:24" ht="13.8" x14ac:dyDescent="0.2">
      <c r="B14" s="8">
        <f t="shared" si="5"/>
      </c>
      <c r="C14" s="10">
        <v>9</v>
      </c>
      <c r="D14" s="13"/>
      <c r="E14" s="11">
        <f t="shared" si="6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13"/>
    </row>
    <row r="15" spans="2:24" ht="13.8" x14ac:dyDescent="0.2">
      <c r="B15" s="8">
        <f t="shared" si="5"/>
      </c>
      <c r="C15" s="10">
        <v>10</v>
      </c>
      <c r="D15" s="13"/>
      <c r="E15" s="11">
        <f t="shared" si="6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5"/>
      </c>
      <c r="C16" s="10">
        <v>11</v>
      </c>
      <c r="D16" t="s" s="13">
        <v>177</v>
      </c>
      <c r="E16" s="11">
        <f t="shared" si="6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1052</v>
      </c>
    </row>
    <row r="17" spans="2:24" ht="13.8" x14ac:dyDescent="0.2">
      <c r="B17" s="8">
        <f t="shared" si="5"/>
      </c>
      <c r="C17" s="10">
        <v>12</v>
      </c>
      <c r="D17" t="s" s="13">
        <v>1053</v>
      </c>
      <c r="E17" s="11">
        <f t="shared" si="6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1054</v>
      </c>
    </row>
    <row r="18" spans="2:24" ht="13.8" x14ac:dyDescent="0.2">
      <c r="B18" s="8">
        <f t="shared" si="5"/>
      </c>
      <c r="C18" s="10">
        <v>13</v>
      </c>
      <c r="D18" t="s" s="13">
        <v>174</v>
      </c>
      <c r="E18" s="11">
        <f t="shared" si="6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1055</v>
      </c>
    </row>
    <row r="19" spans="2:24" ht="13.8" x14ac:dyDescent="0.2">
      <c r="B19" s="8">
        <f t="shared" si="5"/>
      </c>
      <c r="C19" s="10">
        <v>14</v>
      </c>
      <c r="D19" s="13"/>
      <c r="E19" s="11">
        <f t="shared" si="6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13"/>
    </row>
    <row r="20" spans="2:24" ht="13.8" x14ac:dyDescent="0.2">
      <c r="B20" s="8">
        <f t="shared" si="5"/>
      </c>
      <c r="C20" s="10">
        <v>15</v>
      </c>
      <c r="D20" t="s" s="13">
        <v>1056</v>
      </c>
      <c r="E20" s="11">
        <f t="shared" si="6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1056</v>
      </c>
    </row>
    <row r="21" spans="2:24" ht="13.8" x14ac:dyDescent="0.2">
      <c r="B21" s="8">
        <f t="shared" si="5"/>
      </c>
      <c r="C21" s="10">
        <v>16</v>
      </c>
      <c r="D21" s="13"/>
      <c r="E21" s="11">
        <f t="shared" si="6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13"/>
    </row>
    <row r="22" spans="2:24" ht="13.8" x14ac:dyDescent="0.2">
      <c r="B22" s="8">
        <f t="shared" si="5"/>
      </c>
      <c r="C22" s="10">
        <v>17</v>
      </c>
      <c r="D22" t="s" s="13">
        <v>1180</v>
      </c>
      <c r="E22" s="11">
        <f t="shared" si="6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1057</v>
      </c>
    </row>
    <row r="23" spans="2:24" ht="13.8" x14ac:dyDescent="0.2">
      <c r="B23" s="8">
        <f t="shared" si="5"/>
      </c>
      <c r="C23" s="10">
        <v>18</v>
      </c>
      <c r="D23" t="s" s="13">
        <v>1772</v>
      </c>
      <c r="E23" s="11">
        <f t="shared" si="6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1058</v>
      </c>
    </row>
    <row r="24" spans="2:24" ht="13.8" x14ac:dyDescent="0.2">
      <c r="B24" s="8">
        <f t="shared" si="5"/>
      </c>
      <c r="C24" s="10">
        <v>19</v>
      </c>
      <c r="D24" t="s" s="13">
        <v>1189</v>
      </c>
      <c r="E24" s="11">
        <f t="shared" si="6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1059</v>
      </c>
    </row>
    <row r="25" spans="2:24" ht="13.8" x14ac:dyDescent="0.2">
      <c r="B25" s="8">
        <f t="shared" si="5"/>
      </c>
      <c r="C25" s="10">
        <v>20</v>
      </c>
      <c r="D25" t="s" s="13">
        <v>175</v>
      </c>
      <c r="E25" s="11">
        <f t="shared" si="6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1060</v>
      </c>
    </row>
    <row r="26" spans="2:24" ht="13.8" x14ac:dyDescent="0.2">
      <c r="B26" s="8">
        <f t="shared" si="5"/>
      </c>
      <c r="C26" s="10">
        <v>21</v>
      </c>
      <c r="D26" s="13"/>
      <c r="E26" s="11">
        <f t="shared" si="6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13"/>
    </row>
    <row r="27" spans="2:24" ht="13.8" x14ac:dyDescent="0.2">
      <c r="B27" s="8">
        <f t="shared" si="5"/>
      </c>
      <c r="C27" s="10">
        <v>22</v>
      </c>
      <c r="D27" t="s" s="13">
        <v>1571</v>
      </c>
      <c r="E27" s="11">
        <f t="shared" si="6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1061</v>
      </c>
    </row>
    <row r="28" spans="2:24" ht="13.8" x14ac:dyDescent="0.2">
      <c r="B28" s="8">
        <f t="shared" si="5"/>
      </c>
      <c r="C28" s="10">
        <v>23</v>
      </c>
      <c r="D28" t="s" s="13">
        <v>2018</v>
      </c>
      <c r="E28" s="11">
        <f t="shared" si="6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13">
        <v>2019</v>
      </c>
    </row>
    <row r="29" spans="2:24" ht="13.8" x14ac:dyDescent="0.2">
      <c r="B29" s="8">
        <f t="shared" si="5"/>
      </c>
      <c r="C29" s="10">
        <v>24</v>
      </c>
      <c r="D29" t="s" s="13">
        <v>1556</v>
      </c>
      <c r="E29" s="11">
        <f t="shared" si="6"/>
      </c>
      <c r="F29" s="5">
        <v>1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1</v>
      </c>
      <c r="W29" s="63">
        <f>IFERROR(CalcRC27(F29,G29,K29,O29,P29,Q29,R29,S29,T29,U29,V29),"-")</f>
      </c>
      <c r="X29" t="s" s="13">
        <v>1062</v>
      </c>
    </row>
    <row r="30" spans="2:24" ht="13.8" x14ac:dyDescent="0.2">
      <c r="B30" s="8">
        <f t="shared" si="5"/>
      </c>
      <c r="C30" s="10">
        <v>25</v>
      </c>
      <c r="D30" t="s" s="13">
        <v>1063</v>
      </c>
      <c r="E30" s="11">
        <f t="shared" si="6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1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1064</v>
      </c>
    </row>
    <row r="31" spans="2:24" ht="13.8" x14ac:dyDescent="0.2">
      <c r="B31" s="8">
        <f t="shared" si="5"/>
      </c>
      <c r="C31" s="10">
        <v>26</v>
      </c>
      <c r="D31" t="s" s="13">
        <v>176</v>
      </c>
      <c r="E31" s="11">
        <f t="shared" si="6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1065</v>
      </c>
    </row>
    <row r="32" spans="2:24" ht="13.8" x14ac:dyDescent="0.2">
      <c r="B32" s="8">
        <f t="shared" si="5"/>
      </c>
      <c r="C32" s="10">
        <v>27</v>
      </c>
      <c r="D32" t="s" s="13">
        <v>1066</v>
      </c>
      <c r="E32" s="11">
        <f t="shared" si="6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1067</v>
      </c>
    </row>
    <row r="33" spans="2:24" ht="13.8" x14ac:dyDescent="0.2">
      <c r="B33" s="8">
        <f t="shared" si="5"/>
      </c>
      <c r="C33" s="10">
        <v>28</v>
      </c>
      <c r="D33" t="s" s="13">
        <v>1068</v>
      </c>
      <c r="E33" s="11">
        <f t="shared" si="6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1069</v>
      </c>
    </row>
    <row r="34" spans="2:24" ht="13.8" x14ac:dyDescent="0.2">
      <c r="B34" s="8">
        <f t="shared" si="5"/>
      </c>
      <c r="C34" s="10">
        <v>29</v>
      </c>
      <c r="D34" t="s" s="13">
        <v>1070</v>
      </c>
      <c r="E34" s="11">
        <f t="shared" si="6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1928</v>
      </c>
    </row>
    <row r="35" spans="2:24" ht="13.8" x14ac:dyDescent="0.2">
      <c r="B35" s="8">
        <f t="shared" si="5"/>
      </c>
      <c r="C35" s="10">
        <v>30</v>
      </c>
      <c r="D35" t="s" s="13">
        <v>1300</v>
      </c>
      <c r="E35" s="11">
        <f t="shared" si="6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1258</v>
      </c>
    </row>
    <row r="36" spans="2:24" ht="13.8" x14ac:dyDescent="0.2">
      <c r="B36" s="8">
        <f t="shared" si="5"/>
      </c>
      <c r="C36" s="10">
        <v>31</v>
      </c>
      <c r="D36" t="s" s="13">
        <v>1071</v>
      </c>
      <c r="E36" s="11">
        <f t="shared" si="6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13">
        <v>1072</v>
      </c>
    </row>
    <row r="37" spans="2:24" ht="13.8" x14ac:dyDescent="0.2">
      <c r="B37" s="8">
        <f t="shared" si="5"/>
      </c>
      <c r="C37" s="10">
        <v>32</v>
      </c>
      <c r="D37" t="s" s="13">
        <v>1297</v>
      </c>
      <c r="E37" s="11">
        <f t="shared" si="6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1073</v>
      </c>
    </row>
    <row r="38" spans="2:24" ht="13.8" x14ac:dyDescent="0.2">
      <c r="B38" s="8">
        <f t="shared" si="5"/>
      </c>
      <c r="C38" s="10">
        <v>33</v>
      </c>
      <c r="D38" t="s" s="13">
        <v>1221</v>
      </c>
      <c r="E38" s="11">
        <f t="shared" si="6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1929</v>
      </c>
    </row>
    <row r="39" spans="2:24" ht="13.8" x14ac:dyDescent="0.2">
      <c r="B39" s="8">
        <f t="shared" si="5"/>
      </c>
      <c r="C39" s="10">
        <v>34</v>
      </c>
      <c r="D39" s="13"/>
      <c r="E39" s="11">
        <f t="shared" si="6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13"/>
    </row>
    <row r="40" spans="2:24" ht="13.8" x14ac:dyDescent="0.2">
      <c r="B40" s="8">
        <f t="shared" si="5"/>
      </c>
      <c r="C40" s="10">
        <v>35</v>
      </c>
      <c r="D40" t="s" s="13">
        <v>1074</v>
      </c>
      <c r="E40" s="11">
        <f t="shared" si="6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1075</v>
      </c>
    </row>
    <row r="41" spans="2:24" ht="13.8" x14ac:dyDescent="0.2">
      <c r="B41" s="8">
        <f t="shared" si="5"/>
      </c>
      <c r="C41" s="10">
        <v>36</v>
      </c>
      <c r="D41" t="s" s="13">
        <v>1076</v>
      </c>
      <c r="E41" s="11">
        <f t="shared" si="6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575</v>
      </c>
    </row>
    <row r="42" spans="2:24" ht="13.8" x14ac:dyDescent="0.2">
      <c r="B42" s="8">
        <f t="shared" si="5"/>
      </c>
      <c r="C42" s="10">
        <v>37</v>
      </c>
      <c r="D42" t="s" s="13">
        <v>1077</v>
      </c>
      <c r="E42" s="11">
        <f t="shared" si="6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1078</v>
      </c>
    </row>
    <row r="43" spans="2:24" ht="13.8" x14ac:dyDescent="0.2">
      <c r="B43" s="8">
        <f t="shared" si="5"/>
      </c>
      <c r="C43" s="10">
        <v>38</v>
      </c>
      <c r="D43" t="s" s="13">
        <v>1468</v>
      </c>
      <c r="E43" s="11">
        <f t="shared" si="6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1079</v>
      </c>
    </row>
    <row r="44" spans="2:24" ht="13.8" x14ac:dyDescent="0.2">
      <c r="B44" s="8">
        <f t="shared" si="5"/>
      </c>
      <c r="C44" s="10">
        <v>39</v>
      </c>
      <c r="D44" s="13"/>
      <c r="E44" s="11">
        <f t="shared" si="6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13"/>
    </row>
    <row r="45" spans="2:24" ht="13.8" x14ac:dyDescent="0.2">
      <c r="B45" s="8">
        <f t="shared" si="5"/>
      </c>
      <c r="C45" s="10">
        <v>40</v>
      </c>
      <c r="D45" t="s" s="13">
        <v>2027</v>
      </c>
      <c r="E45" s="11">
        <f t="shared" si="6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13">
        <v>1080</v>
      </c>
    </row>
    <row r="46" spans="2:24" ht="13.8" x14ac:dyDescent="0.2">
      <c r="B46" s="8">
        <f t="shared" si="5"/>
      </c>
      <c r="C46" s="10">
        <v>41</v>
      </c>
      <c r="D46" t="s" s="13">
        <v>5</v>
      </c>
      <c r="E46" s="11">
        <f t="shared" si="6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1081</v>
      </c>
    </row>
    <row r="47" spans="2:24" ht="13.8" x14ac:dyDescent="0.2">
      <c r="B47" s="8">
        <f t="shared" si="5"/>
      </c>
      <c r="C47" s="10">
        <v>42</v>
      </c>
      <c r="D47" s="13"/>
      <c r="E47" s="11">
        <f t="shared" si="6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13"/>
    </row>
    <row r="48" spans="2:24" ht="13.8" x14ac:dyDescent="0.2">
      <c r="B48" s="8">
        <f t="shared" si="5"/>
      </c>
      <c r="C48" s="10">
        <v>43</v>
      </c>
      <c r="D48" t="s" s="13">
        <v>6</v>
      </c>
      <c r="E48" s="11">
        <f t="shared" si="6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1082</v>
      </c>
    </row>
    <row r="49" spans="2:24" ht="13.8" x14ac:dyDescent="0.2">
      <c r="B49" s="8">
        <f t="shared" si="5"/>
      </c>
      <c r="C49" s="10">
        <v>44</v>
      </c>
      <c r="D49" t="s" s="13">
        <v>1323</v>
      </c>
      <c r="E49" s="11">
        <f t="shared" si="6"/>
      </c>
      <c r="F49" s="5">
        <v>1</v>
      </c>
      <c r="G49" s="5">
        <v>1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1083</v>
      </c>
    </row>
    <row r="50" spans="2:24" ht="13.8" x14ac:dyDescent="0.2">
      <c r="B50" s="8">
        <f t="shared" si="5"/>
      </c>
      <c r="C50" s="10">
        <v>45</v>
      </c>
      <c r="D50" t="s" s="13">
        <v>37</v>
      </c>
      <c r="E50" s="11">
        <f t="shared" si="6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688</v>
      </c>
    </row>
    <row r="51" spans="2:24" ht="13.8" x14ac:dyDescent="0.2">
      <c r="B51" s="8">
        <f t="shared" si="5"/>
      </c>
      <c r="C51" s="10">
        <v>46</v>
      </c>
      <c r="D51" t="s" s="13">
        <v>1084</v>
      </c>
      <c r="E51" s="11">
        <f t="shared" si="6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1085</v>
      </c>
    </row>
    <row r="52" spans="2:24" ht="13.8" x14ac:dyDescent="0.2">
      <c r="B52" s="8">
        <f t="shared" si="5"/>
      </c>
      <c r="C52" s="10">
        <v>47</v>
      </c>
      <c r="D52" t="s" s="13">
        <v>1086</v>
      </c>
      <c r="E52" s="11">
        <f t="shared" si="6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1087</v>
      </c>
    </row>
    <row r="53" spans="2:24" ht="13.8" x14ac:dyDescent="0.2">
      <c r="B53" s="8">
        <f t="shared" si="5"/>
      </c>
      <c r="C53" s="10">
        <v>48</v>
      </c>
      <c r="D53" t="s" s="13">
        <v>1088</v>
      </c>
      <c r="E53" s="11">
        <f t="shared" si="6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1089</v>
      </c>
    </row>
    <row r="54" spans="2:24" ht="13.8" x14ac:dyDescent="0.2">
      <c r="B54" s="8">
        <f t="shared" si="5"/>
      </c>
      <c r="C54" s="10">
        <v>49</v>
      </c>
      <c r="D54" t="s" s="13">
        <v>1090</v>
      </c>
      <c r="E54" s="11">
        <f t="shared" si="6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1930</v>
      </c>
    </row>
    <row r="55" spans="2:24" ht="13.8" x14ac:dyDescent="0.2">
      <c r="B55" s="8">
        <f t="shared" si="5"/>
      </c>
      <c r="C55" s="10">
        <v>50</v>
      </c>
      <c r="D55" t="s" s="13">
        <v>219</v>
      </c>
      <c r="E55" s="11">
        <f t="shared" si="6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138</v>
      </c>
    </row>
    <row r="56" spans="2:24" ht="13.8" x14ac:dyDescent="0.2">
      <c r="B56" s="8">
        <f t="shared" si="5"/>
      </c>
      <c r="C56" s="10">
        <v>51</v>
      </c>
      <c r="D56" t="s" s="13">
        <v>1091</v>
      </c>
      <c r="E56" s="11">
        <f t="shared" si="6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1092</v>
      </c>
    </row>
    <row r="57" spans="2:24" ht="13.8" x14ac:dyDescent="0.2">
      <c r="B57" s="8">
        <f t="shared" si="5"/>
      </c>
      <c r="C57" s="10">
        <v>52</v>
      </c>
      <c r="D57" s="13"/>
      <c r="E57" s="11">
        <f t="shared" si="6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13"/>
    </row>
    <row r="58" spans="2:24" ht="13.8" x14ac:dyDescent="0.2">
      <c r="B58" s="8">
        <f t="shared" si="5"/>
      </c>
      <c r="C58" s="10">
        <v>53</v>
      </c>
      <c r="D58" t="s" s="13">
        <v>43</v>
      </c>
      <c r="E58" s="11">
        <f t="shared" si="6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1093</v>
      </c>
    </row>
    <row r="59" spans="2:24" ht="13.8" x14ac:dyDescent="0.2">
      <c r="B59" s="8">
        <f t="shared" si="5"/>
      </c>
      <c r="C59" s="10">
        <v>54</v>
      </c>
      <c r="D59" t="s" s="13">
        <v>1094</v>
      </c>
      <c r="E59" s="11">
        <f t="shared" si="6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1095</v>
      </c>
    </row>
    <row r="60" spans="2:24" ht="13.8" x14ac:dyDescent="0.2">
      <c r="B60" s="8">
        <f t="shared" si="5"/>
      </c>
      <c r="C60" s="10">
        <v>55</v>
      </c>
      <c r="D60" t="s" s="13">
        <v>1096</v>
      </c>
      <c r="E60" s="11">
        <f t="shared" si="6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1097</v>
      </c>
    </row>
    <row r="61" spans="2:24" ht="13.8" x14ac:dyDescent="0.2">
      <c r="B61" s="8">
        <f t="shared" si="5"/>
      </c>
      <c r="C61" s="10">
        <v>56</v>
      </c>
      <c r="D61" t="s" s="13">
        <v>1098</v>
      </c>
      <c r="E61" s="11">
        <f t="shared" si="6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1099</v>
      </c>
    </row>
    <row r="62" spans="2:24" ht="13.8" x14ac:dyDescent="0.2">
      <c r="B62" s="8">
        <f t="shared" si="5"/>
      </c>
      <c r="C62" s="10">
        <v>57</v>
      </c>
      <c r="D62" t="s" s="13">
        <v>1100</v>
      </c>
      <c r="E62" s="11">
        <f t="shared" si="6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1101</v>
      </c>
    </row>
    <row r="63" spans="2:24" ht="13.8" x14ac:dyDescent="0.2">
      <c r="B63" s="8">
        <f t="shared" si="5"/>
      </c>
      <c r="C63" s="10">
        <v>58</v>
      </c>
      <c r="D63" t="s" s="13">
        <v>1102</v>
      </c>
      <c r="E63" s="11">
        <f t="shared" si="6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1103</v>
      </c>
    </row>
    <row r="64" spans="2:24" ht="13.8" x14ac:dyDescent="0.2">
      <c r="B64" s="8">
        <f t="shared" si="5"/>
      </c>
      <c r="C64" s="10">
        <v>59</v>
      </c>
      <c r="D64" t="s" s="13">
        <v>1407</v>
      </c>
      <c r="E64" s="11">
        <f t="shared" si="6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1104</v>
      </c>
    </row>
    <row r="65" spans="2:24" ht="13.8" x14ac:dyDescent="0.2">
      <c r="B65" s="8">
        <f t="shared" si="5"/>
      </c>
      <c r="C65" s="10">
        <v>60</v>
      </c>
      <c r="D65" t="s" s="13">
        <v>1473</v>
      </c>
      <c r="E65" s="11">
        <f t="shared" si="6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1105</v>
      </c>
    </row>
    <row r="66" spans="2:24" ht="13.8" x14ac:dyDescent="0.2">
      <c r="B66" s="8">
        <f t="shared" si="5"/>
      </c>
      <c r="C66" s="10">
        <v>61</v>
      </c>
      <c r="D66" t="s" s="13">
        <v>40</v>
      </c>
      <c r="E66" s="11">
        <f t="shared" si="6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13">
        <v>1106</v>
      </c>
    </row>
    <row r="67" spans="2:24" ht="13.8" x14ac:dyDescent="0.2">
      <c r="B67" s="8">
        <f t="shared" si="5"/>
      </c>
      <c r="C67" s="10">
        <v>62</v>
      </c>
      <c r="D67" t="s" s="13">
        <v>39</v>
      </c>
      <c r="E67" s="11">
        <f t="shared" si="6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1107</v>
      </c>
    </row>
    <row r="68" spans="2:24" ht="13.8" x14ac:dyDescent="0.2">
      <c r="B68" s="8">
        <f t="shared" si="5"/>
      </c>
      <c r="C68" s="10">
        <v>63</v>
      </c>
      <c r="D68" t="s" s="13">
        <v>73</v>
      </c>
      <c r="E68" s="11">
        <f t="shared" si="6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525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1835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1108</v>
      </c>
    </row>
    <row r="70" spans="2:24" ht="13.8" x14ac:dyDescent="0.2">
      <c r="B70" s="8">
        <f t="shared" si="10"/>
      </c>
      <c r="C70" s="10">
        <v>65</v>
      </c>
      <c r="D70" t="s" s="13">
        <v>1109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</c>
      <c r="L70" s="7">
        <v>0</v>
      </c>
      <c r="M70" s="11">
        <f t="shared" ref="M70:M133" si="13">IFERROR(IF((G70+P70+Q70)/(F70+P70+Q70+S70)=1,"1.00",(G70+P70+Q70)/(F70+P70+Q70+S70)),0)</f>
      </c>
      <c r="N70" s="11">
        <f t="shared" ref="N70:N133" si="14">IFERROR(SUM(K70/F70,((G70+P70+Q70)/(F70+P70+Q70+S70))),M70)</f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1931</v>
      </c>
    </row>
    <row r="71" spans="2:24" ht="13.8" x14ac:dyDescent="0.2">
      <c r="B71" s="8">
        <f t="shared" si="10"/>
      </c>
      <c r="C71" s="10">
        <v>66</v>
      </c>
      <c r="D71" t="s" s="13">
        <v>177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1052</v>
      </c>
    </row>
    <row r="72" spans="2:24" ht="13.8" x14ac:dyDescent="0.2">
      <c r="B72" s="8">
        <f t="shared" si="10"/>
      </c>
      <c r="C72" s="10">
        <v>67</v>
      </c>
      <c r="D72" t="s" s="13">
        <v>1110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1111</v>
      </c>
    </row>
    <row r="73" spans="2:24" ht="13.8" x14ac:dyDescent="0.2">
      <c r="B73" s="8">
        <f t="shared" si="10"/>
      </c>
      <c r="C73" s="10">
        <v>68</v>
      </c>
      <c r="D73" t="s" s="13">
        <v>1112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1113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13"/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t="s" s="13">
        <v>1289</v>
      </c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t="s" s="13">
        <v>1114</v>
      </c>
    </row>
    <row r="96" spans="2:24" ht="13.8" x14ac:dyDescent="0.2">
      <c r="B96" s="8">
        <f t="shared" si="10"/>
      </c>
      <c r="C96" s="10">
        <v>91</v>
      </c>
      <c r="D96" t="s" s="13">
        <v>1115</v>
      </c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t="s" s="13">
        <v>1116</v>
      </c>
    </row>
    <row r="97" spans="2:24" ht="13.8" x14ac:dyDescent="0.2">
      <c r="B97" s="8">
        <f t="shared" si="10"/>
      </c>
      <c r="C97" s="10">
        <v>92</v>
      </c>
      <c r="D97" t="s" s="13">
        <v>1117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13">
        <v>1118</v>
      </c>
    </row>
    <row r="98" spans="2:24" ht="13.8" x14ac:dyDescent="0.2">
      <c r="B98" s="8">
        <f t="shared" si="10"/>
      </c>
      <c r="C98" s="10">
        <v>93</v>
      </c>
      <c r="D98" t="s" s="13">
        <v>1119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1120</v>
      </c>
    </row>
    <row r="99" spans="2:24" ht="13.8" x14ac:dyDescent="0.2">
      <c r="B99" s="8">
        <f t="shared" si="10"/>
      </c>
      <c r="C99" s="10">
        <v>94</v>
      </c>
      <c r="D99" t="s" s="13">
        <v>719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1121</v>
      </c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13"/>
    </row>
    <row r="101" spans="2:24" ht="13.8" x14ac:dyDescent="0.2">
      <c r="B101" s="8">
        <f t="shared" si="10"/>
      </c>
      <c r="C101" s="10">
        <v>96</v>
      </c>
      <c r="D101" t="s" s="13">
        <v>1741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13">
        <v>1122</v>
      </c>
    </row>
    <row r="102" spans="2:24" ht="13.8" x14ac:dyDescent="0.2">
      <c r="B102" s="8">
        <f t="shared" si="10"/>
      </c>
      <c r="C102" s="10">
        <v>97</v>
      </c>
      <c r="D102" t="s" s="13">
        <v>1330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1123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1124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1932</v>
      </c>
    </row>
    <row r="105" spans="2:24" ht="13.8" x14ac:dyDescent="0.2">
      <c r="B105" s="8">
        <f t="shared" si="10"/>
      </c>
      <c r="C105" t="s" s="10">
        <v>1229</v>
      </c>
      <c r="D105" t="s" s="23">
        <v>1449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692</v>
      </c>
    </row>
    <row r="106" spans="2:24" ht="13.8" x14ac:dyDescent="0.2">
      <c r="B106" s="8">
        <f t="shared" si="10"/>
      </c>
      <c r="C106" t="s" s="10">
        <v>1230</v>
      </c>
      <c r="D106" t="s" s="13">
        <v>1433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1125</v>
      </c>
    </row>
    <row r="107" spans="2:24" ht="13.8" x14ac:dyDescent="0.2">
      <c r="B107" s="8">
        <f t="shared" si="10"/>
      </c>
      <c r="C107" t="s" s="10">
        <v>1231</v>
      </c>
      <c r="D107" t="s" s="13">
        <v>1297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693</v>
      </c>
    </row>
    <row r="108" spans="2:24" ht="13.8" x14ac:dyDescent="0.2">
      <c r="B108" s="8">
        <f t="shared" si="10"/>
      </c>
      <c r="C108" t="s" s="10">
        <v>1232</v>
      </c>
      <c r="D108" t="s" s="13">
        <v>1768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1126</v>
      </c>
    </row>
    <row r="109" spans="2:24" ht="13.8" x14ac:dyDescent="0.2">
      <c r="B109" s="8">
        <f t="shared" si="10"/>
      </c>
      <c r="C109" t="s" s="10">
        <v>1233</v>
      </c>
      <c r="D109" t="s" s="13">
        <v>1127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1128</v>
      </c>
    </row>
    <row r="110" spans="2:24" ht="13.8" x14ac:dyDescent="0.2">
      <c r="B110" s="8">
        <f t="shared" si="10"/>
      </c>
      <c r="C110" t="s" s="10">
        <v>1129</v>
      </c>
      <c r="D110" t="s" s="13">
        <v>706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1048</v>
      </c>
    </row>
    <row r="111" spans="2:24" ht="13.8" x14ac:dyDescent="0.2">
      <c r="B111" s="8">
        <f t="shared" si="10"/>
      </c>
      <c r="C111" t="s" s="10">
        <v>1260</v>
      </c>
      <c r="D111" t="s" s="13">
        <v>1130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1131</v>
      </c>
    </row>
    <row r="112" spans="2:24" ht="13.8" x14ac:dyDescent="0.2">
      <c r="B112" s="8">
        <f t="shared" si="10"/>
      </c>
      <c r="C112" t="s" s="10">
        <v>1234</v>
      </c>
      <c r="D112" t="s" s="13">
        <v>1132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1133</v>
      </c>
    </row>
    <row r="113" spans="2:24" ht="13.8" x14ac:dyDescent="0.2">
      <c r="B113" s="8">
        <f t="shared" si="10"/>
      </c>
      <c r="C113" t="s" s="10">
        <v>1134</v>
      </c>
      <c r="D113" t="s" s="13">
        <v>707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694</v>
      </c>
    </row>
    <row r="114" spans="2:24" ht="13.8" x14ac:dyDescent="0.2">
      <c r="B114" s="8">
        <f t="shared" si="10"/>
      </c>
      <c r="C114" t="s" s="10">
        <v>1135</v>
      </c>
      <c r="D114" t="s" s="26">
        <v>708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695</v>
      </c>
    </row>
    <row r="115" spans="2:24" ht="13.8" x14ac:dyDescent="0.2">
      <c r="B115" s="8">
        <f t="shared" si="10"/>
      </c>
      <c r="C115" t="s" s="10">
        <v>1235</v>
      </c>
      <c r="D115" t="s" s="26">
        <v>709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696</v>
      </c>
    </row>
    <row r="116" spans="2:24" ht="13.8" x14ac:dyDescent="0.2">
      <c r="B116" s="8">
        <f t="shared" si="10"/>
      </c>
      <c r="C116" t="s" s="10">
        <v>1236</v>
      </c>
      <c r="D116" t="s" s="26">
        <v>1136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1137</v>
      </c>
    </row>
    <row r="117" spans="2:24" ht="13.8" x14ac:dyDescent="0.2">
      <c r="B117" s="8">
        <f t="shared" si="10"/>
      </c>
      <c r="C117" t="s" s="10">
        <v>1237</v>
      </c>
      <c r="D117" t="s" s="8">
        <v>686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1933</v>
      </c>
    </row>
    <row r="118" spans="2:24" ht="13.8" x14ac:dyDescent="0.2">
      <c r="B118" s="8">
        <f t="shared" si="10"/>
      </c>
      <c r="C118" t="s" s="10">
        <v>1238</v>
      </c>
      <c r="D118" t="s" s="26">
        <v>710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1138</v>
      </c>
    </row>
    <row r="119" spans="2:24" ht="13.8" x14ac:dyDescent="0.2">
      <c r="B119" s="8">
        <f t="shared" si="10"/>
      </c>
      <c r="C119" t="s" s="10">
        <v>1301</v>
      </c>
      <c r="D119" t="s" s="26">
        <v>711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697</v>
      </c>
    </row>
    <row r="120" spans="2:24" ht="13.8" x14ac:dyDescent="0.2">
      <c r="B120" s="8">
        <f t="shared" si="10"/>
      </c>
      <c r="C120" t="s" s="10">
        <v>1261</v>
      </c>
      <c r="D120" t="s" s="26">
        <v>1139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1140</v>
      </c>
    </row>
    <row r="121" spans="2:24" ht="13.8" x14ac:dyDescent="0.2">
      <c r="B121" s="8">
        <f t="shared" si="10"/>
      </c>
      <c r="C121" t="s" s="10">
        <v>1141</v>
      </c>
      <c r="D121" t="s" s="26">
        <v>713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698</v>
      </c>
    </row>
    <row r="122" spans="2:24" ht="13.8" x14ac:dyDescent="0.2">
      <c r="B122" s="8">
        <f t="shared" si="10"/>
      </c>
      <c r="C122" t="s" s="10">
        <v>1302</v>
      </c>
      <c r="D122" t="s" s="26">
        <v>1142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13">
        <v>1143</v>
      </c>
    </row>
    <row r="123" spans="2:24" ht="13.8" x14ac:dyDescent="0.2">
      <c r="B123" s="8">
        <f t="shared" si="10"/>
      </c>
      <c r="C123" t="s" s="10">
        <v>1239</v>
      </c>
      <c r="D123" t="s" s="26">
        <v>1144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13">
        <v>691</v>
      </c>
    </row>
    <row r="124" spans="2:24" ht="13.8" x14ac:dyDescent="0.2">
      <c r="B124" s="8">
        <f t="shared" si="10"/>
      </c>
      <c r="C124" t="s" s="10">
        <v>1240</v>
      </c>
      <c r="D124" t="s" s="26">
        <v>1226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13">
        <v>812</v>
      </c>
    </row>
    <row r="125" spans="2:24" ht="13.8" x14ac:dyDescent="0.2">
      <c r="B125" s="8">
        <f t="shared" si="10"/>
      </c>
      <c r="C125" t="s" s="10">
        <v>1241</v>
      </c>
      <c r="D125" t="s" s="26">
        <v>714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13">
        <v>699</v>
      </c>
    </row>
    <row r="126" spans="2:24" ht="13.8" x14ac:dyDescent="0.2">
      <c r="B126" s="8">
        <f t="shared" si="10"/>
      </c>
      <c r="C126" t="s" s="10">
        <v>1303</v>
      </c>
      <c r="D126" t="s" s="26">
        <v>1657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13">
        <v>1145</v>
      </c>
    </row>
    <row r="127" spans="2:24" ht="13.8" x14ac:dyDescent="0.2">
      <c r="B127" s="8">
        <f t="shared" si="10"/>
      </c>
      <c r="C127" t="s" s="10">
        <v>1305</v>
      </c>
      <c r="D127" t="s" s="26">
        <v>1531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13">
        <v>700</v>
      </c>
    </row>
    <row r="128" spans="2:24" ht="13.8" x14ac:dyDescent="0.2">
      <c r="B128" s="8">
        <f t="shared" si="10"/>
      </c>
      <c r="C128" t="s" s="10">
        <v>1307</v>
      </c>
      <c r="D128" t="s" s="26">
        <v>715</v>
      </c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13">
        <v>701</v>
      </c>
    </row>
    <row r="129" spans="2:24" ht="13.8" x14ac:dyDescent="0.2">
      <c r="B129" s="8">
        <f t="shared" si="10"/>
      </c>
      <c r="C129" t="s" s="10">
        <v>1308</v>
      </c>
      <c r="D129" t="s" s="26">
        <v>1183</v>
      </c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13">
        <v>1146</v>
      </c>
    </row>
    <row r="130" spans="2:24" ht="13.8" x14ac:dyDescent="0.2">
      <c r="B130" s="8">
        <f t="shared" si="10"/>
      </c>
      <c r="C130" t="s" s="10">
        <v>1147</v>
      </c>
      <c r="D130" t="s" s="26">
        <v>1148</v>
      </c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13">
        <v>1149</v>
      </c>
    </row>
    <row r="131" spans="2:24" ht="13.8" x14ac:dyDescent="0.2">
      <c r="B131" s="8">
        <f t="shared" si="10"/>
      </c>
      <c r="C131" t="s" s="10">
        <v>1150</v>
      </c>
      <c r="D131" t="s" s="26">
        <v>716</v>
      </c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t="s" s="13">
        <v>702</v>
      </c>
    </row>
    <row r="132" spans="2:24" ht="13.8" x14ac:dyDescent="0.2">
      <c r="B132" s="8">
        <f t="shared" si="10"/>
      </c>
      <c r="C132" t="s" s="10">
        <v>1151</v>
      </c>
      <c r="D132" t="s" s="26">
        <v>717</v>
      </c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t="s" s="13">
        <v>703</v>
      </c>
    </row>
    <row r="133" spans="2:24" ht="13.8" x14ac:dyDescent="0.2">
      <c r="B133" s="8">
        <f t="shared" ref="B133:B150" si="15">IF(C133="","",C133)</f>
      </c>
      <c r="C133" t="s" s="10">
        <v>1828</v>
      </c>
      <c r="D133" t="s" s="26">
        <v>1152</v>
      </c>
      <c r="E133" s="11">
        <f t="shared" ref="E133:E150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t="s" s="13">
        <v>1153</v>
      </c>
    </row>
    <row r="134" spans="2:24" ht="13.8" x14ac:dyDescent="0.2">
      <c r="B134" s="8">
        <f t="shared" si="15"/>
      </c>
      <c r="C134" t="s" s="10">
        <v>1154</v>
      </c>
      <c r="D134" t="s" s="26">
        <v>1155</v>
      </c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:K150" si="17">((G134-H134-I134-J134)+(H134*2)+(I134*3)+(J134*4))</f>
      </c>
      <c r="L134" s="7">
        <v>0</v>
      </c>
      <c r="M134" s="11">
        <f t="shared" ref="M134:M150" si="18">IFERROR(IF((G134+P134+Q134)/(F134+P134+Q134+S134)=1,"1.00",(G134+P134+Q134)/(F134+P134+Q134+S134)),0)</f>
      </c>
      <c r="N134" s="11">
        <f t="shared" ref="N134:N150" si="19">IFERROR(SUM(K134/F134,((G134+P134+Q134)/(F134+P134+Q134+S134))),M134)</f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t="s" s="13">
        <v>1156</v>
      </c>
    </row>
    <row r="135" spans="2:24" ht="13.8" x14ac:dyDescent="0.2">
      <c r="B135" s="8">
        <f t="shared" si="15"/>
      </c>
      <c r="C135" t="s" s="10">
        <v>1831</v>
      </c>
      <c r="D135" t="s" s="26">
        <v>1157</v>
      </c>
      <c r="E135" s="11">
        <f t="shared" si="16"/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7"/>
      </c>
      <c r="L135" s="7">
        <v>0</v>
      </c>
      <c r="M135" s="11">
        <f t="shared" si="18"/>
      </c>
      <c r="N135" s="11">
        <f t="shared" si="19"/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>
        <f>IFERROR(CalcRC27(F135,G135,K135,O135,P135,Q135,R135,S135,T135,U135,V135),"-")</f>
      </c>
      <c r="X135" t="s" s="13">
        <v>1158</v>
      </c>
    </row>
    <row r="136" spans="2:24" ht="13.8" x14ac:dyDescent="0.2">
      <c r="B136" s="8">
        <f t="shared" si="15"/>
      </c>
      <c r="C136" t="s" s="10">
        <v>1159</v>
      </c>
      <c r="D136" t="s" s="8">
        <v>1160</v>
      </c>
      <c r="E136" s="11">
        <f t="shared" si="16"/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7"/>
      </c>
      <c r="L136" s="7">
        <v>0</v>
      </c>
      <c r="M136" s="11">
        <f t="shared" si="18"/>
      </c>
      <c r="N136" s="11">
        <f t="shared" si="19"/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>
        <f>IFERROR(CalcRC27(F136,G136,K136,O136,P136,Q136,R136,S136,T136,U136,V136),"-")</f>
      </c>
      <c r="X136" t="s" s="13">
        <v>1934</v>
      </c>
    </row>
    <row r="137" spans="2:24" ht="13.8" x14ac:dyDescent="0.2">
      <c r="B137" s="8">
        <f t="shared" si="15"/>
      </c>
      <c r="C137" t="s" s="10">
        <v>1161</v>
      </c>
      <c r="D137" t="s" s="26">
        <v>1162</v>
      </c>
      <c r="E137" s="11">
        <f t="shared" si="16"/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7"/>
      </c>
      <c r="L137" s="7">
        <v>0</v>
      </c>
      <c r="M137" s="11">
        <f t="shared" si="18"/>
      </c>
      <c r="N137" s="11">
        <f t="shared" si="19"/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>
        <f>IFERROR(CalcRC27(F137,G137,K137,O137,P137,Q137,R137,S137,T137,U137,V137),"-")</f>
      </c>
      <c r="X137" t="s" s="13">
        <v>687</v>
      </c>
    </row>
    <row r="138" spans="2:24" ht="13.8" x14ac:dyDescent="0.2">
      <c r="B138" s="8">
        <f t="shared" si="15"/>
      </c>
      <c r="C138" t="s" s="10">
        <v>1837</v>
      </c>
      <c r="D138" t="s" s="26">
        <v>1163</v>
      </c>
      <c r="E138" s="11">
        <f t="shared" si="16"/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7"/>
      </c>
      <c r="L138" s="7">
        <v>0</v>
      </c>
      <c r="M138" s="11">
        <f t="shared" si="18"/>
      </c>
      <c r="N138" s="11">
        <f t="shared" si="19"/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>
        <f>IFERROR(CalcRC27(F138,G138,K138,O138,P138,Q138,R138,S138,T138,U138,V138),"-")</f>
      </c>
      <c r="X138" t="s" s="13">
        <v>1164</v>
      </c>
    </row>
    <row r="139" spans="2:24" ht="13.8" x14ac:dyDescent="0.2">
      <c r="B139" s="8">
        <f t="shared" si="15"/>
      </c>
      <c r="C139" t="s" s="10">
        <v>1165</v>
      </c>
      <c r="D139" t="s" s="26">
        <v>718</v>
      </c>
      <c r="E139" s="11">
        <f t="shared" si="16"/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7"/>
      </c>
      <c r="L139" s="7">
        <v>0</v>
      </c>
      <c r="M139" s="11">
        <f t="shared" si="18"/>
      </c>
      <c r="N139" s="11">
        <f t="shared" si="19"/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>
        <f>IFERROR(CalcRC27(F139,G139,K139,O139,P139,Q139,R139,S139,T139,U139,V139),"-")</f>
      </c>
      <c r="X139" t="s" s="13">
        <v>704</v>
      </c>
    </row>
    <row r="140" spans="2:24" ht="13.8" x14ac:dyDescent="0.2">
      <c r="B140" s="8">
        <f t="shared" si="15"/>
      </c>
      <c r="C140" t="s" s="10">
        <v>1166</v>
      </c>
      <c r="D140" t="s" s="26">
        <v>1167</v>
      </c>
      <c r="E140" s="11">
        <f t="shared" si="16"/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7"/>
      </c>
      <c r="L140" s="7">
        <v>0</v>
      </c>
      <c r="M140" s="11">
        <f t="shared" si="18"/>
      </c>
      <c r="N140" s="11">
        <f t="shared" si="19"/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>
        <f>IFERROR(CalcRC27(F140,G140,K140,O140,P140,Q140,R140,S140,T140,U140,V140),"-")</f>
      </c>
      <c r="X140" t="s" s="13">
        <v>779</v>
      </c>
    </row>
    <row r="141" spans="2:24" ht="13.8" x14ac:dyDescent="0.2">
      <c r="B141" s="8">
        <f t="shared" si="15"/>
      </c>
      <c r="C141" t="s" s="10">
        <v>1168</v>
      </c>
      <c r="D141" t="s" s="26">
        <v>1551</v>
      </c>
      <c r="E141" s="11">
        <f t="shared" si="16"/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7"/>
      </c>
      <c r="L141" s="7">
        <v>0</v>
      </c>
      <c r="M141" s="11">
        <f t="shared" si="18"/>
      </c>
      <c r="N141" s="11">
        <f t="shared" si="19"/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>
        <f>IFERROR(CalcRC27(F141,G141,K141,O141,P141,Q141,R141,S141,T141,U141,V141),"-")</f>
      </c>
      <c r="X141" t="s" s="13">
        <v>705</v>
      </c>
    </row>
    <row r="142" spans="2:24" ht="13.8" x14ac:dyDescent="0.2">
      <c r="B142" s="8">
        <f t="shared" si="15"/>
      </c>
      <c r="C142" t="s" s="10">
        <v>1169</v>
      </c>
      <c r="D142" t="s" s="8">
        <v>1170</v>
      </c>
      <c r="E142" s="11">
        <f t="shared" si="16"/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7"/>
      </c>
      <c r="L142" s="7">
        <v>0</v>
      </c>
      <c r="M142" s="11">
        <f t="shared" si="18"/>
      </c>
      <c r="N142" s="11">
        <f t="shared" si="19"/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>
        <f>IFERROR(CalcRC27(F142,G142,K142,O142,P142,Q142,R142,S142,T142,U142,V142),"-")</f>
      </c>
      <c r="X142" t="s" s="13">
        <v>1935</v>
      </c>
    </row>
    <row r="143" spans="2:24" ht="13.8" x14ac:dyDescent="0.2">
      <c r="B143" s="8">
        <f t="shared" si="15"/>
      </c>
      <c r="C143" t="s" s="10">
        <v>1171</v>
      </c>
      <c r="D143" t="s" s="26">
        <v>1172</v>
      </c>
      <c r="E143" s="11">
        <f t="shared" si="16"/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7"/>
      </c>
      <c r="L143" s="7">
        <v>0</v>
      </c>
      <c r="M143" s="11">
        <f t="shared" si="18"/>
      </c>
      <c r="N143" s="11">
        <f t="shared" si="19"/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>
        <f>IFERROR(CalcRC27(F143,G143,K143,O143,P143,Q143,R143,S143,T143,U143,V143),"-")</f>
      </c>
      <c r="X143" t="s" s="13">
        <v>689</v>
      </c>
    </row>
    <row r="144" spans="2:24" ht="13.8" x14ac:dyDescent="0.2">
      <c r="B144" s="8">
        <f t="shared" si="15"/>
      </c>
      <c r="C144" t="s" s="10">
        <v>1173</v>
      </c>
      <c r="D144" t="s" s="26">
        <v>1174</v>
      </c>
      <c r="E144" s="11">
        <f t="shared" si="16"/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7"/>
      </c>
      <c r="L144" s="7">
        <v>0</v>
      </c>
      <c r="M144" s="11">
        <f t="shared" si="18"/>
      </c>
      <c r="N144" s="11">
        <f t="shared" si="19"/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>
        <f>IFERROR(CalcRC27(F144,G144,K144,O144,P144,Q144,R144,S144,T144,U144,V144),"-")</f>
      </c>
      <c r="X144" t="s" s="13">
        <v>690</v>
      </c>
    </row>
    <row r="145" spans="2:24" ht="13.8" x14ac:dyDescent="0.2">
      <c r="B145" s="8">
        <f t="shared" si="15"/>
      </c>
      <c r="C145" t="s" s="10">
        <v>1175</v>
      </c>
      <c r="D145" t="s" s="8">
        <v>179</v>
      </c>
      <c r="E145" s="11">
        <f t="shared" si="16"/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7"/>
      </c>
      <c r="L145" s="7">
        <v>0</v>
      </c>
      <c r="M145" s="11">
        <f t="shared" si="18"/>
      </c>
      <c r="N145" s="11">
        <f t="shared" si="19"/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>
        <f>IFERROR(CalcRC27(F145,G145,K145,O145,P145,Q145,R145,S145,T145,U145,V145),"-")</f>
      </c>
      <c r="X145" t="s" s="13">
        <v>1936</v>
      </c>
    </row>
    <row r="146" spans="2:24" ht="13.8" x14ac:dyDescent="0.2">
      <c r="B146" s="8">
        <f t="shared" si="15"/>
      </c>
      <c r="C146" s="10"/>
      <c r="D146" s="8"/>
      <c r="E146" s="11">
        <f t="shared" si="16"/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7"/>
      </c>
      <c r="L146" s="7">
        <v>0</v>
      </c>
      <c r="M146" s="11">
        <f t="shared" si="18"/>
      </c>
      <c r="N146" s="11">
        <f t="shared" si="19"/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>
        <f>IFERROR(CalcRC27(F146,G146,K146,O146,P146,Q146,R146,S146,T146,U146,V146),"-")</f>
      </c>
      <c r="X146" s="13"/>
    </row>
    <row r="147" spans="2:24" ht="13.8" x14ac:dyDescent="0.2">
      <c r="B147" s="8">
        <f t="shared" si="15"/>
      </c>
      <c r="C147" s="10"/>
      <c r="D147" s="8"/>
      <c r="E147" s="11">
        <f t="shared" si="16"/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7"/>
      </c>
      <c r="L147" s="7">
        <v>0</v>
      </c>
      <c r="M147" s="11">
        <f t="shared" si="18"/>
      </c>
      <c r="N147" s="11">
        <f t="shared" si="19"/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>
        <f>IFERROR(CalcRC27(F147,G147,K147,O147,P147,Q147,R147,S147,T147,U147,V147),"-")</f>
      </c>
      <c r="X147" s="13"/>
    </row>
    <row r="148" spans="2:24" ht="13.8" x14ac:dyDescent="0.2">
      <c r="B148" s="8">
        <f t="shared" si="15"/>
      </c>
      <c r="C148" s="10"/>
      <c r="D148" s="8"/>
      <c r="E148" s="11">
        <f t="shared" si="16"/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7"/>
      </c>
      <c r="L148" s="7">
        <v>0</v>
      </c>
      <c r="M148" s="11">
        <f t="shared" si="18"/>
      </c>
      <c r="N148" s="11">
        <f t="shared" si="19"/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>
        <f>IFERROR(CalcRC27(F148,G148,K148,O148,P148,Q148,R148,S148,T148,U148,V148),"-")</f>
      </c>
      <c r="X148" s="13"/>
    </row>
    <row r="149" spans="2:24" ht="13.8" x14ac:dyDescent="0.2">
      <c r="B149" s="8">
        <f t="shared" si="15"/>
      </c>
      <c r="C149" s="10"/>
      <c r="D149" s="8"/>
      <c r="E149" s="11">
        <f t="shared" si="16"/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7"/>
      </c>
      <c r="L149" s="7">
        <v>0</v>
      </c>
      <c r="M149" s="11">
        <f t="shared" si="18"/>
      </c>
      <c r="N149" s="11">
        <f t="shared" si="19"/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>
        <f>IFERROR(CalcRC27(F149,G149,K149,O149,P149,Q149,R149,S149,T149,U149,V149),"-")</f>
      </c>
      <c r="X149" s="13"/>
    </row>
    <row r="150" spans="2:24" ht="13.8" x14ac:dyDescent="0.2">
      <c r="B150" s="8">
        <f t="shared" si="15"/>
      </c>
      <c r="C150" s="10"/>
      <c r="D150" s="8"/>
      <c r="E150" s="11">
        <f t="shared" si="16"/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7"/>
      </c>
      <c r="L150" s="7">
        <v>0</v>
      </c>
      <c r="M150" s="11">
        <f t="shared" si="18"/>
      </c>
      <c r="N150" s="11">
        <f t="shared" si="19"/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>
        <f>IFERROR(CalcRC27(F150,G150,K150,O150,P150,Q150,R150,S150,T150,U150,V150),"-")</f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1288</v>
      </c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</c>
      <c r="L4" s="7">
        <v>0</v>
      </c>
      <c r="M4" s="11">
        <f t="shared" ref="M4" si="3">IFERROR(IF((G4+P4+Q4)/(F4+P4+Q4+S4)=1,"1.00",(G4+P4+Q4)/(F4+P4+Q4+S4)),0)</f>
      </c>
      <c r="N4" s="11">
        <f t="shared" ref="N4" si="4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1309</v>
      </c>
    </row>
    <row r="5" spans="2:24" ht="13.8" x14ac:dyDescent="0.2">
      <c r="B5" s="8">
        <f t="shared" ref="B5:B68" si="5">IF(C5="","",C5)</f>
      </c>
      <c r="C5" s="10">
        <v>0</v>
      </c>
      <c r="D5" t="s" s="13">
        <v>180</v>
      </c>
      <c r="E5" s="11">
        <f t="shared" ref="E5:E68" si="6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720</v>
      </c>
    </row>
    <row r="6" spans="2:24" ht="13.8" x14ac:dyDescent="0.2">
      <c r="B6" s="8">
        <f t="shared" si="5"/>
      </c>
      <c r="C6" s="10">
        <v>1</v>
      </c>
      <c r="D6" t="s" s="13">
        <v>1289</v>
      </c>
      <c r="E6" s="11">
        <f t="shared" si="6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721</v>
      </c>
    </row>
    <row r="7" spans="2:24" ht="13.8" x14ac:dyDescent="0.2">
      <c r="B7" s="8">
        <f t="shared" si="5"/>
      </c>
      <c r="C7" s="10">
        <v>2</v>
      </c>
      <c r="D7" s="13"/>
      <c r="E7" s="11">
        <f t="shared" si="6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5"/>
      </c>
      <c r="C8" s="10">
        <v>3</v>
      </c>
      <c r="D8" t="s" s="13">
        <v>1290</v>
      </c>
      <c r="E8" s="11">
        <f t="shared" si="6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1176</v>
      </c>
    </row>
    <row r="9" spans="2:24" ht="13.8" x14ac:dyDescent="0.2">
      <c r="B9" s="8">
        <f t="shared" si="5"/>
      </c>
      <c r="C9" s="10">
        <v>4</v>
      </c>
      <c r="D9" t="s" s="13">
        <v>763</v>
      </c>
      <c r="E9" s="11">
        <f t="shared" si="6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722</v>
      </c>
    </row>
    <row r="10" spans="2:24" ht="13.8" x14ac:dyDescent="0.2">
      <c r="B10" s="8">
        <f t="shared" si="5"/>
      </c>
      <c r="C10" s="10">
        <v>5</v>
      </c>
      <c r="D10" t="s" s="13">
        <v>12</v>
      </c>
      <c r="E10" s="11">
        <f t="shared" si="6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723</v>
      </c>
    </row>
    <row r="11" spans="2:24" ht="13.8" x14ac:dyDescent="0.2">
      <c r="B11" s="8">
        <f t="shared" si="5"/>
      </c>
      <c r="C11" s="10">
        <v>6</v>
      </c>
      <c r="D11" s="9"/>
      <c r="E11" s="11">
        <f t="shared" si="6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5"/>
      </c>
      <c r="C12" s="10">
        <v>7</v>
      </c>
      <c r="D12" t="s" s="9">
        <v>85</v>
      </c>
      <c r="E12" s="11">
        <f t="shared" si="6"/>
      </c>
      <c r="F12" s="5">
        <v>1</v>
      </c>
      <c r="G12" s="5">
        <v>1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753</v>
      </c>
    </row>
    <row r="13" spans="2:24" ht="13.8" x14ac:dyDescent="0.2">
      <c r="B13" s="8">
        <f t="shared" si="5"/>
      </c>
      <c r="C13" s="10">
        <v>8</v>
      </c>
      <c r="D13" s="13"/>
      <c r="E13" s="11">
        <f t="shared" si="6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5"/>
      </c>
      <c r="C14" s="10">
        <v>9</v>
      </c>
      <c r="D14" t="s" s="13">
        <v>1177</v>
      </c>
      <c r="E14" s="11">
        <f t="shared" si="6"/>
      </c>
      <c r="F14" s="5">
        <v>1</v>
      </c>
      <c r="G14" s="5">
        <v>1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1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724</v>
      </c>
    </row>
    <row r="15" spans="2:24" ht="13.8" x14ac:dyDescent="0.2">
      <c r="B15" s="8">
        <f t="shared" si="5"/>
      </c>
      <c r="C15" s="10">
        <v>10</v>
      </c>
      <c r="D15" t="s" s="13">
        <v>1178</v>
      </c>
      <c r="E15" s="11">
        <f t="shared" si="6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742</v>
      </c>
    </row>
    <row r="16" spans="2:24" ht="13.8" x14ac:dyDescent="0.2">
      <c r="B16" s="8">
        <f t="shared" si="5"/>
      </c>
      <c r="C16" s="10">
        <v>11</v>
      </c>
      <c r="D16" s="13"/>
      <c r="E16" s="11">
        <f t="shared" si="6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5"/>
      </c>
      <c r="C17" s="10">
        <v>12</v>
      </c>
      <c r="D17" t="s" s="13">
        <v>14</v>
      </c>
      <c r="E17" s="11">
        <f t="shared" si="6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726</v>
      </c>
    </row>
    <row r="18" spans="2:24" ht="13.8" x14ac:dyDescent="0.2">
      <c r="B18" s="8">
        <f t="shared" si="5"/>
      </c>
      <c r="C18" s="10">
        <v>13</v>
      </c>
      <c r="D18" t="s" s="13">
        <v>1179</v>
      </c>
      <c r="E18" s="11">
        <f t="shared" si="6"/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1937</v>
      </c>
    </row>
    <row r="19" spans="2:24" ht="13.8" x14ac:dyDescent="0.2">
      <c r="B19" s="8">
        <f t="shared" si="5"/>
      </c>
      <c r="C19" s="10">
        <v>14</v>
      </c>
      <c r="D19" t="s" s="13">
        <v>1180</v>
      </c>
      <c r="E19" s="11">
        <f t="shared" si="6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1181</v>
      </c>
    </row>
    <row r="20" spans="2:24" ht="13.8" x14ac:dyDescent="0.2">
      <c r="B20" s="8">
        <f t="shared" si="5"/>
      </c>
      <c r="C20" s="10">
        <v>15</v>
      </c>
      <c r="D20" t="s" s="2">
        <v>1291</v>
      </c>
      <c r="E20" s="11">
        <f t="shared" si="6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728</v>
      </c>
    </row>
    <row r="21" spans="2:24" ht="13.8" x14ac:dyDescent="0.2">
      <c r="B21" s="8">
        <f t="shared" si="5"/>
      </c>
      <c r="C21" s="10">
        <v>16</v>
      </c>
      <c r="D21" t="s" s="13">
        <v>9</v>
      </c>
      <c r="E21" s="11">
        <f t="shared" si="6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729</v>
      </c>
    </row>
    <row r="22" spans="2:24" ht="13.8" x14ac:dyDescent="0.2">
      <c r="B22" s="8">
        <f t="shared" si="5"/>
      </c>
      <c r="C22" s="10">
        <v>17</v>
      </c>
      <c r="D22" t="s" s="13">
        <v>1182</v>
      </c>
      <c r="E22" s="11">
        <f t="shared" si="6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730</v>
      </c>
    </row>
    <row r="23" spans="2:24" ht="13.8" x14ac:dyDescent="0.2">
      <c r="B23" s="8">
        <f t="shared" si="5"/>
      </c>
      <c r="C23" s="10">
        <v>18</v>
      </c>
      <c r="D23" t="s" s="13">
        <v>83</v>
      </c>
      <c r="E23" s="11">
        <f t="shared" si="6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725</v>
      </c>
    </row>
    <row r="24" spans="2:24" ht="13.8" x14ac:dyDescent="0.2">
      <c r="B24" s="8">
        <f t="shared" si="5"/>
      </c>
      <c r="C24" s="10">
        <v>19</v>
      </c>
      <c r="D24" t="s" s="13">
        <v>1292</v>
      </c>
      <c r="E24" s="11">
        <f t="shared" si="6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731</v>
      </c>
    </row>
    <row r="25" spans="2:24" ht="13.8" x14ac:dyDescent="0.2">
      <c r="B25" s="8">
        <f t="shared" si="5"/>
      </c>
      <c r="C25" s="10">
        <v>20</v>
      </c>
      <c r="D25" t="s" s="13">
        <v>181</v>
      </c>
      <c r="E25" s="11">
        <f t="shared" si="6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732</v>
      </c>
    </row>
    <row r="26" spans="2:24" ht="13.8" x14ac:dyDescent="0.2">
      <c r="B26" s="8">
        <f t="shared" si="5"/>
      </c>
      <c r="C26" s="10">
        <v>21</v>
      </c>
      <c r="D26" t="s" s="13">
        <v>1183</v>
      </c>
      <c r="E26" s="11">
        <f t="shared" si="6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1184</v>
      </c>
    </row>
    <row r="27" spans="2:24" ht="13.8" x14ac:dyDescent="0.2">
      <c r="B27" s="8">
        <f t="shared" si="5"/>
      </c>
      <c r="C27" s="10">
        <v>22</v>
      </c>
      <c r="D27" s="13"/>
      <c r="E27" s="11">
        <f t="shared" si="6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5"/>
      </c>
      <c r="C28" s="10">
        <v>23</v>
      </c>
      <c r="D28" t="s" s="13">
        <v>13</v>
      </c>
      <c r="E28" s="11">
        <f t="shared" si="6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1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733</v>
      </c>
    </row>
    <row r="29" spans="2:24" ht="13.8" x14ac:dyDescent="0.2">
      <c r="B29" s="8">
        <f t="shared" si="5"/>
      </c>
      <c r="C29" s="10">
        <v>24</v>
      </c>
      <c r="D29" t="s" s="13">
        <v>10</v>
      </c>
      <c r="E29" s="11">
        <f t="shared" si="6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734</v>
      </c>
    </row>
    <row r="30" spans="2:24" ht="13.8" x14ac:dyDescent="0.2">
      <c r="B30" s="8">
        <f t="shared" si="5"/>
      </c>
      <c r="C30" s="10">
        <v>25</v>
      </c>
      <c r="D30" t="s" s="13">
        <v>1185</v>
      </c>
      <c r="E30" s="11">
        <f t="shared" si="6"/>
      </c>
      <c r="F30" s="5">
        <v>1</v>
      </c>
      <c r="G30" s="5">
        <v>1</v>
      </c>
      <c r="H30" s="5">
        <v>0</v>
      </c>
      <c r="I30" s="5">
        <v>0</v>
      </c>
      <c r="J30" s="6">
        <v>0</v>
      </c>
      <c r="K30" s="12">
        <f t="shared" si="7"/>
      </c>
      <c r="L30" s="7">
        <v>1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1938</v>
      </c>
    </row>
    <row r="31" spans="2:24" ht="13.8" x14ac:dyDescent="0.2">
      <c r="B31" s="8">
        <f t="shared" si="5"/>
      </c>
      <c r="C31" s="10">
        <v>26</v>
      </c>
      <c r="D31" t="s" s="13">
        <v>182</v>
      </c>
      <c r="E31" s="11">
        <f t="shared" si="6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1186</v>
      </c>
    </row>
    <row r="32" spans="2:24" ht="13.8" x14ac:dyDescent="0.2">
      <c r="B32" s="8">
        <f t="shared" si="5"/>
      </c>
      <c r="C32" s="10">
        <v>27</v>
      </c>
      <c r="D32" t="s" s="9">
        <v>1677</v>
      </c>
      <c r="E32" s="11">
        <f t="shared" si="6"/>
      </c>
      <c r="F32" s="5">
        <v>1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735</v>
      </c>
    </row>
    <row r="33" spans="2:24" ht="13.8" x14ac:dyDescent="0.2">
      <c r="B33" s="8">
        <f t="shared" si="5"/>
      </c>
      <c r="C33" s="10">
        <v>28</v>
      </c>
      <c r="D33" t="s" s="13">
        <v>1187</v>
      </c>
      <c r="E33" s="11">
        <f t="shared" si="6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1188</v>
      </c>
    </row>
    <row r="34" spans="2:24" ht="13.8" x14ac:dyDescent="0.2">
      <c r="B34" s="8">
        <f t="shared" si="5"/>
      </c>
      <c r="C34" s="10">
        <v>29</v>
      </c>
      <c r="D34" t="s" s="13">
        <v>1293</v>
      </c>
      <c r="E34" s="11">
        <f t="shared" si="6"/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736</v>
      </c>
    </row>
    <row r="35" spans="2:24" ht="13.8" x14ac:dyDescent="0.2">
      <c r="B35" s="8">
        <f t="shared" si="5"/>
      </c>
      <c r="C35" s="10">
        <v>30</v>
      </c>
      <c r="D35" t="s" s="13">
        <v>15</v>
      </c>
      <c r="E35" s="11">
        <f t="shared" si="6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737</v>
      </c>
    </row>
    <row r="36" spans="2:24" ht="13.8" x14ac:dyDescent="0.2">
      <c r="B36" s="8">
        <f t="shared" si="5"/>
      </c>
      <c r="C36" s="10">
        <v>31</v>
      </c>
      <c r="D36" t="s" s="13">
        <v>1189</v>
      </c>
      <c r="E36" s="11">
        <f t="shared" si="6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738</v>
      </c>
    </row>
    <row r="37" spans="2:24" ht="13.8" x14ac:dyDescent="0.2">
      <c r="B37" s="8">
        <f t="shared" si="5"/>
      </c>
      <c r="C37" s="10">
        <v>32</v>
      </c>
      <c r="D37" t="s" s="13">
        <v>183</v>
      </c>
      <c r="E37" s="11">
        <f t="shared" si="6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739</v>
      </c>
    </row>
    <row r="38" spans="2:24" ht="13.8" x14ac:dyDescent="0.2">
      <c r="B38" s="8">
        <f t="shared" si="5"/>
      </c>
      <c r="C38" s="10">
        <v>33</v>
      </c>
      <c r="D38" t="s" s="13">
        <v>46</v>
      </c>
      <c r="E38" s="11">
        <f t="shared" si="6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740</v>
      </c>
    </row>
    <row r="39" spans="2:24" ht="13.8" x14ac:dyDescent="0.2">
      <c r="B39" s="8">
        <f t="shared" si="5"/>
      </c>
      <c r="C39" s="10">
        <v>34</v>
      </c>
      <c r="D39" t="s" s="13">
        <v>36</v>
      </c>
      <c r="E39" s="11">
        <f t="shared" si="6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741</v>
      </c>
    </row>
    <row r="40" spans="2:24" ht="13.8" x14ac:dyDescent="0.2">
      <c r="B40" s="8">
        <f t="shared" si="5"/>
      </c>
      <c r="C40" s="10">
        <v>35</v>
      </c>
      <c r="D40" t="s" s="13">
        <v>1190</v>
      </c>
      <c r="E40" s="11">
        <f t="shared" si="6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1191</v>
      </c>
    </row>
    <row r="41" spans="2:24" ht="13.8" x14ac:dyDescent="0.2">
      <c r="B41" s="8">
        <f t="shared" si="5"/>
      </c>
      <c r="C41" s="10">
        <v>36</v>
      </c>
      <c r="D41" t="s" s="13">
        <v>1748</v>
      </c>
      <c r="E41" s="11">
        <f t="shared" si="6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1192</v>
      </c>
    </row>
    <row r="42" spans="2:24" ht="13.8" x14ac:dyDescent="0.2">
      <c r="B42" s="8">
        <f t="shared" si="5"/>
      </c>
      <c r="C42" s="10">
        <v>37</v>
      </c>
      <c r="D42" t="s" s="13">
        <v>1222</v>
      </c>
      <c r="E42" s="11">
        <f t="shared" si="6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1939</v>
      </c>
    </row>
    <row r="43" spans="2:24" ht="13.8" x14ac:dyDescent="0.2">
      <c r="B43" s="8">
        <f t="shared" si="5"/>
      </c>
      <c r="C43" s="10">
        <v>38</v>
      </c>
      <c r="D43" t="s" s="13">
        <v>1193</v>
      </c>
      <c r="E43" s="11">
        <f t="shared" si="6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1194</v>
      </c>
    </row>
    <row r="44" spans="2:24" ht="13.8" x14ac:dyDescent="0.2">
      <c r="B44" s="8">
        <f t="shared" si="5"/>
      </c>
      <c r="C44" s="10">
        <v>39</v>
      </c>
      <c r="D44" t="s" s="13">
        <v>1294</v>
      </c>
      <c r="E44" s="11">
        <f t="shared" si="6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1940</v>
      </c>
    </row>
    <row r="45" spans="2:24" ht="13.8" x14ac:dyDescent="0.2">
      <c r="B45" s="8">
        <f t="shared" si="5"/>
      </c>
      <c r="C45" s="10">
        <v>40</v>
      </c>
      <c r="D45" t="s" s="13">
        <v>43</v>
      </c>
      <c r="E45" s="11">
        <f t="shared" si="6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727</v>
      </c>
    </row>
    <row r="46" spans="2:24" ht="13.8" x14ac:dyDescent="0.2">
      <c r="B46" s="8">
        <f t="shared" si="5"/>
      </c>
      <c r="C46" s="10">
        <v>41</v>
      </c>
      <c r="D46" t="s" s="13">
        <v>764</v>
      </c>
      <c r="E46" s="11">
        <f t="shared" si="6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743</v>
      </c>
    </row>
    <row r="47" spans="2:24" ht="13.8" x14ac:dyDescent="0.2">
      <c r="B47" s="8">
        <f t="shared" si="5"/>
      </c>
      <c r="C47" s="10">
        <v>42</v>
      </c>
      <c r="D47" t="s" s="13">
        <v>1195</v>
      </c>
      <c r="E47" s="11">
        <f t="shared" si="6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1196</v>
      </c>
    </row>
    <row r="48" spans="2:24" ht="13.8" x14ac:dyDescent="0.2">
      <c r="B48" s="8">
        <f t="shared" si="5"/>
      </c>
      <c r="C48" s="10">
        <v>43</v>
      </c>
      <c r="D48" t="s" s="13">
        <v>1295</v>
      </c>
      <c r="E48" s="11">
        <f t="shared" si="6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1197</v>
      </c>
    </row>
    <row r="49" spans="2:24" ht="13.8" x14ac:dyDescent="0.2">
      <c r="B49" s="8">
        <f t="shared" si="5"/>
      </c>
      <c r="C49" s="10">
        <v>44</v>
      </c>
      <c r="D49" t="s" s="13">
        <v>84</v>
      </c>
      <c r="E49" s="11">
        <f t="shared" si="6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744</v>
      </c>
    </row>
    <row r="50" spans="2:24" ht="13.8" x14ac:dyDescent="0.2">
      <c r="B50" s="8">
        <f t="shared" si="5"/>
      </c>
      <c r="C50" s="10">
        <v>45</v>
      </c>
      <c r="D50" t="s" s="13">
        <v>1198</v>
      </c>
      <c r="E50" s="11">
        <f t="shared" si="6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759</v>
      </c>
    </row>
    <row r="51" spans="2:24" ht="13.8" x14ac:dyDescent="0.2">
      <c r="B51" s="8">
        <f t="shared" si="5"/>
      </c>
      <c r="C51" s="10">
        <v>46</v>
      </c>
      <c r="D51" t="s" s="13">
        <v>44</v>
      </c>
      <c r="E51" s="11">
        <f t="shared" si="6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745</v>
      </c>
    </row>
    <row r="52" spans="2:24" ht="13.8" x14ac:dyDescent="0.2">
      <c r="B52" s="8">
        <f t="shared" si="5"/>
      </c>
      <c r="C52" s="10">
        <v>47</v>
      </c>
      <c r="D52" t="s" s="13">
        <v>1199</v>
      </c>
      <c r="E52" s="11">
        <f t="shared" si="6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746</v>
      </c>
    </row>
    <row r="53" spans="2:24" ht="13.8" x14ac:dyDescent="0.2">
      <c r="B53" s="8">
        <f t="shared" si="5"/>
      </c>
      <c r="C53" s="10">
        <v>48</v>
      </c>
      <c r="D53" t="s" s="13">
        <v>11</v>
      </c>
      <c r="E53" s="11">
        <f t="shared" si="6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747</v>
      </c>
    </row>
    <row r="54" spans="2:24" ht="13.8" x14ac:dyDescent="0.2">
      <c r="B54" s="8">
        <f t="shared" si="5"/>
      </c>
      <c r="C54" s="10">
        <v>49</v>
      </c>
      <c r="D54" t="s" s="13">
        <v>59</v>
      </c>
      <c r="E54" s="11">
        <f t="shared" si="6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1200</v>
      </c>
    </row>
    <row r="55" spans="2:24" ht="13.8" x14ac:dyDescent="0.2">
      <c r="B55" s="8">
        <f t="shared" si="5"/>
      </c>
      <c r="C55" s="10">
        <v>50</v>
      </c>
      <c r="D55" t="s" s="13">
        <v>1201</v>
      </c>
      <c r="E55" s="11">
        <f t="shared" si="6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1202</v>
      </c>
    </row>
    <row r="56" spans="2:24" ht="13.8" x14ac:dyDescent="0.2">
      <c r="B56" s="8">
        <f t="shared" si="5"/>
      </c>
      <c r="C56" s="10">
        <v>51</v>
      </c>
      <c r="D56" t="s" s="13">
        <v>45</v>
      </c>
      <c r="E56" s="11">
        <f t="shared" si="6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748</v>
      </c>
    </row>
    <row r="57" spans="2:24" ht="13.8" x14ac:dyDescent="0.2">
      <c r="B57" s="8">
        <f t="shared" si="5"/>
      </c>
      <c r="C57" s="10">
        <v>52</v>
      </c>
      <c r="D57" t="s" s="13">
        <v>1203</v>
      </c>
      <c r="E57" s="11">
        <f t="shared" si="6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1204</v>
      </c>
    </row>
    <row r="58" spans="2:24" ht="13.8" x14ac:dyDescent="0.2">
      <c r="B58" s="8">
        <f t="shared" si="5"/>
      </c>
      <c r="C58" s="10">
        <v>53</v>
      </c>
      <c r="D58" t="s" s="13">
        <v>1536</v>
      </c>
      <c r="E58" s="11">
        <f t="shared" si="6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750</v>
      </c>
    </row>
    <row r="59" spans="2:24" ht="13.8" x14ac:dyDescent="0.2">
      <c r="B59" s="8">
        <f t="shared" si="5"/>
      </c>
      <c r="C59" s="10">
        <v>54</v>
      </c>
      <c r="D59" t="s" s="13">
        <v>1205</v>
      </c>
      <c r="E59" s="11">
        <f t="shared" si="6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1205</v>
      </c>
    </row>
    <row r="60" spans="2:24" ht="13.8" x14ac:dyDescent="0.2">
      <c r="B60" s="8">
        <f t="shared" si="5"/>
      </c>
      <c r="C60" s="10">
        <v>55</v>
      </c>
      <c r="D60" t="s" s="13">
        <v>1296</v>
      </c>
      <c r="E60" s="11">
        <f t="shared" si="6"/>
      </c>
      <c r="F60" s="5">
        <v>1</v>
      </c>
      <c r="G60" s="5">
        <v>1</v>
      </c>
      <c r="H60" s="5">
        <v>0</v>
      </c>
      <c r="I60" s="5">
        <v>0</v>
      </c>
      <c r="J60" s="6">
        <v>1</v>
      </c>
      <c r="K60" s="12">
        <f t="shared" si="7"/>
      </c>
      <c r="L60" s="7">
        <v>3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751</v>
      </c>
    </row>
    <row r="61" spans="2:24" ht="13.8" x14ac:dyDescent="0.2">
      <c r="B61" s="8">
        <f t="shared" si="5"/>
      </c>
      <c r="C61" s="10">
        <v>56</v>
      </c>
      <c r="D61" t="s" s="13">
        <v>1745</v>
      </c>
      <c r="E61" s="11">
        <f t="shared" si="6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1206</v>
      </c>
    </row>
    <row r="62" spans="2:24" ht="13.8" x14ac:dyDescent="0.2">
      <c r="B62" s="8">
        <f t="shared" si="5"/>
      </c>
      <c r="C62" s="10">
        <v>57</v>
      </c>
      <c r="D62" t="s" s="13">
        <v>1894</v>
      </c>
      <c r="E62" s="11">
        <f t="shared" si="6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752</v>
      </c>
    </row>
    <row r="63" spans="2:24" ht="13.8" x14ac:dyDescent="0.2">
      <c r="B63" s="8">
        <f t="shared" si="5"/>
      </c>
      <c r="C63" s="10">
        <v>58</v>
      </c>
      <c r="D63" t="s" s="13">
        <v>1207</v>
      </c>
      <c r="E63" s="11">
        <f t="shared" si="6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1208</v>
      </c>
    </row>
    <row r="64" spans="2:24" ht="13.8" x14ac:dyDescent="0.2">
      <c r="B64" s="8">
        <f t="shared" si="5"/>
      </c>
      <c r="C64" s="10">
        <v>59</v>
      </c>
      <c r="D64" t="s" s="13">
        <v>765</v>
      </c>
      <c r="E64" s="11">
        <f t="shared" si="6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754</v>
      </c>
    </row>
    <row r="65" spans="2:24" ht="13.8" x14ac:dyDescent="0.2">
      <c r="B65" s="8">
        <f t="shared" si="5"/>
      </c>
      <c r="C65" s="10">
        <v>60</v>
      </c>
      <c r="D65" t="s" s="13">
        <v>86</v>
      </c>
      <c r="E65" s="11">
        <f t="shared" si="6"/>
      </c>
      <c r="F65" s="5">
        <v>1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755</v>
      </c>
    </row>
    <row r="66" spans="2:24" ht="13.8" x14ac:dyDescent="0.2">
      <c r="B66" s="8">
        <f t="shared" si="5"/>
      </c>
      <c r="C66" s="10">
        <v>61</v>
      </c>
      <c r="D66" t="s" s="13">
        <v>122</v>
      </c>
      <c r="E66" s="11">
        <f t="shared" si="6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1209</v>
      </c>
    </row>
    <row r="67" spans="2:24" ht="13.8" x14ac:dyDescent="0.2">
      <c r="B67" s="8">
        <f t="shared" si="5"/>
      </c>
      <c r="C67" s="10">
        <v>62</v>
      </c>
      <c r="D67" t="s" s="13">
        <v>766</v>
      </c>
      <c r="E67" s="11">
        <f t="shared" si="6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756</v>
      </c>
    </row>
    <row r="68" spans="2:24" ht="13.8" x14ac:dyDescent="0.2">
      <c r="B68" s="8">
        <f t="shared" si="5"/>
      </c>
      <c r="C68" s="10">
        <v>63</v>
      </c>
      <c r="D68" t="s" s="9">
        <v>1210</v>
      </c>
      <c r="E68" s="11">
        <f t="shared" si="6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1211</v>
      </c>
    </row>
    <row r="69" spans="2:24" ht="13.8" x14ac:dyDescent="0.2">
      <c r="B69" s="8">
        <f t="shared" ref="B69:B132" si="10">IF(C69="","",C69)</f>
      </c>
      <c r="C69" s="10">
        <v>64</v>
      </c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>
        <v>65</v>
      </c>
      <c r="D70" t="s" s="9">
        <v>1297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1212</v>
      </c>
    </row>
    <row r="71" spans="2:24" ht="13.8" x14ac:dyDescent="0.2">
      <c r="B71" s="8">
        <f t="shared" si="10"/>
      </c>
      <c r="C71" s="10">
        <v>66</v>
      </c>
      <c r="D71" t="s" s="13">
        <v>29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1213</v>
      </c>
    </row>
    <row r="72" spans="2:24" ht="13.8" x14ac:dyDescent="0.2">
      <c r="B72" s="8">
        <f t="shared" si="10"/>
      </c>
      <c r="C72" s="10">
        <v>67</v>
      </c>
      <c r="D72" t="s" s="13">
        <v>1551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1214</v>
      </c>
    </row>
    <row r="73" spans="2:24" ht="13.8" x14ac:dyDescent="0.2">
      <c r="B73" s="8">
        <f t="shared" si="10"/>
      </c>
      <c r="C73" s="10">
        <v>68</v>
      </c>
      <c r="D73" t="s" s="13">
        <v>767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760</v>
      </c>
    </row>
    <row r="74" spans="2:24" ht="13.8" x14ac:dyDescent="0.2">
      <c r="B74" s="8">
        <f t="shared" si="10"/>
      </c>
      <c r="C74" s="10">
        <v>69</v>
      </c>
      <c r="D74" t="s" s="13">
        <v>1298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758</v>
      </c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1299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9">
        <v>1941</v>
      </c>
    </row>
    <row r="105" spans="2:24" ht="13.8" x14ac:dyDescent="0.2">
      <c r="B105" s="8">
        <f t="shared" si="10"/>
      </c>
      <c r="C105" t="s" s="10">
        <v>1236</v>
      </c>
      <c r="D105" t="s" s="14">
        <v>1300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749</v>
      </c>
    </row>
    <row r="106" spans="2:24" ht="13.8" x14ac:dyDescent="0.2">
      <c r="B106" s="8">
        <f t="shared" si="10"/>
      </c>
      <c r="C106" t="s" s="10">
        <v>1237</v>
      </c>
      <c r="D106" t="s" s="9">
        <v>1215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757</v>
      </c>
    </row>
    <row r="107" spans="2:24" ht="13.8" x14ac:dyDescent="0.2">
      <c r="B107" s="8">
        <f t="shared" si="10"/>
      </c>
      <c r="C107" t="s" s="10">
        <v>1301</v>
      </c>
      <c r="D107" t="s" s="9">
        <v>1117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1118</v>
      </c>
    </row>
    <row r="108" spans="2:24" ht="13.8" x14ac:dyDescent="0.2">
      <c r="B108" s="8">
        <f t="shared" si="10"/>
      </c>
      <c r="C108" t="s" s="10">
        <v>1302</v>
      </c>
      <c r="D108" t="s" s="9">
        <v>768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761</v>
      </c>
    </row>
    <row r="109" spans="2:24" ht="13.8" x14ac:dyDescent="0.2">
      <c r="B109" s="8">
        <f t="shared" si="10"/>
      </c>
      <c r="C109" t="s" s="10">
        <v>1303</v>
      </c>
      <c r="D109" t="s" s="9">
        <v>1304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1216</v>
      </c>
    </row>
    <row r="110" spans="2:24" ht="13.8" x14ac:dyDescent="0.2">
      <c r="B110" s="8">
        <f t="shared" si="10"/>
      </c>
      <c r="C110" t="s" s="10">
        <v>1305</v>
      </c>
      <c r="D110" t="s" s="9">
        <v>1306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762</v>
      </c>
    </row>
    <row r="111" spans="2:24" ht="13.8" x14ac:dyDescent="0.2">
      <c r="B111" s="8">
        <f t="shared" si="10"/>
      </c>
      <c r="C111" t="s" s="10">
        <v>1307</v>
      </c>
      <c r="D111" t="s" s="9">
        <v>1217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1217</v>
      </c>
    </row>
    <row r="112" spans="2:24" ht="13.8" x14ac:dyDescent="0.2">
      <c r="B112" s="8">
        <f t="shared" si="10"/>
      </c>
      <c r="C112" t="s" s="10">
        <v>1308</v>
      </c>
      <c r="D112" t="s" s="13">
        <v>1743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1218</v>
      </c>
    </row>
    <row r="113" spans="2:24" ht="13.8" x14ac:dyDescent="0.2">
      <c r="B113" s="8">
        <f t="shared" si="10"/>
      </c>
      <c r="C113" s="10"/>
      <c r="D113" s="13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13"/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8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1310</v>
      </c>
      <c r="E4" s="11">
        <f t="shared" ref="E4:E68" si="2">IFERROR(IF(G4/F4=1,"1.00",G4/F4),"---")</f>
      </c>
      <c r="F4" s="5">
        <v>4</v>
      </c>
      <c r="G4" s="5">
        <v>2</v>
      </c>
      <c r="H4" s="5">
        <v>0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2</v>
      </c>
      <c r="P4" s="21">
        <v>5</v>
      </c>
      <c r="Q4" s="21">
        <v>1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1351</v>
      </c>
    </row>
    <row r="5" spans="2:24" ht="13.8" x14ac:dyDescent="0.2">
      <c r="B5" s="8">
        <f t="shared" ref="B5:B68" si="6">IF(C5="","",C5)</f>
      </c>
      <c r="C5" s="10">
        <v>0</v>
      </c>
      <c r="D5" t="s" s="13">
        <v>1311</v>
      </c>
      <c r="E5" s="11">
        <f t="shared" si="2"/>
      </c>
      <c r="F5" s="5">
        <v>3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1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1352</v>
      </c>
    </row>
    <row r="6" spans="2:24" ht="13.8" x14ac:dyDescent="0.2">
      <c r="B6" s="8">
        <f t="shared" si="6"/>
      </c>
      <c r="C6" s="10">
        <v>1</v>
      </c>
      <c r="D6" t="s" s="13">
        <v>1547</v>
      </c>
      <c r="E6" s="11">
        <f t="shared" si="2"/>
      </c>
      <c r="F6" s="5">
        <v>4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1</v>
      </c>
      <c r="W6" s="63">
        <f>IFERROR(CalcRC27(F6,G6,K6,O6,P6,Q6,R6,S6,T6,U6,V6),"-")</f>
      </c>
      <c r="X6" t="s" s="2">
        <v>609</v>
      </c>
    </row>
    <row r="7" spans="2:24" ht="13.8" x14ac:dyDescent="0.2">
      <c r="B7" s="8">
        <f t="shared" si="6"/>
      </c>
      <c r="C7" s="10">
        <v>2</v>
      </c>
      <c r="D7" t="s" s="13">
        <v>187</v>
      </c>
      <c r="E7" s="11">
        <f t="shared" si="2"/>
      </c>
      <c r="F7" s="5">
        <v>3</v>
      </c>
      <c r="G7" s="5">
        <v>1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610</v>
      </c>
    </row>
    <row r="8" spans="2:24" ht="13.8" x14ac:dyDescent="0.2">
      <c r="B8" s="8">
        <f t="shared" si="6"/>
      </c>
      <c r="C8" s="10">
        <v>3</v>
      </c>
      <c r="D8" t="s" s="9">
        <v>184</v>
      </c>
      <c r="E8" s="11">
        <f t="shared" si="2"/>
      </c>
      <c r="F8" s="5">
        <v>4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3">
        <f>IFERROR(CalcRC27(F8,G8,K8,O8,P8,Q8,R8,S8,T8,U8,V8),"-")</f>
      </c>
      <c r="X8" t="s" s="2">
        <v>1942</v>
      </c>
    </row>
    <row r="9" spans="2:24" ht="13.8" x14ac:dyDescent="0.2">
      <c r="B9" s="8">
        <f t="shared" si="6"/>
      </c>
      <c r="C9" s="10">
        <v>4</v>
      </c>
      <c r="D9" t="s" s="13">
        <v>1312</v>
      </c>
      <c r="E9" s="11">
        <f t="shared" si="2"/>
      </c>
      <c r="F9" s="5">
        <v>6</v>
      </c>
      <c r="G9" s="5">
        <v>2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1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1353</v>
      </c>
    </row>
    <row r="10" spans="2:24" ht="13.8" x14ac:dyDescent="0.2">
      <c r="B10" s="8">
        <f t="shared" si="6"/>
      </c>
      <c r="C10" s="10">
        <v>5</v>
      </c>
      <c r="D10" t="s" s="13">
        <v>1313</v>
      </c>
      <c r="E10" s="11">
        <f t="shared" si="2"/>
      </c>
      <c r="F10" s="5">
        <v>2</v>
      </c>
      <c r="G10" s="5">
        <v>1</v>
      </c>
      <c r="H10" s="5">
        <v>0</v>
      </c>
      <c r="I10" s="5">
        <v>0</v>
      </c>
      <c r="J10" s="6">
        <v>1</v>
      </c>
      <c r="K10" s="12">
        <f t="shared" si="7"/>
      </c>
      <c r="L10" s="7">
        <v>1</v>
      </c>
      <c r="M10" s="11">
        <f t="shared" si="8"/>
      </c>
      <c r="N10" s="11">
        <f t="shared" si="9"/>
      </c>
      <c r="O10" s="20">
        <v>1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1354</v>
      </c>
    </row>
    <row r="11" spans="2:24" ht="13.8" x14ac:dyDescent="0.2">
      <c r="B11" s="8">
        <f t="shared" si="6"/>
      </c>
      <c r="C11" s="10">
        <v>6</v>
      </c>
      <c r="D11" t="s" s="13">
        <v>1314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611</v>
      </c>
    </row>
    <row r="12" spans="2:24" ht="13.8" x14ac:dyDescent="0.2">
      <c r="B12" s="8">
        <f t="shared" si="6"/>
      </c>
      <c r="C12" s="10">
        <v>7</v>
      </c>
      <c r="D12" t="s" s="13">
        <v>188</v>
      </c>
      <c r="E12" s="11">
        <f t="shared" si="2"/>
      </c>
      <c r="F12" s="5">
        <v>4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1</v>
      </c>
      <c r="W12" s="63">
        <f>IFERROR(CalcRC27(F12,G12,K12,O12,P12,Q12,R12,S12,T12,U12,V12),"-")</f>
      </c>
      <c r="X12" t="s" s="2">
        <v>612</v>
      </c>
    </row>
    <row r="13" spans="2:24" ht="13.8" x14ac:dyDescent="0.2">
      <c r="B13" s="8">
        <f t="shared" si="6"/>
      </c>
      <c r="C13" s="10">
        <v>8</v>
      </c>
      <c r="D13" t="s" s="13">
        <v>18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613</v>
      </c>
    </row>
    <row r="14" spans="2:24" ht="13.8" x14ac:dyDescent="0.2">
      <c r="B14" s="8">
        <f t="shared" si="6"/>
      </c>
      <c r="C14" s="10">
        <v>9</v>
      </c>
      <c r="D14" t="s" s="13">
        <v>64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64</v>
      </c>
    </row>
    <row r="15" spans="2:24" ht="13.8" x14ac:dyDescent="0.2">
      <c r="B15" s="8">
        <f t="shared" si="6"/>
      </c>
      <c r="C15" s="10">
        <v>10</v>
      </c>
      <c r="D15" t="s" s="13">
        <v>19</v>
      </c>
      <c r="E15" s="11">
        <f t="shared" si="2"/>
      </c>
      <c r="F15" s="5">
        <v>1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614</v>
      </c>
    </row>
    <row r="16" spans="2:24" ht="13.8" x14ac:dyDescent="0.2">
      <c r="B16" s="8">
        <f t="shared" si="6"/>
      </c>
      <c r="C16" s="10">
        <v>11</v>
      </c>
      <c r="D16" t="s" s="13">
        <v>1315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615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171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616</v>
      </c>
    </row>
    <row r="19" spans="2:24" ht="13.8" x14ac:dyDescent="0.2">
      <c r="B19" s="8">
        <f t="shared" si="6"/>
      </c>
      <c r="C19" s="10">
        <v>14</v>
      </c>
      <c r="D19" t="s" s="13">
        <v>1316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617</v>
      </c>
    </row>
    <row r="20" spans="2:24" ht="13.8" x14ac:dyDescent="0.2">
      <c r="B20" s="8">
        <f t="shared" si="6"/>
      </c>
      <c r="C20" s="10">
        <v>15</v>
      </c>
      <c r="D20" t="s" s="2">
        <v>772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1355</v>
      </c>
    </row>
    <row r="21" spans="2:24" ht="13.8" x14ac:dyDescent="0.2">
      <c r="B21" s="8">
        <f t="shared" si="6"/>
      </c>
      <c r="C21" s="10">
        <v>16</v>
      </c>
      <c r="D21" t="s" s="13">
        <v>47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618</v>
      </c>
    </row>
    <row r="22" spans="2:24" ht="13.8" x14ac:dyDescent="0.2">
      <c r="B22" s="8">
        <f t="shared" si="6"/>
      </c>
      <c r="C22" s="10">
        <v>17</v>
      </c>
      <c r="D22" t="s" s="13">
        <v>20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619</v>
      </c>
    </row>
    <row r="23" spans="2:24" ht="13.8" x14ac:dyDescent="0.2">
      <c r="B23" s="8">
        <f t="shared" si="6"/>
      </c>
      <c r="C23" s="10">
        <v>18</v>
      </c>
      <c r="D23" t="s" s="9">
        <v>1010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1356</v>
      </c>
    </row>
    <row r="24" spans="2:24" ht="13.8" x14ac:dyDescent="0.2">
      <c r="B24" s="8">
        <f t="shared" si="6"/>
      </c>
      <c r="C24" s="10">
        <v>19</v>
      </c>
      <c r="D24" t="s" s="13">
        <v>17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620</v>
      </c>
    </row>
    <row r="25" spans="2:24" ht="13.8" x14ac:dyDescent="0.2">
      <c r="B25" s="8">
        <f t="shared" si="6"/>
      </c>
      <c r="C25" s="10">
        <v>20</v>
      </c>
      <c r="D25" t="s" s="13">
        <v>1745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621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>
        <v>22</v>
      </c>
      <c r="D27" t="s" s="13">
        <v>189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622</v>
      </c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>
        <v>24</v>
      </c>
      <c r="D29" t="s" s="13">
        <v>1317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1357</v>
      </c>
    </row>
    <row r="30" spans="2:24" ht="13.8" x14ac:dyDescent="0.2">
      <c r="B30" s="8">
        <f t="shared" si="6"/>
      </c>
      <c r="C30" s="10">
        <v>25</v>
      </c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>
        <v>26</v>
      </c>
      <c r="D31" t="s" s="13">
        <v>21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623</v>
      </c>
    </row>
    <row r="32" spans="2:24" ht="13.8" x14ac:dyDescent="0.2">
      <c r="B32" s="8">
        <f t="shared" si="6"/>
      </c>
      <c r="C32" s="10">
        <v>27</v>
      </c>
      <c r="D32" t="s" s="13">
        <v>48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65</v>
      </c>
    </row>
    <row r="33" spans="2:24" ht="13.8" x14ac:dyDescent="0.2">
      <c r="B33" s="8">
        <f t="shared" si="6"/>
      </c>
      <c r="C33" s="10">
        <v>28</v>
      </c>
      <c r="D33" t="s" s="13">
        <v>770</v>
      </c>
      <c r="E33" s="11">
        <f t="shared" si="2"/>
      </c>
      <c r="F33" s="5">
        <v>7</v>
      </c>
      <c r="G33" s="5">
        <v>4</v>
      </c>
      <c r="H33" s="5">
        <v>4</v>
      </c>
      <c r="I33" s="5">
        <v>0</v>
      </c>
      <c r="J33" s="6">
        <v>0</v>
      </c>
      <c r="K33" s="12">
        <f t="shared" si="7"/>
      </c>
      <c r="L33" s="7">
        <v>1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1358</v>
      </c>
    </row>
    <row r="34" spans="2:24" ht="13.8" x14ac:dyDescent="0.2">
      <c r="B34" s="8">
        <f t="shared" si="6"/>
      </c>
      <c r="C34" s="10">
        <v>29</v>
      </c>
      <c r="D34" t="s" s="13">
        <v>25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624</v>
      </c>
    </row>
    <row r="35" spans="2:24" ht="13.8" x14ac:dyDescent="0.2">
      <c r="B35" s="8">
        <f t="shared" si="6"/>
      </c>
      <c r="C35" s="10">
        <v>30</v>
      </c>
      <c r="D35" t="s" s="13">
        <v>1136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1359</v>
      </c>
    </row>
    <row r="36" spans="2:24" ht="13.8" x14ac:dyDescent="0.2">
      <c r="B36" s="8">
        <f t="shared" si="6"/>
      </c>
      <c r="C36" s="10">
        <v>31</v>
      </c>
      <c r="D36" t="s" s="13">
        <v>764</v>
      </c>
      <c r="E36" s="11">
        <f t="shared" si="2"/>
      </c>
      <c r="F36" s="5">
        <v>1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1</v>
      </c>
      <c r="Q36" s="21">
        <v>1</v>
      </c>
      <c r="R36" s="22">
        <v>1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625</v>
      </c>
    </row>
    <row r="37" spans="2:24" ht="13.8" x14ac:dyDescent="0.2">
      <c r="B37" s="8">
        <f t="shared" si="6"/>
      </c>
      <c r="C37" s="10">
        <v>32</v>
      </c>
      <c r="D37" t="s" s="13">
        <v>49</v>
      </c>
      <c r="E37" s="11">
        <f t="shared" si="2"/>
      </c>
      <c r="F37" s="5">
        <v>2</v>
      </c>
      <c r="G37" s="5">
        <v>1</v>
      </c>
      <c r="H37" s="5">
        <v>1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626</v>
      </c>
    </row>
    <row r="38" spans="2:24" ht="13.8" x14ac:dyDescent="0.2">
      <c r="B38" s="8">
        <f t="shared" si="6"/>
      </c>
      <c r="C38" s="10">
        <v>33</v>
      </c>
      <c r="D38" t="s" s="13">
        <v>1318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1360</v>
      </c>
    </row>
    <row r="39" spans="2:24" ht="13.8" x14ac:dyDescent="0.2">
      <c r="B39" s="8">
        <f t="shared" si="6"/>
      </c>
      <c r="C39" s="10">
        <v>34</v>
      </c>
      <c r="D39" t="s" s="13">
        <v>1319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1361</v>
      </c>
    </row>
    <row r="40" spans="2:24" ht="13.8" x14ac:dyDescent="0.2">
      <c r="B40" s="8">
        <f t="shared" si="6"/>
      </c>
      <c r="C40" s="10">
        <v>35</v>
      </c>
      <c r="D40" t="s" s="13">
        <v>1304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1362</v>
      </c>
    </row>
    <row r="41" spans="2:24" ht="13.8" x14ac:dyDescent="0.2">
      <c r="B41" s="8">
        <f t="shared" si="6"/>
      </c>
      <c r="C41" s="10">
        <v>36</v>
      </c>
      <c r="D41" t="s" s="13">
        <v>1320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1363</v>
      </c>
    </row>
    <row r="42" spans="2:24" ht="13.8" x14ac:dyDescent="0.2">
      <c r="B42" s="8">
        <f t="shared" si="6"/>
      </c>
      <c r="C42" s="10">
        <v>37</v>
      </c>
      <c r="D42" t="s" s="13">
        <v>22</v>
      </c>
      <c r="E42" s="11">
        <f t="shared" si="2"/>
      </c>
      <c r="F42" s="5">
        <v>2</v>
      </c>
      <c r="G42" s="5">
        <v>1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627</v>
      </c>
    </row>
    <row r="43" spans="2:24" ht="13.8" x14ac:dyDescent="0.2">
      <c r="B43" s="8">
        <f t="shared" si="6"/>
      </c>
      <c r="C43" s="10">
        <v>38</v>
      </c>
      <c r="D43" t="s" s="13">
        <v>1321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518</v>
      </c>
    </row>
    <row r="44" spans="2:24" ht="13.8" x14ac:dyDescent="0.2">
      <c r="B44" s="8">
        <f t="shared" si="6"/>
      </c>
      <c r="C44" s="10">
        <v>39</v>
      </c>
      <c r="D44" t="s" s="13">
        <v>1322</v>
      </c>
      <c r="E44" s="11">
        <f t="shared" si="2"/>
      </c>
      <c r="F44" s="5">
        <v>2</v>
      </c>
      <c r="G44" s="5">
        <v>1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1364</v>
      </c>
    </row>
    <row r="45" spans="2:24" ht="13.8" x14ac:dyDescent="0.2">
      <c r="B45" s="8">
        <f t="shared" si="6"/>
      </c>
      <c r="C45" s="10">
        <v>40</v>
      </c>
      <c r="D45" t="s" s="13">
        <v>1319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190</v>
      </c>
    </row>
    <row r="46" spans="2:24" ht="13.8" x14ac:dyDescent="0.2">
      <c r="B46" s="8">
        <f t="shared" si="6"/>
      </c>
      <c r="C46" s="10">
        <v>41</v>
      </c>
      <c r="D46" t="s" s="13">
        <v>1323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154</v>
      </c>
    </row>
    <row r="47" spans="2:24" ht="13.8" x14ac:dyDescent="0.2">
      <c r="B47" s="8">
        <f t="shared" si="6"/>
      </c>
      <c r="C47" s="10">
        <v>42</v>
      </c>
      <c r="D47" t="s" s="13">
        <v>1324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1943</v>
      </c>
    </row>
    <row r="48" spans="2:24" ht="13.8" x14ac:dyDescent="0.2">
      <c r="B48" s="8">
        <f t="shared" si="6"/>
      </c>
      <c r="C48" s="10">
        <v>43</v>
      </c>
      <c r="D48" t="s" s="13">
        <v>773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1365</v>
      </c>
    </row>
    <row r="49" spans="2:24" ht="13.8" x14ac:dyDescent="0.2">
      <c r="B49" s="8">
        <f t="shared" si="6"/>
      </c>
      <c r="C49" s="10">
        <v>44</v>
      </c>
      <c r="D49" t="s" s="13">
        <v>1325</v>
      </c>
      <c r="E49" s="11">
        <f t="shared" si="2"/>
      </c>
      <c r="F49" s="5">
        <v>4</v>
      </c>
      <c r="G49" s="5">
        <v>2</v>
      </c>
      <c r="H49" s="5">
        <v>0</v>
      </c>
      <c r="I49" s="5">
        <v>1</v>
      </c>
      <c r="J49" s="6">
        <v>0</v>
      </c>
      <c r="K49" s="12">
        <f t="shared" si="7"/>
      </c>
      <c r="L49" s="7">
        <v>3</v>
      </c>
      <c r="M49" s="11">
        <f t="shared" si="8"/>
      </c>
      <c r="N49" s="11">
        <f t="shared" si="9"/>
      </c>
      <c r="O49" s="20">
        <v>1</v>
      </c>
      <c r="P49" s="21">
        <v>0</v>
      </c>
      <c r="Q49" s="21">
        <v>0</v>
      </c>
      <c r="R49" s="22">
        <v>0</v>
      </c>
      <c r="S49" s="22">
        <v>0</v>
      </c>
      <c r="T49" s="20">
        <v>1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1366</v>
      </c>
    </row>
    <row r="50" spans="2:24" ht="13.8" x14ac:dyDescent="0.2">
      <c r="B50" s="8">
        <f t="shared" si="6"/>
      </c>
      <c r="C50" s="10">
        <v>45</v>
      </c>
      <c r="D50" t="s" s="13">
        <v>1326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369</v>
      </c>
    </row>
    <row r="51" spans="2:24" ht="13.8" x14ac:dyDescent="0.2">
      <c r="B51" s="8">
        <f t="shared" si="6"/>
      </c>
      <c r="C51" s="10">
        <v>46</v>
      </c>
      <c r="D51" t="s" s="13">
        <v>1326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1367</v>
      </c>
    </row>
    <row r="52" spans="2:24" ht="13.8" x14ac:dyDescent="0.2">
      <c r="B52" s="8">
        <f t="shared" si="6"/>
      </c>
      <c r="C52" s="10">
        <v>47</v>
      </c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>
        <v>48</v>
      </c>
      <c r="D53" t="s" s="13">
        <v>23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631</v>
      </c>
    </row>
    <row r="54" spans="2:24" ht="13.8" x14ac:dyDescent="0.2">
      <c r="B54" s="8">
        <f t="shared" si="6"/>
      </c>
      <c r="C54" s="10">
        <v>49</v>
      </c>
      <c r="D54" t="s" s="9">
        <v>1327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1944</v>
      </c>
    </row>
    <row r="55" spans="2:24" ht="13.8" x14ac:dyDescent="0.2">
      <c r="B55" s="8">
        <f t="shared" si="6"/>
      </c>
      <c r="C55" s="10">
        <v>50</v>
      </c>
      <c r="D55" t="s" s="13">
        <v>1295</v>
      </c>
      <c r="E55" s="11">
        <f t="shared" si="2"/>
      </c>
      <c r="F55" s="5">
        <v>5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632</v>
      </c>
    </row>
    <row r="56" spans="2:24" ht="13.8" x14ac:dyDescent="0.2">
      <c r="B56" s="8">
        <f t="shared" si="6"/>
      </c>
      <c r="C56" s="10">
        <v>51</v>
      </c>
      <c r="D56" t="s" s="13">
        <v>1576</v>
      </c>
      <c r="E56" s="11">
        <f t="shared" si="2"/>
      </c>
      <c r="F56" s="5">
        <v>1</v>
      </c>
      <c r="G56" s="5">
        <v>1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633</v>
      </c>
    </row>
    <row r="57" spans="2:24" ht="13.8" x14ac:dyDescent="0.2">
      <c r="B57" s="8">
        <f t="shared" si="6"/>
      </c>
      <c r="C57" s="10">
        <v>52</v>
      </c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>
        <v>53</v>
      </c>
      <c r="D58" t="s" s="13">
        <v>1328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413</v>
      </c>
    </row>
    <row r="59" spans="2:24" ht="13.8" x14ac:dyDescent="0.2">
      <c r="B59" s="8">
        <f t="shared" si="6"/>
      </c>
      <c r="C59" s="10">
        <v>54</v>
      </c>
      <c r="D59" t="s" s="13">
        <v>1329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1368</v>
      </c>
    </row>
    <row r="60" spans="2:24" ht="13.8" x14ac:dyDescent="0.2">
      <c r="B60" s="8">
        <f t="shared" si="6"/>
      </c>
      <c r="C60" s="10">
        <v>55</v>
      </c>
      <c r="D60" t="s" s="13">
        <v>1330</v>
      </c>
      <c r="E60" s="11">
        <f t="shared" si="2"/>
      </c>
      <c r="F60" s="5">
        <v>2</v>
      </c>
      <c r="G60" s="5">
        <v>1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1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1369</v>
      </c>
    </row>
    <row r="61" spans="2:24" ht="13.8" x14ac:dyDescent="0.2">
      <c r="B61" s="8">
        <f t="shared" si="6"/>
      </c>
      <c r="C61" s="10">
        <v>56</v>
      </c>
      <c r="D61" t="s" s="13">
        <v>712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635</v>
      </c>
    </row>
    <row r="62" spans="2:24" ht="13.8" x14ac:dyDescent="0.2">
      <c r="B62" s="8">
        <f t="shared" si="6"/>
      </c>
      <c r="C62" s="10">
        <v>57</v>
      </c>
      <c r="D62" t="s" s="13">
        <v>166</v>
      </c>
      <c r="E62" s="11">
        <f t="shared" si="2"/>
      </c>
      <c r="F62" s="5">
        <v>3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3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636</v>
      </c>
    </row>
    <row r="63" spans="2:24" ht="13.8" x14ac:dyDescent="0.2">
      <c r="B63" s="8">
        <f t="shared" si="6"/>
      </c>
      <c r="C63" s="10">
        <v>58</v>
      </c>
      <c r="D63" t="s" s="13">
        <v>774</v>
      </c>
      <c r="E63" s="11">
        <f t="shared" si="2"/>
      </c>
      <c r="F63" s="5">
        <v>2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1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1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1370</v>
      </c>
    </row>
    <row r="64" spans="2:24" ht="13.8" x14ac:dyDescent="0.2">
      <c r="B64" s="8">
        <f t="shared" si="6"/>
      </c>
      <c r="C64" s="10">
        <v>59</v>
      </c>
      <c r="D64" t="s" s="13">
        <v>1331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1371</v>
      </c>
    </row>
    <row r="65" spans="2:24" ht="13.8" x14ac:dyDescent="0.2">
      <c r="B65" s="8">
        <f t="shared" si="6"/>
      </c>
      <c r="C65" s="10">
        <v>60</v>
      </c>
      <c r="D65" t="s" s="13">
        <v>50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637</v>
      </c>
    </row>
    <row r="66" spans="2:24" ht="13.8" x14ac:dyDescent="0.2">
      <c r="B66" s="8">
        <f t="shared" si="6"/>
      </c>
      <c r="C66" s="10">
        <v>61</v>
      </c>
      <c r="D66" t="s" s="13">
        <v>172</v>
      </c>
      <c r="E66" s="11">
        <f t="shared" si="2"/>
      </c>
      <c r="F66" s="5">
        <v>5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638</v>
      </c>
    </row>
    <row r="67" spans="2:24" ht="13.8" x14ac:dyDescent="0.2">
      <c r="B67" s="8">
        <f t="shared" si="6"/>
      </c>
      <c r="C67" s="10">
        <v>62</v>
      </c>
      <c r="D67" t="s" s="13">
        <v>1332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1945</v>
      </c>
    </row>
    <row r="68" spans="2:24" ht="13.8" x14ac:dyDescent="0.2">
      <c r="B68" s="8">
        <f t="shared" si="6"/>
      </c>
      <c r="C68" s="10">
        <v>63</v>
      </c>
      <c r="D68" t="s" s="9">
        <v>24</v>
      </c>
      <c r="E68" s="11">
        <f t="shared" si="2"/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1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3">
        <f>IFERROR(CalcRC27(F68,G68,K68,O68,P68,Q68,R68,S68,T68,U68,V68),"-")</f>
      </c>
      <c r="X68" t="s" s="2">
        <v>639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775</v>
      </c>
      <c r="E69" s="11">
        <f t="shared" ref="E69:E131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2">((G69-H69-I69-J69)+(H69*2)+(I69*3)+(J69*4))</f>
      </c>
      <c r="L69" s="7">
        <v>0</v>
      </c>
      <c r="M69" s="11">
        <f t="shared" ref="M69:M131" si="13">IFERROR(IF((G69+P69+Q69)/(F69+P69+Q69+S69)=1,"1.00",(G69+P69+Q69)/(F69+P69+Q69+S69)),0)</f>
      </c>
      <c r="N69" s="11">
        <f t="shared" ref="N69:N131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1372</v>
      </c>
    </row>
    <row r="70" spans="2:24" ht="13.8" x14ac:dyDescent="0.2">
      <c r="B70" s="8">
        <f t="shared" si="10"/>
      </c>
      <c r="C70" s="10">
        <v>65</v>
      </c>
      <c r="D70" t="s" s="9">
        <v>1333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771</v>
      </c>
    </row>
    <row r="71" spans="2:24" ht="13.8" x14ac:dyDescent="0.2">
      <c r="B71" s="8">
        <f t="shared" si="10"/>
      </c>
      <c r="C71" s="10">
        <v>66</v>
      </c>
      <c r="D71" t="s" s="13">
        <v>1334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1373</v>
      </c>
    </row>
    <row r="72" spans="2:24" ht="13.8" x14ac:dyDescent="0.2">
      <c r="B72" s="8">
        <f t="shared" si="10"/>
      </c>
      <c r="C72" s="10">
        <v>67</v>
      </c>
      <c r="D72" t="s" s="13">
        <v>1335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2</v>
      </c>
      <c r="Q72" s="21">
        <v>0</v>
      </c>
      <c r="R72" s="22">
        <v>0</v>
      </c>
      <c r="S72" s="22">
        <v>0</v>
      </c>
      <c r="T72" s="20">
        <v>0</v>
      </c>
      <c r="U72" s="20">
        <v>1</v>
      </c>
      <c r="V72" s="20">
        <v>0</v>
      </c>
      <c r="W72" s="63">
        <f>IFERROR(CalcRC27(F72,G72,K72,O72,P72,Q72,R72,S72,T72,U72,V72),"-")</f>
      </c>
      <c r="X72" t="s" s="2">
        <v>462</v>
      </c>
    </row>
    <row r="73" spans="2:24" ht="13.8" x14ac:dyDescent="0.2">
      <c r="B73" s="8">
        <f t="shared" si="10"/>
      </c>
      <c r="C73" s="10">
        <v>68</v>
      </c>
      <c r="D73" t="s" s="13">
        <v>1336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1946</v>
      </c>
    </row>
    <row r="74" spans="2:24" ht="13.8" x14ac:dyDescent="0.2">
      <c r="B74" s="8">
        <f t="shared" si="10"/>
      </c>
      <c r="C74" s="10">
        <v>69</v>
      </c>
      <c r="D74" s="8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8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13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13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13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t="s" s="13">
        <v>1337</v>
      </c>
      <c r="E103" s="11">
        <f t="shared" si="11"/>
      </c>
      <c r="F103" s="5">
        <v>5</v>
      </c>
      <c r="G103" s="5">
        <v>2</v>
      </c>
      <c r="H103" s="5">
        <v>0</v>
      </c>
      <c r="I103" s="5">
        <v>0</v>
      </c>
      <c r="J103" s="6">
        <v>1</v>
      </c>
      <c r="K103" s="12">
        <f t="shared" si="12"/>
      </c>
      <c r="L103" s="7">
        <v>1</v>
      </c>
      <c r="M103" s="11">
        <f t="shared" si="13"/>
      </c>
      <c r="N103" s="11">
        <f t="shared" si="14"/>
      </c>
      <c r="O103" s="20">
        <v>1</v>
      </c>
      <c r="P103" s="21">
        <v>0</v>
      </c>
      <c r="Q103" s="21">
        <v>1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2">
        <v>537</v>
      </c>
    </row>
    <row r="104" spans="2:24" ht="13.8" x14ac:dyDescent="0.2">
      <c r="B104" s="8">
        <f t="shared" si="10"/>
      </c>
      <c r="C104" s="10">
        <v>99</v>
      </c>
      <c r="D104" s="13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>
        <v>100</v>
      </c>
      <c r="D105" t="s" s="9">
        <v>1338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1338</v>
      </c>
    </row>
    <row r="106" spans="2:24" ht="13.8" x14ac:dyDescent="0.2">
      <c r="B106" s="8">
        <f t="shared" si="10"/>
      </c>
      <c r="C106" s="10">
        <v>101</v>
      </c>
      <c r="D106" t="s" s="9">
        <v>1339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1374</v>
      </c>
    </row>
    <row r="107" spans="2:24" ht="13.8" x14ac:dyDescent="0.2">
      <c r="B107" s="8">
        <f t="shared" si="10"/>
      </c>
      <c r="C107" s="10">
        <v>102</v>
      </c>
      <c r="D107" t="s" s="9">
        <v>1340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1375</v>
      </c>
    </row>
    <row r="108" spans="2:24" ht="13.8" x14ac:dyDescent="0.2">
      <c r="B108" s="8">
        <f t="shared" si="10"/>
      </c>
      <c r="C108" s="10">
        <v>103</v>
      </c>
      <c r="D108" t="s" s="9">
        <v>1341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1376</v>
      </c>
    </row>
    <row r="109" spans="2:24" ht="13.8" x14ac:dyDescent="0.2">
      <c r="B109" s="8">
        <f t="shared" si="10"/>
      </c>
      <c r="C109" s="10">
        <v>105</v>
      </c>
      <c r="D109" t="s" s="9">
        <v>1342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1947</v>
      </c>
    </row>
    <row r="110" spans="2:24" ht="13.8" x14ac:dyDescent="0.2">
      <c r="B110" s="8">
        <f t="shared" si="10"/>
      </c>
      <c r="C110" s="10">
        <v>106</v>
      </c>
      <c r="D110" t="s" s="9">
        <v>1343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1377</v>
      </c>
    </row>
    <row r="111" spans="2:24" ht="13.8" x14ac:dyDescent="0.2">
      <c r="B111" s="8">
        <f t="shared" si="10"/>
      </c>
      <c r="C111" s="10">
        <v>107</v>
      </c>
      <c r="D111" t="s" s="9">
        <v>1344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1948</v>
      </c>
    </row>
    <row r="112" spans="2:24" ht="13.8" x14ac:dyDescent="0.2">
      <c r="B112" s="8">
        <f t="shared" si="10"/>
      </c>
      <c r="C112" s="10">
        <v>108</v>
      </c>
      <c r="D112" t="s" s="9">
        <v>1298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1378</v>
      </c>
    </row>
    <row r="113" spans="2:24" ht="13.8" x14ac:dyDescent="0.2">
      <c r="B113" s="8">
        <f t="shared" si="10"/>
      </c>
      <c r="C113" s="10">
        <v>109</v>
      </c>
      <c r="D113" t="s" s="9">
        <v>186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1949</v>
      </c>
    </row>
    <row r="114" spans="2:24" ht="13.8" x14ac:dyDescent="0.2">
      <c r="B114" s="8">
        <f t="shared" si="10"/>
      </c>
      <c r="C114" s="10">
        <v>110</v>
      </c>
      <c r="D114" t="s" s="8">
        <v>925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1950</v>
      </c>
    </row>
    <row r="115" spans="2:24" ht="13.8" x14ac:dyDescent="0.2">
      <c r="B115" s="8">
        <f t="shared" si="10"/>
      </c>
      <c r="C115" s="10">
        <v>111</v>
      </c>
      <c r="D115" t="s" s="26">
        <v>1345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1379</v>
      </c>
    </row>
    <row r="116" spans="2:24" ht="13.8" x14ac:dyDescent="0.2">
      <c r="B116" s="8">
        <f t="shared" si="10"/>
      </c>
      <c r="C116" s="10">
        <v>116</v>
      </c>
      <c r="D116" t="s" s="26">
        <v>1346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530</v>
      </c>
    </row>
    <row r="117" spans="2:24" ht="13.8" x14ac:dyDescent="0.2">
      <c r="B117" s="8">
        <f t="shared" si="10"/>
      </c>
      <c r="C117" s="10">
        <v>122</v>
      </c>
      <c r="D117" t="s" s="26">
        <v>1347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1380</v>
      </c>
    </row>
    <row r="118" spans="2:24" ht="13.8" x14ac:dyDescent="0.2">
      <c r="B118" s="8">
        <f t="shared" si="10"/>
      </c>
      <c r="C118" s="10">
        <v>125</v>
      </c>
      <c r="D118" t="s" s="26">
        <v>1348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1381</v>
      </c>
    </row>
    <row r="119" spans="2:24" ht="13.8" x14ac:dyDescent="0.2">
      <c r="B119" s="8">
        <f t="shared" si="10"/>
      </c>
      <c r="C119" s="10">
        <v>130</v>
      </c>
      <c r="D119" t="s" s="26">
        <v>1300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1382</v>
      </c>
    </row>
    <row r="120" spans="2:24" ht="13.8" x14ac:dyDescent="0.2">
      <c r="B120" s="8">
        <f t="shared" si="10"/>
      </c>
      <c r="C120" s="10">
        <v>133</v>
      </c>
      <c r="D120" t="s" s="26">
        <v>1349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1383</v>
      </c>
    </row>
    <row r="121" spans="2:24" ht="13.8" x14ac:dyDescent="0.2">
      <c r="B121" s="8">
        <f t="shared" si="10"/>
      </c>
      <c r="C121" s="10">
        <v>144</v>
      </c>
      <c r="D121" t="s" s="26">
        <v>1350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191</v>
      </c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ref="E132:E133" si="15">IFERROR(IF(G132/F132=1,"1.00",G132/F132),"---")</f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6">((G132-H132-I132-J132)+(H132*2)+(I132*3)+(J132*4))</f>
      </c>
      <c r="L132" s="7">
        <v>0</v>
      </c>
      <c r="M132" s="11">
        <f t="shared" ref="M132:M133" si="17">IFERROR(IF((G132+P132+Q132)/(F132+P132+Q132+S132)=1,"1.00",(G132+P132+Q132)/(F132+P132+Q132+S132)),0)</f>
      </c>
      <c r="N132" s="11">
        <f t="shared" ref="N132:N133" si="18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" si="19">IF(C133="","",C133)</f>
      </c>
      <c r="C133" s="10"/>
      <c r="D133" s="8"/>
      <c r="E133" s="11">
        <f t="shared" si="15"/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</c>
      <c r="L133" s="7">
        <v>0</v>
      </c>
      <c r="M133" s="11">
        <f t="shared" si="17"/>
      </c>
      <c r="N133" s="11">
        <f t="shared" si="18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1384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1952</v>
      </c>
    </row>
    <row r="5" spans="2:24" ht="13.8" x14ac:dyDescent="0.2">
      <c r="B5" s="8">
        <f t="shared" ref="B5:B68" si="6">IF(C5="","",C5)</f>
      </c>
      <c r="C5" s="10">
        <v>0</v>
      </c>
      <c r="D5" t="s" s="13">
        <v>238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566</v>
      </c>
    </row>
    <row r="6" spans="2:24" ht="13.8" x14ac:dyDescent="0.2">
      <c r="B6" s="8">
        <f t="shared" si="6"/>
      </c>
      <c r="C6" s="10">
        <v>1</v>
      </c>
      <c r="D6" t="s" s="13">
        <v>1320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1413</v>
      </c>
    </row>
    <row r="7" spans="2:24" ht="13.8" x14ac:dyDescent="0.2">
      <c r="B7" s="8">
        <f t="shared" si="6"/>
      </c>
      <c r="C7" s="10">
        <v>2</v>
      </c>
      <c r="D7" t="s" s="13">
        <v>239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236</v>
      </c>
    </row>
    <row r="8" spans="2:24" ht="13.8" x14ac:dyDescent="0.2">
      <c r="B8" s="8">
        <f t="shared" si="6"/>
      </c>
      <c r="C8" s="10">
        <v>3</v>
      </c>
      <c r="D8" t="s" s="13">
        <v>240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13">
        <v>567</v>
      </c>
    </row>
    <row r="9" spans="2:24" ht="13.8" x14ac:dyDescent="0.2">
      <c r="B9" s="8">
        <f t="shared" si="6"/>
      </c>
      <c r="C9" s="10">
        <v>4</v>
      </c>
      <c r="D9" t="s" s="13">
        <v>241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13">
        <v>568</v>
      </c>
    </row>
    <row r="10" spans="2:24" ht="13.8" x14ac:dyDescent="0.2">
      <c r="B10" s="8">
        <f t="shared" si="6"/>
      </c>
      <c r="C10" s="10">
        <v>5</v>
      </c>
      <c r="D10" t="s" s="13">
        <v>242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13">
        <v>569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13"/>
    </row>
    <row r="12" spans="2:24" ht="13.8" x14ac:dyDescent="0.2">
      <c r="B12" s="8">
        <f t="shared" si="6"/>
      </c>
      <c r="C12" s="10">
        <v>7</v>
      </c>
      <c r="D12" t="s" s="13">
        <v>1385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1951</v>
      </c>
    </row>
    <row r="13" spans="2:24" ht="13.8" x14ac:dyDescent="0.2">
      <c r="B13" s="8">
        <f t="shared" si="6"/>
      </c>
      <c r="C13" s="10">
        <v>8</v>
      </c>
      <c r="D13" t="s" s="13">
        <v>243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570</v>
      </c>
    </row>
    <row r="14" spans="2:24" ht="13.8" x14ac:dyDescent="0.2">
      <c r="B14" s="8">
        <f t="shared" si="6"/>
      </c>
      <c r="C14" s="10">
        <v>9</v>
      </c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13"/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6"/>
      </c>
      <c r="C16" s="10">
        <v>11</v>
      </c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13"/>
    </row>
    <row r="17" spans="2:24" ht="13.8" x14ac:dyDescent="0.2">
      <c r="B17" s="8">
        <f t="shared" si="6"/>
      </c>
      <c r="C17" s="10">
        <v>12</v>
      </c>
      <c r="D17" t="s" s="13">
        <v>244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81</v>
      </c>
    </row>
    <row r="18" spans="2:24" ht="13.8" x14ac:dyDescent="0.2">
      <c r="B18" s="8">
        <f t="shared" si="6"/>
      </c>
      <c r="C18" s="10">
        <v>13</v>
      </c>
      <c r="D18" t="s" s="13">
        <v>650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571</v>
      </c>
    </row>
    <row r="19" spans="2:24" ht="13.8" x14ac:dyDescent="0.2">
      <c r="B19" s="8">
        <f t="shared" si="6"/>
      </c>
      <c r="C19" s="10">
        <v>14</v>
      </c>
      <c r="D19" t="s" s="13">
        <v>1386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574</v>
      </c>
    </row>
    <row r="20" spans="2:24" ht="13.8" x14ac:dyDescent="0.2">
      <c r="B20" s="8">
        <f t="shared" si="6"/>
      </c>
      <c r="C20" s="10">
        <v>15</v>
      </c>
      <c r="D20" t="s" s="13">
        <v>245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572</v>
      </c>
    </row>
    <row r="21" spans="2:24" ht="13.8" x14ac:dyDescent="0.2">
      <c r="B21" s="8">
        <f t="shared" si="6"/>
      </c>
      <c r="C21" s="10">
        <v>16</v>
      </c>
      <c r="D21" t="s" s="13">
        <v>246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13">
        <v>573</v>
      </c>
    </row>
    <row r="22" spans="2:24" ht="13.8" x14ac:dyDescent="0.2">
      <c r="B22" s="8">
        <f t="shared" si="6"/>
      </c>
      <c r="C22" s="10">
        <v>17</v>
      </c>
      <c r="D22" t="s" s="13">
        <v>1387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591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13"/>
    </row>
    <row r="24" spans="2:24" ht="13.8" x14ac:dyDescent="0.2">
      <c r="B24" s="8">
        <f t="shared" si="6"/>
      </c>
      <c r="C24" s="10">
        <v>19</v>
      </c>
      <c r="D24" t="s" s="13">
        <v>1388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1414</v>
      </c>
    </row>
    <row r="25" spans="2:24" ht="13.8" x14ac:dyDescent="0.2">
      <c r="B25" s="8">
        <f t="shared" si="6"/>
      </c>
      <c r="C25" s="10">
        <v>20</v>
      </c>
      <c r="D25" t="s" s="13">
        <v>651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656</v>
      </c>
    </row>
    <row r="26" spans="2:24" ht="13.8" x14ac:dyDescent="0.2">
      <c r="B26" s="8">
        <f t="shared" si="6"/>
      </c>
      <c r="C26" s="10">
        <v>21</v>
      </c>
      <c r="D26" t="s" s="13">
        <v>818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13">
        <v>589</v>
      </c>
    </row>
    <row r="27" spans="2:24" ht="13.8" x14ac:dyDescent="0.2">
      <c r="B27" s="8">
        <f t="shared" si="6"/>
      </c>
      <c r="C27" s="10">
        <v>22</v>
      </c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13"/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6"/>
      </c>
      <c r="C29" s="10">
        <v>24</v>
      </c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13"/>
    </row>
    <row r="30" spans="2:24" ht="13.8" x14ac:dyDescent="0.2">
      <c r="B30" s="8">
        <f t="shared" si="6"/>
      </c>
      <c r="C30" s="10">
        <v>25</v>
      </c>
      <c r="D30" t="s" s="13">
        <v>1389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1415</v>
      </c>
    </row>
    <row r="31" spans="2:24" ht="13.8" x14ac:dyDescent="0.2">
      <c r="B31" s="8">
        <f t="shared" si="6"/>
      </c>
      <c r="C31" s="10">
        <v>26</v>
      </c>
      <c r="D31" t="s" s="13">
        <v>1390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1416</v>
      </c>
    </row>
    <row r="32" spans="2:24" ht="13.8" x14ac:dyDescent="0.2">
      <c r="B32" s="8">
        <f t="shared" si="6"/>
      </c>
      <c r="C32" s="10">
        <v>27</v>
      </c>
      <c r="D32" t="s" s="13">
        <v>247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577</v>
      </c>
    </row>
    <row r="33" spans="2:24" ht="13.8" x14ac:dyDescent="0.2">
      <c r="B33" s="8">
        <f t="shared" si="6"/>
      </c>
      <c r="C33" s="10">
        <v>28</v>
      </c>
      <c r="D33" t="s" s="13">
        <v>1297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657</v>
      </c>
    </row>
    <row r="34" spans="2:24" ht="13.8" x14ac:dyDescent="0.2">
      <c r="B34" s="8">
        <f t="shared" si="6"/>
      </c>
      <c r="C34" s="10">
        <v>29</v>
      </c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13"/>
    </row>
    <row r="35" spans="2:24" ht="13.8" x14ac:dyDescent="0.2">
      <c r="B35" s="8">
        <f t="shared" si="6"/>
      </c>
      <c r="C35" s="10">
        <v>30</v>
      </c>
      <c r="D35" t="s" s="13">
        <v>1391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1417</v>
      </c>
    </row>
    <row r="36" spans="2:24" ht="13.8" x14ac:dyDescent="0.2">
      <c r="B36" s="8">
        <f t="shared" si="6"/>
      </c>
      <c r="C36" s="10">
        <v>31</v>
      </c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13"/>
    </row>
    <row r="37" spans="2:24" ht="13.8" x14ac:dyDescent="0.2">
      <c r="B37" s="8">
        <f t="shared" si="6"/>
      </c>
      <c r="C37" s="10">
        <v>32</v>
      </c>
      <c r="D37" t="s" s="13">
        <v>248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581</v>
      </c>
    </row>
    <row r="38" spans="2:24" ht="13.8" x14ac:dyDescent="0.2">
      <c r="B38" s="8">
        <f t="shared" si="6"/>
      </c>
      <c r="C38" s="10">
        <v>33</v>
      </c>
      <c r="D38" t="s" s="13">
        <v>249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582</v>
      </c>
    </row>
    <row r="39" spans="2:24" ht="13.8" x14ac:dyDescent="0.2">
      <c r="B39" s="8">
        <f t="shared" si="6"/>
      </c>
      <c r="C39" s="10">
        <v>34</v>
      </c>
      <c r="D39" t="s" s="13">
        <v>1392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426</v>
      </c>
    </row>
    <row r="40" spans="2:24" ht="13.8" x14ac:dyDescent="0.2">
      <c r="B40" s="8">
        <f t="shared" si="6"/>
      </c>
      <c r="C40" s="10">
        <v>35</v>
      </c>
      <c r="D40" t="s" s="13">
        <v>1393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606</v>
      </c>
    </row>
    <row r="41" spans="2:24" ht="13.8" x14ac:dyDescent="0.2">
      <c r="B41" s="8">
        <f t="shared" si="6"/>
      </c>
      <c r="C41" s="10">
        <v>36</v>
      </c>
      <c r="D41" t="s" s="13">
        <v>250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583</v>
      </c>
    </row>
    <row r="42" spans="2:24" ht="13.8" x14ac:dyDescent="0.2">
      <c r="B42" s="8">
        <f t="shared" si="6"/>
      </c>
      <c r="C42" s="10">
        <v>37</v>
      </c>
      <c r="D42" t="s" s="13">
        <v>251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584</v>
      </c>
    </row>
    <row r="43" spans="2:24" ht="13.8" x14ac:dyDescent="0.2">
      <c r="B43" s="8">
        <f t="shared" si="6"/>
      </c>
      <c r="C43" s="10">
        <v>38</v>
      </c>
      <c r="D43" t="s" s="13">
        <v>252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585</v>
      </c>
    </row>
    <row r="44" spans="2:24" ht="13.8" x14ac:dyDescent="0.2">
      <c r="B44" s="8">
        <f t="shared" si="6"/>
      </c>
      <c r="C44" s="10">
        <v>39</v>
      </c>
      <c r="D44" t="s" s="13">
        <v>253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586</v>
      </c>
    </row>
    <row r="45" spans="2:24" ht="13.8" x14ac:dyDescent="0.2">
      <c r="B45" s="8">
        <f t="shared" si="6"/>
      </c>
      <c r="C45" s="10">
        <v>40</v>
      </c>
      <c r="D45" t="s" s="13">
        <v>1394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13">
        <v>1418</v>
      </c>
    </row>
    <row r="46" spans="2:24" ht="13.8" x14ac:dyDescent="0.2">
      <c r="B46" s="8">
        <f t="shared" si="6"/>
      </c>
      <c r="C46" s="10">
        <v>41</v>
      </c>
      <c r="D46" t="s" s="13">
        <v>254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587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13"/>
    </row>
    <row r="48" spans="2:24" ht="13.8" x14ac:dyDescent="0.2">
      <c r="B48" s="8">
        <f t="shared" si="6"/>
      </c>
      <c r="C48" s="10">
        <v>43</v>
      </c>
      <c r="D48" t="s" s="13">
        <v>1395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1419</v>
      </c>
    </row>
    <row r="49" spans="2:24" ht="13.8" x14ac:dyDescent="0.2">
      <c r="B49" s="8">
        <f t="shared" si="6"/>
      </c>
      <c r="C49" s="10">
        <v>44</v>
      </c>
      <c r="D49" t="s" s="13">
        <v>1396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1420</v>
      </c>
    </row>
    <row r="50" spans="2:24" ht="13.8" x14ac:dyDescent="0.2">
      <c r="B50" s="8">
        <f t="shared" si="6"/>
      </c>
      <c r="C50" s="10">
        <v>45</v>
      </c>
      <c r="D50" t="s" s="13">
        <v>255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588</v>
      </c>
    </row>
    <row r="51" spans="2:24" ht="13.8" x14ac:dyDescent="0.2">
      <c r="B51" s="8">
        <f t="shared" si="6"/>
      </c>
      <c r="C51" s="10">
        <v>46</v>
      </c>
      <c r="D51" t="s" s="13">
        <v>1397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605</v>
      </c>
    </row>
    <row r="52" spans="2:24" ht="13.8" x14ac:dyDescent="0.2">
      <c r="B52" s="8">
        <f t="shared" si="6"/>
      </c>
      <c r="C52" s="10">
        <v>47</v>
      </c>
      <c r="D52" t="s" s="13">
        <v>652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658</v>
      </c>
    </row>
    <row r="53" spans="2:24" ht="13.8" x14ac:dyDescent="0.2">
      <c r="B53" s="8">
        <f t="shared" si="6"/>
      </c>
      <c r="C53" s="10">
        <v>48</v>
      </c>
      <c r="D53" t="s" s="13">
        <v>1398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1421</v>
      </c>
    </row>
    <row r="54" spans="2:24" ht="13.8" x14ac:dyDescent="0.2">
      <c r="B54" s="8">
        <f t="shared" si="6"/>
      </c>
      <c r="C54" s="10">
        <v>49</v>
      </c>
      <c r="D54" t="s" s="13">
        <v>1399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66</v>
      </c>
    </row>
    <row r="55" spans="2:24" ht="13.8" x14ac:dyDescent="0.2">
      <c r="B55" s="8">
        <f t="shared" si="6"/>
      </c>
      <c r="C55" s="10">
        <v>50</v>
      </c>
      <c r="D55" t="s" s="13">
        <v>716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1422</v>
      </c>
    </row>
    <row r="56" spans="2:24" ht="13.8" x14ac:dyDescent="0.2">
      <c r="B56" s="8">
        <f t="shared" si="6"/>
      </c>
      <c r="C56" s="10">
        <v>51</v>
      </c>
      <c r="D56" t="s" s="13">
        <v>257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592</v>
      </c>
    </row>
    <row r="57" spans="2:24" ht="13.8" x14ac:dyDescent="0.2">
      <c r="B57" s="8">
        <f t="shared" si="6"/>
      </c>
      <c r="C57" s="10">
        <v>52</v>
      </c>
      <c r="D57" t="s" s="13">
        <v>1289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13">
        <v>1423</v>
      </c>
    </row>
    <row r="58" spans="2:24" ht="13.8" x14ac:dyDescent="0.2">
      <c r="B58" s="8">
        <f t="shared" si="6"/>
      </c>
      <c r="C58" s="10">
        <v>53</v>
      </c>
      <c r="D58" t="s" s="13">
        <v>258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593</v>
      </c>
    </row>
    <row r="59" spans="2:24" ht="13.8" x14ac:dyDescent="0.2">
      <c r="B59" s="8">
        <f t="shared" si="6"/>
      </c>
      <c r="C59" s="10">
        <v>54</v>
      </c>
      <c r="D59" t="s" s="13">
        <v>259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594</v>
      </c>
    </row>
    <row r="60" spans="2:24" ht="13.8" x14ac:dyDescent="0.2">
      <c r="B60" s="8">
        <f t="shared" si="6"/>
      </c>
      <c r="C60" s="10">
        <v>55</v>
      </c>
      <c r="D60" t="s" s="13">
        <v>1400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1953</v>
      </c>
    </row>
    <row r="61" spans="2:24" ht="13.8" x14ac:dyDescent="0.2">
      <c r="B61" s="8">
        <f t="shared" si="6"/>
      </c>
      <c r="C61" s="10">
        <v>56</v>
      </c>
      <c r="D61" t="s" s="13">
        <v>1401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1424</v>
      </c>
    </row>
    <row r="62" spans="2:24" ht="13.8" x14ac:dyDescent="0.2">
      <c r="B62" s="8">
        <f t="shared" si="6"/>
      </c>
      <c r="C62" s="10">
        <v>57</v>
      </c>
      <c r="D62" t="s" s="13">
        <v>260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596</v>
      </c>
    </row>
    <row r="63" spans="2:24" ht="13.8" x14ac:dyDescent="0.2">
      <c r="B63" s="8">
        <f t="shared" si="6"/>
      </c>
      <c r="C63" s="10">
        <v>58</v>
      </c>
      <c r="D63" t="s" s="13">
        <v>653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659</v>
      </c>
    </row>
    <row r="64" spans="2:24" ht="13.8" x14ac:dyDescent="0.2">
      <c r="B64" s="8">
        <f t="shared" si="6"/>
      </c>
      <c r="C64" s="10">
        <v>59</v>
      </c>
      <c r="D64" t="s" s="13">
        <v>261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597</v>
      </c>
    </row>
    <row r="65" spans="2:24" ht="13.8" x14ac:dyDescent="0.2">
      <c r="B65" s="8">
        <f t="shared" si="6"/>
      </c>
      <c r="C65" s="10">
        <v>60</v>
      </c>
      <c r="D65" t="s" s="13">
        <v>1402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608</v>
      </c>
    </row>
    <row r="66" spans="2:24" ht="13.8" x14ac:dyDescent="0.2">
      <c r="B66" s="8">
        <f t="shared" si="6"/>
      </c>
      <c r="C66" s="10">
        <v>61</v>
      </c>
      <c r="D66" t="s" s="13">
        <v>654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13">
        <v>660</v>
      </c>
    </row>
    <row r="67" spans="2:24" ht="13.8" x14ac:dyDescent="0.2">
      <c r="B67" s="8">
        <f t="shared" si="6"/>
      </c>
      <c r="C67" s="10">
        <v>62</v>
      </c>
      <c r="D67" t="s" s="13">
        <v>262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598</v>
      </c>
    </row>
    <row r="68" spans="2:24" ht="13.8" x14ac:dyDescent="0.2">
      <c r="B68" s="8">
        <f t="shared" si="6"/>
      </c>
      <c r="C68" s="10">
        <v>63</v>
      </c>
      <c r="D68" t="s" s="13">
        <v>1403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13">
        <v>1425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655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661</v>
      </c>
    </row>
    <row r="70" spans="2:24" ht="13.8" x14ac:dyDescent="0.2">
      <c r="B70" s="8">
        <f t="shared" si="10"/>
      </c>
      <c r="C70" s="10">
        <v>65</v>
      </c>
      <c r="D70" t="s" s="13">
        <v>263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599</v>
      </c>
    </row>
    <row r="71" spans="2:24" ht="13.8" x14ac:dyDescent="0.2">
      <c r="B71" s="8">
        <f t="shared" si="10"/>
      </c>
      <c r="C71" s="10">
        <v>66</v>
      </c>
      <c r="D71" t="s" s="13">
        <v>1404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1426</v>
      </c>
    </row>
    <row r="72" spans="2:24" ht="13.8" x14ac:dyDescent="0.2">
      <c r="B72" s="8">
        <f t="shared" si="10"/>
      </c>
      <c r="C72" s="10">
        <v>67</v>
      </c>
      <c r="D72" t="s" s="13">
        <v>264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601</v>
      </c>
    </row>
    <row r="73" spans="2:24" ht="13.8" x14ac:dyDescent="0.2">
      <c r="B73" s="8">
        <f t="shared" si="10"/>
      </c>
      <c r="C73" s="10">
        <v>68</v>
      </c>
      <c r="D73" t="s" s="13">
        <v>1328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662</v>
      </c>
    </row>
    <row r="74" spans="2:24" ht="13.8" x14ac:dyDescent="0.2">
      <c r="B74" s="8">
        <f t="shared" si="10"/>
      </c>
      <c r="C74" s="10">
        <v>69</v>
      </c>
      <c r="D74" t="s" s="13">
        <v>265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13">
        <v>602</v>
      </c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13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13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13"/>
    </row>
    <row r="98" spans="2:24" ht="13.8" x14ac:dyDescent="0.2">
      <c r="B98" s="8">
        <f t="shared" si="10"/>
      </c>
      <c r="C98" s="10">
        <v>93</v>
      </c>
      <c r="D98" t="s" s="13">
        <v>1306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607</v>
      </c>
    </row>
    <row r="99" spans="2:24" ht="13.8" x14ac:dyDescent="0.2">
      <c r="B99" s="8">
        <f t="shared" si="10"/>
      </c>
      <c r="C99" s="10">
        <v>94</v>
      </c>
      <c r="D99" t="s" s="13">
        <v>266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603</v>
      </c>
    </row>
    <row r="100" spans="2:24" ht="13.8" x14ac:dyDescent="0.2">
      <c r="B100" s="8">
        <f t="shared" si="10"/>
      </c>
      <c r="C100" s="10">
        <v>95</v>
      </c>
      <c r="D100" t="s" s="13">
        <v>267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13">
        <v>604</v>
      </c>
    </row>
    <row r="101" spans="2:24" ht="13.8" x14ac:dyDescent="0.2">
      <c r="B101" s="8">
        <f t="shared" si="10"/>
      </c>
      <c r="C101" s="10">
        <v>96</v>
      </c>
      <c r="D101" s="13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13"/>
    </row>
    <row r="102" spans="2:24" ht="13.8" x14ac:dyDescent="0.2">
      <c r="B102" s="8">
        <f t="shared" si="10"/>
      </c>
      <c r="C102" s="10">
        <v>97</v>
      </c>
      <c r="D102" t="s" s="13">
        <v>1405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1427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1406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1954</v>
      </c>
    </row>
    <row r="105" spans="2:24" ht="13.8" x14ac:dyDescent="0.2">
      <c r="B105" s="8">
        <f t="shared" si="10"/>
      </c>
      <c r="C105" s="10">
        <v>122</v>
      </c>
      <c r="D105" t="s" s="13">
        <v>1293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600</v>
      </c>
    </row>
    <row r="106" spans="2:24" ht="13.8" x14ac:dyDescent="0.2">
      <c r="B106" s="8">
        <f t="shared" si="10"/>
      </c>
      <c r="C106" s="10">
        <v>123</v>
      </c>
      <c r="D106" t="s" s="13">
        <v>1407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1428</v>
      </c>
    </row>
    <row r="107" spans="2:24" ht="13.8" x14ac:dyDescent="0.2">
      <c r="B107" s="8">
        <f t="shared" si="10"/>
      </c>
      <c r="C107" s="10">
        <v>125</v>
      </c>
      <c r="D107" t="s" s="13">
        <v>1408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663</v>
      </c>
    </row>
    <row r="108" spans="2:24" ht="13.8" x14ac:dyDescent="0.2">
      <c r="B108" s="8">
        <f t="shared" si="10"/>
      </c>
      <c r="C108" s="10">
        <v>126</v>
      </c>
      <c r="D108" t="s" s="13">
        <v>1409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1429</v>
      </c>
    </row>
    <row r="109" spans="2:24" ht="13.8" x14ac:dyDescent="0.2">
      <c r="B109" s="8">
        <f t="shared" si="10"/>
      </c>
      <c r="C109" s="10">
        <v>127</v>
      </c>
      <c r="D109" t="s" s="13">
        <v>1410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590</v>
      </c>
    </row>
    <row r="110" spans="2:24" ht="13.8" x14ac:dyDescent="0.2">
      <c r="B110" s="8">
        <f t="shared" si="10"/>
      </c>
      <c r="C110" s="10">
        <v>128</v>
      </c>
      <c r="D110" t="s" s="13">
        <v>1411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579</v>
      </c>
    </row>
    <row r="111" spans="2:24" ht="13.8" x14ac:dyDescent="0.2">
      <c r="B111" s="8">
        <f t="shared" si="10"/>
      </c>
      <c r="C111" s="10">
        <v>130</v>
      </c>
      <c r="D111" t="s" s="26">
        <v>1412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580</v>
      </c>
    </row>
    <row r="112" spans="2:24" ht="13.8" x14ac:dyDescent="0.2">
      <c r="B112" s="8">
        <f t="shared" si="10"/>
      </c>
      <c r="C112" s="10"/>
      <c r="D112" s="13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13"/>
    </row>
    <row r="113" spans="2:24" ht="13.8" x14ac:dyDescent="0.2">
      <c r="B113" s="8">
        <f t="shared" si="10"/>
      </c>
      <c r="C113" s="10"/>
      <c r="D113" s="13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13"/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26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13"/>
    </row>
    <row r="5" spans="2:24" ht="13.8" x14ac:dyDescent="0.2">
      <c r="B5" s="8">
        <f t="shared" ref="B5:B68" si="6">IF(C5="","",C5)</f>
      </c>
      <c r="C5" s="10">
        <v>0</v>
      </c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13"/>
    </row>
    <row r="6" spans="2:24" ht="13.8" x14ac:dyDescent="0.2">
      <c r="B6" s="8">
        <f t="shared" si="6"/>
      </c>
      <c r="C6" s="10">
        <v>1</v>
      </c>
      <c r="D6" t="s" s="13">
        <v>1430</v>
      </c>
      <c r="E6" s="11">
        <f t="shared" si="2"/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563</v>
      </c>
    </row>
    <row r="7" spans="2:24" ht="13.8" x14ac:dyDescent="0.2">
      <c r="B7" s="8">
        <f t="shared" si="6"/>
      </c>
      <c r="C7" s="10">
        <v>2</v>
      </c>
      <c r="D7" t="s" s="13">
        <v>1431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1478</v>
      </c>
    </row>
    <row r="8" spans="2:24" ht="13.8" x14ac:dyDescent="0.2">
      <c r="B8" s="8">
        <f t="shared" si="6"/>
      </c>
      <c r="C8" s="10">
        <v>3</v>
      </c>
      <c r="D8" t="s" s="13">
        <v>1199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13">
        <v>539</v>
      </c>
    </row>
    <row r="9" spans="2:24" ht="13.8" x14ac:dyDescent="0.2">
      <c r="B9" s="8">
        <f t="shared" si="6"/>
      </c>
      <c r="C9" s="10">
        <v>4</v>
      </c>
      <c r="D9" t="s" s="13">
        <v>776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13">
        <v>1479</v>
      </c>
    </row>
    <row r="10" spans="2:24" ht="13.8" x14ac:dyDescent="0.2">
      <c r="B10" s="8">
        <f t="shared" si="6"/>
      </c>
      <c r="C10" s="10">
        <v>5</v>
      </c>
      <c r="D10" t="s" s="13">
        <v>1432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13">
        <v>1480</v>
      </c>
    </row>
    <row r="11" spans="2:24" ht="13.8" x14ac:dyDescent="0.2">
      <c r="B11" s="8">
        <f t="shared" si="6"/>
      </c>
      <c r="C11" s="10">
        <v>6</v>
      </c>
      <c r="D11" t="s" s="13">
        <v>1433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13">
        <v>1481</v>
      </c>
    </row>
    <row r="12" spans="2:24" ht="13.8" x14ac:dyDescent="0.2">
      <c r="B12" s="8">
        <f t="shared" si="6"/>
      </c>
      <c r="C12" s="10">
        <v>7</v>
      </c>
      <c r="D12" t="s" s="13">
        <v>35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541</v>
      </c>
    </row>
    <row r="13" spans="2:24" ht="13.8" x14ac:dyDescent="0.2">
      <c r="B13" s="8">
        <f t="shared" si="6"/>
      </c>
      <c r="C13" s="10">
        <v>8</v>
      </c>
      <c r="D13" t="s" s="13">
        <v>30</v>
      </c>
      <c r="E13" s="11">
        <f t="shared" si="2"/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542</v>
      </c>
    </row>
    <row r="14" spans="2:24" ht="13.8" x14ac:dyDescent="0.2">
      <c r="B14" s="8">
        <f t="shared" si="6"/>
      </c>
      <c r="C14" s="10">
        <v>9</v>
      </c>
      <c r="D14" t="s" s="13">
        <v>1434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13">
        <v>1482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6"/>
      </c>
      <c r="C16" s="10">
        <v>11</v>
      </c>
      <c r="D16" t="s" s="13">
        <v>1348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87</v>
      </c>
    </row>
    <row r="17" spans="2:24" ht="13.8" x14ac:dyDescent="0.2">
      <c r="B17" s="8">
        <f t="shared" si="6"/>
      </c>
      <c r="C17" s="10">
        <v>12</v>
      </c>
      <c r="D17" t="s" s="13">
        <v>8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543</v>
      </c>
    </row>
    <row r="18" spans="2:24" ht="13.8" x14ac:dyDescent="0.2">
      <c r="B18" s="8">
        <f t="shared" si="6"/>
      </c>
      <c r="C18" s="10">
        <v>13</v>
      </c>
      <c r="D18" t="s" s="13">
        <v>1304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544</v>
      </c>
    </row>
    <row r="19" spans="2:24" ht="13.8" x14ac:dyDescent="0.2">
      <c r="B19" s="8">
        <f t="shared" si="6"/>
      </c>
      <c r="C19" s="10">
        <v>14</v>
      </c>
      <c r="D19" t="s" s="13">
        <v>1435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1483</v>
      </c>
    </row>
    <row r="20" spans="2:24" ht="13.8" x14ac:dyDescent="0.2">
      <c r="B20" s="8">
        <f t="shared" si="6"/>
      </c>
      <c r="C20" s="10">
        <v>15</v>
      </c>
      <c r="D20" s="13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13"/>
    </row>
    <row r="21" spans="2:24" ht="13.8" x14ac:dyDescent="0.2">
      <c r="B21" s="8">
        <f t="shared" si="6"/>
      </c>
      <c r="C21" s="10">
        <v>16</v>
      </c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13"/>
    </row>
    <row r="22" spans="2:24" ht="13.8" x14ac:dyDescent="0.2">
      <c r="B22" s="8">
        <f t="shared" si="6"/>
      </c>
      <c r="C22" s="10">
        <v>17</v>
      </c>
      <c r="D22" t="s" s="13">
        <v>26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545</v>
      </c>
    </row>
    <row r="23" spans="2:24" ht="13.8" x14ac:dyDescent="0.2">
      <c r="B23" s="8">
        <f t="shared" si="6"/>
      </c>
      <c r="C23" s="10">
        <v>18</v>
      </c>
      <c r="D23" t="s" s="13">
        <v>192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546</v>
      </c>
    </row>
    <row r="24" spans="2:24" ht="13.8" x14ac:dyDescent="0.2">
      <c r="B24" s="8">
        <f t="shared" si="6"/>
      </c>
      <c r="C24" s="10">
        <v>19</v>
      </c>
      <c r="D24" t="s" s="13">
        <v>1199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547</v>
      </c>
    </row>
    <row r="25" spans="2:24" ht="13.8" x14ac:dyDescent="0.2">
      <c r="B25" s="8">
        <f t="shared" si="6"/>
      </c>
      <c r="C25" s="10">
        <v>20</v>
      </c>
      <c r="D25" t="s" s="13">
        <v>1436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371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13"/>
    </row>
    <row r="27" spans="2:24" ht="13.8" x14ac:dyDescent="0.2">
      <c r="B27" s="8">
        <f t="shared" si="6"/>
      </c>
      <c r="C27" s="10">
        <v>22</v>
      </c>
      <c r="D27" t="s" s="13">
        <v>52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1484</v>
      </c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6"/>
      </c>
      <c r="C29" s="10">
        <v>24</v>
      </c>
      <c r="D29" t="s" s="13">
        <v>31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13">
        <v>549</v>
      </c>
    </row>
    <row r="30" spans="2:24" ht="13.8" x14ac:dyDescent="0.2">
      <c r="B30" s="8">
        <f t="shared" si="6"/>
      </c>
      <c r="C30" s="10">
        <v>25</v>
      </c>
      <c r="D30" t="s" s="13">
        <v>1437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538</v>
      </c>
    </row>
    <row r="31" spans="2:24" ht="13.8" x14ac:dyDescent="0.2">
      <c r="B31" s="8">
        <f t="shared" si="6"/>
      </c>
      <c r="C31" s="10">
        <v>26</v>
      </c>
      <c r="D31" t="s" s="13">
        <v>777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1485</v>
      </c>
    </row>
    <row r="32" spans="2:24" ht="13.8" x14ac:dyDescent="0.2">
      <c r="B32" s="8">
        <f t="shared" si="6"/>
      </c>
      <c r="C32" s="10">
        <v>27</v>
      </c>
      <c r="D32" t="s" s="13">
        <v>1404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1486</v>
      </c>
    </row>
    <row r="33" spans="2:24" ht="13.8" x14ac:dyDescent="0.2">
      <c r="B33" s="8">
        <f t="shared" si="6"/>
      </c>
      <c r="C33" s="10">
        <v>28</v>
      </c>
      <c r="D33" t="s" s="13">
        <v>1438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550</v>
      </c>
    </row>
    <row r="34" spans="2:24" ht="13.8" x14ac:dyDescent="0.2">
      <c r="B34" s="8">
        <f t="shared" si="6"/>
      </c>
      <c r="C34" s="10">
        <v>29</v>
      </c>
      <c r="D34" t="s" s="13">
        <v>1439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1487</v>
      </c>
    </row>
    <row r="35" spans="2:24" ht="13.8" x14ac:dyDescent="0.2">
      <c r="B35" s="8">
        <f t="shared" si="6"/>
      </c>
      <c r="C35" s="10">
        <v>30</v>
      </c>
      <c r="D35" t="s" s="13">
        <v>3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551</v>
      </c>
    </row>
    <row r="36" spans="2:24" ht="13.8" x14ac:dyDescent="0.2">
      <c r="B36" s="8">
        <f t="shared" si="6"/>
      </c>
      <c r="C36" s="10">
        <v>31</v>
      </c>
      <c r="D36" t="s" s="13">
        <v>1440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13">
        <v>1488</v>
      </c>
    </row>
    <row r="37" spans="2:24" ht="13.8" x14ac:dyDescent="0.2">
      <c r="B37" s="8">
        <f t="shared" si="6"/>
      </c>
      <c r="C37" s="10">
        <v>32</v>
      </c>
      <c r="D37" t="s" s="13">
        <v>32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552</v>
      </c>
    </row>
    <row r="38" spans="2:24" ht="13.8" x14ac:dyDescent="0.2">
      <c r="B38" s="8">
        <f t="shared" si="6"/>
      </c>
      <c r="C38" s="10">
        <v>33</v>
      </c>
      <c r="D38" t="s" s="13">
        <v>27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88</v>
      </c>
    </row>
    <row r="39" spans="2:24" ht="13.8" x14ac:dyDescent="0.2">
      <c r="B39" s="8">
        <f t="shared" si="6"/>
      </c>
      <c r="C39" s="10">
        <v>34</v>
      </c>
      <c r="D39" t="s" s="13">
        <v>34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553</v>
      </c>
    </row>
    <row r="40" spans="2:24" ht="13.8" x14ac:dyDescent="0.2">
      <c r="B40" s="8">
        <f t="shared" si="6"/>
      </c>
      <c r="C40" s="10">
        <v>35</v>
      </c>
      <c r="D40" t="s" s="13">
        <v>28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554</v>
      </c>
    </row>
    <row r="41" spans="2:24" ht="13.8" x14ac:dyDescent="0.2">
      <c r="B41" s="8">
        <f t="shared" si="6"/>
      </c>
      <c r="C41" s="10">
        <v>36</v>
      </c>
      <c r="D41" t="s" s="13">
        <v>1441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1489</v>
      </c>
    </row>
    <row r="42" spans="2:24" ht="13.8" x14ac:dyDescent="0.2">
      <c r="B42" s="8">
        <f t="shared" si="6"/>
      </c>
      <c r="C42" s="10">
        <v>37</v>
      </c>
      <c r="D42" t="s" s="13">
        <v>1442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1490</v>
      </c>
    </row>
    <row r="43" spans="2:24" ht="13.8" x14ac:dyDescent="0.2">
      <c r="B43" s="8">
        <f t="shared" si="6"/>
      </c>
      <c r="C43" s="10">
        <v>38</v>
      </c>
      <c r="D43" t="s" s="13">
        <v>53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555</v>
      </c>
    </row>
    <row r="44" spans="2:24" ht="13.8" x14ac:dyDescent="0.2">
      <c r="B44" s="8">
        <f t="shared" si="6"/>
      </c>
      <c r="C44" s="10">
        <v>39</v>
      </c>
      <c r="D44" t="s" s="13">
        <v>1443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1491</v>
      </c>
    </row>
    <row r="45" spans="2:24" ht="13.8" x14ac:dyDescent="0.2">
      <c r="B45" s="8">
        <f t="shared" si="6"/>
      </c>
      <c r="C45" s="10">
        <v>40</v>
      </c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13"/>
    </row>
    <row r="46" spans="2:24" ht="13.8" x14ac:dyDescent="0.2">
      <c r="B46" s="8">
        <f t="shared" si="6"/>
      </c>
      <c r="C46" s="10">
        <v>41</v>
      </c>
      <c r="D46" t="s" s="13">
        <v>54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556</v>
      </c>
    </row>
    <row r="47" spans="2:24" ht="13.8" x14ac:dyDescent="0.2">
      <c r="B47" s="8">
        <f t="shared" si="6"/>
      </c>
      <c r="C47" s="10">
        <v>42</v>
      </c>
      <c r="D47" t="s" s="13">
        <v>1223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13">
        <v>1492</v>
      </c>
    </row>
    <row r="48" spans="2:24" ht="13.8" x14ac:dyDescent="0.2">
      <c r="B48" s="8">
        <f t="shared" si="6"/>
      </c>
      <c r="C48" s="10">
        <v>43</v>
      </c>
      <c r="D48" t="s" s="13">
        <v>778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1493</v>
      </c>
    </row>
    <row r="49" spans="2:24" ht="13.8" x14ac:dyDescent="0.2">
      <c r="B49" s="8">
        <f t="shared" si="6"/>
      </c>
      <c r="C49" s="10">
        <v>44</v>
      </c>
      <c r="D49" t="s" s="13">
        <v>1444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497</v>
      </c>
    </row>
    <row r="50" spans="2:24" ht="13.8" x14ac:dyDescent="0.2">
      <c r="B50" s="8">
        <f t="shared" si="6"/>
      </c>
      <c r="C50" s="10">
        <v>45</v>
      </c>
      <c r="D50" t="s" s="13">
        <v>1445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1445</v>
      </c>
    </row>
    <row r="51" spans="2:24" ht="13.8" x14ac:dyDescent="0.2">
      <c r="B51" s="8">
        <f t="shared" si="6"/>
      </c>
      <c r="C51" s="10">
        <v>46</v>
      </c>
      <c r="D51" t="s" s="13">
        <v>1446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1494</v>
      </c>
    </row>
    <row r="52" spans="2:24" ht="13.8" x14ac:dyDescent="0.2">
      <c r="B52" s="8">
        <f t="shared" si="6"/>
      </c>
      <c r="C52" s="10">
        <v>47</v>
      </c>
      <c r="D52" t="s" s="13">
        <v>1447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630</v>
      </c>
    </row>
    <row r="53" spans="2:24" ht="13.8" x14ac:dyDescent="0.2">
      <c r="B53" s="8">
        <f t="shared" si="6"/>
      </c>
      <c r="C53" s="10">
        <v>48</v>
      </c>
      <c r="D53" t="s" s="13">
        <v>1448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1495</v>
      </c>
    </row>
    <row r="54" spans="2:24" ht="13.8" x14ac:dyDescent="0.2">
      <c r="B54" s="8">
        <f t="shared" si="6"/>
      </c>
      <c r="C54" s="10">
        <v>49</v>
      </c>
      <c r="D54" t="s" s="13">
        <v>1449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645</v>
      </c>
    </row>
    <row r="55" spans="2:24" ht="13.8" x14ac:dyDescent="0.2">
      <c r="B55" s="8">
        <f t="shared" si="6"/>
      </c>
      <c r="C55" s="10">
        <v>50</v>
      </c>
      <c r="D55" t="s" s="13">
        <v>1182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559</v>
      </c>
    </row>
    <row r="56" spans="2:24" ht="13.8" x14ac:dyDescent="0.2">
      <c r="B56" s="8">
        <f t="shared" si="6"/>
      </c>
      <c r="C56" s="10">
        <v>51</v>
      </c>
      <c r="D56" t="s" s="13">
        <v>1450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524</v>
      </c>
    </row>
    <row r="57" spans="2:24" ht="13.8" x14ac:dyDescent="0.2">
      <c r="B57" s="8">
        <f t="shared" si="6"/>
      </c>
      <c r="C57" s="10">
        <v>52</v>
      </c>
      <c r="D57" t="s" s="13">
        <v>641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13">
        <v>1496</v>
      </c>
    </row>
    <row r="58" spans="2:24" ht="13.8" x14ac:dyDescent="0.2">
      <c r="B58" s="8">
        <f t="shared" si="6"/>
      </c>
      <c r="C58" s="10">
        <v>53</v>
      </c>
      <c r="D58" t="s" s="13">
        <v>1451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400</v>
      </c>
    </row>
    <row r="59" spans="2:24" ht="13.8" x14ac:dyDescent="0.2">
      <c r="B59" s="8">
        <f t="shared" si="6"/>
      </c>
      <c r="C59" s="10">
        <v>54</v>
      </c>
      <c r="D59" t="s" s="13">
        <v>33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560</v>
      </c>
    </row>
    <row r="60" spans="2:24" ht="13.8" x14ac:dyDescent="0.2">
      <c r="B60" s="8">
        <f t="shared" si="6"/>
      </c>
      <c r="C60" s="10">
        <v>55</v>
      </c>
      <c r="D60" t="s" s="13">
        <v>1477</v>
      </c>
      <c r="E60" s="11">
        <f t="shared" si="2"/>
      </c>
      <c r="F60" s="5">
        <v>1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634</v>
      </c>
    </row>
    <row r="61" spans="2:24" ht="13.8" x14ac:dyDescent="0.2">
      <c r="B61" s="8">
        <f t="shared" si="6"/>
      </c>
      <c r="C61" s="10">
        <v>56</v>
      </c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13"/>
    </row>
    <row r="62" spans="2:24" ht="13.8" x14ac:dyDescent="0.2">
      <c r="B62" s="8">
        <f t="shared" si="6"/>
      </c>
      <c r="C62" s="10">
        <v>57</v>
      </c>
      <c r="D62" t="s" s="13">
        <v>1452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1497</v>
      </c>
    </row>
    <row r="63" spans="2:24" ht="13.8" x14ac:dyDescent="0.2">
      <c r="B63" s="8">
        <f t="shared" si="6"/>
      </c>
      <c r="C63" s="10">
        <v>58</v>
      </c>
      <c r="D63" t="s" s="13">
        <v>55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561</v>
      </c>
    </row>
    <row r="64" spans="2:24" ht="13.8" x14ac:dyDescent="0.2">
      <c r="B64" s="8">
        <f t="shared" si="6"/>
      </c>
      <c r="C64" s="10">
        <v>59</v>
      </c>
      <c r="D64" t="s" s="13">
        <v>1453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421</v>
      </c>
    </row>
    <row r="65" spans="2:24" ht="13.8" x14ac:dyDescent="0.2">
      <c r="B65" s="8">
        <f t="shared" si="6"/>
      </c>
      <c r="C65" s="10">
        <v>60</v>
      </c>
      <c r="D65" t="s" s="13">
        <v>1295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565</v>
      </c>
    </row>
    <row r="66" spans="2:24" ht="13.8" x14ac:dyDescent="0.2">
      <c r="B66" s="8">
        <f t="shared" si="6"/>
      </c>
      <c r="C66" s="10">
        <v>61</v>
      </c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13"/>
    </row>
    <row r="67" spans="2:24" ht="13.8" x14ac:dyDescent="0.2">
      <c r="B67" s="8">
        <f t="shared" si="6"/>
      </c>
      <c r="C67" s="10">
        <v>62</v>
      </c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13"/>
    </row>
    <row r="68" spans="2:24" ht="13.8" x14ac:dyDescent="0.2">
      <c r="B68" s="8">
        <f t="shared" si="6"/>
      </c>
      <c r="C68" s="10">
        <v>63</v>
      </c>
      <c r="D68" s="13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13"/>
    </row>
    <row r="69" spans="2:24" ht="13.8" x14ac:dyDescent="0.2">
      <c r="B69" s="8">
        <f t="shared" ref="B69:B132" si="10">IF(C69="","",C69)</f>
      </c>
      <c r="C69" s="10">
        <v>64</v>
      </c>
      <c r="D69" t="s" s="13">
        <v>1409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1498</v>
      </c>
    </row>
    <row r="70" spans="2:24" ht="13.8" x14ac:dyDescent="0.2">
      <c r="B70" s="8">
        <f t="shared" si="10"/>
      </c>
      <c r="C70" s="10">
        <v>65</v>
      </c>
      <c r="D70" s="13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13"/>
    </row>
    <row r="71" spans="2:24" ht="13.8" x14ac:dyDescent="0.2">
      <c r="B71" s="8">
        <f t="shared" si="10"/>
      </c>
      <c r="C71" s="10">
        <v>66</v>
      </c>
      <c r="D71" t="s" s="13">
        <v>89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1955</v>
      </c>
    </row>
    <row r="72" spans="2:24" ht="13.8" x14ac:dyDescent="0.2">
      <c r="B72" s="8">
        <f t="shared" si="10"/>
      </c>
      <c r="C72" s="10">
        <v>67</v>
      </c>
      <c r="D72" t="s" s="13">
        <v>1454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1499</v>
      </c>
    </row>
    <row r="73" spans="2:24" ht="13.8" x14ac:dyDescent="0.2">
      <c r="B73" s="8">
        <f t="shared" si="10"/>
      </c>
      <c r="C73" s="10">
        <v>68</v>
      </c>
      <c r="D73" t="s" s="13">
        <v>1455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1500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13"/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t="s" s="13">
        <v>1960</v>
      </c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t="s" s="13">
        <v>1501</v>
      </c>
    </row>
    <row r="96" spans="2:24" ht="13.8" x14ac:dyDescent="0.2">
      <c r="B96" s="8">
        <f t="shared" si="10"/>
      </c>
      <c r="C96" s="10">
        <v>91</v>
      </c>
      <c r="D96" t="s" s="13">
        <v>1961</v>
      </c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t="s" s="13">
        <v>1956</v>
      </c>
    </row>
    <row r="97" spans="2:24" ht="13.8" x14ac:dyDescent="0.2">
      <c r="B97" s="8">
        <f t="shared" si="10"/>
      </c>
      <c r="C97" s="10">
        <v>92</v>
      </c>
      <c r="D97" t="s" s="13">
        <v>1456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13">
        <v>1957</v>
      </c>
    </row>
    <row r="98" spans="2:24" ht="13.8" x14ac:dyDescent="0.2">
      <c r="B98" s="8">
        <f t="shared" si="10"/>
      </c>
      <c r="C98" s="10">
        <v>93</v>
      </c>
      <c r="D98" t="s" s="13">
        <v>1962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1958</v>
      </c>
    </row>
    <row r="99" spans="2:24" ht="13.8" x14ac:dyDescent="0.2">
      <c r="B99" s="8">
        <f t="shared" si="10"/>
      </c>
      <c r="C99" s="10">
        <v>94</v>
      </c>
      <c r="D99" t="s" s="13">
        <v>1963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1959</v>
      </c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13"/>
    </row>
    <row r="101" spans="2:24" ht="13.8" x14ac:dyDescent="0.2">
      <c r="B101" s="8">
        <f t="shared" si="10"/>
      </c>
      <c r="C101" s="10">
        <v>96</v>
      </c>
      <c r="D101" t="s" s="13">
        <v>1457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13">
        <v>1502</v>
      </c>
    </row>
    <row r="102" spans="2:24" ht="13.8" x14ac:dyDescent="0.2">
      <c r="B102" s="8">
        <f t="shared" si="10"/>
      </c>
      <c r="C102" s="10">
        <v>97</v>
      </c>
      <c r="D102" t="s" s="13">
        <v>1458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1503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1459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1964</v>
      </c>
    </row>
    <row r="105" spans="2:24" ht="13.8" x14ac:dyDescent="0.2">
      <c r="B105" s="8">
        <f t="shared" si="10"/>
      </c>
      <c r="C105" s="10">
        <v>201</v>
      </c>
      <c r="D105" t="s" s="23">
        <v>1460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1504</v>
      </c>
    </row>
    <row r="106" spans="2:24" ht="13.8" x14ac:dyDescent="0.2">
      <c r="B106" s="8">
        <f t="shared" si="10"/>
      </c>
      <c r="C106" s="10">
        <v>202</v>
      </c>
      <c r="D106" t="s" s="13">
        <v>1224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1965</v>
      </c>
    </row>
    <row r="107" spans="2:24" ht="13.8" x14ac:dyDescent="0.2">
      <c r="B107" s="8">
        <f t="shared" si="10"/>
      </c>
      <c r="C107" s="10">
        <v>203</v>
      </c>
      <c r="D107" t="s" s="13">
        <v>1461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1505</v>
      </c>
    </row>
    <row r="108" spans="2:24" ht="13.8" x14ac:dyDescent="0.2">
      <c r="B108" s="8">
        <f t="shared" si="10"/>
      </c>
      <c r="C108" s="10">
        <v>204</v>
      </c>
      <c r="D108" t="s" s="13">
        <v>1462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564</v>
      </c>
    </row>
    <row r="109" spans="2:24" ht="13.8" x14ac:dyDescent="0.2">
      <c r="B109" s="8">
        <f t="shared" si="10"/>
      </c>
      <c r="C109" s="10">
        <v>205</v>
      </c>
      <c r="D109" t="s" s="13">
        <v>1463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1506</v>
      </c>
    </row>
    <row r="110" spans="2:24" ht="13.8" x14ac:dyDescent="0.2">
      <c r="B110" s="8">
        <f t="shared" si="10"/>
      </c>
      <c r="C110" s="10">
        <v>206</v>
      </c>
      <c r="D110" t="s" s="13">
        <v>1464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1507</v>
      </c>
    </row>
    <row r="111" spans="2:24" ht="13.8" x14ac:dyDescent="0.2">
      <c r="B111" s="8">
        <f t="shared" si="10"/>
      </c>
      <c r="C111" s="10">
        <v>207</v>
      </c>
      <c r="D111" t="s" s="13">
        <v>1465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1508</v>
      </c>
    </row>
    <row r="112" spans="2:24" ht="13.8" x14ac:dyDescent="0.2">
      <c r="B112" s="8">
        <f t="shared" si="10"/>
      </c>
      <c r="C112" s="10">
        <v>208</v>
      </c>
      <c r="D112" t="s" s="13">
        <v>1466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1509</v>
      </c>
    </row>
    <row r="113" spans="2:24" ht="13.8" x14ac:dyDescent="0.2">
      <c r="B113" s="8">
        <f t="shared" si="10"/>
      </c>
      <c r="C113" s="10">
        <v>209</v>
      </c>
      <c r="D113" t="s" s="13">
        <v>1467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1510</v>
      </c>
    </row>
    <row r="114" spans="2:24" ht="13.8" x14ac:dyDescent="0.2">
      <c r="B114" s="8">
        <f t="shared" si="10"/>
      </c>
      <c r="C114" s="10">
        <v>210</v>
      </c>
      <c r="D114" t="s" s="26">
        <v>1468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548</v>
      </c>
    </row>
    <row r="115" spans="2:24" ht="13.8" x14ac:dyDescent="0.2">
      <c r="B115" s="8">
        <f t="shared" si="10"/>
      </c>
      <c r="C115" s="10">
        <v>211</v>
      </c>
      <c r="D115" t="s" s="26">
        <v>1469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82</v>
      </c>
    </row>
    <row r="116" spans="2:24" ht="13.8" x14ac:dyDescent="0.2">
      <c r="B116" s="8">
        <f t="shared" si="10"/>
      </c>
      <c r="C116" s="10">
        <v>212</v>
      </c>
      <c r="D116" t="s" s="26">
        <v>1470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1511</v>
      </c>
    </row>
    <row r="117" spans="2:24" ht="13.8" x14ac:dyDescent="0.2">
      <c r="B117" s="8">
        <f t="shared" si="10"/>
      </c>
      <c r="C117" s="10">
        <v>213</v>
      </c>
      <c r="D117" t="s" s="26">
        <v>1471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1512</v>
      </c>
    </row>
    <row r="118" spans="2:24" ht="13.8" x14ac:dyDescent="0.2">
      <c r="B118" s="8">
        <f t="shared" si="10"/>
      </c>
      <c r="C118" s="10">
        <v>214</v>
      </c>
      <c r="D118" t="s" s="26">
        <v>1300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1513</v>
      </c>
    </row>
    <row r="119" spans="2:24" ht="13.8" x14ac:dyDescent="0.2">
      <c r="B119" s="8">
        <f t="shared" si="10"/>
      </c>
      <c r="C119" s="10">
        <v>215</v>
      </c>
      <c r="D119" t="s" s="26">
        <v>1472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1514</v>
      </c>
    </row>
    <row r="120" spans="2:24" ht="13.8" x14ac:dyDescent="0.2">
      <c r="B120" s="8">
        <f t="shared" si="10"/>
      </c>
      <c r="C120" s="10">
        <v>216</v>
      </c>
      <c r="D120" t="s" s="26">
        <v>1473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1515</v>
      </c>
    </row>
    <row r="121" spans="2:24" ht="13.8" x14ac:dyDescent="0.2">
      <c r="B121" s="8">
        <f t="shared" si="10"/>
      </c>
      <c r="C121" s="10">
        <v>217</v>
      </c>
      <c r="D121" t="s" s="26">
        <v>1474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1516</v>
      </c>
    </row>
    <row r="122" spans="2:24" ht="13.8" x14ac:dyDescent="0.2">
      <c r="B122" s="8">
        <f t="shared" si="10"/>
      </c>
      <c r="C122" s="10">
        <v>218</v>
      </c>
      <c r="D122" t="s" s="26">
        <v>1475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13">
        <v>1517</v>
      </c>
    </row>
    <row r="123" spans="2:24" ht="13.8" x14ac:dyDescent="0.2">
      <c r="B123" s="8">
        <f t="shared" si="10"/>
      </c>
      <c r="C123" s="10">
        <v>219</v>
      </c>
      <c r="D123" t="s" s="8">
        <v>1222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13">
        <v>1967</v>
      </c>
    </row>
    <row r="124" spans="2:24" ht="13.8" x14ac:dyDescent="0.2">
      <c r="B124" s="8">
        <f t="shared" si="10"/>
      </c>
      <c r="C124" s="10">
        <v>220</v>
      </c>
      <c r="D124" t="s" s="8">
        <v>1476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13">
        <v>1966</v>
      </c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1518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500</v>
      </c>
    </row>
    <row r="5" spans="2:24" ht="13.8" x14ac:dyDescent="0.2">
      <c r="B5" s="8">
        <f t="shared" ref="B5:B68" si="6">IF(C5="","",C5)</f>
      </c>
      <c r="C5" s="10">
        <v>0</v>
      </c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>
        <v>1</v>
      </c>
      <c r="D6" t="s" s="13">
        <v>786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1588</v>
      </c>
    </row>
    <row r="7" spans="2:24" ht="13.8" x14ac:dyDescent="0.2">
      <c r="B7" s="8">
        <f t="shared" si="6"/>
      </c>
      <c r="C7" s="10">
        <v>2</v>
      </c>
      <c r="D7" t="s" s="13">
        <v>1652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1968</v>
      </c>
    </row>
    <row r="8" spans="2:24" ht="13.8" x14ac:dyDescent="0.2">
      <c r="B8" s="8">
        <f t="shared" si="6"/>
      </c>
      <c r="C8" s="10">
        <v>3</v>
      </c>
      <c r="D8" t="s" s="13">
        <v>1300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329</v>
      </c>
    </row>
    <row r="9" spans="2:24" ht="13.8" x14ac:dyDescent="0.2">
      <c r="B9" s="8">
        <f t="shared" si="6"/>
      </c>
      <c r="C9" s="10">
        <v>4</v>
      </c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>
        <v>5</v>
      </c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>
        <v>6</v>
      </c>
      <c r="D11" t="s" s="13">
        <v>68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502</v>
      </c>
    </row>
    <row r="12" spans="2:24" ht="13.8" x14ac:dyDescent="0.2">
      <c r="B12" s="8">
        <f t="shared" si="6"/>
      </c>
      <c r="C12" s="10">
        <v>7</v>
      </c>
      <c r="D12" t="s" s="13">
        <v>57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503</v>
      </c>
    </row>
    <row r="13" spans="2:24" ht="13.8" x14ac:dyDescent="0.2">
      <c r="B13" s="8">
        <f t="shared" si="6"/>
      </c>
      <c r="C13" s="10">
        <v>8</v>
      </c>
      <c r="D13" t="s" s="13">
        <v>1519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517</v>
      </c>
    </row>
    <row r="14" spans="2:24" ht="13.8" x14ac:dyDescent="0.2">
      <c r="B14" s="8">
        <f t="shared" si="6"/>
      </c>
      <c r="C14" s="10">
        <v>9</v>
      </c>
      <c r="D14" t="s" s="13">
        <v>69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504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>
        <v>11</v>
      </c>
      <c r="D16" t="s" s="13">
        <v>92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505</v>
      </c>
    </row>
    <row r="17" spans="2:24" ht="13.8" x14ac:dyDescent="0.2">
      <c r="B17" s="8">
        <f t="shared" si="6"/>
      </c>
      <c r="C17" s="10">
        <v>12</v>
      </c>
      <c r="D17" t="s" s="13">
        <v>1520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628</v>
      </c>
    </row>
    <row r="18" spans="2:24" ht="13.8" x14ac:dyDescent="0.2">
      <c r="B18" s="8">
        <f t="shared" si="6"/>
      </c>
      <c r="C18" s="10">
        <v>13</v>
      </c>
      <c r="D18" t="s" s="13">
        <v>1521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533</v>
      </c>
    </row>
    <row r="19" spans="2:24" ht="13.8" x14ac:dyDescent="0.2">
      <c r="B19" s="8">
        <f t="shared" si="6"/>
      </c>
      <c r="C19" s="10">
        <v>14</v>
      </c>
      <c r="D19" t="s" s="13">
        <v>787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781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t="s" s="13">
        <v>70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507</v>
      </c>
    </row>
    <row r="22" spans="2:24" ht="13.8" x14ac:dyDescent="0.2">
      <c r="B22" s="8">
        <f t="shared" si="6"/>
      </c>
      <c r="C22" s="10">
        <v>17</v>
      </c>
      <c r="D22" t="s" s="13">
        <v>1522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1589</v>
      </c>
    </row>
    <row r="23" spans="2:24" ht="13.8" x14ac:dyDescent="0.2">
      <c r="B23" s="8">
        <f t="shared" si="6"/>
      </c>
      <c r="C23" s="10">
        <v>18</v>
      </c>
      <c r="D23" t="s" s="13">
        <v>1318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508</v>
      </c>
    </row>
    <row r="24" spans="2:24" ht="13.8" x14ac:dyDescent="0.2">
      <c r="B24" s="8">
        <f t="shared" si="6"/>
      </c>
      <c r="C24" s="10">
        <v>19</v>
      </c>
      <c r="D24" t="s" s="13">
        <v>93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509</v>
      </c>
    </row>
    <row r="25" spans="2:24" ht="13.8" x14ac:dyDescent="0.2">
      <c r="B25" s="8">
        <f t="shared" si="6"/>
      </c>
      <c r="C25" s="10">
        <v>20</v>
      </c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>
        <v>21</v>
      </c>
      <c r="D26" t="s" s="13">
        <v>209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511</v>
      </c>
    </row>
    <row r="27" spans="2:24" ht="13.8" x14ac:dyDescent="0.2">
      <c r="B27" s="8">
        <f t="shared" si="6"/>
      </c>
      <c r="C27" s="10">
        <v>22</v>
      </c>
      <c r="D27" t="s" s="13">
        <v>193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512</v>
      </c>
    </row>
    <row r="28" spans="2:24" ht="13.8" x14ac:dyDescent="0.2">
      <c r="B28" s="8">
        <f t="shared" si="6"/>
      </c>
      <c r="C28" s="10">
        <v>23</v>
      </c>
      <c r="D28" t="s" s="13">
        <v>71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513</v>
      </c>
    </row>
    <row r="29" spans="2:24" ht="13.8" x14ac:dyDescent="0.2">
      <c r="B29" s="8">
        <f t="shared" si="6"/>
      </c>
      <c r="C29" s="10">
        <v>24</v>
      </c>
      <c r="D29" t="s" s="13">
        <v>788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782</v>
      </c>
    </row>
    <row r="30" spans="2:24" ht="13.8" x14ac:dyDescent="0.2">
      <c r="B30" s="8">
        <f t="shared" si="6"/>
      </c>
      <c r="C30" s="10">
        <v>25</v>
      </c>
      <c r="D30" t="s" s="13">
        <v>1523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467</v>
      </c>
    </row>
    <row r="31" spans="2:24" ht="13.8" x14ac:dyDescent="0.2">
      <c r="B31" s="8">
        <f t="shared" si="6"/>
      </c>
      <c r="C31" s="10">
        <v>26</v>
      </c>
      <c r="D31" t="s" s="13">
        <v>708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1590</v>
      </c>
    </row>
    <row r="32" spans="2:24" ht="13.8" x14ac:dyDescent="0.2">
      <c r="B32" s="8">
        <f t="shared" si="6"/>
      </c>
      <c r="C32" s="10">
        <v>27</v>
      </c>
      <c r="D32" t="s" s="13">
        <v>1524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1591</v>
      </c>
    </row>
    <row r="33" spans="2:24" ht="13.8" x14ac:dyDescent="0.2">
      <c r="B33" s="8">
        <f t="shared" si="6"/>
      </c>
      <c r="C33" s="10">
        <v>28</v>
      </c>
      <c r="D33" t="s" s="13">
        <v>1525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1969</v>
      </c>
    </row>
    <row r="34" spans="2:24" ht="13.8" x14ac:dyDescent="0.2">
      <c r="B34" s="8">
        <f t="shared" si="6"/>
      </c>
      <c r="C34" s="10">
        <v>29</v>
      </c>
      <c r="D34" t="s" s="13">
        <v>1292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514</v>
      </c>
    </row>
    <row r="35" spans="2:24" ht="13.8" x14ac:dyDescent="0.2">
      <c r="B35" s="8">
        <f t="shared" si="6"/>
      </c>
      <c r="C35" s="10">
        <v>30</v>
      </c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>
        <v>31</v>
      </c>
      <c r="D36" t="s" s="13">
        <v>789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783</v>
      </c>
    </row>
    <row r="37" spans="2:24" ht="13.8" x14ac:dyDescent="0.2">
      <c r="B37" s="8">
        <f t="shared" si="6"/>
      </c>
      <c r="C37" s="10">
        <v>32</v>
      </c>
      <c r="D37" t="s" s="13">
        <v>94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516</v>
      </c>
    </row>
    <row r="38" spans="2:24" ht="13.8" x14ac:dyDescent="0.2">
      <c r="B38" s="8">
        <f t="shared" si="6"/>
      </c>
      <c r="C38" s="10">
        <v>33</v>
      </c>
      <c r="D38" t="s" s="13">
        <v>1526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1592</v>
      </c>
    </row>
    <row r="39" spans="2:24" ht="13.8" x14ac:dyDescent="0.2">
      <c r="B39" s="8">
        <f t="shared" si="6"/>
      </c>
      <c r="C39" s="10">
        <v>34</v>
      </c>
      <c r="D39" t="s" s="13">
        <v>1527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1593</v>
      </c>
    </row>
    <row r="40" spans="2:24" ht="13.8" x14ac:dyDescent="0.2">
      <c r="B40" s="8">
        <f t="shared" si="6"/>
      </c>
      <c r="C40" s="10">
        <v>35</v>
      </c>
      <c r="D40" t="s" s="13">
        <v>194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1970</v>
      </c>
    </row>
    <row r="41" spans="2:24" ht="13.8" x14ac:dyDescent="0.2">
      <c r="B41" s="8">
        <f t="shared" si="6"/>
      </c>
      <c r="C41" s="10">
        <v>36</v>
      </c>
      <c r="D41" t="s" s="13">
        <v>1528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1594</v>
      </c>
    </row>
    <row r="42" spans="2:24" ht="13.8" x14ac:dyDescent="0.2">
      <c r="B42" s="8">
        <f t="shared" si="6"/>
      </c>
      <c r="C42" s="10">
        <v>37</v>
      </c>
      <c r="D42" t="s" s="13">
        <v>1529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1529</v>
      </c>
    </row>
    <row r="43" spans="2:24" ht="13.8" x14ac:dyDescent="0.2">
      <c r="B43" s="8">
        <f t="shared" si="6"/>
      </c>
      <c r="C43" s="10">
        <v>38</v>
      </c>
      <c r="D43" t="s" s="13">
        <v>1530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1595</v>
      </c>
    </row>
    <row r="44" spans="2:24" ht="13.8" x14ac:dyDescent="0.2">
      <c r="B44" s="8">
        <f t="shared" si="6"/>
      </c>
      <c r="C44" s="10">
        <v>39</v>
      </c>
      <c r="D44" t="s" s="13">
        <v>195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519</v>
      </c>
    </row>
    <row r="45" spans="2:24" ht="13.8" x14ac:dyDescent="0.2">
      <c r="B45" s="8">
        <f t="shared" si="6"/>
      </c>
      <c r="C45" s="10">
        <v>40</v>
      </c>
      <c r="D45" t="s" s="13">
        <v>1670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520</v>
      </c>
    </row>
    <row r="46" spans="2:24" ht="13.8" x14ac:dyDescent="0.2">
      <c r="B46" s="8">
        <f t="shared" si="6"/>
      </c>
      <c r="C46" s="10">
        <v>41</v>
      </c>
      <c r="D46" t="s" s="13">
        <v>1531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1596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>
        <v>43</v>
      </c>
      <c r="D48" t="s" s="13">
        <v>1330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521</v>
      </c>
    </row>
    <row r="49" spans="2:24" ht="13.8" x14ac:dyDescent="0.2">
      <c r="B49" s="8">
        <f t="shared" si="6"/>
      </c>
      <c r="C49" s="10">
        <v>44</v>
      </c>
      <c r="D49" t="s" s="13">
        <v>196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522</v>
      </c>
    </row>
    <row r="50" spans="2:24" ht="13.8" x14ac:dyDescent="0.2">
      <c r="B50" s="8">
        <f t="shared" si="6"/>
      </c>
      <c r="C50" s="10">
        <v>45</v>
      </c>
      <c r="D50" t="s" s="13">
        <v>58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67</v>
      </c>
    </row>
    <row r="51" spans="2:24" ht="13.8" x14ac:dyDescent="0.2">
      <c r="B51" s="8">
        <f t="shared" si="6"/>
      </c>
      <c r="C51" s="10">
        <v>46</v>
      </c>
      <c r="D51" t="s" s="13">
        <v>197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198</v>
      </c>
    </row>
    <row r="52" spans="2:24" ht="13.8" x14ac:dyDescent="0.2">
      <c r="B52" s="8">
        <f t="shared" si="6"/>
      </c>
      <c r="C52" s="10">
        <v>47</v>
      </c>
      <c r="D52" t="s" s="13">
        <v>1532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1597</v>
      </c>
    </row>
    <row r="53" spans="2:24" ht="13.8" x14ac:dyDescent="0.2">
      <c r="B53" s="8">
        <f t="shared" si="6"/>
      </c>
      <c r="C53" s="10">
        <v>48</v>
      </c>
      <c r="D53" t="s" s="13">
        <v>1533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784</v>
      </c>
    </row>
    <row r="54" spans="2:24" ht="13.8" x14ac:dyDescent="0.2">
      <c r="B54" s="8">
        <f t="shared" si="6"/>
      </c>
      <c r="C54" s="10">
        <v>49</v>
      </c>
      <c r="D54" t="s" s="13">
        <v>1534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1598</v>
      </c>
    </row>
    <row r="55" spans="2:24" ht="13.8" x14ac:dyDescent="0.2">
      <c r="B55" s="8">
        <f t="shared" si="6"/>
      </c>
      <c r="C55" s="10">
        <v>50</v>
      </c>
      <c r="D55" t="s" s="13">
        <v>72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523</v>
      </c>
    </row>
    <row r="56" spans="2:24" ht="13.8" x14ac:dyDescent="0.2">
      <c r="B56" s="8">
        <f t="shared" si="6"/>
      </c>
      <c r="C56" s="10">
        <v>51</v>
      </c>
      <c r="D56" t="s" s="13">
        <v>1450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524</v>
      </c>
    </row>
    <row r="57" spans="2:24" ht="13.8" x14ac:dyDescent="0.2">
      <c r="B57" s="8">
        <f t="shared" si="6"/>
      </c>
      <c r="C57" s="10">
        <v>52</v>
      </c>
      <c r="D57" t="s" s="13">
        <v>96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96</v>
      </c>
    </row>
    <row r="58" spans="2:24" ht="13.8" x14ac:dyDescent="0.2">
      <c r="B58" s="8">
        <f t="shared" si="6"/>
      </c>
      <c r="C58" s="10">
        <v>53</v>
      </c>
      <c r="D58" t="s" s="13">
        <v>1535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1599</v>
      </c>
    </row>
    <row r="59" spans="2:24" ht="13.8" x14ac:dyDescent="0.2">
      <c r="B59" s="8">
        <f t="shared" si="6"/>
      </c>
      <c r="C59" s="10">
        <v>54</v>
      </c>
      <c r="D59" t="s" s="13">
        <v>1179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1971</v>
      </c>
    </row>
    <row r="60" spans="2:24" ht="13.8" x14ac:dyDescent="0.2">
      <c r="B60" s="8">
        <f t="shared" si="6"/>
      </c>
      <c r="C60" s="10">
        <v>55</v>
      </c>
      <c r="D60" t="s" s="13">
        <v>1685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526</v>
      </c>
    </row>
    <row r="61" spans="2:24" ht="13.8" x14ac:dyDescent="0.2">
      <c r="B61" s="8">
        <f t="shared" si="6"/>
      </c>
      <c r="C61" s="10">
        <v>56</v>
      </c>
      <c r="D61" t="s" s="13">
        <v>74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527</v>
      </c>
    </row>
    <row r="62" spans="2:24" ht="13.8" x14ac:dyDescent="0.2">
      <c r="B62" s="8">
        <f t="shared" si="6"/>
      </c>
      <c r="C62" s="10">
        <v>57</v>
      </c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>
        <v>58</v>
      </c>
      <c r="D63" t="s" s="13">
        <v>1541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785</v>
      </c>
    </row>
    <row r="64" spans="2:24" ht="13.8" x14ac:dyDescent="0.2">
      <c r="B64" s="8">
        <f t="shared" si="6"/>
      </c>
      <c r="C64" s="10">
        <v>59</v>
      </c>
      <c r="D64" t="s" s="13">
        <v>1536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1600</v>
      </c>
    </row>
    <row r="65" spans="2:24" ht="13.8" x14ac:dyDescent="0.2">
      <c r="B65" s="8">
        <f t="shared" si="6"/>
      </c>
      <c r="C65" s="10">
        <v>60</v>
      </c>
      <c r="D65" t="s" s="13">
        <v>1537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1601</v>
      </c>
    </row>
    <row r="66" spans="2:24" ht="13.8" x14ac:dyDescent="0.2">
      <c r="B66" s="8">
        <f t="shared" si="6"/>
      </c>
      <c r="C66" s="10">
        <v>61</v>
      </c>
      <c r="D66" t="s" s="13">
        <v>1695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528</v>
      </c>
    </row>
    <row r="67" spans="2:24" ht="13.8" x14ac:dyDescent="0.2">
      <c r="B67" s="8">
        <f t="shared" si="6"/>
      </c>
      <c r="C67" s="10">
        <v>62</v>
      </c>
      <c r="D67" t="s" s="13">
        <v>95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529</v>
      </c>
    </row>
    <row r="68" spans="2:24" ht="13.8" x14ac:dyDescent="0.2">
      <c r="B68" s="8">
        <f t="shared" si="6"/>
      </c>
      <c r="C68" s="10">
        <v>63</v>
      </c>
      <c r="D68" t="s" s="9">
        <v>1538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1972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1539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1602</v>
      </c>
    </row>
    <row r="70" spans="2:24" ht="13.8" x14ac:dyDescent="0.2">
      <c r="B70" s="8">
        <f t="shared" si="10"/>
      </c>
      <c r="C70" s="10">
        <v>65</v>
      </c>
      <c r="D70" t="s" s="9">
        <v>1540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1603</v>
      </c>
    </row>
    <row r="71" spans="2:24" ht="13.8" x14ac:dyDescent="0.2">
      <c r="B71" s="8">
        <f t="shared" si="10"/>
      </c>
      <c r="C71" s="10">
        <v>66</v>
      </c>
      <c r="D71" t="s" s="13">
        <v>60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531</v>
      </c>
    </row>
    <row r="72" spans="2:24" ht="13.8" x14ac:dyDescent="0.2">
      <c r="B72" s="8">
        <f t="shared" si="10"/>
      </c>
      <c r="C72" s="10">
        <v>67</v>
      </c>
      <c r="D72" t="s" s="13">
        <v>75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532</v>
      </c>
    </row>
    <row r="73" spans="2:24" ht="13.8" x14ac:dyDescent="0.2">
      <c r="B73" s="8">
        <f t="shared" si="10"/>
      </c>
      <c r="C73" s="10">
        <v>68</v>
      </c>
      <c r="D73" t="s" s="13">
        <v>1541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1604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t="s" s="8">
        <v>1127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535</v>
      </c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t="s" s="9">
        <v>1389</v>
      </c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t="s" s="2">
        <v>780</v>
      </c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1973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1542</v>
      </c>
    </row>
    <row r="105" spans="2:24" ht="13.8" x14ac:dyDescent="0.2">
      <c r="B105" s="8">
        <f t="shared" si="10"/>
      </c>
      <c r="C105" s="10">
        <v>120</v>
      </c>
      <c r="D105" t="s" s="14">
        <v>1543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1605</v>
      </c>
    </row>
    <row r="106" spans="2:24" ht="13.8" x14ac:dyDescent="0.2">
      <c r="B106" s="8">
        <f t="shared" si="10"/>
      </c>
      <c r="C106" s="10">
        <v>121</v>
      </c>
      <c r="D106" t="s" s="9">
        <v>1544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1606</v>
      </c>
    </row>
    <row r="107" spans="2:24" ht="13.8" x14ac:dyDescent="0.2">
      <c r="B107" s="8">
        <f t="shared" si="10"/>
      </c>
      <c r="C107" s="10">
        <v>122</v>
      </c>
      <c r="D107" t="s" s="9">
        <v>1545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1607</v>
      </c>
    </row>
    <row r="108" spans="2:24" ht="13.8" x14ac:dyDescent="0.2">
      <c r="B108" s="8">
        <f t="shared" si="10"/>
      </c>
      <c r="C108" s="10">
        <v>123</v>
      </c>
      <c r="D108" t="s" s="9">
        <v>1546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1608</v>
      </c>
    </row>
    <row r="109" spans="2:24" ht="13.8" x14ac:dyDescent="0.2">
      <c r="B109" s="8">
        <f t="shared" si="10"/>
      </c>
      <c r="C109" s="10">
        <v>124</v>
      </c>
      <c r="D109" t="s" s="9">
        <v>1547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1609</v>
      </c>
    </row>
    <row r="110" spans="2:24" ht="13.8" x14ac:dyDescent="0.2">
      <c r="B110" s="8">
        <f t="shared" si="10"/>
      </c>
      <c r="C110" s="10">
        <v>125</v>
      </c>
      <c r="D110" t="s" s="9">
        <v>1548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1610</v>
      </c>
    </row>
    <row r="111" spans="2:24" ht="13.8" x14ac:dyDescent="0.2">
      <c r="B111" s="8">
        <f t="shared" si="10"/>
      </c>
      <c r="C111" s="10">
        <v>126</v>
      </c>
      <c r="D111" t="s" s="9">
        <v>1549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1611</v>
      </c>
    </row>
    <row r="112" spans="2:24" ht="13.8" x14ac:dyDescent="0.2">
      <c r="B112" s="8">
        <f t="shared" si="10"/>
      </c>
      <c r="C112" s="10">
        <v>127</v>
      </c>
      <c r="D112" t="s" s="9">
        <v>1550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1612</v>
      </c>
    </row>
    <row r="113" spans="2:24" ht="13.8" x14ac:dyDescent="0.2">
      <c r="B113" s="8">
        <f t="shared" si="10"/>
      </c>
      <c r="C113" s="10">
        <v>128</v>
      </c>
      <c r="D113" t="s" s="9">
        <v>1551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1613</v>
      </c>
    </row>
    <row r="114" spans="2:24" ht="13.8" x14ac:dyDescent="0.2">
      <c r="B114" s="8">
        <f t="shared" si="10"/>
      </c>
      <c r="C114" s="10">
        <v>129</v>
      </c>
      <c r="D114" t="s" s="9">
        <v>1552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1614</v>
      </c>
    </row>
    <row r="115" spans="2:24" ht="13.8" x14ac:dyDescent="0.2">
      <c r="B115" s="8">
        <f t="shared" si="10"/>
      </c>
      <c r="C115" s="10">
        <v>130</v>
      </c>
      <c r="D115" t="s" s="9">
        <v>1553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1615</v>
      </c>
    </row>
    <row r="116" spans="2:24" ht="13.8" x14ac:dyDescent="0.2">
      <c r="B116" s="8">
        <f t="shared" si="10"/>
      </c>
      <c r="C116" s="10">
        <v>131</v>
      </c>
      <c r="D116" t="s" s="9">
        <v>1554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1616</v>
      </c>
    </row>
    <row r="117" spans="2:24" ht="13.8" x14ac:dyDescent="0.2">
      <c r="B117" s="8">
        <f t="shared" si="10"/>
      </c>
      <c r="C117" s="10">
        <v>132</v>
      </c>
      <c r="D117" t="s" s="9">
        <v>1555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1617</v>
      </c>
    </row>
    <row r="118" spans="2:24" ht="13.8" x14ac:dyDescent="0.2">
      <c r="B118" s="8">
        <f t="shared" si="10"/>
      </c>
      <c r="C118" s="10">
        <v>133</v>
      </c>
      <c r="D118" t="s" s="9">
        <v>1465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1618</v>
      </c>
    </row>
    <row r="119" spans="2:24" ht="13.8" x14ac:dyDescent="0.2">
      <c r="B119" s="8">
        <f t="shared" si="10"/>
      </c>
      <c r="C119" s="10">
        <v>134</v>
      </c>
      <c r="D119" t="s" s="9">
        <v>1556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1619</v>
      </c>
    </row>
    <row r="120" spans="2:24" ht="13.8" x14ac:dyDescent="0.2">
      <c r="B120" s="8">
        <f t="shared" si="10"/>
      </c>
      <c r="C120" s="10">
        <v>135</v>
      </c>
      <c r="D120" t="s" s="9">
        <v>790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1974</v>
      </c>
    </row>
    <row r="121" spans="2:24" ht="13.8" x14ac:dyDescent="0.2">
      <c r="B121" s="8">
        <f t="shared" si="10"/>
      </c>
      <c r="C121" s="10">
        <v>136</v>
      </c>
      <c r="D121" t="s" s="9">
        <v>1399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1620</v>
      </c>
    </row>
    <row r="122" spans="2:24" ht="13.8" x14ac:dyDescent="0.2">
      <c r="B122" s="8">
        <f t="shared" si="10"/>
      </c>
      <c r="C122" s="10">
        <v>137</v>
      </c>
      <c r="D122" t="s" s="9">
        <v>1557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1621</v>
      </c>
    </row>
    <row r="123" spans="2:24" ht="13.8" x14ac:dyDescent="0.2">
      <c r="B123" s="8">
        <f t="shared" si="10"/>
      </c>
      <c r="C123" s="10">
        <v>138</v>
      </c>
      <c r="D123" t="s" s="9">
        <v>1558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515</v>
      </c>
    </row>
    <row r="124" spans="2:24" ht="13.8" x14ac:dyDescent="0.2">
      <c r="B124" s="8">
        <f t="shared" si="10"/>
      </c>
      <c r="C124" s="10">
        <v>139</v>
      </c>
      <c r="D124" t="s" s="9">
        <v>1559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1622</v>
      </c>
    </row>
    <row r="125" spans="2:24" ht="13.8" x14ac:dyDescent="0.2">
      <c r="B125" s="8">
        <f t="shared" si="10"/>
      </c>
      <c r="C125" s="10">
        <v>140</v>
      </c>
      <c r="D125" t="s" s="9">
        <v>1136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2">
        <v>1623</v>
      </c>
    </row>
    <row r="126" spans="2:24" ht="13.8" x14ac:dyDescent="0.2">
      <c r="B126" s="8">
        <f t="shared" si="10"/>
      </c>
      <c r="C126" s="10">
        <v>141</v>
      </c>
      <c r="D126" t="s" s="9">
        <v>1560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2">
        <v>1975</v>
      </c>
    </row>
    <row r="127" spans="2:24" ht="13.8" x14ac:dyDescent="0.2">
      <c r="B127" s="8">
        <f t="shared" si="10"/>
      </c>
      <c r="C127" s="10">
        <v>142</v>
      </c>
      <c r="D127" t="s" s="9">
        <v>1561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2">
        <v>1624</v>
      </c>
    </row>
    <row r="128" spans="2:24" ht="13.8" x14ac:dyDescent="0.2">
      <c r="B128" s="8">
        <f t="shared" si="10"/>
      </c>
      <c r="C128" s="10">
        <v>143</v>
      </c>
      <c r="D128" t="s" s="9">
        <v>1296</v>
      </c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2">
        <v>1625</v>
      </c>
    </row>
    <row r="129" spans="2:24" ht="13.8" x14ac:dyDescent="0.2">
      <c r="B129" s="8">
        <f t="shared" si="10"/>
      </c>
      <c r="C129" s="10">
        <v>144</v>
      </c>
      <c r="D129" t="s" s="9">
        <v>1562</v>
      </c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2">
        <v>1976</v>
      </c>
    </row>
    <row r="130" spans="2:24" ht="13.8" x14ac:dyDescent="0.2">
      <c r="B130" s="8">
        <f t="shared" si="10"/>
      </c>
      <c r="C130" s="10">
        <v>145</v>
      </c>
      <c r="D130" t="s" s="9">
        <v>1563</v>
      </c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2">
        <v>1563</v>
      </c>
    </row>
    <row r="131" spans="2:24" ht="13.8" x14ac:dyDescent="0.2">
      <c r="B131" s="8">
        <f t="shared" si="10"/>
      </c>
      <c r="C131" s="10">
        <v>146</v>
      </c>
      <c r="D131" t="s" s="9">
        <v>1540</v>
      </c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t="s" s="2">
        <v>1626</v>
      </c>
    </row>
    <row r="132" spans="2:24" ht="13.8" x14ac:dyDescent="0.2">
      <c r="B132" s="8">
        <f t="shared" si="10"/>
      </c>
      <c r="C132" s="10">
        <v>147</v>
      </c>
      <c r="D132" t="s" s="9">
        <v>791</v>
      </c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t="s" s="2">
        <v>1627</v>
      </c>
    </row>
    <row r="133" spans="2:24" ht="13.8" x14ac:dyDescent="0.2">
      <c r="B133" s="8">
        <f t="shared" ref="B133:B165" si="15">IF(C133="","",C133)</f>
      </c>
      <c r="C133" s="10">
        <v>148</v>
      </c>
      <c r="D133" t="s" s="9">
        <v>1564</v>
      </c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t="s" s="2">
        <v>1628</v>
      </c>
    </row>
    <row r="134" spans="2:24" ht="13.8" x14ac:dyDescent="0.2">
      <c r="B134" s="8">
        <f t="shared" si="15"/>
      </c>
      <c r="C134" s="10">
        <v>149</v>
      </c>
      <c r="D134" t="s" s="9">
        <v>1565</v>
      </c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t="s" s="2">
        <v>1629</v>
      </c>
    </row>
    <row r="135" spans="2:24" ht="13.8" x14ac:dyDescent="0.2">
      <c r="B135" s="8">
        <f t="shared" si="15"/>
      </c>
      <c r="C135" s="10">
        <v>150</v>
      </c>
      <c r="D135" t="s" s="9">
        <v>1566</v>
      </c>
      <c r="E135" s="11">
        <f t="shared" ref="E135:E140" si="17">IFERROR(IF(G135/F135=1,"1.00",G135/F135),"---")</f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</c>
      <c r="L135" s="7">
        <v>1</v>
      </c>
      <c r="M135" s="11">
        <f t="shared" ref="M135:M140" si="19">IFERROR(IF((G135+P135+Q135)/(F135+P135+Q135+S135)=1,"1.00",(G135+P135+Q135)/(F135+P135+Q135+S135)),0)</f>
      </c>
      <c r="N135" s="11">
        <f t="shared" ref="N135:N140" si="20">IFERROR(SUM(K135/F135,((G135+P135+Q135)/(F135+P135+Q135+S135))),M135)</f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>
        <f>IFERROR(CalcRC27(F135,G135,K135,O135,P135,Q135,R135,S135,T135,U135,V135),"-")</f>
      </c>
      <c r="X135" t="s" s="2">
        <v>1630</v>
      </c>
    </row>
    <row r="136" spans="2:24" ht="13.8" x14ac:dyDescent="0.2">
      <c r="B136" s="8">
        <f t="shared" si="15"/>
      </c>
      <c r="C136" s="10">
        <v>151</v>
      </c>
      <c r="D136" t="s" s="9">
        <v>792</v>
      </c>
      <c r="E136" s="11">
        <f t="shared" si="17"/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</c>
      <c r="L136" s="7">
        <v>2</v>
      </c>
      <c r="M136" s="11">
        <f t="shared" si="19"/>
      </c>
      <c r="N136" s="11">
        <f t="shared" si="20"/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>
        <f>IFERROR(CalcRC27(F136,G136,K136,O136,P136,Q136,R136,S136,T136,U136,V136),"-")</f>
      </c>
      <c r="X136" t="s" s="2">
        <v>1631</v>
      </c>
    </row>
    <row r="137" spans="2:24" ht="13.8" x14ac:dyDescent="0.2">
      <c r="B137" s="8">
        <f t="shared" si="15"/>
      </c>
      <c r="C137" s="10">
        <v>152</v>
      </c>
      <c r="D137" t="s" s="9">
        <v>1567</v>
      </c>
      <c r="E137" s="11">
        <f t="shared" si="17"/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</c>
      <c r="L137" s="7">
        <v>3</v>
      </c>
      <c r="M137" s="11">
        <f t="shared" si="19"/>
      </c>
      <c r="N137" s="11">
        <f t="shared" si="20"/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>
        <f>IFERROR(CalcRC27(F137,G137,K137,O137,P137,Q137,R137,S137,T137,U137,V137),"-")</f>
      </c>
      <c r="X137" t="s" s="2">
        <v>1632</v>
      </c>
    </row>
    <row r="138" spans="2:24" ht="13.8" x14ac:dyDescent="0.2">
      <c r="B138" s="8">
        <f t="shared" si="15"/>
      </c>
      <c r="C138" s="10">
        <v>153</v>
      </c>
      <c r="D138" t="s" s="9">
        <v>1568</v>
      </c>
      <c r="E138" s="11">
        <f t="shared" si="17"/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</c>
      <c r="L138" s="7">
        <v>4</v>
      </c>
      <c r="M138" s="11">
        <f t="shared" si="19"/>
      </c>
      <c r="N138" s="11">
        <f t="shared" si="20"/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>
        <f>IFERROR(CalcRC27(F138,G138,K138,O138,P138,Q138,R138,S138,T138,U138,V138),"-")</f>
      </c>
      <c r="X138" t="s" s="2">
        <v>1633</v>
      </c>
    </row>
    <row r="139" spans="2:24" ht="13.8" x14ac:dyDescent="0.2">
      <c r="B139" s="8">
        <f t="shared" si="15"/>
      </c>
      <c r="C139" s="10">
        <v>154</v>
      </c>
      <c r="D139" t="s" s="9">
        <v>1569</v>
      </c>
      <c r="E139" s="11">
        <f t="shared" si="17"/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</c>
      <c r="L139" s="7">
        <v>5</v>
      </c>
      <c r="M139" s="11">
        <f t="shared" si="19"/>
      </c>
      <c r="N139" s="11">
        <f t="shared" si="20"/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>
        <f>IFERROR(CalcRC27(F139,G139,K139,O139,P139,Q139,R139,S139,T139,U139,V139),"-")</f>
      </c>
      <c r="X139" t="s" s="2">
        <v>1634</v>
      </c>
    </row>
    <row r="140" spans="2:24" ht="13.8" x14ac:dyDescent="0.2">
      <c r="B140" s="8">
        <f t="shared" si="15"/>
      </c>
      <c r="C140" s="10">
        <v>155</v>
      </c>
      <c r="D140" t="s" s="9">
        <v>1570</v>
      </c>
      <c r="E140" s="11">
        <f t="shared" si="17"/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</c>
      <c r="L140" s="7">
        <v>6</v>
      </c>
      <c r="M140" s="11">
        <f t="shared" si="19"/>
      </c>
      <c r="N140" s="11">
        <f t="shared" si="20"/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>
        <f>IFERROR(CalcRC27(F140,G140,K140,O140,P140,Q140,R140,S140,T140,U140,V140),"-")</f>
      </c>
      <c r="X140" t="s" s="2">
        <v>1635</v>
      </c>
    </row>
    <row r="141" spans="2:24" ht="13.8" x14ac:dyDescent="0.2">
      <c r="B141" s="8">
        <f t="shared" si="15"/>
      </c>
      <c r="C141" s="10">
        <v>156</v>
      </c>
      <c r="D141" t="s" s="9">
        <v>1222</v>
      </c>
      <c r="E141" s="11">
        <f t="shared" ref="E141:E165" si="21">IFERROR(IF(G141/F141=1,"1.00",G141/F141),"---")</f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</c>
      <c r="L141" s="7">
        <v>7</v>
      </c>
      <c r="M141" s="11">
        <f t="shared" ref="M141:M165" si="23">IFERROR(IF((G141+P141+Q141)/(F141+P141+Q141+S141)=1,"1.00",(G141+P141+Q141)/(F141+P141+Q141+S141)),0)</f>
      </c>
      <c r="N141" s="11">
        <f t="shared" ref="N141:N165" si="24">IFERROR(SUM(K141/F141,((G141+P141+Q141)/(F141+P141+Q141+S141))),M141)</f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>
        <f>IFERROR(CalcRC27(F141,G141,K141,O141,P141,Q141,R141,S141,T141,U141,V141),"-")</f>
      </c>
      <c r="X141" t="s" s="2">
        <v>1977</v>
      </c>
    </row>
    <row r="142" spans="2:24" ht="13.8" x14ac:dyDescent="0.2">
      <c r="B142" s="8">
        <f t="shared" si="15"/>
      </c>
      <c r="C142" s="10">
        <v>157</v>
      </c>
      <c r="D142" t="s" s="9">
        <v>1571</v>
      </c>
      <c r="E142" s="11">
        <f t="shared" si="21"/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</c>
      <c r="L142" s="7">
        <v>8</v>
      </c>
      <c r="M142" s="11">
        <f t="shared" si="23"/>
      </c>
      <c r="N142" s="11">
        <f t="shared" si="24"/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>
        <f>IFERROR(CalcRC27(F142,G142,K142,O142,P142,Q142,R142,S142,T142,U142,V142),"-")</f>
      </c>
      <c r="X142" t="s" s="2">
        <v>534</v>
      </c>
    </row>
    <row r="143" spans="2:24" ht="13.8" x14ac:dyDescent="0.2">
      <c r="B143" s="8">
        <f t="shared" si="15"/>
      </c>
      <c r="C143" s="10">
        <v>158</v>
      </c>
      <c r="D143" t="s" s="9">
        <v>1288</v>
      </c>
      <c r="E143" s="11">
        <f t="shared" si="21"/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</c>
      <c r="L143" s="7">
        <v>9</v>
      </c>
      <c r="M143" s="11">
        <f t="shared" si="23"/>
      </c>
      <c r="N143" s="11">
        <f t="shared" si="24"/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>
        <f>IFERROR(CalcRC27(F143,G143,K143,O143,P143,Q143,R143,S143,T143,U143,V143),"-")</f>
      </c>
      <c r="X143" t="s" s="2">
        <v>1636</v>
      </c>
    </row>
    <row r="144" spans="2:24" ht="13.8" x14ac:dyDescent="0.2">
      <c r="B144" s="8">
        <f t="shared" si="15"/>
      </c>
      <c r="C144" s="10">
        <v>159</v>
      </c>
      <c r="D144" t="s" s="9">
        <v>1291</v>
      </c>
      <c r="E144" s="11">
        <f t="shared" si="21"/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</c>
      <c r="L144" s="7">
        <v>10</v>
      </c>
      <c r="M144" s="11">
        <f t="shared" si="23"/>
      </c>
      <c r="N144" s="11">
        <f t="shared" si="24"/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>
        <f>IFERROR(CalcRC27(F144,G144,K144,O144,P144,Q144,R144,S144,T144,U144,V144),"-")</f>
      </c>
      <c r="X144" t="s" s="2">
        <v>1637</v>
      </c>
    </row>
    <row r="145" spans="2:24" ht="13.8" x14ac:dyDescent="0.2">
      <c r="B145" s="8">
        <f t="shared" si="15"/>
      </c>
      <c r="C145" s="10">
        <v>160</v>
      </c>
      <c r="D145" t="s" s="9">
        <v>1572</v>
      </c>
      <c r="E145" s="11">
        <f t="shared" si="21"/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</c>
      <c r="L145" s="7">
        <v>11</v>
      </c>
      <c r="M145" s="11">
        <f t="shared" si="23"/>
      </c>
      <c r="N145" s="11">
        <f t="shared" si="24"/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>
        <f>IFERROR(CalcRC27(F145,G145,K145,O145,P145,Q145,R145,S145,T145,U145,V145),"-")</f>
      </c>
      <c r="X145" t="s" s="2">
        <v>1638</v>
      </c>
    </row>
    <row r="146" spans="2:24" ht="13.8" x14ac:dyDescent="0.2">
      <c r="B146" s="8">
        <f t="shared" si="15"/>
      </c>
      <c r="C146" s="10">
        <v>161</v>
      </c>
      <c r="D146" t="s" s="9">
        <v>1573</v>
      </c>
      <c r="E146" s="11">
        <f t="shared" si="21"/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</c>
      <c r="L146" s="7">
        <v>12</v>
      </c>
      <c r="M146" s="11">
        <f t="shared" si="23"/>
      </c>
      <c r="N146" s="11">
        <f t="shared" si="24"/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>
        <f>IFERROR(CalcRC27(F146,G146,K146,O146,P146,Q146,R146,S146,T146,U146,V146),"-")</f>
      </c>
      <c r="X146" t="s" s="2">
        <v>1639</v>
      </c>
    </row>
    <row r="147" spans="2:24" ht="13.8" x14ac:dyDescent="0.2">
      <c r="B147" s="8">
        <f t="shared" si="15"/>
      </c>
      <c r="C147" s="10">
        <v>162</v>
      </c>
      <c r="D147" t="s" s="9">
        <v>1574</v>
      </c>
      <c r="E147" s="11">
        <f t="shared" si="21"/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</c>
      <c r="L147" s="7">
        <v>13</v>
      </c>
      <c r="M147" s="11">
        <f t="shared" si="23"/>
      </c>
      <c r="N147" s="11">
        <f t="shared" si="24"/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>
        <f>IFERROR(CalcRC27(F147,G147,K147,O147,P147,Q147,R147,S147,T147,U147,V147),"-")</f>
      </c>
      <c r="X147" t="s" s="2">
        <v>1640</v>
      </c>
    </row>
    <row r="148" spans="2:24" ht="13.8" x14ac:dyDescent="0.2">
      <c r="B148" s="8">
        <f t="shared" si="15"/>
      </c>
      <c r="C148" s="10">
        <v>163</v>
      </c>
      <c r="D148" t="s" s="9">
        <v>1323</v>
      </c>
      <c r="E148" s="11">
        <f t="shared" si="21"/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</c>
      <c r="L148" s="7">
        <v>14</v>
      </c>
      <c r="M148" s="11">
        <f t="shared" si="23"/>
      </c>
      <c r="N148" s="11">
        <f t="shared" si="24"/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>
        <f>IFERROR(CalcRC27(F148,G148,K148,O148,P148,Q148,R148,S148,T148,U148,V148),"-")</f>
      </c>
      <c r="X148" t="s" s="2">
        <v>1641</v>
      </c>
    </row>
    <row r="149" spans="2:24" ht="13.8" x14ac:dyDescent="0.2">
      <c r="B149" s="8">
        <f t="shared" si="15"/>
      </c>
      <c r="C149" s="10">
        <v>164</v>
      </c>
      <c r="D149" t="s" s="9">
        <v>1575</v>
      </c>
      <c r="E149" s="11">
        <f t="shared" si="21"/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</c>
      <c r="L149" s="7">
        <v>15</v>
      </c>
      <c r="M149" s="11">
        <f t="shared" si="23"/>
      </c>
      <c r="N149" s="11">
        <f t="shared" si="24"/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>
        <f>IFERROR(CalcRC27(F149,G149,K149,O149,P149,Q149,R149,S149,T149,U149,V149),"-")</f>
      </c>
      <c r="X149" t="s" s="2">
        <v>1642</v>
      </c>
    </row>
    <row r="150" spans="2:24" ht="13.8" x14ac:dyDescent="0.2">
      <c r="B150" s="8">
        <f t="shared" si="15"/>
      </c>
      <c r="C150" s="10">
        <v>165</v>
      </c>
      <c r="D150" t="s" s="9">
        <v>1576</v>
      </c>
      <c r="E150" s="11">
        <f t="shared" si="21"/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</c>
      <c r="L150" s="7">
        <v>16</v>
      </c>
      <c r="M150" s="11">
        <f t="shared" si="23"/>
      </c>
      <c r="N150" s="11">
        <f t="shared" si="24"/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>
        <f>IFERROR(CalcRC27(F150,G150,K150,O150,P150,Q150,R150,S150,T150,U150,V150),"-")</f>
      </c>
      <c r="X150" t="s" s="2">
        <v>1643</v>
      </c>
    </row>
    <row r="151" spans="2:24" ht="13.8" x14ac:dyDescent="0.2">
      <c r="B151" s="8">
        <f t="shared" si="15"/>
      </c>
      <c r="C151" s="10">
        <v>166</v>
      </c>
      <c r="D151" t="s" s="9">
        <v>1577</v>
      </c>
      <c r="E151" s="11">
        <f t="shared" si="21"/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</c>
      <c r="L151" s="7">
        <v>17</v>
      </c>
      <c r="M151" s="11">
        <f t="shared" si="23"/>
      </c>
      <c r="N151" s="11">
        <f t="shared" si="24"/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3">
        <f>IFERROR(CalcRC27(F151,G151,K151,O151,P151,Q151,R151,S151,T151,U151,V151),"-")</f>
      </c>
      <c r="X151" t="s" s="2">
        <v>1644</v>
      </c>
    </row>
    <row r="152" spans="2:24" ht="13.8" x14ac:dyDescent="0.2">
      <c r="B152" s="8">
        <f t="shared" si="15"/>
      </c>
      <c r="C152" s="10">
        <v>167</v>
      </c>
      <c r="D152" t="s" s="9">
        <v>1578</v>
      </c>
      <c r="E152" s="11">
        <f t="shared" si="21"/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</c>
      <c r="L152" s="7">
        <v>18</v>
      </c>
      <c r="M152" s="11">
        <f t="shared" si="23"/>
      </c>
      <c r="N152" s="11">
        <f t="shared" si="24"/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3">
        <f>IFERROR(CalcRC27(F152,G152,K152,O152,P152,Q152,R152,S152,T152,U152,V152),"-")</f>
      </c>
      <c r="X152" t="s" s="2">
        <v>1645</v>
      </c>
    </row>
    <row r="153" spans="2:24" ht="13.8" x14ac:dyDescent="0.2">
      <c r="B153" s="8">
        <f t="shared" si="15"/>
      </c>
      <c r="C153" s="10">
        <v>168</v>
      </c>
      <c r="D153" t="s" s="9">
        <v>1579</v>
      </c>
      <c r="E153" s="11">
        <f t="shared" si="21"/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</c>
      <c r="L153" s="7">
        <v>19</v>
      </c>
      <c r="M153" s="11">
        <f t="shared" si="23"/>
      </c>
      <c r="N153" s="11">
        <f t="shared" si="24"/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3">
        <f>IFERROR(CalcRC27(F153,G153,K153,O153,P153,Q153,R153,S153,T153,U153,V153),"-")</f>
      </c>
      <c r="X153" t="s" s="2">
        <v>1646</v>
      </c>
    </row>
    <row r="154" spans="2:24" ht="13.8" x14ac:dyDescent="0.2">
      <c r="B154" s="8">
        <f t="shared" si="15"/>
      </c>
      <c r="C154" s="10">
        <v>169</v>
      </c>
      <c r="D154" t="s" s="9">
        <v>1580</v>
      </c>
      <c r="E154" s="11">
        <f t="shared" si="21"/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</c>
      <c r="L154" s="7">
        <v>20</v>
      </c>
      <c r="M154" s="11">
        <f t="shared" si="23"/>
      </c>
      <c r="N154" s="11">
        <f t="shared" si="24"/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3">
        <f>IFERROR(CalcRC27(F154,G154,K154,O154,P154,Q154,R154,S154,T154,U154,V154),"-")</f>
      </c>
      <c r="X154" t="s" s="2">
        <v>1647</v>
      </c>
    </row>
    <row r="155" spans="2:24" ht="13.8" x14ac:dyDescent="0.2">
      <c r="B155" s="8">
        <f t="shared" si="15"/>
      </c>
      <c r="C155" s="10">
        <v>170</v>
      </c>
      <c r="D155" t="s" s="9">
        <v>1581</v>
      </c>
      <c r="E155" s="11">
        <f t="shared" si="21"/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</c>
      <c r="L155" s="7">
        <v>21</v>
      </c>
      <c r="M155" s="11">
        <f t="shared" si="23"/>
      </c>
      <c r="N155" s="11">
        <f t="shared" si="24"/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3">
        <f>IFERROR(CalcRC27(F155,G155,K155,O155,P155,Q155,R155,S155,T155,U155,V155),"-")</f>
      </c>
      <c r="X155" t="s" s="2">
        <v>1648</v>
      </c>
    </row>
    <row r="156" spans="2:24" ht="13.8" x14ac:dyDescent="0.2">
      <c r="B156" s="8">
        <f t="shared" si="15"/>
      </c>
      <c r="C156" s="10">
        <v>171</v>
      </c>
      <c r="D156" t="s" s="9">
        <v>1582</v>
      </c>
      <c r="E156" s="11">
        <f t="shared" si="21"/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</c>
      <c r="L156" s="7">
        <v>22</v>
      </c>
      <c r="M156" s="11">
        <f t="shared" si="23"/>
      </c>
      <c r="N156" s="11">
        <f t="shared" si="24"/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3">
        <f>IFERROR(CalcRC27(F156,G156,K156,O156,P156,Q156,R156,S156,T156,U156,V156),"-")</f>
      </c>
      <c r="X156" t="s" s="2">
        <v>1649</v>
      </c>
    </row>
    <row r="157" spans="2:24" ht="13.8" x14ac:dyDescent="0.2">
      <c r="B157" s="8">
        <f t="shared" si="15"/>
      </c>
      <c r="C157" s="10">
        <v>172</v>
      </c>
      <c r="D157" t="s" s="9">
        <v>1583</v>
      </c>
      <c r="E157" s="11">
        <f t="shared" si="21"/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</c>
      <c r="L157" s="7">
        <v>23</v>
      </c>
      <c r="M157" s="11">
        <f t="shared" si="23"/>
      </c>
      <c r="N157" s="11">
        <f t="shared" si="24"/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3">
        <f>IFERROR(CalcRC27(F157,G157,K157,O157,P157,Q157,R157,S157,T157,U157,V157),"-")</f>
      </c>
      <c r="X157" t="s" s="2">
        <v>1650</v>
      </c>
    </row>
    <row r="158" spans="2:24" ht="13.8" x14ac:dyDescent="0.2">
      <c r="B158" s="8">
        <f t="shared" si="15"/>
      </c>
      <c r="C158" s="10">
        <v>173</v>
      </c>
      <c r="D158" t="s" s="9">
        <v>1584</v>
      </c>
      <c r="E158" s="11">
        <f t="shared" si="21"/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</c>
      <c r="L158" s="7">
        <v>24</v>
      </c>
      <c r="M158" s="11">
        <f t="shared" si="23"/>
      </c>
      <c r="N158" s="11">
        <f t="shared" si="24"/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3">
        <f>IFERROR(CalcRC27(F158,G158,K158,O158,P158,Q158,R158,S158,T158,U158,V158),"-")</f>
      </c>
      <c r="X158" t="s" s="2">
        <v>1978</v>
      </c>
    </row>
    <row r="159" spans="2:24" ht="13.8" x14ac:dyDescent="0.2">
      <c r="B159" s="8">
        <f t="shared" si="15"/>
      </c>
      <c r="C159" s="10">
        <v>174</v>
      </c>
      <c r="D159" t="s" s="9">
        <v>1585</v>
      </c>
      <c r="E159" s="11">
        <f t="shared" si="21"/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</c>
      <c r="L159" s="7">
        <v>25</v>
      </c>
      <c r="M159" s="11">
        <f t="shared" si="23"/>
      </c>
      <c r="N159" s="11">
        <f t="shared" si="24"/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3">
        <f>IFERROR(CalcRC27(F159,G159,K159,O159,P159,Q159,R159,S159,T159,U159,V159),"-")</f>
      </c>
      <c r="X159" t="s" s="2">
        <v>1651</v>
      </c>
    </row>
    <row r="160" spans="2:24" ht="13.8" x14ac:dyDescent="0.2">
      <c r="B160" s="8">
        <f t="shared" si="15"/>
      </c>
      <c r="C160" s="10">
        <v>175</v>
      </c>
      <c r="D160" t="s" s="9">
        <v>1586</v>
      </c>
      <c r="E160" s="11">
        <f t="shared" si="21"/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</c>
      <c r="L160" s="7">
        <v>26</v>
      </c>
      <c r="M160" s="11">
        <f t="shared" si="23"/>
      </c>
      <c r="N160" s="11">
        <f t="shared" si="24"/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3">
        <f>IFERROR(CalcRC27(F160,G160,K160,O160,P160,Q160,R160,S160,T160,U160,V160),"-")</f>
      </c>
      <c r="X160" t="s" s="2">
        <v>1979</v>
      </c>
    </row>
    <row r="161" spans="2:24" ht="13.8" x14ac:dyDescent="0.2">
      <c r="B161" s="8">
        <f t="shared" si="15"/>
      </c>
      <c r="C161" s="10">
        <v>176</v>
      </c>
      <c r="D161" t="s" s="9">
        <v>1587</v>
      </c>
      <c r="E161" s="11">
        <f t="shared" si="21"/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</c>
      <c r="L161" s="7">
        <v>27</v>
      </c>
      <c r="M161" s="11">
        <f t="shared" si="23"/>
      </c>
      <c r="N161" s="11">
        <f t="shared" si="24"/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3">
        <f>IFERROR(CalcRC27(F161,G161,K161,O161,P161,Q161,R161,S161,T161,U161,V161),"-")</f>
      </c>
      <c r="X161" t="s" s="2">
        <v>1980</v>
      </c>
    </row>
    <row r="162" spans="2:24" ht="13.8" x14ac:dyDescent="0.2">
      <c r="B162" s="8">
        <f t="shared" si="15"/>
      </c>
      <c r="C162" s="10"/>
      <c r="D162" s="9"/>
      <c r="E162" s="11">
        <f t="shared" si="21"/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</c>
      <c r="L162" s="7">
        <v>28</v>
      </c>
      <c r="M162" s="11">
        <f t="shared" si="23"/>
      </c>
      <c r="N162" s="11">
        <f t="shared" si="24"/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3">
        <f>IFERROR(CalcRC27(F162,G162,K162,O162,P162,Q162,R162,S162,T162,U162,V162),"-")</f>
      </c>
      <c r="X162" s="2"/>
    </row>
    <row r="163" spans="2:24" ht="13.8" x14ac:dyDescent="0.2">
      <c r="B163" s="8">
        <f t="shared" si="15"/>
      </c>
      <c r="C163" s="10"/>
      <c r="D163" s="9"/>
      <c r="E163" s="11">
        <f t="shared" si="21"/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</c>
      <c r="L163" s="7">
        <v>29</v>
      </c>
      <c r="M163" s="11">
        <f t="shared" si="23"/>
      </c>
      <c r="N163" s="11">
        <f t="shared" si="24"/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3">
        <f>IFERROR(CalcRC27(F163,G163,K163,O163,P163,Q163,R163,S163,T163,U163,V163),"-")</f>
      </c>
      <c r="X163" s="2"/>
    </row>
    <row r="164" spans="2:24" ht="13.8" x14ac:dyDescent="0.2">
      <c r="B164" s="8">
        <f t="shared" si="15"/>
      </c>
      <c r="C164" s="10"/>
      <c r="D164" s="9"/>
      <c r="E164" s="11">
        <f t="shared" si="21"/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</c>
      <c r="L164" s="7">
        <v>30</v>
      </c>
      <c r="M164" s="11">
        <f t="shared" si="23"/>
      </c>
      <c r="N164" s="11">
        <f t="shared" si="24"/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3">
        <f>IFERROR(CalcRC27(F164,G164,K164,O164,P164,Q164,R164,S164,T164,U164,V164),"-")</f>
      </c>
      <c r="X164" s="2"/>
    </row>
    <row r="165" spans="2:24" ht="13.8" x14ac:dyDescent="0.2">
      <c r="B165" s="8">
        <f t="shared" si="15"/>
      </c>
      <c r="C165" s="10"/>
      <c r="D165" s="9"/>
      <c r="E165" s="11">
        <f t="shared" si="21"/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</c>
      <c r="L165" s="7">
        <v>31</v>
      </c>
      <c r="M165" s="11">
        <f t="shared" si="23"/>
      </c>
      <c r="N165" s="11">
        <f t="shared" si="24"/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3">
        <f>IFERROR(CalcRC27(F165,G165,K165,O165,P165,Q165,R165,S165,T165,U165,V165),"-")</f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1734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1981</v>
      </c>
    </row>
    <row r="5" spans="2:24" ht="13.8" x14ac:dyDescent="0.2">
      <c r="B5" s="8">
        <f t="shared" ref="B5:B68" si="6">IF(C5="","",C5)</f>
      </c>
      <c r="C5" s="10">
        <v>0</v>
      </c>
      <c r="D5" t="s" s="13">
        <v>1735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1699</v>
      </c>
    </row>
    <row r="6" spans="2:24" ht="13.8" x14ac:dyDescent="0.2">
      <c r="B6" s="8">
        <f t="shared" si="6"/>
      </c>
      <c r="C6" s="10">
        <v>1</v>
      </c>
      <c r="D6" t="s" s="13">
        <v>77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465</v>
      </c>
    </row>
    <row r="7" spans="2:24" ht="13.8" x14ac:dyDescent="0.2">
      <c r="B7" s="8">
        <f t="shared" si="6"/>
      </c>
      <c r="C7" s="10">
        <v>2</v>
      </c>
      <c r="D7" t="s" s="13">
        <v>1468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466</v>
      </c>
    </row>
    <row r="8" spans="2:24" ht="13.8" x14ac:dyDescent="0.2">
      <c r="B8" s="8">
        <f t="shared" si="6"/>
      </c>
      <c r="C8" s="10">
        <v>3</v>
      </c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>
        <v>4</v>
      </c>
      <c r="D9" t="s" s="13">
        <v>121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468</v>
      </c>
    </row>
    <row r="10" spans="2:24" ht="13.8" x14ac:dyDescent="0.2">
      <c r="B10" s="8">
        <f t="shared" si="6"/>
      </c>
      <c r="C10" s="10">
        <v>5</v>
      </c>
      <c r="D10" t="s" s="13">
        <v>78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469</v>
      </c>
    </row>
    <row r="11" spans="2:24" ht="13.8" x14ac:dyDescent="0.2">
      <c r="B11" s="8">
        <f t="shared" si="6"/>
      </c>
      <c r="C11" s="10">
        <v>6</v>
      </c>
      <c r="D11" t="s" s="13">
        <v>76</v>
      </c>
      <c r="E11" s="11">
        <f t="shared" si="2"/>
      </c>
      <c r="F11" s="5">
        <v>1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470</v>
      </c>
    </row>
    <row r="12" spans="2:24" ht="13.8" x14ac:dyDescent="0.2">
      <c r="B12" s="8">
        <f t="shared" si="6"/>
      </c>
      <c r="C12" s="10">
        <v>7</v>
      </c>
      <c r="D12" t="s" s="13">
        <v>61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471</v>
      </c>
    </row>
    <row r="13" spans="2:24" ht="13.8" x14ac:dyDescent="0.2">
      <c r="B13" s="8">
        <f t="shared" si="6"/>
      </c>
      <c r="C13" s="10">
        <v>8</v>
      </c>
      <c r="D13" t="s" s="13">
        <v>840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472</v>
      </c>
    </row>
    <row r="14" spans="2:24" ht="13.8" x14ac:dyDescent="0.2">
      <c r="B14" s="8">
        <f t="shared" si="6"/>
      </c>
      <c r="C14" s="10">
        <v>9</v>
      </c>
      <c r="D14" t="s" s="13">
        <v>1653</v>
      </c>
      <c r="E14" s="11">
        <f t="shared" si="2"/>
      </c>
      <c r="F14" s="5">
        <v>1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1700</v>
      </c>
    </row>
    <row r="15" spans="2:24" ht="13.8" x14ac:dyDescent="0.2">
      <c r="B15" s="8">
        <f t="shared" si="6"/>
      </c>
      <c r="C15" s="10">
        <v>10</v>
      </c>
      <c r="D15" t="s" s="13">
        <v>1654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1701</v>
      </c>
    </row>
    <row r="16" spans="2:24" ht="13.8" x14ac:dyDescent="0.2">
      <c r="B16" s="8">
        <f t="shared" si="6"/>
      </c>
      <c r="C16" s="10">
        <v>11</v>
      </c>
      <c r="D16" t="s" s="13">
        <v>1454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1702</v>
      </c>
    </row>
    <row r="17" spans="2:24" ht="13.8" x14ac:dyDescent="0.2">
      <c r="B17" s="8">
        <f t="shared" si="6"/>
      </c>
      <c r="C17" s="10">
        <v>12</v>
      </c>
      <c r="D17" t="s" s="13">
        <v>1389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119</v>
      </c>
    </row>
    <row r="18" spans="2:24" ht="13.8" x14ac:dyDescent="0.2">
      <c r="B18" s="8">
        <f t="shared" si="6"/>
      </c>
      <c r="C18" s="10">
        <v>13</v>
      </c>
      <c r="D18" t="s" s="13">
        <v>793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475</v>
      </c>
    </row>
    <row r="19" spans="2:24" ht="13.8" x14ac:dyDescent="0.2">
      <c r="B19" s="8">
        <f t="shared" si="6"/>
      </c>
      <c r="C19" s="10">
        <v>14</v>
      </c>
      <c r="D19" t="s" s="13">
        <v>1210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476</v>
      </c>
    </row>
    <row r="20" spans="2:24" ht="13.8" x14ac:dyDescent="0.2">
      <c r="B20" s="8">
        <f t="shared" si="6"/>
      </c>
      <c r="C20" s="10">
        <v>15</v>
      </c>
      <c r="D20" t="s" s="26">
        <v>1655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487</v>
      </c>
    </row>
    <row r="21" spans="2:24" ht="13.8" x14ac:dyDescent="0.2">
      <c r="B21" s="8">
        <f t="shared" si="6"/>
      </c>
      <c r="C21" s="10">
        <v>16</v>
      </c>
      <c r="D21" t="s" s="13">
        <v>800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794</v>
      </c>
    </row>
    <row r="22" spans="2:24" ht="13.8" x14ac:dyDescent="0.2">
      <c r="B22" s="8">
        <f t="shared" si="6"/>
      </c>
      <c r="C22" s="10">
        <v>17</v>
      </c>
      <c r="D22" t="s" s="13">
        <v>1319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477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>
        <v>19</v>
      </c>
      <c r="D24" t="s" s="13">
        <v>1656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795</v>
      </c>
    </row>
    <row r="25" spans="2:24" ht="13.8" x14ac:dyDescent="0.2">
      <c r="B25" s="8">
        <f t="shared" si="6"/>
      </c>
      <c r="C25" s="10">
        <v>20</v>
      </c>
      <c r="D25" t="s" s="13">
        <v>1657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120</v>
      </c>
    </row>
    <row r="26" spans="2:24" ht="13.8" x14ac:dyDescent="0.2">
      <c r="B26" s="8">
        <f t="shared" si="6"/>
      </c>
      <c r="C26" s="10">
        <v>21</v>
      </c>
      <c r="D26" t="s" s="13">
        <v>1658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1703</v>
      </c>
    </row>
    <row r="27" spans="2:24" ht="13.8" x14ac:dyDescent="0.2">
      <c r="B27" s="8">
        <f t="shared" si="6"/>
      </c>
      <c r="C27" s="10">
        <v>22</v>
      </c>
      <c r="D27" t="s" s="13">
        <v>1894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796</v>
      </c>
    </row>
    <row r="28" spans="2:24" ht="13.8" x14ac:dyDescent="0.2">
      <c r="B28" s="8">
        <f t="shared" si="6"/>
      </c>
      <c r="C28" s="10">
        <v>23</v>
      </c>
      <c r="D28" t="s" s="13">
        <v>1659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1704</v>
      </c>
    </row>
    <row r="29" spans="2:24" ht="13.8" x14ac:dyDescent="0.2">
      <c r="B29" s="8">
        <f t="shared" si="6"/>
      </c>
      <c r="C29" s="10">
        <v>24</v>
      </c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>
        <v>25</v>
      </c>
      <c r="D30" t="s" s="13">
        <v>16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479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1660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1705</v>
      </c>
    </row>
    <row r="33" spans="2:24" ht="13.8" x14ac:dyDescent="0.2">
      <c r="B33" s="8">
        <f t="shared" si="6"/>
      </c>
      <c r="C33" s="10">
        <v>28</v>
      </c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>
        <v>29</v>
      </c>
      <c r="D34" t="s" s="13">
        <v>1661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1706</v>
      </c>
    </row>
    <row r="35" spans="2:24" ht="13.8" x14ac:dyDescent="0.2">
      <c r="B35" s="8">
        <f t="shared" si="6"/>
      </c>
      <c r="C35" s="10">
        <v>30</v>
      </c>
      <c r="D35" t="s" s="13">
        <v>1662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1707</v>
      </c>
    </row>
    <row r="36" spans="2:24" ht="13.8" x14ac:dyDescent="0.2">
      <c r="B36" s="8">
        <f t="shared" si="6"/>
      </c>
      <c r="C36" s="10">
        <v>31</v>
      </c>
      <c r="D36" t="s" s="13">
        <v>801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797</v>
      </c>
    </row>
    <row r="37" spans="2:24" ht="13.8" x14ac:dyDescent="0.2">
      <c r="B37" s="8">
        <f t="shared" si="6"/>
      </c>
      <c r="C37" s="10">
        <v>32</v>
      </c>
      <c r="D37" t="s" s="13">
        <v>199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481</v>
      </c>
    </row>
    <row r="38" spans="2:24" ht="13.8" x14ac:dyDescent="0.2">
      <c r="B38" s="8">
        <f t="shared" si="6"/>
      </c>
      <c r="C38" s="10">
        <v>33</v>
      </c>
      <c r="D38" t="s" s="13">
        <v>1548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1708</v>
      </c>
    </row>
    <row r="39" spans="2:24" ht="13.8" x14ac:dyDescent="0.2">
      <c r="B39" s="8">
        <f t="shared" si="6"/>
      </c>
      <c r="C39" s="10">
        <v>34</v>
      </c>
      <c r="D39" t="s" s="13">
        <v>1663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510</v>
      </c>
    </row>
    <row r="40" spans="2:24" ht="13.8" x14ac:dyDescent="0.2">
      <c r="B40" s="8">
        <f t="shared" si="6"/>
      </c>
      <c r="C40" s="10">
        <v>35</v>
      </c>
      <c r="D40" t="s" s="13">
        <v>1077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482</v>
      </c>
    </row>
    <row r="41" spans="2:24" ht="13.8" x14ac:dyDescent="0.2">
      <c r="B41" s="8">
        <f t="shared" si="6"/>
      </c>
      <c r="C41" s="10">
        <v>36</v>
      </c>
      <c r="D41" t="s" s="13">
        <v>1664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1709</v>
      </c>
    </row>
    <row r="42" spans="2:24" ht="13.8" x14ac:dyDescent="0.2">
      <c r="B42" s="8">
        <f t="shared" si="6"/>
      </c>
      <c r="C42" s="10">
        <v>37</v>
      </c>
      <c r="D42" t="s" s="13">
        <v>123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483</v>
      </c>
    </row>
    <row r="43" spans="2:24" ht="13.8" x14ac:dyDescent="0.2">
      <c r="B43" s="8">
        <f t="shared" si="6"/>
      </c>
      <c r="C43" s="10">
        <v>38</v>
      </c>
      <c r="D43" t="s" s="13">
        <v>1665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1710</v>
      </c>
    </row>
    <row r="44" spans="2:24" ht="13.8" x14ac:dyDescent="0.2">
      <c r="B44" s="8">
        <f t="shared" si="6"/>
      </c>
      <c r="C44" s="10">
        <v>39</v>
      </c>
      <c r="D44" t="s" s="13">
        <v>62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485</v>
      </c>
    </row>
    <row r="45" spans="2:24" ht="13.8" x14ac:dyDescent="0.2">
      <c r="B45" s="8">
        <f t="shared" si="6"/>
      </c>
      <c r="C45" s="10">
        <v>40</v>
      </c>
      <c r="D45" t="s" s="13">
        <v>1666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478</v>
      </c>
    </row>
    <row r="46" spans="2:24" ht="13.8" x14ac:dyDescent="0.2">
      <c r="B46" s="8">
        <f t="shared" si="6"/>
      </c>
      <c r="C46" s="10">
        <v>41</v>
      </c>
      <c r="D46" t="s" s="13">
        <v>1667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1711</v>
      </c>
    </row>
    <row r="47" spans="2:24" ht="13.8" x14ac:dyDescent="0.2">
      <c r="B47" s="8">
        <f t="shared" si="6"/>
      </c>
      <c r="C47" s="10">
        <v>42</v>
      </c>
      <c r="D47" t="s" s="13">
        <v>1668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1712</v>
      </c>
    </row>
    <row r="48" spans="2:24" ht="13.8" x14ac:dyDescent="0.2">
      <c r="B48" s="8">
        <f t="shared" si="6"/>
      </c>
      <c r="C48" s="10">
        <v>43</v>
      </c>
      <c r="D48" t="s" s="13">
        <v>802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798</v>
      </c>
    </row>
    <row r="49" spans="2:24" ht="13.8" x14ac:dyDescent="0.2">
      <c r="B49" s="8">
        <f t="shared" si="6"/>
      </c>
      <c r="C49" s="10">
        <v>44</v>
      </c>
      <c r="D49" t="s" s="13">
        <v>1669</v>
      </c>
      <c r="E49" s="11">
        <f t="shared" si="2"/>
      </c>
      <c r="F49" s="5">
        <v>1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1982</v>
      </c>
    </row>
    <row r="50" spans="2:24" ht="13.8" x14ac:dyDescent="0.2">
      <c r="B50" s="8">
        <f t="shared" si="6"/>
      </c>
      <c r="C50" s="10">
        <v>45</v>
      </c>
      <c r="D50" t="s" s="13">
        <v>118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488</v>
      </c>
    </row>
    <row r="51" spans="2:24" ht="13.8" x14ac:dyDescent="0.2">
      <c r="B51" s="8">
        <f t="shared" si="6"/>
      </c>
      <c r="C51" s="10">
        <v>46</v>
      </c>
      <c r="D51" t="s" s="13">
        <v>1297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489</v>
      </c>
    </row>
    <row r="52" spans="2:24" ht="13.8" x14ac:dyDescent="0.2">
      <c r="B52" s="8">
        <f t="shared" si="6"/>
      </c>
      <c r="C52" s="10">
        <v>47</v>
      </c>
      <c r="D52" t="s" s="13">
        <v>1670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1713</v>
      </c>
    </row>
    <row r="53" spans="2:24" ht="13.8" x14ac:dyDescent="0.2">
      <c r="B53" s="8">
        <f t="shared" si="6"/>
      </c>
      <c r="C53" s="10">
        <v>48</v>
      </c>
      <c r="D53" t="s" s="13">
        <v>1671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474</v>
      </c>
    </row>
    <row r="54" spans="2:24" ht="13.8" x14ac:dyDescent="0.2">
      <c r="B54" s="8">
        <f t="shared" si="6"/>
      </c>
      <c r="C54" s="10">
        <v>49</v>
      </c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>
        <v>50</v>
      </c>
      <c r="D55" t="s" s="13">
        <v>1672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536</v>
      </c>
    </row>
    <row r="56" spans="2:24" ht="13.8" x14ac:dyDescent="0.2">
      <c r="B56" s="8">
        <f t="shared" si="6"/>
      </c>
      <c r="C56" s="10">
        <v>51</v>
      </c>
      <c r="D56" t="s" s="13">
        <v>1290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490</v>
      </c>
    </row>
    <row r="57" spans="2:24" ht="13.8" x14ac:dyDescent="0.2">
      <c r="B57" s="8">
        <f t="shared" si="6"/>
      </c>
      <c r="C57" s="10">
        <v>52</v>
      </c>
      <c r="D57" t="s" s="13">
        <v>1673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595</v>
      </c>
    </row>
    <row r="58" spans="2:24" ht="13.8" x14ac:dyDescent="0.2">
      <c r="B58" s="8">
        <f t="shared" si="6"/>
      </c>
      <c r="C58" s="10">
        <v>53</v>
      </c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>
        <v>54</v>
      </c>
      <c r="D59" t="s" s="13">
        <v>1674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1983</v>
      </c>
    </row>
    <row r="60" spans="2:24" ht="13.8" x14ac:dyDescent="0.2">
      <c r="B60" s="8">
        <f t="shared" si="6"/>
      </c>
      <c r="C60" s="10">
        <v>55</v>
      </c>
      <c r="D60" t="s" s="13">
        <v>1675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1984</v>
      </c>
    </row>
    <row r="61" spans="2:24" ht="13.8" x14ac:dyDescent="0.2">
      <c r="B61" s="8">
        <f t="shared" si="6"/>
      </c>
      <c r="C61" s="10">
        <v>56</v>
      </c>
      <c r="D61" t="s" s="13">
        <v>1676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1714</v>
      </c>
    </row>
    <row r="62" spans="2:24" ht="13.8" x14ac:dyDescent="0.2">
      <c r="B62" s="8">
        <f t="shared" si="6"/>
      </c>
      <c r="C62" s="10">
        <v>57</v>
      </c>
      <c r="D62" t="s" s="13">
        <v>803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799</v>
      </c>
    </row>
    <row r="63" spans="2:24" ht="13.8" x14ac:dyDescent="0.2">
      <c r="B63" s="8">
        <f t="shared" si="6"/>
      </c>
      <c r="C63" s="10">
        <v>58</v>
      </c>
      <c r="D63" t="s" s="13">
        <v>1677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1220</v>
      </c>
    </row>
    <row r="64" spans="2:24" ht="13.8" x14ac:dyDescent="0.2">
      <c r="B64" s="8">
        <f t="shared" si="6"/>
      </c>
      <c r="C64" s="10">
        <v>59</v>
      </c>
      <c r="D64" t="s" s="13">
        <v>201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493</v>
      </c>
    </row>
    <row r="65" spans="2:24" ht="13.8" x14ac:dyDescent="0.2">
      <c r="B65" s="8">
        <f t="shared" si="6"/>
      </c>
      <c r="C65" s="10">
        <v>60</v>
      </c>
      <c r="D65" t="s" s="13">
        <v>1677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494</v>
      </c>
    </row>
    <row r="66" spans="2:24" ht="13.8" x14ac:dyDescent="0.2">
      <c r="B66" s="8">
        <f t="shared" si="6"/>
      </c>
      <c r="C66" s="10">
        <v>61</v>
      </c>
      <c r="D66" t="s" s="13">
        <v>1331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495</v>
      </c>
    </row>
    <row r="67" spans="2:24" ht="13.8" x14ac:dyDescent="0.2">
      <c r="B67" s="8">
        <f t="shared" si="6"/>
      </c>
      <c r="C67" s="10">
        <v>62</v>
      </c>
      <c r="D67" t="s" s="13">
        <v>1678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1715</v>
      </c>
    </row>
    <row r="68" spans="2:24" ht="13.8" x14ac:dyDescent="0.2">
      <c r="B68" s="8">
        <f t="shared" si="6"/>
      </c>
      <c r="C68" s="10">
        <v>63</v>
      </c>
      <c r="D68" t="s" s="9">
        <v>1536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</c>
      <c r="L68" s="7">
        <v>0</v>
      </c>
      <c r="M68" s="11">
        <f t="shared" ref="M68:M126" si="8">IFERROR(IF((G68+P68+Q68)/(F68+P68+Q68+S68)=1,"1.00",(G68+P68+Q68)/(F68+P68+Q68+S68)),0)</f>
      </c>
      <c r="N68" s="11">
        <f t="shared" ref="N68:N126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1716</v>
      </c>
    </row>
    <row r="69" spans="2:24" ht="13.8" x14ac:dyDescent="0.2">
      <c r="B69" s="8">
        <f t="shared" ref="B69:B132" si="10">IF(C69="","",C69)</f>
      </c>
      <c r="C69" s="10">
        <v>64</v>
      </c>
      <c r="D69" s="13"/>
      <c r="E69" s="11">
        <f t="shared" ref="E69:E127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>
        <v>65</v>
      </c>
      <c r="D70" t="s" s="9">
        <v>1679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1717</v>
      </c>
    </row>
    <row r="71" spans="2:24" ht="13.8" x14ac:dyDescent="0.2">
      <c r="B71" s="8">
        <f t="shared" si="10"/>
      </c>
      <c r="C71" s="10">
        <v>66</v>
      </c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>
        <v>67</v>
      </c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>
        <v>68</v>
      </c>
      <c r="D73" t="s" s="13">
        <v>124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496</v>
      </c>
    </row>
    <row r="74" spans="2:24" ht="13.8" x14ac:dyDescent="0.2">
      <c r="B74" s="8">
        <f t="shared" si="10"/>
      </c>
      <c r="C74" s="10">
        <v>69</v>
      </c>
      <c r="D74" t="s" s="13">
        <v>1891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643</v>
      </c>
    </row>
    <row r="75" spans="2:24" ht="13.8" x14ac:dyDescent="0.2">
      <c r="B75" s="8">
        <f t="shared" si="10"/>
      </c>
      <c r="C75" s="10">
        <v>70</v>
      </c>
      <c r="D75" t="s" s="26">
        <v>1680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1718</v>
      </c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t="s" s="8">
        <v>38</v>
      </c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t="s" s="2">
        <v>498</v>
      </c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t="s" s="8">
        <v>203</v>
      </c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t="s" s="2">
        <v>499</v>
      </c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1527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1719</v>
      </c>
    </row>
    <row r="105" spans="2:24" ht="13.8" x14ac:dyDescent="0.2">
      <c r="B105" s="8">
        <f t="shared" si="10"/>
      </c>
      <c r="C105" s="10">
        <v>111</v>
      </c>
      <c r="D105" t="s" s="14">
        <v>1681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1720</v>
      </c>
    </row>
    <row r="106" spans="2:24" ht="13.8" x14ac:dyDescent="0.2">
      <c r="B106" s="8">
        <f t="shared" si="10"/>
      </c>
      <c r="C106" s="10">
        <v>112</v>
      </c>
      <c r="D106" t="s" s="9">
        <v>1682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1721</v>
      </c>
    </row>
    <row r="107" spans="2:24" ht="13.8" x14ac:dyDescent="0.2">
      <c r="B107" s="8">
        <f t="shared" si="10"/>
      </c>
      <c r="C107" s="10">
        <v>113</v>
      </c>
      <c r="D107" t="s" s="9">
        <v>1551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1722</v>
      </c>
    </row>
    <row r="108" spans="2:24" ht="13.8" x14ac:dyDescent="0.2">
      <c r="B108" s="8">
        <f t="shared" si="10"/>
      </c>
      <c r="C108" s="10">
        <v>114</v>
      </c>
      <c r="D108" t="s" s="9">
        <v>1683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1723</v>
      </c>
    </row>
    <row r="109" spans="2:24" ht="13.8" x14ac:dyDescent="0.2">
      <c r="B109" s="8">
        <f t="shared" si="10"/>
      </c>
      <c r="C109" s="10">
        <v>115</v>
      </c>
      <c r="D109" t="s" s="9">
        <v>1323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328</v>
      </c>
    </row>
    <row r="110" spans="2:24" ht="13.8" x14ac:dyDescent="0.2">
      <c r="B110" s="8">
        <f t="shared" si="10"/>
      </c>
      <c r="C110" s="10">
        <v>116</v>
      </c>
      <c r="D110" t="s" s="9">
        <v>1124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1985</v>
      </c>
    </row>
    <row r="111" spans="2:24" ht="13.8" x14ac:dyDescent="0.2">
      <c r="B111" s="8">
        <f t="shared" si="10"/>
      </c>
      <c r="C111" s="10">
        <v>117</v>
      </c>
      <c r="D111" t="s" s="9">
        <v>1684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484</v>
      </c>
    </row>
    <row r="112" spans="2:24" ht="13.8" x14ac:dyDescent="0.2">
      <c r="B112" s="8">
        <f t="shared" si="10"/>
      </c>
      <c r="C112" s="10">
        <v>118</v>
      </c>
      <c r="D112" t="s" s="9">
        <v>1685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1724</v>
      </c>
    </row>
    <row r="113" spans="2:24" ht="13.8" x14ac:dyDescent="0.2">
      <c r="B113" s="8">
        <f t="shared" si="10"/>
      </c>
      <c r="C113" s="10">
        <v>119</v>
      </c>
      <c r="D113" t="s" s="9">
        <v>1986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1986</v>
      </c>
    </row>
    <row r="114" spans="2:24" ht="13.8" x14ac:dyDescent="0.2">
      <c r="B114" s="8">
        <f t="shared" si="10"/>
      </c>
      <c r="C114" s="10">
        <v>120</v>
      </c>
      <c r="D114" t="s" s="9">
        <v>1330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486</v>
      </c>
    </row>
    <row r="115" spans="2:24" ht="13.8" x14ac:dyDescent="0.2">
      <c r="B115" s="8">
        <f t="shared" si="10"/>
      </c>
      <c r="C115" s="10">
        <v>121</v>
      </c>
      <c r="D115" t="s" s="9">
        <v>1686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1725</v>
      </c>
    </row>
    <row r="116" spans="2:24" ht="13.8" x14ac:dyDescent="0.2">
      <c r="B116" s="8">
        <f t="shared" si="10"/>
      </c>
      <c r="C116" s="10">
        <v>122</v>
      </c>
      <c r="D116" t="s" s="9">
        <v>1687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1726</v>
      </c>
    </row>
    <row r="117" spans="2:24" ht="13.8" x14ac:dyDescent="0.2">
      <c r="B117" s="8">
        <f t="shared" si="10"/>
      </c>
      <c r="C117" s="10">
        <v>123</v>
      </c>
      <c r="D117" t="s" s="9">
        <v>1987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1987</v>
      </c>
    </row>
    <row r="118" spans="2:24" ht="13.8" x14ac:dyDescent="0.2">
      <c r="B118" s="8">
        <f t="shared" si="10"/>
      </c>
      <c r="C118" s="10">
        <v>124</v>
      </c>
      <c r="D118" t="s" s="9">
        <v>1225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1988</v>
      </c>
    </row>
    <row r="119" spans="2:24" ht="13.8" x14ac:dyDescent="0.2">
      <c r="B119" s="8">
        <f t="shared" si="10"/>
      </c>
      <c r="C119" s="10">
        <v>125</v>
      </c>
      <c r="D119" t="s" s="9">
        <v>1688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1688</v>
      </c>
    </row>
    <row r="120" spans="2:24" ht="13.8" x14ac:dyDescent="0.2">
      <c r="B120" s="8">
        <f t="shared" si="10"/>
      </c>
      <c r="C120" s="10">
        <v>126</v>
      </c>
      <c r="D120" t="s" s="9">
        <v>1689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1727</v>
      </c>
    </row>
    <row r="121" spans="2:24" ht="13.8" x14ac:dyDescent="0.2">
      <c r="B121" s="8">
        <f t="shared" si="10"/>
      </c>
      <c r="C121" s="10">
        <v>127</v>
      </c>
      <c r="D121" t="s" s="9">
        <v>1690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480</v>
      </c>
    </row>
    <row r="122" spans="2:24" ht="13.8" x14ac:dyDescent="0.2">
      <c r="B122" s="8">
        <f t="shared" si="10"/>
      </c>
      <c r="C122" s="10">
        <v>128</v>
      </c>
      <c r="D122" t="s" s="9">
        <v>1691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1728</v>
      </c>
    </row>
    <row r="123" spans="2:24" ht="13.8" x14ac:dyDescent="0.2">
      <c r="B123" s="8">
        <f t="shared" si="10"/>
      </c>
      <c r="C123" s="10">
        <v>129</v>
      </c>
      <c r="D123" t="s" s="9">
        <v>1692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1729</v>
      </c>
    </row>
    <row r="124" spans="2:24" ht="13.8" x14ac:dyDescent="0.2">
      <c r="B124" s="8">
        <f t="shared" si="10"/>
      </c>
      <c r="C124" s="10">
        <v>130</v>
      </c>
      <c r="D124" t="s" s="9">
        <v>1693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1730</v>
      </c>
    </row>
    <row r="125" spans="2:24" ht="13.8" x14ac:dyDescent="0.2">
      <c r="B125" s="8">
        <f t="shared" si="10"/>
      </c>
      <c r="C125" s="10">
        <v>131</v>
      </c>
      <c r="D125" t="s" s="9">
        <v>1694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2">
        <v>1731</v>
      </c>
    </row>
    <row r="126" spans="2:24" ht="13.8" x14ac:dyDescent="0.2">
      <c r="B126" s="8">
        <f t="shared" si="10"/>
      </c>
      <c r="C126" s="10">
        <v>132</v>
      </c>
      <c r="D126" t="s" s="9">
        <v>1695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2">
        <v>1732</v>
      </c>
    </row>
    <row r="127" spans="2:24" ht="13.8" x14ac:dyDescent="0.2">
      <c r="B127" s="8">
        <f t="shared" si="10"/>
      </c>
      <c r="C127" s="10">
        <v>133</v>
      </c>
      <c r="D127" t="s" s="9">
        <v>200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</c>
      <c r="L127" s="7">
        <v>0</v>
      </c>
      <c r="M127" s="11">
        <f t="shared" ref="M127:M134" si="13">IFERROR(IF((G127+P127+Q127)/(F127+P127+Q127+S127)=1,"1.00",(G127+P127+Q127)/(F127+P127+Q127+S127)),0)</f>
      </c>
      <c r="N127" s="11">
        <f t="shared" ref="N127:N134" si="14">IFERROR(SUM(K127/F127,((G127+P127+Q127)/(F127+P127+Q127+S127))),M127)</f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2">
        <v>200</v>
      </c>
    </row>
    <row r="128" spans="2:24" ht="13.8" x14ac:dyDescent="0.2">
      <c r="B128" s="8">
        <f t="shared" si="10"/>
      </c>
      <c r="C128" s="10">
        <v>134</v>
      </c>
      <c r="D128" t="s" s="9">
        <v>1696</v>
      </c>
      <c r="E128" s="11">
        <f t="shared" ref="E128:E134" si="15">IFERROR(IF(G128/F128=1,"1.00",G128/F128),"---")</f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2">
        <v>492</v>
      </c>
    </row>
    <row r="129" spans="2:24" ht="13.8" x14ac:dyDescent="0.2">
      <c r="B129" s="8">
        <f t="shared" si="10"/>
      </c>
      <c r="C129" s="10">
        <v>135</v>
      </c>
      <c r="D129" t="s" s="9">
        <v>1697</v>
      </c>
      <c r="E129" s="11">
        <f t="shared" si="15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2">
        <v>202</v>
      </c>
    </row>
    <row r="130" spans="2:24" ht="13.8" x14ac:dyDescent="0.2">
      <c r="B130" s="8">
        <f t="shared" si="10"/>
      </c>
      <c r="C130" s="10">
        <v>136</v>
      </c>
      <c r="D130" t="s" s="9">
        <v>1698</v>
      </c>
      <c r="E130" s="11">
        <f t="shared" si="15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1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2">
        <v>1733</v>
      </c>
    </row>
    <row r="131" spans="2:24" ht="13.8" x14ac:dyDescent="0.2">
      <c r="B131" s="8">
        <f t="shared" si="10"/>
      </c>
      <c r="C131" s="10"/>
      <c r="D131" s="9"/>
      <c r="E131" s="11">
        <f t="shared" si="15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2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5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3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6">IF(C133="","",C133)</f>
      </c>
      <c r="C133" s="10"/>
      <c r="D133" s="9"/>
      <c r="E133" s="11">
        <f t="shared" si="15"/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6"/>
      </c>
      <c r="C134" s="10"/>
      <c r="D134" s="9"/>
      <c r="E134" s="11">
        <f t="shared" si="15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s="13"/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</c>
      <c r="L4" s="7">
        <v>0</v>
      </c>
      <c r="M4" s="11">
        <f t="shared" ref="M4:M67" si="2">IFERROR(IF((G4+P4+Q4)/(F4+P4+Q4+S4)=1,"1.00",(G4+P4+Q4)/(F4+P4+Q4+S4)),0)</f>
      </c>
      <c r="N4" s="11">
        <f t="shared" ref="N4:N67" si="3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4">IF(C5="","",C5)</f>
      </c>
      <c r="C5" s="10">
        <v>0</v>
      </c>
      <c r="D5" s="13"/>
      <c r="E5" s="11">
        <f t="shared" ref="E5:E68" si="5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</c>
      <c r="L5" s="7">
        <v>0</v>
      </c>
      <c r="M5" s="11">
        <f t="shared" si="2"/>
      </c>
      <c r="N5" s="11">
        <f t="shared" si="3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4"/>
      </c>
      <c r="C6" s="10">
        <v>1</v>
      </c>
      <c r="D6" s="13"/>
      <c r="E6" s="11">
        <f t="shared" si="5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</c>
      <c r="L6" s="7">
        <v>0</v>
      </c>
      <c r="M6" s="11">
        <f t="shared" si="2"/>
      </c>
      <c r="N6" s="11">
        <f t="shared" si="3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4"/>
      </c>
      <c r="C7" s="10">
        <v>2</v>
      </c>
      <c r="D7" t="s" s="13">
        <v>925</v>
      </c>
      <c r="E7" s="11">
        <f t="shared" si="5"/>
      </c>
      <c r="F7" s="5">
        <v>299</v>
      </c>
      <c r="G7" s="5">
        <v>77</v>
      </c>
      <c r="H7" s="5">
        <v>19</v>
      </c>
      <c r="I7" s="5">
        <v>0</v>
      </c>
      <c r="J7" s="6">
        <v>14</v>
      </c>
      <c r="K7" s="12">
        <f t="shared" si="6"/>
      </c>
      <c r="L7" s="7">
        <v>57</v>
      </c>
      <c r="M7" s="11">
        <f t="shared" si="2"/>
      </c>
      <c r="N7" s="11">
        <f t="shared" si="3"/>
      </c>
      <c r="O7" s="20">
        <v>81</v>
      </c>
      <c r="P7" s="21">
        <v>39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14</v>
      </c>
      <c r="W7" s="63">
        <f>IFERROR(CalcRC27(F7,G7,K7,O7,P7,Q7,R7,S7,T7,U7,V7),"-")</f>
      </c>
      <c r="X7" t="s" s="2">
        <v>972</v>
      </c>
    </row>
    <row r="8" spans="2:24" ht="13.8" x14ac:dyDescent="0.2">
      <c r="B8" s="8">
        <f t="shared" si="4"/>
      </c>
      <c r="C8" s="10">
        <v>3</v>
      </c>
      <c r="D8" t="s" s="13">
        <v>926</v>
      </c>
      <c r="E8" s="11">
        <f t="shared" si="5"/>
      </c>
      <c r="F8" s="5">
        <v>172</v>
      </c>
      <c r="G8" s="5">
        <v>39</v>
      </c>
      <c r="H8" s="5">
        <v>6</v>
      </c>
      <c r="I8" s="5">
        <v>0</v>
      </c>
      <c r="J8" s="6">
        <v>5</v>
      </c>
      <c r="K8" s="12">
        <f t="shared" si="6"/>
      </c>
      <c r="L8" s="7">
        <v>14</v>
      </c>
      <c r="M8" s="11">
        <f t="shared" si="2"/>
      </c>
      <c r="N8" s="11">
        <f t="shared" si="3"/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</c>
      <c r="X8" t="s" s="2">
        <v>947</v>
      </c>
    </row>
    <row r="9" spans="2:24" ht="13.8" x14ac:dyDescent="0.2">
      <c r="B9" s="8">
        <f t="shared" si="4"/>
      </c>
      <c r="C9" s="10">
        <v>4</v>
      </c>
      <c r="D9" t="s" s="9">
        <v>927</v>
      </c>
      <c r="E9" s="11">
        <f t="shared" si="5"/>
      </c>
      <c r="F9" s="5">
        <v>267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</c>
      <c r="L9" s="7">
        <v>17</v>
      </c>
      <c r="M9" s="11">
        <f t="shared" si="2"/>
      </c>
      <c r="N9" s="11">
        <f t="shared" si="3"/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</c>
      <c r="X9" t="s" s="2">
        <v>948</v>
      </c>
    </row>
    <row r="10" spans="2:24" ht="13.8" x14ac:dyDescent="0.2">
      <c r="B10" s="8">
        <f t="shared" si="4"/>
      </c>
      <c r="C10" s="10">
        <v>5</v>
      </c>
      <c r="D10" t="s" s="13">
        <v>1685</v>
      </c>
      <c r="E10" s="11">
        <f t="shared" si="5"/>
      </c>
      <c r="F10" s="5">
        <v>352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</c>
      <c r="L10" s="7">
        <v>39</v>
      </c>
      <c r="M10" s="11">
        <f t="shared" si="2"/>
      </c>
      <c r="N10" s="11">
        <f t="shared" si="3"/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</c>
      <c r="X10" t="s" s="2">
        <v>338</v>
      </c>
    </row>
    <row r="11" spans="2:24" ht="13.8" x14ac:dyDescent="0.2">
      <c r="B11" s="8">
        <f t="shared" si="4"/>
      </c>
      <c r="C11" s="10">
        <v>6</v>
      </c>
      <c r="D11" t="s" s="13">
        <v>1037</v>
      </c>
      <c r="E11" s="11">
        <f t="shared" ref="E11" si="7">IFERROR(IF(G11/F11=1,"1.00",G11/F11),"---")</f>
      </c>
      <c r="F11" s="5">
        <v>3</v>
      </c>
      <c r="G11" s="5">
        <v>2</v>
      </c>
      <c r="H11" s="5">
        <v>2</v>
      </c>
      <c r="I11" s="5">
        <v>0</v>
      </c>
      <c r="J11" s="6">
        <v>0</v>
      </c>
      <c r="K11" s="12">
        <f t="shared" si="6"/>
      </c>
      <c r="L11" s="7">
        <v>1</v>
      </c>
      <c r="M11" s="11">
        <f t="shared" si="2"/>
      </c>
      <c r="N11" s="11">
        <f t="shared" si="3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1038</v>
      </c>
    </row>
    <row r="12" spans="2:24" ht="13.8" x14ac:dyDescent="0.2">
      <c r="B12" s="8">
        <f t="shared" si="4"/>
      </c>
      <c r="C12" s="10">
        <v>7</v>
      </c>
      <c r="D12" t="s" s="13">
        <v>928</v>
      </c>
      <c r="E12" s="11">
        <f t="shared" si="5"/>
      </c>
      <c r="F12" s="5">
        <v>421</v>
      </c>
      <c r="G12" s="5">
        <v>112</v>
      </c>
      <c r="H12" s="5">
        <v>15</v>
      </c>
      <c r="I12" s="5">
        <v>2</v>
      </c>
      <c r="J12" s="6">
        <v>3</v>
      </c>
      <c r="K12" s="12">
        <f t="shared" si="6"/>
      </c>
      <c r="L12" s="7">
        <v>26</v>
      </c>
      <c r="M12" s="11">
        <f t="shared" si="2"/>
      </c>
      <c r="N12" s="11">
        <f t="shared" si="3"/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11</v>
      </c>
      <c r="U12" s="20">
        <v>11</v>
      </c>
      <c r="V12" s="20">
        <v>7</v>
      </c>
      <c r="W12" s="63">
        <f>IFERROR(CalcRC27(F12,G12,K12,O12,P12,Q12,R12,S12,T12,U12,V12),"-")</f>
      </c>
      <c r="X12" t="s" s="2">
        <v>332</v>
      </c>
    </row>
    <row r="13" spans="2:24" ht="13.8" x14ac:dyDescent="0.2">
      <c r="B13" s="8">
        <f t="shared" si="4"/>
      </c>
      <c r="C13" s="10">
        <v>8</v>
      </c>
      <c r="D13" t="s" s="13">
        <v>929</v>
      </c>
      <c r="E13" s="11">
        <f t="shared" si="5"/>
      </c>
      <c r="F13" s="5">
        <v>38</v>
      </c>
      <c r="G13" s="5">
        <v>9</v>
      </c>
      <c r="H13" s="5">
        <v>3</v>
      </c>
      <c r="I13" s="5">
        <v>1</v>
      </c>
      <c r="J13" s="6">
        <v>1</v>
      </c>
      <c r="K13" s="12">
        <f t="shared" si="6"/>
      </c>
      <c r="L13" s="7">
        <v>6</v>
      </c>
      <c r="M13" s="11">
        <f t="shared" si="2"/>
      </c>
      <c r="N13" s="11">
        <f t="shared" si="3"/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</c>
      <c r="X13" t="s" s="2">
        <v>340</v>
      </c>
    </row>
    <row r="14" spans="2:24" ht="13.8" x14ac:dyDescent="0.2">
      <c r="B14" s="8">
        <f t="shared" si="4"/>
      </c>
      <c r="C14" s="10">
        <v>9</v>
      </c>
      <c r="D14" t="s" s="13">
        <v>126</v>
      </c>
      <c r="E14" s="11">
        <f t="shared" si="5"/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</c>
      <c r="L14" s="7">
        <v>1</v>
      </c>
      <c r="M14" s="11">
        <f t="shared" si="2"/>
      </c>
      <c r="N14" s="11">
        <f t="shared" si="3"/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</c>
      <c r="X14" t="s" s="2">
        <v>330</v>
      </c>
    </row>
    <row r="15" spans="2:24" ht="13.8" x14ac:dyDescent="0.2">
      <c r="B15" s="8">
        <f t="shared" si="4"/>
      </c>
      <c r="C15" s="10">
        <v>10</v>
      </c>
      <c r="D15" t="s" s="13">
        <v>1182</v>
      </c>
      <c r="E15" s="11">
        <f t="shared" si="5"/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</c>
      <c r="L15" s="7">
        <v>3</v>
      </c>
      <c r="M15" s="11">
        <f t="shared" si="2"/>
      </c>
      <c r="N15" s="11">
        <f t="shared" si="3"/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331</v>
      </c>
    </row>
    <row r="16" spans="2:24" ht="13.8" x14ac:dyDescent="0.2">
      <c r="B16" s="8">
        <f t="shared" si="4"/>
      </c>
      <c r="C16" s="10">
        <v>11</v>
      </c>
      <c r="D16" s="13"/>
      <c r="E16" s="11">
        <f t="shared" si="5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</c>
      <c r="L16" s="7">
        <v>0</v>
      </c>
      <c r="M16" s="11">
        <f t="shared" si="2"/>
      </c>
      <c r="N16" s="11">
        <f t="shared" si="3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4"/>
      </c>
      <c r="C17" s="10">
        <v>12</v>
      </c>
      <c r="D17" t="s" s="13">
        <v>930</v>
      </c>
      <c r="E17" s="11">
        <f t="shared" si="5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</c>
      <c r="L17" s="7">
        <v>0</v>
      </c>
      <c r="M17" s="11">
        <f t="shared" si="2"/>
      </c>
      <c r="N17" s="11">
        <f t="shared" si="3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949</v>
      </c>
    </row>
    <row r="18" spans="2:24" ht="13.8" x14ac:dyDescent="0.2">
      <c r="B18" s="8">
        <f t="shared" si="4"/>
      </c>
      <c r="C18" s="10">
        <v>13</v>
      </c>
      <c r="D18" t="s" s="9">
        <v>127</v>
      </c>
      <c r="E18" s="11">
        <f t="shared" si="5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</c>
      <c r="L18" s="7">
        <v>0</v>
      </c>
      <c r="M18" s="11">
        <f t="shared" si="2"/>
      </c>
      <c r="N18" s="11">
        <f t="shared" si="3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333</v>
      </c>
    </row>
    <row r="19" spans="2:24" ht="13.8" x14ac:dyDescent="0.2">
      <c r="B19" s="8">
        <f t="shared" si="4"/>
      </c>
      <c r="C19" s="10">
        <v>14</v>
      </c>
      <c r="D19" t="s" s="13">
        <v>1449</v>
      </c>
      <c r="E19" s="11">
        <f t="shared" si="5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</c>
      <c r="L19" s="7">
        <v>0</v>
      </c>
      <c r="M19" s="11">
        <f t="shared" si="2"/>
      </c>
      <c r="N19" s="11">
        <f t="shared" si="3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334</v>
      </c>
    </row>
    <row r="20" spans="2:24" ht="13.8" x14ac:dyDescent="0.2">
      <c r="B20" s="8">
        <f t="shared" si="4"/>
      </c>
      <c r="C20" s="10">
        <v>15</v>
      </c>
      <c r="D20" s="13"/>
      <c r="E20" s="11">
        <f t="shared" si="5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</c>
      <c r="L20" s="7">
        <v>0</v>
      </c>
      <c r="M20" s="11">
        <f t="shared" si="2"/>
      </c>
      <c r="N20" s="11">
        <f t="shared" si="3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4"/>
      </c>
      <c r="C21" s="10">
        <v>16</v>
      </c>
      <c r="D21" t="s" s="13">
        <v>931</v>
      </c>
      <c r="E21" s="11">
        <f t="shared" si="5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</c>
      <c r="L21" s="7">
        <v>0</v>
      </c>
      <c r="M21" s="11">
        <f t="shared" si="2"/>
      </c>
      <c r="N21" s="11">
        <f t="shared" si="3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950</v>
      </c>
    </row>
    <row r="22" spans="2:24" ht="13.8" x14ac:dyDescent="0.2">
      <c r="B22" s="8">
        <f t="shared" si="4"/>
      </c>
      <c r="C22" s="10">
        <v>17</v>
      </c>
      <c r="D22" t="s" s="13">
        <v>1551</v>
      </c>
      <c r="E22" s="11">
        <f t="shared" si="5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</c>
      <c r="L22" s="7">
        <v>0</v>
      </c>
      <c r="M22" s="11">
        <f t="shared" si="2"/>
      </c>
      <c r="N22" s="11">
        <f t="shared" si="3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336</v>
      </c>
    </row>
    <row r="23" spans="2:24" ht="13.8" x14ac:dyDescent="0.2">
      <c r="B23" s="8">
        <f t="shared" si="4"/>
      </c>
      <c r="C23" s="10">
        <v>18</v>
      </c>
      <c r="D23" t="s" s="13">
        <v>103</v>
      </c>
      <c r="E23" s="11">
        <f t="shared" si="5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</c>
      <c r="L23" s="7">
        <v>0</v>
      </c>
      <c r="M23" s="11">
        <f t="shared" si="2"/>
      </c>
      <c r="N23" s="11">
        <f t="shared" si="3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1263</v>
      </c>
    </row>
    <row r="24" spans="2:24" ht="13.8" x14ac:dyDescent="0.2">
      <c r="B24" s="8">
        <f t="shared" si="4"/>
      </c>
      <c r="C24" s="10">
        <v>19</v>
      </c>
      <c r="D24" t="s" s="13">
        <v>932</v>
      </c>
      <c r="E24" s="11">
        <f t="shared" si="5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</c>
      <c r="L24" s="7">
        <v>0</v>
      </c>
      <c r="M24" s="11">
        <f t="shared" si="2"/>
      </c>
      <c r="N24" s="11">
        <f t="shared" si="3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351</v>
      </c>
    </row>
    <row r="25" spans="2:24" ht="13.8" x14ac:dyDescent="0.2">
      <c r="B25" s="8">
        <f t="shared" si="4"/>
      </c>
      <c r="C25" s="10">
        <v>20</v>
      </c>
      <c r="D25" t="s" s="13">
        <v>129</v>
      </c>
      <c r="E25" s="11">
        <f t="shared" si="5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</c>
      <c r="L25" s="7">
        <v>0</v>
      </c>
      <c r="M25" s="11">
        <f t="shared" si="2"/>
      </c>
      <c r="N25" s="11">
        <f t="shared" si="3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337</v>
      </c>
    </row>
    <row r="26" spans="2:24" ht="13.8" x14ac:dyDescent="0.2">
      <c r="B26" s="8">
        <f t="shared" si="4"/>
      </c>
      <c r="C26" s="10">
        <v>21</v>
      </c>
      <c r="D26" t="s" s="13">
        <v>1896</v>
      </c>
      <c r="E26" s="11">
        <f t="shared" si="5"/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</c>
      <c r="L26" s="7">
        <v>35</v>
      </c>
      <c r="M26" s="11">
        <f t="shared" si="2"/>
      </c>
      <c r="N26" s="11">
        <f t="shared" si="3"/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</c>
      <c r="X26" t="s" s="2">
        <v>125</v>
      </c>
    </row>
    <row r="27" spans="2:24" ht="13.8" x14ac:dyDescent="0.2">
      <c r="B27" s="8">
        <f t="shared" si="4"/>
      </c>
      <c r="C27" s="10">
        <v>22</v>
      </c>
      <c r="D27" t="s" s="13">
        <v>933</v>
      </c>
      <c r="E27" s="11">
        <f t="shared" si="5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</c>
      <c r="L27" s="7">
        <v>0</v>
      </c>
      <c r="M27" s="11">
        <f t="shared" si="2"/>
      </c>
      <c r="N27" s="11">
        <f t="shared" si="3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951</v>
      </c>
    </row>
    <row r="28" spans="2:24" ht="13.8" x14ac:dyDescent="0.2">
      <c r="B28" s="8">
        <f t="shared" si="4"/>
      </c>
      <c r="C28" s="10">
        <v>23</v>
      </c>
      <c r="D28" t="s" s="13">
        <v>106</v>
      </c>
      <c r="E28" s="11">
        <f t="shared" si="5"/>
      </c>
      <c r="F28" s="5">
        <v>199</v>
      </c>
      <c r="G28" s="5">
        <v>40</v>
      </c>
      <c r="H28" s="5">
        <v>6</v>
      </c>
      <c r="I28" s="5">
        <v>0</v>
      </c>
      <c r="J28" s="6">
        <v>2</v>
      </c>
      <c r="K28" s="12">
        <f t="shared" si="6"/>
      </c>
      <c r="L28" s="7">
        <v>11</v>
      </c>
      <c r="M28" s="11">
        <f t="shared" si="2"/>
      </c>
      <c r="N28" s="11">
        <f t="shared" si="3"/>
      </c>
      <c r="O28" s="20">
        <v>37</v>
      </c>
      <c r="P28" s="21">
        <v>8</v>
      </c>
      <c r="Q28" s="21">
        <v>5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</c>
      <c r="X28" t="s" s="2">
        <v>406</v>
      </c>
    </row>
    <row r="29" spans="2:24" ht="13.8" x14ac:dyDescent="0.2">
      <c r="B29" s="8">
        <f t="shared" si="4"/>
      </c>
      <c r="C29" s="10">
        <v>24</v>
      </c>
      <c r="D29" t="s" s="2">
        <v>934</v>
      </c>
      <c r="E29" s="11">
        <f t="shared" si="5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</c>
      <c r="L29" s="7">
        <v>0</v>
      </c>
      <c r="M29" s="11">
        <f t="shared" si="2"/>
      </c>
      <c r="N29" s="11">
        <f t="shared" si="3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952</v>
      </c>
    </row>
    <row r="30" spans="2:24" ht="13.8" x14ac:dyDescent="0.2">
      <c r="B30" s="8">
        <f t="shared" si="4"/>
      </c>
      <c r="C30" s="10">
        <v>25</v>
      </c>
      <c r="D30" t="s" s="13">
        <v>130</v>
      </c>
      <c r="E30" s="11">
        <f t="shared" si="5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</c>
      <c r="L30" s="7">
        <v>0</v>
      </c>
      <c r="M30" s="11">
        <f t="shared" si="2"/>
      </c>
      <c r="N30" s="11">
        <f t="shared" si="3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339</v>
      </c>
    </row>
    <row r="31" spans="2:24" ht="13.8" x14ac:dyDescent="0.2">
      <c r="B31" s="8">
        <f t="shared" si="4"/>
      </c>
      <c r="C31" s="10">
        <v>26</v>
      </c>
      <c r="D31" t="s" s="13">
        <v>935</v>
      </c>
      <c r="E31" s="11">
        <f t="shared" si="5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</c>
      <c r="L31" s="7">
        <v>0</v>
      </c>
      <c r="M31" s="11">
        <f t="shared" si="2"/>
      </c>
      <c r="N31" s="11">
        <f t="shared" si="3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953</v>
      </c>
    </row>
    <row r="32" spans="2:24" ht="13.8" x14ac:dyDescent="0.2">
      <c r="B32" s="8">
        <f t="shared" si="4"/>
      </c>
      <c r="C32" s="10">
        <v>27</v>
      </c>
      <c r="D32" t="s" s="13">
        <v>936</v>
      </c>
      <c r="E32" s="11">
        <f t="shared" si="5"/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</c>
      <c r="L32" s="7">
        <v>4</v>
      </c>
      <c r="M32" s="11">
        <f t="shared" si="2"/>
      </c>
      <c r="N32" s="11">
        <f t="shared" si="3"/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341</v>
      </c>
    </row>
    <row r="33" spans="2:24" ht="13.8" x14ac:dyDescent="0.2">
      <c r="B33" s="8">
        <f t="shared" si="4"/>
      </c>
      <c r="C33" s="10">
        <v>28</v>
      </c>
      <c r="D33" t="s" s="13">
        <v>1840</v>
      </c>
      <c r="E33" s="11">
        <f t="shared" si="5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</c>
      <c r="L33" s="7">
        <v>0</v>
      </c>
      <c r="M33" s="11">
        <f t="shared" si="2"/>
      </c>
      <c r="N33" s="11">
        <f t="shared" si="3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342</v>
      </c>
    </row>
    <row r="34" spans="2:24" ht="13.8" x14ac:dyDescent="0.2">
      <c r="B34" s="8">
        <f t="shared" si="4"/>
      </c>
      <c r="C34" s="10">
        <v>29</v>
      </c>
      <c r="D34" t="s" s="13">
        <v>1274</v>
      </c>
      <c r="E34" s="11">
        <f t="shared" si="5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</c>
      <c r="L34" s="7">
        <v>0</v>
      </c>
      <c r="M34" s="11">
        <f t="shared" si="2"/>
      </c>
      <c r="N34" s="11">
        <f t="shared" si="3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1275</v>
      </c>
    </row>
    <row r="35" spans="2:24" ht="13.8" x14ac:dyDescent="0.2">
      <c r="B35" s="8">
        <f t="shared" si="4"/>
      </c>
      <c r="C35" s="10">
        <v>30</v>
      </c>
      <c r="D35" t="s" s="13">
        <v>91</v>
      </c>
      <c r="E35" s="11">
        <f t="shared" si="5"/>
      </c>
      <c r="F35" s="5">
        <v>103</v>
      </c>
      <c r="G35" s="5">
        <v>31</v>
      </c>
      <c r="H35" s="5">
        <v>4</v>
      </c>
      <c r="I35" s="5">
        <v>0</v>
      </c>
      <c r="J35" s="6">
        <v>3</v>
      </c>
      <c r="K35" s="12">
        <f t="shared" si="6"/>
      </c>
      <c r="L35" s="7">
        <v>17</v>
      </c>
      <c r="M35" s="11">
        <f t="shared" si="2"/>
      </c>
      <c r="N35" s="11">
        <f t="shared" si="3"/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</c>
      <c r="X35" t="s" s="2">
        <v>557</v>
      </c>
    </row>
    <row r="36" spans="2:24" ht="13.8" x14ac:dyDescent="0.2">
      <c r="B36" s="8">
        <f t="shared" si="4"/>
      </c>
      <c r="C36" s="10">
        <v>31</v>
      </c>
      <c r="D36" t="s" s="13">
        <v>1264</v>
      </c>
      <c r="E36" s="11">
        <f t="shared" si="5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</c>
      <c r="L36" s="7">
        <v>0</v>
      </c>
      <c r="M36" s="11">
        <f t="shared" si="2"/>
      </c>
      <c r="N36" s="11">
        <f t="shared" si="3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1265</v>
      </c>
    </row>
    <row r="37" spans="2:24" ht="13.8" x14ac:dyDescent="0.2">
      <c r="B37" s="8">
        <f t="shared" si="4"/>
      </c>
      <c r="C37" s="10">
        <v>32</v>
      </c>
      <c r="D37" t="s" s="13">
        <v>1266</v>
      </c>
      <c r="E37" s="11">
        <f t="shared" si="5"/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</c>
      <c r="L37" s="7">
        <v>4</v>
      </c>
      <c r="M37" s="11">
        <f t="shared" si="2"/>
      </c>
      <c r="N37" s="11">
        <f t="shared" si="3"/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</c>
      <c r="X37" t="s" s="2">
        <v>1267</v>
      </c>
    </row>
    <row r="38" spans="2:24" ht="13.8" x14ac:dyDescent="0.2">
      <c r="B38" s="8">
        <f t="shared" si="4"/>
      </c>
      <c r="C38" s="10">
        <v>33</v>
      </c>
      <c r="D38" t="s" s="13">
        <v>1272</v>
      </c>
      <c r="E38" s="11">
        <f t="shared" si="5"/>
      </c>
      <c r="F38" s="5">
        <v>4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</c>
      <c r="L38" s="7">
        <v>0</v>
      </c>
      <c r="M38" s="11">
        <f t="shared" si="2"/>
      </c>
      <c r="N38" s="11">
        <f t="shared" si="3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1273</v>
      </c>
    </row>
    <row r="39" spans="2:24" ht="13.8" x14ac:dyDescent="0.2">
      <c r="B39" s="8">
        <f t="shared" si="4"/>
      </c>
      <c r="C39" s="10">
        <v>34</v>
      </c>
      <c r="D39" t="s" s="13">
        <v>1820</v>
      </c>
      <c r="E39" s="11">
        <f t="shared" si="5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</c>
      <c r="L39" s="7">
        <v>0</v>
      </c>
      <c r="M39" s="11">
        <f t="shared" si="2"/>
      </c>
      <c r="N39" s="11">
        <f t="shared" si="3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343</v>
      </c>
    </row>
    <row r="40" spans="2:24" ht="13.8" x14ac:dyDescent="0.2">
      <c r="B40" s="8">
        <f t="shared" si="4"/>
      </c>
      <c r="C40" s="10">
        <v>35</v>
      </c>
      <c r="D40" t="s" s="13">
        <v>937</v>
      </c>
      <c r="E40" s="11">
        <f t="shared" si="5"/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</c>
      <c r="L40" s="7">
        <v>7</v>
      </c>
      <c r="M40" s="11">
        <f t="shared" si="2"/>
      </c>
      <c r="N40" s="11">
        <f t="shared" si="3"/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</c>
      <c r="X40" t="s" s="2">
        <v>954</v>
      </c>
    </row>
    <row r="41" spans="2:24" ht="13.8" x14ac:dyDescent="0.2">
      <c r="B41" s="8">
        <f t="shared" si="4"/>
      </c>
      <c r="C41" s="10">
        <v>36</v>
      </c>
      <c r="D41" t="s" s="13">
        <v>1278</v>
      </c>
      <c r="E41" s="11">
        <f t="shared" si="5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</c>
      <c r="L41" s="7">
        <v>0</v>
      </c>
      <c r="M41" s="11">
        <f t="shared" si="2"/>
      </c>
      <c r="N41" s="11">
        <f t="shared" si="3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1279</v>
      </c>
    </row>
    <row r="42" spans="2:24" ht="13.8" x14ac:dyDescent="0.2">
      <c r="B42" s="8">
        <f t="shared" si="4"/>
      </c>
      <c r="C42" s="10">
        <v>37</v>
      </c>
      <c r="D42" t="s" s="13">
        <v>938</v>
      </c>
      <c r="E42" s="11">
        <f t="shared" si="5"/>
      </c>
      <c r="F42" s="5">
        <v>142</v>
      </c>
      <c r="G42" s="5">
        <v>28</v>
      </c>
      <c r="H42" s="5">
        <v>5</v>
      </c>
      <c r="I42" s="5">
        <v>2</v>
      </c>
      <c r="J42" s="6">
        <v>5</v>
      </c>
      <c r="K42" s="12">
        <f t="shared" si="6"/>
      </c>
      <c r="L42" s="7">
        <v>13</v>
      </c>
      <c r="M42" s="11">
        <f t="shared" si="2"/>
      </c>
      <c r="N42" s="11">
        <f t="shared" si="3"/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</c>
      <c r="X42" t="s" s="2">
        <v>576</v>
      </c>
    </row>
    <row r="43" spans="2:24" ht="13.8" x14ac:dyDescent="0.2">
      <c r="B43" s="8">
        <f t="shared" si="4"/>
      </c>
      <c r="C43" s="10">
        <v>38</v>
      </c>
      <c r="D43" t="s" s="13">
        <v>804</v>
      </c>
      <c r="E43" s="11">
        <f t="shared" si="5"/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</c>
      <c r="L43" s="7">
        <v>4</v>
      </c>
      <c r="M43" s="11">
        <f t="shared" si="2"/>
      </c>
      <c r="N43" s="11">
        <f t="shared" si="3"/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345</v>
      </c>
    </row>
    <row r="44" spans="2:24" ht="13.8" x14ac:dyDescent="0.2">
      <c r="B44" s="8">
        <f t="shared" si="4"/>
      </c>
      <c r="C44" s="10">
        <v>39</v>
      </c>
      <c r="D44" t="s" s="13">
        <v>939</v>
      </c>
      <c r="E44" s="11">
        <f t="shared" si="5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</c>
      <c r="L44" s="7">
        <v>0</v>
      </c>
      <c r="M44" s="11">
        <f t="shared" si="2"/>
      </c>
      <c r="N44" s="11">
        <f t="shared" si="3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955</v>
      </c>
    </row>
    <row r="45" spans="2:24" ht="13.8" x14ac:dyDescent="0.2">
      <c r="B45" s="8">
        <f t="shared" si="4"/>
      </c>
      <c r="C45" s="10">
        <v>40</v>
      </c>
      <c r="D45" t="s" s="13">
        <v>1441</v>
      </c>
      <c r="E45" s="11">
        <f t="shared" si="5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</c>
      <c r="L45" s="7">
        <v>0</v>
      </c>
      <c r="M45" s="11">
        <f t="shared" si="2"/>
      </c>
      <c r="N45" s="11">
        <f t="shared" si="3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346</v>
      </c>
    </row>
    <row r="46" spans="2:24" ht="13.8" x14ac:dyDescent="0.2">
      <c r="B46" s="8">
        <f t="shared" si="4"/>
      </c>
      <c r="C46" s="10">
        <v>41</v>
      </c>
      <c r="D46" t="s" s="13">
        <v>974</v>
      </c>
      <c r="E46" s="11">
        <f t="shared" si="5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</c>
      <c r="L46" s="7">
        <v>0</v>
      </c>
      <c r="M46" s="11">
        <f t="shared" si="2"/>
      </c>
      <c r="N46" s="11">
        <f t="shared" si="3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973</v>
      </c>
    </row>
    <row r="47" spans="2:24" ht="13.8" x14ac:dyDescent="0.2">
      <c r="B47" s="8">
        <f t="shared" si="4"/>
      </c>
      <c r="C47" s="10">
        <v>42</v>
      </c>
      <c r="D47" t="s" s="9">
        <v>1270</v>
      </c>
      <c r="E47" s="11">
        <f t="shared" si="5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</c>
      <c r="L47" s="7">
        <v>0</v>
      </c>
      <c r="M47" s="11">
        <f t="shared" si="2"/>
      </c>
      <c r="N47" s="11">
        <f t="shared" si="3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1271</v>
      </c>
    </row>
    <row r="48" spans="2:24" ht="13.8" x14ac:dyDescent="0.2">
      <c r="B48" s="8">
        <f t="shared" si="4"/>
      </c>
      <c r="C48" s="10">
        <v>43</v>
      </c>
      <c r="D48" t="s" s="13">
        <v>940</v>
      </c>
      <c r="E48" s="11">
        <f t="shared" si="5"/>
      </c>
      <c r="F48" s="5">
        <v>52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</c>
      <c r="L48" s="7">
        <v>6</v>
      </c>
      <c r="M48" s="11">
        <f t="shared" si="2"/>
      </c>
      <c r="N48" s="11">
        <f t="shared" si="3"/>
      </c>
      <c r="O48" s="20">
        <v>18</v>
      </c>
      <c r="P48" s="21">
        <v>5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</c>
      <c r="X48" t="s" s="2">
        <v>956</v>
      </c>
    </row>
    <row r="49" spans="2:24" ht="13.8" x14ac:dyDescent="0.2">
      <c r="B49" s="8">
        <f t="shared" si="4"/>
      </c>
      <c r="C49" s="10">
        <v>44</v>
      </c>
      <c r="D49" t="s" s="13">
        <v>1207</v>
      </c>
      <c r="E49" s="11">
        <f t="shared" si="5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</c>
      <c r="L49" s="7">
        <v>0</v>
      </c>
      <c r="M49" s="11">
        <f t="shared" si="2"/>
      </c>
      <c r="N49" s="11">
        <f t="shared" si="3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957</v>
      </c>
    </row>
    <row r="50" spans="2:24" ht="13.8" x14ac:dyDescent="0.2">
      <c r="B50" s="8">
        <f t="shared" si="4"/>
      </c>
      <c r="C50" s="10">
        <v>45</v>
      </c>
      <c r="D50" t="s" s="13">
        <v>1268</v>
      </c>
      <c r="E50" s="11">
        <f t="shared" si="5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</c>
      <c r="L50" s="7">
        <v>0</v>
      </c>
      <c r="M50" s="11">
        <f t="shared" si="2"/>
      </c>
      <c r="N50" s="11">
        <f t="shared" si="3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1269</v>
      </c>
    </row>
    <row r="51" spans="2:24" ht="13.8" x14ac:dyDescent="0.2">
      <c r="B51" s="8">
        <f t="shared" si="4"/>
      </c>
      <c r="C51" s="10">
        <v>46</v>
      </c>
      <c r="D51" t="s" s="13">
        <v>941</v>
      </c>
      <c r="E51" s="11">
        <f t="shared" si="5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</c>
      <c r="L51" s="7">
        <v>0</v>
      </c>
      <c r="M51" s="11">
        <f t="shared" si="2"/>
      </c>
      <c r="N51" s="11">
        <f t="shared" si="3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958</v>
      </c>
    </row>
    <row r="52" spans="2:24" ht="13.8" x14ac:dyDescent="0.2">
      <c r="B52" s="8">
        <f t="shared" si="4"/>
      </c>
      <c r="C52" s="10">
        <v>47</v>
      </c>
      <c r="D52" t="s" s="13">
        <v>131</v>
      </c>
      <c r="E52" s="11">
        <f t="shared" si="5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</c>
      <c r="L52" s="7">
        <v>0</v>
      </c>
      <c r="M52" s="11">
        <f t="shared" si="2"/>
      </c>
      <c r="N52" s="11">
        <f t="shared" si="3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348</v>
      </c>
    </row>
    <row r="53" spans="2:24" ht="13.8" x14ac:dyDescent="0.2">
      <c r="B53" s="8">
        <f t="shared" si="4"/>
      </c>
      <c r="C53" s="10">
        <v>48</v>
      </c>
      <c r="D53" t="s" s="13">
        <v>51</v>
      </c>
      <c r="E53" s="11">
        <f t="shared" si="5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</c>
      <c r="L53" s="7">
        <v>0</v>
      </c>
      <c r="M53" s="11">
        <f t="shared" si="2"/>
      </c>
      <c r="N53" s="11">
        <f t="shared" si="3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273</v>
      </c>
    </row>
    <row r="54" spans="2:24" ht="13.8" x14ac:dyDescent="0.2">
      <c r="B54" s="8">
        <f t="shared" si="4"/>
      </c>
      <c r="C54" s="10">
        <v>49</v>
      </c>
      <c r="D54" s="13"/>
      <c r="E54" s="11">
        <f t="shared" si="5"/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</c>
      <c r="L54" s="7">
        <v>0</v>
      </c>
      <c r="M54" s="11">
        <f t="shared" si="2"/>
      </c>
      <c r="N54" s="11">
        <f t="shared" si="3"/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4"/>
      </c>
      <c r="C55" s="10">
        <v>50</v>
      </c>
      <c r="D55" t="s" s="13">
        <v>204</v>
      </c>
      <c r="E55" s="11">
        <f t="shared" si="5"/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</c>
      <c r="L55" s="7">
        <v>5</v>
      </c>
      <c r="M55" s="11">
        <f t="shared" si="2"/>
      </c>
      <c r="N55" s="11">
        <f t="shared" si="3"/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</c>
      <c r="X55" t="s" s="2">
        <v>205</v>
      </c>
    </row>
    <row r="56" spans="2:24" ht="13.8" x14ac:dyDescent="0.2">
      <c r="B56" s="8">
        <f t="shared" si="4"/>
      </c>
      <c r="C56" s="10">
        <v>51</v>
      </c>
      <c r="D56" t="s" s="13">
        <v>132</v>
      </c>
      <c r="E56" s="11">
        <f t="shared" si="5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</c>
      <c r="L56" s="7">
        <v>0</v>
      </c>
      <c r="M56" s="11">
        <f t="shared" si="2"/>
      </c>
      <c r="N56" s="11">
        <f t="shared" si="3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349</v>
      </c>
    </row>
    <row r="57" spans="2:24" ht="13.8" x14ac:dyDescent="0.2">
      <c r="B57" s="8">
        <f t="shared" si="4"/>
      </c>
      <c r="C57" s="10">
        <v>52</v>
      </c>
      <c r="D57" t="s" s="13">
        <v>838</v>
      </c>
      <c r="E57" s="11">
        <f t="shared" si="5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</c>
      <c r="L57" s="7">
        <v>0</v>
      </c>
      <c r="M57" s="11">
        <f t="shared" si="2"/>
      </c>
      <c r="N57" s="11">
        <f t="shared" si="3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350</v>
      </c>
    </row>
    <row r="58" spans="2:24" ht="13.8" x14ac:dyDescent="0.2">
      <c r="B58" s="8">
        <f t="shared" si="4"/>
      </c>
      <c r="C58" s="10">
        <v>53</v>
      </c>
      <c r="D58" t="s" s="13">
        <v>1280</v>
      </c>
      <c r="E58" s="11">
        <f t="shared" si="5"/>
      </c>
      <c r="F58" s="5">
        <v>6</v>
      </c>
      <c r="G58" s="5">
        <v>2</v>
      </c>
      <c r="H58" s="5">
        <v>0</v>
      </c>
      <c r="I58" s="5">
        <v>0</v>
      </c>
      <c r="J58" s="6">
        <v>1</v>
      </c>
      <c r="K58" s="12">
        <f t="shared" si="6"/>
      </c>
      <c r="L58" s="7">
        <v>2</v>
      </c>
      <c r="M58" s="11">
        <f t="shared" si="2"/>
      </c>
      <c r="N58" s="11">
        <f t="shared" si="3"/>
      </c>
      <c r="O58" s="20">
        <v>1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1281</v>
      </c>
    </row>
    <row r="59" spans="2:24" ht="13.8" x14ac:dyDescent="0.2">
      <c r="B59" s="8">
        <f t="shared" si="4"/>
      </c>
      <c r="C59" s="10">
        <v>54</v>
      </c>
      <c r="D59" t="s" s="13">
        <v>975</v>
      </c>
      <c r="E59" s="11">
        <f t="shared" si="5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</c>
      <c r="L59" s="7">
        <v>0</v>
      </c>
      <c r="M59" s="11">
        <f t="shared" si="2"/>
      </c>
      <c r="N59" s="11">
        <f t="shared" si="3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959</v>
      </c>
    </row>
    <row r="60" spans="2:24" ht="13.8" x14ac:dyDescent="0.2">
      <c r="B60" s="8">
        <f t="shared" si="4"/>
      </c>
      <c r="C60" s="10">
        <v>55</v>
      </c>
      <c r="D60" t="s" s="13">
        <v>942</v>
      </c>
      <c r="E60" s="11">
        <f t="shared" si="5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</c>
      <c r="L60" s="7">
        <v>0</v>
      </c>
      <c r="M60" s="11">
        <f t="shared" si="2"/>
      </c>
      <c r="N60" s="11">
        <f t="shared" si="3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960</v>
      </c>
    </row>
    <row r="61" spans="2:24" ht="13.8" x14ac:dyDescent="0.2">
      <c r="B61" s="8">
        <f t="shared" si="4"/>
      </c>
      <c r="C61" s="10">
        <v>56</v>
      </c>
      <c r="D61" t="s" s="13">
        <v>1477</v>
      </c>
      <c r="E61" s="11">
        <f t="shared" si="5"/>
      </c>
      <c r="F61" s="5">
        <v>65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</c>
      <c r="L61" s="7">
        <v>5</v>
      </c>
      <c r="M61" s="11">
        <f t="shared" si="2"/>
      </c>
      <c r="N61" s="11">
        <f t="shared" si="3"/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2</v>
      </c>
      <c r="V61" s="20">
        <v>0</v>
      </c>
      <c r="W61" s="63">
        <f>IFERROR(CalcRC27(F61,G61,K61,O61,P61,Q61,R61,S61,T61,U61,V61),"-")</f>
      </c>
      <c r="X61" t="s" s="2">
        <v>352</v>
      </c>
    </row>
    <row r="62" spans="2:24" ht="13.8" x14ac:dyDescent="0.2">
      <c r="B62" s="8">
        <f t="shared" si="4"/>
      </c>
      <c r="C62" s="10">
        <v>57</v>
      </c>
      <c r="D62" t="s" s="13">
        <v>943</v>
      </c>
      <c r="E62" s="11">
        <f t="shared" si="5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</c>
      <c r="L62" s="7">
        <v>0</v>
      </c>
      <c r="M62" s="11">
        <f t="shared" si="2"/>
      </c>
      <c r="N62" s="11">
        <f t="shared" si="3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961</v>
      </c>
    </row>
    <row r="63" spans="2:24" ht="13.8" x14ac:dyDescent="0.2">
      <c r="B63" s="8">
        <f t="shared" si="4"/>
      </c>
      <c r="C63" s="10">
        <v>58</v>
      </c>
      <c r="D63" t="s" s="13">
        <v>944</v>
      </c>
      <c r="E63" s="11">
        <f t="shared" si="5"/>
      </c>
      <c r="F63" s="5">
        <v>120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</c>
      <c r="L63" s="7">
        <v>13</v>
      </c>
      <c r="M63" s="11">
        <f t="shared" si="2"/>
      </c>
      <c r="N63" s="11">
        <f t="shared" si="3"/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</c>
      <c r="X63" t="s" s="2">
        <v>962</v>
      </c>
    </row>
    <row r="64" spans="2:24" ht="13.8" x14ac:dyDescent="0.2">
      <c r="B64" s="8">
        <f t="shared" si="4"/>
      </c>
      <c r="C64" s="10">
        <v>59</v>
      </c>
      <c r="D64" t="s" s="13">
        <v>115</v>
      </c>
      <c r="E64" s="11">
        <f t="shared" si="5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</c>
      <c r="L64" s="7">
        <v>0</v>
      </c>
      <c r="M64" s="11">
        <f t="shared" si="2"/>
      </c>
      <c r="N64" s="11">
        <f t="shared" si="3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353</v>
      </c>
    </row>
    <row r="65" spans="2:24" ht="13.8" x14ac:dyDescent="0.2">
      <c r="B65" s="8">
        <f t="shared" si="4"/>
      </c>
      <c r="C65" s="10">
        <v>60</v>
      </c>
      <c r="D65" t="s" s="13">
        <v>133</v>
      </c>
      <c r="E65" s="11">
        <f t="shared" si="5"/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</c>
      <c r="L65" s="7">
        <v>0</v>
      </c>
      <c r="M65" s="11">
        <f t="shared" si="2"/>
      </c>
      <c r="N65" s="11">
        <f t="shared" si="3"/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354</v>
      </c>
    </row>
    <row r="66" spans="2:24" ht="13.8" x14ac:dyDescent="0.2">
      <c r="B66" s="8">
        <f t="shared" si="4"/>
      </c>
      <c r="C66" s="10">
        <v>61</v>
      </c>
      <c r="D66" t="s" s="13">
        <v>206</v>
      </c>
      <c r="E66" s="11">
        <f t="shared" si="5"/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</c>
      <c r="L66" s="7">
        <v>1</v>
      </c>
      <c r="M66" s="11">
        <f t="shared" si="2"/>
      </c>
      <c r="N66" s="11">
        <f t="shared" si="3"/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355</v>
      </c>
    </row>
    <row r="67" spans="2:24" ht="13.8" x14ac:dyDescent="0.2">
      <c r="B67" s="8">
        <f t="shared" si="4"/>
      </c>
      <c r="C67" s="10">
        <v>62</v>
      </c>
      <c r="D67" t="s" s="13">
        <v>2031</v>
      </c>
      <c r="E67" s="11">
        <f t="shared" si="5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</c>
      <c r="L67" s="7">
        <v>0</v>
      </c>
      <c r="M67" s="11">
        <f t="shared" si="2"/>
      </c>
      <c r="N67" s="11">
        <f t="shared" si="3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2039</v>
      </c>
    </row>
    <row r="68" spans="2:24" ht="13.8" x14ac:dyDescent="0.2">
      <c r="B68" s="8">
        <f t="shared" si="4"/>
      </c>
      <c r="C68" s="10">
        <v>63</v>
      </c>
      <c r="D68" t="s" s="9">
        <v>134</v>
      </c>
      <c r="E68" s="11">
        <f t="shared" si="5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356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135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357</v>
      </c>
    </row>
    <row r="70" spans="2:24" ht="13.8" x14ac:dyDescent="0.2">
      <c r="B70" s="8">
        <f t="shared" si="10"/>
      </c>
      <c r="C70" s="10">
        <v>65</v>
      </c>
      <c r="D70" t="s" s="9">
        <v>1276</v>
      </c>
      <c r="E70" s="11">
        <f t="shared" si="11"/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8"/>
      </c>
      <c r="N70" s="11">
        <f t="shared" si="9"/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</c>
      <c r="X70" t="s" s="2">
        <v>1277</v>
      </c>
    </row>
    <row r="71" spans="2:24" ht="13.8" x14ac:dyDescent="0.2">
      <c r="B71" s="8">
        <f t="shared" si="10"/>
      </c>
      <c r="C71" s="10">
        <v>66</v>
      </c>
      <c r="D71" t="s" s="13">
        <v>136</v>
      </c>
      <c r="E71" s="11">
        <f t="shared" si="11"/>
      </c>
      <c r="F71" s="5">
        <v>425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</c>
      <c r="L71" s="7">
        <v>59</v>
      </c>
      <c r="M71" s="11">
        <f t="shared" si="8"/>
      </c>
      <c r="N71" s="11">
        <f t="shared" si="9"/>
      </c>
      <c r="O71" s="20">
        <v>101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</c>
      <c r="X71" t="s" s="2">
        <v>358</v>
      </c>
    </row>
    <row r="72" spans="2:24" ht="13.8" x14ac:dyDescent="0.2">
      <c r="B72" s="8">
        <f t="shared" si="10"/>
      </c>
      <c r="C72" s="10">
        <v>67</v>
      </c>
      <c r="D72" t="s" s="13">
        <v>945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562</v>
      </c>
    </row>
    <row r="73" spans="2:24" ht="13.8" x14ac:dyDescent="0.2">
      <c r="B73" s="8">
        <f t="shared" si="10"/>
      </c>
      <c r="C73" s="10">
        <v>68</v>
      </c>
      <c r="D73" t="s" s="13">
        <v>1465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1282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9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8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26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t="s" s="8">
        <v>946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2">
        <v>347</v>
      </c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2">
        <f t="shared" si="12"/>
      </c>
      <c r="L99" s="7">
        <v>9</v>
      </c>
      <c r="M99" s="11">
        <f t="shared" si="8"/>
      </c>
      <c r="N99" s="11">
        <f t="shared" si="9"/>
      </c>
      <c r="O99" s="20">
        <v>11</v>
      </c>
      <c r="P99" s="21">
        <v>4</v>
      </c>
      <c r="Q99" s="21">
        <v>0</v>
      </c>
      <c r="R99" s="22">
        <v>0</v>
      </c>
      <c r="S99" s="22">
        <v>1</v>
      </c>
      <c r="T99" s="20">
        <v>2</v>
      </c>
      <c r="U99" s="20">
        <v>0</v>
      </c>
      <c r="V99" s="20">
        <v>3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13">
        <v>1283</v>
      </c>
      <c r="E104" s="11">
        <f>IFERROR(IF(G104/F104=1,"1.00",G104/F104),"---")</f>
      </c>
      <c r="F104" s="5">
        <v>24</v>
      </c>
      <c r="G104" s="5">
        <v>7</v>
      </c>
      <c r="H104" s="5">
        <v>0</v>
      </c>
      <c r="I104" s="5">
        <v>1</v>
      </c>
      <c r="J104" s="6">
        <v>2</v>
      </c>
      <c r="K104" s="12">
        <f t="shared" si="12"/>
      </c>
      <c r="L104" s="7">
        <v>7</v>
      </c>
      <c r="M104" s="11">
        <f t="shared" si="8"/>
      </c>
      <c r="N104" s="11">
        <f t="shared" si="9"/>
      </c>
      <c r="O104" s="20">
        <v>10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1284</v>
      </c>
    </row>
    <row r="105" spans="2:24" ht="13.8" x14ac:dyDescent="0.2">
      <c r="B105" s="8">
        <f t="shared" si="10"/>
      </c>
      <c r="C105" s="10">
        <v>111</v>
      </c>
      <c r="D105" t="s" s="14">
        <v>2021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2035</v>
      </c>
    </row>
    <row r="106" spans="2:24" ht="13.8" x14ac:dyDescent="0.2">
      <c r="B106" s="8">
        <f t="shared" si="10"/>
      </c>
      <c r="C106" s="10">
        <v>112</v>
      </c>
      <c r="D106" t="s" s="9">
        <v>2022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2036</v>
      </c>
    </row>
    <row r="107" spans="2:24" ht="13.8" x14ac:dyDescent="0.2">
      <c r="B107" s="8">
        <f t="shared" si="10"/>
      </c>
      <c r="C107" s="10">
        <v>113</v>
      </c>
      <c r="D107" t="s" s="9">
        <v>2023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2037</v>
      </c>
    </row>
    <row r="108" spans="2:24" ht="13.8" x14ac:dyDescent="0.2">
      <c r="B108" s="8">
        <f t="shared" si="10"/>
      </c>
      <c r="C108" s="10">
        <v>114</v>
      </c>
      <c r="D108" t="s" s="9">
        <v>2024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963</v>
      </c>
    </row>
    <row r="109" spans="2:24" ht="13.8" x14ac:dyDescent="0.2">
      <c r="B109" s="8">
        <f t="shared" si="10"/>
      </c>
      <c r="C109" s="10">
        <v>115</v>
      </c>
      <c r="D109" t="s" s="9">
        <v>2025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964</v>
      </c>
    </row>
    <row r="110" spans="2:24" ht="13.8" x14ac:dyDescent="0.2">
      <c r="B110" s="8">
        <f t="shared" ref="B110:B122" si="13">IF(C110="","",C110)</f>
      </c>
      <c r="C110" s="10">
        <v>121</v>
      </c>
      <c r="D110" t="s" s="9">
        <v>1409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965</v>
      </c>
    </row>
    <row r="111" spans="2:24" ht="13.8" x14ac:dyDescent="0.2">
      <c r="B111" s="8">
        <f t="shared" si="13"/>
      </c>
      <c r="C111" s="10">
        <v>123</v>
      </c>
      <c r="D111" t="s" s="9">
        <v>2026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966</v>
      </c>
    </row>
    <row r="112" spans="2:24" ht="13.8" x14ac:dyDescent="0.2">
      <c r="B112" s="8">
        <f t="shared" si="13"/>
      </c>
      <c r="C112" s="10">
        <v>124</v>
      </c>
      <c r="D112" t="s" s="9">
        <v>1808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967</v>
      </c>
    </row>
    <row r="113" spans="2:24" ht="13.8" x14ac:dyDescent="0.2">
      <c r="B113" s="8">
        <f t="shared" si="13"/>
      </c>
      <c r="C113" s="10">
        <v>125</v>
      </c>
      <c r="D113" t="s" s="9">
        <v>1540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968</v>
      </c>
    </row>
    <row r="114" spans="2:24" ht="13.8" x14ac:dyDescent="0.2">
      <c r="B114" s="8">
        <f t="shared" si="13"/>
      </c>
      <c r="C114" s="10">
        <v>126</v>
      </c>
      <c r="D114" t="s" s="9">
        <v>2027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969</v>
      </c>
    </row>
    <row r="115" spans="2:24" ht="13.8" x14ac:dyDescent="0.2">
      <c r="B115" s="8">
        <f t="shared" si="13"/>
      </c>
      <c r="C115" s="10">
        <v>127</v>
      </c>
      <c r="D115" t="s" s="9">
        <v>1754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970</v>
      </c>
    </row>
    <row r="116" spans="2:24" ht="13.8" x14ac:dyDescent="0.2">
      <c r="B116" s="8">
        <f t="shared" si="13"/>
      </c>
      <c r="C116" s="10">
        <v>128</v>
      </c>
      <c r="D116" t="s" s="9">
        <v>2028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971</v>
      </c>
    </row>
    <row r="117" spans="2:24" ht="13.8" x14ac:dyDescent="0.2">
      <c r="B117" s="8">
        <f t="shared" si="13"/>
      </c>
      <c r="C117" s="10">
        <v>130</v>
      </c>
      <c r="D117" t="s" s="9">
        <v>2029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2038</v>
      </c>
    </row>
    <row r="118" spans="2:24" ht="13.8" x14ac:dyDescent="0.2">
      <c r="B118" s="8">
        <f t="shared" si="13"/>
      </c>
      <c r="C118" s="10">
        <v>137</v>
      </c>
      <c r="D118" t="s" s="9">
        <v>2030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344</v>
      </c>
    </row>
    <row r="119" spans="2:24" ht="13.8" x14ac:dyDescent="0.2">
      <c r="B119" s="8">
        <f t="shared" si="13"/>
      </c>
      <c r="C119" s="10">
        <v>162</v>
      </c>
      <c r="D119" t="s" s="9">
        <v>2031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2039</v>
      </c>
    </row>
    <row r="120" spans="2:24" ht="13.8" x14ac:dyDescent="0.2">
      <c r="B120" s="8">
        <f t="shared" si="13"/>
      </c>
      <c r="C120" s="10">
        <v>165</v>
      </c>
      <c r="D120" t="s" s="9">
        <v>2032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2040</v>
      </c>
    </row>
    <row r="121" spans="2:24" ht="13.8" x14ac:dyDescent="0.2">
      <c r="B121" s="8">
        <f t="shared" si="13"/>
      </c>
      <c r="C121" s="10">
        <v>168</v>
      </c>
      <c r="D121" t="s" s="9">
        <v>2033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2041</v>
      </c>
    </row>
    <row r="122" spans="2:24" ht="13.8" x14ac:dyDescent="0.2">
      <c r="B122" s="8">
        <f t="shared" si="13"/>
      </c>
      <c r="C122" s="10">
        <v>196</v>
      </c>
      <c r="D122" t="s" s="9">
        <v>2034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2042</v>
      </c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ref="M132:M134" si="14">IFERROR(IF((G132+P132+Q132)/(F132+P132+Q132+S132)=1,"1.00",(G132+P132+Q132)/(F132+P132+Q132+S132)),0)</f>
      </c>
      <c r="N132" s="11">
        <f t="shared" ref="N132:N134" si="15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6">IF(C133="","",C133)</f>
      </c>
      <c r="C133" s="10"/>
      <c r="D133" s="9"/>
      <c r="E133" s="11">
        <f t="shared" ref="E133:E134" si="17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</c>
      <c r="L133" s="7">
        <v>0</v>
      </c>
      <c r="M133" s="11">
        <f t="shared" si="14"/>
      </c>
      <c r="N133" s="11">
        <f t="shared" si="15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6"/>
      </c>
      <c r="C134" s="10"/>
      <c r="D134" s="9"/>
      <c r="E134" s="11">
        <f t="shared" si="17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</c>
      <c r="L134" s="7">
        <v>0</v>
      </c>
      <c r="M134" s="11">
        <f t="shared" si="14"/>
      </c>
      <c r="N134" s="11">
        <f t="shared" si="15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G25" sqref="G2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838</v>
      </c>
      <c r="E4" s="11">
        <f t="shared" ref="E4:E68" si="2">IFERROR(IF(G4/F4=1,"1.00",G4/F4),"---")</f>
      </c>
      <c r="F4" s="5">
        <v>3</v>
      </c>
      <c r="G4" s="5">
        <v>1</v>
      </c>
      <c r="H4" s="5">
        <v>1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805</v>
      </c>
    </row>
    <row r="5" spans="2:24" ht="13.8" x14ac:dyDescent="0.2">
      <c r="B5" s="8">
        <f t="shared" ref="B5:B68" si="6">IF(C5="","",C5)</f>
      </c>
      <c r="C5" s="10">
        <v>0</v>
      </c>
      <c r="D5" t="s" s="13">
        <v>157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431</v>
      </c>
    </row>
    <row r="6" spans="2:24" ht="13.8" x14ac:dyDescent="0.2">
      <c r="B6" s="8">
        <f t="shared" si="6"/>
      </c>
      <c r="C6" s="10">
        <v>1</v>
      </c>
      <c r="D6" t="s" s="13">
        <v>1561</v>
      </c>
      <c r="E6" s="11">
        <f t="shared" si="2"/>
      </c>
      <c r="F6" s="5">
        <v>6</v>
      </c>
      <c r="G6" s="5">
        <v>3</v>
      </c>
      <c r="H6" s="5">
        <v>1</v>
      </c>
      <c r="I6" s="5">
        <v>0</v>
      </c>
      <c r="J6" s="6">
        <v>0</v>
      </c>
      <c r="K6" s="12">
        <f t="shared" si="7"/>
      </c>
      <c r="L6" s="7">
        <v>1</v>
      </c>
      <c r="M6" s="11">
        <f t="shared" si="8"/>
      </c>
      <c r="N6" s="11">
        <f t="shared" si="9"/>
      </c>
      <c r="O6" s="20">
        <v>1</v>
      </c>
      <c r="P6" s="21">
        <v>1</v>
      </c>
      <c r="Q6" s="21">
        <v>0</v>
      </c>
      <c r="R6" s="22">
        <v>0</v>
      </c>
      <c r="S6" s="22">
        <v>0</v>
      </c>
      <c r="T6" s="20">
        <v>1</v>
      </c>
      <c r="U6" s="20">
        <v>0</v>
      </c>
      <c r="V6" s="20">
        <v>0</v>
      </c>
      <c r="W6" s="63">
        <f>IFERROR(CalcRC27(F6,G6,K6,O6,P6,Q6,R6,S6,T6,U6,V6),"-")</f>
      </c>
      <c r="X6" t="s" s="2">
        <v>806</v>
      </c>
    </row>
    <row r="7" spans="2:24" ht="13.8" x14ac:dyDescent="0.2">
      <c r="B7" s="8">
        <f t="shared" si="6"/>
      </c>
      <c r="C7" s="10">
        <v>2</v>
      </c>
      <c r="D7" t="s" s="13">
        <v>814</v>
      </c>
      <c r="E7" s="11">
        <f t="shared" si="2"/>
      </c>
      <c r="F7" s="5">
        <v>4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1</v>
      </c>
      <c r="U7" s="20">
        <v>0</v>
      </c>
      <c r="V7" s="20">
        <v>0</v>
      </c>
      <c r="W7" s="63">
        <f>IFERROR(CalcRC27(F7,G7,K7,O7,P7,Q7,R7,S7,T7,U7,V7),"-")</f>
      </c>
      <c r="X7" t="s" s="2">
        <v>807</v>
      </c>
    </row>
    <row r="8" spans="2:24" ht="13.8" x14ac:dyDescent="0.2">
      <c r="B8" s="8">
        <f t="shared" si="6"/>
      </c>
      <c r="C8" s="10">
        <v>3</v>
      </c>
      <c r="D8" t="s" s="13">
        <v>158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432</v>
      </c>
    </row>
    <row r="9" spans="2:24" ht="13.8" x14ac:dyDescent="0.2">
      <c r="B9" s="8">
        <f t="shared" si="6"/>
      </c>
      <c r="C9" s="10">
        <v>4</v>
      </c>
      <c r="D9" t="s" s="13">
        <v>1736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1777</v>
      </c>
    </row>
    <row r="10" spans="2:24" ht="13.8" x14ac:dyDescent="0.2">
      <c r="B10" s="8">
        <f t="shared" si="6"/>
      </c>
      <c r="C10" s="10">
        <v>5</v>
      </c>
      <c r="D10" t="s" s="13">
        <v>833</v>
      </c>
      <c r="E10" s="11">
        <f t="shared" si="2"/>
      </c>
      <c r="F10" s="5">
        <v>2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434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>
        <v>7</v>
      </c>
      <c r="D12" t="s" s="13">
        <v>1737</v>
      </c>
      <c r="E12" s="11">
        <f t="shared" si="2"/>
      </c>
      <c r="F12" s="5">
        <v>3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1</v>
      </c>
      <c r="S12" s="22">
        <v>0</v>
      </c>
      <c r="T12" s="20">
        <v>1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433</v>
      </c>
    </row>
    <row r="13" spans="2:24" ht="13.8" x14ac:dyDescent="0.2">
      <c r="B13" s="8">
        <f t="shared" si="6"/>
      </c>
      <c r="C13" s="10">
        <v>8</v>
      </c>
      <c r="D13" t="s" s="13">
        <v>1677</v>
      </c>
      <c r="E13" s="11">
        <f t="shared" si="2"/>
      </c>
      <c r="F13" s="5">
        <v>3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435</v>
      </c>
    </row>
    <row r="14" spans="2:24" ht="13.8" x14ac:dyDescent="0.2">
      <c r="B14" s="8">
        <f t="shared" si="6"/>
      </c>
      <c r="C14" s="10">
        <v>9</v>
      </c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>
        <v>10</v>
      </c>
      <c r="D15" t="s" s="13">
        <v>1454</v>
      </c>
      <c r="E15" s="11">
        <f t="shared" si="2"/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1778</v>
      </c>
    </row>
    <row r="16" spans="2:24" ht="13.8" x14ac:dyDescent="0.2">
      <c r="B16" s="8">
        <f t="shared" si="6"/>
      </c>
      <c r="C16" s="10">
        <v>11</v>
      </c>
      <c r="D16" t="s" s="13">
        <v>1738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1779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159</v>
      </c>
      <c r="E18" s="11">
        <f t="shared" si="2"/>
      </c>
      <c r="F18" s="5">
        <v>5</v>
      </c>
      <c r="G18" s="5">
        <v>1</v>
      </c>
      <c r="H18" s="5">
        <v>0</v>
      </c>
      <c r="I18" s="5">
        <v>0</v>
      </c>
      <c r="J18" s="6">
        <v>0</v>
      </c>
      <c r="K18" s="12">
        <f t="shared" si="7"/>
      </c>
      <c r="L18" s="7">
        <v>3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437</v>
      </c>
    </row>
    <row r="19" spans="2:24" ht="13.8" x14ac:dyDescent="0.2">
      <c r="B19" s="8">
        <f t="shared" si="6"/>
      </c>
      <c r="C19" s="10">
        <v>14</v>
      </c>
      <c r="D19" t="s" s="13">
        <v>815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808</v>
      </c>
    </row>
    <row r="20" spans="2:24" ht="13.8" x14ac:dyDescent="0.2">
      <c r="B20" s="8">
        <f t="shared" si="6"/>
      </c>
      <c r="C20" s="10">
        <v>15</v>
      </c>
      <c r="D20" t="s" s="8">
        <v>160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438</v>
      </c>
    </row>
    <row r="21" spans="2:24" ht="13.8" x14ac:dyDescent="0.2">
      <c r="B21" s="8">
        <f t="shared" si="6"/>
      </c>
      <c r="C21" s="10">
        <v>16</v>
      </c>
      <c r="D21" t="s" s="13">
        <v>161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439</v>
      </c>
    </row>
    <row r="22" spans="2:24" ht="13.8" x14ac:dyDescent="0.2">
      <c r="B22" s="8">
        <f t="shared" si="6"/>
      </c>
      <c r="C22" s="10">
        <v>17</v>
      </c>
      <c r="D22" t="s" s="13">
        <v>162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155</v>
      </c>
    </row>
    <row r="23" spans="2:24" ht="13.8" x14ac:dyDescent="0.2">
      <c r="B23" s="8">
        <f t="shared" si="6"/>
      </c>
      <c r="C23" s="10">
        <v>18</v>
      </c>
      <c r="D23" t="s" s="13">
        <v>163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440</v>
      </c>
    </row>
    <row r="24" spans="2:24" ht="13.8" x14ac:dyDescent="0.2">
      <c r="B24" s="8">
        <f t="shared" si="6"/>
      </c>
      <c r="C24" s="10">
        <v>19</v>
      </c>
      <c r="D24" t="s" s="13">
        <v>164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441</v>
      </c>
    </row>
    <row r="25" spans="2:24" ht="13.8" x14ac:dyDescent="0.2">
      <c r="B25" s="8">
        <f t="shared" si="6"/>
      </c>
      <c r="C25" s="10">
        <v>20</v>
      </c>
      <c r="D25" t="s" s="13">
        <v>165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442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>
        <v>22</v>
      </c>
      <c r="D27" t="s" s="13">
        <v>1739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1989</v>
      </c>
    </row>
    <row r="28" spans="2:24" ht="13.8" x14ac:dyDescent="0.2">
      <c r="B28" s="8">
        <f t="shared" si="6"/>
      </c>
      <c r="C28" s="10">
        <v>23</v>
      </c>
      <c r="D28" t="s" s="13">
        <v>1740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1780</v>
      </c>
    </row>
    <row r="29" spans="2:24" ht="13.8" x14ac:dyDescent="0.2">
      <c r="B29" s="8">
        <f t="shared" si="6"/>
      </c>
      <c r="C29" s="10">
        <v>24</v>
      </c>
      <c r="D29" t="s" s="13">
        <v>166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444</v>
      </c>
    </row>
    <row r="30" spans="2:24" ht="13.8" x14ac:dyDescent="0.2">
      <c r="B30" s="8">
        <f t="shared" si="6"/>
      </c>
      <c r="C30" s="10">
        <v>25</v>
      </c>
      <c r="D30" t="s" s="13">
        <v>167</v>
      </c>
      <c r="E30" s="11">
        <f t="shared" si="2"/>
      </c>
      <c r="F30" s="5">
        <v>2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445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1657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443</v>
      </c>
    </row>
    <row r="33" spans="2:24" ht="13.8" x14ac:dyDescent="0.2">
      <c r="B33" s="8">
        <f t="shared" si="6"/>
      </c>
      <c r="C33" s="10">
        <v>28</v>
      </c>
      <c r="D33" t="s" s="13">
        <v>1741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1781</v>
      </c>
    </row>
    <row r="34" spans="2:24" ht="13.8" x14ac:dyDescent="0.2">
      <c r="B34" s="8">
        <f t="shared" si="6"/>
      </c>
      <c r="C34" s="10">
        <v>29</v>
      </c>
      <c r="D34" t="s" s="13">
        <v>101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446</v>
      </c>
    </row>
    <row r="35" spans="2:24" ht="13.8" x14ac:dyDescent="0.2">
      <c r="B35" s="8">
        <f t="shared" si="6"/>
      </c>
      <c r="C35" s="10">
        <v>30</v>
      </c>
      <c r="D35" t="s" s="13">
        <v>816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809</v>
      </c>
    </row>
    <row r="36" spans="2:24" ht="13.8" x14ac:dyDescent="0.2">
      <c r="B36" s="8">
        <f t="shared" si="6"/>
      </c>
      <c r="C36" s="10">
        <v>31</v>
      </c>
      <c r="D36" t="s" s="13">
        <v>1742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1782</v>
      </c>
    </row>
    <row r="37" spans="2:24" ht="13.8" x14ac:dyDescent="0.2">
      <c r="B37" s="8">
        <f t="shared" si="6"/>
      </c>
      <c r="C37" s="10">
        <v>32</v>
      </c>
      <c r="D37" t="s" s="13">
        <v>1020</v>
      </c>
      <c r="E37" s="11">
        <f t="shared" si="2"/>
      </c>
      <c r="F37" s="5">
        <v>4</v>
      </c>
      <c r="G37" s="5">
        <v>1</v>
      </c>
      <c r="H37" s="5">
        <v>0</v>
      </c>
      <c r="I37" s="5">
        <v>0</v>
      </c>
      <c r="J37" s="6">
        <v>0</v>
      </c>
      <c r="K37" s="12">
        <f t="shared" si="7"/>
      </c>
      <c r="L37" s="7">
        <v>2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156</v>
      </c>
    </row>
    <row r="38" spans="2:24" ht="13.8" x14ac:dyDescent="0.2">
      <c r="B38" s="8">
        <f t="shared" si="6"/>
      </c>
      <c r="C38" s="10">
        <v>33</v>
      </c>
      <c r="D38" t="s" s="13">
        <v>817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810</v>
      </c>
    </row>
    <row r="39" spans="2:24" ht="13.8" x14ac:dyDescent="0.2">
      <c r="B39" s="8">
        <f t="shared" si="6"/>
      </c>
      <c r="C39" s="10">
        <v>34</v>
      </c>
      <c r="D39" t="s" s="13">
        <v>1743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1783</v>
      </c>
    </row>
    <row r="40" spans="2:24" ht="13.8" x14ac:dyDescent="0.2">
      <c r="B40" s="8">
        <f t="shared" si="6"/>
      </c>
      <c r="C40" s="10">
        <v>35</v>
      </c>
      <c r="D40" t="s" s="13">
        <v>1744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1784</v>
      </c>
    </row>
    <row r="41" spans="2:24" ht="13.8" x14ac:dyDescent="0.2">
      <c r="B41" s="8">
        <f t="shared" si="6"/>
      </c>
      <c r="C41" s="10">
        <v>36</v>
      </c>
      <c r="D41" t="s" s="13">
        <v>1745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1785</v>
      </c>
    </row>
    <row r="42" spans="2:24" ht="13.8" x14ac:dyDescent="0.2">
      <c r="B42" s="8">
        <f t="shared" si="6"/>
      </c>
      <c r="C42" s="10">
        <v>37</v>
      </c>
      <c r="D42" t="s" s="13">
        <v>1746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450</v>
      </c>
    </row>
    <row r="43" spans="2:24" ht="13.8" x14ac:dyDescent="0.2">
      <c r="B43" s="8">
        <f t="shared" si="6"/>
      </c>
      <c r="C43" s="10">
        <v>38</v>
      </c>
      <c r="D43" t="s" s="13">
        <v>642</v>
      </c>
      <c r="E43" s="11">
        <f t="shared" si="2"/>
      </c>
      <c r="F43" s="5">
        <v>2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646</v>
      </c>
    </row>
    <row r="44" spans="2:24" ht="13.8" x14ac:dyDescent="0.2">
      <c r="B44" s="8">
        <f t="shared" si="6"/>
      </c>
      <c r="C44" s="10">
        <v>39</v>
      </c>
      <c r="D44" t="s" s="13">
        <v>1747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217</v>
      </c>
    </row>
    <row r="45" spans="2:24" ht="13.8" x14ac:dyDescent="0.2">
      <c r="B45" s="8">
        <f t="shared" si="6"/>
      </c>
      <c r="C45" s="10">
        <v>40</v>
      </c>
      <c r="D45" t="s" s="13">
        <v>1748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1786</v>
      </c>
    </row>
    <row r="46" spans="2:24" ht="13.8" x14ac:dyDescent="0.2">
      <c r="B46" s="8">
        <f t="shared" si="6"/>
      </c>
      <c r="C46" s="10">
        <v>41</v>
      </c>
      <c r="D46" t="s" s="13">
        <v>1749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1990</v>
      </c>
    </row>
    <row r="47" spans="2:24" ht="13.8" x14ac:dyDescent="0.2">
      <c r="B47" s="8">
        <f t="shared" si="6"/>
      </c>
      <c r="C47" s="10">
        <v>42</v>
      </c>
      <c r="D47" t="s" s="13">
        <v>1750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1991</v>
      </c>
    </row>
    <row r="48" spans="2:24" ht="13.8" x14ac:dyDescent="0.2">
      <c r="B48" s="8">
        <f t="shared" si="6"/>
      </c>
      <c r="C48" s="10">
        <v>43</v>
      </c>
      <c r="D48" t="s" s="13">
        <v>818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811</v>
      </c>
    </row>
    <row r="49" spans="2:24" ht="13.8" x14ac:dyDescent="0.2">
      <c r="B49" s="8">
        <f t="shared" si="6"/>
      </c>
      <c r="C49" s="10">
        <v>44</v>
      </c>
      <c r="D49" t="s" s="13">
        <v>1330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451</v>
      </c>
    </row>
    <row r="50" spans="2:24" ht="13.8" x14ac:dyDescent="0.2">
      <c r="B50" s="8">
        <f t="shared" si="6"/>
      </c>
      <c r="C50" s="10">
        <v>45</v>
      </c>
      <c r="D50" t="s" s="13">
        <v>1751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464</v>
      </c>
    </row>
    <row r="51" spans="2:24" ht="13.8" x14ac:dyDescent="0.2">
      <c r="B51" s="8">
        <f t="shared" si="6"/>
      </c>
      <c r="C51" s="10">
        <v>46</v>
      </c>
      <c r="D51" t="s" s="13">
        <v>168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452</v>
      </c>
    </row>
    <row r="52" spans="2:24" ht="13.8" x14ac:dyDescent="0.2">
      <c r="B52" s="8">
        <f t="shared" si="6"/>
      </c>
      <c r="C52" s="10">
        <v>47</v>
      </c>
      <c r="D52" t="s" s="13">
        <v>1752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449</v>
      </c>
    </row>
    <row r="53" spans="2:24" ht="13.8" x14ac:dyDescent="0.2">
      <c r="B53" s="8">
        <f t="shared" si="6"/>
      </c>
      <c r="C53" s="10">
        <v>48</v>
      </c>
      <c r="D53" t="s" s="13">
        <v>169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453</v>
      </c>
    </row>
    <row r="54" spans="2:24" ht="13.8" x14ac:dyDescent="0.2">
      <c r="B54" s="8">
        <f t="shared" si="6"/>
      </c>
      <c r="C54" s="10">
        <v>49</v>
      </c>
      <c r="D54" t="s" s="13">
        <v>648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649</v>
      </c>
    </row>
    <row r="55" spans="2:24" ht="13.8" x14ac:dyDescent="0.2">
      <c r="B55" s="8">
        <f t="shared" si="6"/>
      </c>
      <c r="C55" s="10">
        <v>50</v>
      </c>
      <c r="D55" t="s" s="13">
        <v>1753</v>
      </c>
      <c r="E55" s="11">
        <f t="shared" si="2"/>
      </c>
      <c r="F55" s="5">
        <v>1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1753</v>
      </c>
    </row>
    <row r="56" spans="2:24" ht="13.8" x14ac:dyDescent="0.2">
      <c r="B56" s="8">
        <f t="shared" si="6"/>
      </c>
      <c r="C56" s="10">
        <v>51</v>
      </c>
      <c r="D56" t="s" s="13">
        <v>1754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454</v>
      </c>
    </row>
    <row r="57" spans="2:24" ht="13.8" x14ac:dyDescent="0.2">
      <c r="B57" s="8">
        <f t="shared" si="6"/>
      </c>
      <c r="C57" s="10">
        <v>52</v>
      </c>
      <c r="D57" t="s" s="13">
        <v>905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455</v>
      </c>
    </row>
    <row r="58" spans="2:24" ht="13.8" x14ac:dyDescent="0.2">
      <c r="B58" s="8">
        <f t="shared" si="6"/>
      </c>
      <c r="C58" s="10">
        <v>53</v>
      </c>
      <c r="D58" t="s" s="13">
        <v>1541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1787</v>
      </c>
    </row>
    <row r="59" spans="2:24" ht="13.8" x14ac:dyDescent="0.2">
      <c r="B59" s="8">
        <f t="shared" si="6"/>
      </c>
      <c r="C59" s="10">
        <v>54</v>
      </c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>
        <v>55</v>
      </c>
      <c r="D60" t="s" s="13">
        <v>1755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463</v>
      </c>
    </row>
    <row r="61" spans="2:24" ht="13.8" x14ac:dyDescent="0.2">
      <c r="B61" s="8">
        <f t="shared" si="6"/>
      </c>
      <c r="C61" s="10">
        <v>56</v>
      </c>
      <c r="D61" t="s" s="13">
        <v>208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456</v>
      </c>
    </row>
    <row r="62" spans="2:24" ht="13.8" x14ac:dyDescent="0.2">
      <c r="B62" s="8">
        <f t="shared" si="6"/>
      </c>
      <c r="C62" s="10">
        <v>57</v>
      </c>
      <c r="D62" t="s" s="13">
        <v>1293</v>
      </c>
      <c r="E62" s="11">
        <f t="shared" si="2"/>
      </c>
      <c r="F62" s="5">
        <v>2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457</v>
      </c>
    </row>
    <row r="63" spans="2:24" ht="13.8" x14ac:dyDescent="0.2">
      <c r="B63" s="8">
        <f t="shared" si="6"/>
      </c>
      <c r="C63" s="10">
        <v>58</v>
      </c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>
        <v>59</v>
      </c>
      <c r="D64" t="s" s="13">
        <v>1756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1788</v>
      </c>
    </row>
    <row r="65" spans="2:24" ht="13.8" x14ac:dyDescent="0.2">
      <c r="B65" s="8">
        <f t="shared" si="6"/>
      </c>
      <c r="C65" s="10">
        <v>60</v>
      </c>
      <c r="D65" t="s" s="13">
        <v>1757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459</v>
      </c>
    </row>
    <row r="66" spans="2:24" ht="13.8" x14ac:dyDescent="0.2">
      <c r="B66" s="8">
        <f t="shared" si="6"/>
      </c>
      <c r="C66" s="10">
        <v>61</v>
      </c>
      <c r="D66" t="s" s="13">
        <v>1295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1789</v>
      </c>
    </row>
    <row r="67" spans="2:24" ht="13.8" x14ac:dyDescent="0.2">
      <c r="B67" s="8">
        <f t="shared" si="6"/>
      </c>
      <c r="C67" s="10">
        <v>62</v>
      </c>
      <c r="D67" t="s" s="13">
        <v>1438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813</v>
      </c>
    </row>
    <row r="68" spans="2:24" ht="13.8" x14ac:dyDescent="0.2">
      <c r="B68" s="8">
        <f t="shared" si="6"/>
      </c>
      <c r="C68" s="10">
        <v>63</v>
      </c>
      <c r="D68" t="s" s="9">
        <v>209</v>
      </c>
      <c r="E68" s="11">
        <f t="shared" si="2"/>
      </c>
      <c r="F68" s="5">
        <v>2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</c>
      <c r="L68" s="7">
        <v>1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1</v>
      </c>
      <c r="U68" s="20">
        <v>1</v>
      </c>
      <c r="V68" s="20">
        <v>0</v>
      </c>
      <c r="W68" s="63">
        <f>IFERROR(CalcRC27(F68,G68,K68,O68,P68,Q68,R68,S68,T68,U68,V68),"-")</f>
      </c>
      <c r="X68" t="s" s="2">
        <v>210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1758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1992</v>
      </c>
    </row>
    <row r="70" spans="2:24" ht="13.8" x14ac:dyDescent="0.2">
      <c r="B70" s="8">
        <f t="shared" si="10"/>
      </c>
      <c r="C70" s="10">
        <v>65</v>
      </c>
      <c r="D70" t="s" s="9">
        <v>1759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1790</v>
      </c>
    </row>
    <row r="71" spans="2:24" ht="13.8" x14ac:dyDescent="0.2">
      <c r="B71" s="8">
        <f t="shared" si="10"/>
      </c>
      <c r="C71" s="10">
        <v>66</v>
      </c>
      <c r="D71" t="s" s="13">
        <v>1760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422</v>
      </c>
    </row>
    <row r="72" spans="2:24" ht="13.8" x14ac:dyDescent="0.2">
      <c r="B72" s="8">
        <f t="shared" si="10"/>
      </c>
      <c r="C72" s="10">
        <v>67</v>
      </c>
      <c r="D72" t="s" s="13">
        <v>170</v>
      </c>
      <c r="E72" s="11">
        <f t="shared" si="11"/>
      </c>
      <c r="F72" s="5">
        <v>3</v>
      </c>
      <c r="G72" s="5">
        <v>1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461</v>
      </c>
    </row>
    <row r="73" spans="2:24" ht="13.8" x14ac:dyDescent="0.2">
      <c r="B73" s="8">
        <f t="shared" si="10"/>
      </c>
      <c r="C73" s="10">
        <v>68</v>
      </c>
      <c r="D73" t="s" s="13">
        <v>1761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1791</v>
      </c>
    </row>
    <row r="74" spans="2:24" ht="13.8" x14ac:dyDescent="0.2">
      <c r="B74" s="8">
        <f t="shared" si="10"/>
      </c>
      <c r="C74" s="10">
        <v>69</v>
      </c>
      <c r="D74" t="s" s="13">
        <v>1675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1993</v>
      </c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t="s" s="8">
        <v>647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2">
        <v>640</v>
      </c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t="s" s="13">
        <v>1751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2">
        <v>464</v>
      </c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185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1994</v>
      </c>
    </row>
    <row r="105" spans="2:24" ht="13.8" x14ac:dyDescent="0.2">
      <c r="B105" s="8">
        <f t="shared" si="10"/>
      </c>
      <c r="C105" s="10">
        <v>120</v>
      </c>
      <c r="D105" t="s" s="14">
        <v>1762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1792</v>
      </c>
    </row>
    <row r="106" spans="2:24" ht="13.8" x14ac:dyDescent="0.2">
      <c r="B106" s="8">
        <f t="shared" si="10"/>
      </c>
      <c r="C106" s="10">
        <v>121</v>
      </c>
      <c r="D106" t="s" s="9">
        <v>1763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448</v>
      </c>
    </row>
    <row r="107" spans="2:24" ht="13.8" x14ac:dyDescent="0.2">
      <c r="B107" s="8">
        <f t="shared" si="10"/>
      </c>
      <c r="C107" s="10">
        <v>122</v>
      </c>
      <c r="D107" t="s" s="9">
        <v>1764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436</v>
      </c>
    </row>
    <row r="108" spans="2:24" ht="13.8" x14ac:dyDescent="0.2">
      <c r="B108" s="8">
        <f t="shared" si="10"/>
      </c>
      <c r="C108" s="10">
        <v>123</v>
      </c>
      <c r="D108" t="s" s="9">
        <v>1765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458</v>
      </c>
    </row>
    <row r="109" spans="2:24" ht="13.8" x14ac:dyDescent="0.2">
      <c r="B109" s="8">
        <f t="shared" si="10"/>
      </c>
      <c r="C109" s="10">
        <v>124</v>
      </c>
      <c r="D109" t="s" s="9">
        <v>1766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460</v>
      </c>
    </row>
    <row r="110" spans="2:24" ht="13.8" x14ac:dyDescent="0.2">
      <c r="B110" s="8">
        <f t="shared" si="10"/>
      </c>
      <c r="C110" s="10">
        <v>125</v>
      </c>
      <c r="D110" t="s" s="9">
        <v>1767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1793</v>
      </c>
    </row>
    <row r="111" spans="2:24" ht="13.8" x14ac:dyDescent="0.2">
      <c r="B111" s="8">
        <f t="shared" si="10"/>
      </c>
      <c r="C111" s="10">
        <v>126</v>
      </c>
      <c r="D111" t="s" s="9">
        <v>1768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1794</v>
      </c>
    </row>
    <row r="112" spans="2:24" ht="13.8" x14ac:dyDescent="0.2">
      <c r="B112" s="8">
        <f t="shared" si="10"/>
      </c>
      <c r="C112" s="10">
        <v>127</v>
      </c>
      <c r="D112" t="s" s="9">
        <v>1769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1795</v>
      </c>
    </row>
    <row r="113" spans="2:24" ht="13.8" x14ac:dyDescent="0.2">
      <c r="B113" s="8">
        <f t="shared" si="10"/>
      </c>
      <c r="C113" s="10">
        <v>128</v>
      </c>
      <c r="D113" t="s" s="9">
        <v>1770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1796</v>
      </c>
    </row>
    <row r="114" spans="2:24" ht="13.8" x14ac:dyDescent="0.2">
      <c r="B114" s="8">
        <f t="shared" si="10"/>
      </c>
      <c r="C114" s="10">
        <v>129</v>
      </c>
      <c r="D114" t="s" s="9">
        <v>770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1797</v>
      </c>
    </row>
    <row r="115" spans="2:24" ht="13.8" x14ac:dyDescent="0.2">
      <c r="B115" s="8">
        <f t="shared" si="10"/>
      </c>
      <c r="C115" s="10">
        <v>130</v>
      </c>
      <c r="D115" t="s" s="9">
        <v>1771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1798</v>
      </c>
    </row>
    <row r="116" spans="2:24" ht="13.8" x14ac:dyDescent="0.2">
      <c r="B116" s="8">
        <f t="shared" si="10"/>
      </c>
      <c r="C116" s="10">
        <v>131</v>
      </c>
      <c r="D116" t="s" s="9">
        <v>1772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447</v>
      </c>
    </row>
    <row r="117" spans="2:24" ht="13.8" x14ac:dyDescent="0.2">
      <c r="B117" s="8">
        <f t="shared" si="10"/>
      </c>
      <c r="C117" s="10">
        <v>132</v>
      </c>
      <c r="D117" t="s" s="9">
        <v>1773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506</v>
      </c>
    </row>
    <row r="118" spans="2:24" ht="13.8" x14ac:dyDescent="0.2">
      <c r="B118" s="8">
        <f t="shared" si="10"/>
      </c>
      <c r="C118" s="10">
        <v>133</v>
      </c>
      <c r="D118" t="s" s="9">
        <v>1658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1799</v>
      </c>
    </row>
    <row r="119" spans="2:24" ht="13.8" x14ac:dyDescent="0.2">
      <c r="B119" s="8">
        <f t="shared" si="10"/>
      </c>
      <c r="C119" s="10">
        <v>134</v>
      </c>
      <c r="D119" t="s" s="9">
        <v>1774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1800</v>
      </c>
    </row>
    <row r="120" spans="2:24" ht="13.8" x14ac:dyDescent="0.2">
      <c r="B120" s="8">
        <f t="shared" si="10"/>
      </c>
      <c r="C120" s="10">
        <v>135</v>
      </c>
      <c r="D120" t="s" s="9">
        <v>1775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1801</v>
      </c>
    </row>
    <row r="121" spans="2:24" ht="13.8" x14ac:dyDescent="0.2">
      <c r="B121" s="8">
        <f t="shared" si="10"/>
      </c>
      <c r="C121" s="10">
        <v>136</v>
      </c>
      <c r="D121" t="s" s="9">
        <v>1540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1802</v>
      </c>
    </row>
    <row r="122" spans="2:24" ht="13.8" x14ac:dyDescent="0.2">
      <c r="B122" s="8">
        <f t="shared" si="10"/>
      </c>
      <c r="C122" s="10">
        <v>137</v>
      </c>
      <c r="D122" t="s" s="9">
        <v>1776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1803</v>
      </c>
    </row>
    <row r="123" spans="2:24" ht="13.8" x14ac:dyDescent="0.2">
      <c r="B123" s="8">
        <f t="shared" si="10"/>
      </c>
      <c r="C123" s="10">
        <v>138</v>
      </c>
      <c r="D123" t="s" s="9">
        <v>1539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427</v>
      </c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t="s" s="13">
        <v>1804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1995</v>
      </c>
    </row>
    <row r="5" spans="2:24" ht="13.8" x14ac:dyDescent="0.2">
      <c r="B5" s="8">
        <f t="shared" ref="B5:B68" si="6">IF(C5="","",C5)</f>
      </c>
      <c r="C5" s="10">
        <v>0</v>
      </c>
      <c r="D5" t="s" s="13">
        <v>840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1242</v>
      </c>
    </row>
    <row r="6" spans="2:24" ht="13.8" x14ac:dyDescent="0.2">
      <c r="B6" s="8">
        <f t="shared" si="6"/>
      </c>
      <c r="C6" s="10">
        <v>1</v>
      </c>
      <c r="D6" t="s" s="13">
        <v>1441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1243</v>
      </c>
    </row>
    <row r="7" spans="2:24" ht="13.8" x14ac:dyDescent="0.2">
      <c r="B7" s="8">
        <f t="shared" si="6"/>
      </c>
      <c r="C7" s="10">
        <v>2</v>
      </c>
      <c r="D7" t="s" s="13">
        <v>212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396</v>
      </c>
    </row>
    <row r="8" spans="2:24" ht="13.8" x14ac:dyDescent="0.2">
      <c r="B8" s="8">
        <f t="shared" si="6"/>
      </c>
      <c r="C8" s="10">
        <v>3</v>
      </c>
      <c r="D8" t="s" s="13">
        <v>100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397</v>
      </c>
    </row>
    <row r="9" spans="2:24" ht="13.8" x14ac:dyDescent="0.2">
      <c r="B9" s="8">
        <f t="shared" si="6"/>
      </c>
      <c r="C9" s="10">
        <v>4</v>
      </c>
      <c r="D9" t="s" s="13">
        <v>1438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473</v>
      </c>
    </row>
    <row r="10" spans="2:24" ht="13.8" x14ac:dyDescent="0.2">
      <c r="B10" s="8">
        <f t="shared" si="6"/>
      </c>
      <c r="C10" s="10">
        <v>5</v>
      </c>
      <c r="D10" t="s" s="13">
        <v>101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398</v>
      </c>
    </row>
    <row r="11" spans="2:24" ht="13.8" x14ac:dyDescent="0.2">
      <c r="B11" s="8">
        <f t="shared" si="6"/>
      </c>
      <c r="C11" s="10">
        <v>6</v>
      </c>
      <c r="D11" t="s" s="13">
        <v>102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399</v>
      </c>
    </row>
    <row r="12" spans="2:24" ht="13.8" x14ac:dyDescent="0.2">
      <c r="B12" s="8">
        <f t="shared" si="6"/>
      </c>
      <c r="C12" s="10">
        <v>7</v>
      </c>
      <c r="D12" t="s" s="13">
        <v>1290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1845</v>
      </c>
    </row>
    <row r="13" spans="2:24" ht="13.8" x14ac:dyDescent="0.2">
      <c r="B13" s="8">
        <f t="shared" si="6"/>
      </c>
      <c r="C13" s="10">
        <v>8</v>
      </c>
      <c r="D13" t="s" s="13">
        <v>1805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1996</v>
      </c>
    </row>
    <row r="14" spans="2:24" ht="13.8" x14ac:dyDescent="0.2">
      <c r="B14" s="8">
        <f t="shared" si="6"/>
      </c>
      <c r="C14" s="10">
        <v>9</v>
      </c>
      <c r="D14" t="s" s="13">
        <v>1405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1245</v>
      </c>
    </row>
    <row r="15" spans="2:24" ht="13.8" x14ac:dyDescent="0.2">
      <c r="B15" s="8">
        <f t="shared" si="6"/>
      </c>
      <c r="C15" s="10">
        <v>10</v>
      </c>
      <c r="D15" t="s" s="13">
        <v>1556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1246</v>
      </c>
    </row>
    <row r="16" spans="2:24" ht="13.8" x14ac:dyDescent="0.2">
      <c r="B16" s="8">
        <f t="shared" si="6"/>
      </c>
      <c r="C16" s="10">
        <v>11</v>
      </c>
      <c r="D16" t="s" s="13">
        <v>1291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213</v>
      </c>
    </row>
    <row r="17" spans="2:24" ht="13.8" x14ac:dyDescent="0.2">
      <c r="B17" s="8">
        <f t="shared" si="6"/>
      </c>
      <c r="C17" s="10">
        <v>12</v>
      </c>
      <c r="D17" t="s" s="13">
        <v>1315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1259</v>
      </c>
    </row>
    <row r="18" spans="2:24" ht="13.8" x14ac:dyDescent="0.2">
      <c r="B18" s="8">
        <f t="shared" si="6"/>
      </c>
      <c r="C18" s="10">
        <v>13</v>
      </c>
      <c r="D18" t="s" s="13">
        <v>1227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401</v>
      </c>
    </row>
    <row r="19" spans="2:24" ht="13.8" x14ac:dyDescent="0.2">
      <c r="B19" s="8">
        <f t="shared" si="6"/>
      </c>
      <c r="C19" s="10">
        <v>14</v>
      </c>
      <c r="D19" t="s" s="13">
        <v>1806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1255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t="s" s="13">
        <v>214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402</v>
      </c>
    </row>
    <row r="22" spans="2:24" ht="13.8" x14ac:dyDescent="0.2">
      <c r="B22" s="8">
        <f t="shared" si="6"/>
      </c>
      <c r="C22" s="10">
        <v>17</v>
      </c>
      <c r="D22" t="s" s="13">
        <v>1807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1846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>
        <v>19</v>
      </c>
      <c r="D24" t="s" s="13">
        <v>104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404</v>
      </c>
    </row>
    <row r="25" spans="2:24" ht="13.8" x14ac:dyDescent="0.2">
      <c r="B25" s="8">
        <f t="shared" si="6"/>
      </c>
      <c r="C25" s="10">
        <v>20</v>
      </c>
      <c r="D25" t="s" s="13">
        <v>1808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418</v>
      </c>
    </row>
    <row r="26" spans="2:24" ht="13.8" x14ac:dyDescent="0.2">
      <c r="B26" s="8">
        <f t="shared" si="6"/>
      </c>
      <c r="C26" s="10">
        <v>21</v>
      </c>
      <c r="D26" t="s" s="13">
        <v>1809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218</v>
      </c>
    </row>
    <row r="27" spans="2:24" ht="13.8" x14ac:dyDescent="0.2">
      <c r="B27" s="8">
        <f t="shared" si="6"/>
      </c>
      <c r="C27" s="10">
        <v>22</v>
      </c>
      <c r="D27" t="s" s="13">
        <v>105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405</v>
      </c>
    </row>
    <row r="28" spans="2:24" ht="13.8" x14ac:dyDescent="0.2">
      <c r="B28" s="8">
        <f t="shared" si="6"/>
      </c>
      <c r="C28" s="10">
        <v>23</v>
      </c>
      <c r="D28" t="s" s="13">
        <v>1539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1847</v>
      </c>
    </row>
    <row r="29" spans="2:24" ht="13.8" x14ac:dyDescent="0.2">
      <c r="B29" s="8">
        <f t="shared" si="6"/>
      </c>
      <c r="C29" s="10">
        <v>24</v>
      </c>
      <c r="D29" t="s" s="13">
        <v>107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98</v>
      </c>
    </row>
    <row r="30" spans="2:24" ht="13.8" x14ac:dyDescent="0.2">
      <c r="B30" s="8">
        <f t="shared" si="6"/>
      </c>
      <c r="C30" s="10">
        <v>25</v>
      </c>
      <c r="D30" t="s" s="13">
        <v>1810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1848</v>
      </c>
    </row>
    <row r="31" spans="2:24" ht="13.8" x14ac:dyDescent="0.2">
      <c r="B31" s="8">
        <f t="shared" si="6"/>
      </c>
      <c r="C31" s="10">
        <v>26</v>
      </c>
      <c r="D31" t="s" s="13">
        <v>1811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1849</v>
      </c>
    </row>
    <row r="32" spans="2:24" ht="13.8" x14ac:dyDescent="0.2">
      <c r="B32" s="8">
        <f t="shared" si="6"/>
      </c>
      <c r="C32" s="10">
        <v>27</v>
      </c>
      <c r="D32" t="s" s="13">
        <v>215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407</v>
      </c>
    </row>
    <row r="33" spans="2:24" ht="13.8" x14ac:dyDescent="0.2">
      <c r="B33" s="8">
        <f t="shared" si="6"/>
      </c>
      <c r="C33" s="10">
        <v>28</v>
      </c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>
        <v>29</v>
      </c>
      <c r="D34" t="s" s="13">
        <v>108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409</v>
      </c>
    </row>
    <row r="35" spans="2:24" ht="13.8" x14ac:dyDescent="0.2">
      <c r="B35" s="8">
        <f t="shared" si="6"/>
      </c>
      <c r="C35" s="10">
        <v>30</v>
      </c>
      <c r="D35" t="s" s="13">
        <v>1812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1850</v>
      </c>
    </row>
    <row r="36" spans="2:24" ht="13.8" x14ac:dyDescent="0.2">
      <c r="B36" s="8">
        <f t="shared" si="6"/>
      </c>
      <c r="C36" s="10">
        <v>31</v>
      </c>
      <c r="D36" t="s" s="13">
        <v>44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410</v>
      </c>
    </row>
    <row r="37" spans="2:24" ht="13.8" x14ac:dyDescent="0.2">
      <c r="B37" s="8">
        <f t="shared" si="6"/>
      </c>
      <c r="C37" s="10">
        <v>32</v>
      </c>
      <c r="D37" t="s" s="13">
        <v>1455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1248</v>
      </c>
    </row>
    <row r="38" spans="2:24" ht="13.8" x14ac:dyDescent="0.2">
      <c r="B38" s="8">
        <f t="shared" si="6"/>
      </c>
      <c r="C38" s="10">
        <v>33</v>
      </c>
      <c r="D38" t="s" s="13">
        <v>1813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1851</v>
      </c>
    </row>
    <row r="39" spans="2:24" ht="13.8" x14ac:dyDescent="0.2">
      <c r="B39" s="8">
        <f t="shared" si="6"/>
      </c>
      <c r="C39" s="10">
        <v>34</v>
      </c>
      <c r="D39" t="s" s="13">
        <v>1757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1852</v>
      </c>
    </row>
    <row r="40" spans="2:24" ht="13.8" x14ac:dyDescent="0.2">
      <c r="B40" s="8">
        <f t="shared" si="6"/>
      </c>
      <c r="C40" s="10">
        <v>35</v>
      </c>
      <c r="D40" t="s" s="13">
        <v>42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411</v>
      </c>
    </row>
    <row r="41" spans="2:24" ht="13.8" x14ac:dyDescent="0.2">
      <c r="B41" s="8">
        <f t="shared" si="6"/>
      </c>
      <c r="C41" s="10">
        <v>36</v>
      </c>
      <c r="D41" t="s" s="13">
        <v>109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412</v>
      </c>
    </row>
    <row r="42" spans="2:24" ht="13.8" x14ac:dyDescent="0.2">
      <c r="B42" s="8">
        <f t="shared" si="6"/>
      </c>
      <c r="C42" s="10">
        <v>37</v>
      </c>
      <c r="D42" t="s" s="13">
        <v>1292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1853</v>
      </c>
    </row>
    <row r="43" spans="2:24" ht="13.8" x14ac:dyDescent="0.2">
      <c r="B43" s="8">
        <f t="shared" si="6"/>
      </c>
      <c r="C43" s="10">
        <v>38</v>
      </c>
      <c r="D43" t="s" s="13">
        <v>216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414</v>
      </c>
    </row>
    <row r="44" spans="2:24" ht="13.8" x14ac:dyDescent="0.2">
      <c r="B44" s="8">
        <f t="shared" si="6"/>
      </c>
      <c r="C44" s="10">
        <v>39</v>
      </c>
      <c r="D44" t="s" s="13">
        <v>838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1249</v>
      </c>
    </row>
    <row r="45" spans="2:24" ht="13.8" x14ac:dyDescent="0.2">
      <c r="B45" s="8">
        <f t="shared" si="6"/>
      </c>
      <c r="C45" s="10">
        <v>40</v>
      </c>
      <c r="D45" t="s" s="13">
        <v>1814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1997</v>
      </c>
    </row>
    <row r="46" spans="2:24" ht="13.8" x14ac:dyDescent="0.2">
      <c r="B46" s="8">
        <f t="shared" si="6"/>
      </c>
      <c r="C46" s="10">
        <v>41</v>
      </c>
      <c r="D46" t="s" s="13">
        <v>837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415</v>
      </c>
    </row>
    <row r="47" spans="2:24" ht="13.8" x14ac:dyDescent="0.2">
      <c r="B47" s="8">
        <f t="shared" si="6"/>
      </c>
      <c r="C47" s="10">
        <v>42</v>
      </c>
      <c r="D47" t="s" s="13">
        <v>1815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1998</v>
      </c>
    </row>
    <row r="48" spans="2:24" ht="13.8" x14ac:dyDescent="0.2">
      <c r="B48" s="8">
        <f t="shared" si="6"/>
      </c>
      <c r="C48" s="10">
        <v>43</v>
      </c>
      <c r="D48" t="s" s="13">
        <v>110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416</v>
      </c>
    </row>
    <row r="49" spans="2:24" ht="13.8" x14ac:dyDescent="0.2">
      <c r="B49" s="8">
        <f t="shared" si="6"/>
      </c>
      <c r="C49" s="10">
        <v>44</v>
      </c>
      <c r="D49" t="s" s="13">
        <v>111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417</v>
      </c>
    </row>
    <row r="50" spans="2:24" ht="13.8" x14ac:dyDescent="0.2">
      <c r="B50" s="8">
        <f t="shared" si="6"/>
      </c>
      <c r="C50" s="10">
        <v>45</v>
      </c>
      <c r="D50" t="s" s="13">
        <v>1816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1999</v>
      </c>
    </row>
    <row r="51" spans="2:24" ht="13.8" x14ac:dyDescent="0.2">
      <c r="B51" s="8">
        <f t="shared" si="6"/>
      </c>
      <c r="C51" s="10">
        <v>46</v>
      </c>
      <c r="D51" t="s" s="13">
        <v>118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419</v>
      </c>
    </row>
    <row r="52" spans="2:24" ht="13.8" x14ac:dyDescent="0.2">
      <c r="B52" s="8">
        <f t="shared" si="6"/>
      </c>
      <c r="C52" s="10">
        <v>47</v>
      </c>
      <c r="D52" t="s" s="13">
        <v>112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420</v>
      </c>
    </row>
    <row r="53" spans="2:24" ht="13.8" x14ac:dyDescent="0.2">
      <c r="B53" s="8">
        <f t="shared" si="6"/>
      </c>
      <c r="C53" s="10">
        <v>48</v>
      </c>
      <c r="D53" t="s" s="13">
        <v>1817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1854</v>
      </c>
    </row>
    <row r="54" spans="2:24" ht="13.8" x14ac:dyDescent="0.2">
      <c r="B54" s="8">
        <f t="shared" si="6"/>
      </c>
      <c r="C54" s="10">
        <v>49</v>
      </c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>
        <v>50</v>
      </c>
      <c r="D55" t="s" s="13">
        <v>113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423</v>
      </c>
    </row>
    <row r="56" spans="2:24" ht="13.8" x14ac:dyDescent="0.2">
      <c r="B56" s="8">
        <f t="shared" si="6"/>
      </c>
      <c r="C56" s="10">
        <v>51</v>
      </c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>
        <v>52</v>
      </c>
      <c r="D57" t="s" s="13">
        <v>1757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1250</v>
      </c>
    </row>
    <row r="58" spans="2:24" ht="13.8" x14ac:dyDescent="0.2">
      <c r="B58" s="8">
        <f t="shared" si="6"/>
      </c>
      <c r="C58" s="10">
        <v>53</v>
      </c>
      <c r="D58" t="s" s="13">
        <v>114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424</v>
      </c>
    </row>
    <row r="59" spans="2:24" ht="13.8" x14ac:dyDescent="0.2">
      <c r="B59" s="8">
        <f t="shared" si="6"/>
      </c>
      <c r="C59" s="10">
        <v>54</v>
      </c>
      <c r="D59" t="s" s="13">
        <v>1818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2000</v>
      </c>
    </row>
    <row r="60" spans="2:24" ht="13.8" x14ac:dyDescent="0.2">
      <c r="B60" s="8">
        <f t="shared" si="6"/>
      </c>
      <c r="C60" s="10">
        <v>55</v>
      </c>
      <c r="D60" t="s" s="13">
        <v>2017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2017</v>
      </c>
    </row>
    <row r="61" spans="2:24" ht="13.8" x14ac:dyDescent="0.2">
      <c r="B61" s="8">
        <f t="shared" si="6"/>
      </c>
      <c r="C61" s="10">
        <v>56</v>
      </c>
      <c r="D61" t="s" s="13">
        <v>836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1251</v>
      </c>
    </row>
    <row r="62" spans="2:24" ht="13.8" x14ac:dyDescent="0.2">
      <c r="B62" s="8">
        <f t="shared" si="6"/>
      </c>
      <c r="C62" s="10">
        <v>57</v>
      </c>
      <c r="D62" t="s" s="13">
        <v>1289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425</v>
      </c>
    </row>
    <row r="63" spans="2:24" ht="13.8" x14ac:dyDescent="0.2">
      <c r="B63" s="8">
        <f t="shared" si="6"/>
      </c>
      <c r="C63" s="10">
        <v>58</v>
      </c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>
        <v>59</v>
      </c>
      <c r="D64" t="s" s="13">
        <v>1228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2001</v>
      </c>
    </row>
    <row r="65" spans="2:24" ht="13.8" x14ac:dyDescent="0.2">
      <c r="B65" s="8">
        <f t="shared" si="6"/>
      </c>
      <c r="C65" s="10">
        <v>60</v>
      </c>
      <c r="D65" t="s" s="13">
        <v>835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1252</v>
      </c>
    </row>
    <row r="66" spans="2:24" ht="13.8" x14ac:dyDescent="0.2">
      <c r="B66" s="8">
        <f t="shared" si="6"/>
      </c>
      <c r="C66" s="10">
        <v>61</v>
      </c>
      <c r="D66" t="s" s="13">
        <v>1819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1855</v>
      </c>
    </row>
    <row r="67" spans="2:24" ht="13.8" x14ac:dyDescent="0.2">
      <c r="B67" s="8">
        <f t="shared" si="6"/>
      </c>
      <c r="C67" s="10">
        <v>62</v>
      </c>
      <c r="D67" t="s" s="13">
        <v>1820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1856</v>
      </c>
    </row>
    <row r="68" spans="2:24" ht="13.8" x14ac:dyDescent="0.2">
      <c r="B68" s="8">
        <f t="shared" si="6"/>
      </c>
      <c r="C68" s="10">
        <v>63</v>
      </c>
      <c r="D68" t="s" s="9">
        <v>2002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1821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1822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1257</v>
      </c>
    </row>
    <row r="70" spans="2:24" ht="13.8" x14ac:dyDescent="0.2">
      <c r="B70" s="8">
        <f t="shared" si="10"/>
      </c>
      <c r="C70" s="10">
        <v>65</v>
      </c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>
        <v>66</v>
      </c>
      <c r="D71" t="s" s="13">
        <v>1297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558</v>
      </c>
    </row>
    <row r="72" spans="2:24" ht="13.8" x14ac:dyDescent="0.2">
      <c r="B72" s="8">
        <f t="shared" si="10"/>
      </c>
      <c r="C72" s="10">
        <v>67</v>
      </c>
      <c r="D72" t="s" s="13">
        <v>2016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428</v>
      </c>
    </row>
    <row r="73" spans="2:24" ht="13.8" x14ac:dyDescent="0.2">
      <c r="B73" s="8">
        <f t="shared" si="10"/>
      </c>
      <c r="C73" s="10">
        <v>68</v>
      </c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t="s" s="26">
        <v>1823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2">
        <v>1857</v>
      </c>
    </row>
    <row r="102" spans="2:24" ht="13.8" x14ac:dyDescent="0.2">
      <c r="B102" s="8">
        <f t="shared" si="10"/>
      </c>
      <c r="C102" s="10">
        <v>97</v>
      </c>
      <c r="D102" t="s" s="26">
        <v>1824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2">
        <v>1858</v>
      </c>
    </row>
    <row r="103" spans="2:24" ht="13.8" x14ac:dyDescent="0.2">
      <c r="B103" s="8">
        <f t="shared" si="10"/>
      </c>
      <c r="C103" s="10">
        <v>98</v>
      </c>
      <c r="D103" t="s" s="26">
        <v>1825</v>
      </c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2">
        <v>1859</v>
      </c>
    </row>
    <row r="104" spans="2:24" ht="13.8" x14ac:dyDescent="0.2">
      <c r="B104" s="8">
        <f t="shared" si="10"/>
      </c>
      <c r="C104" s="10">
        <v>99</v>
      </c>
      <c r="D104" t="s" s="9">
        <v>116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99</v>
      </c>
    </row>
    <row r="105" spans="2:24" ht="13.8" x14ac:dyDescent="0.2">
      <c r="B105" s="8">
        <f t="shared" si="10"/>
      </c>
      <c r="C105" t="s" s="10">
        <v>1229</v>
      </c>
      <c r="D105" t="s" s="14">
        <v>117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429</v>
      </c>
    </row>
    <row r="106" spans="2:24" ht="13.8" x14ac:dyDescent="0.2">
      <c r="B106" s="8">
        <f t="shared" si="10"/>
      </c>
      <c r="C106" t="s" s="10">
        <v>1231</v>
      </c>
      <c r="D106" t="s" s="9">
        <v>1433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430</v>
      </c>
    </row>
    <row r="107" spans="2:24" ht="13.8" x14ac:dyDescent="0.2">
      <c r="B107" s="8">
        <f t="shared" si="10"/>
      </c>
      <c r="C107" t="s" s="10">
        <v>1232</v>
      </c>
      <c r="D107" t="s" s="9">
        <v>1826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1253</v>
      </c>
    </row>
    <row r="108" spans="2:24" ht="13.8" x14ac:dyDescent="0.2">
      <c r="B108" s="8">
        <f t="shared" si="10"/>
      </c>
      <c r="C108" t="s" s="10">
        <v>1235</v>
      </c>
      <c r="D108" t="s" s="9">
        <v>1518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1254</v>
      </c>
    </row>
    <row r="109" spans="2:24" ht="13.8" x14ac:dyDescent="0.2">
      <c r="B109" s="8">
        <f t="shared" si="10"/>
      </c>
      <c r="C109" t="s" s="10">
        <v>1239</v>
      </c>
      <c r="D109" t="s" s="9">
        <v>1827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1256</v>
      </c>
    </row>
    <row r="110" spans="2:24" ht="13.8" x14ac:dyDescent="0.2">
      <c r="B110" s="8">
        <f t="shared" si="10"/>
      </c>
      <c r="C110" t="s" s="10">
        <v>1828</v>
      </c>
      <c r="D110" t="s" s="9">
        <v>1393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1860</v>
      </c>
    </row>
    <row r="111" spans="2:24" ht="13.8" x14ac:dyDescent="0.2">
      <c r="B111" s="8">
        <f t="shared" si="10"/>
      </c>
      <c r="C111" t="s" s="10">
        <v>1829</v>
      </c>
      <c r="D111" t="s" s="9">
        <v>1830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1861</v>
      </c>
    </row>
    <row r="112" spans="2:24" ht="13.8" x14ac:dyDescent="0.2">
      <c r="B112" s="8">
        <f t="shared" si="10"/>
      </c>
      <c r="C112" t="s" s="10">
        <v>1831</v>
      </c>
      <c r="D112" t="s" s="9">
        <v>1296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1862</v>
      </c>
    </row>
    <row r="113" spans="2:24" ht="13.8" x14ac:dyDescent="0.2">
      <c r="B113" s="8">
        <f t="shared" si="10"/>
      </c>
      <c r="C113" t="s" s="10">
        <v>1832</v>
      </c>
      <c r="D113" t="s" s="9">
        <v>1833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1863</v>
      </c>
    </row>
    <row r="114" spans="2:24" ht="13.8" x14ac:dyDescent="0.2">
      <c r="B114" s="8">
        <f t="shared" si="10"/>
      </c>
      <c r="C114" t="s" s="10">
        <v>1834</v>
      </c>
      <c r="D114" t="s" s="9">
        <v>1835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1864</v>
      </c>
    </row>
    <row r="115" spans="2:24" ht="13.8" x14ac:dyDescent="0.2">
      <c r="B115" s="8">
        <f t="shared" si="10"/>
      </c>
      <c r="C115" t="s" s="10">
        <v>1836</v>
      </c>
      <c r="D115" t="s" s="9">
        <v>1333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1865</v>
      </c>
    </row>
    <row r="116" spans="2:24" ht="13.8" x14ac:dyDescent="0.2">
      <c r="B116" s="8">
        <f t="shared" si="10"/>
      </c>
      <c r="C116" t="s" s="10">
        <v>1837</v>
      </c>
      <c r="D116" t="s" s="9">
        <v>1838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1866</v>
      </c>
    </row>
    <row r="117" spans="2:24" ht="13.8" x14ac:dyDescent="0.2">
      <c r="B117" s="8">
        <f t="shared" si="10"/>
      </c>
      <c r="C117" t="s" s="10">
        <v>1839</v>
      </c>
      <c r="D117" t="s" s="9">
        <v>1840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1867</v>
      </c>
    </row>
    <row r="118" spans="2:24" ht="13.8" x14ac:dyDescent="0.2">
      <c r="B118" s="8">
        <f t="shared" si="10"/>
      </c>
      <c r="C118" s="10">
        <v>123</v>
      </c>
      <c r="D118" t="s" s="9">
        <v>713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1868</v>
      </c>
    </row>
    <row r="119" spans="2:24" ht="13.8" x14ac:dyDescent="0.2">
      <c r="B119" s="8">
        <f t="shared" si="10"/>
      </c>
      <c r="C119" s="10">
        <v>124</v>
      </c>
      <c r="D119" t="s" s="9">
        <v>1841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1869</v>
      </c>
    </row>
    <row r="120" spans="2:24" ht="13.8" x14ac:dyDescent="0.2">
      <c r="B120" s="8">
        <f t="shared" si="10"/>
      </c>
      <c r="C120" s="10">
        <v>126</v>
      </c>
      <c r="D120" t="s" s="9">
        <v>1842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1870</v>
      </c>
    </row>
    <row r="121" spans="2:24" ht="13.8" x14ac:dyDescent="0.2">
      <c r="B121" s="8">
        <f t="shared" si="10"/>
      </c>
      <c r="C121" s="10">
        <v>127</v>
      </c>
      <c r="D121" t="s" s="9">
        <v>1843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1247</v>
      </c>
    </row>
    <row r="122" spans="2:24" ht="13.8" x14ac:dyDescent="0.2">
      <c r="B122" s="8">
        <f t="shared" si="10"/>
      </c>
      <c r="C122" s="10">
        <v>128</v>
      </c>
      <c r="D122" t="s" s="9">
        <v>1776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408</v>
      </c>
    </row>
    <row r="123" spans="2:24" ht="13.8" x14ac:dyDescent="0.2">
      <c r="B123" s="8">
        <f t="shared" si="10"/>
      </c>
      <c r="C123" s="10">
        <v>129</v>
      </c>
      <c r="D123" t="s" s="9">
        <v>1844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1871</v>
      </c>
    </row>
    <row r="124" spans="2:24" ht="13.8" x14ac:dyDescent="0.2">
      <c r="B124" s="8">
        <f t="shared" si="10"/>
      </c>
      <c r="C124" s="10">
        <v>130</v>
      </c>
      <c r="D124" t="s" s="9">
        <v>1746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578</v>
      </c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t="s" s="10">
        <v>173</v>
      </c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>
        <v>0</v>
      </c>
      <c r="D5" t="s" s="13">
        <v>1350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137</v>
      </c>
    </row>
    <row r="6" spans="2:24" ht="13.8" x14ac:dyDescent="0.2">
      <c r="B6" s="8">
        <f t="shared" si="6"/>
      </c>
      <c r="C6" s="10">
        <v>1</v>
      </c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>
        <v>2</v>
      </c>
      <c r="D7" t="s" s="13">
        <v>44</v>
      </c>
      <c r="E7" s="11">
        <f t="shared" si="2"/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364</v>
      </c>
    </row>
    <row r="8" spans="2:24" ht="13.8" x14ac:dyDescent="0.2">
      <c r="B8" s="8">
        <f t="shared" si="6"/>
      </c>
      <c r="C8" s="10">
        <v>3</v>
      </c>
      <c r="D8" t="s" s="13">
        <v>141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365</v>
      </c>
    </row>
    <row r="9" spans="2:24" ht="13.8" x14ac:dyDescent="0.2">
      <c r="B9" s="8">
        <f t="shared" si="6"/>
      </c>
      <c r="C9" s="10">
        <v>4</v>
      </c>
      <c r="D9" t="s" s="13">
        <v>1808</v>
      </c>
      <c r="E9" s="11">
        <f t="shared" si="2"/>
      </c>
      <c r="F9" s="5">
        <v>1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2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2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540</v>
      </c>
    </row>
    <row r="10" spans="2:24" ht="13.8" x14ac:dyDescent="0.2">
      <c r="B10" s="8">
        <f t="shared" si="6"/>
      </c>
      <c r="C10" s="10">
        <v>5</v>
      </c>
      <c r="D10" t="s" s="13">
        <v>142</v>
      </c>
      <c r="E10" s="11">
        <f t="shared" si="2"/>
      </c>
      <c r="F10" s="5">
        <v>9</v>
      </c>
      <c r="G10" s="5">
        <v>2</v>
      </c>
      <c r="H10" s="5">
        <v>0</v>
      </c>
      <c r="I10" s="5">
        <v>0</v>
      </c>
      <c r="J10" s="6">
        <v>1</v>
      </c>
      <c r="K10" s="12">
        <f t="shared" si="3"/>
      </c>
      <c r="L10" s="7">
        <v>2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139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>
        <v>7</v>
      </c>
      <c r="D12" t="s" s="13">
        <v>1297</v>
      </c>
      <c r="E12" s="11">
        <f t="shared" si="2"/>
      </c>
      <c r="F12" s="5">
        <v>4</v>
      </c>
      <c r="G12" s="5">
        <v>1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366</v>
      </c>
    </row>
    <row r="13" spans="2:24" ht="13.8" x14ac:dyDescent="0.2">
      <c r="B13" s="8">
        <f t="shared" si="6"/>
      </c>
      <c r="C13" s="10">
        <v>8</v>
      </c>
      <c r="D13" t="s" s="13">
        <v>143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367</v>
      </c>
    </row>
    <row r="14" spans="2:24" ht="13.8" x14ac:dyDescent="0.2">
      <c r="B14" s="8">
        <f t="shared" si="6"/>
      </c>
      <c r="C14" s="10">
        <v>9</v>
      </c>
      <c r="D14" t="s" s="13">
        <v>1317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828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>
        <v>11</v>
      </c>
      <c r="D16" t="s" s="13">
        <v>124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368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1872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2003</v>
      </c>
    </row>
    <row r="19" spans="2:24" ht="13.8" x14ac:dyDescent="0.2">
      <c r="B19" s="8">
        <f t="shared" si="6"/>
      </c>
      <c r="C19" s="10">
        <v>14</v>
      </c>
      <c r="D19" t="s" s="13">
        <v>144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370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>
        <v>17</v>
      </c>
      <c r="D22" t="s" s="13">
        <v>1873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1903</v>
      </c>
    </row>
    <row r="23" spans="2:24" ht="13.8" x14ac:dyDescent="0.2">
      <c r="B23" s="8">
        <f t="shared" si="6"/>
      </c>
      <c r="C23" s="10">
        <v>18</v>
      </c>
      <c r="D23" t="s" s="13">
        <v>1744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372</v>
      </c>
    </row>
    <row r="24" spans="2:24" ht="13.8" x14ac:dyDescent="0.2">
      <c r="B24" s="8">
        <f t="shared" si="6"/>
      </c>
      <c r="C24" s="10">
        <v>19</v>
      </c>
      <c r="D24" t="s" s="13">
        <v>1874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1904</v>
      </c>
    </row>
    <row r="25" spans="2:24" ht="13.8" x14ac:dyDescent="0.2">
      <c r="B25" s="8">
        <f t="shared" si="6"/>
      </c>
      <c r="C25" s="10">
        <v>20</v>
      </c>
      <c r="D25" t="s" s="13">
        <v>1875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2004</v>
      </c>
    </row>
    <row r="26" spans="2:24" ht="13.8" x14ac:dyDescent="0.2">
      <c r="B26" s="8">
        <f t="shared" si="6"/>
      </c>
      <c r="C26" s="10">
        <v>21</v>
      </c>
      <c r="D26" t="s" s="13">
        <v>220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373</v>
      </c>
    </row>
    <row r="27" spans="2:24" ht="13.8" x14ac:dyDescent="0.2">
      <c r="B27" s="8">
        <f t="shared" si="6"/>
      </c>
      <c r="C27" s="10">
        <v>22</v>
      </c>
      <c r="D27" t="s" s="13">
        <v>1876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1905</v>
      </c>
    </row>
    <row r="28" spans="2:24" ht="13.8" x14ac:dyDescent="0.2">
      <c r="B28" s="8">
        <f t="shared" si="6"/>
      </c>
      <c r="C28" s="10">
        <v>23</v>
      </c>
      <c r="D28" t="s" s="13">
        <v>1877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2005</v>
      </c>
    </row>
    <row r="29" spans="2:24" ht="13.8" x14ac:dyDescent="0.2">
      <c r="B29" s="8">
        <f t="shared" si="6"/>
      </c>
      <c r="C29" s="10">
        <v>24</v>
      </c>
      <c r="D29" t="s" s="13">
        <v>1771</v>
      </c>
      <c r="E29" s="11">
        <f t="shared" si="2"/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375</v>
      </c>
    </row>
    <row r="30" spans="2:24" ht="13.8" x14ac:dyDescent="0.2">
      <c r="B30" s="8">
        <f t="shared" si="6"/>
      </c>
      <c r="C30" s="10">
        <v>25</v>
      </c>
      <c r="D30" t="s" s="13">
        <v>221</v>
      </c>
      <c r="E30" s="11">
        <f t="shared" si="2"/>
      </c>
      <c r="F30" s="5">
        <v>1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376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145</v>
      </c>
      <c r="E32" s="11">
        <f t="shared" si="2"/>
      </c>
      <c r="F32" s="5">
        <v>6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377</v>
      </c>
    </row>
    <row r="33" spans="2:24" ht="13.8" x14ac:dyDescent="0.2">
      <c r="B33" s="8">
        <f t="shared" si="6"/>
      </c>
      <c r="C33" s="10">
        <v>28</v>
      </c>
      <c r="D33" t="s" s="13">
        <v>146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378</v>
      </c>
    </row>
    <row r="34" spans="2:24" ht="13.8" x14ac:dyDescent="0.2">
      <c r="B34" s="8">
        <f t="shared" si="6"/>
      </c>
      <c r="C34" s="10">
        <v>29</v>
      </c>
      <c r="D34" t="s" s="13">
        <v>222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379</v>
      </c>
    </row>
    <row r="35" spans="2:24" ht="13.8" x14ac:dyDescent="0.2">
      <c r="B35" s="8">
        <f t="shared" si="6"/>
      </c>
      <c r="C35" s="10">
        <v>30</v>
      </c>
      <c r="D35" t="s" s="13">
        <v>1331</v>
      </c>
      <c r="E35" s="11">
        <f t="shared" si="2"/>
      </c>
      <c r="F35" s="5">
        <v>6</v>
      </c>
      <c r="G35" s="5">
        <v>2</v>
      </c>
      <c r="H35" s="5">
        <v>0</v>
      </c>
      <c r="I35" s="5">
        <v>0</v>
      </c>
      <c r="J35" s="6">
        <v>1</v>
      </c>
      <c r="K35" s="12">
        <f t="shared" si="3"/>
      </c>
      <c r="L35" s="7">
        <v>1</v>
      </c>
      <c r="M35" s="11">
        <f t="shared" si="4"/>
      </c>
      <c r="N35" s="11">
        <f t="shared" si="5"/>
      </c>
      <c r="O35" s="20">
        <v>1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1906</v>
      </c>
    </row>
    <row r="36" spans="2:24" ht="13.8" x14ac:dyDescent="0.2">
      <c r="B36" s="8">
        <f t="shared" si="6"/>
      </c>
      <c r="C36" s="10">
        <v>31</v>
      </c>
      <c r="D36" t="s" s="13">
        <v>1343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1907</v>
      </c>
    </row>
    <row r="37" spans="2:24" ht="13.8" x14ac:dyDescent="0.2">
      <c r="B37" s="8">
        <f t="shared" si="6"/>
      </c>
      <c r="C37" s="10">
        <v>32</v>
      </c>
      <c r="D37" t="s" s="13">
        <v>1434</v>
      </c>
      <c r="E37" s="11">
        <f t="shared" si="2"/>
      </c>
      <c r="F37" s="5">
        <v>2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1908</v>
      </c>
    </row>
    <row r="38" spans="2:24" ht="13.8" x14ac:dyDescent="0.2">
      <c r="B38" s="8">
        <f t="shared" si="6"/>
      </c>
      <c r="C38" s="10">
        <v>33</v>
      </c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>
        <v>34</v>
      </c>
      <c r="D39" t="s" s="13">
        <v>1809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2020</v>
      </c>
    </row>
    <row r="40" spans="2:24" ht="13.8" x14ac:dyDescent="0.2">
      <c r="B40" s="8">
        <f t="shared" si="6"/>
      </c>
      <c r="C40" s="10">
        <v>35</v>
      </c>
      <c r="D40" t="s" s="13">
        <v>1009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380</v>
      </c>
    </row>
    <row r="41" spans="2:24" ht="13.8" x14ac:dyDescent="0.2">
      <c r="B41" s="8">
        <f t="shared" si="6"/>
      </c>
      <c r="C41" s="10">
        <v>36</v>
      </c>
      <c r="D41" t="s" s="13">
        <v>1531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827</v>
      </c>
    </row>
    <row r="42" spans="2:24" ht="13.8" x14ac:dyDescent="0.2">
      <c r="B42" s="8">
        <f t="shared" si="6"/>
      </c>
      <c r="C42" s="10">
        <v>37</v>
      </c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>
        <v>38</v>
      </c>
      <c r="D43" t="s" s="13">
        <v>1878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374</v>
      </c>
    </row>
    <row r="44" spans="2:24" ht="13.8" x14ac:dyDescent="0.2">
      <c r="B44" s="8">
        <f t="shared" si="6"/>
      </c>
      <c r="C44" s="10">
        <v>39</v>
      </c>
      <c r="D44" t="s" s="13">
        <v>1879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63</v>
      </c>
    </row>
    <row r="45" spans="2:24" ht="13.8" x14ac:dyDescent="0.2">
      <c r="B45" s="8">
        <f t="shared" si="6"/>
      </c>
      <c r="C45" s="10">
        <v>40</v>
      </c>
      <c r="D45" t="s" s="13">
        <v>1880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629</v>
      </c>
    </row>
    <row r="46" spans="2:24" ht="13.8" x14ac:dyDescent="0.2">
      <c r="B46" s="8">
        <f t="shared" si="6"/>
      </c>
      <c r="C46" s="10">
        <v>41</v>
      </c>
      <c r="D46" t="s" s="13">
        <v>1881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1909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>
        <v>43</v>
      </c>
      <c r="D48" t="s" s="13">
        <v>147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381</v>
      </c>
    </row>
    <row r="49" spans="2:24" ht="13.8" x14ac:dyDescent="0.2">
      <c r="B49" s="8">
        <f t="shared" si="6"/>
      </c>
      <c r="C49" s="10">
        <v>44</v>
      </c>
      <c r="D49" t="s" s="13">
        <v>829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826</v>
      </c>
    </row>
    <row r="50" spans="2:24" ht="13.8" x14ac:dyDescent="0.2">
      <c r="B50" s="8">
        <f t="shared" si="6"/>
      </c>
      <c r="C50" s="10">
        <v>45</v>
      </c>
      <c r="D50" t="s" s="13">
        <v>830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825</v>
      </c>
    </row>
    <row r="51" spans="2:24" ht="13.8" x14ac:dyDescent="0.2">
      <c r="B51" s="8">
        <f t="shared" si="6"/>
      </c>
      <c r="C51" s="10">
        <v>46</v>
      </c>
      <c r="D51" t="s" s="13">
        <v>831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824</v>
      </c>
    </row>
    <row r="52" spans="2:24" ht="13.8" x14ac:dyDescent="0.2">
      <c r="B52" s="8">
        <f t="shared" si="6"/>
      </c>
      <c r="C52" s="10">
        <v>47</v>
      </c>
      <c r="D52" t="s" s="13">
        <v>1533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382</v>
      </c>
    </row>
    <row r="53" spans="2:24" ht="13.8" x14ac:dyDescent="0.2">
      <c r="B53" s="8">
        <f t="shared" si="6"/>
      </c>
      <c r="C53" s="10">
        <v>48</v>
      </c>
      <c r="D53" t="s" s="13">
        <v>148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383</v>
      </c>
    </row>
    <row r="54" spans="2:24" ht="13.8" x14ac:dyDescent="0.2">
      <c r="B54" s="8">
        <f t="shared" si="6"/>
      </c>
      <c r="C54" s="10">
        <v>49</v>
      </c>
      <c r="D54" t="s" s="13">
        <v>832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823</v>
      </c>
    </row>
    <row r="55" spans="2:24" ht="13.8" x14ac:dyDescent="0.2">
      <c r="B55" s="8">
        <f t="shared" si="6"/>
      </c>
      <c r="C55" s="10">
        <v>50</v>
      </c>
      <c r="D55" t="s" s="13">
        <v>223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384</v>
      </c>
    </row>
    <row r="56" spans="2:24" ht="13.8" x14ac:dyDescent="0.2">
      <c r="B56" s="8">
        <f t="shared" si="6"/>
      </c>
      <c r="C56" s="10">
        <v>51</v>
      </c>
      <c r="D56" t="s" s="13">
        <v>149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385</v>
      </c>
    </row>
    <row r="57" spans="2:24" ht="13.8" x14ac:dyDescent="0.2">
      <c r="B57" s="8">
        <f t="shared" si="6"/>
      </c>
      <c r="C57" s="10">
        <v>52</v>
      </c>
      <c r="D57" t="s" s="13">
        <v>150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140</v>
      </c>
    </row>
    <row r="58" spans="2:24" ht="13.8" x14ac:dyDescent="0.2">
      <c r="B58" s="8">
        <f t="shared" si="6"/>
      </c>
      <c r="C58" s="10">
        <v>53</v>
      </c>
      <c r="D58" t="s" s="13">
        <v>1882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1910</v>
      </c>
    </row>
    <row r="59" spans="2:24" ht="13.8" x14ac:dyDescent="0.2">
      <c r="B59" s="8">
        <f t="shared" si="6"/>
      </c>
      <c r="C59" s="10">
        <v>54</v>
      </c>
      <c r="D59" t="s" s="13">
        <v>1883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1911</v>
      </c>
    </row>
    <row r="60" spans="2:24" ht="13.8" x14ac:dyDescent="0.2">
      <c r="B60" s="8">
        <f t="shared" si="6"/>
      </c>
      <c r="C60" s="10">
        <v>55</v>
      </c>
      <c r="D60" t="s" s="13">
        <v>833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822</v>
      </c>
    </row>
    <row r="61" spans="2:24" ht="13.8" x14ac:dyDescent="0.2">
      <c r="B61" s="8">
        <f t="shared" si="6"/>
      </c>
      <c r="C61" s="10">
        <v>56</v>
      </c>
      <c r="D61" t="s" s="13">
        <v>90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386</v>
      </c>
    </row>
    <row r="62" spans="2:24" ht="13.8" x14ac:dyDescent="0.2">
      <c r="B62" s="8">
        <f t="shared" si="6"/>
      </c>
      <c r="C62" s="10">
        <v>57</v>
      </c>
      <c r="D62" t="s" s="13">
        <v>151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387</v>
      </c>
    </row>
    <row r="63" spans="2:24" ht="13.8" x14ac:dyDescent="0.2">
      <c r="B63" s="8">
        <f t="shared" si="6"/>
      </c>
      <c r="C63" s="10">
        <v>58</v>
      </c>
      <c r="D63" t="s" s="13">
        <v>152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388</v>
      </c>
    </row>
    <row r="64" spans="2:24" ht="13.8" x14ac:dyDescent="0.2">
      <c r="B64" s="8">
        <f t="shared" si="6"/>
      </c>
      <c r="C64" s="10">
        <v>59</v>
      </c>
      <c r="D64" t="s" s="13">
        <v>834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821</v>
      </c>
    </row>
    <row r="65" spans="2:24" ht="13.8" x14ac:dyDescent="0.2">
      <c r="B65" s="8">
        <f t="shared" si="6"/>
      </c>
      <c r="C65" s="10">
        <v>60</v>
      </c>
      <c r="D65" t="s" s="13">
        <v>1884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1884</v>
      </c>
    </row>
    <row r="66" spans="2:24" ht="13.8" x14ac:dyDescent="0.2">
      <c r="B66" s="8">
        <f t="shared" si="6"/>
      </c>
      <c r="C66" s="10">
        <v>61</v>
      </c>
      <c r="D66" t="s" s="13">
        <v>1885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1912</v>
      </c>
    </row>
    <row r="67" spans="2:24" ht="13.8" x14ac:dyDescent="0.2">
      <c r="B67" s="8">
        <f t="shared" si="6"/>
      </c>
      <c r="C67" s="10">
        <v>62</v>
      </c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>
        <v>63</v>
      </c>
      <c r="D68" t="s" s="9">
        <v>189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390</v>
      </c>
    </row>
    <row r="69" spans="2:24" ht="13.8" x14ac:dyDescent="0.2">
      <c r="B69" s="8">
        <f t="shared" ref="B69:B117" si="10">IF(C69="","",C69)</f>
      </c>
      <c r="C69" s="10">
        <v>64</v>
      </c>
      <c r="D69" t="s" s="13">
        <v>1310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1913</v>
      </c>
    </row>
    <row r="70" spans="2:24" ht="13.8" x14ac:dyDescent="0.2">
      <c r="B70" s="8">
        <f t="shared" si="10"/>
      </c>
      <c r="C70" s="10">
        <v>65</v>
      </c>
      <c r="D70" t="s" s="9">
        <v>97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391</v>
      </c>
    </row>
    <row r="71" spans="2:24" ht="13.8" x14ac:dyDescent="0.2">
      <c r="B71" s="8">
        <f t="shared" si="10"/>
      </c>
      <c r="C71" s="10">
        <v>66</v>
      </c>
      <c r="D71" t="s" s="13">
        <v>153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392</v>
      </c>
    </row>
    <row r="72" spans="2:24" ht="13.8" x14ac:dyDescent="0.2">
      <c r="B72" s="8">
        <f t="shared" si="10"/>
      </c>
      <c r="C72" s="10">
        <v>67</v>
      </c>
      <c r="D72" t="s" s="13">
        <v>1886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1914</v>
      </c>
    </row>
    <row r="73" spans="2:24" ht="13.8" x14ac:dyDescent="0.2">
      <c r="B73" s="8">
        <f t="shared" si="10"/>
      </c>
      <c r="C73" s="10">
        <v>68</v>
      </c>
      <c r="D73" t="s" s="13">
        <v>1887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1915</v>
      </c>
    </row>
    <row r="74" spans="2:24" ht="13.8" x14ac:dyDescent="0.2">
      <c r="B74" s="8">
        <f t="shared" si="10"/>
      </c>
      <c r="C74" s="10">
        <v>69</v>
      </c>
      <c r="D74" t="s" s="13">
        <v>224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393</v>
      </c>
    </row>
    <row r="75" spans="2:24" ht="13.8" x14ac:dyDescent="0.2">
      <c r="B75" s="8">
        <f t="shared" si="10"/>
      </c>
      <c r="C75" s="10">
        <v>70</v>
      </c>
      <c r="D75" t="s" s="8">
        <v>1190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394</v>
      </c>
    </row>
    <row r="76" spans="2:24" ht="13.8" x14ac:dyDescent="0.2">
      <c r="B76" s="8">
        <f t="shared" si="10"/>
      </c>
      <c r="C76" s="10">
        <v>71</v>
      </c>
      <c r="D76" t="s" s="8">
        <v>1769</v>
      </c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t="s" s="2">
        <v>820</v>
      </c>
    </row>
    <row r="77" spans="2:24" ht="13.8" x14ac:dyDescent="0.2">
      <c r="B77" s="8">
        <f t="shared" si="10"/>
      </c>
      <c r="C77" s="10">
        <v>72</v>
      </c>
      <c r="D77" t="s" s="26">
        <v>1888</v>
      </c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t="s" s="2">
        <v>1916</v>
      </c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t="s" s="26">
        <v>1889</v>
      </c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t="s" s="2">
        <v>1917</v>
      </c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t="s" s="10">
        <v>1233</v>
      </c>
      <c r="D105" t="s" s="14">
        <v>1289</v>
      </c>
      <c r="E105" s="11">
        <f t="shared" si="11"/>
      </c>
      <c r="F105" s="5">
        <v>2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491</v>
      </c>
    </row>
    <row r="106" spans="2:24" ht="13.8" x14ac:dyDescent="0.2">
      <c r="B106" s="8">
        <f t="shared" si="10"/>
      </c>
      <c r="C106" t="s" s="10">
        <v>685</v>
      </c>
      <c r="D106" t="s" s="9">
        <v>1890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1918</v>
      </c>
    </row>
    <row r="107" spans="2:24" ht="13.8" x14ac:dyDescent="0.2">
      <c r="B107" s="8">
        <f t="shared" si="10"/>
      </c>
      <c r="C107" t="s" s="10">
        <v>1241</v>
      </c>
      <c r="D107" t="s" s="9">
        <v>1891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395</v>
      </c>
    </row>
    <row r="108" spans="2:24" ht="13.8" x14ac:dyDescent="0.2">
      <c r="B108" s="8">
        <f t="shared" si="10"/>
      </c>
      <c r="C108" t="s" s="10">
        <v>1892</v>
      </c>
      <c r="D108" t="s" s="9">
        <v>1893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389</v>
      </c>
    </row>
    <row r="109" spans="2:24" ht="13.8" x14ac:dyDescent="0.2">
      <c r="B109" s="8">
        <f t="shared" si="10"/>
      </c>
      <c r="C109" s="10">
        <v>130</v>
      </c>
      <c r="D109" t="s" s="9">
        <v>1894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1919</v>
      </c>
    </row>
    <row r="110" spans="2:24" ht="13.8" x14ac:dyDescent="0.2">
      <c r="B110" s="8">
        <f t="shared" si="10"/>
      </c>
      <c r="C110" s="10">
        <v>131</v>
      </c>
      <c r="D110" t="s" s="9">
        <v>1895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1920</v>
      </c>
    </row>
    <row r="111" spans="2:24" ht="13.8" x14ac:dyDescent="0.2">
      <c r="B111" s="8">
        <f t="shared" si="10"/>
      </c>
      <c r="C111" s="10">
        <v>135</v>
      </c>
      <c r="D111" t="s" s="9">
        <v>1896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1921</v>
      </c>
    </row>
    <row r="112" spans="2:24" ht="13.8" x14ac:dyDescent="0.2">
      <c r="B112" s="8">
        <f t="shared" si="10"/>
      </c>
      <c r="C112" s="10">
        <v>137</v>
      </c>
      <c r="D112" t="s" s="9">
        <v>1897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1922</v>
      </c>
    </row>
    <row r="113" spans="2:24" ht="13.8" x14ac:dyDescent="0.2">
      <c r="B113" s="8">
        <f t="shared" si="10"/>
      </c>
      <c r="C113" s="10">
        <v>138</v>
      </c>
      <c r="D113" t="s" s="9">
        <v>1898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1923</v>
      </c>
    </row>
    <row r="114" spans="2:24" ht="13.8" x14ac:dyDescent="0.2">
      <c r="B114" s="8">
        <f t="shared" si="10"/>
      </c>
      <c r="C114" s="10">
        <v>141</v>
      </c>
      <c r="D114" t="s" s="9">
        <v>1899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1924</v>
      </c>
    </row>
    <row r="115" spans="2:24" ht="13.8" x14ac:dyDescent="0.2">
      <c r="B115" s="8">
        <f t="shared" si="10"/>
      </c>
      <c r="C115" s="10">
        <v>142</v>
      </c>
      <c r="D115" t="s" s="9">
        <v>1900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1925</v>
      </c>
    </row>
    <row r="116" spans="2:24" ht="13.8" x14ac:dyDescent="0.2">
      <c r="B116" s="8">
        <f t="shared" si="10"/>
      </c>
      <c r="C116" s="10">
        <v>144</v>
      </c>
      <c r="D116" t="s" s="9">
        <v>1901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1926</v>
      </c>
    </row>
    <row r="117" spans="2:24" ht="13.8" x14ac:dyDescent="0.2">
      <c r="B117" s="8">
        <f t="shared" si="10"/>
      </c>
      <c r="C117" s="10">
        <v>155</v>
      </c>
      <c r="D117" t="s" s="9">
        <v>1902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1927</v>
      </c>
    </row>
    <row r="118" spans="2:24" ht="13.8" x14ac:dyDescent="0.2">
      <c r="B118" s="8">
        <f t="shared" ref="B118:B134" si="12">IF(C118="","",C118)</f>
      </c>
      <c r="C118" s="10">
        <v>144</v>
      </c>
      <c r="D118" t="s" s="9">
        <v>1901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1926</v>
      </c>
    </row>
    <row r="119" spans="2:24" ht="13.8" x14ac:dyDescent="0.2">
      <c r="B119" s="8">
        <f t="shared" si="12"/>
      </c>
      <c r="C119" s="10">
        <v>152</v>
      </c>
      <c r="D119" t="s" s="9">
        <v>1098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819</v>
      </c>
    </row>
    <row r="120" spans="2:24" ht="13.8" x14ac:dyDescent="0.2">
      <c r="B120" s="8">
        <f t="shared" si="12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2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2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2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2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2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2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2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2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2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2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2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2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</c>
      <c r="L132" s="7">
        <v>3</v>
      </c>
      <c r="M132" s="11">
        <f t="shared" ref="M132:M134" si="14">IFERROR(IF((G132+P132+Q132)/(F132+P132+Q132+S132)=1,"1.00",(G132+P132+Q132)/(F132+P132+Q132+S132)),0)</f>
      </c>
      <c r="N132" s="11">
        <f t="shared" ref="N132:N134" si="15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si="12"/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</c>
      <c r="L133" s="7">
        <v>4</v>
      </c>
      <c r="M133" s="11">
        <f t="shared" si="14"/>
      </c>
      <c r="N133" s="11">
        <f t="shared" si="15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2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</c>
      <c r="L134" s="7">
        <v>5</v>
      </c>
      <c r="M134" s="11">
        <f t="shared" si="14"/>
      </c>
      <c r="N134" s="11">
        <f t="shared" si="15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v>1</v>
      </c>
      <c r="C4" s="10">
        <v>18</v>
      </c>
      <c r="D4" t="s" s="13">
        <v>231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317</v>
      </c>
    </row>
    <row r="5" spans="2:24" ht="13.8" x14ac:dyDescent="0.2">
      <c r="B5" s="8">
        <v>2</v>
      </c>
      <c r="C5" s="10">
        <v>13</v>
      </c>
      <c r="D5" t="s" s="13">
        <v>650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571</v>
      </c>
    </row>
    <row r="6" spans="2:24" ht="13.8" x14ac:dyDescent="0.2">
      <c r="B6" s="8">
        <v>3</v>
      </c>
      <c r="C6" s="10">
        <v>75</v>
      </c>
      <c r="D6" t="s" s="13">
        <v>1262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1262</v>
      </c>
    </row>
    <row r="7" spans="2:24" ht="13.8" x14ac:dyDescent="0.2">
      <c r="B7" s="8">
        <v>4</v>
      </c>
      <c r="C7" s="10">
        <v>17</v>
      </c>
      <c r="D7" t="s" s="13">
        <v>26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545</v>
      </c>
    </row>
    <row r="8" spans="2:24" ht="13.8" x14ac:dyDescent="0.2">
      <c r="B8" s="8">
        <v>5</v>
      </c>
      <c r="C8" s="10">
        <v>20</v>
      </c>
      <c r="D8" t="s" s="13">
        <v>175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1060</v>
      </c>
    </row>
    <row r="9" spans="2:24" ht="13.8" x14ac:dyDescent="0.2">
      <c r="B9" s="8">
        <v>6</v>
      </c>
      <c r="C9" s="10">
        <v>47</v>
      </c>
      <c r="D9" t="s" s="13">
        <v>80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1101</v>
      </c>
    </row>
    <row r="10" spans="2:24" ht="13.8" x14ac:dyDescent="0.2">
      <c r="B10" s="8">
        <v>7</v>
      </c>
      <c r="C10" s="10">
        <v>49</v>
      </c>
      <c r="D10" t="s" s="13">
        <v>79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79</v>
      </c>
    </row>
    <row r="11" spans="2:24" ht="13.8" x14ac:dyDescent="0.2">
      <c r="B11" s="8">
        <v>8</v>
      </c>
      <c r="C11" s="10">
        <v>53</v>
      </c>
      <c r="D11" t="s" s="13">
        <v>43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1093</v>
      </c>
    </row>
    <row r="12" spans="2:24" ht="13.8" x14ac:dyDescent="0.2">
      <c r="B12" s="8">
        <v>9</v>
      </c>
      <c r="C12" s="10">
        <v>50</v>
      </c>
      <c r="D12" t="s" s="13">
        <v>256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591</v>
      </c>
    </row>
    <row r="13" spans="2:24" ht="13.8" x14ac:dyDescent="0.2">
      <c r="B13" s="8">
        <v>10</v>
      </c>
      <c r="C13" s="10">
        <v>16</v>
      </c>
      <c r="D13" t="s" s="13">
        <v>787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781</v>
      </c>
    </row>
    <row r="14" spans="2:24" ht="13.8" x14ac:dyDescent="0.2">
      <c r="B14" s="8">
        <v>11</v>
      </c>
      <c r="C14" s="10">
        <v>17</v>
      </c>
      <c r="D14" t="s" s="13">
        <v>20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619</v>
      </c>
    </row>
    <row r="15" spans="2:24" ht="13.8" x14ac:dyDescent="0.2">
      <c r="B15" s="8">
        <v>12</v>
      </c>
      <c r="C15" s="10">
        <v>19</v>
      </c>
      <c r="D15" t="s" s="13">
        <v>17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620</v>
      </c>
    </row>
    <row r="16" spans="2:24" ht="13.8" x14ac:dyDescent="0.2">
      <c r="B16" s="8">
        <v>13</v>
      </c>
      <c r="C16" s="10">
        <v>20</v>
      </c>
      <c r="D16" t="s" s="13">
        <v>232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319</v>
      </c>
    </row>
    <row r="17" spans="2:24" ht="13.8" x14ac:dyDescent="0.2">
      <c r="B17" s="8">
        <v>14</v>
      </c>
      <c r="C17" s="10">
        <v>17</v>
      </c>
      <c r="D17" t="s" s="13">
        <v>1182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730</v>
      </c>
    </row>
    <row r="18" spans="2:24" ht="13.8" x14ac:dyDescent="0.2">
      <c r="B18" s="8">
        <v>15</v>
      </c>
      <c r="C18" s="10">
        <v>37</v>
      </c>
      <c r="D18" t="s" s="13">
        <v>272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272</v>
      </c>
    </row>
    <row r="19" spans="2:24" ht="13.8" x14ac:dyDescent="0.2">
      <c r="B19" s="8">
        <v>16</v>
      </c>
      <c r="C19" s="10">
        <v>2</v>
      </c>
      <c r="D19" t="s" s="13">
        <v>239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236</v>
      </c>
    </row>
    <row r="20" spans="2:24" ht="13.8" x14ac:dyDescent="0.2">
      <c r="B20" s="8">
        <v>17</v>
      </c>
      <c r="C20" s="10">
        <v>35</v>
      </c>
      <c r="D20" t="s" s="8">
        <v>28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554</v>
      </c>
    </row>
    <row r="21" spans="2:24" ht="13.8" x14ac:dyDescent="0.2">
      <c r="B21" s="8">
        <v>18</v>
      </c>
      <c r="C21" s="10">
        <v>2</v>
      </c>
      <c r="D21" t="s" s="13">
        <v>1677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735</v>
      </c>
    </row>
    <row r="22" spans="2:24" ht="13.8" x14ac:dyDescent="0.2">
      <c r="B22" s="8">
        <v>19</v>
      </c>
      <c r="C22" s="10">
        <v>31</v>
      </c>
      <c r="D22" t="s" s="13">
        <v>237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237</v>
      </c>
    </row>
    <row r="23" spans="2:24" ht="13.8" x14ac:dyDescent="0.2">
      <c r="B23" s="8">
        <v>20</v>
      </c>
      <c r="C23" s="10">
        <v>66</v>
      </c>
      <c r="D23" t="s" s="13">
        <v>89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89</v>
      </c>
    </row>
    <row r="24" spans="2:24" ht="13.8" x14ac:dyDescent="0.2">
      <c r="B24" s="8">
        <v>21</v>
      </c>
      <c r="C24" s="10">
        <v>1</v>
      </c>
      <c r="D24" t="s" s="13">
        <v>1289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721</v>
      </c>
    </row>
    <row r="25" spans="2:24" ht="13.8" x14ac:dyDescent="0.2">
      <c r="B25" s="8">
        <v>22</v>
      </c>
      <c r="C25" s="10">
        <v>33</v>
      </c>
      <c r="D25" t="s" s="13">
        <v>233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300</v>
      </c>
    </row>
    <row r="26" spans="2:24" ht="13.8" x14ac:dyDescent="0.2">
      <c r="B26" s="8">
        <v>23</v>
      </c>
      <c r="C26" s="10">
        <v>55</v>
      </c>
      <c r="D26" t="s" s="13">
        <v>1296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751</v>
      </c>
    </row>
    <row r="27" spans="2:24" ht="13.8" x14ac:dyDescent="0.2">
      <c r="B27" s="8">
        <v>24</v>
      </c>
      <c r="C27" s="10">
        <v>25</v>
      </c>
      <c r="D27" t="s" s="13">
        <v>1063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1064</v>
      </c>
    </row>
    <row r="28" spans="2:24" ht="13.8" x14ac:dyDescent="0.2">
      <c r="B28" s="8">
        <v>25</v>
      </c>
      <c r="C28" s="10">
        <v>51</v>
      </c>
      <c r="D28" t="s" s="13">
        <v>257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13">
        <v>592</v>
      </c>
    </row>
    <row r="29" spans="2:24" ht="13.8" x14ac:dyDescent="0.2">
      <c r="B29" s="8">
        <v>26</v>
      </c>
      <c r="C29" s="10">
        <v>6</v>
      </c>
      <c r="D29" t="s" s="13">
        <v>1745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1048</v>
      </c>
    </row>
    <row r="30" spans="2:24" ht="13.8" x14ac:dyDescent="0.2">
      <c r="B30" s="8">
        <v>27</v>
      </c>
      <c r="C30" s="10">
        <v>8</v>
      </c>
      <c r="D30" t="s" s="13">
        <v>243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570</v>
      </c>
    </row>
    <row r="31" spans="2:24" ht="13.8" x14ac:dyDescent="0.2">
      <c r="B31" s="8">
        <v>28</v>
      </c>
      <c r="C31" s="10">
        <v>5</v>
      </c>
      <c r="D31" t="s" s="13">
        <v>242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569</v>
      </c>
    </row>
    <row r="32" spans="2:24" ht="13.8" x14ac:dyDescent="0.2">
      <c r="B32" s="8">
        <v>29</v>
      </c>
      <c r="C32" s="10">
        <v>1</v>
      </c>
      <c r="D32" t="s" s="13">
        <v>230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294</v>
      </c>
    </row>
    <row r="33" spans="2:24" ht="13.8" x14ac:dyDescent="0.2">
      <c r="B33" s="8">
        <v>30</v>
      </c>
      <c r="C33" s="10">
        <v>48</v>
      </c>
      <c r="D33" t="s" s="13">
        <v>178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178</v>
      </c>
    </row>
    <row r="34" spans="2:24" ht="13.8" x14ac:dyDescent="0.2">
      <c r="B34" s="8">
        <v>31</v>
      </c>
      <c r="C34" s="10">
        <v>8</v>
      </c>
      <c r="D34" t="s" s="13">
        <v>30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542</v>
      </c>
    </row>
    <row r="35" spans="2:24" ht="13.8" x14ac:dyDescent="0.2">
      <c r="B35" s="8">
        <v>32</v>
      </c>
      <c r="C35" s="10">
        <v>7</v>
      </c>
      <c r="D35" t="s" s="13">
        <v>188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612</v>
      </c>
    </row>
    <row r="36" spans="2:24" ht="13.8" x14ac:dyDescent="0.2">
      <c r="B36" s="8">
        <v>33</v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v>34</v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v>35</v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v>36</v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v>37</v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v>38</v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v>39</v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v>40</v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v>41</v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v>42</v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v>43</v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v>44</v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v>45</v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v>46</v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v>47</v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v>48</v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v>49</v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v>50</v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v>51</v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v>52</v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v>53</v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v>54</v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v>55</v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v>56</v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v>57</v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v>58</v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v>59</v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v>60</v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v>61</v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v>62</v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v>63</v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v>64</v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v>65</v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</c>
      <c r="L68" s="7">
        <v>0</v>
      </c>
      <c r="M68" s="11">
        <f t="shared" ref="M68:M131" si="7">IFERROR(IF((G68+P68+Q68)/(F68+P68+Q68+S68)=1,"1.00",(G68+P68+Q68)/(F68+P68+Q68+S68)),0)</f>
      </c>
      <c r="N68" s="11">
        <f t="shared" ref="N68:N131" si="8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v>66</v>
      </c>
      <c r="C69" s="10"/>
      <c r="D69" s="13"/>
      <c r="E69" s="11">
        <f t="shared" ref="E69:E132" si="9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</c>
      <c r="L69" s="7">
        <v>0</v>
      </c>
      <c r="M69" s="11">
        <f t="shared" si="7"/>
      </c>
      <c r="N69" s="11">
        <f t="shared" si="8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v>67</v>
      </c>
      <c r="C70" s="10"/>
      <c r="D70" s="9"/>
      <c r="E70" s="11">
        <f t="shared" si="9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</c>
      <c r="L70" s="7">
        <v>0</v>
      </c>
      <c r="M70" s="11">
        <f t="shared" si="7"/>
      </c>
      <c r="N70" s="11">
        <f t="shared" si="8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v>68</v>
      </c>
      <c r="C71" s="10"/>
      <c r="D71" s="13"/>
      <c r="E71" s="11">
        <f t="shared" si="9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</c>
      <c r="L71" s="7">
        <v>0</v>
      </c>
      <c r="M71" s="11">
        <f t="shared" si="7"/>
      </c>
      <c r="N71" s="11">
        <f t="shared" si="8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v>69</v>
      </c>
      <c r="C72" s="10"/>
      <c r="D72" s="13"/>
      <c r="E72" s="11">
        <f t="shared" si="9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</c>
      <c r="L72" s="7">
        <v>0</v>
      </c>
      <c r="M72" s="11">
        <f t="shared" si="7"/>
      </c>
      <c r="N72" s="11">
        <f t="shared" si="8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v>70</v>
      </c>
      <c r="C73" s="10"/>
      <c r="D73" s="13"/>
      <c r="E73" s="11">
        <f t="shared" si="9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</c>
      <c r="L73" s="7">
        <v>0</v>
      </c>
      <c r="M73" s="11">
        <f t="shared" si="7"/>
      </c>
      <c r="N73" s="11">
        <f t="shared" si="8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v>71</v>
      </c>
      <c r="C74" s="10"/>
      <c r="D74" s="13"/>
      <c r="E74" s="11">
        <f t="shared" si="9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</c>
      <c r="L74" s="7">
        <v>0</v>
      </c>
      <c r="M74" s="11">
        <f t="shared" si="7"/>
      </c>
      <c r="N74" s="11">
        <f t="shared" si="8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v>72</v>
      </c>
      <c r="C75" s="10"/>
      <c r="D75" s="8"/>
      <c r="E75" s="11">
        <f t="shared" si="9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</c>
      <c r="L75" s="7">
        <v>0</v>
      </c>
      <c r="M75" s="11">
        <f t="shared" si="7"/>
      </c>
      <c r="N75" s="11">
        <f t="shared" si="8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v>73</v>
      </c>
      <c r="C76" s="10"/>
      <c r="D76" s="8"/>
      <c r="E76" s="11">
        <f t="shared" si="9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</c>
      <c r="L76" s="7">
        <v>0</v>
      </c>
      <c r="M76" s="11">
        <f t="shared" si="7"/>
      </c>
      <c r="N76" s="11">
        <f t="shared" si="8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v>74</v>
      </c>
      <c r="C77" s="10"/>
      <c r="D77" s="8"/>
      <c r="E77" s="11">
        <f t="shared" si="9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</c>
      <c r="L77" s="7">
        <v>0</v>
      </c>
      <c r="M77" s="11">
        <f t="shared" si="7"/>
      </c>
      <c r="N77" s="11">
        <f t="shared" si="8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v>75</v>
      </c>
      <c r="C78" s="10"/>
      <c r="D78" s="8"/>
      <c r="E78" s="11">
        <f t="shared" si="9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</c>
      <c r="L78" s="7">
        <v>0</v>
      </c>
      <c r="M78" s="11">
        <f t="shared" si="7"/>
      </c>
      <c r="N78" s="11">
        <f t="shared" si="8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v>76</v>
      </c>
      <c r="C79" s="10"/>
      <c r="D79" s="8"/>
      <c r="E79" s="11">
        <f t="shared" si="9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</c>
      <c r="L79" s="7">
        <v>0</v>
      </c>
      <c r="M79" s="11">
        <f t="shared" si="7"/>
      </c>
      <c r="N79" s="11">
        <f t="shared" si="8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v>77</v>
      </c>
      <c r="C80" s="10"/>
      <c r="D80" s="8"/>
      <c r="E80" s="11">
        <f t="shared" si="9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</c>
      <c r="L80" s="7">
        <v>0</v>
      </c>
      <c r="M80" s="11">
        <f t="shared" si="7"/>
      </c>
      <c r="N80" s="11">
        <f t="shared" si="8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v>78</v>
      </c>
      <c r="C81" s="10"/>
      <c r="D81" s="8"/>
      <c r="E81" s="11">
        <f t="shared" si="9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</c>
      <c r="L81" s="7">
        <v>0</v>
      </c>
      <c r="M81" s="11">
        <f t="shared" si="7"/>
      </c>
      <c r="N81" s="11">
        <f t="shared" si="8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v>79</v>
      </c>
      <c r="C82" s="10"/>
      <c r="D82" s="13"/>
      <c r="E82" s="11">
        <f t="shared" si="9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</c>
      <c r="L82" s="7">
        <v>0</v>
      </c>
      <c r="M82" s="11">
        <f t="shared" si="7"/>
      </c>
      <c r="N82" s="11">
        <f t="shared" si="8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v>80</v>
      </c>
      <c r="C83" s="10"/>
      <c r="D83" s="8"/>
      <c r="E83" s="11">
        <f t="shared" si="9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</c>
      <c r="L83" s="7">
        <v>0</v>
      </c>
      <c r="M83" s="11">
        <f t="shared" si="7"/>
      </c>
      <c r="N83" s="11">
        <f t="shared" si="8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v>81</v>
      </c>
      <c r="C84" s="10"/>
      <c r="D84" s="9"/>
      <c r="E84" s="11">
        <f t="shared" si="9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</c>
      <c r="L84" s="7">
        <v>0</v>
      </c>
      <c r="M84" s="11">
        <f t="shared" si="7"/>
      </c>
      <c r="N84" s="11">
        <f t="shared" si="8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v>82</v>
      </c>
      <c r="C85" s="10"/>
      <c r="D85" s="8"/>
      <c r="E85" s="11">
        <f t="shared" si="9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</c>
      <c r="L85" s="7">
        <v>0</v>
      </c>
      <c r="M85" s="11">
        <f t="shared" si="7"/>
      </c>
      <c r="N85" s="11">
        <f t="shared" si="8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v>83</v>
      </c>
      <c r="C86" s="10"/>
      <c r="D86" s="8"/>
      <c r="E86" s="11">
        <f t="shared" si="9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</c>
      <c r="L86" s="7">
        <v>0</v>
      </c>
      <c r="M86" s="11">
        <f t="shared" si="7"/>
      </c>
      <c r="N86" s="11">
        <f t="shared" si="8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v>84</v>
      </c>
      <c r="C87" s="10"/>
      <c r="D87" s="8"/>
      <c r="E87" s="11">
        <f t="shared" si="9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</c>
      <c r="L87" s="7">
        <v>0</v>
      </c>
      <c r="M87" s="11">
        <f t="shared" si="7"/>
      </c>
      <c r="N87" s="11">
        <f t="shared" si="8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v>85</v>
      </c>
      <c r="C88" s="10"/>
      <c r="D88" s="8"/>
      <c r="E88" s="11">
        <f t="shared" si="9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</c>
      <c r="L88" s="7">
        <v>0</v>
      </c>
      <c r="M88" s="11">
        <f t="shared" si="7"/>
      </c>
      <c r="N88" s="11">
        <f t="shared" si="8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v>86</v>
      </c>
      <c r="C89" s="10"/>
      <c r="D89" s="8"/>
      <c r="E89" s="11">
        <f t="shared" si="9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</c>
      <c r="L89" s="7">
        <v>0</v>
      </c>
      <c r="M89" s="11">
        <f t="shared" si="7"/>
      </c>
      <c r="N89" s="11">
        <f t="shared" si="8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v>87</v>
      </c>
      <c r="C90" s="10"/>
      <c r="D90" s="8"/>
      <c r="E90" s="11">
        <f t="shared" si="9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</c>
      <c r="L90" s="7">
        <v>0</v>
      </c>
      <c r="M90" s="11">
        <f t="shared" si="7"/>
      </c>
      <c r="N90" s="11">
        <f t="shared" si="8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v>88</v>
      </c>
      <c r="C91" s="10"/>
      <c r="D91" s="8"/>
      <c r="E91" s="11">
        <f t="shared" si="9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</c>
      <c r="L91" s="7">
        <v>0</v>
      </c>
      <c r="M91" s="11">
        <f t="shared" si="7"/>
      </c>
      <c r="N91" s="11">
        <f t="shared" si="8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v>89</v>
      </c>
      <c r="C92" s="10"/>
      <c r="D92" s="8"/>
      <c r="E92" s="11">
        <f t="shared" si="9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</c>
      <c r="L92" s="7">
        <v>0</v>
      </c>
      <c r="M92" s="11">
        <f t="shared" si="7"/>
      </c>
      <c r="N92" s="11">
        <f t="shared" si="8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v>90</v>
      </c>
      <c r="C93" s="10"/>
      <c r="D93" s="8"/>
      <c r="E93" s="11">
        <f t="shared" si="9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</c>
      <c r="L93" s="7">
        <v>0</v>
      </c>
      <c r="M93" s="11">
        <f t="shared" si="7"/>
      </c>
      <c r="N93" s="11">
        <f t="shared" si="8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v>91</v>
      </c>
      <c r="C94" s="10"/>
      <c r="D94" s="8"/>
      <c r="E94" s="11">
        <f t="shared" si="9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</c>
      <c r="L94" s="7">
        <v>0</v>
      </c>
      <c r="M94" s="11">
        <f t="shared" si="7"/>
      </c>
      <c r="N94" s="11">
        <f t="shared" si="8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v>92</v>
      </c>
      <c r="C95" s="10"/>
      <c r="D95" s="13"/>
      <c r="E95" s="11">
        <f t="shared" si="9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</c>
      <c r="L95" s="7">
        <v>0</v>
      </c>
      <c r="M95" s="11">
        <f t="shared" si="7"/>
      </c>
      <c r="N95" s="11">
        <f t="shared" si="8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v>93</v>
      </c>
      <c r="C96" s="10"/>
      <c r="D96" s="8"/>
      <c r="E96" s="11">
        <f t="shared" si="9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</c>
      <c r="L96" s="7">
        <v>0</v>
      </c>
      <c r="M96" s="11">
        <f t="shared" si="7"/>
      </c>
      <c r="N96" s="11">
        <f t="shared" si="8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v>94</v>
      </c>
      <c r="C97" s="10"/>
      <c r="D97" s="8"/>
      <c r="E97" s="11">
        <f t="shared" si="9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</c>
      <c r="L97" s="7">
        <v>0</v>
      </c>
      <c r="M97" s="11">
        <f t="shared" si="7"/>
      </c>
      <c r="N97" s="11">
        <f t="shared" si="8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v>95</v>
      </c>
      <c r="C98" s="10"/>
      <c r="D98" s="8"/>
      <c r="E98" s="11">
        <f t="shared" si="9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</c>
      <c r="L98" s="7">
        <v>0</v>
      </c>
      <c r="M98" s="11">
        <f t="shared" si="7"/>
      </c>
      <c r="N98" s="11">
        <f t="shared" si="8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v>96</v>
      </c>
      <c r="C99" s="10"/>
      <c r="D99" s="8"/>
      <c r="E99" s="11">
        <f t="shared" si="9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</c>
      <c r="L99" s="7">
        <v>0</v>
      </c>
      <c r="M99" s="11">
        <f t="shared" si="7"/>
      </c>
      <c r="N99" s="11">
        <f t="shared" si="8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v>97</v>
      </c>
      <c r="C100" s="10"/>
      <c r="D100" s="13"/>
      <c r="E100" s="11">
        <f t="shared" si="9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</c>
      <c r="L100" s="7">
        <v>0</v>
      </c>
      <c r="M100" s="11">
        <f t="shared" si="7"/>
      </c>
      <c r="N100" s="11">
        <f t="shared" si="8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v>98</v>
      </c>
      <c r="C101" s="10"/>
      <c r="D101" s="8"/>
      <c r="E101" s="11">
        <f t="shared" si="9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</c>
      <c r="L101" s="7">
        <v>0</v>
      </c>
      <c r="M101" s="11">
        <f t="shared" si="7"/>
      </c>
      <c r="N101" s="11">
        <f t="shared" si="8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v>99</v>
      </c>
      <c r="C102" s="10"/>
      <c r="D102" s="8"/>
      <c r="E102" s="11">
        <f t="shared" si="9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</c>
      <c r="L102" s="7">
        <v>0</v>
      </c>
      <c r="M102" s="11">
        <f t="shared" si="7"/>
      </c>
      <c r="N102" s="11">
        <f t="shared" si="8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ref="B103:B132" si="10">IF(C103="","",C103)</f>
      </c>
      <c r="C103" s="10"/>
      <c r="D103" s="8"/>
      <c r="E103" s="11">
        <f t="shared" si="9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</c>
      <c r="L103" s="7">
        <v>0</v>
      </c>
      <c r="M103" s="11">
        <f t="shared" si="7"/>
      </c>
      <c r="N103" s="11">
        <f t="shared" si="8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9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</c>
      <c r="L104" s="7">
        <v>0</v>
      </c>
      <c r="M104" s="11">
        <f t="shared" si="7"/>
      </c>
      <c r="N104" s="11">
        <f t="shared" si="8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/>
      <c r="C105" s="10"/>
      <c r="D105" s="14"/>
      <c r="E105" s="11">
        <f t="shared" si="9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</c>
      <c r="L105" s="7">
        <v>0</v>
      </c>
      <c r="M105" s="11">
        <f t="shared" si="7"/>
      </c>
      <c r="N105" s="11">
        <f t="shared" si="8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/>
      <c r="C106" s="10"/>
      <c r="D106" s="9"/>
      <c r="E106" s="11">
        <f t="shared" si="9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</c>
      <c r="L106" s="7">
        <v>0</v>
      </c>
      <c r="M106" s="11">
        <f t="shared" si="7"/>
      </c>
      <c r="N106" s="11">
        <f t="shared" si="8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/>
      <c r="C107" s="10"/>
      <c r="D107" s="9"/>
      <c r="E107" s="11">
        <f t="shared" si="9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</c>
      <c r="L107" s="7">
        <v>0</v>
      </c>
      <c r="M107" s="11">
        <f t="shared" si="7"/>
      </c>
      <c r="N107" s="11">
        <f t="shared" si="8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/>
      <c r="C108" s="10"/>
      <c r="D108" s="9"/>
      <c r="E108" s="11">
        <f t="shared" si="9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</c>
      <c r="L108" s="7">
        <v>0</v>
      </c>
      <c r="M108" s="11">
        <f t="shared" si="7"/>
      </c>
      <c r="N108" s="11">
        <f t="shared" si="8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/>
      <c r="C109" s="10"/>
      <c r="D109" s="9"/>
      <c r="E109" s="11">
        <f t="shared" si="9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</c>
      <c r="L109" s="7">
        <v>0</v>
      </c>
      <c r="M109" s="11">
        <f t="shared" si="7"/>
      </c>
      <c r="N109" s="11">
        <f t="shared" si="8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/>
      <c r="C110" s="10"/>
      <c r="D110" s="9"/>
      <c r="E110" s="11">
        <f t="shared" si="9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</c>
      <c r="L110" s="7">
        <v>0</v>
      </c>
      <c r="M110" s="11">
        <f t="shared" si="7"/>
      </c>
      <c r="N110" s="11">
        <f t="shared" si="8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/>
      <c r="C111" s="10"/>
      <c r="D111" s="9"/>
      <c r="E111" s="11">
        <f t="shared" si="9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</c>
      <c r="L111" s="7">
        <v>0</v>
      </c>
      <c r="M111" s="11">
        <f t="shared" si="7"/>
      </c>
      <c r="N111" s="11">
        <f t="shared" si="8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/>
      <c r="C112" s="10"/>
      <c r="D112" s="9"/>
      <c r="E112" s="11">
        <f t="shared" si="9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</c>
      <c r="L112" s="7">
        <v>0</v>
      </c>
      <c r="M112" s="11">
        <f t="shared" si="7"/>
      </c>
      <c r="N112" s="11">
        <f t="shared" si="8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/>
      <c r="C113" s="10"/>
      <c r="D113" s="9"/>
      <c r="E113" s="11">
        <f t="shared" si="9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</c>
      <c r="L113" s="7">
        <v>0</v>
      </c>
      <c r="M113" s="11">
        <f t="shared" si="7"/>
      </c>
      <c r="N113" s="11">
        <f t="shared" si="8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/>
      <c r="C114" s="10"/>
      <c r="D114" s="9"/>
      <c r="E114" s="11">
        <f t="shared" si="9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</c>
      <c r="L114" s="7">
        <v>0</v>
      </c>
      <c r="M114" s="11">
        <f t="shared" si="7"/>
      </c>
      <c r="N114" s="11">
        <f t="shared" si="8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/>
      <c r="C115" s="10"/>
      <c r="D115" s="9"/>
      <c r="E115" s="11">
        <f t="shared" si="9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</c>
      <c r="L115" s="7">
        <v>0</v>
      </c>
      <c r="M115" s="11">
        <f t="shared" si="7"/>
      </c>
      <c r="N115" s="11">
        <f t="shared" si="8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/>
      <c r="C116" s="10"/>
      <c r="D116" s="9"/>
      <c r="E116" s="11">
        <f t="shared" si="9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</c>
      <c r="L116" s="7">
        <v>0</v>
      </c>
      <c r="M116" s="11">
        <f t="shared" si="7"/>
      </c>
      <c r="N116" s="11">
        <f t="shared" si="8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/>
      <c r="C117" s="10"/>
      <c r="D117" s="9"/>
      <c r="E117" s="11">
        <f t="shared" si="9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</c>
      <c r="L117" s="7">
        <v>0</v>
      </c>
      <c r="M117" s="11">
        <f t="shared" si="7"/>
      </c>
      <c r="N117" s="11">
        <f t="shared" si="8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/>
      <c r="C118" s="10"/>
      <c r="D118" s="9"/>
      <c r="E118" s="11">
        <f t="shared" si="9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</c>
      <c r="L118" s="7">
        <v>0</v>
      </c>
      <c r="M118" s="11">
        <f t="shared" si="7"/>
      </c>
      <c r="N118" s="11">
        <f t="shared" si="8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/>
      <c r="C119" s="10"/>
      <c r="D119" s="9"/>
      <c r="E119" s="11">
        <f t="shared" si="9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</c>
      <c r="L119" s="7">
        <v>0</v>
      </c>
      <c r="M119" s="11">
        <f t="shared" si="7"/>
      </c>
      <c r="N119" s="11">
        <f t="shared" si="8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/>
      <c r="C120" s="10"/>
      <c r="D120" s="9"/>
      <c r="E120" s="11">
        <f t="shared" si="9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</c>
      <c r="L120" s="7">
        <v>0</v>
      </c>
      <c r="M120" s="11">
        <f t="shared" si="7"/>
      </c>
      <c r="N120" s="11">
        <f t="shared" si="8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9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</c>
      <c r="L121" s="7">
        <v>0</v>
      </c>
      <c r="M121" s="11">
        <f t="shared" si="7"/>
      </c>
      <c r="N121" s="11">
        <f t="shared" si="8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9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</c>
      <c r="L122" s="7">
        <v>0</v>
      </c>
      <c r="M122" s="11">
        <f t="shared" si="7"/>
      </c>
      <c r="N122" s="11">
        <f t="shared" si="8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9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</c>
      <c r="L123" s="7">
        <v>0</v>
      </c>
      <c r="M123" s="11">
        <f t="shared" si="7"/>
      </c>
      <c r="N123" s="11">
        <f t="shared" si="8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9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</c>
      <c r="L124" s="7">
        <v>0</v>
      </c>
      <c r="M124" s="11">
        <f t="shared" si="7"/>
      </c>
      <c r="N124" s="11">
        <f t="shared" si="8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9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</c>
      <c r="L125" s="7">
        <v>0</v>
      </c>
      <c r="M125" s="11">
        <f t="shared" si="7"/>
      </c>
      <c r="N125" s="11">
        <f t="shared" si="8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9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</c>
      <c r="L126" s="7">
        <v>0</v>
      </c>
      <c r="M126" s="11">
        <f t="shared" si="7"/>
      </c>
      <c r="N126" s="11">
        <f t="shared" si="8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9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</c>
      <c r="L127" s="7">
        <v>0</v>
      </c>
      <c r="M127" s="11">
        <f t="shared" si="7"/>
      </c>
      <c r="N127" s="11">
        <f t="shared" si="8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9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</c>
      <c r="L128" s="7">
        <v>0</v>
      </c>
      <c r="M128" s="11">
        <f t="shared" si="7"/>
      </c>
      <c r="N128" s="11">
        <f t="shared" si="8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9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</c>
      <c r="L129" s="7">
        <v>0</v>
      </c>
      <c r="M129" s="11">
        <f t="shared" si="7"/>
      </c>
      <c r="N129" s="11">
        <f t="shared" si="8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9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</c>
      <c r="L130" s="7">
        <v>1</v>
      </c>
      <c r="M130" s="11">
        <f t="shared" si="7"/>
      </c>
      <c r="N130" s="11">
        <f t="shared" si="8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9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</c>
      <c r="L131" s="7">
        <v>2</v>
      </c>
      <c r="M131" s="11">
        <f t="shared" si="7"/>
      </c>
      <c r="N131" s="11">
        <f t="shared" si="8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9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</c>
      <c r="L132" s="7">
        <v>3</v>
      </c>
      <c r="M132" s="11">
        <f t="shared" ref="M132:M134" si="12">IFERROR(IF((G132+P132+Q132)/(F132+P132+Q132+S132)=1,"1.00",(G132+P132+Q132)/(F132+P132+Q132+S132)),0)</f>
      </c>
      <c r="N132" s="11">
        <f t="shared" ref="N132:N134" si="13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4">IF(C133="","",C133)</f>
      </c>
      <c r="C133" s="10"/>
      <c r="D133" s="9"/>
      <c r="E133" s="11">
        <f t="shared" ref="E133:E134" si="15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</c>
      <c r="L133" s="7">
        <v>4</v>
      </c>
      <c r="M133" s="11">
        <f t="shared" si="12"/>
      </c>
      <c r="N133" s="11">
        <f t="shared" si="13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4"/>
      </c>
      <c r="C134" s="10"/>
      <c r="D134" s="9"/>
      <c r="E134" s="11">
        <f t="shared" si="15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</c>
      <c r="L134" s="7">
        <v>5</v>
      </c>
      <c r="M134" s="11">
        <f t="shared" si="12"/>
      </c>
      <c r="N134" s="11">
        <f t="shared" si="13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10">
        <v>1</v>
      </c>
      <c r="C4" s="10">
        <v>13</v>
      </c>
      <c r="D4" t="s" s="13">
        <v>1227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401</v>
      </c>
    </row>
    <row r="5" spans="2:24" ht="13.8" x14ac:dyDescent="0.2">
      <c r="B5" s="10">
        <v>2</v>
      </c>
      <c r="C5" s="10">
        <v>61</v>
      </c>
      <c r="D5" t="s" s="13">
        <v>1331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495</v>
      </c>
    </row>
    <row r="6" spans="2:24" ht="13.8" x14ac:dyDescent="0.2">
      <c r="B6" s="10">
        <v>3</v>
      </c>
      <c r="C6" s="10">
        <v>1</v>
      </c>
      <c r="D6" t="s" s="13">
        <v>769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363</v>
      </c>
    </row>
    <row r="7" spans="2:24" ht="13.8" x14ac:dyDescent="0.2">
      <c r="B7" s="10">
        <v>4</v>
      </c>
      <c r="C7" s="10">
        <v>18</v>
      </c>
      <c r="D7" t="s" s="13">
        <v>1295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403</v>
      </c>
    </row>
    <row r="8" spans="2:24" ht="13.8" x14ac:dyDescent="0.2">
      <c r="B8" s="10">
        <v>5</v>
      </c>
      <c r="C8" s="10">
        <v>11</v>
      </c>
      <c r="D8" t="s" s="13">
        <v>92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505</v>
      </c>
    </row>
    <row r="9" spans="2:24" ht="13.8" x14ac:dyDescent="0.2">
      <c r="B9" s="10">
        <v>6</v>
      </c>
      <c r="C9" s="10">
        <v>11</v>
      </c>
      <c r="D9" t="s" s="13">
        <v>1323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154</v>
      </c>
    </row>
    <row r="10" spans="2:24" ht="13.8" x14ac:dyDescent="0.2">
      <c r="B10" s="10">
        <v>7</v>
      </c>
      <c r="C10" s="10">
        <v>52</v>
      </c>
      <c r="D10" t="s" s="13">
        <v>905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455</v>
      </c>
    </row>
    <row r="11" spans="2:24" ht="13.8" x14ac:dyDescent="0.2">
      <c r="B11" s="10">
        <v>8</v>
      </c>
      <c r="C11" s="10">
        <v>11</v>
      </c>
      <c r="D11" t="s" s="13">
        <v>1671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474</v>
      </c>
    </row>
    <row r="12" spans="2:24" ht="13.8" x14ac:dyDescent="0.2">
      <c r="B12" s="10">
        <v>9</v>
      </c>
      <c r="C12" s="10">
        <v>17</v>
      </c>
      <c r="D12" t="s" s="13">
        <v>1319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477</v>
      </c>
    </row>
    <row r="13" spans="2:24" ht="13.8" x14ac:dyDescent="0.2">
      <c r="B13" s="10">
        <v>10</v>
      </c>
      <c r="C13" s="10">
        <v>14</v>
      </c>
      <c r="D13" t="s" s="13">
        <v>144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370</v>
      </c>
    </row>
    <row r="14" spans="2:24" ht="13.8" x14ac:dyDescent="0.2">
      <c r="B14" s="10">
        <v>11</v>
      </c>
      <c r="C14" s="10">
        <v>18</v>
      </c>
      <c r="D14" t="s" s="13">
        <v>1744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372</v>
      </c>
    </row>
    <row r="15" spans="2:24" ht="13.8" x14ac:dyDescent="0.2">
      <c r="B15" s="10">
        <v>12</v>
      </c>
      <c r="C15" s="10">
        <v>43</v>
      </c>
      <c r="D15" t="s" s="13">
        <v>147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381</v>
      </c>
    </row>
    <row r="16" spans="2:24" ht="13.8" x14ac:dyDescent="0.2">
      <c r="B16" s="10">
        <v>13</v>
      </c>
      <c r="C16" s="10">
        <v>15</v>
      </c>
      <c r="D16" t="s" s="13">
        <v>128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335</v>
      </c>
    </row>
    <row r="17" spans="2:24" ht="13.8" x14ac:dyDescent="0.2">
      <c r="B17" s="10">
        <v>14</v>
      </c>
      <c r="C17" s="10">
        <v>10</v>
      </c>
      <c r="D17" t="s" s="13">
        <v>1438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473</v>
      </c>
    </row>
    <row r="18" spans="2:24" ht="13.8" x14ac:dyDescent="0.2">
      <c r="B18" s="10">
        <v>15</v>
      </c>
      <c r="C18" s="10">
        <v>19</v>
      </c>
      <c r="D18" t="s" s="13">
        <v>93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509</v>
      </c>
    </row>
    <row r="19" spans="2:24" ht="13.8" x14ac:dyDescent="0.2">
      <c r="B19" s="10">
        <v>16</v>
      </c>
      <c r="C19" s="10">
        <v>31</v>
      </c>
      <c r="D19" t="s" s="13">
        <v>788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782</v>
      </c>
    </row>
    <row r="20" spans="2:24" ht="13.8" x14ac:dyDescent="0.2">
      <c r="B20" s="10">
        <v>17</v>
      </c>
      <c r="C20" s="10">
        <v>3</v>
      </c>
      <c r="D20" t="s" s="13">
        <v>1523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467</v>
      </c>
    </row>
    <row r="21" spans="2:24" ht="13.8" x14ac:dyDescent="0.2">
      <c r="B21" s="10">
        <v>18</v>
      </c>
      <c r="C21" s="10">
        <v>3</v>
      </c>
      <c r="D21" t="s" s="13">
        <v>141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365</v>
      </c>
    </row>
    <row r="22" spans="2:24" ht="13.8" x14ac:dyDescent="0.2">
      <c r="B22" s="10">
        <v>19</v>
      </c>
      <c r="C22" s="10">
        <v>60</v>
      </c>
      <c r="D22" t="s" s="13">
        <v>644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494</v>
      </c>
    </row>
    <row r="23" spans="2:24" ht="13.8" x14ac:dyDescent="0.2">
      <c r="B23" s="10">
        <v>20</v>
      </c>
      <c r="C23" s="10">
        <v>5</v>
      </c>
      <c r="D23" t="s" s="13">
        <v>1885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501</v>
      </c>
    </row>
    <row r="24" spans="2:24" ht="13.8" x14ac:dyDescent="0.2">
      <c r="B24" s="10">
        <v>21</v>
      </c>
      <c r="C24" s="10">
        <v>6</v>
      </c>
      <c r="D24" t="s" s="13">
        <v>76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470</v>
      </c>
    </row>
    <row r="25" spans="2:24" ht="13.8" x14ac:dyDescent="0.2">
      <c r="B25" s="10">
        <v>22</v>
      </c>
      <c r="C25" s="10">
        <v>8</v>
      </c>
      <c r="D25" t="s" s="13">
        <v>1018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435</v>
      </c>
    </row>
    <row r="26" spans="2:24" ht="13.8" x14ac:dyDescent="0.2">
      <c r="B26" s="10">
        <v>23</v>
      </c>
      <c r="C26" s="10">
        <v>39</v>
      </c>
      <c r="D26" t="s" s="13">
        <v>62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485</v>
      </c>
    </row>
    <row r="27" spans="2:24" ht="13.8" x14ac:dyDescent="0.2">
      <c r="B27" s="10">
        <v>24</v>
      </c>
      <c r="C27" s="10">
        <v>0</v>
      </c>
      <c r="D27" t="s" s="13">
        <v>1350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137</v>
      </c>
    </row>
    <row r="28" spans="2:24" ht="13.8" x14ac:dyDescent="0.2">
      <c r="B28" s="10">
        <v>25</v>
      </c>
      <c r="C28" s="10">
        <v>34</v>
      </c>
      <c r="D28" t="s" s="13">
        <v>839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1244</v>
      </c>
    </row>
    <row r="29" spans="2:24" ht="13.8" x14ac:dyDescent="0.2">
      <c r="B29" s="10">
        <v>26</v>
      </c>
      <c r="C29" s="10">
        <v>9</v>
      </c>
      <c r="D29" t="s" s="13">
        <v>69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504</v>
      </c>
    </row>
    <row r="30" spans="2:24" ht="13.8" x14ac:dyDescent="0.2">
      <c r="B30" s="10">
        <v>27</v>
      </c>
      <c r="C30" s="10">
        <v>79</v>
      </c>
      <c r="D30" t="s" s="13">
        <v>211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211</v>
      </c>
    </row>
    <row r="31" spans="2:24" ht="13.8" x14ac:dyDescent="0.2">
      <c r="B31" s="10">
        <v>28</v>
      </c>
      <c r="C31" s="10">
        <v>0</v>
      </c>
      <c r="D31" t="s" s="13">
        <v>157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431</v>
      </c>
    </row>
    <row r="32" spans="2:24" ht="13.8" x14ac:dyDescent="0.2">
      <c r="B32" s="10">
        <v>29</v>
      </c>
      <c r="C32" s="10">
        <v>35</v>
      </c>
      <c r="D32" t="s" s="13">
        <v>1009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380</v>
      </c>
    </row>
    <row r="33" spans="2:24" ht="13.8" x14ac:dyDescent="0.2">
      <c r="B33" s="10">
        <v>30</v>
      </c>
      <c r="C33" s="10">
        <v>8</v>
      </c>
      <c r="D33" t="s" s="13">
        <v>1300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329</v>
      </c>
    </row>
    <row r="34" spans="2:24" ht="13.8" x14ac:dyDescent="0.2">
      <c r="B34" s="10">
        <v>31</v>
      </c>
      <c r="C34" s="10">
        <v>99</v>
      </c>
      <c r="D34" t="s" s="9">
        <v>116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99</v>
      </c>
    </row>
    <row r="35" spans="2:24" ht="13.8" x14ac:dyDescent="0.2">
      <c r="B35" s="10">
        <v>32</v>
      </c>
      <c r="C35" s="10">
        <v>54</v>
      </c>
      <c r="D35" t="s" s="13">
        <v>207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207</v>
      </c>
    </row>
    <row r="36" spans="2:24" ht="13.8" x14ac:dyDescent="0.2">
      <c r="B36" s="10">
        <v>33</v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10">
        <v>34</v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10">
        <v>35</v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10">
        <v>36</v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10">
        <v>37</v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10">
        <v>38</v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10">
        <v>39</v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10">
        <v>40</v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10">
        <v>41</v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10">
        <v>42</v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10">
        <v>43</v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10">
        <v>44</v>
      </c>
      <c r="C47" s="10"/>
      <c r="D47" s="8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10">
        <v>45</v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10">
        <v>46</v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10">
        <v>47</v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10">
        <v>48</v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10">
        <v>49</v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10">
        <v>50</v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10">
        <v>51</v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10">
        <v>52</v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10">
        <v>53</v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10">
        <v>54</v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10">
        <v>55</v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10">
        <v>56</v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10">
        <v>57</v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10">
        <v>58</v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10">
        <v>59</v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10">
        <v>60</v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10">
        <v>61</v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10">
        <v>62</v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10">
        <v>63</v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10">
        <v>64</v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10">
        <v>65</v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</c>
      <c r="L68" s="7">
        <v>0</v>
      </c>
      <c r="M68" s="11">
        <f t="shared" ref="M68:M131" si="7">IFERROR(IF((G68+P68+Q68)/(F68+P68+Q68+S68)=1,"1.00",(G68+P68+Q68)/(F68+P68+Q68+S68)),0)</f>
      </c>
      <c r="N68" s="11">
        <f t="shared" ref="N68:N131" si="8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10">
        <v>66</v>
      </c>
      <c r="C69" s="10"/>
      <c r="D69" s="13"/>
      <c r="E69" s="11">
        <f t="shared" ref="E69:E132" si="9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</c>
      <c r="L69" s="7">
        <v>0</v>
      </c>
      <c r="M69" s="11">
        <f t="shared" si="7"/>
      </c>
      <c r="N69" s="11">
        <f t="shared" si="8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10">
        <v>67</v>
      </c>
      <c r="C70" s="10"/>
      <c r="D70" s="9"/>
      <c r="E70" s="11">
        <f t="shared" si="9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</c>
      <c r="L70" s="7">
        <v>0</v>
      </c>
      <c r="M70" s="11">
        <f t="shared" si="7"/>
      </c>
      <c r="N70" s="11">
        <f t="shared" si="8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10">
        <v>68</v>
      </c>
      <c r="C71" s="10"/>
      <c r="D71" s="13"/>
      <c r="E71" s="11">
        <f t="shared" si="9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</c>
      <c r="L71" s="7">
        <v>0</v>
      </c>
      <c r="M71" s="11">
        <f t="shared" si="7"/>
      </c>
      <c r="N71" s="11">
        <f t="shared" si="8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10">
        <v>69</v>
      </c>
      <c r="C72" s="10"/>
      <c r="D72" s="13"/>
      <c r="E72" s="11">
        <f t="shared" si="9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</c>
      <c r="L72" s="7">
        <v>0</v>
      </c>
      <c r="M72" s="11">
        <f t="shared" si="7"/>
      </c>
      <c r="N72" s="11">
        <f t="shared" si="8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10">
        <v>70</v>
      </c>
      <c r="C73" s="10"/>
      <c r="D73" s="13"/>
      <c r="E73" s="11">
        <f t="shared" si="9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</c>
      <c r="L73" s="7">
        <v>0</v>
      </c>
      <c r="M73" s="11">
        <f t="shared" si="7"/>
      </c>
      <c r="N73" s="11">
        <f t="shared" si="8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10">
        <v>71</v>
      </c>
      <c r="C74" s="10"/>
      <c r="D74" s="13"/>
      <c r="E74" s="11">
        <f t="shared" si="9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</c>
      <c r="L74" s="7">
        <v>0</v>
      </c>
      <c r="M74" s="11">
        <f t="shared" si="7"/>
      </c>
      <c r="N74" s="11">
        <f t="shared" si="8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10">
        <v>72</v>
      </c>
      <c r="C75" s="10"/>
      <c r="D75" s="9"/>
      <c r="E75" s="11">
        <f t="shared" si="9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</c>
      <c r="L75" s="7">
        <v>0</v>
      </c>
      <c r="M75" s="11">
        <f t="shared" si="7"/>
      </c>
      <c r="N75" s="11">
        <f t="shared" si="8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10">
        <v>73</v>
      </c>
      <c r="C76" s="10"/>
      <c r="D76" s="13"/>
      <c r="E76" s="11">
        <f t="shared" si="9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</c>
      <c r="L76" s="7">
        <v>0</v>
      </c>
      <c r="M76" s="11">
        <f t="shared" si="7"/>
      </c>
      <c r="N76" s="11">
        <f t="shared" si="8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10">
        <v>74</v>
      </c>
      <c r="C77" s="10"/>
      <c r="D77" s="8"/>
      <c r="E77" s="11">
        <f t="shared" si="9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</c>
      <c r="L77" s="7">
        <v>0</v>
      </c>
      <c r="M77" s="11">
        <f t="shared" si="7"/>
      </c>
      <c r="N77" s="11">
        <f t="shared" si="8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10">
        <v>75</v>
      </c>
      <c r="C78" s="10"/>
      <c r="D78" s="8"/>
      <c r="E78" s="11">
        <f t="shared" si="9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</c>
      <c r="L78" s="7">
        <v>0</v>
      </c>
      <c r="M78" s="11">
        <f t="shared" si="7"/>
      </c>
      <c r="N78" s="11">
        <f t="shared" si="8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10">
        <v>76</v>
      </c>
      <c r="C79" s="10"/>
      <c r="D79" s="8"/>
      <c r="E79" s="11">
        <f t="shared" si="9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</c>
      <c r="L79" s="7">
        <v>0</v>
      </c>
      <c r="M79" s="11">
        <f t="shared" si="7"/>
      </c>
      <c r="N79" s="11">
        <f t="shared" si="8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10">
        <v>77</v>
      </c>
      <c r="C80" s="10"/>
      <c r="D80" s="8"/>
      <c r="E80" s="11">
        <f t="shared" si="9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</c>
      <c r="L80" s="7">
        <v>0</v>
      </c>
      <c r="M80" s="11">
        <f t="shared" si="7"/>
      </c>
      <c r="N80" s="11">
        <f t="shared" si="8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10">
        <v>78</v>
      </c>
      <c r="C81" s="10"/>
      <c r="D81" s="8"/>
      <c r="E81" s="11">
        <f t="shared" si="9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</c>
      <c r="L81" s="7">
        <v>0</v>
      </c>
      <c r="M81" s="11">
        <f t="shared" si="7"/>
      </c>
      <c r="N81" s="11">
        <f t="shared" si="8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10">
        <v>79</v>
      </c>
      <c r="C82" s="10"/>
      <c r="D82" s="8"/>
      <c r="E82" s="11">
        <f t="shared" si="9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</c>
      <c r="L82" s="7">
        <v>0</v>
      </c>
      <c r="M82" s="11">
        <f t="shared" si="7"/>
      </c>
      <c r="N82" s="11">
        <f t="shared" si="8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10">
        <v>80</v>
      </c>
      <c r="C83" s="10"/>
      <c r="D83" s="13"/>
      <c r="E83" s="11">
        <f t="shared" si="9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</c>
      <c r="L83" s="7">
        <v>0</v>
      </c>
      <c r="M83" s="11">
        <f t="shared" si="7"/>
      </c>
      <c r="N83" s="11">
        <f t="shared" si="8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10">
        <v>81</v>
      </c>
      <c r="C84" s="10"/>
      <c r="D84" s="8"/>
      <c r="E84" s="11">
        <f t="shared" si="9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</c>
      <c r="L84" s="7">
        <v>0</v>
      </c>
      <c r="M84" s="11">
        <f t="shared" si="7"/>
      </c>
      <c r="N84" s="11">
        <f t="shared" si="8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10">
        <v>82</v>
      </c>
      <c r="C85" s="10"/>
      <c r="D85" s="8"/>
      <c r="E85" s="11">
        <f t="shared" si="9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</c>
      <c r="L85" s="7">
        <v>0</v>
      </c>
      <c r="M85" s="11">
        <f t="shared" si="7"/>
      </c>
      <c r="N85" s="11">
        <f t="shared" si="8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10">
        <v>83</v>
      </c>
      <c r="C86" s="10"/>
      <c r="D86" s="8"/>
      <c r="E86" s="11">
        <f t="shared" si="9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</c>
      <c r="L86" s="7">
        <v>0</v>
      </c>
      <c r="M86" s="11">
        <f t="shared" si="7"/>
      </c>
      <c r="N86" s="11">
        <f t="shared" si="8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10">
        <v>84</v>
      </c>
      <c r="C87" s="10"/>
      <c r="D87" s="8"/>
      <c r="E87" s="11">
        <f t="shared" si="9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</c>
      <c r="L87" s="7">
        <v>0</v>
      </c>
      <c r="M87" s="11">
        <f t="shared" si="7"/>
      </c>
      <c r="N87" s="11">
        <f t="shared" si="8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10">
        <v>85</v>
      </c>
      <c r="C88" s="10"/>
      <c r="D88" s="8"/>
      <c r="E88" s="11">
        <f t="shared" si="9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</c>
      <c r="L88" s="7">
        <v>0</v>
      </c>
      <c r="M88" s="11">
        <f t="shared" si="7"/>
      </c>
      <c r="N88" s="11">
        <f t="shared" si="8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10">
        <v>86</v>
      </c>
      <c r="C89" s="10"/>
      <c r="D89" s="8"/>
      <c r="E89" s="11">
        <f t="shared" si="9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</c>
      <c r="L89" s="7">
        <v>0</v>
      </c>
      <c r="M89" s="11">
        <f t="shared" si="7"/>
      </c>
      <c r="N89" s="11">
        <f t="shared" si="8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10">
        <v>87</v>
      </c>
      <c r="C90" s="10"/>
      <c r="D90" s="8"/>
      <c r="E90" s="11">
        <f t="shared" si="9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</c>
      <c r="L90" s="7">
        <v>0</v>
      </c>
      <c r="M90" s="11">
        <f t="shared" si="7"/>
      </c>
      <c r="N90" s="11">
        <f t="shared" si="8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10">
        <v>88</v>
      </c>
      <c r="C91" s="10"/>
      <c r="D91" s="8"/>
      <c r="E91" s="11">
        <f t="shared" si="9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</c>
      <c r="L91" s="7">
        <v>0</v>
      </c>
      <c r="M91" s="11">
        <f t="shared" si="7"/>
      </c>
      <c r="N91" s="11">
        <f t="shared" si="8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10">
        <v>89</v>
      </c>
      <c r="C92" s="10"/>
      <c r="D92" s="8"/>
      <c r="E92" s="11">
        <f t="shared" si="9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</c>
      <c r="L92" s="7">
        <v>0</v>
      </c>
      <c r="M92" s="11">
        <f t="shared" si="7"/>
      </c>
      <c r="N92" s="11">
        <f t="shared" si="8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10">
        <v>90</v>
      </c>
      <c r="C93" s="10"/>
      <c r="D93" s="13"/>
      <c r="E93" s="11">
        <f t="shared" si="9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</c>
      <c r="L93" s="7">
        <v>0</v>
      </c>
      <c r="M93" s="11">
        <f t="shared" si="7"/>
      </c>
      <c r="N93" s="11">
        <f t="shared" si="8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10">
        <v>91</v>
      </c>
      <c r="C94" s="10"/>
      <c r="D94" s="8"/>
      <c r="E94" s="11">
        <f t="shared" si="9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</c>
      <c r="L94" s="7">
        <v>0</v>
      </c>
      <c r="M94" s="11">
        <f t="shared" si="7"/>
      </c>
      <c r="N94" s="11">
        <f t="shared" si="8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10">
        <v>92</v>
      </c>
      <c r="C95" s="10"/>
      <c r="D95" s="8"/>
      <c r="E95" s="11">
        <f t="shared" si="9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</c>
      <c r="L95" s="7">
        <v>0</v>
      </c>
      <c r="M95" s="11">
        <f t="shared" si="7"/>
      </c>
      <c r="N95" s="11">
        <f t="shared" si="8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10">
        <v>93</v>
      </c>
      <c r="C96" s="10"/>
      <c r="D96" s="9"/>
      <c r="E96" s="11">
        <f t="shared" si="9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</c>
      <c r="L96" s="7">
        <v>0</v>
      </c>
      <c r="M96" s="11">
        <f t="shared" si="7"/>
      </c>
      <c r="N96" s="11">
        <f t="shared" si="8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10">
        <v>94</v>
      </c>
      <c r="C97" s="10"/>
      <c r="D97" s="8"/>
      <c r="E97" s="11">
        <f t="shared" si="9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</c>
      <c r="L97" s="7">
        <v>0</v>
      </c>
      <c r="M97" s="11">
        <f t="shared" si="7"/>
      </c>
      <c r="N97" s="11">
        <f t="shared" si="8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10">
        <v>95</v>
      </c>
      <c r="C98" s="10"/>
      <c r="D98" s="8"/>
      <c r="E98" s="11">
        <f t="shared" si="9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</c>
      <c r="L98" s="7">
        <v>0</v>
      </c>
      <c r="M98" s="11">
        <f t="shared" si="7"/>
      </c>
      <c r="N98" s="11">
        <f t="shared" si="8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10">
        <v>96</v>
      </c>
      <c r="C99" s="10"/>
      <c r="D99" s="8"/>
      <c r="E99" s="11">
        <f t="shared" si="9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</c>
      <c r="L99" s="7">
        <v>0</v>
      </c>
      <c r="M99" s="11">
        <f t="shared" si="7"/>
      </c>
      <c r="N99" s="11">
        <f t="shared" si="8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10">
        <v>97</v>
      </c>
      <c r="C100" s="10"/>
      <c r="D100" s="8"/>
      <c r="E100" s="11">
        <f t="shared" si="9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</c>
      <c r="L100" s="7">
        <v>0</v>
      </c>
      <c r="M100" s="11">
        <f t="shared" si="7"/>
      </c>
      <c r="N100" s="11">
        <f t="shared" si="8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10">
        <v>98</v>
      </c>
      <c r="C101" s="10"/>
      <c r="D101" s="8"/>
      <c r="E101" s="11">
        <f t="shared" si="9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</c>
      <c r="L101" s="7">
        <v>0</v>
      </c>
      <c r="M101" s="11">
        <f t="shared" si="7"/>
      </c>
      <c r="N101" s="11">
        <f t="shared" si="8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10">
        <v>99</v>
      </c>
      <c r="C102" s="10"/>
      <c r="D102" s="8"/>
      <c r="E102" s="11">
        <f t="shared" si="9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</c>
      <c r="L102" s="7">
        <v>0</v>
      </c>
      <c r="M102" s="11">
        <f t="shared" si="7"/>
      </c>
      <c r="N102" s="11">
        <f t="shared" si="8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ref="B103:B134" si="10">IF(C103="","",C103)</f>
      </c>
      <c r="C103" s="10"/>
      <c r="D103" s="8"/>
      <c r="E103" s="11">
        <f t="shared" si="9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</c>
      <c r="L103" s="7">
        <v>0</v>
      </c>
      <c r="M103" s="11">
        <f t="shared" si="7"/>
      </c>
      <c r="N103" s="11">
        <f t="shared" si="8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9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</c>
      <c r="L104" s="7">
        <v>0</v>
      </c>
      <c r="M104" s="11">
        <f t="shared" si="7"/>
      </c>
      <c r="N104" s="11">
        <f t="shared" si="8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/>
      <c r="C105" s="10"/>
      <c r="D105" s="14"/>
      <c r="E105" s="11">
        <f t="shared" si="9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</c>
      <c r="L105" s="7">
        <v>0</v>
      </c>
      <c r="M105" s="11">
        <f t="shared" si="7"/>
      </c>
      <c r="N105" s="11">
        <f t="shared" si="8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/>
      <c r="C106" s="10"/>
      <c r="D106" s="9"/>
      <c r="E106" s="11">
        <f t="shared" si="9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</c>
      <c r="L106" s="7">
        <v>0</v>
      </c>
      <c r="M106" s="11">
        <f t="shared" si="7"/>
      </c>
      <c r="N106" s="11">
        <f t="shared" si="8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/>
      <c r="C107" s="10"/>
      <c r="D107" s="9"/>
      <c r="E107" s="11">
        <f t="shared" si="9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</c>
      <c r="L107" s="7">
        <v>0</v>
      </c>
      <c r="M107" s="11">
        <f t="shared" si="7"/>
      </c>
      <c r="N107" s="11">
        <f t="shared" si="8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/>
      <c r="C108" s="10"/>
      <c r="D108" s="9"/>
      <c r="E108" s="11">
        <f t="shared" si="9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</c>
      <c r="L108" s="7">
        <v>0</v>
      </c>
      <c r="M108" s="11">
        <f t="shared" si="7"/>
      </c>
      <c r="N108" s="11">
        <f t="shared" si="8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/>
      <c r="C109" s="10"/>
      <c r="D109" s="9"/>
      <c r="E109" s="11">
        <f t="shared" si="9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</c>
      <c r="L109" s="7">
        <v>0</v>
      </c>
      <c r="M109" s="11">
        <f t="shared" si="7"/>
      </c>
      <c r="N109" s="11">
        <f t="shared" si="8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/>
      <c r="C110" s="10"/>
      <c r="D110" s="9"/>
      <c r="E110" s="11">
        <f t="shared" si="9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</c>
      <c r="L110" s="7">
        <v>0</v>
      </c>
      <c r="M110" s="11">
        <f t="shared" si="7"/>
      </c>
      <c r="N110" s="11">
        <f t="shared" si="8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/>
      <c r="C111" s="10"/>
      <c r="D111" s="9"/>
      <c r="E111" s="11">
        <f t="shared" si="9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</c>
      <c r="L111" s="7">
        <v>0</v>
      </c>
      <c r="M111" s="11">
        <f t="shared" si="7"/>
      </c>
      <c r="N111" s="11">
        <f t="shared" si="8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/>
      <c r="C112" s="10"/>
      <c r="D112" s="9"/>
      <c r="E112" s="11">
        <f t="shared" si="9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</c>
      <c r="L112" s="7">
        <v>0</v>
      </c>
      <c r="M112" s="11">
        <f t="shared" si="7"/>
      </c>
      <c r="N112" s="11">
        <f t="shared" si="8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/>
      <c r="C113" s="10"/>
      <c r="D113" s="9"/>
      <c r="E113" s="11">
        <f t="shared" si="9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</c>
      <c r="L113" s="7">
        <v>0</v>
      </c>
      <c r="M113" s="11">
        <f t="shared" si="7"/>
      </c>
      <c r="N113" s="11">
        <f t="shared" si="8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/>
      <c r="C114" s="10"/>
      <c r="D114" s="9"/>
      <c r="E114" s="11">
        <f t="shared" si="9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</c>
      <c r="L114" s="7">
        <v>0</v>
      </c>
      <c r="M114" s="11">
        <f t="shared" si="7"/>
      </c>
      <c r="N114" s="11">
        <f t="shared" si="8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/>
      <c r="C115" s="10"/>
      <c r="D115" s="9"/>
      <c r="E115" s="11">
        <f t="shared" si="9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</c>
      <c r="L115" s="7">
        <v>0</v>
      </c>
      <c r="M115" s="11">
        <f t="shared" si="7"/>
      </c>
      <c r="N115" s="11">
        <f t="shared" si="8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/>
      <c r="C116" s="10"/>
      <c r="D116" s="9"/>
      <c r="E116" s="11">
        <f t="shared" si="9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</c>
      <c r="L116" s="7">
        <v>0</v>
      </c>
      <c r="M116" s="11">
        <f t="shared" si="7"/>
      </c>
      <c r="N116" s="11">
        <f t="shared" si="8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/>
      <c r="C117" s="10"/>
      <c r="D117" s="9"/>
      <c r="E117" s="11">
        <f t="shared" si="9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</c>
      <c r="L117" s="7">
        <v>0</v>
      </c>
      <c r="M117" s="11">
        <f t="shared" si="7"/>
      </c>
      <c r="N117" s="11">
        <f t="shared" si="8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/>
      <c r="C118" s="10"/>
      <c r="D118" s="9"/>
      <c r="E118" s="11">
        <f t="shared" si="9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</c>
      <c r="L118" s="7">
        <v>0</v>
      </c>
      <c r="M118" s="11">
        <f t="shared" si="7"/>
      </c>
      <c r="N118" s="11">
        <f t="shared" si="8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/>
      <c r="C119" s="10"/>
      <c r="D119" s="9"/>
      <c r="E119" s="11">
        <f t="shared" si="9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</c>
      <c r="L119" s="7">
        <v>0</v>
      </c>
      <c r="M119" s="11">
        <f t="shared" si="7"/>
      </c>
      <c r="N119" s="11">
        <f t="shared" si="8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/>
      <c r="C120" s="10"/>
      <c r="D120" s="9"/>
      <c r="E120" s="11">
        <f t="shared" si="9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</c>
      <c r="L120" s="7">
        <v>0</v>
      </c>
      <c r="M120" s="11">
        <f t="shared" si="7"/>
      </c>
      <c r="N120" s="11">
        <f t="shared" si="8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9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</c>
      <c r="L121" s="7">
        <v>0</v>
      </c>
      <c r="M121" s="11">
        <f t="shared" si="7"/>
      </c>
      <c r="N121" s="11">
        <f t="shared" si="8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9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</c>
      <c r="L122" s="7">
        <v>0</v>
      </c>
      <c r="M122" s="11">
        <f t="shared" si="7"/>
      </c>
      <c r="N122" s="11">
        <f t="shared" si="8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9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</c>
      <c r="L123" s="7">
        <v>0</v>
      </c>
      <c r="M123" s="11">
        <f t="shared" si="7"/>
      </c>
      <c r="N123" s="11">
        <f t="shared" si="8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9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</c>
      <c r="L124" s="7">
        <v>0</v>
      </c>
      <c r="M124" s="11">
        <f t="shared" si="7"/>
      </c>
      <c r="N124" s="11">
        <f t="shared" si="8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9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</c>
      <c r="L125" s="7">
        <v>0</v>
      </c>
      <c r="M125" s="11">
        <f t="shared" si="7"/>
      </c>
      <c r="N125" s="11">
        <f t="shared" si="8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9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</c>
      <c r="L126" s="7">
        <v>0</v>
      </c>
      <c r="M126" s="11">
        <f t="shared" si="7"/>
      </c>
      <c r="N126" s="11">
        <f t="shared" si="8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9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</c>
      <c r="L127" s="7">
        <v>0</v>
      </c>
      <c r="M127" s="11">
        <f t="shared" si="7"/>
      </c>
      <c r="N127" s="11">
        <f t="shared" si="8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9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</c>
      <c r="L128" s="7">
        <v>0</v>
      </c>
      <c r="M128" s="11">
        <f t="shared" si="7"/>
      </c>
      <c r="N128" s="11">
        <f t="shared" si="8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9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</c>
      <c r="L129" s="7">
        <v>0</v>
      </c>
      <c r="M129" s="11">
        <f t="shared" si="7"/>
      </c>
      <c r="N129" s="11">
        <f t="shared" si="8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9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</c>
      <c r="L130" s="7">
        <v>1</v>
      </c>
      <c r="M130" s="11">
        <f t="shared" si="7"/>
      </c>
      <c r="N130" s="11">
        <f t="shared" si="8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9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</c>
      <c r="L131" s="7">
        <v>2</v>
      </c>
      <c r="M131" s="11">
        <f t="shared" si="7"/>
      </c>
      <c r="N131" s="11">
        <f t="shared" si="8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9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</c>
      <c r="L132" s="7">
        <v>3</v>
      </c>
      <c r="M132" s="11">
        <f t="shared" ref="M132:M134" si="12">IFERROR(IF((G132+P132+Q132)/(F132+P132+Q132+S132)=1,"1.00",(G132+P132+Q132)/(F132+P132+Q132+S132)),0)</f>
      </c>
      <c r="N132" s="11">
        <f t="shared" ref="N132:N134" si="13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si="10"/>
      </c>
      <c r="C133" s="10"/>
      <c r="D133" s="9"/>
      <c r="E133" s="11">
        <f t="shared" ref="E133:E134" si="14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</c>
      <c r="L133" s="7">
        <v>4</v>
      </c>
      <c r="M133" s="11">
        <f t="shared" si="12"/>
      </c>
      <c r="N133" s="11">
        <f t="shared" si="13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0"/>
      </c>
      <c r="C134" s="10"/>
      <c r="D134" s="9"/>
      <c r="E134" s="11">
        <f t="shared" si="14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</c>
      <c r="L134" s="7">
        <v>5</v>
      </c>
      <c r="M134" s="11">
        <f t="shared" si="12"/>
      </c>
      <c r="N134" s="11">
        <f t="shared" si="13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s="10"/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/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/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/>
      <c r="D7" s="13"/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6"/>
      </c>
      <c r="C8" s="10"/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/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/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/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/>
      <c r="D12" s="13"/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s="2"/>
    </row>
    <row r="13" spans="2:24" ht="13.8" x14ac:dyDescent="0.2">
      <c r="B13" s="8">
        <f t="shared" si="6"/>
      </c>
      <c r="C13" s="10"/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6"/>
      </c>
      <c r="C14" s="10"/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/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/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6"/>
      </c>
      <c r="C17" s="10"/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/>
      <c r="D18" s="13"/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s="2"/>
    </row>
    <row r="19" spans="2:24" ht="13.8" x14ac:dyDescent="0.2">
      <c r="B19" s="8">
        <f t="shared" si="6"/>
      </c>
      <c r="C19" s="10"/>
      <c r="D19" s="13"/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2"/>
    </row>
    <row r="20" spans="2:24" ht="13.8" x14ac:dyDescent="0.2">
      <c r="B20" s="8">
        <f t="shared" si="6"/>
      </c>
      <c r="C20" s="10"/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/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/>
      <c r="D22" s="13"/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s="2"/>
    </row>
    <row r="23" spans="2:24" ht="13.8" x14ac:dyDescent="0.2">
      <c r="B23" s="8">
        <f t="shared" si="6"/>
      </c>
      <c r="C23" s="10"/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/>
      <c r="D24" s="13"/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s="2"/>
    </row>
    <row r="25" spans="2:24" ht="13.8" x14ac:dyDescent="0.2">
      <c r="B25" s="8">
        <f t="shared" si="6"/>
      </c>
      <c r="C25" s="10"/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/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/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6"/>
      </c>
      <c r="C28" s="10"/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/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/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/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/>
      <c r="D32" s="13"/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s="2"/>
    </row>
    <row r="33" spans="2:24" ht="13.8" x14ac:dyDescent="0.2">
      <c r="B33" s="8">
        <f t="shared" si="6"/>
      </c>
      <c r="C33" s="10"/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/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2"/>
    </row>
    <row r="35" spans="2:24" ht="13.8" x14ac:dyDescent="0.2">
      <c r="B35" s="8">
        <f t="shared" si="6"/>
      </c>
      <c r="C35" s="10"/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f t="shared" si="6"/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f t="shared" si="6"/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f t="shared" si="6"/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f t="shared" si="6"/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f t="shared" si="6"/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f t="shared" si="6"/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f t="shared" si="6"/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f t="shared" si="6"/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f t="shared" si="6"/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f t="shared" si="6"/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f t="shared" si="6"/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f t="shared" si="6"/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f t="shared" si="6"/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f t="shared" si="6"/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f t="shared" si="6"/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f t="shared" si="6"/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f t="shared" si="6"/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f t="shared" si="6"/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f t="shared" si="6"/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f t="shared" si="6"/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f t="shared" ref="B69:B132" si="10">IF(C69="","",C69)</f>
      </c>
      <c r="C69" s="10"/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/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/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/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/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/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/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/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/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/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/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/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/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/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/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/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/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/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/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/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/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/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/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/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/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/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/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/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/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/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/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/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/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/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/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/>
      <c r="D105" s="14"/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>
        <f t="shared" si="10"/>
      </c>
      <c r="C106" s="10"/>
      <c r="D106" s="9"/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>
        <f t="shared" si="10"/>
      </c>
      <c r="C107" s="10"/>
      <c r="D107" s="9"/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>
        <f t="shared" si="10"/>
      </c>
      <c r="C108" s="10"/>
      <c r="D108" s="9"/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>
        <f t="shared" si="10"/>
      </c>
      <c r="C109" s="10"/>
      <c r="D109" s="9"/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>
        <f t="shared" si="10"/>
      </c>
      <c r="C110" s="10"/>
      <c r="D110" s="9"/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>
        <f t="shared" si="10"/>
      </c>
      <c r="C111" s="10"/>
      <c r="D111" s="9"/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>
        <f t="shared" si="10"/>
      </c>
      <c r="C112" s="10"/>
      <c r="D112" s="9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>
        <f t="shared" si="10"/>
      </c>
      <c r="C113" s="10"/>
      <c r="D113" s="9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>
        <f t="shared" si="10"/>
      </c>
      <c r="C114" s="10"/>
      <c r="D114" s="9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>
        <f t="shared" si="10"/>
      </c>
      <c r="C115" s="10"/>
      <c r="D115" s="9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>
        <f t="shared" si="10"/>
      </c>
      <c r="C116" s="10"/>
      <c r="D116" s="9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>
        <f t="shared" si="10"/>
      </c>
      <c r="C117" s="10"/>
      <c r="D117" s="9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>
        <f t="shared" si="10"/>
      </c>
      <c r="C118" s="10"/>
      <c r="D118" s="9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>
        <f t="shared" si="10"/>
      </c>
      <c r="C119" s="10"/>
      <c r="D119" s="9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>
        <f t="shared" si="10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3"/>
      <c r="C2" s="123"/>
      <c r="D2" s="123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2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2"/>
    </row>
    <row r="4" spans="2:24" ht="13.8" x14ac:dyDescent="0.2">
      <c r="B4" s="8">
        <f>IF(C4="","",C4)</f>
      </c>
      <c r="C4" s="10"/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/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/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/>
      <c r="D7" s="13"/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6"/>
      </c>
      <c r="C8" s="10"/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/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/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/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/>
      <c r="D12" s="13"/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s="2"/>
    </row>
    <row r="13" spans="2:24" ht="13.8" x14ac:dyDescent="0.2">
      <c r="B13" s="8">
        <f t="shared" si="6"/>
      </c>
      <c r="C13" s="10"/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6"/>
      </c>
      <c r="C14" s="10"/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/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/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6"/>
      </c>
      <c r="C17" s="10"/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/>
      <c r="D18" s="13"/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s="2"/>
    </row>
    <row r="19" spans="2:24" ht="13.8" x14ac:dyDescent="0.2">
      <c r="B19" s="8">
        <f t="shared" si="6"/>
      </c>
      <c r="C19" s="10"/>
      <c r="D19" s="13"/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2"/>
    </row>
    <row r="20" spans="2:24" ht="13.8" x14ac:dyDescent="0.2">
      <c r="B20" s="8">
        <f t="shared" si="6"/>
      </c>
      <c r="C20" s="10"/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/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/>
      <c r="D22" s="13"/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s="2"/>
    </row>
    <row r="23" spans="2:24" ht="13.8" x14ac:dyDescent="0.2">
      <c r="B23" s="8">
        <f t="shared" si="6"/>
      </c>
      <c r="C23" s="10"/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/>
      <c r="D24" s="13"/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s="2"/>
    </row>
    <row r="25" spans="2:24" ht="13.8" x14ac:dyDescent="0.2">
      <c r="B25" s="8">
        <f t="shared" si="6"/>
      </c>
      <c r="C25" s="10"/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/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/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6"/>
      </c>
      <c r="C28" s="10"/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/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/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/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/>
      <c r="D32" s="13"/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s="2"/>
    </row>
    <row r="33" spans="2:24" ht="13.8" x14ac:dyDescent="0.2">
      <c r="B33" s="8">
        <f t="shared" si="6"/>
      </c>
      <c r="C33" s="10"/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/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2"/>
    </row>
    <row r="35" spans="2:24" ht="13.8" x14ac:dyDescent="0.2">
      <c r="B35" s="8">
        <f t="shared" si="6"/>
      </c>
      <c r="C35" s="10"/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f t="shared" si="6"/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f t="shared" si="6"/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f t="shared" si="6"/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f t="shared" si="6"/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f t="shared" si="6"/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f t="shared" si="6"/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f t="shared" si="6"/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f t="shared" si="6"/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f t="shared" si="6"/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f t="shared" si="6"/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f t="shared" si="6"/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f t="shared" si="6"/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f t="shared" si="6"/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f t="shared" si="6"/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f t="shared" si="6"/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f t="shared" si="6"/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f t="shared" si="6"/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f t="shared" si="6"/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f t="shared" si="6"/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f t="shared" si="6"/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f t="shared" ref="B69:B132" si="10">IF(C69="","",C69)</f>
      </c>
      <c r="C69" s="10"/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/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/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/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/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/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/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/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/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/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/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/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/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/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/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/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/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/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/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/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/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/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/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/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/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/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/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/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/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/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/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/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/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/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/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/>
      <c r="D105" s="14"/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>
        <f t="shared" si="10"/>
      </c>
      <c r="C106" s="10"/>
      <c r="D106" s="9"/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>
        <f t="shared" si="10"/>
      </c>
      <c r="C107" s="10"/>
      <c r="D107" s="9"/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>
        <f t="shared" si="10"/>
      </c>
      <c r="C108" s="10"/>
      <c r="D108" s="9"/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>
        <f t="shared" si="10"/>
      </c>
      <c r="C109" s="10"/>
      <c r="D109" s="9"/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>
        <f t="shared" si="10"/>
      </c>
      <c r="C110" s="10"/>
      <c r="D110" s="9"/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>
        <f t="shared" si="10"/>
      </c>
      <c r="C111" s="10"/>
      <c r="D111" s="9"/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>
        <f t="shared" si="10"/>
      </c>
      <c r="C112" s="10"/>
      <c r="D112" s="9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>
        <f t="shared" si="10"/>
      </c>
      <c r="C113" s="10"/>
      <c r="D113" s="9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>
        <f t="shared" si="10"/>
      </c>
      <c r="C114" s="10"/>
      <c r="D114" s="9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>
        <f t="shared" si="10"/>
      </c>
      <c r="C115" s="10"/>
      <c r="D115" s="9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>
        <f t="shared" si="10"/>
      </c>
      <c r="C116" s="10"/>
      <c r="D116" s="9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>
        <f t="shared" si="10"/>
      </c>
      <c r="C117" s="10"/>
      <c r="D117" s="9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>
        <f t="shared" si="10"/>
      </c>
      <c r="C118" s="10"/>
      <c r="D118" s="9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>
        <f t="shared" si="10"/>
      </c>
      <c r="C119" s="10"/>
      <c r="D119" s="9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>
        <f t="shared" si="10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sheetViews>
    <sheetView workbookViewId="0"/>
  </sheetViews>
  <sheetFormatPr defaultRowHeight="13.2" x14ac:dyDescent="0.2"/>
  <sheetData>
    <row r="1" spans="2:27" ht="39.6" customHeight="1" x14ac:dyDescent="0.2">
      <c r="B1" t="s" s="1">
        <v>1039</v>
      </c>
      <c r="C1" t="s" s="1">
        <v>1040</v>
      </c>
      <c r="D1" t="s" s="1">
        <v>274</v>
      </c>
      <c r="E1" t="s" s="1">
        <v>275</v>
      </c>
      <c r="F1" t="s" s="1">
        <v>276</v>
      </c>
      <c r="G1" t="s" s="1">
        <v>277</v>
      </c>
      <c r="H1" t="s" s="1">
        <v>278</v>
      </c>
      <c r="I1" t="s" s="1">
        <v>360</v>
      </c>
      <c r="J1" t="s" s="1">
        <v>361</v>
      </c>
      <c r="K1" t="s" s="1">
        <v>1041</v>
      </c>
      <c r="L1" t="s" s="1">
        <v>279</v>
      </c>
      <c r="M1" t="s" s="1">
        <v>280</v>
      </c>
      <c r="N1" t="s" s="1">
        <v>281</v>
      </c>
      <c r="O1" t="s" s="1">
        <v>282</v>
      </c>
      <c r="P1" t="s" s="1">
        <v>283</v>
      </c>
      <c r="Q1" t="s" s="1">
        <v>284</v>
      </c>
      <c r="R1" t="s" s="1">
        <v>285</v>
      </c>
      <c r="S1" t="s" s="1">
        <v>286</v>
      </c>
      <c r="T1" t="s" s="1">
        <v>287</v>
      </c>
      <c r="U1" t="s" s="1">
        <v>980</v>
      </c>
      <c r="V1" t="s" s="1">
        <v>981</v>
      </c>
      <c r="W1" t="s" s="1">
        <v>359</v>
      </c>
      <c r="X1" t="s" s="1">
        <v>288</v>
      </c>
      <c r="Y1" t="s" s="1">
        <v>289</v>
      </c>
      <c r="Z1" t="s" s="1">
        <v>290</v>
      </c>
      <c r="AA1" t="s" s="1">
        <v>291</v>
      </c>
    </row>
    <row r="2" spans="2:27" x14ac:dyDescent="0.2">
      <c r="B2" s="15"/>
      <c r="D2" s="16"/>
      <c r="M2" t="s" s="17">
        <v>225</v>
      </c>
      <c r="N2" t="s" s="117">
        <v>1287</v>
      </c>
      <c r="O2" s="117"/>
      <c r="W2" s="16"/>
      <c r="X2" s="16"/>
      <c r="Y2" s="16"/>
      <c r="Z2" s="16"/>
    </row>
    <row r="3" spans="2:27" x14ac:dyDescent="0.2">
      <c r="B3" t="s" s="18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t="s" s="19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2024-02-24T14:22:50Z</dcterms:modified>
</cp:coreProperties>
</file>