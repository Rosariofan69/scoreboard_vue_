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2C5CC5E5-51B0-4CBE-952C-AFCF09AB3DBD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日本" sheetId="38" r:id="rId17"/>
    <sheet name="他国" sheetId="41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41" l="1"/>
  <c r="N134" i="41" s="1"/>
  <c r="K134" i="41"/>
  <c r="E134" i="41"/>
  <c r="B134" i="41"/>
  <c r="M133" i="41"/>
  <c r="N133" i="41" s="1"/>
  <c r="K133" i="41"/>
  <c r="E133" i="41"/>
  <c r="B133" i="41"/>
  <c r="N132" i="41"/>
  <c r="M132" i="41"/>
  <c r="K132" i="41"/>
  <c r="E132" i="41"/>
  <c r="B132" i="41"/>
  <c r="N131" i="41"/>
  <c r="M131" i="41"/>
  <c r="K131" i="41"/>
  <c r="E131" i="41"/>
  <c r="B131" i="41"/>
  <c r="N130" i="41"/>
  <c r="M130" i="41"/>
  <c r="K130" i="41"/>
  <c r="E130" i="41"/>
  <c r="B130" i="41"/>
  <c r="N129" i="41"/>
  <c r="M129" i="41"/>
  <c r="K129" i="41"/>
  <c r="E129" i="41"/>
  <c r="B129" i="41"/>
  <c r="N128" i="41"/>
  <c r="M128" i="41"/>
  <c r="K128" i="41"/>
  <c r="E128" i="41"/>
  <c r="B128" i="41"/>
  <c r="N127" i="41"/>
  <c r="M127" i="41"/>
  <c r="K127" i="41"/>
  <c r="E127" i="41"/>
  <c r="B127" i="41"/>
  <c r="N126" i="41"/>
  <c r="M126" i="41"/>
  <c r="K126" i="41"/>
  <c r="E126" i="41"/>
  <c r="B126" i="41"/>
  <c r="N125" i="41"/>
  <c r="M125" i="41"/>
  <c r="K125" i="41"/>
  <c r="E125" i="41"/>
  <c r="B125" i="41"/>
  <c r="N124" i="41"/>
  <c r="M124" i="41"/>
  <c r="K124" i="41"/>
  <c r="E124" i="41"/>
  <c r="B124" i="41"/>
  <c r="N123" i="41"/>
  <c r="M123" i="41"/>
  <c r="K123" i="41"/>
  <c r="E123" i="41"/>
  <c r="B123" i="41"/>
  <c r="N122" i="41"/>
  <c r="M122" i="41"/>
  <c r="K122" i="41"/>
  <c r="E122" i="41"/>
  <c r="B122" i="41"/>
  <c r="N121" i="41"/>
  <c r="M121" i="41"/>
  <c r="K121" i="41"/>
  <c r="E121" i="41"/>
  <c r="B121" i="41"/>
  <c r="N120" i="41"/>
  <c r="M120" i="41"/>
  <c r="K120" i="41"/>
  <c r="E120" i="41"/>
  <c r="B120" i="41"/>
  <c r="N119" i="41"/>
  <c r="M119" i="41"/>
  <c r="K119" i="41"/>
  <c r="E119" i="41"/>
  <c r="B119" i="41"/>
  <c r="N118" i="41"/>
  <c r="M118" i="41"/>
  <c r="K118" i="41"/>
  <c r="E118" i="41"/>
  <c r="B118" i="41"/>
  <c r="N117" i="41"/>
  <c r="M117" i="41"/>
  <c r="K117" i="41"/>
  <c r="E117" i="41"/>
  <c r="B117" i="41"/>
  <c r="N116" i="41"/>
  <c r="M116" i="41"/>
  <c r="K116" i="41"/>
  <c r="E116" i="41"/>
  <c r="B116" i="41"/>
  <c r="N115" i="41"/>
  <c r="M115" i="41"/>
  <c r="K115" i="41"/>
  <c r="E115" i="41"/>
  <c r="B115" i="41"/>
  <c r="N114" i="41"/>
  <c r="M114" i="41"/>
  <c r="K114" i="41"/>
  <c r="E114" i="41"/>
  <c r="B114" i="41"/>
  <c r="N113" i="41"/>
  <c r="M113" i="41"/>
  <c r="K113" i="41"/>
  <c r="E113" i="41"/>
  <c r="B113" i="41"/>
  <c r="N112" i="41"/>
  <c r="M112" i="41"/>
  <c r="K112" i="41"/>
  <c r="E112" i="41"/>
  <c r="B112" i="41"/>
  <c r="N111" i="41"/>
  <c r="M111" i="41"/>
  <c r="K111" i="41"/>
  <c r="E111" i="41"/>
  <c r="B111" i="41"/>
  <c r="N110" i="41"/>
  <c r="M110" i="41"/>
  <c r="K110" i="41"/>
  <c r="E110" i="41"/>
  <c r="B110" i="41"/>
  <c r="N109" i="41"/>
  <c r="M109" i="41"/>
  <c r="K109" i="41"/>
  <c r="E109" i="41"/>
  <c r="B109" i="41"/>
  <c r="N108" i="41"/>
  <c r="M108" i="41"/>
  <c r="K108" i="41"/>
  <c r="E108" i="41"/>
  <c r="B108" i="41"/>
  <c r="N107" i="41"/>
  <c r="M107" i="41"/>
  <c r="K107" i="41"/>
  <c r="E107" i="41"/>
  <c r="B107" i="41"/>
  <c r="N106" i="41"/>
  <c r="M106" i="41"/>
  <c r="K106" i="41"/>
  <c r="E106" i="41"/>
  <c r="B106" i="41"/>
  <c r="N105" i="41"/>
  <c r="M105" i="41"/>
  <c r="K105" i="41"/>
  <c r="E105" i="41"/>
  <c r="B105" i="41"/>
  <c r="N104" i="41"/>
  <c r="M104" i="41"/>
  <c r="K104" i="41"/>
  <c r="E104" i="41"/>
  <c r="B104" i="41"/>
  <c r="N103" i="41"/>
  <c r="M103" i="41"/>
  <c r="K103" i="41"/>
  <c r="E103" i="41"/>
  <c r="B103" i="41"/>
  <c r="N102" i="41"/>
  <c r="M102" i="41"/>
  <c r="K102" i="41"/>
  <c r="E102" i="41"/>
  <c r="B102" i="41"/>
  <c r="N101" i="41"/>
  <c r="M101" i="41"/>
  <c r="K101" i="41"/>
  <c r="E101" i="41"/>
  <c r="B101" i="41"/>
  <c r="N100" i="41"/>
  <c r="M100" i="41"/>
  <c r="K100" i="41"/>
  <c r="E100" i="41"/>
  <c r="B100" i="41"/>
  <c r="N99" i="41"/>
  <c r="M99" i="41"/>
  <c r="K99" i="41"/>
  <c r="E99" i="41"/>
  <c r="B99" i="41"/>
  <c r="N98" i="41"/>
  <c r="M98" i="41"/>
  <c r="K98" i="41"/>
  <c r="E98" i="41"/>
  <c r="B98" i="41"/>
  <c r="N97" i="41"/>
  <c r="M97" i="41"/>
  <c r="K97" i="41"/>
  <c r="E97" i="41"/>
  <c r="B97" i="41"/>
  <c r="N96" i="41"/>
  <c r="M96" i="41"/>
  <c r="K96" i="41"/>
  <c r="E96" i="41"/>
  <c r="B96" i="41"/>
  <c r="N95" i="41"/>
  <c r="M95" i="41"/>
  <c r="K95" i="41"/>
  <c r="E95" i="41"/>
  <c r="B95" i="41"/>
  <c r="N94" i="41"/>
  <c r="M94" i="41"/>
  <c r="K94" i="41"/>
  <c r="E94" i="41"/>
  <c r="B94" i="41"/>
  <c r="N93" i="41"/>
  <c r="M93" i="41"/>
  <c r="K93" i="41"/>
  <c r="E93" i="41"/>
  <c r="B93" i="41"/>
  <c r="N92" i="41"/>
  <c r="M92" i="41"/>
  <c r="K92" i="41"/>
  <c r="E92" i="41"/>
  <c r="B92" i="41"/>
  <c r="N91" i="41"/>
  <c r="M91" i="41"/>
  <c r="K91" i="41"/>
  <c r="E91" i="41"/>
  <c r="B91" i="41"/>
  <c r="N90" i="41"/>
  <c r="M90" i="41"/>
  <c r="K90" i="41"/>
  <c r="E90" i="41"/>
  <c r="B90" i="41"/>
  <c r="N89" i="41"/>
  <c r="M89" i="41"/>
  <c r="K89" i="41"/>
  <c r="E89" i="41"/>
  <c r="B89" i="41"/>
  <c r="N88" i="41"/>
  <c r="M88" i="41"/>
  <c r="K88" i="41"/>
  <c r="E88" i="41"/>
  <c r="B88" i="41"/>
  <c r="N87" i="41"/>
  <c r="M87" i="41"/>
  <c r="K87" i="41"/>
  <c r="E87" i="41"/>
  <c r="B87" i="41"/>
  <c r="N86" i="41"/>
  <c r="M86" i="41"/>
  <c r="K86" i="41"/>
  <c r="E86" i="41"/>
  <c r="B86" i="41"/>
  <c r="N85" i="41"/>
  <c r="M85" i="41"/>
  <c r="K85" i="41"/>
  <c r="E85" i="41"/>
  <c r="B85" i="41"/>
  <c r="N84" i="41"/>
  <c r="M84" i="41"/>
  <c r="K84" i="41"/>
  <c r="E84" i="41"/>
  <c r="B84" i="41"/>
  <c r="N83" i="41"/>
  <c r="M83" i="41"/>
  <c r="K83" i="41"/>
  <c r="E83" i="41"/>
  <c r="B83" i="41"/>
  <c r="N82" i="41"/>
  <c r="M82" i="41"/>
  <c r="K82" i="41"/>
  <c r="E82" i="41"/>
  <c r="B82" i="41"/>
  <c r="N81" i="41"/>
  <c r="M81" i="41"/>
  <c r="K81" i="41"/>
  <c r="E81" i="41"/>
  <c r="B81" i="41"/>
  <c r="N80" i="41"/>
  <c r="M80" i="41"/>
  <c r="K80" i="41"/>
  <c r="E80" i="41"/>
  <c r="B80" i="41"/>
  <c r="N79" i="41"/>
  <c r="M79" i="41"/>
  <c r="K79" i="41"/>
  <c r="E79" i="41"/>
  <c r="B79" i="41"/>
  <c r="N78" i="41"/>
  <c r="M78" i="41"/>
  <c r="K78" i="41"/>
  <c r="E78" i="41"/>
  <c r="B78" i="41"/>
  <c r="N77" i="41"/>
  <c r="M77" i="41"/>
  <c r="K77" i="41"/>
  <c r="E77" i="41"/>
  <c r="B77" i="41"/>
  <c r="N76" i="41"/>
  <c r="M76" i="41"/>
  <c r="K76" i="41"/>
  <c r="E76" i="41"/>
  <c r="B76" i="41"/>
  <c r="N75" i="41"/>
  <c r="M75" i="41"/>
  <c r="K75" i="41"/>
  <c r="E75" i="41"/>
  <c r="B75" i="41"/>
  <c r="N74" i="41"/>
  <c r="M74" i="41"/>
  <c r="K74" i="41"/>
  <c r="E74" i="41"/>
  <c r="B74" i="41"/>
  <c r="N73" i="41"/>
  <c r="M73" i="41"/>
  <c r="K73" i="41"/>
  <c r="E73" i="41"/>
  <c r="B73" i="41"/>
  <c r="N72" i="41"/>
  <c r="M72" i="41"/>
  <c r="K72" i="41"/>
  <c r="E72" i="41"/>
  <c r="B72" i="41"/>
  <c r="N71" i="41"/>
  <c r="M71" i="41"/>
  <c r="K71" i="41"/>
  <c r="E71" i="41"/>
  <c r="B71" i="41"/>
  <c r="N70" i="41"/>
  <c r="M70" i="41"/>
  <c r="K70" i="41"/>
  <c r="E70" i="41"/>
  <c r="B70" i="41"/>
  <c r="N69" i="41"/>
  <c r="M69" i="41"/>
  <c r="K69" i="41"/>
  <c r="E69" i="41"/>
  <c r="B69" i="41"/>
  <c r="N68" i="41"/>
  <c r="M68" i="41"/>
  <c r="K68" i="41"/>
  <c r="E68" i="41"/>
  <c r="B68" i="41"/>
  <c r="N67" i="41"/>
  <c r="M67" i="41"/>
  <c r="K67" i="41"/>
  <c r="E67" i="41"/>
  <c r="B67" i="41"/>
  <c r="N66" i="41"/>
  <c r="M66" i="41"/>
  <c r="K66" i="41"/>
  <c r="E66" i="41"/>
  <c r="B66" i="41"/>
  <c r="N65" i="41"/>
  <c r="M65" i="41"/>
  <c r="K65" i="41"/>
  <c r="E65" i="41"/>
  <c r="B65" i="41"/>
  <c r="N64" i="41"/>
  <c r="M64" i="41"/>
  <c r="K64" i="41"/>
  <c r="E64" i="41"/>
  <c r="B64" i="41"/>
  <c r="N63" i="41"/>
  <c r="M63" i="41"/>
  <c r="K63" i="41"/>
  <c r="E63" i="41"/>
  <c r="B63" i="41"/>
  <c r="N62" i="41"/>
  <c r="M62" i="41"/>
  <c r="K62" i="41"/>
  <c r="E62" i="41"/>
  <c r="B62" i="41"/>
  <c r="N61" i="41"/>
  <c r="M61" i="41"/>
  <c r="K61" i="41"/>
  <c r="E61" i="41"/>
  <c r="B61" i="41"/>
  <c r="N60" i="41"/>
  <c r="M60" i="41"/>
  <c r="K60" i="41"/>
  <c r="E60" i="41"/>
  <c r="B60" i="41"/>
  <c r="N59" i="41"/>
  <c r="M59" i="41"/>
  <c r="K59" i="41"/>
  <c r="E59" i="41"/>
  <c r="B59" i="41"/>
  <c r="N58" i="41"/>
  <c r="M58" i="41"/>
  <c r="K58" i="41"/>
  <c r="E58" i="41"/>
  <c r="B58" i="41"/>
  <c r="N57" i="41"/>
  <c r="M57" i="41"/>
  <c r="K57" i="41"/>
  <c r="E57" i="41"/>
  <c r="B57" i="41"/>
  <c r="N56" i="41"/>
  <c r="M56" i="41"/>
  <c r="K56" i="41"/>
  <c r="E56" i="41"/>
  <c r="B56" i="41"/>
  <c r="N55" i="41"/>
  <c r="M55" i="41"/>
  <c r="K55" i="41"/>
  <c r="E55" i="41"/>
  <c r="B55" i="41"/>
  <c r="N54" i="41"/>
  <c r="M54" i="41"/>
  <c r="K54" i="41"/>
  <c r="E54" i="41"/>
  <c r="B54" i="41"/>
  <c r="N53" i="41"/>
  <c r="M53" i="41"/>
  <c r="K53" i="41"/>
  <c r="E53" i="41"/>
  <c r="B53" i="41"/>
  <c r="N52" i="41"/>
  <c r="M52" i="41"/>
  <c r="K52" i="41"/>
  <c r="E52" i="41"/>
  <c r="B52" i="41"/>
  <c r="N51" i="41"/>
  <c r="M51" i="41"/>
  <c r="K51" i="41"/>
  <c r="E51" i="41"/>
  <c r="B51" i="41"/>
  <c r="N50" i="41"/>
  <c r="M50" i="41"/>
  <c r="K50" i="41"/>
  <c r="E50" i="41"/>
  <c r="B50" i="41"/>
  <c r="N49" i="41"/>
  <c r="M49" i="41"/>
  <c r="K49" i="41"/>
  <c r="E49" i="41"/>
  <c r="B49" i="41"/>
  <c r="N48" i="41"/>
  <c r="M48" i="41"/>
  <c r="K48" i="41"/>
  <c r="E48" i="41"/>
  <c r="B48" i="41"/>
  <c r="N47" i="41"/>
  <c r="M47" i="41"/>
  <c r="K47" i="41"/>
  <c r="E47" i="41"/>
  <c r="B47" i="41"/>
  <c r="N46" i="41"/>
  <c r="M46" i="41"/>
  <c r="K46" i="41"/>
  <c r="E46" i="41"/>
  <c r="B46" i="41"/>
  <c r="N45" i="41"/>
  <c r="M45" i="41"/>
  <c r="K45" i="41"/>
  <c r="E45" i="41"/>
  <c r="B45" i="41"/>
  <c r="N44" i="41"/>
  <c r="M44" i="41"/>
  <c r="K44" i="41"/>
  <c r="E44" i="41"/>
  <c r="B44" i="41"/>
  <c r="N43" i="41"/>
  <c r="M43" i="41"/>
  <c r="K43" i="41"/>
  <c r="E43" i="41"/>
  <c r="B43" i="41"/>
  <c r="N42" i="41"/>
  <c r="M42" i="41"/>
  <c r="K42" i="41"/>
  <c r="E42" i="41"/>
  <c r="B42" i="41"/>
  <c r="N41" i="41"/>
  <c r="M41" i="41"/>
  <c r="K41" i="41"/>
  <c r="E41" i="41"/>
  <c r="B41" i="41"/>
  <c r="N40" i="41"/>
  <c r="M40" i="41"/>
  <c r="K40" i="41"/>
  <c r="E40" i="41"/>
  <c r="B40" i="41"/>
  <c r="N39" i="41"/>
  <c r="M39" i="41"/>
  <c r="K39" i="41"/>
  <c r="E39" i="41"/>
  <c r="B39" i="41"/>
  <c r="N38" i="41"/>
  <c r="M38" i="41"/>
  <c r="K38" i="41"/>
  <c r="E38" i="41"/>
  <c r="B38" i="41"/>
  <c r="N37" i="41"/>
  <c r="M37" i="41"/>
  <c r="K37" i="41"/>
  <c r="E37" i="41"/>
  <c r="B37" i="41"/>
  <c r="N36" i="41"/>
  <c r="M36" i="41"/>
  <c r="K36" i="41"/>
  <c r="E36" i="41"/>
  <c r="B36" i="41"/>
  <c r="N35" i="41"/>
  <c r="M35" i="41"/>
  <c r="K35" i="41"/>
  <c r="E35" i="41"/>
  <c r="B35" i="41"/>
  <c r="N34" i="41"/>
  <c r="M34" i="41"/>
  <c r="K34" i="41"/>
  <c r="E34" i="41"/>
  <c r="B34" i="41"/>
  <c r="N33" i="41"/>
  <c r="M33" i="41"/>
  <c r="K33" i="41"/>
  <c r="E33" i="41"/>
  <c r="B33" i="41"/>
  <c r="N32" i="41"/>
  <c r="M32" i="41"/>
  <c r="K32" i="41"/>
  <c r="E32" i="41"/>
  <c r="B32" i="41"/>
  <c r="N31" i="41"/>
  <c r="M31" i="41"/>
  <c r="K31" i="41"/>
  <c r="E31" i="41"/>
  <c r="B31" i="41"/>
  <c r="N30" i="41"/>
  <c r="M30" i="41"/>
  <c r="K30" i="41"/>
  <c r="E30" i="41"/>
  <c r="B30" i="41"/>
  <c r="N29" i="41"/>
  <c r="M29" i="41"/>
  <c r="K29" i="41"/>
  <c r="E29" i="41"/>
  <c r="B29" i="41"/>
  <c r="N28" i="41"/>
  <c r="M28" i="41"/>
  <c r="K28" i="41"/>
  <c r="E28" i="41"/>
  <c r="B28" i="41"/>
  <c r="N27" i="41"/>
  <c r="M27" i="41"/>
  <c r="K27" i="41"/>
  <c r="E27" i="41"/>
  <c r="B27" i="41"/>
  <c r="N26" i="41"/>
  <c r="M26" i="41"/>
  <c r="K26" i="41"/>
  <c r="E26" i="41"/>
  <c r="B26" i="41"/>
  <c r="N25" i="41"/>
  <c r="M25" i="41"/>
  <c r="K25" i="41"/>
  <c r="E25" i="41"/>
  <c r="B25" i="41"/>
  <c r="N24" i="41"/>
  <c r="M24" i="41"/>
  <c r="K24" i="41"/>
  <c r="E24" i="41"/>
  <c r="B24" i="41"/>
  <c r="N23" i="41"/>
  <c r="M23" i="41"/>
  <c r="K23" i="41"/>
  <c r="E23" i="41"/>
  <c r="B23" i="41"/>
  <c r="M22" i="41"/>
  <c r="N22" i="41" s="1"/>
  <c r="K22" i="41"/>
  <c r="E22" i="41"/>
  <c r="B22" i="41"/>
  <c r="N21" i="41"/>
  <c r="M21" i="41"/>
  <c r="K21" i="41"/>
  <c r="E21" i="41"/>
  <c r="B21" i="41"/>
  <c r="N20" i="41"/>
  <c r="M20" i="41"/>
  <c r="K20" i="41"/>
  <c r="E20" i="41"/>
  <c r="B20" i="41"/>
  <c r="N19" i="41"/>
  <c r="M19" i="41"/>
  <c r="K19" i="41"/>
  <c r="E19" i="41"/>
  <c r="B19" i="41"/>
  <c r="M18" i="41"/>
  <c r="N18" i="41" s="1"/>
  <c r="K18" i="41"/>
  <c r="E18" i="41"/>
  <c r="B18" i="41"/>
  <c r="N17" i="41"/>
  <c r="M17" i="41"/>
  <c r="K17" i="41"/>
  <c r="E17" i="41"/>
  <c r="B17" i="41"/>
  <c r="N16" i="41"/>
  <c r="M16" i="41"/>
  <c r="K16" i="41"/>
  <c r="E16" i="41"/>
  <c r="B16" i="41"/>
  <c r="N15" i="41"/>
  <c r="M15" i="41"/>
  <c r="K15" i="41"/>
  <c r="E15" i="41"/>
  <c r="B15" i="41"/>
  <c r="M14" i="41"/>
  <c r="N14" i="41" s="1"/>
  <c r="K14" i="41"/>
  <c r="E14" i="41"/>
  <c r="B14" i="41"/>
  <c r="N13" i="41"/>
  <c r="M13" i="41"/>
  <c r="K13" i="41"/>
  <c r="E13" i="41"/>
  <c r="B13" i="41"/>
  <c r="N12" i="41"/>
  <c r="M12" i="41"/>
  <c r="K12" i="41"/>
  <c r="E12" i="41"/>
  <c r="B12" i="41"/>
  <c r="N11" i="41"/>
  <c r="M11" i="41"/>
  <c r="K11" i="41"/>
  <c r="E11" i="41"/>
  <c r="B11" i="41"/>
  <c r="M10" i="41"/>
  <c r="N10" i="41" s="1"/>
  <c r="K10" i="41"/>
  <c r="E10" i="41"/>
  <c r="B10" i="41"/>
  <c r="M9" i="41"/>
  <c r="N9" i="41" s="1"/>
  <c r="K9" i="41"/>
  <c r="E9" i="41"/>
  <c r="B9" i="41"/>
  <c r="N8" i="41"/>
  <c r="M8" i="41"/>
  <c r="K8" i="41"/>
  <c r="E8" i="41"/>
  <c r="B8" i="41"/>
  <c r="N7" i="41"/>
  <c r="M7" i="41"/>
  <c r="K7" i="41"/>
  <c r="E7" i="41"/>
  <c r="B7" i="41"/>
  <c r="M6" i="41"/>
  <c r="N6" i="41" s="1"/>
  <c r="K6" i="41"/>
  <c r="E6" i="41"/>
  <c r="B6" i="41"/>
  <c r="M5" i="41"/>
  <c r="N5" i="41" s="1"/>
  <c r="K5" i="41"/>
  <c r="E5" i="41"/>
  <c r="B5" i="41"/>
  <c r="N4" i="41"/>
  <c r="M4" i="41"/>
  <c r="K4" i="41"/>
  <c r="E4" i="41"/>
  <c r="B4" i="41"/>
  <c r="V2" i="41"/>
  <c r="U2" i="41"/>
  <c r="T2" i="41"/>
  <c r="S2" i="41"/>
  <c r="R2" i="41"/>
  <c r="Q2" i="41"/>
  <c r="P2" i="41"/>
  <c r="O2" i="41"/>
  <c r="L2" i="41"/>
  <c r="K2" i="41"/>
  <c r="J2" i="41"/>
  <c r="I2" i="41"/>
  <c r="H2" i="41"/>
  <c r="G2" i="41"/>
  <c r="F2" i="4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M32" i="38"/>
  <c r="N32" i="38" s="1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N4" i="38" s="1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M83" i="37"/>
  <c r="N83" i="37" s="1"/>
  <c r="K83" i="37"/>
  <c r="E83" i="37"/>
  <c r="N82" i="37"/>
  <c r="M82" i="37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N34" i="37"/>
  <c r="M34" i="37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M134" i="33"/>
  <c r="N134" i="33" s="1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M122" i="33"/>
  <c r="N122" i="33" s="1"/>
  <c r="E122" i="33"/>
  <c r="B122" i="33"/>
  <c r="M121" i="33"/>
  <c r="N121" i="33" s="1"/>
  <c r="E121" i="33"/>
  <c r="B121" i="33"/>
  <c r="N120" i="33"/>
  <c r="M120" i="33"/>
  <c r="E120" i="33"/>
  <c r="B120" i="33"/>
  <c r="M119" i="33"/>
  <c r="N119" i="33" s="1"/>
  <c r="E119" i="33"/>
  <c r="B119" i="33"/>
  <c r="M118" i="33"/>
  <c r="N118" i="33" s="1"/>
  <c r="K118" i="33"/>
  <c r="E118" i="33"/>
  <c r="B118" i="33"/>
  <c r="M117" i="33"/>
  <c r="N117" i="33" s="1"/>
  <c r="K117" i="33"/>
  <c r="E117" i="33"/>
  <c r="B117" i="33"/>
  <c r="M116" i="33"/>
  <c r="N116" i="33" s="1"/>
  <c r="E116" i="33"/>
  <c r="B116" i="33"/>
  <c r="M115" i="33"/>
  <c r="N115" i="33" s="1"/>
  <c r="E115" i="33"/>
  <c r="B115" i="33"/>
  <c r="M114" i="33"/>
  <c r="N114" i="33" s="1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M111" i="33"/>
  <c r="N111" i="33" s="1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M107" i="33"/>
  <c r="N107" i="33" s="1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M104" i="33"/>
  <c r="N104" i="33" s="1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M73" i="33"/>
  <c r="N73" i="33" s="1"/>
  <c r="E73" i="33"/>
  <c r="B73" i="33"/>
  <c r="N72" i="33"/>
  <c r="M72" i="33"/>
  <c r="E72" i="33"/>
  <c r="B72" i="33"/>
  <c r="M71" i="33"/>
  <c r="N71" i="33" s="1"/>
  <c r="E71" i="33"/>
  <c r="B71" i="33"/>
  <c r="M70" i="33"/>
  <c r="N70" i="33" s="1"/>
  <c r="E70" i="33"/>
  <c r="B70" i="33"/>
  <c r="M69" i="33"/>
  <c r="N69" i="33" s="1"/>
  <c r="K69" i="33"/>
  <c r="E69" i="33"/>
  <c r="B69" i="33"/>
  <c r="M68" i="33"/>
  <c r="N68" i="33" s="1"/>
  <c r="E68" i="33"/>
  <c r="B68" i="33"/>
  <c r="M67" i="33"/>
  <c r="N67" i="33" s="1"/>
  <c r="K67" i="33"/>
  <c r="E67" i="33"/>
  <c r="B67" i="33"/>
  <c r="M66" i="33"/>
  <c r="N66" i="33" s="1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E62" i="33"/>
  <c r="B62" i="33"/>
  <c r="M61" i="33"/>
  <c r="N61" i="33" s="1"/>
  <c r="K61" i="33"/>
  <c r="E61" i="33"/>
  <c r="B61" i="33"/>
  <c r="M60" i="33"/>
  <c r="N60" i="33" s="1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E56" i="33"/>
  <c r="B56" i="33"/>
  <c r="N55" i="33"/>
  <c r="M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E50" i="33"/>
  <c r="B50" i="33"/>
  <c r="M49" i="33"/>
  <c r="N49" i="33" s="1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N44" i="33"/>
  <c r="M44" i="33"/>
  <c r="E44" i="33"/>
  <c r="B44" i="33"/>
  <c r="M43" i="33"/>
  <c r="N43" i="33" s="1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N38" i="33"/>
  <c r="M38" i="33"/>
  <c r="K38" i="33"/>
  <c r="E38" i="33"/>
  <c r="B38" i="33"/>
  <c r="M37" i="33"/>
  <c r="N37" i="33" s="1"/>
  <c r="E37" i="33"/>
  <c r="B37" i="33"/>
  <c r="N36" i="33"/>
  <c r="M36" i="33"/>
  <c r="K36" i="33"/>
  <c r="E36" i="33"/>
  <c r="B36" i="33"/>
  <c r="M35" i="33"/>
  <c r="N35" i="33" s="1"/>
  <c r="K35" i="33"/>
  <c r="E35" i="33"/>
  <c r="B35" i="33"/>
  <c r="M34" i="33"/>
  <c r="N34" i="33" s="1"/>
  <c r="E34" i="33"/>
  <c r="B34" i="33"/>
  <c r="M33" i="33"/>
  <c r="N33" i="33" s="1"/>
  <c r="K33" i="33"/>
  <c r="E33" i="33"/>
  <c r="B33" i="33"/>
  <c r="N32" i="33"/>
  <c r="M32" i="33"/>
  <c r="E32" i="33"/>
  <c r="B32" i="33"/>
  <c r="M31" i="33"/>
  <c r="N31" i="33" s="1"/>
  <c r="K31" i="33"/>
  <c r="E31" i="33"/>
  <c r="B31" i="33"/>
  <c r="M30" i="33"/>
  <c r="N30" i="33" s="1"/>
  <c r="E30" i="33"/>
  <c r="B30" i="33"/>
  <c r="M29" i="33"/>
  <c r="N29" i="33" s="1"/>
  <c r="K29" i="33"/>
  <c r="E29" i="33"/>
  <c r="B29" i="33"/>
  <c r="M28" i="33"/>
  <c r="N28" i="33" s="1"/>
  <c r="E28" i="33"/>
  <c r="B28" i="33"/>
  <c r="M27" i="33"/>
  <c r="N27" i="33" s="1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K22" i="33"/>
  <c r="N22" i="33" s="1"/>
  <c r="E22" i="33"/>
  <c r="B22" i="33"/>
  <c r="M21" i="33"/>
  <c r="N21" i="33" s="1"/>
  <c r="E21" i="33"/>
  <c r="B21" i="33"/>
  <c r="M20" i="33"/>
  <c r="N20" i="33" s="1"/>
  <c r="E20" i="33"/>
  <c r="B20" i="33"/>
  <c r="M19" i="33"/>
  <c r="N19" i="33" s="1"/>
  <c r="E19" i="33"/>
  <c r="B19" i="33"/>
  <c r="N18" i="33"/>
  <c r="M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M15" i="33"/>
  <c r="N15" i="33" s="1"/>
  <c r="E15" i="33"/>
  <c r="B15" i="33"/>
  <c r="M14" i="33"/>
  <c r="N14" i="33" s="1"/>
  <c r="K14" i="33"/>
  <c r="E14" i="33"/>
  <c r="B14" i="33"/>
  <c r="M13" i="33"/>
  <c r="N13" i="33" s="1"/>
  <c r="E13" i="33"/>
  <c r="B13" i="33"/>
  <c r="M12" i="33"/>
  <c r="N12" i="33" s="1"/>
  <c r="E12" i="33"/>
  <c r="B12" i="33"/>
  <c r="M11" i="33"/>
  <c r="N11" i="33" s="1"/>
  <c r="K11" i="33"/>
  <c r="E11" i="33"/>
  <c r="B11" i="33"/>
  <c r="M10" i="33"/>
  <c r="N10" i="33" s="1"/>
  <c r="E10" i="33"/>
  <c r="B10" i="33"/>
  <c r="M9" i="33"/>
  <c r="N9" i="33" s="1"/>
  <c r="E9" i="33"/>
  <c r="B9" i="33"/>
  <c r="M8" i="33"/>
  <c r="N8" i="33" s="1"/>
  <c r="E8" i="33"/>
  <c r="B8" i="33"/>
  <c r="N7" i="33"/>
  <c r="M7" i="33"/>
  <c r="E7" i="33"/>
  <c r="B7" i="33"/>
  <c r="M6" i="33"/>
  <c r="N6" i="33" s="1"/>
  <c r="E6" i="33"/>
  <c r="B6" i="33"/>
  <c r="M5" i="33"/>
  <c r="N5" i="33" s="1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M126" i="25"/>
  <c r="N126" i="25" s="1"/>
  <c r="K126" i="25"/>
  <c r="E126" i="25"/>
  <c r="B126" i="25"/>
  <c r="M125" i="25"/>
  <c r="N125" i="25" s="1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M122" i="25"/>
  <c r="N122" i="25" s="1"/>
  <c r="K122" i="25"/>
  <c r="E122" i="25"/>
  <c r="B122" i="25"/>
  <c r="M121" i="25"/>
  <c r="N121" i="25" s="1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M114" i="25"/>
  <c r="N114" i="25" s="1"/>
  <c r="K114" i="25"/>
  <c r="E114" i="25"/>
  <c r="B114" i="25"/>
  <c r="M113" i="25"/>
  <c r="N113" i="25" s="1"/>
  <c r="K113" i="25"/>
  <c r="E113" i="25"/>
  <c r="B113" i="25"/>
  <c r="M112" i="25"/>
  <c r="N112" i="25" s="1"/>
  <c r="K112" i="25"/>
  <c r="E112" i="25"/>
  <c r="B112" i="25"/>
  <c r="M111" i="25"/>
  <c r="N111" i="25" s="1"/>
  <c r="K111" i="25"/>
  <c r="E111" i="25"/>
  <c r="B111" i="25"/>
  <c r="M110" i="25"/>
  <c r="N110" i="25" s="1"/>
  <c r="K110" i="25"/>
  <c r="E110" i="25"/>
  <c r="B110" i="25"/>
  <c r="M109" i="25"/>
  <c r="N109" i="25" s="1"/>
  <c r="K109" i="25"/>
  <c r="E109" i="25"/>
  <c r="B109" i="25"/>
  <c r="M108" i="25"/>
  <c r="N108" i="25" s="1"/>
  <c r="K108" i="25"/>
  <c r="E108" i="25"/>
  <c r="B108" i="25"/>
  <c r="M107" i="25"/>
  <c r="N107" i="25" s="1"/>
  <c r="K107" i="25"/>
  <c r="E107" i="25"/>
  <c r="B107" i="25"/>
  <c r="M106" i="25"/>
  <c r="N106" i="25" s="1"/>
  <c r="K106" i="25"/>
  <c r="E106" i="25"/>
  <c r="B106" i="25"/>
  <c r="M105" i="25"/>
  <c r="N105" i="25" s="1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M95" i="25"/>
  <c r="N95" i="25" s="1"/>
  <c r="K95" i="25"/>
  <c r="E95" i="25"/>
  <c r="B95" i="25"/>
  <c r="M94" i="25"/>
  <c r="N94" i="25" s="1"/>
  <c r="K94" i="25"/>
  <c r="E94" i="25"/>
  <c r="B94" i="25"/>
  <c r="M93" i="25"/>
  <c r="N93" i="25" s="1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M88" i="25"/>
  <c r="N88" i="25" s="1"/>
  <c r="K88" i="25"/>
  <c r="E88" i="25"/>
  <c r="B88" i="25"/>
  <c r="M87" i="25"/>
  <c r="N87" i="25" s="1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M79" i="25"/>
  <c r="N79" i="25" s="1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M75" i="25"/>
  <c r="N75" i="25" s="1"/>
  <c r="K75" i="25"/>
  <c r="E75" i="25"/>
  <c r="B75" i="25"/>
  <c r="M74" i="25"/>
  <c r="N74" i="25" s="1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M71" i="25"/>
  <c r="K71" i="25"/>
  <c r="N71" i="25" s="1"/>
  <c r="E71" i="25"/>
  <c r="B71" i="25"/>
  <c r="M70" i="25"/>
  <c r="N70" i="25" s="1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M66" i="25"/>
  <c r="N66" i="25" s="1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M62" i="25"/>
  <c r="N62" i="25" s="1"/>
  <c r="K62" i="25"/>
  <c r="E62" i="25"/>
  <c r="B62" i="25"/>
  <c r="M61" i="25"/>
  <c r="N61" i="25" s="1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M58" i="25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M53" i="25"/>
  <c r="N53" i="25" s="1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M50" i="25"/>
  <c r="N50" i="25" s="1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M47" i="25"/>
  <c r="N47" i="25" s="1"/>
  <c r="K47" i="25"/>
  <c r="E47" i="25"/>
  <c r="B47" i="25"/>
  <c r="M46" i="25"/>
  <c r="N46" i="25" s="1"/>
  <c r="K46" i="25"/>
  <c r="E46" i="25"/>
  <c r="B46" i="25"/>
  <c r="M45" i="25"/>
  <c r="N45" i="25" s="1"/>
  <c r="K45" i="25"/>
  <c r="E45" i="25"/>
  <c r="B45" i="25"/>
  <c r="M44" i="25"/>
  <c r="N44" i="25" s="1"/>
  <c r="K44" i="25"/>
  <c r="E44" i="25"/>
  <c r="B44" i="25"/>
  <c r="M43" i="25"/>
  <c r="N43" i="25" s="1"/>
  <c r="K43" i="25"/>
  <c r="E43" i="25"/>
  <c r="B43" i="25"/>
  <c r="M42" i="25"/>
  <c r="N42" i="25" s="1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M38" i="25"/>
  <c r="N38" i="25" s="1"/>
  <c r="K38" i="25"/>
  <c r="E38" i="25"/>
  <c r="B38" i="25"/>
  <c r="M37" i="25"/>
  <c r="N37" i="25" s="1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M31" i="25"/>
  <c r="N31" i="25" s="1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M18" i="25"/>
  <c r="N18" i="25" s="1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M15" i="25"/>
  <c r="N15" i="25" s="1"/>
  <c r="K15" i="25"/>
  <c r="E15" i="25"/>
  <c r="B15" i="25"/>
  <c r="M14" i="25"/>
  <c r="N14" i="25" s="1"/>
  <c r="K14" i="25"/>
  <c r="E14" i="25"/>
  <c r="B14" i="25"/>
  <c r="M13" i="25"/>
  <c r="N13" i="25" s="1"/>
  <c r="K13" i="25"/>
  <c r="E13" i="25"/>
  <c r="B13" i="25"/>
  <c r="M12" i="25"/>
  <c r="N12" i="25" s="1"/>
  <c r="K12" i="25"/>
  <c r="E12" i="25"/>
  <c r="B12" i="25"/>
  <c r="M11" i="25"/>
  <c r="N11" i="25" s="1"/>
  <c r="K11" i="25"/>
  <c r="E11" i="25"/>
  <c r="B11" i="25"/>
  <c r="M10" i="25"/>
  <c r="N10" i="25" s="1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M164" i="31"/>
  <c r="N164" i="31" s="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N161" i="31"/>
  <c r="M161" i="3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N149" i="31"/>
  <c r="M149" i="3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N145" i="31"/>
  <c r="M145" i="3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N117" i="31"/>
  <c r="M117" i="3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N113" i="31"/>
  <c r="M113" i="3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N107" i="31"/>
  <c r="M107" i="3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N95" i="31"/>
  <c r="M95" i="3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N87" i="31"/>
  <c r="M87" i="3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E70" i="31"/>
  <c r="B70" i="31"/>
  <c r="M69" i="31"/>
  <c r="E69" i="31"/>
  <c r="B69" i="31"/>
  <c r="M68" i="31"/>
  <c r="N68" i="31" s="1"/>
  <c r="K68" i="31"/>
  <c r="E68" i="31"/>
  <c r="B68" i="31"/>
  <c r="M67" i="31"/>
  <c r="E67" i="31"/>
  <c r="B67" i="31"/>
  <c r="M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N63" i="31"/>
  <c r="M63" i="31"/>
  <c r="K63" i="31"/>
  <c r="E63" i="31"/>
  <c r="B63" i="31"/>
  <c r="M62" i="31"/>
  <c r="N62" i="31" s="1"/>
  <c r="E62" i="31"/>
  <c r="B62" i="31"/>
  <c r="M61" i="31"/>
  <c r="N61" i="31" s="1"/>
  <c r="K61" i="31"/>
  <c r="E61" i="31"/>
  <c r="B61" i="31"/>
  <c r="M60" i="31"/>
  <c r="E60" i="31"/>
  <c r="B60" i="31"/>
  <c r="N59" i="31"/>
  <c r="M59" i="31"/>
  <c r="K59" i="31"/>
  <c r="E59" i="31"/>
  <c r="B59" i="31"/>
  <c r="M58" i="31"/>
  <c r="N58" i="31" s="1"/>
  <c r="K58" i="31"/>
  <c r="E58" i="31"/>
  <c r="B58" i="31"/>
  <c r="M57" i="31"/>
  <c r="E57" i="31"/>
  <c r="B57" i="31"/>
  <c r="M56" i="31"/>
  <c r="N56" i="31" s="1"/>
  <c r="K56" i="31"/>
  <c r="E56" i="31"/>
  <c r="B56" i="31"/>
  <c r="N55" i="31"/>
  <c r="M55" i="3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E52" i="31"/>
  <c r="B52" i="31"/>
  <c r="M51" i="31"/>
  <c r="N51" i="31" s="1"/>
  <c r="E51" i="31"/>
  <c r="B51" i="31"/>
  <c r="M50" i="31"/>
  <c r="N50" i="31" s="1"/>
  <c r="E50" i="31"/>
  <c r="B50" i="31"/>
  <c r="M49" i="31"/>
  <c r="E49" i="31"/>
  <c r="B49" i="31"/>
  <c r="M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E42" i="31"/>
  <c r="B42" i="31"/>
  <c r="M41" i="31"/>
  <c r="N41" i="31" s="1"/>
  <c r="E41" i="31"/>
  <c r="B41" i="31"/>
  <c r="M40" i="31"/>
  <c r="N40" i="31" s="1"/>
  <c r="E40" i="31"/>
  <c r="B40" i="31"/>
  <c r="M39" i="31"/>
  <c r="N39" i="31" s="1"/>
  <c r="K39" i="31"/>
  <c r="E39" i="31"/>
  <c r="B39" i="31"/>
  <c r="M38" i="31"/>
  <c r="N38" i="31" s="1"/>
  <c r="E38" i="31"/>
  <c r="B38" i="31"/>
  <c r="M37" i="31"/>
  <c r="E37" i="31"/>
  <c r="B37" i="31"/>
  <c r="M36" i="31"/>
  <c r="N36" i="31" s="1"/>
  <c r="E36" i="31"/>
  <c r="B36" i="31"/>
  <c r="M35" i="31"/>
  <c r="N35" i="31" s="1"/>
  <c r="E35" i="31"/>
  <c r="B35" i="31"/>
  <c r="M34" i="31"/>
  <c r="E34" i="31"/>
  <c r="B34" i="31"/>
  <c r="M33" i="31"/>
  <c r="E33" i="31"/>
  <c r="B33" i="31"/>
  <c r="M32" i="31"/>
  <c r="N32" i="31" s="1"/>
  <c r="K32" i="31"/>
  <c r="E32" i="31"/>
  <c r="B32" i="31"/>
  <c r="N31" i="31"/>
  <c r="M31" i="31"/>
  <c r="K31" i="31"/>
  <c r="E31" i="31"/>
  <c r="B31" i="31"/>
  <c r="M30" i="31"/>
  <c r="E30" i="31"/>
  <c r="B30" i="31"/>
  <c r="M29" i="31"/>
  <c r="E29" i="31"/>
  <c r="B29" i="31"/>
  <c r="M28" i="31"/>
  <c r="E28" i="31"/>
  <c r="B28" i="31"/>
  <c r="M27" i="31"/>
  <c r="N27" i="31" s="1"/>
  <c r="E27" i="31"/>
  <c r="B27" i="31"/>
  <c r="M26" i="31"/>
  <c r="N26" i="31" s="1"/>
  <c r="E26" i="31"/>
  <c r="B26" i="31"/>
  <c r="M25" i="31"/>
  <c r="N25" i="31" s="1"/>
  <c r="K25" i="31"/>
  <c r="E25" i="31"/>
  <c r="B25" i="31"/>
  <c r="M24" i="31"/>
  <c r="N24" i="31" s="1"/>
  <c r="E24" i="31"/>
  <c r="B24" i="31"/>
  <c r="M23" i="31"/>
  <c r="N23" i="31" s="1"/>
  <c r="K23" i="31"/>
  <c r="E23" i="31"/>
  <c r="B23" i="31"/>
  <c r="M22" i="31"/>
  <c r="N22" i="31" s="1"/>
  <c r="E22" i="31"/>
  <c r="B22" i="31"/>
  <c r="M21" i="31"/>
  <c r="N21" i="31" s="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E18" i="31"/>
  <c r="B18" i="31"/>
  <c r="M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E14" i="31"/>
  <c r="B14" i="31"/>
  <c r="M13" i="31"/>
  <c r="E13" i="31"/>
  <c r="B13" i="31"/>
  <c r="M12" i="31"/>
  <c r="E12" i="31"/>
  <c r="B12" i="31"/>
  <c r="M11" i="31"/>
  <c r="N11" i="31" s="1"/>
  <c r="E11" i="31"/>
  <c r="B11" i="31"/>
  <c r="M10" i="31"/>
  <c r="N10" i="31" s="1"/>
  <c r="K10" i="31"/>
  <c r="E10" i="31"/>
  <c r="B10" i="31"/>
  <c r="M9" i="31"/>
  <c r="E9" i="31"/>
  <c r="B9" i="31"/>
  <c r="M8" i="31"/>
  <c r="E8" i="31"/>
  <c r="B8" i="31"/>
  <c r="M7" i="31"/>
  <c r="N7" i="31" s="1"/>
  <c r="E7" i="31"/>
  <c r="B7" i="31"/>
  <c r="N6" i="31"/>
  <c r="M6" i="31"/>
  <c r="K6" i="31"/>
  <c r="E6" i="31"/>
  <c r="B6" i="31"/>
  <c r="M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E124" i="30"/>
  <c r="B124" i="30"/>
  <c r="M123" i="30"/>
  <c r="N123" i="30" s="1"/>
  <c r="K123" i="30"/>
  <c r="E123" i="30"/>
  <c r="B123" i="30"/>
  <c r="M122" i="30"/>
  <c r="N122" i="30" s="1"/>
  <c r="E122" i="30"/>
  <c r="B122" i="30"/>
  <c r="M121" i="30"/>
  <c r="N121" i="30" s="1"/>
  <c r="K121" i="30"/>
  <c r="E121" i="30"/>
  <c r="B121" i="30"/>
  <c r="M120" i="30"/>
  <c r="N120" i="30" s="1"/>
  <c r="K120" i="30"/>
  <c r="E120" i="30"/>
  <c r="B120" i="30"/>
  <c r="M119" i="30"/>
  <c r="N119" i="30" s="1"/>
  <c r="E119" i="30"/>
  <c r="B119" i="30"/>
  <c r="N118" i="30"/>
  <c r="M118" i="30"/>
  <c r="K118" i="30"/>
  <c r="E118" i="30"/>
  <c r="B118" i="30"/>
  <c r="M117" i="30"/>
  <c r="N117" i="30" s="1"/>
  <c r="K117" i="30"/>
  <c r="E117" i="30"/>
  <c r="B117" i="30"/>
  <c r="N116" i="30"/>
  <c r="M116" i="30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M112" i="30"/>
  <c r="N112" i="30" s="1"/>
  <c r="K112" i="30"/>
  <c r="E112" i="30"/>
  <c r="B112" i="30"/>
  <c r="M111" i="30"/>
  <c r="N111" i="30" s="1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N107" i="30"/>
  <c r="M107" i="30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M102" i="30"/>
  <c r="N102" i="30" s="1"/>
  <c r="E102" i="30"/>
  <c r="B102" i="30"/>
  <c r="M101" i="30"/>
  <c r="N101" i="30" s="1"/>
  <c r="K101" i="30"/>
  <c r="E101" i="30"/>
  <c r="B101" i="30"/>
  <c r="M100" i="30"/>
  <c r="N100" i="30" s="1"/>
  <c r="E100" i="30"/>
  <c r="B100" i="30"/>
  <c r="M99" i="30"/>
  <c r="N99" i="30" s="1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E73" i="30"/>
  <c r="B73" i="30"/>
  <c r="M72" i="30"/>
  <c r="N72" i="30" s="1"/>
  <c r="K72" i="30"/>
  <c r="E72" i="30"/>
  <c r="B72" i="30"/>
  <c r="M71" i="30"/>
  <c r="N71" i="30" s="1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M64" i="30"/>
  <c r="N64" i="30" s="1"/>
  <c r="K64" i="30"/>
  <c r="E64" i="30"/>
  <c r="B64" i="30"/>
  <c r="N63" i="30"/>
  <c r="M63" i="30"/>
  <c r="E63" i="30"/>
  <c r="B63" i="30"/>
  <c r="M62" i="30"/>
  <c r="N62" i="30" s="1"/>
  <c r="E62" i="30"/>
  <c r="B62" i="30"/>
  <c r="M61" i="30"/>
  <c r="N61" i="30" s="1"/>
  <c r="K61" i="30"/>
  <c r="E61" i="30"/>
  <c r="B61" i="30"/>
  <c r="M60" i="30"/>
  <c r="N60" i="30" s="1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M56" i="30"/>
  <c r="N56" i="30" s="1"/>
  <c r="E56" i="30"/>
  <c r="B56" i="30"/>
  <c r="M55" i="30"/>
  <c r="N55" i="30" s="1"/>
  <c r="K55" i="30"/>
  <c r="E55" i="30"/>
  <c r="B55" i="30"/>
  <c r="M54" i="30"/>
  <c r="N54" i="30" s="1"/>
  <c r="E54" i="30"/>
  <c r="B54" i="30"/>
  <c r="M53" i="30"/>
  <c r="N53" i="30" s="1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E50" i="30"/>
  <c r="B50" i="30"/>
  <c r="M49" i="30"/>
  <c r="N49" i="30" s="1"/>
  <c r="E49" i="30"/>
  <c r="B49" i="30"/>
  <c r="M48" i="30"/>
  <c r="N48" i="30" s="1"/>
  <c r="E48" i="30"/>
  <c r="B48" i="30"/>
  <c r="M47" i="30"/>
  <c r="N47" i="30" s="1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E44" i="30"/>
  <c r="B44" i="30"/>
  <c r="M43" i="30"/>
  <c r="N43" i="30" s="1"/>
  <c r="E43" i="30"/>
  <c r="B43" i="30"/>
  <c r="M42" i="30"/>
  <c r="N42" i="30" s="1"/>
  <c r="E42" i="30"/>
  <c r="B42" i="30"/>
  <c r="M41" i="30"/>
  <c r="N41" i="30" s="1"/>
  <c r="K41" i="30"/>
  <c r="E41" i="30"/>
  <c r="B41" i="30"/>
  <c r="M40" i="30"/>
  <c r="N40" i="30" s="1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M30" i="30"/>
  <c r="N30" i="30" s="1"/>
  <c r="E30" i="30"/>
  <c r="B30" i="30"/>
  <c r="M29" i="30"/>
  <c r="N29" i="30" s="1"/>
  <c r="K29" i="30"/>
  <c r="E29" i="30"/>
  <c r="B29" i="30"/>
  <c r="N28" i="30"/>
  <c r="M28" i="30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M25" i="30"/>
  <c r="N25" i="30" s="1"/>
  <c r="E25" i="30"/>
  <c r="B25" i="30"/>
  <c r="M24" i="30"/>
  <c r="N24" i="30" s="1"/>
  <c r="E24" i="30"/>
  <c r="B24" i="30"/>
  <c r="M23" i="30"/>
  <c r="N23" i="30" s="1"/>
  <c r="E23" i="30"/>
  <c r="B23" i="30"/>
  <c r="N22" i="30"/>
  <c r="M22" i="30"/>
  <c r="E22" i="30"/>
  <c r="B22" i="30"/>
  <c r="M21" i="30"/>
  <c r="N21" i="30" s="1"/>
  <c r="K21" i="30"/>
  <c r="E21" i="30"/>
  <c r="B21" i="30"/>
  <c r="N20" i="30"/>
  <c r="M20" i="30"/>
  <c r="K20" i="30"/>
  <c r="E20" i="30"/>
  <c r="B20" i="30"/>
  <c r="M19" i="30"/>
  <c r="N19" i="30" s="1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M14" i="30"/>
  <c r="N14" i="30" s="1"/>
  <c r="E14" i="30"/>
  <c r="B14" i="30"/>
  <c r="M13" i="30"/>
  <c r="N13" i="30" s="1"/>
  <c r="E13" i="30"/>
  <c r="B13" i="30"/>
  <c r="M12" i="30"/>
  <c r="N12" i="30" s="1"/>
  <c r="K12" i="30"/>
  <c r="E12" i="30"/>
  <c r="B12" i="30"/>
  <c r="M11" i="30"/>
  <c r="N11" i="30" s="1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M7" i="30"/>
  <c r="N7" i="30" s="1"/>
  <c r="E7" i="30"/>
  <c r="B7" i="30"/>
  <c r="M6" i="30"/>
  <c r="N6" i="30" s="1"/>
  <c r="E6" i="30"/>
  <c r="B6" i="30"/>
  <c r="M5" i="30"/>
  <c r="N5" i="30" s="1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M87" i="29"/>
  <c r="N87" i="29" s="1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N133" i="28"/>
  <c r="M133" i="28"/>
  <c r="K133" i="28"/>
  <c r="E133" i="28"/>
  <c r="B133" i="28"/>
  <c r="M132" i="28"/>
  <c r="N132" i="28" s="1"/>
  <c r="K132" i="28"/>
  <c r="E132" i="28"/>
  <c r="B132" i="28"/>
  <c r="M131" i="28"/>
  <c r="N131" i="28" s="1"/>
  <c r="K131" i="28"/>
  <c r="E131" i="28"/>
  <c r="B131" i="28"/>
  <c r="M130" i="28"/>
  <c r="N130" i="28" s="1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E121" i="28"/>
  <c r="B121" i="28"/>
  <c r="M120" i="28"/>
  <c r="N120" i="28" s="1"/>
  <c r="E120" i="28"/>
  <c r="B120" i="28"/>
  <c r="M119" i="28"/>
  <c r="N119" i="28" s="1"/>
  <c r="E119" i="28"/>
  <c r="B119" i="28"/>
  <c r="M118" i="28"/>
  <c r="N118" i="28" s="1"/>
  <c r="E118" i="28"/>
  <c r="B118" i="28"/>
  <c r="M117" i="28"/>
  <c r="N117" i="28" s="1"/>
  <c r="K117" i="28"/>
  <c r="E117" i="28"/>
  <c r="B117" i="28"/>
  <c r="M116" i="28"/>
  <c r="N116" i="28" s="1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E108" i="28"/>
  <c r="B108" i="28"/>
  <c r="M107" i="28"/>
  <c r="N107" i="28" s="1"/>
  <c r="K107" i="28"/>
  <c r="E107" i="28"/>
  <c r="B107" i="28"/>
  <c r="M106" i="28"/>
  <c r="N106" i="28" s="1"/>
  <c r="K106" i="28"/>
  <c r="E106" i="28"/>
  <c r="B106" i="28"/>
  <c r="N105" i="28"/>
  <c r="M105" i="28"/>
  <c r="E105" i="28"/>
  <c r="B105" i="28"/>
  <c r="M104" i="28"/>
  <c r="N104" i="28" s="1"/>
  <c r="E104" i="28"/>
  <c r="B104" i="28"/>
  <c r="M103" i="28"/>
  <c r="N103" i="28" s="1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N94" i="28"/>
  <c r="M94" i="28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E74" i="28"/>
  <c r="B74" i="28"/>
  <c r="M73" i="28"/>
  <c r="N73" i="28" s="1"/>
  <c r="K73" i="28"/>
  <c r="E73" i="28"/>
  <c r="B73" i="28"/>
  <c r="M72" i="28"/>
  <c r="N72" i="28" s="1"/>
  <c r="E72" i="28"/>
  <c r="B72" i="28"/>
  <c r="M71" i="28"/>
  <c r="N71" i="28" s="1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E68" i="28"/>
  <c r="B68" i="28"/>
  <c r="M67" i="28"/>
  <c r="E67" i="28"/>
  <c r="B67" i="28"/>
  <c r="M66" i="28"/>
  <c r="N66" i="28" s="1"/>
  <c r="E66" i="28"/>
  <c r="B66" i="28"/>
  <c r="M65" i="28"/>
  <c r="N65" i="28" s="1"/>
  <c r="E65" i="28"/>
  <c r="B65" i="28"/>
  <c r="M64" i="28"/>
  <c r="N64" i="28" s="1"/>
  <c r="E64" i="28"/>
  <c r="B64" i="28"/>
  <c r="M63" i="28"/>
  <c r="N63" i="28" s="1"/>
  <c r="E63" i="28"/>
  <c r="B63" i="28"/>
  <c r="M62" i="28"/>
  <c r="N62" i="28" s="1"/>
  <c r="E62" i="28"/>
  <c r="B62" i="28"/>
  <c r="M61" i="28"/>
  <c r="N61" i="28" s="1"/>
  <c r="K61" i="28"/>
  <c r="E61" i="28"/>
  <c r="B61" i="28"/>
  <c r="M60" i="28"/>
  <c r="N60" i="28" s="1"/>
  <c r="E60" i="28"/>
  <c r="B60" i="28"/>
  <c r="M59" i="28"/>
  <c r="E59" i="28"/>
  <c r="B59" i="28"/>
  <c r="M58" i="28"/>
  <c r="N58" i="28" s="1"/>
  <c r="E58" i="28"/>
  <c r="B58" i="28"/>
  <c r="N57" i="28"/>
  <c r="M57" i="28"/>
  <c r="K57" i="28"/>
  <c r="E57" i="28"/>
  <c r="B57" i="28"/>
  <c r="M56" i="28"/>
  <c r="N56" i="28" s="1"/>
  <c r="E56" i="28"/>
  <c r="B56" i="28"/>
  <c r="M55" i="28"/>
  <c r="N55" i="28" s="1"/>
  <c r="E55" i="28"/>
  <c r="B55" i="28"/>
  <c r="N54" i="28"/>
  <c r="M54" i="28"/>
  <c r="K54" i="28"/>
  <c r="E54" i="28"/>
  <c r="B54" i="28"/>
  <c r="M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E49" i="28"/>
  <c r="B49" i="28"/>
  <c r="M48" i="28"/>
  <c r="N48" i="28" s="1"/>
  <c r="K48" i="28"/>
  <c r="E48" i="28"/>
  <c r="B48" i="28"/>
  <c r="M47" i="28"/>
  <c r="N47" i="28" s="1"/>
  <c r="E47" i="28"/>
  <c r="B47" i="28"/>
  <c r="M46" i="28"/>
  <c r="N46" i="28" s="1"/>
  <c r="K46" i="28"/>
  <c r="E46" i="28"/>
  <c r="B46" i="28"/>
  <c r="M45" i="28"/>
  <c r="N45" i="28" s="1"/>
  <c r="E45" i="28"/>
  <c r="B45" i="28"/>
  <c r="M44" i="28"/>
  <c r="N44" i="28" s="1"/>
  <c r="E44" i="28"/>
  <c r="B44" i="28"/>
  <c r="M43" i="28"/>
  <c r="E43" i="28"/>
  <c r="B43" i="28"/>
  <c r="M42" i="28"/>
  <c r="N42" i="28" s="1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E38" i="28"/>
  <c r="B38" i="28"/>
  <c r="M37" i="28"/>
  <c r="N37" i="28" s="1"/>
  <c r="E37" i="28"/>
  <c r="B37" i="28"/>
  <c r="M36" i="28"/>
  <c r="N36" i="28" s="1"/>
  <c r="E36" i="28"/>
  <c r="B36" i="28"/>
  <c r="M35" i="28"/>
  <c r="N35" i="28" s="1"/>
  <c r="K35" i="28"/>
  <c r="E35" i="28"/>
  <c r="B35" i="28"/>
  <c r="M34" i="28"/>
  <c r="N34" i="28" s="1"/>
  <c r="E34" i="28"/>
  <c r="B34" i="28"/>
  <c r="M33" i="28"/>
  <c r="N33" i="28" s="1"/>
  <c r="E33" i="28"/>
  <c r="B33" i="28"/>
  <c r="M32" i="28"/>
  <c r="N32" i="28" s="1"/>
  <c r="E32" i="28"/>
  <c r="B32" i="28"/>
  <c r="M31" i="28"/>
  <c r="N31" i="28" s="1"/>
  <c r="E31" i="28"/>
  <c r="B31" i="28"/>
  <c r="M30" i="28"/>
  <c r="N30" i="28" s="1"/>
  <c r="E30" i="28"/>
  <c r="B30" i="28"/>
  <c r="M29" i="28"/>
  <c r="N29" i="28" s="1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E21" i="28"/>
  <c r="B21" i="28"/>
  <c r="M20" i="28"/>
  <c r="N20" i="28" s="1"/>
  <c r="K20" i="28"/>
  <c r="E20" i="28"/>
  <c r="B20" i="28"/>
  <c r="M19" i="28"/>
  <c r="N19" i="28" s="1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E16" i="28"/>
  <c r="B16" i="28"/>
  <c r="M15" i="28"/>
  <c r="N15" i="28" s="1"/>
  <c r="E15" i="28"/>
  <c r="B15" i="28"/>
  <c r="M14" i="28"/>
  <c r="N14" i="28" s="1"/>
  <c r="E14" i="28"/>
  <c r="B14" i="28"/>
  <c r="N13" i="28"/>
  <c r="M13" i="28"/>
  <c r="E13" i="28"/>
  <c r="B13" i="28"/>
  <c r="M12" i="28"/>
  <c r="N12" i="28" s="1"/>
  <c r="E12" i="28"/>
  <c r="B12" i="28"/>
  <c r="M11" i="28"/>
  <c r="N11" i="28" s="1"/>
  <c r="E11" i="28"/>
  <c r="B11" i="28"/>
  <c r="M10" i="28"/>
  <c r="N10" i="28" s="1"/>
  <c r="E10" i="28"/>
  <c r="B10" i="28"/>
  <c r="M9" i="28"/>
  <c r="N9" i="28" s="1"/>
  <c r="E9" i="28"/>
  <c r="B9" i="28"/>
  <c r="M8" i="28"/>
  <c r="N8" i="28" s="1"/>
  <c r="E8" i="28"/>
  <c r="B8" i="28"/>
  <c r="M7" i="28"/>
  <c r="N7" i="28" s="1"/>
  <c r="E7" i="28"/>
  <c r="B7" i="28"/>
  <c r="M6" i="28"/>
  <c r="N6" i="28" s="1"/>
  <c r="E6" i="28"/>
  <c r="B6" i="28"/>
  <c r="M5" i="28"/>
  <c r="N5" i="28" s="1"/>
  <c r="E5" i="28"/>
  <c r="B5" i="28"/>
  <c r="N4" i="28"/>
  <c r="M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N6" i="27"/>
  <c r="M6" i="27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E2" i="27" s="1"/>
  <c r="M150" i="26"/>
  <c r="N150" i="26" s="1"/>
  <c r="K150" i="26"/>
  <c r="E150" i="26"/>
  <c r="B150" i="26"/>
  <c r="N149" i="26"/>
  <c r="M149" i="26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N145" i="26"/>
  <c r="M145" i="26"/>
  <c r="E145" i="26"/>
  <c r="B145" i="26"/>
  <c r="M144" i="26"/>
  <c r="N144" i="26" s="1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E140" i="26"/>
  <c r="B140" i="26"/>
  <c r="M139" i="26"/>
  <c r="N139" i="26" s="1"/>
  <c r="K139" i="26"/>
  <c r="E139" i="26"/>
  <c r="B139" i="26"/>
  <c r="M138" i="26"/>
  <c r="N138" i="26" s="1"/>
  <c r="E138" i="26"/>
  <c r="B138" i="26"/>
  <c r="M137" i="26"/>
  <c r="N137" i="26" s="1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M133" i="26"/>
  <c r="N133" i="26" s="1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M128" i="26"/>
  <c r="N128" i="26" s="1"/>
  <c r="E128" i="26"/>
  <c r="B128" i="26"/>
  <c r="M127" i="26"/>
  <c r="N127" i="26" s="1"/>
  <c r="E127" i="26"/>
  <c r="B127" i="26"/>
  <c r="M126" i="26"/>
  <c r="N126" i="26" s="1"/>
  <c r="K126" i="26"/>
  <c r="E126" i="26"/>
  <c r="B126" i="26"/>
  <c r="M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M107" i="26"/>
  <c r="N107" i="26" s="1"/>
  <c r="E107" i="26"/>
  <c r="B107" i="26"/>
  <c r="M106" i="26"/>
  <c r="N106" i="26" s="1"/>
  <c r="K106" i="26"/>
  <c r="E106" i="26"/>
  <c r="B106" i="26"/>
  <c r="M105" i="26"/>
  <c r="N105" i="26" s="1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M101" i="26"/>
  <c r="N101" i="26" s="1"/>
  <c r="K101" i="26"/>
  <c r="E101" i="26"/>
  <c r="B101" i="26"/>
  <c r="M100" i="26"/>
  <c r="N100" i="26" s="1"/>
  <c r="E100" i="26"/>
  <c r="B100" i="26"/>
  <c r="M99" i="26"/>
  <c r="N99" i="26" s="1"/>
  <c r="E99" i="26"/>
  <c r="B99" i="26"/>
  <c r="N98" i="26"/>
  <c r="M98" i="26"/>
  <c r="K98" i="26"/>
  <c r="E98" i="26"/>
  <c r="B98" i="26"/>
  <c r="M97" i="26"/>
  <c r="N97" i="26" s="1"/>
  <c r="K97" i="26"/>
  <c r="E97" i="26"/>
  <c r="B97" i="26"/>
  <c r="M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M71" i="26"/>
  <c r="N71" i="26" s="1"/>
  <c r="K71" i="26"/>
  <c r="E71" i="26"/>
  <c r="B71" i="26"/>
  <c r="M70" i="26"/>
  <c r="N70" i="26" s="1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E66" i="26"/>
  <c r="B66" i="26"/>
  <c r="M65" i="26"/>
  <c r="N65" i="26" s="1"/>
  <c r="E65" i="26"/>
  <c r="B65" i="26"/>
  <c r="M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M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E56" i="26"/>
  <c r="B56" i="26"/>
  <c r="M55" i="26"/>
  <c r="N55" i="26" s="1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N49" i="26"/>
  <c r="M49" i="26"/>
  <c r="E49" i="26"/>
  <c r="B49" i="26"/>
  <c r="M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E45" i="26"/>
  <c r="B45" i="26"/>
  <c r="M44" i="26"/>
  <c r="N44" i="26" s="1"/>
  <c r="K44" i="26"/>
  <c r="E44" i="26"/>
  <c r="B44" i="26"/>
  <c r="M43" i="26"/>
  <c r="N43" i="26" s="1"/>
  <c r="E43" i="26"/>
  <c r="B43" i="26"/>
  <c r="M42" i="26"/>
  <c r="N42" i="26" s="1"/>
  <c r="E42" i="26"/>
  <c r="B42" i="26"/>
  <c r="M41" i="26"/>
  <c r="N41" i="26" s="1"/>
  <c r="K41" i="26"/>
  <c r="E41" i="26"/>
  <c r="B41" i="26"/>
  <c r="M40" i="26"/>
  <c r="N40" i="26" s="1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M33" i="26"/>
  <c r="N33" i="26" s="1"/>
  <c r="E33" i="26"/>
  <c r="B33" i="26"/>
  <c r="N32" i="26"/>
  <c r="M32" i="26"/>
  <c r="E32" i="26"/>
  <c r="B32" i="26"/>
  <c r="M31" i="26"/>
  <c r="N31" i="26" s="1"/>
  <c r="K31" i="26"/>
  <c r="E31" i="26"/>
  <c r="B31" i="26"/>
  <c r="M30" i="26"/>
  <c r="N30" i="26" s="1"/>
  <c r="E30" i="26"/>
  <c r="B30" i="26"/>
  <c r="M29" i="26"/>
  <c r="N29" i="26" s="1"/>
  <c r="E29" i="26"/>
  <c r="B29" i="26"/>
  <c r="M28" i="26"/>
  <c r="N28" i="26" s="1"/>
  <c r="K28" i="26"/>
  <c r="E28" i="26"/>
  <c r="B28" i="26"/>
  <c r="M27" i="26"/>
  <c r="N27" i="26" s="1"/>
  <c r="E27" i="26"/>
  <c r="B27" i="26"/>
  <c r="N26" i="26"/>
  <c r="M26" i="26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E18" i="26"/>
  <c r="B18" i="26"/>
  <c r="M17" i="26"/>
  <c r="N17" i="26" s="1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N14" i="26"/>
  <c r="M14" i="26"/>
  <c r="K14" i="26"/>
  <c r="E14" i="26"/>
  <c r="B14" i="26"/>
  <c r="M13" i="26"/>
  <c r="N13" i="26" s="1"/>
  <c r="E13" i="26"/>
  <c r="B13" i="26"/>
  <c r="M12" i="26"/>
  <c r="N12" i="26" s="1"/>
  <c r="E12" i="26"/>
  <c r="B12" i="26"/>
  <c r="M11" i="26"/>
  <c r="N11" i="26" s="1"/>
  <c r="E11" i="26"/>
  <c r="B11" i="26"/>
  <c r="M10" i="26"/>
  <c r="N10" i="26" s="1"/>
  <c r="E10" i="26"/>
  <c r="B10" i="26"/>
  <c r="M9" i="26"/>
  <c r="N9" i="26" s="1"/>
  <c r="K9" i="26"/>
  <c r="E9" i="26"/>
  <c r="B9" i="26"/>
  <c r="N8" i="26"/>
  <c r="M8" i="26"/>
  <c r="K8" i="26"/>
  <c r="E8" i="26"/>
  <c r="B8" i="26"/>
  <c r="M7" i="26"/>
  <c r="N7" i="26" s="1"/>
  <c r="E7" i="26"/>
  <c r="B7" i="26"/>
  <c r="M6" i="26"/>
  <c r="N6" i="26" s="1"/>
  <c r="K6" i="26"/>
  <c r="E6" i="26"/>
  <c r="B6" i="26"/>
  <c r="M5" i="26"/>
  <c r="N5" i="26" s="1"/>
  <c r="E5" i="26"/>
  <c r="B5" i="26"/>
  <c r="M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2" i="26"/>
  <c r="M134" i="3"/>
  <c r="N134" i="3" s="1"/>
  <c r="E134" i="3"/>
  <c r="B134" i="3"/>
  <c r="M133" i="3"/>
  <c r="N133" i="3" s="1"/>
  <c r="E133" i="3"/>
  <c r="B133" i="3"/>
  <c r="M132" i="3"/>
  <c r="N132" i="3" s="1"/>
  <c r="E132" i="3"/>
  <c r="B132" i="3"/>
  <c r="N131" i="3"/>
  <c r="M131" i="3"/>
  <c r="E131" i="3"/>
  <c r="B131" i="3"/>
  <c r="M130" i="3"/>
  <c r="N130" i="3" s="1"/>
  <c r="E130" i="3"/>
  <c r="B130" i="3"/>
  <c r="N129" i="3"/>
  <c r="M129" i="3"/>
  <c r="E129" i="3"/>
  <c r="B129" i="3"/>
  <c r="M128" i="3"/>
  <c r="N128" i="3" s="1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M116" i="3"/>
  <c r="N116" i="3" s="1"/>
  <c r="E116" i="3"/>
  <c r="B116" i="3"/>
  <c r="M115" i="3"/>
  <c r="N115" i="3" s="1"/>
  <c r="E115" i="3"/>
  <c r="B115" i="3"/>
  <c r="M114" i="3"/>
  <c r="N114" i="3" s="1"/>
  <c r="E114" i="3"/>
  <c r="B114" i="3"/>
  <c r="N113" i="3"/>
  <c r="M113" i="3"/>
  <c r="E113" i="3"/>
  <c r="B113" i="3"/>
  <c r="M112" i="3"/>
  <c r="N112" i="3" s="1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M106" i="3"/>
  <c r="N106" i="3" s="1"/>
  <c r="E106" i="3"/>
  <c r="B106" i="3"/>
  <c r="M105" i="3"/>
  <c r="N105" i="3" s="1"/>
  <c r="E105" i="3"/>
  <c r="B105" i="3"/>
  <c r="M104" i="3"/>
  <c r="N104" i="3" s="1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M100" i="3"/>
  <c r="N100" i="3" s="1"/>
  <c r="E100" i="3"/>
  <c r="B100" i="3"/>
  <c r="N99" i="3"/>
  <c r="M99" i="3"/>
  <c r="E99" i="3"/>
  <c r="B99" i="3"/>
  <c r="M98" i="3"/>
  <c r="N98" i="3" s="1"/>
  <c r="E98" i="3"/>
  <c r="B98" i="3"/>
  <c r="N97" i="3"/>
  <c r="M97" i="3"/>
  <c r="E97" i="3"/>
  <c r="B97" i="3"/>
  <c r="M96" i="3"/>
  <c r="N96" i="3" s="1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M86" i="3"/>
  <c r="N86" i="3" s="1"/>
  <c r="E86" i="3"/>
  <c r="B86" i="3"/>
  <c r="M85" i="3"/>
  <c r="N85" i="3" s="1"/>
  <c r="E85" i="3"/>
  <c r="B85" i="3"/>
  <c r="M84" i="3"/>
  <c r="N84" i="3" s="1"/>
  <c r="E84" i="3"/>
  <c r="B84" i="3"/>
  <c r="M83" i="3"/>
  <c r="N83" i="3" s="1"/>
  <c r="E83" i="3"/>
  <c r="B83" i="3"/>
  <c r="M82" i="3"/>
  <c r="N82" i="3" s="1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M78" i="3"/>
  <c r="N78" i="3" s="1"/>
  <c r="E78" i="3"/>
  <c r="B78" i="3"/>
  <c r="M77" i="3"/>
  <c r="N77" i="3" s="1"/>
  <c r="E77" i="3"/>
  <c r="B77" i="3"/>
  <c r="M76" i="3"/>
  <c r="N76" i="3" s="1"/>
  <c r="E76" i="3"/>
  <c r="B76" i="3"/>
  <c r="N75" i="3"/>
  <c r="M75" i="3"/>
  <c r="E75" i="3"/>
  <c r="B75" i="3"/>
  <c r="M74" i="3"/>
  <c r="N74" i="3" s="1"/>
  <c r="E74" i="3"/>
  <c r="B74" i="3"/>
  <c r="N73" i="3"/>
  <c r="M73" i="3"/>
  <c r="E73" i="3"/>
  <c r="B73" i="3"/>
  <c r="M72" i="3"/>
  <c r="N72" i="3" s="1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M58" i="3"/>
  <c r="N58" i="3" s="1"/>
  <c r="E58" i="3"/>
  <c r="B58" i="3"/>
  <c r="N57" i="3"/>
  <c r="M57" i="3"/>
  <c r="E57" i="3"/>
  <c r="B57" i="3"/>
  <c r="M56" i="3"/>
  <c r="N56" i="3" s="1"/>
  <c r="E56" i="3"/>
  <c r="B56" i="3"/>
  <c r="M55" i="3"/>
  <c r="N55" i="3" s="1"/>
  <c r="E55" i="3"/>
  <c r="B55" i="3"/>
  <c r="M54" i="3"/>
  <c r="N54" i="3" s="1"/>
  <c r="E54" i="3"/>
  <c r="B54" i="3"/>
  <c r="M53" i="3"/>
  <c r="N53" i="3" s="1"/>
  <c r="E53" i="3"/>
  <c r="B53" i="3"/>
  <c r="M52" i="3"/>
  <c r="N52" i="3" s="1"/>
  <c r="E52" i="3"/>
  <c r="B52" i="3"/>
  <c r="N51" i="3"/>
  <c r="M51" i="3"/>
  <c r="E51" i="3"/>
  <c r="B51" i="3"/>
  <c r="M50" i="3"/>
  <c r="N50" i="3" s="1"/>
  <c r="E50" i="3"/>
  <c r="B50" i="3"/>
  <c r="N49" i="3"/>
  <c r="M49" i="3"/>
  <c r="E49" i="3"/>
  <c r="B49" i="3"/>
  <c r="M48" i="3"/>
  <c r="N48" i="3" s="1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M42" i="3"/>
  <c r="N42" i="3" s="1"/>
  <c r="E42" i="3"/>
  <c r="B42" i="3"/>
  <c r="M41" i="3"/>
  <c r="N41" i="3" s="1"/>
  <c r="E41" i="3"/>
  <c r="B41" i="3"/>
  <c r="M40" i="3"/>
  <c r="N40" i="3" s="1"/>
  <c r="E40" i="3"/>
  <c r="B40" i="3"/>
  <c r="M39" i="3"/>
  <c r="N39" i="3" s="1"/>
  <c r="E39" i="3"/>
  <c r="B39" i="3"/>
  <c r="M38" i="3"/>
  <c r="N38" i="3" s="1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M34" i="3"/>
  <c r="N34" i="3" s="1"/>
  <c r="E34" i="3"/>
  <c r="B34" i="3"/>
  <c r="N33" i="3"/>
  <c r="M33" i="3"/>
  <c r="E33" i="3"/>
  <c r="B33" i="3"/>
  <c r="M32" i="3"/>
  <c r="N32" i="3" s="1"/>
  <c r="E32" i="3"/>
  <c r="B32" i="3"/>
  <c r="M31" i="3"/>
  <c r="N31" i="3" s="1"/>
  <c r="E31" i="3"/>
  <c r="B31" i="3"/>
  <c r="M30" i="3"/>
  <c r="N30" i="3" s="1"/>
  <c r="E30" i="3"/>
  <c r="B30" i="3"/>
  <c r="M29" i="3"/>
  <c r="N29" i="3" s="1"/>
  <c r="E29" i="3"/>
  <c r="B29" i="3"/>
  <c r="N28" i="3"/>
  <c r="M28" i="3"/>
  <c r="E28" i="3"/>
  <c r="B28" i="3"/>
  <c r="M27" i="3"/>
  <c r="N27" i="3" s="1"/>
  <c r="E27" i="3"/>
  <c r="B27" i="3"/>
  <c r="M26" i="3"/>
  <c r="N26" i="3" s="1"/>
  <c r="E26" i="3"/>
  <c r="B26" i="3"/>
  <c r="M25" i="3"/>
  <c r="N25" i="3" s="1"/>
  <c r="E25" i="3"/>
  <c r="B25" i="3"/>
  <c r="M24" i="3"/>
  <c r="N24" i="3" s="1"/>
  <c r="E24" i="3"/>
  <c r="B24" i="3"/>
  <c r="M23" i="3"/>
  <c r="N23" i="3" s="1"/>
  <c r="E23" i="3"/>
  <c r="B23" i="3"/>
  <c r="M22" i="3"/>
  <c r="N22" i="3" s="1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M18" i="3"/>
  <c r="N18" i="3" s="1"/>
  <c r="E18" i="3"/>
  <c r="B18" i="3"/>
  <c r="N17" i="3"/>
  <c r="M17" i="3"/>
  <c r="E17" i="3"/>
  <c r="B17" i="3"/>
  <c r="M16" i="3"/>
  <c r="N16" i="3" s="1"/>
  <c r="E16" i="3"/>
  <c r="B16" i="3"/>
  <c r="N15" i="3"/>
  <c r="M15" i="3"/>
  <c r="E15" i="3"/>
  <c r="B15" i="3"/>
  <c r="M14" i="3"/>
  <c r="N14" i="3" s="1"/>
  <c r="E14" i="3"/>
  <c r="B14" i="3"/>
  <c r="M13" i="3"/>
  <c r="N13" i="3" s="1"/>
  <c r="E13" i="3"/>
  <c r="B13" i="3"/>
  <c r="M12" i="3"/>
  <c r="N12" i="3" s="1"/>
  <c r="E12" i="3"/>
  <c r="B12" i="3"/>
  <c r="N11" i="3"/>
  <c r="M11" i="3"/>
  <c r="E11" i="3"/>
  <c r="B11" i="3"/>
  <c r="M10" i="3"/>
  <c r="N10" i="3" s="1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134" i="41"/>
  <c r="W130" i="41"/>
  <c r="W126" i="41"/>
  <c r="W122" i="41"/>
  <c r="W118" i="41"/>
  <c r="W114" i="41"/>
  <c r="W110" i="41"/>
  <c r="W106" i="41"/>
  <c r="W102" i="41"/>
  <c r="W98" i="41"/>
  <c r="W94" i="41"/>
  <c r="W90" i="41"/>
  <c r="W86" i="41"/>
  <c r="W82" i="41"/>
  <c r="W78" i="41"/>
  <c r="W74" i="41"/>
  <c r="W70" i="41"/>
  <c r="W66" i="41"/>
  <c r="W62" i="41"/>
  <c r="W58" i="41"/>
  <c r="W54" i="41"/>
  <c r="W50" i="41"/>
  <c r="W46" i="41"/>
  <c r="W42" i="41"/>
  <c r="W38" i="41"/>
  <c r="W34" i="41"/>
  <c r="W30" i="41"/>
  <c r="W26" i="41"/>
  <c r="W22" i="41"/>
  <c r="W18" i="41"/>
  <c r="W14" i="41"/>
  <c r="W10" i="41"/>
  <c r="W6" i="41"/>
  <c r="W131" i="41"/>
  <c r="W127" i="41"/>
  <c r="W123" i="41"/>
  <c r="W119" i="41"/>
  <c r="W115" i="41"/>
  <c r="W111" i="41"/>
  <c r="W107" i="41"/>
  <c r="W103" i="41"/>
  <c r="W99" i="41"/>
  <c r="W95" i="41"/>
  <c r="W91" i="41"/>
  <c r="W87" i="41"/>
  <c r="W83" i="41"/>
  <c r="W79" i="41"/>
  <c r="W75" i="41"/>
  <c r="W71" i="41"/>
  <c r="W67" i="41"/>
  <c r="W63" i="41"/>
  <c r="W59" i="41"/>
  <c r="W55" i="41"/>
  <c r="W51" i="41"/>
  <c r="W47" i="41"/>
  <c r="W43" i="41"/>
  <c r="W39" i="41"/>
  <c r="W35" i="41"/>
  <c r="W31" i="41"/>
  <c r="W27" i="41"/>
  <c r="W23" i="41"/>
  <c r="W19" i="41"/>
  <c r="W15" i="41"/>
  <c r="W11" i="41"/>
  <c r="W7" i="41"/>
  <c r="W2" i="41"/>
  <c r="W132" i="41"/>
  <c r="W128" i="41"/>
  <c r="W124" i="41"/>
  <c r="W120" i="41"/>
  <c r="W116" i="41"/>
  <c r="W112" i="41"/>
  <c r="W108" i="41"/>
  <c r="W104" i="41"/>
  <c r="W100" i="41"/>
  <c r="W96" i="41"/>
  <c r="W92" i="41"/>
  <c r="W88" i="41"/>
  <c r="W84" i="41"/>
  <c r="W80" i="41"/>
  <c r="W76" i="41"/>
  <c r="W72" i="41"/>
  <c r="W68" i="41"/>
  <c r="W64" i="41"/>
  <c r="W60" i="41"/>
  <c r="W56" i="41"/>
  <c r="W52" i="41"/>
  <c r="W48" i="41"/>
  <c r="W44" i="41"/>
  <c r="W40" i="41"/>
  <c r="W36" i="41"/>
  <c r="W32" i="41"/>
  <c r="W28" i="41"/>
  <c r="W24" i="41"/>
  <c r="W20" i="41"/>
  <c r="W16" i="41"/>
  <c r="W12" i="41"/>
  <c r="W8" i="41"/>
  <c r="W4" i="41"/>
  <c r="W133" i="41"/>
  <c r="W129" i="41"/>
  <c r="W125" i="41"/>
  <c r="W121" i="41"/>
  <c r="W117" i="41"/>
  <c r="W113" i="41"/>
  <c r="W109" i="41"/>
  <c r="W105" i="41"/>
  <c r="W101" i="41"/>
  <c r="W97" i="41"/>
  <c r="W93" i="41"/>
  <c r="W89" i="41"/>
  <c r="W85" i="41"/>
  <c r="W81" i="41"/>
  <c r="W77" i="41"/>
  <c r="W73" i="41"/>
  <c r="W69" i="41"/>
  <c r="W65" i="41"/>
  <c r="W61" i="41"/>
  <c r="W57" i="41"/>
  <c r="W53" i="41"/>
  <c r="W49" i="41"/>
  <c r="W45" i="41"/>
  <c r="W41" i="41"/>
  <c r="W37" i="41"/>
  <c r="W33" i="41"/>
  <c r="W29" i="41"/>
  <c r="W25" i="41"/>
  <c r="W21" i="41"/>
  <c r="W17" i="41"/>
  <c r="W13" i="41"/>
  <c r="W9" i="41"/>
  <c r="W5" i="41"/>
  <c r="N2" i="41" l="1"/>
  <c r="E2" i="41"/>
  <c r="M2" i="41"/>
  <c r="E2" i="34"/>
  <c r="M2" i="34"/>
  <c r="M2" i="30"/>
  <c r="M2" i="25"/>
  <c r="N5" i="38"/>
  <c r="M2" i="3"/>
  <c r="K2" i="3"/>
  <c r="N2" i="3"/>
  <c r="M2" i="26"/>
  <c r="M2" i="37"/>
  <c r="N2" i="37" s="1"/>
  <c r="N58" i="25"/>
  <c r="K2" i="26"/>
  <c r="M2" i="27"/>
  <c r="K2" i="25"/>
  <c r="K2" i="33"/>
  <c r="N2" i="34"/>
  <c r="K2" i="27"/>
  <c r="K2" i="30"/>
  <c r="N2" i="30" s="1"/>
  <c r="K2" i="36"/>
  <c r="N2" i="29"/>
  <c r="M2" i="29"/>
  <c r="M2" i="35"/>
  <c r="N2" i="35" s="1"/>
  <c r="N67" i="28"/>
  <c r="N59" i="28"/>
  <c r="N53" i="28"/>
  <c r="N43" i="28"/>
  <c r="M2" i="28"/>
  <c r="E2" i="28"/>
  <c r="N34" i="31"/>
  <c r="N66" i="31"/>
  <c r="N49" i="31"/>
  <c r="N37" i="31"/>
  <c r="N33" i="31"/>
  <c r="N12" i="31"/>
  <c r="N8" i="31"/>
  <c r="N104" i="31"/>
  <c r="N74" i="31"/>
  <c r="N57" i="31"/>
  <c r="N48" i="31"/>
  <c r="N30" i="31"/>
  <c r="N29" i="31"/>
  <c r="N28" i="31"/>
  <c r="N13" i="31"/>
  <c r="N9" i="31"/>
  <c r="N5" i="31"/>
  <c r="N69" i="31"/>
  <c r="N67" i="31"/>
  <c r="N60" i="31"/>
  <c r="K2" i="31"/>
  <c r="N17" i="31"/>
  <c r="N2" i="26"/>
  <c r="E2" i="3"/>
  <c r="K2" i="28"/>
  <c r="N2" i="27"/>
  <c r="E2" i="33"/>
  <c r="M2" i="33"/>
  <c r="N2" i="33" s="1"/>
  <c r="M2" i="31"/>
  <c r="E2" i="31"/>
  <c r="E2" i="30"/>
  <c r="K2" i="29"/>
  <c r="E2" i="29"/>
  <c r="K2" i="32"/>
  <c r="M2" i="32"/>
  <c r="N2" i="32" s="1"/>
  <c r="E2" i="32"/>
  <c r="N2" i="25"/>
  <c r="E2" i="25"/>
  <c r="M2" i="38"/>
  <c r="E2" i="38"/>
  <c r="K2" i="38"/>
  <c r="K2" i="35"/>
  <c r="M2" i="36"/>
  <c r="N2" i="36" s="1"/>
  <c r="E2" i="35"/>
  <c r="E2" i="36"/>
  <c r="K2" i="37"/>
  <c r="E2" i="37"/>
  <c r="N2" i="38" l="1"/>
  <c r="N2" i="28"/>
  <c r="N2" i="31"/>
  <c r="W128" i="36"/>
  <c r="W14" i="33"/>
  <c r="W58" i="33"/>
  <c r="W73" i="37"/>
  <c r="W124" i="25"/>
  <c r="W104" i="33"/>
  <c r="W104" i="35"/>
  <c r="W96" i="35"/>
  <c r="W90" i="29"/>
  <c r="W84" i="35"/>
  <c r="W8" i="35"/>
  <c r="W11" i="32"/>
  <c r="W40" i="37"/>
  <c r="W134" i="30"/>
  <c r="W70" i="36"/>
  <c r="W90" i="36"/>
  <c r="W7" i="33"/>
  <c r="W114" i="33"/>
  <c r="W48" i="35"/>
  <c r="W78" i="38"/>
  <c r="W71" i="38"/>
  <c r="W112" i="37"/>
  <c r="W31" i="33"/>
  <c r="W110" i="30"/>
  <c r="W49" i="37"/>
  <c r="W19" i="30"/>
  <c r="W33" i="37"/>
  <c r="W31" i="38"/>
  <c r="W43" i="37"/>
  <c r="W124" i="36"/>
  <c r="W13" i="33"/>
  <c r="W39" i="35"/>
  <c r="W18" i="35"/>
  <c r="W128" i="34"/>
  <c r="W49" i="35"/>
  <c r="W35" i="32"/>
  <c r="W60" i="35"/>
  <c r="W96" i="34"/>
  <c r="W112" i="29"/>
  <c r="W62" i="38"/>
  <c r="W94" i="35"/>
  <c r="W39" i="37"/>
  <c r="W115" i="35"/>
  <c r="W8" i="36"/>
  <c r="W105" i="29"/>
  <c r="W36" i="36"/>
  <c r="W128" i="33"/>
  <c r="W21" i="38"/>
  <c r="W45" i="38"/>
  <c r="W124" i="28"/>
  <c r="W77" i="34"/>
  <c r="W28" i="33"/>
  <c r="W113" i="28"/>
  <c r="W15" i="31"/>
  <c r="W117" i="33"/>
  <c r="W114" i="38"/>
  <c r="W50" i="35"/>
  <c r="W96" i="38"/>
  <c r="W67" i="29"/>
  <c r="W107" i="33"/>
  <c r="W90" i="37"/>
  <c r="W73" i="34"/>
  <c r="W77" i="36"/>
  <c r="W126" i="38"/>
  <c r="W70" i="32"/>
  <c r="W116" i="32"/>
  <c r="W21" i="36"/>
  <c r="W126" i="37"/>
  <c r="W127" i="32"/>
  <c r="W35" i="36"/>
  <c r="W80" i="34"/>
  <c r="W32" i="38"/>
  <c r="W2" i="35"/>
  <c r="W97" i="37"/>
  <c r="W104" i="37"/>
  <c r="W59" i="37"/>
  <c r="W13" i="36"/>
  <c r="W103" i="37"/>
  <c r="W6" i="32"/>
  <c r="W29" i="32"/>
  <c r="W45" i="31"/>
  <c r="W10" i="35"/>
  <c r="W24" i="38"/>
  <c r="W102" i="35"/>
  <c r="W68" i="34"/>
  <c r="W42" i="38"/>
  <c r="W66" i="38"/>
  <c r="W110" i="33"/>
  <c r="W109" i="33"/>
  <c r="W90" i="33"/>
  <c r="W79" i="35"/>
  <c r="W35" i="37"/>
  <c r="W85" i="28"/>
  <c r="W77" i="32"/>
  <c r="W125" i="36"/>
  <c r="W40" i="28"/>
  <c r="W34" i="25"/>
  <c r="W107" i="28"/>
  <c r="W46" i="35"/>
  <c r="W54" i="36"/>
  <c r="W66" i="33"/>
  <c r="W56" i="25"/>
  <c r="W31" i="36"/>
  <c r="W130" i="25"/>
  <c r="W126" i="25"/>
  <c r="W72" i="37"/>
  <c r="W77" i="35"/>
  <c r="W20" i="31"/>
  <c r="W40" i="25"/>
  <c r="W20" i="35"/>
  <c r="W33" i="25"/>
  <c r="W7" i="34"/>
  <c r="W4" i="33"/>
  <c r="W29" i="38"/>
  <c r="W15" i="35"/>
  <c r="W21" i="30"/>
  <c r="W87" i="36"/>
  <c r="W93" i="26"/>
  <c r="W39" i="25"/>
  <c r="W13" i="26"/>
  <c r="W26" i="35"/>
  <c r="W158" i="31"/>
  <c r="W57" i="32"/>
  <c r="W84" i="31"/>
  <c r="W130" i="28"/>
  <c r="W98" i="28"/>
  <c r="W116" i="25"/>
  <c r="W130" i="34"/>
  <c r="W63" i="36"/>
  <c r="W93" i="36"/>
  <c r="W26" i="38"/>
  <c r="W49" i="36"/>
  <c r="W12" i="36"/>
  <c r="W2" i="36"/>
  <c r="W46" i="25"/>
  <c r="W48" i="32"/>
  <c r="W79" i="31"/>
  <c r="W19" i="34"/>
  <c r="W70" i="34"/>
  <c r="W96" i="29"/>
  <c r="W84" i="32"/>
  <c r="W111" i="38"/>
  <c r="W24" i="36"/>
  <c r="W56" i="36"/>
  <c r="W62" i="30"/>
  <c r="W79" i="37"/>
  <c r="W116" i="34"/>
  <c r="W113" i="34"/>
  <c r="W107" i="25"/>
  <c r="W27" i="30"/>
  <c r="W50" i="32"/>
  <c r="W100" i="25"/>
  <c r="W46" i="36"/>
  <c r="W72" i="30"/>
  <c r="W10" i="34"/>
  <c r="W130" i="33"/>
  <c r="W21" i="33"/>
  <c r="W53" i="36"/>
  <c r="W75" i="38"/>
  <c r="W14" i="38"/>
  <c r="W85" i="38"/>
  <c r="W109" i="38"/>
  <c r="W7" i="29"/>
  <c r="W23" i="35"/>
  <c r="W67" i="30"/>
  <c r="W26" i="32"/>
  <c r="W14" i="36"/>
  <c r="W75" i="34"/>
  <c r="W35" i="33"/>
  <c r="W88" i="35"/>
  <c r="W69" i="35"/>
  <c r="W109" i="31"/>
  <c r="W5" i="36"/>
  <c r="W7" i="37"/>
  <c r="W45" i="34"/>
  <c r="W30" i="34"/>
  <c r="W138" i="31"/>
  <c r="W18" i="34"/>
  <c r="W22" i="30"/>
  <c r="W122" i="31"/>
  <c r="W87" i="32"/>
  <c r="W53" i="33"/>
  <c r="W19" i="35"/>
  <c r="W46" i="38"/>
  <c r="W129" i="34"/>
  <c r="W55" i="31"/>
  <c r="W95" i="35"/>
  <c r="W106" i="33"/>
  <c r="W113" i="37"/>
  <c r="W118" i="38"/>
  <c r="W69" i="36"/>
  <c r="W31" i="29"/>
  <c r="W42" i="29"/>
  <c r="W163" i="31"/>
  <c r="W115" i="36"/>
  <c r="W121" i="38"/>
  <c r="W30" i="35"/>
  <c r="W116" i="37"/>
  <c r="W89" i="34"/>
  <c r="W74" i="32"/>
  <c r="W132" i="33"/>
  <c r="W118" i="33"/>
  <c r="W9" i="34"/>
  <c r="W54" i="38"/>
  <c r="W87" i="35"/>
  <c r="W100" i="28"/>
  <c r="W127" i="28"/>
  <c r="W94" i="32"/>
  <c r="W17" i="35"/>
  <c r="W112" i="36"/>
  <c r="W128" i="38"/>
  <c r="W129" i="37"/>
  <c r="W54" i="34"/>
  <c r="W59" i="34"/>
  <c r="W30" i="37"/>
  <c r="W41" i="37"/>
  <c r="W132" i="36"/>
  <c r="W130" i="37"/>
  <c r="W71" i="36"/>
  <c r="W114" i="31"/>
  <c r="W51" i="33"/>
  <c r="W64" i="36"/>
  <c r="W87" i="31"/>
  <c r="W74" i="29"/>
  <c r="W44" i="35"/>
  <c r="W98" i="38"/>
  <c r="W97" i="38"/>
  <c r="W108" i="36"/>
  <c r="W16" i="29"/>
  <c r="W72" i="38"/>
  <c r="W51" i="36"/>
  <c r="W37" i="36"/>
  <c r="W122" i="25"/>
  <c r="W120" i="33"/>
  <c r="W51" i="25"/>
  <c r="W61" i="31"/>
  <c r="W28" i="30"/>
  <c r="W19" i="37"/>
  <c r="W131" i="25"/>
  <c r="W84" i="29"/>
  <c r="W118" i="36"/>
  <c r="W92" i="34"/>
  <c r="W73" i="32"/>
  <c r="W9" i="29"/>
  <c r="W71" i="26"/>
  <c r="W81" i="27"/>
  <c r="W103" i="32"/>
  <c r="W10" i="25"/>
  <c r="W8" i="26"/>
  <c r="W27" i="26"/>
  <c r="W10" i="27"/>
  <c r="W86" i="25"/>
  <c r="W62" i="3"/>
  <c r="W86" i="32"/>
  <c r="W23" i="38"/>
  <c r="W119" i="35"/>
  <c r="W102" i="25"/>
  <c r="W125" i="30"/>
  <c r="W100" i="35"/>
  <c r="W121" i="35"/>
  <c r="W110" i="35"/>
  <c r="W83" i="34"/>
  <c r="W11" i="35"/>
  <c r="W105" i="32"/>
  <c r="W126" i="33"/>
  <c r="W64" i="30"/>
  <c r="W20" i="32"/>
  <c r="W95" i="38"/>
  <c r="W58" i="34"/>
  <c r="W63" i="35"/>
  <c r="W108" i="35"/>
  <c r="W71" i="32"/>
  <c r="W20" i="33"/>
  <c r="W124" i="37"/>
  <c r="W121" i="37"/>
  <c r="W132" i="25"/>
  <c r="W98" i="30"/>
  <c r="W98" i="33"/>
  <c r="W70" i="29"/>
  <c r="W85" i="35"/>
  <c r="W69" i="37"/>
  <c r="W76" i="37"/>
  <c r="W60" i="36"/>
  <c r="W81" i="36"/>
  <c r="W18" i="33"/>
  <c r="W107" i="34"/>
  <c r="W63" i="34"/>
  <c r="W119" i="34"/>
  <c r="W94" i="34"/>
  <c r="W25" i="31"/>
  <c r="W105" i="33"/>
  <c r="W88" i="38"/>
  <c r="W121" i="28"/>
  <c r="W150" i="31"/>
  <c r="W108" i="34"/>
  <c r="W33" i="36"/>
  <c r="W110" i="38"/>
  <c r="W82" i="38"/>
  <c r="W81" i="35"/>
  <c r="W71" i="35"/>
  <c r="W22" i="35"/>
  <c r="W67" i="37"/>
  <c r="W11" i="37"/>
  <c r="W48" i="28"/>
  <c r="W61" i="34"/>
  <c r="W76" i="36"/>
  <c r="W78" i="30"/>
  <c r="W70" i="35"/>
  <c r="W102" i="29"/>
  <c r="W65" i="37"/>
  <c r="W95" i="34"/>
  <c r="W18" i="38"/>
  <c r="W9" i="35"/>
  <c r="W112" i="38"/>
  <c r="W23" i="37"/>
  <c r="W38" i="38"/>
  <c r="W81" i="34"/>
  <c r="W13" i="32"/>
  <c r="W101" i="27"/>
  <c r="W132" i="31"/>
  <c r="W37" i="25"/>
  <c r="W34" i="36"/>
  <c r="W91" i="36"/>
  <c r="W50" i="38"/>
  <c r="W31" i="34"/>
  <c r="W93" i="37"/>
  <c r="W98" i="37"/>
  <c r="W14" i="37"/>
  <c r="W48" i="37"/>
  <c r="W50" i="37"/>
  <c r="W17" i="34"/>
  <c r="W102" i="31"/>
  <c r="W36" i="27"/>
  <c r="W19" i="31"/>
  <c r="W98" i="35"/>
  <c r="W108" i="38"/>
  <c r="W55" i="34"/>
  <c r="W110" i="34"/>
  <c r="W16" i="34"/>
  <c r="W107" i="37"/>
  <c r="W10" i="32"/>
  <c r="W63" i="33"/>
  <c r="W55" i="33"/>
  <c r="W96" i="33"/>
  <c r="W79" i="33"/>
  <c r="W91" i="34"/>
  <c r="W9" i="36"/>
  <c r="W116" i="28"/>
  <c r="W85" i="34"/>
  <c r="W101" i="33"/>
  <c r="W8" i="32"/>
  <c r="W56" i="35"/>
  <c r="W17" i="38"/>
  <c r="W52" i="34"/>
  <c r="W90" i="34"/>
  <c r="W120" i="37"/>
  <c r="W23" i="34"/>
  <c r="W124" i="35"/>
  <c r="W97" i="36"/>
  <c r="W80" i="36"/>
  <c r="W35" i="30"/>
  <c r="W52" i="26"/>
  <c r="W25" i="33"/>
  <c r="W125" i="31"/>
  <c r="W94" i="25"/>
  <c r="W16" i="38"/>
  <c r="W52" i="32"/>
  <c r="W29" i="35"/>
  <c r="W78" i="36"/>
  <c r="W34" i="29"/>
  <c r="W26" i="28"/>
  <c r="W43" i="26"/>
  <c r="W58" i="27"/>
  <c r="W35" i="29"/>
  <c r="W61" i="27"/>
  <c r="W133" i="25"/>
  <c r="W25" i="28"/>
  <c r="W53" i="35"/>
  <c r="W28" i="27"/>
  <c r="W76" i="32"/>
  <c r="W125" i="28"/>
  <c r="W125" i="34"/>
  <c r="W118" i="34"/>
  <c r="W33" i="38"/>
  <c r="W38" i="36"/>
  <c r="W126" i="32"/>
  <c r="W8" i="38"/>
  <c r="W36" i="35"/>
  <c r="W33" i="35"/>
  <c r="W41" i="34"/>
  <c r="W70" i="30"/>
  <c r="W125" i="35"/>
  <c r="W35" i="34"/>
  <c r="W70" i="38"/>
  <c r="W96" i="28"/>
  <c r="W74" i="34"/>
  <c r="W110" i="37"/>
  <c r="W100" i="37"/>
  <c r="W15" i="38"/>
  <c r="W19" i="38"/>
  <c r="W94" i="36"/>
  <c r="W40" i="34"/>
  <c r="W37" i="34"/>
  <c r="W83" i="29"/>
  <c r="W47" i="3"/>
  <c r="W55" i="30"/>
  <c r="W65" i="30"/>
  <c r="W22" i="37"/>
  <c r="W61" i="36"/>
  <c r="W100" i="33"/>
  <c r="W17" i="36"/>
  <c r="W6" i="36"/>
  <c r="W17" i="30"/>
  <c r="W5" i="37"/>
  <c r="W81" i="37"/>
  <c r="W7" i="38"/>
  <c r="W118" i="37"/>
  <c r="W58" i="25"/>
  <c r="W33" i="30"/>
  <c r="W51" i="37"/>
  <c r="W16" i="31"/>
  <c r="W24" i="25"/>
  <c r="W90" i="38"/>
  <c r="W76" i="35"/>
  <c r="W4" i="35"/>
  <c r="W123" i="34"/>
  <c r="W72" i="35"/>
  <c r="W113" i="38"/>
  <c r="W41" i="38"/>
  <c r="W124" i="33"/>
  <c r="W26" i="36"/>
  <c r="W92" i="30"/>
  <c r="W121" i="29"/>
  <c r="W97" i="35"/>
  <c r="W114" i="32"/>
  <c r="W105" i="30"/>
  <c r="W113" i="30"/>
  <c r="W119" i="25"/>
  <c r="W102" i="37"/>
  <c r="W46" i="34"/>
  <c r="W99" i="38"/>
  <c r="W55" i="35"/>
  <c r="W22" i="33"/>
  <c r="W33" i="34"/>
  <c r="W115" i="37"/>
  <c r="W53" i="25"/>
  <c r="W104" i="32"/>
  <c r="W55" i="25"/>
  <c r="W58" i="31"/>
  <c r="W62" i="34"/>
  <c r="W91" i="25"/>
  <c r="W78" i="34"/>
  <c r="W28" i="37"/>
  <c r="W121" i="33"/>
  <c r="W71" i="30"/>
  <c r="W25" i="35"/>
  <c r="W41" i="33"/>
  <c r="W99" i="37"/>
  <c r="W52" i="37"/>
  <c r="W112" i="32"/>
  <c r="W109" i="37"/>
  <c r="W125" i="32"/>
  <c r="W108" i="30"/>
  <c r="W25" i="30"/>
  <c r="W27" i="38"/>
  <c r="W114" i="37"/>
  <c r="W44" i="37"/>
  <c r="W25" i="34"/>
  <c r="W62" i="33"/>
  <c r="W103" i="36"/>
  <c r="W119" i="36"/>
  <c r="W107" i="36"/>
  <c r="W129" i="36"/>
  <c r="W116" i="30"/>
  <c r="W121" i="26"/>
  <c r="W135" i="31"/>
  <c r="W94" i="30"/>
  <c r="W13" i="34"/>
  <c r="W118" i="35"/>
  <c r="W64" i="38"/>
  <c r="W4" i="34"/>
  <c r="W127" i="38"/>
  <c r="W125" i="37"/>
  <c r="W123" i="33"/>
  <c r="W68" i="37"/>
  <c r="W132" i="38"/>
  <c r="W127" i="25"/>
  <c r="W123" i="25"/>
  <c r="W141" i="31"/>
  <c r="W109" i="34"/>
  <c r="W4" i="30"/>
  <c r="W101" i="25"/>
  <c r="W57" i="29"/>
  <c r="W134" i="35"/>
  <c r="W5" i="29"/>
  <c r="W131" i="30"/>
  <c r="W19" i="32"/>
  <c r="W111" i="27"/>
  <c r="W101" i="30"/>
  <c r="W11" i="3"/>
  <c r="W20" i="28"/>
  <c r="P8" i="24"/>
  <c r="W44" i="27"/>
  <c r="W53" i="29"/>
  <c r="W107" i="31"/>
  <c r="W63" i="32"/>
  <c r="W30" i="3"/>
  <c r="W126" i="29"/>
  <c r="W74" i="38"/>
  <c r="W34" i="38"/>
  <c r="W125" i="33"/>
  <c r="W79" i="38"/>
  <c r="W57" i="28"/>
  <c r="W111" i="33"/>
  <c r="W68" i="38"/>
  <c r="W61" i="38"/>
  <c r="W99" i="34"/>
  <c r="W110" i="31"/>
  <c r="W117" i="30"/>
  <c r="W118" i="29"/>
  <c r="W37" i="37"/>
  <c r="W132" i="30"/>
  <c r="W10" i="38"/>
  <c r="W47" i="34"/>
  <c r="W59" i="33"/>
  <c r="W116" i="33"/>
  <c r="W121" i="36"/>
  <c r="W6" i="33"/>
  <c r="W29" i="36"/>
  <c r="W20" i="36"/>
  <c r="W84" i="30"/>
  <c r="W53" i="38"/>
  <c r="W9" i="25"/>
  <c r="W109" i="32"/>
  <c r="W65" i="32"/>
  <c r="W25" i="36"/>
  <c r="W72" i="36"/>
  <c r="W91" i="35"/>
  <c r="W51" i="35"/>
  <c r="W7" i="32"/>
  <c r="W55" i="36"/>
  <c r="W92" i="35"/>
  <c r="W60" i="34"/>
  <c r="W57" i="35"/>
  <c r="W114" i="29"/>
  <c r="W128" i="31"/>
  <c r="W120" i="34"/>
  <c r="W42" i="25"/>
  <c r="W101" i="38"/>
  <c r="W20" i="30"/>
  <c r="W127" i="37"/>
  <c r="W36" i="38"/>
  <c r="W12" i="37"/>
  <c r="W89" i="38"/>
  <c r="W100" i="34"/>
  <c r="W124" i="34"/>
  <c r="W131" i="36"/>
  <c r="W69" i="33"/>
  <c r="W132" i="32"/>
  <c r="W73" i="31"/>
  <c r="W106" i="25"/>
  <c r="W63" i="29"/>
  <c r="W57" i="25"/>
  <c r="W20" i="37"/>
  <c r="W73" i="36"/>
  <c r="W8" i="34"/>
  <c r="W45" i="36"/>
  <c r="W21" i="35"/>
  <c r="W123" i="38"/>
  <c r="W84" i="36"/>
  <c r="W83" i="37"/>
  <c r="W50" i="34"/>
  <c r="W39" i="28"/>
  <c r="W91" i="37"/>
  <c r="W111" i="29"/>
  <c r="W12" i="33"/>
  <c r="W87" i="30"/>
  <c r="W54" i="29"/>
  <c r="W98" i="36"/>
  <c r="W54" i="35"/>
  <c r="W103" i="35"/>
  <c r="W120" i="38"/>
  <c r="W48" i="38"/>
  <c r="W79" i="36"/>
  <c r="W97" i="33"/>
  <c r="W134" i="33"/>
  <c r="W82" i="36"/>
  <c r="W31" i="35"/>
  <c r="W66" i="29"/>
  <c r="W60" i="25"/>
  <c r="W112" i="31"/>
  <c r="W133" i="32"/>
  <c r="W14" i="34"/>
  <c r="W81" i="33"/>
  <c r="W16" i="37"/>
  <c r="W6" i="30"/>
  <c r="W87" i="34"/>
  <c r="W121" i="25"/>
  <c r="W34" i="37"/>
  <c r="W88" i="33"/>
  <c r="W53" i="32"/>
  <c r="W127" i="36"/>
  <c r="W85" i="30"/>
  <c r="W47" i="32"/>
  <c r="W122" i="33"/>
  <c r="W7" i="35"/>
  <c r="W57" i="34"/>
  <c r="W64" i="37"/>
  <c r="W42" i="34"/>
  <c r="W79" i="34"/>
  <c r="W53" i="37"/>
  <c r="W12" i="34"/>
  <c r="W45" i="35"/>
  <c r="W44" i="36"/>
  <c r="W32" i="36"/>
  <c r="W120" i="25"/>
  <c r="W28" i="34"/>
  <c r="W2" i="32"/>
  <c r="W122" i="29"/>
  <c r="W57" i="30"/>
  <c r="W147" i="31"/>
  <c r="W78" i="27"/>
  <c r="W81" i="32"/>
  <c r="W69" i="25"/>
  <c r="W129" i="32"/>
  <c r="W52" i="25"/>
  <c r="Q12" i="24"/>
  <c r="W42" i="32"/>
  <c r="Q40" i="24"/>
  <c r="W133" i="27"/>
  <c r="P52" i="24"/>
  <c r="W102" i="3"/>
  <c r="W47" i="31"/>
  <c r="Q15" i="24"/>
  <c r="Q8" i="24"/>
  <c r="W86" i="34"/>
  <c r="W80" i="37"/>
  <c r="W60" i="37"/>
  <c r="W83" i="33"/>
  <c r="W127" i="33"/>
  <c r="W82" i="37"/>
  <c r="W60" i="33"/>
  <c r="W99" i="33"/>
  <c r="W134" i="36"/>
  <c r="W106" i="36"/>
  <c r="W76" i="31"/>
  <c r="W24" i="33"/>
  <c r="W4" i="29"/>
  <c r="W47" i="25"/>
  <c r="W77" i="38"/>
  <c r="W29" i="37"/>
  <c r="W117" i="36"/>
  <c r="W6" i="37"/>
  <c r="W70" i="33"/>
  <c r="W102" i="33"/>
  <c r="W67" i="36"/>
  <c r="W65" i="35"/>
  <c r="W47" i="35"/>
  <c r="W58" i="35"/>
  <c r="W45" i="29"/>
  <c r="W66" i="36"/>
  <c r="W133" i="30"/>
  <c r="W129" i="31"/>
  <c r="W110" i="28"/>
  <c r="W80" i="30"/>
  <c r="W47" i="38"/>
  <c r="W13" i="35"/>
  <c r="W42" i="33"/>
  <c r="W19" i="36"/>
  <c r="W6" i="35"/>
  <c r="W52" i="35"/>
  <c r="W89" i="35"/>
  <c r="W43" i="25"/>
  <c r="W122" i="38"/>
  <c r="W125" i="29"/>
  <c r="W27" i="25"/>
  <c r="W65" i="34"/>
  <c r="W8" i="33"/>
  <c r="W92" i="37"/>
  <c r="W126" i="36"/>
  <c r="W68" i="36"/>
  <c r="W123" i="35"/>
  <c r="W11" i="38"/>
  <c r="W48" i="34"/>
  <c r="W102" i="38"/>
  <c r="W30" i="38"/>
  <c r="W90" i="32"/>
  <c r="W95" i="28"/>
  <c r="W87" i="29"/>
  <c r="W68" i="32"/>
  <c r="W31" i="37"/>
  <c r="W89" i="33"/>
  <c r="W102" i="36"/>
  <c r="W38" i="35"/>
  <c r="W99" i="35"/>
  <c r="W74" i="35"/>
  <c r="W66" i="34"/>
  <c r="W49" i="38"/>
  <c r="W84" i="34"/>
  <c r="W9" i="37"/>
  <c r="W122" i="34"/>
  <c r="W37" i="33"/>
  <c r="W73" i="29"/>
  <c r="W92" i="33"/>
  <c r="W61" i="32"/>
  <c r="W84" i="33"/>
  <c r="W83" i="36"/>
  <c r="W112" i="34"/>
  <c r="W106" i="38"/>
  <c r="W61" i="35"/>
  <c r="W35" i="38"/>
  <c r="W59" i="38"/>
  <c r="W65" i="38"/>
  <c r="W38" i="33"/>
  <c r="W67" i="35"/>
  <c r="W76" i="25"/>
  <c r="W30" i="25"/>
  <c r="W38" i="37"/>
  <c r="W162" i="31"/>
  <c r="W119" i="29"/>
  <c r="W80" i="29"/>
  <c r="W117" i="35"/>
  <c r="W117" i="34"/>
  <c r="W55" i="38"/>
  <c r="W39" i="34"/>
  <c r="W76" i="34"/>
  <c r="W82" i="35"/>
  <c r="W105" i="36"/>
  <c r="W64" i="33"/>
  <c r="W60" i="30"/>
  <c r="W56" i="33"/>
  <c r="W21" i="29"/>
  <c r="W47" i="30"/>
  <c r="W115" i="29"/>
  <c r="W62" i="32"/>
  <c r="W73" i="35"/>
  <c r="W110" i="36"/>
  <c r="W115" i="33"/>
  <c r="W112" i="33"/>
  <c r="W86" i="36"/>
  <c r="W70" i="37"/>
  <c r="W10" i="33"/>
  <c r="W125" i="38"/>
  <c r="W95" i="36"/>
  <c r="W88" i="32"/>
  <c r="W62" i="36"/>
  <c r="W28" i="36"/>
  <c r="W47" i="37"/>
  <c r="W29" i="29"/>
  <c r="W83" i="38"/>
  <c r="W117" i="3"/>
  <c r="W88" i="30"/>
  <c r="W97" i="31"/>
  <c r="W95" i="27"/>
  <c r="W113" i="27"/>
  <c r="W33" i="31"/>
  <c r="W20" i="27"/>
  <c r="W9" i="30"/>
  <c r="W24" i="3"/>
  <c r="W99" i="3"/>
  <c r="P11" i="24"/>
  <c r="W77" i="25"/>
  <c r="W98" i="27"/>
  <c r="Q32" i="24"/>
  <c r="W113" i="33"/>
  <c r="W18" i="37"/>
  <c r="W55" i="37"/>
  <c r="W15" i="34"/>
  <c r="W130" i="36"/>
  <c r="W116" i="36"/>
  <c r="W50" i="36"/>
  <c r="W41" i="36"/>
  <c r="W63" i="25"/>
  <c r="W89" i="37"/>
  <c r="W111" i="31"/>
  <c r="W77" i="29"/>
  <c r="W14" i="25"/>
  <c r="W32" i="35"/>
  <c r="W134" i="25"/>
  <c r="W32" i="33"/>
  <c r="W133" i="36"/>
  <c r="W8" i="37"/>
  <c r="W127" i="35"/>
  <c r="W62" i="35"/>
  <c r="W59" i="35"/>
  <c r="W115" i="32"/>
  <c r="W145" i="31"/>
  <c r="W88" i="34"/>
  <c r="W48" i="25"/>
  <c r="W129" i="25"/>
  <c r="W119" i="31"/>
  <c r="W32" i="32"/>
  <c r="W133" i="33"/>
  <c r="W26" i="37"/>
  <c r="W104" i="36"/>
  <c r="W132" i="35"/>
  <c r="W92" i="38"/>
  <c r="W116" i="38"/>
  <c r="W94" i="38"/>
  <c r="W15" i="30"/>
  <c r="W88" i="36"/>
  <c r="W85" i="32"/>
  <c r="W61" i="37"/>
  <c r="W73" i="33"/>
  <c r="W100" i="29"/>
  <c r="W94" i="33"/>
  <c r="W77" i="33"/>
  <c r="W30" i="36"/>
  <c r="W75" i="25"/>
  <c r="W43" i="34"/>
  <c r="W74" i="37"/>
  <c r="W97" i="34"/>
  <c r="W121" i="34"/>
  <c r="W67" i="33"/>
  <c r="W83" i="35"/>
  <c r="W23" i="32"/>
  <c r="W16" i="33"/>
  <c r="W35" i="35"/>
  <c r="W104" i="38"/>
  <c r="W105" i="35"/>
  <c r="W124" i="38"/>
  <c r="W75" i="35"/>
  <c r="W11" i="25"/>
  <c r="W88" i="37"/>
  <c r="W36" i="34"/>
  <c r="W117" i="37"/>
  <c r="W17" i="33"/>
  <c r="W34" i="34"/>
  <c r="W11" i="30"/>
  <c r="W74" i="30"/>
  <c r="W73" i="38"/>
  <c r="W18" i="29"/>
  <c r="W44" i="30"/>
  <c r="W114" i="25"/>
  <c r="W60" i="38"/>
  <c r="W24" i="35"/>
  <c r="W130" i="38"/>
  <c r="W51" i="34"/>
  <c r="W56" i="34"/>
  <c r="W20" i="34"/>
  <c r="W74" i="36"/>
  <c r="W43" i="33"/>
  <c r="W20" i="29"/>
  <c r="W128" i="29"/>
  <c r="W68" i="35"/>
  <c r="W10" i="36"/>
  <c r="W72" i="32"/>
  <c r="W129" i="35"/>
  <c r="W81" i="38"/>
  <c r="W106" i="34"/>
  <c r="W14" i="35"/>
  <c r="W111" i="37"/>
  <c r="W131" i="37"/>
  <c r="W133" i="37"/>
  <c r="W40" i="36"/>
  <c r="W67" i="38"/>
  <c r="W12" i="25"/>
  <c r="W87" i="37"/>
  <c r="W132" i="37"/>
  <c r="W134" i="32"/>
  <c r="W6" i="31"/>
  <c r="W88" i="25"/>
  <c r="W87" i="38"/>
  <c r="W118" i="25"/>
  <c r="W32" i="37"/>
  <c r="W115" i="31"/>
  <c r="W99" i="25"/>
  <c r="W114" i="36"/>
  <c r="W85" i="36"/>
  <c r="W42" i="35"/>
  <c r="W66" i="35"/>
  <c r="W51" i="38"/>
  <c r="W4" i="32"/>
  <c r="W16" i="35"/>
  <c r="W115" i="30"/>
  <c r="W116" i="31"/>
  <c r="W43" i="31"/>
  <c r="W30" i="27"/>
  <c r="W41" i="25"/>
  <c r="W82" i="33"/>
  <c r="W129" i="33"/>
  <c r="W96" i="25"/>
  <c r="W92" i="36"/>
  <c r="W43" i="32"/>
  <c r="W94" i="29"/>
  <c r="W6" i="27"/>
  <c r="W82" i="27"/>
  <c r="W63" i="28"/>
  <c r="W108" i="26"/>
  <c r="W70" i="27"/>
  <c r="W97" i="28"/>
  <c r="W63" i="38"/>
  <c r="W73" i="25"/>
  <c r="W19" i="33"/>
  <c r="W109" i="25"/>
  <c r="W58" i="37"/>
  <c r="W71" i="33"/>
  <c r="W69" i="29"/>
  <c r="W16" i="36"/>
  <c r="W71" i="34"/>
  <c r="W134" i="34"/>
  <c r="W98" i="25"/>
  <c r="W52" i="33"/>
  <c r="W42" i="37"/>
  <c r="W103" i="25"/>
  <c r="W111" i="34"/>
  <c r="W103" i="3"/>
  <c r="W5" i="38"/>
  <c r="W105" i="25"/>
  <c r="W146" i="31"/>
  <c r="W23" i="36"/>
  <c r="W108" i="37"/>
  <c r="W9" i="32"/>
  <c r="W87" i="27"/>
  <c r="W25" i="26"/>
  <c r="W118" i="26"/>
  <c r="W128" i="27"/>
  <c r="W128" i="30"/>
  <c r="W104" i="30"/>
  <c r="W10" i="31"/>
  <c r="W17" i="31"/>
  <c r="W10" i="26"/>
  <c r="W76" i="27"/>
  <c r="W117" i="26"/>
  <c r="W87" i="26"/>
  <c r="W10" i="30"/>
  <c r="W115" i="34"/>
  <c r="W18" i="36"/>
  <c r="W146" i="26"/>
  <c r="W86" i="26"/>
  <c r="W41" i="26"/>
  <c r="W88" i="3"/>
  <c r="W56" i="30"/>
  <c r="W25" i="37"/>
  <c r="W54" i="37"/>
  <c r="P30" i="24"/>
  <c r="W68" i="27"/>
  <c r="W34" i="26"/>
  <c r="W132" i="3"/>
  <c r="W74" i="31"/>
  <c r="W92" i="26"/>
  <c r="W5" i="3"/>
  <c r="W43" i="36"/>
  <c r="W86" i="38"/>
  <c r="W4" i="37"/>
  <c r="W95" i="32"/>
  <c r="W112" i="30"/>
  <c r="P54" i="24"/>
  <c r="W98" i="29"/>
  <c r="W20" i="25"/>
  <c r="W115" i="26"/>
  <c r="W30" i="26"/>
  <c r="W18" i="26"/>
  <c r="W71" i="28"/>
  <c r="W149" i="31"/>
  <c r="W31" i="30"/>
  <c r="W118" i="28"/>
  <c r="P16" i="24"/>
  <c r="W69" i="31"/>
  <c r="W104" i="3"/>
  <c r="W17" i="28"/>
  <c r="W107" i="30"/>
  <c r="W34" i="31"/>
  <c r="W36" i="28"/>
  <c r="W6" i="38"/>
  <c r="W51" i="30"/>
  <c r="W78" i="25"/>
  <c r="W44" i="34"/>
  <c r="W73" i="30"/>
  <c r="W21" i="3"/>
  <c r="W92" i="28"/>
  <c r="W113" i="36"/>
  <c r="W133" i="29"/>
  <c r="W81" i="30"/>
  <c r="W97" i="27"/>
  <c r="W71" i="27"/>
  <c r="W18" i="27"/>
  <c r="W97" i="32"/>
  <c r="W15" i="29"/>
  <c r="W120" i="29"/>
  <c r="W93" i="27"/>
  <c r="W130" i="26"/>
  <c r="W42" i="3"/>
  <c r="W10" i="28"/>
  <c r="W54" i="30"/>
  <c r="W85" i="33"/>
  <c r="W53" i="3"/>
  <c r="W149" i="26"/>
  <c r="W64" i="29"/>
  <c r="W86" i="29"/>
  <c r="W52" i="3"/>
  <c r="W53" i="27"/>
  <c r="W30" i="28"/>
  <c r="W141" i="26"/>
  <c r="W15" i="28"/>
  <c r="W93" i="34"/>
  <c r="W29" i="27"/>
  <c r="P41" i="24"/>
  <c r="P38" i="24"/>
  <c r="W21" i="27"/>
  <c r="W117" i="28"/>
  <c r="W58" i="30"/>
  <c r="W101" i="28"/>
  <c r="W23" i="30"/>
  <c r="W127" i="26"/>
  <c r="W144" i="26"/>
  <c r="W72" i="28"/>
  <c r="W50" i="26"/>
  <c r="W7" i="31"/>
  <c r="W80" i="32"/>
  <c r="W84" i="26"/>
  <c r="W134" i="26"/>
  <c r="W47" i="29"/>
  <c r="W65" i="31"/>
  <c r="W89" i="36"/>
  <c r="Q27" i="24"/>
  <c r="W60" i="27"/>
  <c r="W27" i="31"/>
  <c r="W30" i="32"/>
  <c r="W28" i="31"/>
  <c r="W118" i="3"/>
  <c r="W136" i="31"/>
  <c r="W36" i="25"/>
  <c r="W15" i="33"/>
  <c r="W8" i="25"/>
  <c r="W101" i="32"/>
  <c r="W109" i="28"/>
  <c r="W13" i="25"/>
  <c r="W122" i="28"/>
  <c r="W6" i="25"/>
  <c r="W86" i="33"/>
  <c r="W59" i="29"/>
  <c r="W89" i="3"/>
  <c r="P53" i="24"/>
  <c r="W23" i="33"/>
  <c r="W75" i="27"/>
  <c r="W70" i="25"/>
  <c r="Q6" i="24"/>
  <c r="W65" i="3"/>
  <c r="W39" i="33"/>
  <c r="W65" i="26"/>
  <c r="W24" i="31"/>
  <c r="W88" i="27"/>
  <c r="W33" i="26"/>
  <c r="W80" i="27"/>
  <c r="W27" i="28"/>
  <c r="W23" i="3"/>
  <c r="W9" i="31"/>
  <c r="W5" i="35"/>
  <c r="W49" i="33"/>
  <c r="W12" i="35"/>
  <c r="W91" i="33"/>
  <c r="W45" i="37"/>
  <c r="W100" i="26"/>
  <c r="W5" i="27"/>
  <c r="W53" i="31"/>
  <c r="W112" i="28"/>
  <c r="W69" i="34"/>
  <c r="W108" i="29"/>
  <c r="W89" i="26"/>
  <c r="W76" i="33"/>
  <c r="W51" i="31"/>
  <c r="W126" i="28"/>
  <c r="W27" i="33"/>
  <c r="W23" i="31"/>
  <c r="W93" i="29"/>
  <c r="W76" i="30"/>
  <c r="W142" i="31"/>
  <c r="W38" i="31"/>
  <c r="W47" i="33"/>
  <c r="W28" i="25"/>
  <c r="W110" i="27"/>
  <c r="W117" i="29"/>
  <c r="W52" i="29"/>
  <c r="W98" i="26"/>
  <c r="W4" i="31"/>
  <c r="W40" i="38"/>
  <c r="W95" i="30"/>
  <c r="W32" i="34"/>
  <c r="W17" i="29"/>
  <c r="W98" i="3"/>
  <c r="W58" i="32"/>
  <c r="W26" i="34"/>
  <c r="W64" i="31"/>
  <c r="W48" i="36"/>
  <c r="W53" i="34"/>
  <c r="W134" i="38"/>
  <c r="W72" i="34"/>
  <c r="W50" i="25"/>
  <c r="W25" i="38"/>
  <c r="W116" i="29"/>
  <c r="W22" i="36"/>
  <c r="W101" i="36"/>
  <c r="W99" i="36"/>
  <c r="W78" i="33"/>
  <c r="W132" i="29"/>
  <c r="W51" i="28"/>
  <c r="W7" i="30"/>
  <c r="W143" i="26"/>
  <c r="W104" i="28"/>
  <c r="W84" i="37"/>
  <c r="W27" i="34"/>
  <c r="W90" i="35"/>
  <c r="W115" i="28"/>
  <c r="W67" i="27"/>
  <c r="W75" i="29"/>
  <c r="W138" i="26"/>
  <c r="W40" i="26"/>
  <c r="W143" i="31"/>
  <c r="W37" i="3"/>
  <c r="W41" i="3"/>
  <c r="W16" i="3"/>
  <c r="W134" i="27"/>
  <c r="W4" i="3"/>
  <c r="W129" i="3"/>
  <c r="W83" i="28"/>
  <c r="W88" i="31"/>
  <c r="W122" i="30"/>
  <c r="W124" i="26"/>
  <c r="W62" i="27"/>
  <c r="P22" i="24"/>
  <c r="W91" i="26"/>
  <c r="P29" i="24"/>
  <c r="W105" i="3"/>
  <c r="W102" i="32"/>
  <c r="W39" i="27"/>
  <c r="W82" i="34"/>
  <c r="W17" i="25"/>
  <c r="W55" i="26"/>
  <c r="W128" i="26"/>
  <c r="W25" i="29"/>
  <c r="W128" i="28"/>
  <c r="W12" i="26"/>
  <c r="W90" i="30"/>
  <c r="W45" i="33"/>
  <c r="W116" i="35"/>
  <c r="W69" i="38"/>
  <c r="W23" i="26"/>
  <c r="W120" i="3"/>
  <c r="W14" i="3"/>
  <c r="W94" i="27"/>
  <c r="W102" i="34"/>
  <c r="W50" i="28"/>
  <c r="W18" i="28"/>
  <c r="W148" i="26"/>
  <c r="W8" i="3"/>
  <c r="W130" i="29"/>
  <c r="W84" i="25"/>
  <c r="W18" i="31"/>
  <c r="W64" i="25"/>
  <c r="P36" i="24"/>
  <c r="W12" i="32"/>
  <c r="W57" i="31"/>
  <c r="W51" i="32"/>
  <c r="W10" i="37"/>
  <c r="W112" i="3"/>
  <c r="W32" i="31"/>
  <c r="W51" i="29"/>
  <c r="W40" i="35"/>
  <c r="W156" i="31"/>
  <c r="W124" i="3"/>
  <c r="W77" i="3"/>
  <c r="W66" i="3"/>
  <c r="W121" i="27"/>
  <c r="W75" i="37"/>
  <c r="W109" i="35"/>
  <c r="W32" i="25"/>
  <c r="W31" i="28"/>
  <c r="W95" i="26"/>
  <c r="W24" i="32"/>
  <c r="W50" i="30"/>
  <c r="Q41" i="24"/>
  <c r="W61" i="30"/>
  <c r="W29" i="31"/>
  <c r="W60" i="29"/>
  <c r="W72" i="27"/>
  <c r="W123" i="27"/>
  <c r="W91" i="32"/>
  <c r="W127" i="30"/>
  <c r="W14" i="32"/>
  <c r="W91" i="30"/>
  <c r="W40" i="27"/>
  <c r="W124" i="31"/>
  <c r="W60" i="31"/>
  <c r="W32" i="30"/>
  <c r="W63" i="37"/>
  <c r="W96" i="31"/>
  <c r="W33" i="27"/>
  <c r="Q10" i="24"/>
  <c r="W97" i="25"/>
  <c r="W56" i="3"/>
  <c r="W37" i="28"/>
  <c r="W78" i="26"/>
  <c r="W103" i="31"/>
  <c r="W38" i="32"/>
  <c r="W89" i="30"/>
  <c r="W34" i="30"/>
  <c r="Q33" i="24"/>
  <c r="W69" i="28"/>
  <c r="W126" i="30"/>
  <c r="W72" i="33"/>
  <c r="W103" i="26"/>
  <c r="W72" i="3"/>
  <c r="W108" i="25"/>
  <c r="W63" i="27"/>
  <c r="W82" i="26"/>
  <c r="W86" i="30"/>
  <c r="W103" i="27"/>
  <c r="W81" i="28"/>
  <c r="Q37" i="24"/>
  <c r="Q36" i="24"/>
  <c r="W128" i="35"/>
  <c r="W86" i="3"/>
  <c r="W96" i="3"/>
  <c r="W26" i="26"/>
  <c r="W37" i="38"/>
  <c r="W93" i="33"/>
  <c r="W96" i="36"/>
  <c r="W86" i="35"/>
  <c r="Q7" i="24"/>
  <c r="W83" i="3"/>
  <c r="W92" i="25"/>
  <c r="W110" i="32"/>
  <c r="W20" i="26"/>
  <c r="W104" i="27"/>
  <c r="W54" i="25"/>
  <c r="W2" i="26"/>
  <c r="W106" i="3"/>
  <c r="P51" i="24"/>
  <c r="W107" i="26"/>
  <c r="W24" i="26"/>
  <c r="Q43" i="24"/>
  <c r="W4" i="28"/>
  <c r="W56" i="28"/>
  <c r="W29" i="28"/>
  <c r="W133" i="38"/>
  <c r="W57" i="37"/>
  <c r="W114" i="34"/>
  <c r="W131" i="35"/>
  <c r="W4" i="36"/>
  <c r="W33" i="29"/>
  <c r="W57" i="36"/>
  <c r="W27" i="37"/>
  <c r="W131" i="34"/>
  <c r="W44" i="32"/>
  <c r="W46" i="37"/>
  <c r="W11" i="36"/>
  <c r="W38" i="34"/>
  <c r="W123" i="37"/>
  <c r="W80" i="38"/>
  <c r="W133" i="3"/>
  <c r="W92" i="31"/>
  <c r="W77" i="31"/>
  <c r="W137" i="26"/>
  <c r="W4" i="27"/>
  <c r="W77" i="30"/>
  <c r="W118" i="31"/>
  <c r="W55" i="27"/>
  <c r="W23" i="28"/>
  <c r="P24" i="24"/>
  <c r="W37" i="27"/>
  <c r="P37" i="24"/>
  <c r="W96" i="26"/>
  <c r="W26" i="30"/>
  <c r="W90" i="27"/>
  <c r="W11" i="34"/>
  <c r="W44" i="33"/>
  <c r="W41" i="28"/>
  <c r="W55" i="28"/>
  <c r="P59" i="24"/>
  <c r="W82" i="25"/>
  <c r="W56" i="32"/>
  <c r="W124" i="29"/>
  <c r="W121" i="31"/>
  <c r="Q9" i="24"/>
  <c r="W62" i="29"/>
  <c r="W13" i="28"/>
  <c r="W29" i="26"/>
  <c r="W68" i="31"/>
  <c r="W44" i="3"/>
  <c r="W57" i="33"/>
  <c r="W46" i="26"/>
  <c r="W122" i="26"/>
  <c r="P19" i="24"/>
  <c r="W110" i="29"/>
  <c r="W70" i="31"/>
  <c r="W70" i="28"/>
  <c r="W79" i="32"/>
  <c r="W48" i="33"/>
  <c r="W101" i="35"/>
  <c r="W63" i="31"/>
  <c r="W44" i="26"/>
  <c r="W16" i="26"/>
  <c r="W119" i="3"/>
  <c r="W28" i="3"/>
  <c r="W82" i="29"/>
  <c r="W130" i="35"/>
  <c r="W75" i="36"/>
  <c r="Q23" i="24"/>
  <c r="W147" i="26"/>
  <c r="W54" i="3"/>
  <c r="W43" i="29"/>
  <c r="W142" i="26"/>
  <c r="W40" i="32"/>
  <c r="W124" i="32"/>
  <c r="W135" i="26"/>
  <c r="W2" i="28"/>
  <c r="W2" i="37"/>
  <c r="W117" i="32"/>
  <c r="P26" i="24"/>
  <c r="W75" i="3"/>
  <c r="W49" i="30"/>
  <c r="W2" i="30"/>
  <c r="W6" i="26"/>
  <c r="W35" i="26"/>
  <c r="P9" i="24"/>
  <c r="W43" i="3"/>
  <c r="P34" i="24"/>
  <c r="W67" i="34"/>
  <c r="W74" i="33"/>
  <c r="W51" i="26"/>
  <c r="W8" i="30"/>
  <c r="W82" i="30"/>
  <c r="W94" i="3"/>
  <c r="W11" i="29"/>
  <c r="W123" i="36"/>
  <c r="W22" i="31"/>
  <c r="W92" i="27"/>
  <c r="W37" i="30"/>
  <c r="W63" i="26"/>
  <c r="W78" i="3"/>
  <c r="W26" i="29"/>
  <c r="W33" i="33"/>
  <c r="W82" i="28"/>
  <c r="W130" i="32"/>
  <c r="W31" i="32"/>
  <c r="W97" i="3"/>
  <c r="W41" i="35"/>
  <c r="W13" i="3"/>
  <c r="W85" i="29"/>
  <c r="W116" i="26"/>
  <c r="W112" i="27"/>
  <c r="W49" i="31"/>
  <c r="W9" i="27"/>
  <c r="P10" i="24"/>
  <c r="W17" i="32"/>
  <c r="W132" i="28"/>
  <c r="W108" i="33"/>
  <c r="W10" i="29"/>
  <c r="W85" i="37"/>
  <c r="W20" i="3"/>
  <c r="W98" i="34"/>
  <c r="W45" i="30"/>
  <c r="W76" i="38"/>
  <c r="W21" i="26"/>
  <c r="W136" i="26"/>
  <c r="P18" i="24"/>
  <c r="W101" i="3"/>
  <c r="Q34" i="24"/>
  <c r="W91" i="28"/>
  <c r="W139" i="26"/>
  <c r="W26" i="31"/>
  <c r="P47" i="24"/>
  <c r="W15" i="25"/>
  <c r="W4" i="38"/>
  <c r="W58" i="26"/>
  <c r="Q38" i="24"/>
  <c r="W106" i="31"/>
  <c r="W126" i="27"/>
  <c r="W31" i="31"/>
  <c r="W32" i="29"/>
  <c r="W47" i="26"/>
  <c r="W64" i="26"/>
  <c r="W11" i="28"/>
  <c r="W96" i="27"/>
  <c r="W15" i="32"/>
  <c r="W76" i="3"/>
  <c r="W72" i="26"/>
  <c r="P15" i="24"/>
  <c r="W19" i="3"/>
  <c r="Q28" i="24"/>
  <c r="W116" i="27"/>
  <c r="W27" i="3"/>
  <c r="W104" i="31"/>
  <c r="W61" i="3"/>
  <c r="W37" i="29"/>
  <c r="W2" i="38"/>
  <c r="W119" i="26"/>
  <c r="W128" i="25"/>
  <c r="W153" i="31"/>
  <c r="W32" i="28"/>
  <c r="W108" i="31"/>
  <c r="W37" i="26"/>
  <c r="W101" i="37"/>
  <c r="W66" i="37"/>
  <c r="W98" i="32"/>
  <c r="W36" i="30"/>
  <c r="W111" i="26"/>
  <c r="W26" i="3"/>
  <c r="W120" i="32"/>
  <c r="W39" i="31"/>
  <c r="W29" i="34"/>
  <c r="Q20" i="24"/>
  <c r="W44" i="29"/>
  <c r="Q4" i="24"/>
  <c r="W144" i="31"/>
  <c r="W131" i="31"/>
  <c r="W109" i="27"/>
  <c r="W2" i="31"/>
  <c r="W71" i="29"/>
  <c r="W39" i="26"/>
  <c r="W49" i="29"/>
  <c r="W6" i="3"/>
  <c r="W6" i="29"/>
  <c r="W20" i="38"/>
  <c r="W28" i="32"/>
  <c r="W57" i="27"/>
  <c r="W13" i="37"/>
  <c r="W36" i="32"/>
  <c r="W132" i="26"/>
  <c r="W43" i="30"/>
  <c r="W45" i="27"/>
  <c r="W9" i="38"/>
  <c r="W7" i="27"/>
  <c r="W59" i="26"/>
  <c r="W90" i="26"/>
  <c r="W38" i="27"/>
  <c r="W17" i="37"/>
  <c r="W43" i="38"/>
  <c r="W120" i="35"/>
  <c r="W100" i="38"/>
  <c r="W112" i="25"/>
  <c r="W126" i="34"/>
  <c r="W93" i="38"/>
  <c r="W129" i="38"/>
  <c r="W52" i="30"/>
  <c r="W36" i="37"/>
  <c r="W122" i="36"/>
  <c r="W15" i="36"/>
  <c r="W134" i="37"/>
  <c r="W89" i="28"/>
  <c r="W90" i="3"/>
  <c r="W87" i="25"/>
  <c r="P7" i="24"/>
  <c r="W68" i="28"/>
  <c r="W66" i="30"/>
  <c r="W160" i="31"/>
  <c r="W119" i="32"/>
  <c r="W120" i="31"/>
  <c r="W54" i="32"/>
  <c r="Q14" i="24"/>
  <c r="W90" i="31"/>
  <c r="W16" i="28"/>
  <c r="W110" i="26"/>
  <c r="W27" i="36"/>
  <c r="W127" i="27"/>
  <c r="W99" i="28"/>
  <c r="W120" i="26"/>
  <c r="P50" i="24"/>
  <c r="W65" i="33"/>
  <c r="W66" i="26"/>
  <c r="W106" i="29"/>
  <c r="W64" i="34"/>
  <c r="W45" i="3"/>
  <c r="P57" i="24"/>
  <c r="W35" i="31"/>
  <c r="W24" i="30"/>
  <c r="W93" i="35"/>
  <c r="W75" i="26"/>
  <c r="W105" i="31"/>
  <c r="W22" i="26"/>
  <c r="W125" i="27"/>
  <c r="W46" i="3"/>
  <c r="W97" i="29"/>
  <c r="W58" i="28"/>
  <c r="W17" i="27"/>
  <c r="W19" i="27"/>
  <c r="W11" i="27"/>
  <c r="W17" i="26"/>
  <c r="W99" i="29"/>
  <c r="W21" i="34"/>
  <c r="W61" i="25"/>
  <c r="W97" i="26"/>
  <c r="P14" i="24"/>
  <c r="W15" i="26"/>
  <c r="P6" i="24"/>
  <c r="P60" i="24"/>
  <c r="W102" i="28"/>
  <c r="W126" i="26"/>
  <c r="W114" i="35"/>
  <c r="W99" i="31"/>
  <c r="W126" i="3"/>
  <c r="W70" i="26"/>
  <c r="W78" i="28"/>
  <c r="W33" i="28"/>
  <c r="W80" i="26"/>
  <c r="W60" i="28"/>
  <c r="W87" i="28"/>
  <c r="W22" i="3"/>
  <c r="W49" i="26"/>
  <c r="W89" i="32"/>
  <c r="W52" i="27"/>
  <c r="W78" i="32"/>
  <c r="W82" i="31"/>
  <c r="W84" i="27"/>
  <c r="W106" i="27"/>
  <c r="W19" i="28"/>
  <c r="W49" i="27"/>
  <c r="W8" i="28"/>
  <c r="W33" i="3"/>
  <c r="W22" i="28"/>
  <c r="W58" i="3"/>
  <c r="W81" i="31"/>
  <c r="W25" i="3"/>
  <c r="W57" i="3"/>
  <c r="P32" i="24"/>
  <c r="P56" i="24"/>
  <c r="W31" i="26"/>
  <c r="W5" i="33"/>
  <c r="W69" i="26"/>
  <c r="W118" i="30"/>
  <c r="W67" i="31"/>
  <c r="W113" i="31"/>
  <c r="W100" i="36"/>
  <c r="W114" i="30"/>
  <c r="W55" i="29"/>
  <c r="W17" i="3"/>
  <c r="W114" i="27"/>
  <c r="W87" i="33"/>
  <c r="W66" i="27"/>
  <c r="W12" i="3"/>
  <c r="W72" i="29"/>
  <c r="W21" i="32"/>
  <c r="W51" i="3"/>
  <c r="W129" i="26"/>
  <c r="Q42" i="24"/>
  <c r="W93" i="28"/>
  <c r="W107" i="35"/>
  <c r="W42" i="30"/>
  <c r="W71" i="31"/>
  <c r="W79" i="28"/>
  <c r="W69" i="27"/>
  <c r="W29" i="30"/>
  <c r="W145" i="26"/>
  <c r="W34" i="35"/>
  <c r="W24" i="28"/>
  <c r="W99" i="30"/>
  <c r="W67" i="28"/>
  <c r="W85" i="3"/>
  <c r="W57" i="38"/>
  <c r="W137" i="31"/>
  <c r="W106" i="32"/>
  <c r="Q18" i="24"/>
  <c r="W61" i="26"/>
  <c r="W64" i="3"/>
  <c r="W28" i="26"/>
  <c r="W128" i="3"/>
  <c r="W52" i="31"/>
  <c r="W80" i="35"/>
  <c r="W131" i="33"/>
  <c r="W104" i="25"/>
  <c r="W151" i="31"/>
  <c r="W86" i="28"/>
  <c r="W84" i="28"/>
  <c r="W47" i="28"/>
  <c r="W81" i="25"/>
  <c r="W133" i="31"/>
  <c r="W74" i="27"/>
  <c r="W37" i="32"/>
  <c r="W52" i="38"/>
  <c r="W14" i="31"/>
  <c r="W57" i="26"/>
  <c r="W104" i="34"/>
  <c r="W22" i="34"/>
  <c r="W123" i="32"/>
  <c r="W86" i="37"/>
  <c r="W84" i="38"/>
  <c r="W28" i="38"/>
  <c r="W119" i="28"/>
  <c r="W103" i="33"/>
  <c r="W39" i="36"/>
  <c r="W120" i="30"/>
  <c r="W28" i="35"/>
  <c r="W67" i="32"/>
  <c r="W46" i="33"/>
  <c r="W75" i="32"/>
  <c r="W34" i="28"/>
  <c r="W86" i="31"/>
  <c r="W134" i="29"/>
  <c r="W43" i="35"/>
  <c r="W92" i="3"/>
  <c r="W54" i="33"/>
  <c r="W120" i="36"/>
  <c r="W108" i="3"/>
  <c r="W60" i="3"/>
  <c r="W21" i="31"/>
  <c r="P49" i="24"/>
  <c r="W128" i="37"/>
  <c r="W12" i="27"/>
  <c r="W80" i="33"/>
  <c r="W120" i="27"/>
  <c r="W28" i="29"/>
  <c r="W25" i="27"/>
  <c r="W59" i="28"/>
  <c r="W39" i="30"/>
  <c r="W78" i="35"/>
  <c r="W66" i="32"/>
  <c r="W68" i="30"/>
  <c r="W88" i="26"/>
  <c r="W125" i="26"/>
  <c r="W11" i="31"/>
  <c r="W76" i="26"/>
  <c r="W23" i="25"/>
  <c r="W35" i="28"/>
  <c r="W26" i="33"/>
  <c r="W39" i="3"/>
  <c r="W91" i="27"/>
  <c r="P20" i="24"/>
  <c r="W101" i="31"/>
  <c r="W139" i="31"/>
  <c r="Q22" i="24"/>
  <c r="W73" i="26"/>
  <c r="W86" i="27"/>
  <c r="W108" i="27"/>
  <c r="W102" i="30"/>
  <c r="W38" i="30"/>
  <c r="W68" i="26"/>
  <c r="W92" i="29"/>
  <c r="W53" i="28"/>
  <c r="W99" i="27"/>
  <c r="W65" i="28"/>
  <c r="W110" i="3"/>
  <c r="W76" i="29"/>
  <c r="W47" i="27"/>
  <c r="W93" i="32"/>
  <c r="W107" i="3"/>
  <c r="W53" i="26"/>
  <c r="P25" i="24"/>
  <c r="W104" i="26"/>
  <c r="W9" i="28"/>
  <c r="W49" i="3"/>
  <c r="W7" i="28"/>
  <c r="W85" i="31"/>
  <c r="W51" i="27"/>
  <c r="W97" i="30"/>
  <c r="W31" i="25"/>
  <c r="W121" i="32"/>
  <c r="W23" i="29"/>
  <c r="W66" i="25"/>
  <c r="W67" i="25"/>
  <c r="W65" i="25"/>
  <c r="W13" i="31"/>
  <c r="W98" i="31"/>
  <c r="W5" i="25"/>
  <c r="W31" i="3"/>
  <c r="W105" i="27"/>
  <c r="W46" i="27"/>
  <c r="W81" i="26"/>
  <c r="W123" i="26"/>
  <c r="W56" i="27"/>
  <c r="W161" i="31"/>
  <c r="W59" i="30"/>
  <c r="W85" i="26"/>
  <c r="P31" i="24"/>
  <c r="W56" i="26"/>
  <c r="W109" i="30"/>
  <c r="W39" i="32"/>
  <c r="W90" i="25"/>
  <c r="W49" i="34"/>
  <c r="W9" i="33"/>
  <c r="W148" i="31"/>
  <c r="W154" i="31"/>
  <c r="W24" i="29"/>
  <c r="W33" i="32"/>
  <c r="W116" i="3"/>
  <c r="W131" i="38"/>
  <c r="P48" i="24"/>
  <c r="W15" i="3"/>
  <c r="W5" i="28"/>
  <c r="Q11" i="24"/>
  <c r="W11" i="26"/>
  <c r="W129" i="30"/>
  <c r="W132" i="34"/>
  <c r="W39" i="38"/>
  <c r="W71" i="25"/>
  <c r="W82" i="32"/>
  <c r="W48" i="26"/>
  <c r="W46" i="30"/>
  <c r="W27" i="29"/>
  <c r="W105" i="37"/>
  <c r="W56" i="37"/>
  <c r="W4" i="25"/>
  <c r="W8" i="31"/>
  <c r="W79" i="27"/>
  <c r="W80" i="31"/>
  <c r="W14" i="27"/>
  <c r="Q13" i="24"/>
  <c r="W21" i="28"/>
  <c r="W45" i="26"/>
  <c r="W36" i="31"/>
  <c r="W5" i="26"/>
  <c r="W111" i="32"/>
  <c r="W99" i="26"/>
  <c r="W63" i="30"/>
  <c r="W115" i="25"/>
  <c r="W78" i="37"/>
  <c r="W76" i="28"/>
  <c r="W65" i="36"/>
  <c r="W54" i="31"/>
  <c r="W7" i="36"/>
  <c r="W83" i="26"/>
  <c r="W111" i="36"/>
  <c r="W35" i="25"/>
  <c r="W113" i="25"/>
  <c r="W30" i="31"/>
  <c r="W27" i="27"/>
  <c r="W115" i="38"/>
  <c r="W109" i="26"/>
  <c r="W66" i="28"/>
  <c r="W40" i="33"/>
  <c r="W2" i="33"/>
  <c r="W58" i="29"/>
  <c r="W64" i="32"/>
  <c r="W152" i="31"/>
  <c r="W27" i="32"/>
  <c r="W43" i="27"/>
  <c r="W101" i="34"/>
  <c r="W106" i="37"/>
  <c r="W56" i="38"/>
  <c r="W55" i="3"/>
  <c r="W100" i="30"/>
  <c r="W31" i="27"/>
  <c r="W42" i="27"/>
  <c r="W117" i="38"/>
  <c r="W108" i="32"/>
  <c r="W64" i="27"/>
  <c r="W35" i="3"/>
  <c r="W18" i="25"/>
  <c r="W29" i="25"/>
  <c r="W22" i="27"/>
  <c r="W37" i="31"/>
  <c r="W81" i="3"/>
  <c r="W80" i="3"/>
  <c r="W67" i="3"/>
  <c r="P42" i="24"/>
  <c r="W78" i="29"/>
  <c r="P28" i="24"/>
  <c r="W22" i="38"/>
  <c r="W48" i="30"/>
  <c r="W150" i="26"/>
  <c r="P13" i="24"/>
  <c r="W111" i="35"/>
  <c r="W74" i="3"/>
  <c r="W35" i="27"/>
  <c r="P12" i="24"/>
  <c r="W107" i="29"/>
  <c r="W105" i="28"/>
  <c r="W58" i="36"/>
  <c r="W123" i="28"/>
  <c r="W5" i="30"/>
  <c r="W29" i="3"/>
  <c r="W45" i="25"/>
  <c r="W131" i="29"/>
  <c r="W71" i="37"/>
  <c r="W46" i="28"/>
  <c r="W112" i="35"/>
  <c r="W46" i="31"/>
  <c r="W133" i="34"/>
  <c r="W110" i="25"/>
  <c r="W94" i="31"/>
  <c r="W119" i="38"/>
  <c r="W107" i="38"/>
  <c r="W122" i="37"/>
  <c r="W95" i="33"/>
  <c r="W77" i="37"/>
  <c r="W21" i="25"/>
  <c r="W68" i="29"/>
  <c r="W59" i="27"/>
  <c r="P5" i="24"/>
  <c r="W44" i="25"/>
  <c r="W62" i="37"/>
  <c r="W113" i="32"/>
  <c r="W89" i="25"/>
  <c r="W13" i="38"/>
  <c r="W55" i="32"/>
  <c r="W22" i="32"/>
  <c r="W111" i="30"/>
  <c r="W80" i="28"/>
  <c r="W61" i="33"/>
  <c r="W10" i="3"/>
  <c r="Q35" i="24"/>
  <c r="W126" i="31"/>
  <c r="W62" i="25"/>
  <c r="W118" i="27"/>
  <c r="W78" i="31"/>
  <c r="W105" i="34"/>
  <c r="W95" i="37"/>
  <c r="W88" i="28"/>
  <c r="W49" i="32"/>
  <c r="W84" i="3"/>
  <c r="W79" i="30"/>
  <c r="P46" i="24"/>
  <c r="W48" i="27"/>
  <c r="W62" i="26"/>
  <c r="W113" i="26"/>
  <c r="W49" i="28"/>
  <c r="W96" i="32"/>
  <c r="W41" i="29"/>
  <c r="W123" i="29"/>
  <c r="W77" i="27"/>
  <c r="W62" i="31"/>
  <c r="W119" i="27"/>
  <c r="W109" i="29"/>
  <c r="W115" i="3"/>
  <c r="W61" i="29"/>
  <c r="W125" i="25"/>
  <c r="W38" i="26"/>
  <c r="W79" i="26"/>
  <c r="W50" i="31"/>
  <c r="W36" i="26"/>
  <c r="W159" i="31"/>
  <c r="W85" i="27"/>
  <c r="W16" i="32"/>
  <c r="W32" i="27"/>
  <c r="W26" i="27"/>
  <c r="P33" i="24"/>
  <c r="W80" i="25"/>
  <c r="W16" i="27"/>
  <c r="W74" i="28"/>
  <c r="W89" i="29"/>
  <c r="W73" i="3"/>
  <c r="W83" i="32"/>
  <c r="W93" i="25"/>
  <c r="Q5" i="24"/>
  <c r="W65" i="27"/>
  <c r="W5" i="32"/>
  <c r="W103" i="38"/>
  <c r="W27" i="35"/>
  <c r="W60" i="32"/>
  <c r="W48" i="29"/>
  <c r="W111" i="28"/>
  <c r="W100" i="31"/>
  <c r="W107" i="27"/>
  <c r="W9" i="26"/>
  <c r="W59" i="31"/>
  <c r="W99" i="32"/>
  <c r="Q17" i="24"/>
  <c r="W133" i="26"/>
  <c r="W44" i="28"/>
  <c r="W113" i="3"/>
  <c r="W50" i="27"/>
  <c r="W68" i="3"/>
  <c r="W75" i="31"/>
  <c r="W2" i="29"/>
  <c r="W13" i="29"/>
  <c r="W134" i="3"/>
  <c r="W117" i="31"/>
  <c r="W91" i="29"/>
  <c r="W122" i="32"/>
  <c r="W34" i="33"/>
  <c r="W30" i="30"/>
  <c r="W87" i="3"/>
  <c r="W94" i="28"/>
  <c r="W119" i="37"/>
  <c r="W111" i="3"/>
  <c r="W89" i="31"/>
  <c r="W24" i="34"/>
  <c r="W140" i="31"/>
  <c r="W130" i="27"/>
  <c r="W66" i="31"/>
  <c r="W8" i="29"/>
  <c r="W95" i="29"/>
  <c r="W25" i="32"/>
  <c r="W59" i="25"/>
  <c r="W46" i="29"/>
  <c r="W12" i="38"/>
  <c r="W54" i="26"/>
  <c r="W2" i="25"/>
  <c r="W125" i="3"/>
  <c r="W81" i="29"/>
  <c r="W41" i="30"/>
  <c r="W93" i="30"/>
  <c r="W62" i="28"/>
  <c r="W7" i="26"/>
  <c r="W83" i="30"/>
  <c r="W130" i="3"/>
  <c r="Q25" i="24"/>
  <c r="W18" i="3"/>
  <c r="W14" i="30"/>
  <c r="W128" i="32"/>
  <c r="P23" i="24"/>
  <c r="W5" i="31"/>
  <c r="W52" i="28"/>
  <c r="W50" i="29"/>
  <c r="W126" i="35"/>
  <c r="W119" i="33"/>
  <c r="W7" i="25"/>
  <c r="W75" i="30"/>
  <c r="W88" i="29"/>
  <c r="W129" i="27"/>
  <c r="W100" i="3"/>
  <c r="W75" i="28"/>
  <c r="W157" i="31"/>
  <c r="W30" i="29"/>
  <c r="W42" i="31"/>
  <c r="W34" i="3"/>
  <c r="W73" i="28"/>
  <c r="W16" i="30"/>
  <c r="W103" i="28"/>
  <c r="W77" i="28"/>
  <c r="W59" i="3"/>
  <c r="W61" i="28"/>
  <c r="W7" i="3"/>
  <c r="W43" i="28"/>
  <c r="W131" i="26"/>
  <c r="W2" i="27"/>
  <c r="W133" i="35"/>
  <c r="W45" i="28"/>
  <c r="W106" i="28"/>
  <c r="W101" i="29"/>
  <c r="W48" i="31"/>
  <c r="P17" i="24"/>
  <c r="W72" i="25"/>
  <c r="W91" i="3"/>
  <c r="W54" i="28"/>
  <c r="P55" i="24"/>
  <c r="W118" i="32"/>
  <c r="W38" i="3"/>
  <c r="P35" i="24"/>
  <c r="W129" i="28"/>
  <c r="W112" i="26"/>
  <c r="W93" i="31"/>
  <c r="Q19" i="24"/>
  <c r="W121" i="3"/>
  <c r="W24" i="37"/>
  <c r="W39" i="29"/>
  <c r="W105" i="38"/>
  <c r="W91" i="31"/>
  <c r="W94" i="37"/>
  <c r="W122" i="35"/>
  <c r="W117" i="25"/>
  <c r="W103" i="34"/>
  <c r="W131" i="28"/>
  <c r="W42" i="36"/>
  <c r="W15" i="37"/>
  <c r="W113" i="35"/>
  <c r="W18" i="32"/>
  <c r="W34" i="32"/>
  <c r="Q21" i="24"/>
  <c r="W12" i="28"/>
  <c r="W114" i="28"/>
  <c r="W47" i="36"/>
  <c r="W75" i="33"/>
  <c r="W36" i="29"/>
  <c r="W74" i="25"/>
  <c r="W19" i="26"/>
  <c r="W46" i="32"/>
  <c r="W79" i="3"/>
  <c r="W122" i="27"/>
  <c r="W101" i="26"/>
  <c r="W34" i="27"/>
  <c r="W6" i="28"/>
  <c r="W30" i="33"/>
  <c r="W8" i="27"/>
  <c r="W15" i="27"/>
  <c r="W11" i="33"/>
  <c r="W44" i="38"/>
  <c r="W109" i="36"/>
  <c r="W127" i="31"/>
  <c r="W140" i="26"/>
  <c r="W28" i="28"/>
  <c r="W14" i="26"/>
  <c r="W93" i="3"/>
  <c r="W59" i="32"/>
  <c r="W40" i="29"/>
  <c r="W133" i="28"/>
  <c r="P45" i="24"/>
  <c r="W69" i="3"/>
  <c r="W72" i="31"/>
  <c r="W9" i="3"/>
  <c r="W12" i="31"/>
  <c r="W73" i="27"/>
  <c r="W58" i="38"/>
  <c r="W69" i="32"/>
  <c r="W68" i="33"/>
  <c r="W164" i="31"/>
  <c r="W13" i="30"/>
  <c r="W127" i="34"/>
  <c r="W113" i="29"/>
  <c r="W90" i="28"/>
  <c r="W108" i="28"/>
  <c r="W105" i="26"/>
  <c r="W16" i="25"/>
  <c r="W50" i="33"/>
  <c r="Q29" i="24"/>
  <c r="W102" i="27"/>
  <c r="W42" i="28"/>
  <c r="W42" i="26"/>
  <c r="W119" i="30"/>
  <c r="W14" i="28"/>
  <c r="W122" i="3"/>
  <c r="W124" i="27"/>
  <c r="W36" i="3"/>
  <c r="W36" i="33"/>
  <c r="W23" i="27"/>
  <c r="W63" i="3"/>
  <c r="W6" i="34"/>
  <c r="W52" i="36"/>
  <c r="W5" i="34"/>
  <c r="W37" i="35"/>
  <c r="W127" i="29"/>
  <c r="W38" i="25"/>
  <c r="W120" i="28"/>
  <c r="W19" i="29"/>
  <c r="W40" i="3"/>
  <c r="W48" i="3"/>
  <c r="W71" i="3"/>
  <c r="W40" i="31"/>
  <c r="W69" i="30"/>
  <c r="W41" i="32"/>
  <c r="W117" i="27"/>
  <c r="P21" i="24"/>
  <c r="W131" i="32"/>
  <c r="W83" i="25"/>
  <c r="W100" i="27"/>
  <c r="W155" i="31"/>
  <c r="W114" i="3"/>
  <c r="W13" i="27"/>
  <c r="W2" i="3"/>
  <c r="W106" i="35"/>
  <c r="W29" i="33"/>
  <c r="W124" i="30"/>
  <c r="W50" i="3"/>
  <c r="P4" i="24"/>
  <c r="W22" i="25"/>
  <c r="Q30" i="24"/>
  <c r="W123" i="31"/>
  <c r="W107" i="32"/>
  <c r="W123" i="3"/>
  <c r="W14" i="29"/>
  <c r="W109" i="3"/>
  <c r="Q39" i="24"/>
  <c r="W12" i="29"/>
  <c r="W85" i="25"/>
  <c r="W38" i="29"/>
  <c r="P44" i="24"/>
  <c r="W68" i="25"/>
  <c r="Q31" i="24"/>
  <c r="W2" i="34"/>
  <c r="Q26" i="24"/>
  <c r="W56" i="29"/>
  <c r="W130" i="31"/>
  <c r="W32" i="3"/>
  <c r="W79" i="25"/>
  <c r="W131" i="27"/>
  <c r="W49" i="25"/>
  <c r="W18" i="30"/>
  <c r="W165" i="31"/>
  <c r="W54" i="27"/>
  <c r="W19" i="25"/>
  <c r="P27" i="24"/>
  <c r="W92" i="32"/>
  <c r="Q16" i="24"/>
  <c r="W104" i="29"/>
  <c r="W132" i="27"/>
  <c r="W134" i="31"/>
  <c r="W96" i="37"/>
  <c r="W79" i="29"/>
  <c r="W53" i="30"/>
  <c r="W95" i="3"/>
  <c r="W96" i="30"/>
  <c r="Q24" i="24"/>
  <c r="W115" i="27"/>
  <c r="W40" i="30"/>
  <c r="W59" i="36"/>
  <c r="W103" i="29"/>
  <c r="W83" i="27"/>
  <c r="W95" i="31"/>
  <c r="W127" i="3"/>
  <c r="W56" i="31"/>
  <c r="W67" i="26"/>
  <c r="W89" i="27"/>
  <c r="P43" i="24"/>
  <c r="P39" i="24"/>
  <c r="W41" i="31"/>
  <c r="W114" i="26"/>
  <c r="W70" i="3"/>
  <c r="P58" i="24"/>
  <c r="W111" i="25"/>
  <c r="W44" i="31"/>
  <c r="W21" i="37"/>
  <c r="W91" i="38"/>
  <c r="W60" i="26"/>
  <c r="W123" i="30"/>
  <c r="W64" i="35"/>
  <c r="W24" i="27"/>
  <c r="W25" i="25"/>
  <c r="W106" i="30"/>
  <c r="W64" i="28"/>
  <c r="W95" i="25"/>
  <c r="W121" i="30"/>
  <c r="W131" i="3"/>
  <c r="W22" i="29"/>
  <c r="W65" i="29"/>
  <c r="W4" i="26"/>
  <c r="W83" i="31"/>
  <c r="W32" i="26"/>
  <c r="W41" i="27"/>
  <c r="W94" i="26"/>
  <c r="W38" i="28"/>
  <c r="W12" i="30"/>
  <c r="W102" i="26"/>
  <c r="W82" i="3"/>
  <c r="W26" i="25"/>
  <c r="W129" i="29"/>
  <c r="W45" i="32"/>
  <c r="W74" i="26"/>
  <c r="W100" i="32"/>
  <c r="W103" i="30"/>
  <c r="W77" i="26"/>
  <c r="W130" i="30"/>
  <c r="W106" i="26"/>
  <c r="P40" i="24"/>
  <c r="L10" i="24"/>
  <c r="L6" i="24"/>
</calcChain>
</file>

<file path=xl/sharedStrings.xml><?xml version="1.0" encoding="utf-8"?>
<sst xmlns="http://schemas.openxmlformats.org/spreadsheetml/2006/main" count="5614" uniqueCount="2077">
  <si>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</si>
  <si>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</si>
  <si>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</si>
  <si>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</si>
  <si>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</si>
  <si>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</si>
  <si>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</si>
  <si>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</si>
  <si>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</si>
  <si>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</si>
  <si>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</si>
  <si>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</si>
  <si>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</si>
  <si>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</si>
  <si>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</si>
  <si>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</si>
  <si>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</si>
  <si>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</si>
  <si>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</si>
  <si>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</si>
  <si>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</si>
  <si>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</si>
  <si>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</si>
  <si>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</si>
  <si>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</si>
  <si>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</si>
  <si>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</si>
  <si>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</si>
  <si>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</si>
  <si>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</si>
  <si>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</si>
  <si>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</si>
  <si>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</si>
  <si>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</si>
  <si>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</si>
  <si>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</si>
  <si>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</si>
  <si>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</si>
  <si>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</si>
  <si>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</si>
  <si>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</si>
  <si>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</si>
  <si>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</si>
  <si>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</si>
  <si>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</si>
  <si>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</si>
  <si>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</si>
  <si>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</si>
  <si>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</si>
  <si>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</si>
  <si>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</si>
  <si>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</si>
  <si>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</si>
  <si>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</si>
  <si>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</si>
  <si>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</si>
  <si>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</si>
  <si>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</si>
  <si>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</si>
  <si>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</si>
  <si>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</si>
  <si>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</si>
  <si>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</si>
  <si>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</si>
  <si>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</si>
  <si>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</si>
  <si>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</si>
  <si>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</si>
  <si>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</si>
  <si>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</si>
  <si>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</si>
  <si>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</si>
  <si>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</si>
  <si>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</si>
  <si>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</si>
  <si>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</si>
  <si>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</si>
  <si>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</si>
  <si>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</si>
  <si>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</si>
  <si>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</si>
  <si>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</si>
  <si>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</si>
  <si>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</si>
  <si>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</si>
  <si>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</si>
  <si>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</si>
  <si>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</si>
  <si>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</si>
  <si>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</si>
  <si>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</si>
  <si>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</si>
  <si>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</si>
  <si>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</si>
  <si>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</si>
  <si>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</si>
  <si>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</si>
  <si>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</si>
  <si>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</si>
  <si>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</si>
  <si>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</si>
  <si>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</si>
  <si>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</si>
  <si>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</si>
  <si>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</si>
  <si>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</si>
  <si>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</si>
  <si>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</si>
  <si>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</si>
  <si>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</si>
  <si>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</si>
  <si>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</si>
  <si>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</si>
  <si>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</si>
  <si>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</si>
  <si>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</si>
  <si>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</si>
  <si>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</si>
  <si>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</si>
  <si>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</si>
  <si>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</si>
  <si>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</si>
  <si>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</si>
  <si>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</si>
  <si>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</si>
  <si>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</si>
  <si>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</si>
  <si>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</si>
  <si>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</si>
  <si>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</si>
  <si>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</si>
  <si>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</si>
  <si>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</si>
  <si>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</si>
  <si>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</si>
  <si>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</si>
  <si>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</si>
  <si>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</si>
  <si>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</si>
  <si>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</si>
  <si>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</si>
  <si>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</si>
  <si>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</si>
  <si>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</si>
  <si>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</si>
  <si>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</si>
  <si>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</si>
  <si>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</si>
  <si>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</si>
  <si>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</si>
  <si>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</si>
  <si>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</si>
  <si>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</si>
  <si>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</si>
  <si>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</si>
  <si>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</si>
  <si>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</si>
  <si>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</si>
  <si>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</si>
  <si>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</si>
  <si>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</si>
  <si>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</si>
  <si>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</si>
  <si>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</si>
  <si>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</si>
  <si>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</si>
  <si>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</si>
  <si>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</si>
  <si>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</si>
  <si>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</si>
  <si>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</si>
  <si>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</si>
  <si>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</si>
  <si>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</si>
  <si>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</si>
  <si>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</si>
  <si>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</si>
  <si>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</si>
  <si>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</si>
  <si>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</si>
  <si>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</si>
  <si>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</si>
  <si>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</si>
  <si>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</si>
  <si>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</si>
  <si>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</si>
  <si>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</si>
  <si>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</si>
  <si>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</si>
  <si>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</si>
  <si>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</si>
  <si>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</si>
  <si>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</si>
  <si>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</si>
  <si>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</si>
  <si>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</si>
  <si>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</si>
  <si>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</si>
  <si>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</si>
  <si>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</si>
  <si>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</si>
  <si>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</si>
  <si>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</si>
  <si>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</si>
  <si>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</si>
  <si>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</si>
  <si>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</si>
  <si>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</si>
  <si>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</si>
  <si>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</si>
  <si>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</si>
  <si>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</si>
  <si>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</si>
  <si>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</si>
  <si>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</si>
  <si>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</si>
  <si>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</si>
  <si>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</si>
  <si>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</si>
  <si>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</si>
  <si>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</si>
  <si>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</si>
  <si>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</si>
  <si>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</si>
  <si>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</si>
  <si>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</si>
  <si>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</si>
  <si>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</si>
  <si>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</si>
  <si>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</si>
  <si>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</si>
  <si>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</si>
  <si>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</si>
  <si>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</si>
  <si>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</si>
  <si>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</si>
  <si>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</si>
  <si>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</si>
  <si>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</si>
  <si>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</si>
  <si>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</si>
  <si>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</si>
  <si>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</si>
  <si>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</si>
  <si>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</si>
  <si>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</si>
  <si>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</si>
  <si>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</si>
  <si>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</si>
  <si>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</si>
  <si>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</si>
  <si>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</si>
  <si>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</si>
  <si>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</si>
  <si>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</si>
  <si>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</si>
  <si>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</si>
  <si>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</si>
  <si>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</si>
  <si>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</si>
  <si>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</si>
  <si>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</si>
  <si>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</si>
  <si>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</si>
  <si>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</si>
  <si>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</si>
  <si>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</si>
  <si>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</si>
  <si>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</si>
  <si>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</si>
  <si>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</si>
  <si>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</si>
  <si>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</si>
  <si>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</si>
  <si>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</si>
  <si>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</si>
  <si>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</si>
  <si>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</si>
  <si>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</si>
  <si>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</si>
  <si>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</si>
  <si>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</si>
  <si>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</si>
  <si>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</si>
  <si>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</si>
  <si>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</si>
  <si>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</si>
  <si>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</si>
  <si>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</si>
  <si>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</si>
  <si>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</si>
  <si>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</si>
  <si>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</si>
  <si>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</si>
  <si>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</si>
  <si>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</si>
  <si>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</si>
  <si>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</si>
  <si>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</si>
  <si>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</si>
  <si>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</si>
  <si>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</si>
  <si>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</si>
  <si>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</si>
  <si>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</si>
  <si>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</si>
  <si>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</si>
  <si>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</si>
  <si>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</si>
  <si>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</si>
  <si>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</si>
  <si>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</si>
  <si>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</si>
  <si>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</si>
  <si>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</si>
  <si>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</si>
  <si>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</si>
  <si>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</si>
  <si>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</si>
  <si>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</si>
  <si>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</si>
  <si>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</si>
  <si>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</si>
  <si>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</si>
  <si>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</si>
  <si>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</si>
  <si>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</si>
  <si>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</si>
  <si>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</si>
  <si>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</si>
  <si>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</si>
  <si>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</si>
  <si>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</si>
  <si>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</si>
  <si>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</si>
  <si>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</si>
  <si>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</si>
  <si>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</si>
  <si>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</si>
  <si>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</si>
  <si>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</si>
  <si>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</si>
  <si>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</si>
  <si>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</si>
  <si>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</si>
  <si>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</si>
  <si>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</si>
  <si>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</si>
  <si>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</si>
  <si>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</si>
  <si>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</si>
  <si>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</si>
  <si>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</si>
  <si>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</si>
  <si>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</si>
  <si>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</si>
  <si>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</si>
  <si>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</si>
  <si>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</si>
  <si>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</si>
  <si>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</si>
  <si>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</si>
  <si>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</si>
  <si>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</si>
  <si>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</si>
  <si>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</si>
  <si>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</si>
  <si>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</si>
  <si>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</si>
  <si>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</si>
  <si>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</si>
  <si>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</si>
  <si>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</si>
  <si>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</si>
  <si>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</si>
  <si>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</si>
  <si>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</si>
  <si>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</si>
  <si>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</si>
  <si>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</si>
  <si>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</si>
  <si>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</si>
  <si>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</si>
  <si>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</si>
  <si>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</si>
  <si>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</si>
  <si>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</si>
  <si>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</si>
  <si>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</si>
  <si>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</si>
  <si>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</si>
  <si>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</si>
  <si>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</si>
  <si>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</si>
  <si>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</si>
  <si>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</si>
  <si>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</si>
  <si>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</si>
  <si>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</si>
  <si>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</si>
  <si>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</si>
  <si>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</si>
  <si>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</si>
  <si>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</si>
  <si>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</si>
  <si>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</si>
  <si>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</si>
  <si>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</si>
  <si>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</si>
  <si>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</si>
  <si>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</si>
  <si>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</si>
  <si>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</si>
  <si>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</si>
  <si>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</si>
  <si>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</si>
  <si>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</si>
  <si>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</si>
  <si>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</si>
  <si>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</si>
  <si>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</si>
  <si>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</si>
  <si>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</si>
  <si>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</si>
  <si>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</si>
  <si>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</si>
  <si>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</si>
  <si>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</si>
  <si>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</si>
  <si>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</si>
  <si>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</si>
  <si>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</si>
  <si>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</si>
  <si>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</si>
  <si>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</si>
  <si>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</si>
  <si>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</si>
  <si>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</si>
  <si>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</si>
  <si>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</si>
  <si>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</si>
  <si>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</si>
  <si>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</si>
  <si>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</si>
  <si>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</si>
  <si>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</si>
  <si>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</si>
  <si>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</si>
  <si>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</si>
  <si>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</si>
  <si>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</si>
  <si>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</si>
  <si>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</si>
  <si>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</si>
  <si>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</si>
  <si>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</si>
  <si>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</si>
  <si>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</si>
  <si>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</si>
  <si>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</si>
  <si>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</si>
  <si>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</si>
  <si>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</si>
  <si>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</si>
  <si>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</si>
  <si>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</si>
  <si>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</si>
  <si>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</si>
  <si>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</si>
  <si>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</si>
  <si>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</si>
  <si>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</si>
  <si>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</si>
  <si>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</si>
  <si>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</si>
  <si>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</si>
  <si>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</si>
  <si>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</si>
  <si>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</si>
  <si>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</si>
  <si>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</si>
  <si>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</si>
  <si>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</si>
  <si>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</si>
  <si>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</si>
  <si>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</si>
  <si>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</si>
  <si>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</si>
  <si>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</si>
  <si>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</si>
  <si>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</si>
  <si>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</si>
  <si>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</si>
  <si>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</si>
  <si>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</si>
  <si>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</si>
  <si>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</si>
  <si>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</si>
  <si>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</si>
  <si>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</si>
  <si>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</si>
  <si>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</si>
  <si>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</si>
  <si>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</si>
  <si>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</si>
  <si>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</si>
  <si>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</si>
  <si>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</si>
  <si>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</si>
  <si>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</si>
  <si>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</si>
  <si>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</si>
  <si>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</si>
  <si>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</si>
  <si>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</si>
  <si>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</si>
  <si>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</si>
  <si>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</si>
  <si>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</si>
  <si>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</si>
  <si>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</si>
  <si>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</si>
  <si>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</si>
  <si>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</si>
  <si>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</si>
  <si>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</si>
  <si>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</si>
  <si>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</si>
  <si>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</si>
  <si>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</si>
  <si>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</si>
  <si>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</si>
  <si>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</si>
  <si>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</si>
  <si>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</si>
  <si>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</si>
  <si>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</si>
  <si>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</si>
  <si>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</si>
  <si>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</si>
  <si>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</si>
  <si>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</si>
  <si>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</si>
  <si>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</si>
  <si>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</si>
  <si>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</si>
  <si>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</si>
  <si>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</si>
  <si>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</si>
  <si>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</si>
  <si>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</si>
  <si>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</si>
  <si>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</si>
  <si>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</si>
  <si>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</si>
  <si>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</si>
  <si>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</si>
  <si>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</si>
  <si>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</si>
  <si>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</si>
  <si>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</si>
  <si>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</si>
  <si>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</si>
  <si>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</si>
  <si>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</si>
  <si>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</si>
  <si>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</si>
  <si>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</si>
  <si>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</si>
  <si>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</si>
  <si>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</si>
  <si>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</si>
  <si>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</si>
  <si>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</si>
  <si>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</si>
  <si>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</si>
  <si>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</si>
  <si>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</si>
  <si>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</si>
  <si>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</si>
  <si>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</si>
  <si>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</si>
  <si>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</si>
  <si>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</si>
  <si>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</si>
  <si>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</si>
  <si>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</si>
  <si>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</si>
  <si>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</si>
  <si>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</si>
  <si>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</si>
  <si>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</si>
  <si>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</si>
  <si>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</si>
  <si>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</si>
  <si>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</si>
  <si>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</si>
  <si>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</si>
  <si>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</si>
  <si>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</si>
  <si>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</si>
  <si>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</si>
  <si>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</si>
  <si>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</si>
  <si>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</si>
  <si>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</si>
  <si>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</si>
  <si>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</si>
  <si>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</si>
  <si>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</si>
  <si>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</si>
  <si>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</si>
  <si>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</si>
  <si>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</si>
  <si>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</si>
  <si>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</si>
  <si>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</si>
  <si>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</si>
  <si>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</si>
  <si>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</si>
  <si>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</si>
  <si>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</si>
  <si>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</si>
  <si>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</si>
  <si>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</si>
  <si>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</si>
  <si>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</si>
  <si>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</si>
  <si>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</si>
  <si>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</si>
  <si>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</si>
  <si>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</si>
  <si>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</si>
  <si>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</si>
  <si>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</si>
  <si>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</si>
  <si>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</si>
  <si>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</si>
  <si>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</si>
  <si>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</si>
  <si>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</si>
  <si>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</si>
  <si>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</si>
  <si>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</si>
  <si>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</si>
  <si>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</si>
  <si>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</si>
  <si>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</si>
  <si>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</si>
  <si>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</si>
  <si>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</si>
  <si>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</si>
  <si>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</si>
  <si>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</si>
  <si>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</si>
  <si>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</si>
  <si>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</si>
  <si>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</si>
  <si>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</si>
  <si>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</si>
  <si>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</si>
  <si>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</si>
  <si>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</si>
  <si>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</si>
  <si>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</si>
  <si>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</si>
  <si>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</si>
  <si>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</si>
  <si>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</si>
  <si>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</si>
  <si>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</si>
  <si>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</si>
  <si>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</si>
  <si>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</si>
  <si>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</si>
  <si>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</si>
  <si>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</si>
  <si>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</si>
  <si>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</si>
  <si>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</si>
  <si>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</si>
  <si>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</si>
  <si>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</si>
  <si>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</si>
  <si>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</si>
  <si>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</si>
  <si>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</si>
  <si>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</si>
  <si>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</si>
  <si>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</si>
  <si>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</si>
  <si>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</si>
  <si>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</si>
  <si>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</si>
  <si>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</si>
  <si>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</si>
  <si>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</si>
  <si>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</si>
  <si>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</si>
  <si>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</si>
  <si>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</si>
  <si>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</si>
  <si>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</si>
  <si>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</si>
  <si>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</si>
  <si>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</si>
  <si>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</si>
  <si>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</si>
  <si>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</si>
  <si>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</si>
  <si>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</si>
  <si>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</si>
  <si>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</si>
  <si>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</si>
  <si>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</si>
  <si>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</si>
  <si>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</si>
  <si>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</si>
  <si>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</si>
  <si>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</si>
  <si>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</si>
  <si>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</si>
  <si>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</si>
  <si>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</si>
  <si>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</si>
  <si>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</si>
  <si>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</si>
  <si>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</si>
  <si>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</si>
  <si>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</si>
  <si>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</si>
  <si>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</si>
  <si>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</si>
  <si>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</si>
  <si>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</si>
  <si>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</si>
  <si>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</si>
  <si>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</si>
  <si>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</si>
  <si>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</si>
  <si>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</si>
  <si>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</si>
  <si>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</si>
  <si>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</si>
  <si>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</si>
  <si>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</si>
  <si>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</si>
  <si>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</si>
  <si>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</si>
  <si>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</si>
  <si>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</si>
  <si>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</si>
  <si>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</si>
  <si>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</si>
  <si>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</si>
  <si>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</si>
  <si>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</si>
  <si>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</si>
  <si>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</si>
  <si>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</si>
  <si>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</si>
  <si>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</si>
  <si>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</si>
  <si>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</si>
  <si>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</si>
  <si>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</si>
  <si>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</si>
  <si>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</si>
  <si>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</si>
  <si>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</si>
  <si>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</si>
  <si>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</si>
  <si>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</si>
  <si>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</si>
  <si>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</si>
  <si>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</si>
  <si>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</si>
  <si>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</si>
  <si>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</si>
  <si>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</si>
  <si>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</si>
  <si>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</si>
  <si>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</si>
  <si>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</si>
  <si>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</si>
  <si>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</si>
  <si>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</si>
  <si>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</si>
  <si>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</si>
  <si>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</si>
  <si>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</si>
  <si>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</si>
  <si>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</si>
  <si>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</si>
  <si>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</si>
  <si>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</si>
  <si>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</si>
  <si>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</si>
  <si>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</si>
  <si>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</si>
  <si>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</si>
  <si>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</si>
  <si>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</si>
  <si>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</si>
  <si>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</si>
  <si>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</si>
  <si>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</si>
  <si>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</si>
  <si>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</si>
  <si>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</si>
  <si>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</si>
  <si>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</si>
  <si>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</si>
  <si>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</si>
  <si>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</si>
  <si>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</si>
  <si>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</si>
  <si>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</si>
  <si>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</si>
  <si>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</si>
  <si>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</si>
  <si>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</si>
  <si>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</si>
  <si>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</si>
  <si>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</si>
  <si>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</si>
  <si>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</si>
  <si>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</si>
  <si>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</si>
  <si>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</si>
  <si>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</si>
  <si>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</si>
  <si>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</si>
  <si>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</si>
  <si>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</si>
  <si>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</si>
  <si>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</si>
  <si>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</si>
  <si>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</si>
  <si>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</si>
  <si>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</si>
  <si>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</si>
  <si>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</si>
  <si>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</si>
  <si>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</si>
  <si>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</si>
  <si>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</si>
  <si>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</si>
  <si>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</si>
  <si>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</si>
  <si>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</si>
  <si>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</si>
  <si>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</si>
  <si>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</si>
  <si>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</si>
  <si>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</si>
  <si>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</si>
  <si>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</si>
  <si>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</si>
  <si>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</si>
  <si>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</si>
  <si>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</si>
  <si>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</si>
  <si>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</si>
  <si>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</si>
  <si>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</si>
  <si>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</si>
  <si>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</si>
  <si>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</si>
  <si>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</si>
  <si>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</si>
  <si>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</si>
  <si>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</si>
  <si>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</si>
  <si>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</si>
  <si>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</si>
  <si>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</si>
  <si>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</si>
  <si>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</si>
  <si>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</si>
  <si>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</si>
  <si>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</si>
  <si>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</si>
  <si>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</si>
  <si>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</si>
  <si>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</si>
  <si>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</si>
  <si>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</si>
  <si>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</si>
  <si>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</si>
  <si>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</si>
  <si>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</si>
  <si>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</si>
  <si>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</si>
  <si>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</si>
  <si>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</si>
  <si>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</si>
  <si>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</si>
  <si>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</si>
  <si>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</si>
  <si>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</si>
  <si>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</si>
  <si>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</si>
  <si>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</si>
  <si>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</si>
  <si>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</si>
  <si>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</si>
  <si>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</si>
  <si>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</si>
  <si>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</si>
  <si>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</si>
  <si>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</si>
  <si>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</si>
  <si>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</si>
  <si>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</si>
  <si>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</si>
  <si>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</si>
  <si>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</si>
  <si>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</si>
  <si>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</si>
  <si>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</si>
  <si>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</si>
  <si>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</si>
  <si>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</si>
  <si>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</si>
  <si>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</si>
  <si>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</si>
  <si>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</si>
  <si>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</si>
  <si>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</si>
  <si>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</si>
  <si>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</si>
  <si>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</si>
  <si>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</si>
  <si>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</si>
  <si>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</si>
  <si>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</si>
  <si>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</si>
  <si>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</si>
  <si>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</si>
  <si>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</si>
  <si>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</si>
  <si>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</si>
  <si>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</si>
  <si>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</si>
  <si>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</si>
  <si>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</si>
  <si>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</si>
  <si>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</si>
  <si>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</si>
  <si>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</si>
  <si>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</si>
  <si>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</si>
  <si>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</si>
  <si>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</si>
  <si>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</si>
  <si>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</si>
  <si>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</si>
  <si>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</si>
  <si>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</si>
  <si>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</si>
  <si>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</si>
  <si>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</si>
  <si>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</si>
  <si>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</si>
  <si>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</si>
  <si>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</si>
  <si>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</si>
  <si>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</si>
  <si>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</si>
  <si>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</si>
  <si>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</si>
  <si>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</si>
  <si>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</si>
  <si>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</si>
  <si>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</si>
  <si>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</si>
  <si>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</si>
  <si>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</si>
  <si>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</si>
  <si>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</si>
  <si>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</si>
  <si>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</si>
  <si>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</si>
  <si>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</si>
  <si>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</si>
  <si>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</si>
  <si>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</si>
  <si>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</si>
  <si>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</si>
  <si>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</si>
  <si>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</si>
  <si>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</si>
  <si>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</si>
  <si>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</si>
  <si>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</si>
  <si>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</si>
  <si>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</si>
  <si>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</si>
  <si>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</si>
  <si>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</si>
  <si>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</si>
  <si>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</si>
  <si>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</si>
  <si>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</si>
  <si>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</si>
  <si>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</si>
  <si>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</si>
  <si>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</si>
  <si>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</si>
  <si>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</si>
  <si>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</si>
  <si>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</si>
  <si>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</si>
  <si>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</si>
  <si>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</si>
  <si>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</si>
  <si>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</si>
  <si>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</si>
  <si>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</si>
  <si>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</si>
  <si>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</si>
  <si>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</si>
  <si>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</si>
  <si>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</si>
  <si>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</si>
  <si>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</si>
  <si>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</si>
  <si>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</si>
  <si>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</si>
  <si>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</si>
  <si>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</si>
  <si>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</si>
  <si>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</si>
  <si>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</si>
  <si>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</si>
  <si>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</si>
  <si>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</si>
  <si>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</si>
  <si>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</si>
  <si>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</si>
  <si>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</si>
  <si>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</si>
  <si>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</si>
  <si>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</si>
  <si>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</si>
  <si>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</si>
  <si>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</si>
  <si>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</si>
  <si>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</si>
  <si>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</si>
  <si>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</si>
  <si>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</si>
  <si>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</si>
  <si>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</si>
  <si>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</si>
  <si>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</si>
  <si>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</si>
  <si>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</si>
  <si>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</si>
  <si>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</si>
  <si>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</si>
  <si>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</si>
  <si>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</si>
  <si>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</si>
  <si>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</si>
  <si>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</si>
  <si>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</si>
  <si>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</si>
  <si>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</si>
  <si>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</si>
  <si>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</si>
  <si>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</si>
  <si>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</si>
  <si>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</si>
  <si>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</si>
  <si>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</si>
  <si>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</si>
  <si>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</si>
  <si>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</si>
  <si>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</si>
  <si>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</si>
  <si>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</si>
  <si>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</si>
  <si>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</si>
  <si>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</si>
  <si>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</si>
  <si>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</si>
  <si>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</si>
  <si>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</si>
  <si>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</si>
  <si>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</si>
  <si>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</si>
  <si>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</si>
  <si>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</si>
  <si>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</si>
  <si>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</si>
  <si>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</si>
  <si>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</si>
  <si>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</si>
  <si>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</si>
  <si>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</si>
  <si>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</si>
  <si>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</si>
  <si>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</si>
  <si>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</si>
  <si>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</si>
  <si>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</si>
  <si>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</si>
  <si>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</si>
  <si>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</si>
  <si>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</si>
  <si>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</si>
  <si>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</si>
  <si>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</si>
  <si>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</si>
  <si>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</si>
  <si>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</si>
  <si>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</si>
  <si>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</si>
  <si>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</si>
  <si>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</si>
  <si>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</si>
  <si>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</si>
  <si>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</si>
  <si>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</si>
  <si>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</si>
  <si>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</si>
  <si>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</si>
  <si>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</si>
  <si>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</si>
  <si>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</si>
  <si>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</si>
  <si>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</si>
  <si>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</si>
  <si>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</si>
  <si>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</si>
  <si>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</si>
  <si>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</si>
  <si>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</si>
  <si>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</si>
  <si>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</si>
  <si>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</si>
  <si>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</si>
  <si>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</si>
  <si>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</si>
  <si>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</si>
  <si>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</si>
  <si>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</si>
  <si>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</si>
  <si>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</si>
  <si>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</si>
  <si>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</si>
  <si>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</si>
  <si>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</si>
  <si>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</si>
  <si>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</si>
  <si>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</si>
  <si>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</si>
  <si>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</si>
  <si>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</si>
  <si>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</si>
  <si>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</si>
  <si>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</si>
  <si>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</si>
  <si>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</si>
  <si>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</si>
  <si>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</si>
  <si>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</si>
  <si>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</si>
  <si>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</si>
  <si>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</si>
  <si>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</si>
  <si>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</si>
  <si>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</si>
  <si>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</si>
  <si>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</si>
  <si>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</si>
  <si>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</si>
  <si>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</si>
  <si>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</si>
  <si>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</si>
  <si>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</si>
  <si>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</si>
  <si>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</si>
  <si>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</si>
  <si>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</si>
  <si>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</si>
  <si>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</si>
  <si>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</si>
  <si>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</si>
  <si>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</si>
  <si>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</si>
  <si>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</si>
  <si>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</si>
  <si>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</si>
  <si>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</si>
  <si>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</si>
  <si>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</si>
  <si>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</si>
  <si>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</si>
  <si>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</si>
  <si>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</si>
  <si>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</si>
  <si>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</si>
  <si>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</si>
  <si>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</si>
  <si>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</si>
  <si>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</si>
  <si>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</si>
  <si>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</si>
  <si>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</si>
  <si>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</si>
  <si>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</si>
  <si>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</si>
  <si>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</si>
  <si>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</si>
  <si>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</si>
  <si>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</si>
  <si>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</si>
  <si>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</si>
  <si>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</si>
  <si>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</si>
  <si>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</si>
  <si>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</si>
  <si>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</si>
  <si>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</si>
  <si>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</si>
  <si>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</si>
  <si>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</si>
  <si>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</si>
  <si>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</si>
  <si>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</si>
  <si>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</si>
  <si>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</si>
  <si>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</si>
  <si>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</si>
  <si>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</si>
  <si>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</si>
  <si>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</si>
  <si>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</si>
  <si>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</si>
  <si>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</si>
  <si>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</si>
  <si>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</si>
  <si>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</si>
  <si>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</si>
  <si>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</si>
  <si>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</si>
  <si>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</si>
  <si>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</si>
  <si>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</si>
  <si>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</si>
  <si>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</si>
  <si>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</si>
  <si>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</si>
  <si>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</si>
  <si>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</si>
  <si>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</si>
  <si>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</si>
  <si>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</si>
  <si>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</si>
  <si>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</si>
  <si>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</si>
  <si>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</si>
  <si>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</si>
  <si>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</si>
  <si>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</si>
  <si>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</si>
  <si>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</si>
  <si>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</si>
  <si>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</si>
  <si>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</si>
  <si>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</si>
  <si>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</si>
  <si>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</si>
  <si>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</si>
  <si>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</si>
  <si>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</si>
  <si>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</si>
  <si>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</si>
  <si>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</si>
  <si>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</si>
  <si>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</si>
  <si>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</si>
  <si>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</si>
  <si>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</si>
  <si>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</si>
  <si>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</si>
  <si>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</si>
  <si>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</si>
  <si>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</si>
  <si>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</si>
  <si>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</si>
  <si>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</si>
  <si>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</si>
  <si>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</si>
  <si>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</si>
  <si>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</si>
  <si>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</si>
  <si>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</si>
  <si>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</si>
  <si>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</si>
  <si>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</si>
  <si>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</si>
  <si>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</si>
  <si>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</si>
  <si>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</si>
  <si>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</si>
  <si>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</si>
  <si>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</si>
  <si>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</si>
  <si>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</si>
  <si>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</si>
  <si>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</si>
  <si>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</si>
  <si>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</si>
  <si>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</si>
  <si>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</si>
  <si>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</si>
  <si>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</si>
  <si>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</si>
  <si>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</si>
  <si>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</si>
  <si>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</si>
  <si>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</si>
  <si>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</si>
  <si>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</si>
  <si>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</si>
  <si>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</si>
  <si>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</si>
  <si>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</si>
  <si>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</si>
  <si>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</si>
  <si>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</si>
  <si>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</si>
  <si>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</si>
  <si>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</si>
  <si>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</si>
  <si>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</si>
  <si>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</si>
  <si>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</si>
  <si>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</si>
  <si>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</si>
  <si>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</si>
  <si>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</si>
  <si>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</si>
  <si>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</si>
  <si>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</si>
  <si>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</si>
  <si>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</si>
  <si>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</si>
  <si>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</si>
  <si>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</si>
  <si>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</si>
  <si>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</si>
  <si>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</si>
  <si>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</si>
  <si>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</si>
  <si>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</si>
  <si>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</si>
  <si>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</si>
  <si>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</si>
  <si>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</si>
  <si>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</si>
  <si>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</si>
  <si>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</si>
  <si>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</si>
  <si>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</si>
  <si>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</si>
  <si>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</si>
  <si>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</si>
  <si>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</si>
  <si>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</si>
  <si>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</si>
  <si>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</si>
  <si>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</si>
  <si>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</si>
  <si>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</si>
  <si>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</si>
  <si>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</si>
  <si>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</si>
  <si>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</si>
  <si>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</si>
  <si>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</si>
  <si>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</si>
  <si>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</si>
  <si>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</si>
  <si>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</si>
  <si>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</si>
  <si>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</si>
  <si>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</si>
  <si>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</si>
  <si>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</si>
  <si>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</si>
  <si>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</si>
  <si>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</si>
  <si>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</si>
  <si>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</si>
  <si>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</si>
  <si>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</si>
  <si>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</si>
  <si>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</si>
  <si>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</si>
  <si>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</si>
  <si>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</si>
  <si>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</si>
  <si>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</si>
  <si>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</si>
  <si>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</si>
  <si>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</si>
  <si>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</si>
  <si>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</si>
  <si>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</si>
  <si>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</si>
  <si>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</si>
  <si>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</si>
  <si>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</si>
  <si>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</si>
  <si>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</si>
  <si>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</si>
  <si>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</si>
  <si>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</si>
  <si>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</si>
  <si>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</si>
  <si>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</si>
  <si>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</si>
  <si>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</si>
  <si>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</si>
  <si>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</si>
  <si>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</si>
  <si>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</si>
  <si>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</si>
  <si>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</si>
  <si>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</si>
  <si>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</si>
  <si>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</si>
  <si>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</si>
  <si>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</si>
  <si>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</si>
  <si>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</si>
  <si>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</si>
  <si>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</si>
  <si>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</si>
  <si>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</si>
  <si>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</si>
  <si>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</si>
  <si>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</si>
  <si>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</si>
  <si>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</si>
  <si>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</si>
  <si>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</si>
  <si>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</si>
  <si>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</si>
  <si>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</si>
  <si>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</si>
  <si>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</si>
  <si>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</si>
  <si>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</si>
  <si>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</si>
  <si>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</si>
  <si>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</si>
  <si>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</si>
  <si>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</si>
  <si>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</si>
  <si>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</si>
  <si>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</si>
  <si>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</si>
  <si>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</si>
  <si>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</si>
  <si>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</si>
  <si>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</si>
  <si>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</si>
  <si>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</si>
  <si>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</si>
  <si>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</si>
  <si>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</si>
  <si>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</si>
  <si>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</si>
  <si>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</si>
  <si>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</si>
  <si>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</si>
  <si>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</si>
  <si>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</si>
  <si>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</si>
  <si>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</si>
  <si>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</si>
  <si>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</si>
  <si>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</si>
  <si>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</si>
  <si>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</si>
  <si>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</si>
  <si>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</si>
  <si>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</si>
  <si>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</si>
  <si>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</si>
  <si>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</si>
  <si>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</si>
  <si>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</si>
  <si>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</si>
  <si>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</si>
  <si>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</si>
  <si>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</si>
  <si>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</si>
  <si>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</si>
  <si>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</si>
  <si>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</si>
  <si>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</si>
  <si>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</si>
  <si>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</si>
  <si>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</si>
  <si>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</si>
  <si>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</si>
  <si>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</si>
  <si>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</si>
  <si>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</si>
  <si>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</si>
  <si>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</si>
  <si>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</si>
  <si>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</si>
  <si>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</si>
  <si>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</si>
  <si>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</si>
  <si>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</si>
  <si>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</si>
  <si>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</si>
  <si>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</si>
  <si>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</si>
  <si>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</si>
  <si>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</si>
  <si>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</si>
  <si>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</si>
  <si>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</si>
  <si>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</si>
  <si>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</si>
  <si>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</si>
  <si>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</si>
  <si>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</si>
  <si>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</si>
  <si>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</si>
  <si>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</si>
  <si>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</si>
  <si>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</si>
  <si>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</si>
  <si>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</si>
  <si>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</si>
  <si>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</si>
  <si>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</si>
  <si>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</si>
  <si>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</si>
  <si>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</si>
  <si>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</si>
  <si>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</si>
  <si>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</si>
  <si>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</si>
  <si>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</si>
  <si>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</si>
  <si>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</si>
  <si>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</si>
  <si>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</si>
  <si>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</si>
  <si>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</si>
  <si>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</si>
  <si>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</si>
  <si>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</si>
  <si>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</si>
  <si>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</si>
  <si>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</si>
  <si>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</si>
  <si>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</si>
  <si>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</si>
  <si>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</si>
  <si>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</si>
  <si>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</si>
  <si>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</si>
  <si>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</si>
  <si>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</si>
  <si>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</si>
  <si>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</si>
  <si>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</si>
  <si>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</si>
  <si>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</si>
  <si>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</si>
  <si>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</si>
  <si>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</si>
  <si>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</si>
  <si>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</si>
  <si>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</si>
  <si>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</si>
  <si>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</si>
  <si>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</si>
  <si>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</si>
  <si>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</si>
  <si>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</si>
  <si>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</si>
  <si>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</si>
  <si>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</si>
  <si>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</si>
  <si>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</si>
  <si>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</si>
  <si>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</si>
  <si>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</si>
  <si>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</si>
  <si>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</si>
  <si>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</si>
  <si>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</si>
  <si>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</si>
  <si>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</si>
  <si>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</si>
  <si>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</si>
  <si>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</si>
  <si>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</si>
  <si>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</si>
  <si>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</si>
  <si>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</si>
  <si>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</si>
  <si>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</si>
  <si>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</si>
  <si>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</si>
  <si>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</si>
  <si>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</si>
  <si>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</si>
  <si>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</si>
  <si>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</si>
  <si>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</si>
  <si>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</si>
  <si>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</si>
  <si>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</si>
  <si>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</si>
  <si>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</si>
  <si>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</si>
  <si>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</si>
  <si>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</si>
  <si>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</si>
  <si>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</si>
  <si>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</si>
  <si>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</si>
  <si>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</si>
  <si>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</si>
  <si>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</si>
  <si>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</si>
  <si>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</si>
  <si>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</si>
  <si>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</si>
  <si>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</si>
  <si>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</si>
  <si>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</si>
  <si>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</si>
  <si>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</si>
  <si>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</si>
  <si>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</si>
  <si>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</si>
  <si>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</si>
  <si>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</si>
  <si>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</si>
  <si>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</si>
  <si>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</si>
  <si>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</si>
  <si>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</si>
  <si>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</si>
  <si>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</si>
  <si>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</si>
  <si>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</si>
  <si>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</si>
  <si>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</si>
  <si>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</si>
  <si>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</si>
  <si>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</si>
  <si>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</si>
  <si>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</si>
  <si>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</si>
  <si>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</si>
  <si>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</si>
  <si>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</si>
  <si>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</si>
  <si>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</si>
  <si>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</si>
  <si>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</si>
  <si>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</si>
  <si>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</si>
  <si>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</si>
  <si>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</si>
  <si>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</si>
  <si>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</si>
  <si>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</si>
  <si>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</si>
  <si>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</si>
  <si>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</si>
  <si>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</si>
  <si>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</si>
  <si>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</si>
  <si>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</si>
  <si>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</si>
  <si>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</si>
  <si>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</si>
  <si>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</si>
  <si>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</si>
  <si>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</si>
  <si>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</si>
  <si>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</si>
  <si>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</si>
  <si>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</si>
  <si>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</si>
  <si>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</si>
  <si>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</si>
  <si>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</si>
  <si>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</si>
  <si>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</si>
  <si>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</si>
  <si>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</si>
  <si>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</si>
  <si>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</si>
  <si>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</si>
  <si>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</si>
  <si>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</si>
  <si>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</si>
  <si>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</si>
  <si>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</si>
  <si>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</si>
  <si>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</si>
  <si>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</si>
  <si>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</si>
  <si>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</si>
  <si>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</si>
  <si>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</si>
  <si>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</si>
  <si>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</si>
  <si>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</si>
  <si>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</si>
  <si>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</si>
  <si>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</si>
  <si>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</si>
  <si>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</si>
  <si>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</si>
  <si>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</si>
  <si>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</si>
  <si>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</si>
  <si>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</si>
  <si>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</si>
  <si>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</si>
  <si>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</si>
  <si>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</si>
  <si>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</si>
  <si>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</si>
  <si>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</si>
  <si>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</si>
  <si>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</si>
  <si>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</si>
  <si>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</si>
  <si>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</si>
  <si>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</si>
  <si>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</si>
  <si>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</si>
  <si>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</si>
  <si>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</si>
  <si>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</si>
  <si>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</si>
  <si>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</si>
  <si>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</si>
  <si>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</si>
  <si>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</si>
  <si>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</si>
  <si>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</si>
  <si>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</si>
  <si>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</si>
  <si>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</si>
  <si>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</si>
  <si>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</si>
  <si>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</si>
  <si>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</si>
  <si>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</si>
  <si>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</si>
  <si>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</si>
  <si>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</si>
  <si>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</si>
  <si>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</si>
  <si>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</si>
  <si>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</si>
  <si>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</si>
  <si>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</si>
  <si>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</si>
  <si>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</si>
  <si>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</si>
  <si>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</si>
  <si>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</si>
  <si>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</si>
  <si>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</si>
  <si>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</si>
  <si>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</si>
  <si>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</si>
  <si>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</si>
  <si>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</si>
  <si>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</si>
  <si>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</si>
  <si>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</si>
  <si>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</si>
  <si>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</si>
  <si>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</si>
  <si>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</si>
  <si>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</si>
  <si>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</si>
  <si>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</si>
  <si>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</si>
  <si>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</si>
  <si>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</si>
  <si>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</si>
  <si>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</si>
  <si>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</si>
  <si>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</si>
  <si>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</si>
  <si>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</si>
  <si>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</si>
  <si>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</si>
  <si>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</si>
  <si>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</si>
  <si>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</si>
  <si>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</si>
  <si>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</si>
  <si>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</si>
  <si>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</si>
  <si>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</si>
  <si>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</si>
  <si>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</si>
  <si>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</si>
  <si>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</si>
  <si>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</si>
  <si>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</si>
  <si>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</si>
  <si>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</si>
  <si>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</si>
  <si>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</si>
  <si>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</si>
  <si>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</si>
  <si>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</si>
  <si>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</si>
  <si>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</si>
  <si>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</si>
  <si>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</si>
  <si>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</si>
  <si>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</si>
  <si>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</si>
  <si>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</si>
  <si>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</si>
  <si>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</si>
  <si>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</si>
  <si>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</si>
  <si>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</si>
  <si>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</si>
  <si>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</si>
  <si>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</si>
  <si>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</si>
  <si>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</si>
  <si>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</si>
  <si>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</si>
  <si>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</si>
  <si>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</si>
  <si>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</si>
  <si>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</si>
  <si>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</si>
  <si>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</si>
  <si>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</si>
  <si>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</si>
  <si>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</si>
  <si>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</si>
  <si>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</si>
  <si>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</si>
  <si>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</si>
  <si>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</si>
  <si>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</si>
  <si>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</si>
  <si>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</si>
  <si>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</si>
  <si>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</si>
  <si>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</si>
  <si>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</si>
  <si>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</si>
  <si>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</si>
  <si>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</si>
  <si>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</si>
  <si>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</si>
  <si>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</si>
  <si>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</si>
  <si>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</si>
  <si>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</si>
  <si>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</si>
  <si>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</si>
  <si>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</si>
  <si>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</si>
  <si>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</si>
  <si>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</si>
  <si>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</si>
  <si>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</si>
  <si>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</si>
  <si>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</si>
  <si>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</si>
  <si>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</si>
  <si>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</si>
  <si>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</si>
  <si>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</si>
  <si>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</si>
  <si>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</si>
  <si>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</si>
  <si>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</si>
  <si>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</si>
  <si>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</si>
  <si>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</si>
  <si>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</si>
  <si>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</si>
  <si>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</si>
  <si>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</si>
  <si>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</si>
  <si>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</si>
  <si>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</si>
  <si>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</si>
  <si>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</si>
  <si>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</si>
  <si>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</si>
  <si>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</si>
  <si>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</si>
  <si>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</si>
  <si>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</si>
  <si>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</si>
  <si>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</si>
  <si>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</si>
  <si>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</si>
  <si>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</si>
  <si>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</si>
  <si>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</si>
  <si>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</si>
  <si>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</si>
  <si>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</si>
  <si>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</si>
  <si>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</si>
  <si>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</si>
  <si>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</si>
  <si>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</si>
  <si>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</si>
  <si>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</si>
  <si>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</si>
  <si>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</si>
  <si>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</si>
  <si>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</si>
  <si>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</si>
  <si>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</si>
  <si>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</si>
  <si>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</si>
  <si>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</si>
  <si>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</si>
  <si>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</si>
  <si>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</si>
  <si>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</si>
  <si>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</si>
  <si>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</si>
  <si>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</si>
  <si>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</si>
  <si>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</si>
  <si>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</si>
  <si>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</si>
  <si>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</si>
  <si>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</si>
  <si>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</si>
  <si>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</si>
  <si>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</si>
  <si>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</si>
  <si>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</si>
  <si>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</si>
  <si>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</si>
  <si>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</si>
  <si>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</si>
  <si>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</si>
  <si>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</si>
  <si>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</si>
  <si>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</si>
  <si>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</si>
  <si>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</si>
  <si>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</si>
  <si>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</si>
  <si>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</si>
  <si>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</si>
  <si>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</si>
  <si>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</si>
  <si>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</si>
  <si>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</si>
  <si>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</si>
  <si>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</si>
  <si>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</si>
  <si>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</si>
  <si>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</si>
  <si>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</si>
  <si>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</si>
  <si>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</si>
  <si>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</si>
  <si>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</si>
  <si>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</si>
  <si>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</si>
  <si>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</si>
  <si>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</si>
  <si>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</si>
  <si>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</si>
  <si>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</si>
  <si>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</si>
  <si>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森</t>
    <rPh sb="0" eb="1">
      <t>モリ</t>
    </rPh>
    <phoneticPr fontId="1"/>
  </si>
  <si>
    <t>西村</t>
    <rPh sb="0" eb="2">
      <t>ニシムラ</t>
    </rPh>
    <phoneticPr fontId="1"/>
  </si>
  <si>
    <t>福田</t>
    <rPh sb="0" eb="2">
      <t>フクダ</t>
    </rPh>
    <phoneticPr fontId="1"/>
  </si>
  <si>
    <t>戸田</t>
    <rPh sb="0" eb="2">
      <t>トダ</t>
    </rPh>
    <phoneticPr fontId="1"/>
  </si>
  <si>
    <t>伊藤</t>
    <rPh sb="0" eb="2">
      <t>イトウ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</si>
  <si>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</si>
  <si>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</si>
  <si>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</si>
  <si>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</si>
  <si>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</si>
  <si>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</si>
  <si>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</si>
  <si>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</si>
  <si>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ジョセフ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</si>
  <si>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</si>
  <si>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</si>
  <si>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</si>
  <si>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</si>
  <si>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</si>
  <si>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</si>
  <si>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</si>
  <si>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</si>
  <si>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</si>
  <si>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</si>
  <si>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</si>
  <si>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</si>
  <si>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</si>
  <si>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</si>
  <si>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</si>
  <si>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</si>
  <si>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</si>
  <si>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</si>
  <si>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</si>
  <si>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</si>
  <si>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</si>
  <si>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</si>
  <si>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</si>
  <si>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</si>
  <si>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</si>
  <si>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</si>
  <si>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</si>
  <si>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</si>
  <si>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</si>
  <si>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</si>
  <si>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</si>
  <si>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</si>
  <si>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</si>
  <si>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</si>
  <si>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</si>
  <si>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</si>
  <si>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</si>
  <si>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</si>
  <si>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</si>
  <si>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ラミレス</t>
  </si>
  <si>
    <t>ロベルト</t>
  </si>
  <si>
    <t>DeNA</t>
  </si>
  <si>
    <t>筒香</t>
    <rPh sb="0" eb="2">
      <t>ツツゴウ</t>
    </rPh>
    <phoneticPr fontId="1"/>
  </si>
  <si>
    <t>筒香 嘉智</t>
    <rPh sb="0" eb="2">
      <t>ツツゴウ</t>
    </rPh>
    <rPh sb="3" eb="4">
      <t>カ</t>
    </rPh>
    <rPh sb="4" eb="5">
      <t>サトシ</t>
    </rPh>
    <phoneticPr fontId="1"/>
  </si>
  <si>
    <t>広島</t>
  </si>
  <si>
    <t>エスコン</t>
    <phoneticPr fontId="1"/>
  </si>
  <si>
    <t>日本ハム</t>
    <rPh sb="0" eb="2">
      <t>ニッポン</t>
    </rPh>
    <phoneticPr fontId="1"/>
  </si>
  <si>
    <t>西武</t>
    <rPh sb="0" eb="2">
      <t>セイブ</t>
    </rPh>
    <phoneticPr fontId="1"/>
  </si>
  <si>
    <t>しない</t>
  </si>
  <si>
    <t>一塁側</t>
  </si>
  <si>
    <t>フォード</t>
    <phoneticPr fontId="1"/>
  </si>
  <si>
    <t>マイク・フォード</t>
    <phoneticPr fontId="1"/>
  </si>
  <si>
    <t>中川颯</t>
    <rPh sb="2" eb="3">
      <t>ハヤテ</t>
    </rPh>
    <phoneticPr fontId="1"/>
  </si>
  <si>
    <t>スチュワートJr.</t>
    <phoneticPr fontId="1"/>
  </si>
  <si>
    <t>ダウンズ</t>
    <phoneticPr fontId="1"/>
  </si>
  <si>
    <t>ジーター・ダウンズ</t>
    <phoneticPr fontId="1"/>
  </si>
  <si>
    <t/>
  </si>
  <si>
    <t>侍ビジター</t>
    <rPh sb="0" eb="1">
      <t>サムライ</t>
    </rPh>
    <phoneticPr fontId="1"/>
  </si>
  <si>
    <t>侍ホーム</t>
    <rPh sb="0" eb="1">
      <t>サムライ</t>
    </rPh>
    <phoneticPr fontId="1"/>
  </si>
  <si>
    <t>高</t>
    <rPh sb="0" eb="1">
      <t>コウ</t>
    </rPh>
    <phoneticPr fontId="1"/>
  </si>
  <si>
    <t>大</t>
    <rPh sb="0" eb="1">
      <t>ダイ</t>
    </rPh>
    <phoneticPr fontId="1"/>
  </si>
  <si>
    <t>汎用</t>
    <rPh sb="0" eb="2">
      <t>ハンヨウ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</si>
</sst>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17242D"/>
      <name val="ＭＳ Ｐゴシック"/>
      <family val="2"/>
      <charset val="128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17242D"/>
        <bgColor indexed="64"/>
      </patternFill>
    </fill>
    <fill>
      <patternFill patternType="solid">
        <fgColor rgb="FF223542"/>
        <bgColor indexed="64"/>
      </patternFill>
    </fill>
    <fill>
      <patternFill patternType="solid">
        <fgColor rgb="FFB6A36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44" borderId="4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4" fillId="3" borderId="4" xfId="0" applyFont="1" applyFill="1" applyBorder="1" applyAlignment="1">
      <alignment horizontal="center" vertical="center"/>
    </xf>
    <xf numFmtId="0" fontId="8" fillId="45" borderId="4" xfId="0" applyFont="1" applyFill="1" applyBorder="1" applyAlignment="1">
      <alignment horizontal="center" vertical="center"/>
    </xf>
    <xf numFmtId="0" fontId="9" fillId="45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13" fillId="3" borderId="4" xfId="0" applyFont="1" applyFill="1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7242D"/>
      <color rgb="FFB6A367"/>
      <color rgb="FF223542"/>
      <color rgb="FF1E4430"/>
      <color rgb="FF00FF00"/>
      <color rgb="FF789E22"/>
      <color rgb="FFE6E6E6"/>
      <color rgb="FFFF71FF"/>
      <color rgb="FFF6AB00"/>
      <color rgb="FF8700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/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855</v>
      </c>
      <c r="E3" s="2" t="s">
        <v>856</v>
      </c>
      <c r="P3" s="2" t="s">
        <v>855</v>
      </c>
      <c r="Q3" s="2" t="s">
        <v>856</v>
      </c>
    </row>
    <row r="4" spans="2:18" ht="13.2" customHeight="1" x14ac:dyDescent="0.2">
      <c r="B4" s="146" t="s">
        <v>825</v>
      </c>
      <c r="C4" s="2" t="s">
        <v>827</v>
      </c>
      <c r="D4" s="132" t="s">
        <v>831</v>
      </c>
      <c r="E4" s="135" t="s">
        <v>831</v>
      </c>
      <c r="G4" s="150" t="s">
        <v>845</v>
      </c>
      <c r="H4" s="2" t="s">
        <v>827</v>
      </c>
      <c r="I4" s="40" t="s">
        <v>846</v>
      </c>
      <c r="K4" s="3" t="s">
        <v>851</v>
      </c>
      <c r="L4" s="3"/>
      <c r="N4" s="138" t="s">
        <v>825</v>
      </c>
      <c r="O4" s="43" t="s">
        <v>857</v>
      </c>
      <c r="P4" s="3" t="str">
        <f>textcolor(D4)</f>
        <v>#FF0000</v>
      </c>
      <c r="Q4" s="3" t="str">
        <f>textcolor(E4)</f>
        <v>#17242D</v>
      </c>
      <c r="R4" t="s">
        <v>870</v>
      </c>
    </row>
    <row r="5" spans="2:18" x14ac:dyDescent="0.2">
      <c r="B5" s="147"/>
      <c r="C5" s="2" t="s">
        <v>828</v>
      </c>
      <c r="D5" s="131"/>
      <c r="E5" s="103"/>
      <c r="G5" s="151"/>
      <c r="H5" s="2" t="s">
        <v>828</v>
      </c>
      <c r="I5" s="37"/>
      <c r="K5" s="3" t="s">
        <v>868</v>
      </c>
      <c r="L5" s="3"/>
      <c r="N5" s="139"/>
      <c r="O5" s="43" t="s">
        <v>864</v>
      </c>
      <c r="P5" s="3" t="str">
        <f>BackGroundColor(D4,D5,D6,D7,D8,FALSE)</f>
        <v>#223542</v>
      </c>
      <c r="Q5" s="3" t="str">
        <f>BackGroundColor(E4,E5,E6,E7,E8,FALSE)</f>
        <v>#FFFFFF</v>
      </c>
      <c r="R5" t="s">
        <v>870</v>
      </c>
    </row>
    <row r="6" spans="2:18" x14ac:dyDescent="0.2">
      <c r="B6" s="147"/>
      <c r="C6" s="2" t="s">
        <v>823</v>
      </c>
      <c r="D6" s="2"/>
      <c r="E6" s="2"/>
      <c r="G6" s="151"/>
      <c r="H6" s="2" t="s">
        <v>823</v>
      </c>
      <c r="I6" s="2"/>
      <c r="K6" s="3" t="s">
        <v>882</v>
      </c>
      <c r="L6" s="42" t="e">
        <f>GetLastRow(L4)</f>
        <v>#VALUE!</v>
      </c>
      <c r="N6" s="152" t="s">
        <v>842</v>
      </c>
      <c r="O6" s="43" t="s">
        <v>857</v>
      </c>
      <c r="P6" s="3" t="str">
        <f>textcolor(D9)</f>
        <v>#FFFFFF</v>
      </c>
      <c r="Q6" s="3" t="str">
        <f>textcolor(E9)</f>
        <v>#FFFFFF</v>
      </c>
      <c r="R6" t="s">
        <v>870</v>
      </c>
    </row>
    <row r="7" spans="2:18" x14ac:dyDescent="0.2">
      <c r="B7" s="147"/>
      <c r="C7" s="2" t="s">
        <v>832</v>
      </c>
      <c r="D7" s="34"/>
      <c r="E7" s="34"/>
      <c r="G7" s="151"/>
      <c r="H7" s="2" t="s">
        <v>832</v>
      </c>
      <c r="I7" s="34"/>
      <c r="K7" s="3" t="s">
        <v>2015</v>
      </c>
      <c r="L7" s="3" t="s">
        <v>2074</v>
      </c>
      <c r="N7" s="153"/>
      <c r="O7" s="43" t="s">
        <v>864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870</v>
      </c>
    </row>
    <row r="8" spans="2:18" x14ac:dyDescent="0.2">
      <c r="B8" s="148"/>
      <c r="C8" s="2" t="s">
        <v>833</v>
      </c>
      <c r="D8" s="34"/>
      <c r="E8" s="34"/>
      <c r="G8" s="151"/>
      <c r="H8" s="2" t="s">
        <v>833</v>
      </c>
      <c r="I8" s="34"/>
      <c r="K8" s="3" t="s">
        <v>852</v>
      </c>
      <c r="L8" s="3"/>
      <c r="N8" s="47" t="s">
        <v>826</v>
      </c>
      <c r="O8" s="43" t="s">
        <v>867</v>
      </c>
      <c r="P8" s="3" t="str">
        <f t="shared" ref="P8:Q10" si="0">BackGroundColorSingle(D14)</f>
        <v>#B6A367</v>
      </c>
      <c r="Q8" s="3" t="str">
        <f t="shared" si="0"/>
        <v>#B6A367</v>
      </c>
      <c r="R8" t="s">
        <v>870</v>
      </c>
    </row>
    <row r="9" spans="2:18" x14ac:dyDescent="0.2">
      <c r="B9" s="146" t="s">
        <v>842</v>
      </c>
      <c r="C9" s="2" t="s">
        <v>827</v>
      </c>
      <c r="D9" s="29" t="s">
        <v>831</v>
      </c>
      <c r="E9" s="29" t="s">
        <v>831</v>
      </c>
      <c r="G9" s="150" t="s">
        <v>847</v>
      </c>
      <c r="H9" s="2" t="s">
        <v>827</v>
      </c>
      <c r="I9" s="119" t="s">
        <v>846</v>
      </c>
      <c r="K9" s="3" t="s">
        <v>869</v>
      </c>
      <c r="L9" s="3"/>
      <c r="N9" s="47" t="s">
        <v>875</v>
      </c>
      <c r="O9" s="43" t="s">
        <v>867</v>
      </c>
      <c r="P9" s="3" t="str">
        <f t="shared" si="0"/>
        <v>#7F7F7F</v>
      </c>
      <c r="Q9" s="3" t="str">
        <f t="shared" si="0"/>
        <v>#7F7F7F</v>
      </c>
      <c r="R9" t="s">
        <v>870</v>
      </c>
    </row>
    <row r="10" spans="2:18" x14ac:dyDescent="0.2">
      <c r="B10" s="147"/>
      <c r="C10" s="2" t="s">
        <v>828</v>
      </c>
      <c r="D10" s="37"/>
      <c r="E10" s="37"/>
      <c r="G10" s="151"/>
      <c r="H10" s="2" t="s">
        <v>828</v>
      </c>
      <c r="I10" s="37"/>
      <c r="K10" s="3" t="s">
        <v>883</v>
      </c>
      <c r="L10" s="42" t="e">
        <f>GetLastRow(L8)</f>
        <v>#VALUE!</v>
      </c>
      <c r="N10" s="47" t="s">
        <v>874</v>
      </c>
      <c r="O10" s="43" t="s">
        <v>867</v>
      </c>
      <c r="P10" s="3" t="str">
        <f t="shared" si="0"/>
        <v/>
      </c>
      <c r="Q10" s="3" t="str">
        <f t="shared" si="0"/>
        <v/>
      </c>
      <c r="R10" t="s">
        <v>870</v>
      </c>
    </row>
    <row r="11" spans="2:18" x14ac:dyDescent="0.2">
      <c r="B11" s="147"/>
      <c r="C11" s="2" t="s">
        <v>823</v>
      </c>
      <c r="D11" s="2"/>
      <c r="E11" s="2"/>
      <c r="G11" s="151"/>
      <c r="H11" s="2" t="s">
        <v>823</v>
      </c>
      <c r="I11" s="2"/>
      <c r="K11" s="3" t="s">
        <v>2016</v>
      </c>
      <c r="L11" s="3" t="s">
        <v>2075</v>
      </c>
      <c r="N11" s="138" t="s">
        <v>829</v>
      </c>
      <c r="O11" s="43" t="s">
        <v>857</v>
      </c>
      <c r="P11" s="3" t="str">
        <f>textcolor(D17)</f>
        <v>#FFFFFF</v>
      </c>
      <c r="Q11" s="3" t="str">
        <f>textcolor(E16)</f>
        <v>#FFFFFF</v>
      </c>
      <c r="R11" t="s">
        <v>870</v>
      </c>
    </row>
    <row r="12" spans="2:18" x14ac:dyDescent="0.2">
      <c r="B12" s="147"/>
      <c r="C12" s="2" t="s">
        <v>832</v>
      </c>
      <c r="D12" s="34"/>
      <c r="E12" s="34"/>
      <c r="G12" s="151"/>
      <c r="H12" s="2" t="s">
        <v>832</v>
      </c>
      <c r="I12" s="34"/>
      <c r="K12" s="3" t="s">
        <v>853</v>
      </c>
      <c r="L12" s="42">
        <v>12</v>
      </c>
      <c r="N12" s="139"/>
      <c r="O12" s="43" t="s">
        <v>864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870</v>
      </c>
    </row>
    <row r="13" spans="2:18" x14ac:dyDescent="0.2">
      <c r="B13" s="148"/>
      <c r="C13" s="2" t="s">
        <v>833</v>
      </c>
      <c r="D13" s="34"/>
      <c r="E13" s="34"/>
      <c r="G13" s="151"/>
      <c r="H13" s="2" t="s">
        <v>833</v>
      </c>
      <c r="I13" s="34"/>
      <c r="K13" s="3" t="s">
        <v>854</v>
      </c>
      <c r="L13" s="3" t="s">
        <v>2063</v>
      </c>
      <c r="N13" s="138" t="s">
        <v>830</v>
      </c>
      <c r="O13" s="43" t="s">
        <v>857</v>
      </c>
      <c r="P13" s="3" t="str">
        <f>textcolor(D22)</f>
        <v>#FFFFFF</v>
      </c>
      <c r="Q13" s="3" t="str">
        <f>textcolor(E22)</f>
        <v>#FFFFFF</v>
      </c>
      <c r="R13" t="s">
        <v>870</v>
      </c>
    </row>
    <row r="14" spans="2:18" ht="13.2" customHeight="1" x14ac:dyDescent="0.2">
      <c r="B14" s="28" t="s">
        <v>826</v>
      </c>
      <c r="C14" s="2" t="s">
        <v>867</v>
      </c>
      <c r="D14" s="133"/>
      <c r="E14" s="133"/>
      <c r="G14" s="150" t="s">
        <v>848</v>
      </c>
      <c r="H14" s="2" t="s">
        <v>827</v>
      </c>
      <c r="I14" s="38" t="s">
        <v>846</v>
      </c>
      <c r="K14" s="3" t="s">
        <v>881</v>
      </c>
      <c r="L14" s="3" t="s">
        <v>2064</v>
      </c>
      <c r="N14" s="149"/>
      <c r="O14" s="43" t="s">
        <v>864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870</v>
      </c>
    </row>
    <row r="15" spans="2:18" ht="13.2" customHeight="1" x14ac:dyDescent="0.2">
      <c r="B15" s="28" t="s">
        <v>875</v>
      </c>
      <c r="C15" s="2" t="s">
        <v>867</v>
      </c>
      <c r="D15" s="51"/>
      <c r="E15" s="51"/>
      <c r="G15" s="151"/>
      <c r="H15" s="2" t="s">
        <v>828</v>
      </c>
      <c r="I15" s="37"/>
      <c r="K15" s="3" t="s">
        <v>2006</v>
      </c>
      <c r="L15" s="42"/>
      <c r="N15" s="139"/>
      <c r="O15" s="43" t="s">
        <v>1973</v>
      </c>
      <c r="P15" s="3" t="str">
        <f>BackGroundColorSingle(D27)</f>
        <v/>
      </c>
      <c r="Q15" s="3" t="str">
        <f>BackGroundColorSingle(E27)</f>
        <v/>
      </c>
      <c r="R15" t="s">
        <v>870</v>
      </c>
    </row>
    <row r="16" spans="2:18" x14ac:dyDescent="0.2">
      <c r="B16" s="28" t="s">
        <v>874</v>
      </c>
      <c r="C16" s="2" t="s">
        <v>867</v>
      </c>
      <c r="D16" s="37"/>
      <c r="E16" s="37"/>
      <c r="G16" s="151"/>
      <c r="H16" s="2" t="s">
        <v>823</v>
      </c>
      <c r="I16" s="2"/>
      <c r="K16" s="3" t="s">
        <v>2007</v>
      </c>
      <c r="L16" s="42"/>
      <c r="N16" s="138" t="s">
        <v>835</v>
      </c>
      <c r="O16" s="43" t="s">
        <v>857</v>
      </c>
      <c r="P16" s="3" t="str">
        <f>textcolor(D28)</f>
        <v>#17242D</v>
      </c>
      <c r="Q16" s="3" t="str">
        <f>textcolor(E28)</f>
        <v>#17242D</v>
      </c>
      <c r="R16" t="s">
        <v>870</v>
      </c>
    </row>
    <row r="17" spans="2:18" x14ac:dyDescent="0.2">
      <c r="B17" s="146" t="s">
        <v>829</v>
      </c>
      <c r="C17" s="2" t="s">
        <v>827</v>
      </c>
      <c r="D17" s="29" t="s">
        <v>837</v>
      </c>
      <c r="E17" s="29" t="s">
        <v>837</v>
      </c>
      <c r="G17" s="151"/>
      <c r="H17" s="2" t="s">
        <v>832</v>
      </c>
      <c r="I17" s="34"/>
      <c r="K17" s="3" t="s">
        <v>2008</v>
      </c>
      <c r="L17" s="42"/>
      <c r="N17" s="139"/>
      <c r="O17" s="43" t="s">
        <v>864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#FFFFFF 0%, #FFFFFF 40%, #E6E6E6 60%, #E6E6E6 100%)</v>
      </c>
      <c r="R17" t="s">
        <v>870</v>
      </c>
    </row>
    <row r="18" spans="2:18" x14ac:dyDescent="0.2">
      <c r="B18" s="147"/>
      <c r="C18" s="2" t="s">
        <v>828</v>
      </c>
      <c r="D18" s="30"/>
      <c r="E18" s="30"/>
      <c r="G18" s="151"/>
      <c r="H18" s="2" t="s">
        <v>833</v>
      </c>
      <c r="I18" s="34"/>
      <c r="N18" s="138" t="s">
        <v>836</v>
      </c>
      <c r="O18" s="43" t="s">
        <v>857</v>
      </c>
      <c r="P18" s="3" t="str">
        <f>textcolor(D33)</f>
        <v>#17242D</v>
      </c>
      <c r="Q18" s="3" t="str">
        <f>textcolor(E33)</f>
        <v>#17242D</v>
      </c>
      <c r="R18" t="s">
        <v>870</v>
      </c>
    </row>
    <row r="19" spans="2:18" x14ac:dyDescent="0.2">
      <c r="B19" s="147"/>
      <c r="C19" s="2" t="s">
        <v>823</v>
      </c>
      <c r="D19" s="2" t="s">
        <v>824</v>
      </c>
      <c r="E19" s="2" t="s">
        <v>824</v>
      </c>
      <c r="G19" s="150" t="s">
        <v>865</v>
      </c>
      <c r="H19" s="2" t="s">
        <v>827</v>
      </c>
      <c r="I19" s="63">
        <v>1</v>
      </c>
      <c r="N19" s="149"/>
      <c r="O19" s="43" t="s">
        <v>864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#FFFFFF 0%, #FFFFFF 40%, #E6E6E6 60%, #E6E6E6 100%)</v>
      </c>
      <c r="R19" t="s">
        <v>870</v>
      </c>
    </row>
    <row r="20" spans="2:18" ht="13.2" customHeight="1" x14ac:dyDescent="0.2">
      <c r="B20" s="147"/>
      <c r="C20" s="2" t="s">
        <v>832</v>
      </c>
      <c r="D20" s="34">
        <v>0.4</v>
      </c>
      <c r="E20" s="34">
        <v>0.4</v>
      </c>
      <c r="G20" s="151"/>
      <c r="H20" s="2" t="s">
        <v>828</v>
      </c>
      <c r="I20" s="37"/>
      <c r="N20" s="139"/>
      <c r="O20" s="43" t="s">
        <v>1973</v>
      </c>
      <c r="P20" s="3" t="str">
        <f>BackGroundColorSingle(D38)</f>
        <v/>
      </c>
      <c r="Q20" s="3" t="str">
        <f>BackGroundColorSingle(E38)</f>
        <v/>
      </c>
      <c r="R20" t="s">
        <v>870</v>
      </c>
    </row>
    <row r="21" spans="2:18" x14ac:dyDescent="0.2">
      <c r="B21" s="148"/>
      <c r="C21" s="2" t="s">
        <v>833</v>
      </c>
      <c r="D21" s="34">
        <v>0.6</v>
      </c>
      <c r="E21" s="34">
        <v>0.6</v>
      </c>
      <c r="G21" s="151"/>
      <c r="H21" s="2" t="s">
        <v>823</v>
      </c>
      <c r="I21" s="2"/>
      <c r="N21" s="138" t="s">
        <v>838</v>
      </c>
      <c r="O21" s="43" t="s">
        <v>857</v>
      </c>
      <c r="P21" s="3" t="str">
        <f>textcolor(D39)</f>
        <v>#FFFFFF</v>
      </c>
      <c r="Q21" s="3" t="str">
        <f>textcolor(E39)</f>
        <v>#FFFFFF</v>
      </c>
      <c r="R21" t="s">
        <v>870</v>
      </c>
    </row>
    <row r="22" spans="2:18" ht="13.2" customHeight="1" x14ac:dyDescent="0.2">
      <c r="B22" s="146" t="s">
        <v>830</v>
      </c>
      <c r="C22" s="2" t="s">
        <v>827</v>
      </c>
      <c r="D22" s="52" t="s">
        <v>834</v>
      </c>
      <c r="E22" s="52" t="s">
        <v>834</v>
      </c>
      <c r="G22" s="151"/>
      <c r="H22" s="2" t="s">
        <v>832</v>
      </c>
      <c r="I22" s="34"/>
      <c r="N22" s="139"/>
      <c r="O22" s="43" t="s">
        <v>864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870</v>
      </c>
    </row>
    <row r="23" spans="2:18" x14ac:dyDescent="0.2">
      <c r="B23" s="147"/>
      <c r="C23" s="2" t="s">
        <v>828</v>
      </c>
      <c r="D23" s="35" t="s">
        <v>834</v>
      </c>
      <c r="E23" s="35" t="s">
        <v>834</v>
      </c>
      <c r="G23" s="151"/>
      <c r="H23" s="2" t="s">
        <v>833</v>
      </c>
      <c r="I23" s="34"/>
      <c r="N23" s="138" t="s">
        <v>839</v>
      </c>
      <c r="O23" s="43" t="s">
        <v>857</v>
      </c>
      <c r="P23" s="3" t="str">
        <f>textcolor(D44)</f>
        <v>#00FF00</v>
      </c>
      <c r="Q23" s="3" t="str">
        <f>textcolor(E44)</f>
        <v>#00FF00</v>
      </c>
      <c r="R23" t="s">
        <v>870</v>
      </c>
    </row>
    <row r="24" spans="2:18" x14ac:dyDescent="0.2">
      <c r="B24" s="147"/>
      <c r="C24" s="2" t="s">
        <v>823</v>
      </c>
      <c r="D24" s="2"/>
      <c r="E24" s="2"/>
      <c r="G24" s="150" t="s">
        <v>849</v>
      </c>
      <c r="H24" s="2" t="s">
        <v>827</v>
      </c>
      <c r="I24" s="39" t="s">
        <v>850</v>
      </c>
      <c r="N24" s="149"/>
      <c r="O24" s="43" t="s">
        <v>864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870</v>
      </c>
    </row>
    <row r="25" spans="2:18" ht="13.2" customHeight="1" x14ac:dyDescent="0.2">
      <c r="B25" s="147"/>
      <c r="C25" s="2" t="s">
        <v>832</v>
      </c>
      <c r="D25" s="34"/>
      <c r="E25" s="34"/>
      <c r="G25" s="151"/>
      <c r="H25" s="2" t="s">
        <v>828</v>
      </c>
      <c r="I25" s="37"/>
      <c r="N25" s="139"/>
      <c r="O25" s="43" t="s">
        <v>1973</v>
      </c>
      <c r="P25" s="3" t="str">
        <f>BackGroundColorSingle(D49)</f>
        <v/>
      </c>
      <c r="Q25" s="3" t="str">
        <f>BackGroundColorSingle(E49)</f>
        <v/>
      </c>
      <c r="R25" t="s">
        <v>870</v>
      </c>
    </row>
    <row r="26" spans="2:18" x14ac:dyDescent="0.2">
      <c r="B26" s="147"/>
      <c r="C26" s="2" t="s">
        <v>833</v>
      </c>
      <c r="D26" s="34"/>
      <c r="E26" s="34"/>
      <c r="G26" s="151"/>
      <c r="H26" s="2" t="s">
        <v>823</v>
      </c>
      <c r="I26" s="2"/>
      <c r="N26" s="138" t="s">
        <v>873</v>
      </c>
      <c r="O26" s="43" t="s">
        <v>857</v>
      </c>
      <c r="P26" s="3" t="str">
        <f>textcolor(D50)</f>
        <v>#17242D</v>
      </c>
      <c r="Q26" s="3" t="str">
        <f>textcolor(E50)</f>
        <v>#17242D</v>
      </c>
      <c r="R26" t="s">
        <v>870</v>
      </c>
    </row>
    <row r="27" spans="2:18" x14ac:dyDescent="0.2">
      <c r="B27" s="148"/>
      <c r="C27" s="2" t="s">
        <v>1973</v>
      </c>
      <c r="D27" s="34"/>
      <c r="E27" s="34"/>
      <c r="G27" s="151"/>
      <c r="H27" s="2" t="s">
        <v>832</v>
      </c>
      <c r="I27" s="34"/>
      <c r="N27" s="139"/>
      <c r="O27" s="43" t="s">
        <v>864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#FFFFFF 0%, #FFFFFF 40%, #E6E6E6 60%, #E6E6E6 100%)</v>
      </c>
      <c r="R27" t="s">
        <v>870</v>
      </c>
    </row>
    <row r="28" spans="2:18" x14ac:dyDescent="0.2">
      <c r="B28" s="146" t="s">
        <v>835</v>
      </c>
      <c r="C28" s="2" t="s">
        <v>827</v>
      </c>
      <c r="D28" s="134" t="s">
        <v>837</v>
      </c>
      <c r="E28" s="134" t="s">
        <v>837</v>
      </c>
      <c r="G28" s="151"/>
      <c r="H28" s="2" t="s">
        <v>833</v>
      </c>
      <c r="I28" s="34"/>
      <c r="N28" s="138" t="s">
        <v>872</v>
      </c>
      <c r="O28" s="43" t="s">
        <v>857</v>
      </c>
      <c r="P28" s="3" t="str">
        <f>textcolor(D55)</f>
        <v>#FFFFFF</v>
      </c>
      <c r="Q28" s="3" t="str">
        <f>textcolor(E55)</f>
        <v>#FFFFFF</v>
      </c>
      <c r="R28" t="s">
        <v>870</v>
      </c>
    </row>
    <row r="29" spans="2:18" x14ac:dyDescent="0.2">
      <c r="B29" s="147"/>
      <c r="C29" s="2" t="s">
        <v>828</v>
      </c>
      <c r="D29" s="103"/>
      <c r="E29" s="103"/>
      <c r="G29" s="146" t="s">
        <v>864</v>
      </c>
      <c r="H29" s="2" t="s">
        <v>827</v>
      </c>
      <c r="I29" s="41"/>
      <c r="N29" s="149"/>
      <c r="O29" s="43" t="s">
        <v>864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870</v>
      </c>
    </row>
    <row r="30" spans="2:18" x14ac:dyDescent="0.2">
      <c r="B30" s="147"/>
      <c r="C30" s="2" t="s">
        <v>823</v>
      </c>
      <c r="D30" s="2" t="s">
        <v>824</v>
      </c>
      <c r="E30" s="2" t="s">
        <v>824</v>
      </c>
      <c r="G30" s="147"/>
      <c r="H30" s="2" t="s">
        <v>828</v>
      </c>
      <c r="I30" s="37"/>
      <c r="N30" s="139"/>
      <c r="O30" s="43" t="s">
        <v>1973</v>
      </c>
      <c r="P30" s="3" t="str">
        <f>BackGroundColorSingle(D60)</f>
        <v/>
      </c>
      <c r="Q30" s="3" t="str">
        <f>BackGroundColorSingle(E60)</f>
        <v/>
      </c>
      <c r="R30" t="s">
        <v>870</v>
      </c>
    </row>
    <row r="31" spans="2:18" ht="13.2" customHeight="1" x14ac:dyDescent="0.2">
      <c r="B31" s="147"/>
      <c r="C31" s="2" t="s">
        <v>832</v>
      </c>
      <c r="D31" s="34">
        <v>0.4</v>
      </c>
      <c r="E31" s="34">
        <v>0.4</v>
      </c>
      <c r="G31" s="147"/>
      <c r="H31" s="2" t="s">
        <v>823</v>
      </c>
      <c r="I31" s="2"/>
      <c r="N31" s="140" t="s">
        <v>840</v>
      </c>
      <c r="O31" s="43" t="s">
        <v>857</v>
      </c>
      <c r="P31" s="3" t="str">
        <f>textcolor(D61)</f>
        <v>#FF0000</v>
      </c>
      <c r="Q31" s="3" t="str">
        <f>textcolor(E61)</f>
        <v>#FFFFFF</v>
      </c>
      <c r="R31" t="s">
        <v>870</v>
      </c>
    </row>
    <row r="32" spans="2:18" x14ac:dyDescent="0.2">
      <c r="B32" s="148"/>
      <c r="C32" s="2" t="s">
        <v>833</v>
      </c>
      <c r="D32" s="34">
        <v>0.6</v>
      </c>
      <c r="E32" s="34">
        <v>0.6</v>
      </c>
      <c r="G32" s="147"/>
      <c r="H32" s="2" t="s">
        <v>832</v>
      </c>
      <c r="I32" s="34"/>
      <c r="N32" s="141"/>
      <c r="O32" s="43" t="s">
        <v>864</v>
      </c>
      <c r="P32" s="3" t="str">
        <f>BackGroundColor(D61,D62,D63,D64,D65,TRUE)</f>
        <v>linear-gradient(to bottom, #223542 0%, #223542 40%, #17242D 60%, #17242D 100%)</v>
      </c>
      <c r="Q32" s="3" t="str">
        <f>BackGroundColor(E61,E62,E63,E64,E65,TRUE)</f>
        <v>linear-gradient(to bottom, #223542 0%, #223542 40%, #17242D 60%, #17242D 100%)</v>
      </c>
      <c r="R32" t="s">
        <v>870</v>
      </c>
    </row>
    <row r="33" spans="2:18" ht="13.2" customHeight="1" x14ac:dyDescent="0.2">
      <c r="B33" s="146" t="s">
        <v>836</v>
      </c>
      <c r="C33" s="2" t="s">
        <v>827</v>
      </c>
      <c r="D33" s="134" t="s">
        <v>834</v>
      </c>
      <c r="E33" s="134" t="s">
        <v>834</v>
      </c>
      <c r="G33" s="148"/>
      <c r="H33" s="2" t="s">
        <v>833</v>
      </c>
      <c r="I33" s="34"/>
      <c r="N33" s="142"/>
      <c r="O33" s="43" t="s">
        <v>1973</v>
      </c>
      <c r="P33" s="3" t="str">
        <f>BackGroundColorSingle(D66)</f>
        <v/>
      </c>
      <c r="Q33" s="3" t="str">
        <f>BackGroundColorSingle(E66)</f>
        <v/>
      </c>
      <c r="R33" t="s">
        <v>870</v>
      </c>
    </row>
    <row r="34" spans="2:18" x14ac:dyDescent="0.2">
      <c r="B34" s="147"/>
      <c r="C34" s="2" t="s">
        <v>828</v>
      </c>
      <c r="D34" s="103"/>
      <c r="E34" s="103"/>
      <c r="G34" s="2" t="s">
        <v>866</v>
      </c>
      <c r="H34" s="2" t="s">
        <v>867</v>
      </c>
      <c r="I34" s="46"/>
      <c r="N34" s="143" t="s">
        <v>843</v>
      </c>
      <c r="O34" s="43" t="s">
        <v>857</v>
      </c>
      <c r="P34" s="3" t="str">
        <f>textcolor(D67)</f>
        <v>#FF0000</v>
      </c>
      <c r="Q34" s="3" t="str">
        <f>textcolor(E67)</f>
        <v>#FFFFFF</v>
      </c>
      <c r="R34" t="s">
        <v>870</v>
      </c>
    </row>
    <row r="35" spans="2:18" x14ac:dyDescent="0.2">
      <c r="B35" s="147"/>
      <c r="C35" s="2" t="s">
        <v>823</v>
      </c>
      <c r="D35" s="2" t="s">
        <v>824</v>
      </c>
      <c r="E35" s="2" t="s">
        <v>824</v>
      </c>
      <c r="G35" s="2" t="s">
        <v>876</v>
      </c>
      <c r="H35" s="2" t="s">
        <v>867</v>
      </c>
      <c r="I35" s="51"/>
      <c r="N35" s="144"/>
      <c r="O35" s="43" t="s">
        <v>864</v>
      </c>
      <c r="P35" s="3" t="str">
        <f>BackGroundColor(D67,D68,D69,D70,D71,FALSE)</f>
        <v>linear-gradient(to bottom, #223542 0%, #223542 40%, #17242D 60%, #17242D 100%)</v>
      </c>
      <c r="Q35" s="3" t="str">
        <f>BackGroundColor(E67,E68,E69,E70,E71,FALSE)</f>
        <v>linear-gradient(to bottom, #223542 0%, #223542 40%, #17242D 60%, #17242D 100%)</v>
      </c>
      <c r="R35" t="s">
        <v>870</v>
      </c>
    </row>
    <row r="36" spans="2:18" ht="13.2" customHeight="1" x14ac:dyDescent="0.2">
      <c r="B36" s="147"/>
      <c r="C36" s="2" t="s">
        <v>832</v>
      </c>
      <c r="D36" s="34">
        <v>0.4</v>
      </c>
      <c r="E36" s="34">
        <v>0.4</v>
      </c>
      <c r="G36" s="146" t="s">
        <v>877</v>
      </c>
      <c r="H36" s="2" t="s">
        <v>827</v>
      </c>
      <c r="I36" s="39" t="s">
        <v>837</v>
      </c>
      <c r="N36" s="145"/>
      <c r="O36" s="43" t="s">
        <v>1973</v>
      </c>
      <c r="P36" s="3" t="str">
        <f>BackGroundColorSingle(D72)</f>
        <v/>
      </c>
      <c r="Q36" s="3" t="str">
        <f>BackGroundColorSingle(E72)</f>
        <v/>
      </c>
      <c r="R36" t="s">
        <v>870</v>
      </c>
    </row>
    <row r="37" spans="2:18" x14ac:dyDescent="0.2">
      <c r="B37" s="147"/>
      <c r="C37" s="2" t="s">
        <v>833</v>
      </c>
      <c r="D37" s="34">
        <v>0.6</v>
      </c>
      <c r="E37" s="34">
        <v>0.6</v>
      </c>
      <c r="G37" s="147"/>
      <c r="H37" s="2" t="s">
        <v>828</v>
      </c>
      <c r="I37" s="37"/>
      <c r="N37" s="143" t="s">
        <v>844</v>
      </c>
      <c r="O37" s="43" t="s">
        <v>857</v>
      </c>
      <c r="P37" s="3" t="str">
        <f>textcolor(D73)</f>
        <v>#00FF00</v>
      </c>
      <c r="Q37" s="3" t="str">
        <f>textcolor(E73)</f>
        <v>#00FF00</v>
      </c>
      <c r="R37" t="s">
        <v>870</v>
      </c>
    </row>
    <row r="38" spans="2:18" x14ac:dyDescent="0.2">
      <c r="B38" s="148"/>
      <c r="C38" s="2" t="s">
        <v>1973</v>
      </c>
      <c r="D38" s="118"/>
      <c r="E38" s="118"/>
      <c r="G38" s="147"/>
      <c r="H38" s="2" t="s">
        <v>823</v>
      </c>
      <c r="I38" s="2"/>
      <c r="N38" s="144"/>
      <c r="O38" s="43" t="s">
        <v>864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870</v>
      </c>
    </row>
    <row r="39" spans="2:18" x14ac:dyDescent="0.2">
      <c r="B39" s="146" t="s">
        <v>838</v>
      </c>
      <c r="C39" s="2" t="s">
        <v>827</v>
      </c>
      <c r="D39" s="29" t="s">
        <v>837</v>
      </c>
      <c r="E39" s="29" t="s">
        <v>837</v>
      </c>
      <c r="G39" s="147"/>
      <c r="H39" s="2" t="s">
        <v>832</v>
      </c>
      <c r="I39" s="34"/>
      <c r="N39" s="145"/>
      <c r="O39" s="43" t="s">
        <v>1973</v>
      </c>
      <c r="P39" s="3" t="str">
        <f>BackGroundColorSingle(D78)</f>
        <v/>
      </c>
      <c r="Q39" s="3" t="str">
        <f>BackGroundColorSingle(E78)</f>
        <v/>
      </c>
      <c r="R39" t="s">
        <v>870</v>
      </c>
    </row>
    <row r="40" spans="2:18" x14ac:dyDescent="0.2">
      <c r="B40" s="147"/>
      <c r="C40" s="2" t="s">
        <v>828</v>
      </c>
      <c r="D40" s="30"/>
      <c r="E40" s="30"/>
      <c r="G40" s="148"/>
      <c r="H40" s="2" t="s">
        <v>833</v>
      </c>
      <c r="I40" s="34"/>
      <c r="N40" s="154" t="s">
        <v>841</v>
      </c>
      <c r="O40" s="43" t="s">
        <v>857</v>
      </c>
      <c r="P40" s="3" t="str">
        <f>textcolor(D79)</f>
        <v>#FF0000</v>
      </c>
      <c r="Q40" s="3" t="str">
        <f>textcolor(E79)</f>
        <v>#FFFFFF</v>
      </c>
      <c r="R40" t="s">
        <v>870</v>
      </c>
    </row>
    <row r="41" spans="2:18" x14ac:dyDescent="0.2">
      <c r="B41" s="147"/>
      <c r="C41" s="2" t="s">
        <v>823</v>
      </c>
      <c r="D41" s="2" t="s">
        <v>824</v>
      </c>
      <c r="E41" s="2" t="s">
        <v>824</v>
      </c>
      <c r="G41" s="150" t="s">
        <v>878</v>
      </c>
      <c r="H41" s="2" t="s">
        <v>827</v>
      </c>
      <c r="I41" s="52" t="s">
        <v>834</v>
      </c>
      <c r="N41" s="155"/>
      <c r="O41" s="43" t="s">
        <v>864</v>
      </c>
      <c r="P41" s="3" t="str">
        <f>BackGroundColor(D79,D80,D81,D82,D83,TRUE)</f>
        <v>linear-gradient(to bottom, #223542 0%, #223542 40%, #17242D 60%, #17242D 100%)</v>
      </c>
      <c r="Q41" s="3" t="str">
        <f>BackGroundColor(E79,E80,E81,E82,E83,TRUE)</f>
        <v>linear-gradient(to bottom, #223542 0%, #223542 40%, #17242D 60%, #17242D 100%)</v>
      </c>
      <c r="R41" t="s">
        <v>870</v>
      </c>
    </row>
    <row r="42" spans="2:18" ht="13.2" customHeight="1" x14ac:dyDescent="0.2">
      <c r="B42" s="147"/>
      <c r="C42" s="2" t="s">
        <v>832</v>
      </c>
      <c r="D42" s="34">
        <v>0.4</v>
      </c>
      <c r="E42" s="34">
        <v>0.4</v>
      </c>
      <c r="G42" s="150"/>
      <c r="H42" s="2" t="s">
        <v>828</v>
      </c>
      <c r="I42" s="37"/>
      <c r="N42" s="156"/>
      <c r="O42" s="43" t="s">
        <v>1973</v>
      </c>
      <c r="P42" s="3" t="str">
        <f>BackGroundColorSingle(D84)</f>
        <v/>
      </c>
      <c r="Q42" s="3" t="str">
        <f>BackGroundColorSingle(E84)</f>
        <v/>
      </c>
      <c r="R42" t="s">
        <v>870</v>
      </c>
    </row>
    <row r="43" spans="2:18" x14ac:dyDescent="0.2">
      <c r="B43" s="148"/>
      <c r="C43" s="2" t="s">
        <v>833</v>
      </c>
      <c r="D43" s="34">
        <v>0.6</v>
      </c>
      <c r="E43" s="34">
        <v>0.6</v>
      </c>
      <c r="G43" s="150"/>
      <c r="H43" s="2" t="s">
        <v>823</v>
      </c>
      <c r="I43" s="2"/>
      <c r="N43" s="47" t="s">
        <v>858</v>
      </c>
      <c r="O43" s="43" t="s">
        <v>857</v>
      </c>
      <c r="P43" s="3" t="str">
        <f>textcolor(D85)</f>
        <v>#FFFF00</v>
      </c>
      <c r="Q43" s="3" t="str">
        <f>textcolor(E85)</f>
        <v>#FFFF00</v>
      </c>
      <c r="R43" t="s">
        <v>870</v>
      </c>
    </row>
    <row r="44" spans="2:18" ht="13.2" customHeight="1" x14ac:dyDescent="0.2">
      <c r="B44" s="146" t="s">
        <v>839</v>
      </c>
      <c r="C44" s="2" t="s">
        <v>827</v>
      </c>
      <c r="D44" s="53" t="s">
        <v>834</v>
      </c>
      <c r="E44" s="53" t="s">
        <v>834</v>
      </c>
      <c r="G44" s="150"/>
      <c r="H44" s="2" t="s">
        <v>832</v>
      </c>
      <c r="I44" s="34"/>
      <c r="N44" s="152" t="s">
        <v>860</v>
      </c>
      <c r="O44" s="43" t="s">
        <v>857</v>
      </c>
      <c r="P44" s="3" t="str">
        <f>textcolor(I4)</f>
        <v>#000000</v>
      </c>
      <c r="Q44" t="s">
        <v>870</v>
      </c>
      <c r="R44" t="s">
        <v>870</v>
      </c>
    </row>
    <row r="45" spans="2:18" x14ac:dyDescent="0.2">
      <c r="B45" s="147"/>
      <c r="C45" s="2" t="s">
        <v>828</v>
      </c>
      <c r="D45" s="31" t="s">
        <v>834</v>
      </c>
      <c r="E45" s="31" t="s">
        <v>834</v>
      </c>
      <c r="G45" s="150"/>
      <c r="H45" s="2" t="s">
        <v>833</v>
      </c>
      <c r="I45" s="34"/>
      <c r="N45" s="153"/>
      <c r="O45" s="43" t="s">
        <v>864</v>
      </c>
      <c r="P45" s="3" t="str">
        <f>BackGroundColor(I4,I5,I6,I7,I8,TRUE)</f>
        <v>#FFFFFF</v>
      </c>
      <c r="Q45" t="s">
        <v>870</v>
      </c>
      <c r="R45" t="s">
        <v>870</v>
      </c>
    </row>
    <row r="46" spans="2:18" x14ac:dyDescent="0.2">
      <c r="B46" s="147"/>
      <c r="C46" s="2" t="s">
        <v>823</v>
      </c>
      <c r="D46" s="2"/>
      <c r="E46" s="2"/>
      <c r="N46" s="152" t="s">
        <v>861</v>
      </c>
      <c r="O46" s="43" t="s">
        <v>857</v>
      </c>
      <c r="P46" s="3" t="str">
        <f>textcolor(I9)</f>
        <v>#000000</v>
      </c>
      <c r="Q46" t="s">
        <v>870</v>
      </c>
      <c r="R46" t="s">
        <v>870</v>
      </c>
    </row>
    <row r="47" spans="2:18" ht="13.2" customHeight="1" x14ac:dyDescent="0.2">
      <c r="B47" s="147"/>
      <c r="C47" s="2" t="s">
        <v>832</v>
      </c>
      <c r="D47" s="34"/>
      <c r="E47" s="34"/>
      <c r="N47" s="153"/>
      <c r="O47" s="43" t="s">
        <v>864</v>
      </c>
      <c r="P47" s="3" t="str">
        <f>BackGroundColor(I9,I10,I11,I12,I13,TRUE)</f>
        <v>#E6E6E6</v>
      </c>
      <c r="Q47" t="s">
        <v>870</v>
      </c>
      <c r="R47" t="s">
        <v>870</v>
      </c>
    </row>
    <row r="48" spans="2:18" x14ac:dyDescent="0.2">
      <c r="B48" s="147"/>
      <c r="C48" s="2" t="s">
        <v>833</v>
      </c>
      <c r="D48" s="34"/>
      <c r="E48" s="34"/>
      <c r="N48" s="152" t="s">
        <v>862</v>
      </c>
      <c r="O48" s="43" t="s">
        <v>857</v>
      </c>
      <c r="P48" s="3" t="str">
        <f>textcolor(I14)</f>
        <v>#FFFF00</v>
      </c>
      <c r="Q48" t="s">
        <v>870</v>
      </c>
      <c r="R48" t="s">
        <v>870</v>
      </c>
    </row>
    <row r="49" spans="2:18" x14ac:dyDescent="0.2">
      <c r="B49" s="148"/>
      <c r="C49" s="2" t="s">
        <v>1973</v>
      </c>
      <c r="D49" s="3"/>
      <c r="E49" s="3"/>
      <c r="N49" s="153"/>
      <c r="O49" s="43" t="s">
        <v>864</v>
      </c>
      <c r="P49" s="3" t="str">
        <f>BackGroundColor(I14,I15,I16,I17,I18,TRUE)</f>
        <v>#000000</v>
      </c>
      <c r="Q49" t="s">
        <v>870</v>
      </c>
      <c r="R49" t="s">
        <v>870</v>
      </c>
    </row>
    <row r="50" spans="2:18" x14ac:dyDescent="0.2">
      <c r="B50" s="146" t="s">
        <v>873</v>
      </c>
      <c r="C50" s="2" t="s">
        <v>827</v>
      </c>
      <c r="D50" s="134" t="s">
        <v>837</v>
      </c>
      <c r="E50" s="134" t="s">
        <v>837</v>
      </c>
      <c r="N50" s="152" t="s">
        <v>871</v>
      </c>
      <c r="O50" s="43" t="s">
        <v>857</v>
      </c>
      <c r="P50" s="3" t="str">
        <f>textcolor(I19)</f>
        <v>#FFFFFF</v>
      </c>
      <c r="Q50" t="s">
        <v>870</v>
      </c>
      <c r="R50" t="s">
        <v>870</v>
      </c>
    </row>
    <row r="51" spans="2:18" x14ac:dyDescent="0.2">
      <c r="B51" s="147"/>
      <c r="C51" s="2" t="s">
        <v>828</v>
      </c>
      <c r="D51" s="103"/>
      <c r="E51" s="103"/>
      <c r="N51" s="153"/>
      <c r="O51" s="43" t="s">
        <v>864</v>
      </c>
      <c r="P51" s="3" t="str">
        <f>BackGroundColor(I19,I20,I21,I22,I23,FALSE)</f>
        <v>#595959</v>
      </c>
      <c r="Q51" t="s">
        <v>870</v>
      </c>
      <c r="R51" t="s">
        <v>870</v>
      </c>
    </row>
    <row r="52" spans="2:18" x14ac:dyDescent="0.2">
      <c r="B52" s="147"/>
      <c r="C52" s="2" t="s">
        <v>823</v>
      </c>
      <c r="D52" s="2" t="s">
        <v>824</v>
      </c>
      <c r="E52" s="2" t="s">
        <v>824</v>
      </c>
      <c r="N52" s="152" t="s">
        <v>863</v>
      </c>
      <c r="O52" s="43" t="s">
        <v>857</v>
      </c>
      <c r="P52" s="3" t="str">
        <f>textcolor(I24)</f>
        <v>#000000</v>
      </c>
      <c r="Q52" t="s">
        <v>870</v>
      </c>
      <c r="R52" t="s">
        <v>870</v>
      </c>
    </row>
    <row r="53" spans="2:18" x14ac:dyDescent="0.2">
      <c r="B53" s="147"/>
      <c r="C53" s="2" t="s">
        <v>832</v>
      </c>
      <c r="D53" s="34">
        <v>0.4</v>
      </c>
      <c r="E53" s="34">
        <v>0.4</v>
      </c>
      <c r="N53" s="153"/>
      <c r="O53" s="43" t="s">
        <v>864</v>
      </c>
      <c r="P53" s="3" t="str">
        <f>BackGroundColor(I24,I25,I26,I27,I28,FALSE)</f>
        <v>#FFFFFF</v>
      </c>
      <c r="Q53" t="s">
        <v>870</v>
      </c>
      <c r="R53" t="s">
        <v>870</v>
      </c>
    </row>
    <row r="54" spans="2:18" x14ac:dyDescent="0.2">
      <c r="B54" s="148"/>
      <c r="C54" s="2" t="s">
        <v>833</v>
      </c>
      <c r="D54" s="34">
        <v>0.6</v>
      </c>
      <c r="E54" s="34">
        <v>0.6</v>
      </c>
      <c r="N54" s="49" t="s">
        <v>864</v>
      </c>
      <c r="O54" s="43" t="s">
        <v>867</v>
      </c>
      <c r="P54" s="3" t="str">
        <f>BackGroundColor(I29,I30,I31,I32,I33,FALSE)</f>
        <v>#000000</v>
      </c>
      <c r="Q54" t="s">
        <v>870</v>
      </c>
      <c r="R54" t="s">
        <v>870</v>
      </c>
    </row>
    <row r="55" spans="2:18" ht="13.2" customHeight="1" x14ac:dyDescent="0.2">
      <c r="B55" s="146" t="s">
        <v>872</v>
      </c>
      <c r="C55" s="2" t="s">
        <v>827</v>
      </c>
      <c r="D55" s="52" t="s">
        <v>834</v>
      </c>
      <c r="E55" s="52" t="s">
        <v>834</v>
      </c>
      <c r="N55" s="48" t="s">
        <v>866</v>
      </c>
      <c r="O55" s="43" t="s">
        <v>867</v>
      </c>
      <c r="P55" s="3" t="str">
        <f>BackGroundColorSingle(I34)</f>
        <v>#FF0000</v>
      </c>
      <c r="Q55" t="s">
        <v>870</v>
      </c>
      <c r="R55" t="s">
        <v>870</v>
      </c>
    </row>
    <row r="56" spans="2:18" x14ac:dyDescent="0.2">
      <c r="B56" s="147"/>
      <c r="C56" s="2" t="s">
        <v>828</v>
      </c>
      <c r="D56" s="31" t="s">
        <v>834</v>
      </c>
      <c r="E56" s="31" t="s">
        <v>834</v>
      </c>
      <c r="N56" s="48" t="s">
        <v>876</v>
      </c>
      <c r="O56" s="43" t="s">
        <v>867</v>
      </c>
      <c r="P56" s="3" t="str">
        <f>BackGroundColorSingle(I35)</f>
        <v>#7F7F7F</v>
      </c>
      <c r="Q56" t="s">
        <v>870</v>
      </c>
      <c r="R56" t="s">
        <v>870</v>
      </c>
    </row>
    <row r="57" spans="2:18" x14ac:dyDescent="0.2">
      <c r="B57" s="147"/>
      <c r="C57" s="2" t="s">
        <v>823</v>
      </c>
      <c r="D57" s="2"/>
      <c r="E57" s="2"/>
      <c r="N57" s="152" t="s">
        <v>879</v>
      </c>
      <c r="O57" s="43" t="s">
        <v>857</v>
      </c>
      <c r="P57" s="3" t="str">
        <f>textcolor(I36)</f>
        <v>#000000</v>
      </c>
      <c r="Q57" t="s">
        <v>870</v>
      </c>
      <c r="R57" t="s">
        <v>870</v>
      </c>
    </row>
    <row r="58" spans="2:18" x14ac:dyDescent="0.2">
      <c r="B58" s="147"/>
      <c r="C58" s="2" t="s">
        <v>832</v>
      </c>
      <c r="D58" s="34"/>
      <c r="E58" s="34"/>
      <c r="N58" s="153"/>
      <c r="O58" s="43" t="s">
        <v>864</v>
      </c>
      <c r="P58" s="3" t="str">
        <f>BackGroundColor(I36,I37,I38,I39,I40,FALSE)</f>
        <v>#FFFFFF</v>
      </c>
      <c r="Q58" t="s">
        <v>870</v>
      </c>
      <c r="R58" t="s">
        <v>870</v>
      </c>
    </row>
    <row r="59" spans="2:18" x14ac:dyDescent="0.2">
      <c r="B59" s="147"/>
      <c r="C59" s="2" t="s">
        <v>833</v>
      </c>
      <c r="D59" s="34"/>
      <c r="E59" s="34"/>
      <c r="N59" s="152" t="s">
        <v>880</v>
      </c>
      <c r="O59" s="43" t="s">
        <v>857</v>
      </c>
      <c r="P59" s="3" t="str">
        <f>textcolor(I41)</f>
        <v>#FFFFFF</v>
      </c>
      <c r="Q59" t="s">
        <v>870</v>
      </c>
      <c r="R59" t="s">
        <v>870</v>
      </c>
    </row>
    <row r="60" spans="2:18" x14ac:dyDescent="0.2">
      <c r="B60" s="148"/>
      <c r="C60" s="2" t="s">
        <v>1973</v>
      </c>
      <c r="D60" s="3"/>
      <c r="E60" s="3"/>
      <c r="N60" s="153"/>
      <c r="O60" s="43" t="s">
        <v>864</v>
      </c>
      <c r="P60" s="3" t="str">
        <f>BackGroundColor(I41,I42,I43,I44,I45,FALSE)</f>
        <v>#404040</v>
      </c>
      <c r="Q60" t="s">
        <v>870</v>
      </c>
    </row>
    <row r="61" spans="2:18" x14ac:dyDescent="0.2">
      <c r="B61" s="146" t="s">
        <v>840</v>
      </c>
      <c r="C61" s="2" t="s">
        <v>827</v>
      </c>
      <c r="D61" s="132" t="s">
        <v>834</v>
      </c>
      <c r="E61" s="136" t="s">
        <v>834</v>
      </c>
    </row>
    <row r="62" spans="2:18" x14ac:dyDescent="0.2">
      <c r="B62" s="147"/>
      <c r="C62" s="2" t="s">
        <v>828</v>
      </c>
      <c r="D62" s="131"/>
      <c r="E62" s="131"/>
    </row>
    <row r="63" spans="2:18" x14ac:dyDescent="0.2">
      <c r="B63" s="147"/>
      <c r="C63" s="2" t="s">
        <v>823</v>
      </c>
      <c r="D63" s="2" t="s">
        <v>824</v>
      </c>
      <c r="E63" s="2" t="s">
        <v>824</v>
      </c>
    </row>
    <row r="64" spans="2:18" x14ac:dyDescent="0.2">
      <c r="B64" s="147"/>
      <c r="C64" s="2" t="s">
        <v>832</v>
      </c>
      <c r="D64" s="34">
        <v>0.4</v>
      </c>
      <c r="E64" s="34">
        <v>0.4</v>
      </c>
    </row>
    <row r="65" spans="2:5" x14ac:dyDescent="0.2">
      <c r="B65" s="147"/>
      <c r="C65" s="2" t="s">
        <v>833</v>
      </c>
      <c r="D65" s="34">
        <v>0.6</v>
      </c>
      <c r="E65" s="34">
        <v>0.6</v>
      </c>
    </row>
    <row r="66" spans="2:5" x14ac:dyDescent="0.2">
      <c r="B66" s="148"/>
      <c r="C66" s="2" t="s">
        <v>1973</v>
      </c>
      <c r="D66" s="118"/>
      <c r="E66" s="118"/>
    </row>
    <row r="67" spans="2:5" ht="13.2" customHeight="1" x14ac:dyDescent="0.2">
      <c r="B67" s="146" t="s">
        <v>843</v>
      </c>
      <c r="C67" s="2" t="s">
        <v>827</v>
      </c>
      <c r="D67" s="132" t="s">
        <v>834</v>
      </c>
      <c r="E67" s="137" t="s">
        <v>834</v>
      </c>
    </row>
    <row r="68" spans="2:5" x14ac:dyDescent="0.2">
      <c r="B68" s="147"/>
      <c r="C68" s="2" t="s">
        <v>828</v>
      </c>
      <c r="D68" s="131"/>
      <c r="E68" s="131"/>
    </row>
    <row r="69" spans="2:5" x14ac:dyDescent="0.2">
      <c r="B69" s="147"/>
      <c r="C69" s="2" t="s">
        <v>823</v>
      </c>
      <c r="D69" s="2" t="s">
        <v>824</v>
      </c>
      <c r="E69" s="2" t="s">
        <v>824</v>
      </c>
    </row>
    <row r="70" spans="2:5" x14ac:dyDescent="0.2">
      <c r="B70" s="147"/>
      <c r="C70" s="2" t="s">
        <v>832</v>
      </c>
      <c r="D70" s="34">
        <v>0.4</v>
      </c>
      <c r="E70" s="34">
        <v>0.4</v>
      </c>
    </row>
    <row r="71" spans="2:5" x14ac:dyDescent="0.2">
      <c r="B71" s="147"/>
      <c r="C71" s="2" t="s">
        <v>833</v>
      </c>
      <c r="D71" s="34">
        <v>0.6</v>
      </c>
      <c r="E71" s="34">
        <v>0.6</v>
      </c>
    </row>
    <row r="72" spans="2:5" x14ac:dyDescent="0.2">
      <c r="B72" s="148"/>
      <c r="C72" s="2" t="s">
        <v>1973</v>
      </c>
      <c r="D72" s="3"/>
      <c r="E72" s="3"/>
    </row>
    <row r="73" spans="2:5" ht="13.2" customHeight="1" x14ac:dyDescent="0.2">
      <c r="B73" s="146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47"/>
      <c r="C74" s="2" t="s">
        <v>828</v>
      </c>
      <c r="D74" s="31" t="s">
        <v>834</v>
      </c>
      <c r="E74" s="31" t="s">
        <v>834</v>
      </c>
    </row>
    <row r="75" spans="2:5" x14ac:dyDescent="0.2">
      <c r="B75" s="147"/>
      <c r="C75" s="2" t="s">
        <v>823</v>
      </c>
      <c r="D75" s="2"/>
      <c r="E75" s="2"/>
    </row>
    <row r="76" spans="2:5" x14ac:dyDescent="0.2">
      <c r="B76" s="147"/>
      <c r="C76" s="2" t="s">
        <v>832</v>
      </c>
      <c r="D76" s="34"/>
      <c r="E76" s="34"/>
    </row>
    <row r="77" spans="2:5" x14ac:dyDescent="0.2">
      <c r="B77" s="147"/>
      <c r="C77" s="2" t="s">
        <v>833</v>
      </c>
      <c r="D77" s="34"/>
      <c r="E77" s="34"/>
    </row>
    <row r="78" spans="2:5" x14ac:dyDescent="0.2">
      <c r="B78" s="148"/>
      <c r="C78" s="2" t="s">
        <v>1973</v>
      </c>
      <c r="D78" s="3"/>
      <c r="E78" s="3"/>
    </row>
    <row r="79" spans="2:5" x14ac:dyDescent="0.2">
      <c r="B79" s="146" t="s">
        <v>841</v>
      </c>
      <c r="C79" s="2" t="s">
        <v>827</v>
      </c>
      <c r="D79" s="132" t="s">
        <v>834</v>
      </c>
      <c r="E79" s="137" t="s">
        <v>834</v>
      </c>
    </row>
    <row r="80" spans="2:5" x14ac:dyDescent="0.2">
      <c r="B80" s="147"/>
      <c r="C80" s="2" t="s">
        <v>828</v>
      </c>
      <c r="D80" s="131"/>
      <c r="E80" s="131"/>
    </row>
    <row r="81" spans="2:5" x14ac:dyDescent="0.2">
      <c r="B81" s="147"/>
      <c r="C81" s="2" t="s">
        <v>823</v>
      </c>
      <c r="D81" s="2" t="s">
        <v>824</v>
      </c>
      <c r="E81" s="2" t="s">
        <v>824</v>
      </c>
    </row>
    <row r="82" spans="2:5" x14ac:dyDescent="0.2">
      <c r="B82" s="147"/>
      <c r="C82" s="2" t="s">
        <v>832</v>
      </c>
      <c r="D82" s="34">
        <v>0.4</v>
      </c>
      <c r="E82" s="34">
        <v>0.4</v>
      </c>
    </row>
    <row r="83" spans="2:5" x14ac:dyDescent="0.2">
      <c r="B83" s="147"/>
      <c r="C83" s="2" t="s">
        <v>833</v>
      </c>
      <c r="D83" s="34">
        <v>0.6</v>
      </c>
      <c r="E83" s="34">
        <v>0.6</v>
      </c>
    </row>
    <row r="84" spans="2:5" x14ac:dyDescent="0.2">
      <c r="B84" s="148"/>
      <c r="C84" s="2" t="s">
        <v>1973</v>
      </c>
      <c r="D84" s="3"/>
      <c r="E84" s="3"/>
    </row>
    <row r="85" spans="2:5" x14ac:dyDescent="0.2">
      <c r="B85" s="28" t="s">
        <v>858</v>
      </c>
      <c r="C85" s="2" t="s">
        <v>859</v>
      </c>
      <c r="D85" s="45" t="s">
        <v>857</v>
      </c>
      <c r="E85" s="45" t="s">
        <v>857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75:E75 D11:E11 D69:E69 D63:E63 D19:E19 D41:E41 D35:E35 D46:E46 D30:E30 D24:E24 D6:E6 D52:E52 D81:E81 D57:E57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S129"/>
  <sheetViews>
    <sheetView zoomScaleNormal="100" workbookViewId="0"/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9" x14ac:dyDescent="0.2">
      <c r="D2" s="67" t="s">
        <v>2059</v>
      </c>
      <c r="E2" s="68" t="s">
        <v>2053</v>
      </c>
      <c r="F2" s="68" t="s">
        <v>1941</v>
      </c>
      <c r="G2" s="68" t="s">
        <v>2056</v>
      </c>
      <c r="H2" s="68" t="s">
        <v>1942</v>
      </c>
      <c r="I2" s="68" t="s">
        <v>1943</v>
      </c>
      <c r="J2" s="68" t="s">
        <v>1944</v>
      </c>
      <c r="K2" s="68" t="s">
        <v>2062</v>
      </c>
      <c r="L2" s="68" t="s">
        <v>2061</v>
      </c>
      <c r="M2" s="68" t="s">
        <v>1945</v>
      </c>
      <c r="N2" s="68" t="s">
        <v>1946</v>
      </c>
      <c r="O2" s="68" t="s">
        <v>1990</v>
      </c>
      <c r="P2" s="68" t="s">
        <v>2010</v>
      </c>
      <c r="Q2" s="68" t="s">
        <v>2072</v>
      </c>
      <c r="R2" s="68" t="s">
        <v>2073</v>
      </c>
      <c r="S2" s="68" t="s">
        <v>2076</v>
      </c>
    </row>
    <row r="3" spans="2:19" x14ac:dyDescent="0.2">
      <c r="B3" s="146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  <c r="Q3" s="132" t="s">
        <v>831</v>
      </c>
      <c r="R3" s="135" t="s">
        <v>831</v>
      </c>
      <c r="S3" s="159" t="s">
        <v>831</v>
      </c>
    </row>
    <row r="4" spans="2:19" x14ac:dyDescent="0.2">
      <c r="B4" s="147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131"/>
      <c r="R4" s="103"/>
      <c r="S4" s="103"/>
    </row>
    <row r="5" spans="2:19" x14ac:dyDescent="0.2">
      <c r="B5" s="147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  <c r="Q5" s="2"/>
      <c r="R5" s="2"/>
      <c r="S5" s="2"/>
    </row>
    <row r="6" spans="2:19" x14ac:dyDescent="0.2">
      <c r="B6" s="147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/>
      <c r="R6" s="34"/>
      <c r="S6" s="34"/>
    </row>
    <row r="7" spans="2:19" x14ac:dyDescent="0.2">
      <c r="B7" s="148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/>
      <c r="R7" s="34"/>
      <c r="S7" s="34"/>
    </row>
    <row r="8" spans="2:19" x14ac:dyDescent="0.2">
      <c r="B8" s="146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  <c r="Q8" s="29" t="s">
        <v>831</v>
      </c>
      <c r="R8" s="29" t="s">
        <v>831</v>
      </c>
      <c r="S8" s="29" t="s">
        <v>831</v>
      </c>
    </row>
    <row r="9" spans="2:19" x14ac:dyDescent="0.2">
      <c r="B9" s="147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</row>
    <row r="10" spans="2:19" x14ac:dyDescent="0.2">
      <c r="B10" s="147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147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2:19" x14ac:dyDescent="0.2">
      <c r="B12" s="148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2:19" x14ac:dyDescent="0.2">
      <c r="B13" s="28" t="s">
        <v>826</v>
      </c>
      <c r="C13" s="2" t="s">
        <v>867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133"/>
      <c r="R13" s="133"/>
      <c r="S13" s="50"/>
    </row>
    <row r="14" spans="2:19" x14ac:dyDescent="0.2">
      <c r="B14" s="28" t="s">
        <v>875</v>
      </c>
      <c r="C14" s="2" t="s">
        <v>867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2:19" x14ac:dyDescent="0.2">
      <c r="B15" s="28" t="s">
        <v>874</v>
      </c>
      <c r="C15" s="2" t="s">
        <v>867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  <c r="Q15" s="37"/>
      <c r="R15" s="37"/>
      <c r="S15" s="37"/>
    </row>
    <row r="16" spans="2:19" x14ac:dyDescent="0.2">
      <c r="B16" s="146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  <c r="Q16" s="29" t="s">
        <v>837</v>
      </c>
      <c r="R16" s="29" t="s">
        <v>837</v>
      </c>
      <c r="S16" s="29" t="s">
        <v>837</v>
      </c>
    </row>
    <row r="17" spans="2:19" x14ac:dyDescent="0.2">
      <c r="B17" s="147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0"/>
      <c r="R17" s="30"/>
      <c r="S17" s="30"/>
    </row>
    <row r="18" spans="2:19" x14ac:dyDescent="0.2">
      <c r="B18" s="147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  <c r="Q18" s="2" t="s">
        <v>824</v>
      </c>
      <c r="R18" s="2" t="s">
        <v>824</v>
      </c>
      <c r="S18" s="2" t="s">
        <v>824</v>
      </c>
    </row>
    <row r="19" spans="2:19" x14ac:dyDescent="0.2">
      <c r="B19" s="147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>
        <v>0.4</v>
      </c>
      <c r="R19" s="34">
        <v>0.4</v>
      </c>
      <c r="S19" s="34">
        <v>0.4</v>
      </c>
    </row>
    <row r="20" spans="2:19" x14ac:dyDescent="0.2">
      <c r="B20" s="148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>
        <v>0.6</v>
      </c>
      <c r="R20" s="34">
        <v>0.6</v>
      </c>
      <c r="S20" s="34">
        <v>0.6</v>
      </c>
    </row>
    <row r="21" spans="2:19" x14ac:dyDescent="0.2">
      <c r="B21" s="146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  <c r="Q21" s="52" t="s">
        <v>834</v>
      </c>
      <c r="R21" s="52" t="s">
        <v>834</v>
      </c>
      <c r="S21" s="52" t="s">
        <v>834</v>
      </c>
    </row>
    <row r="22" spans="2:19" x14ac:dyDescent="0.2">
      <c r="B22" s="147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  <c r="Q22" s="35" t="s">
        <v>834</v>
      </c>
      <c r="R22" s="35" t="s">
        <v>834</v>
      </c>
      <c r="S22" s="35" t="s">
        <v>834</v>
      </c>
    </row>
    <row r="23" spans="2:19" x14ac:dyDescent="0.2">
      <c r="B23" s="147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147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</row>
    <row r="25" spans="2:19" x14ac:dyDescent="0.2">
      <c r="B25" s="147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</row>
    <row r="26" spans="2:19" x14ac:dyDescent="0.2">
      <c r="B26" s="148"/>
      <c r="C26" s="2" t="s">
        <v>1973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</row>
    <row r="27" spans="2:19" x14ac:dyDescent="0.2">
      <c r="B27" s="146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  <c r="Q27" s="134" t="s">
        <v>837</v>
      </c>
      <c r="R27" s="134" t="s">
        <v>837</v>
      </c>
      <c r="S27" s="27" t="s">
        <v>837</v>
      </c>
    </row>
    <row r="28" spans="2:19" x14ac:dyDescent="0.2">
      <c r="B28" s="147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103"/>
      <c r="R28" s="103"/>
      <c r="S28" s="32"/>
    </row>
    <row r="29" spans="2:19" x14ac:dyDescent="0.2">
      <c r="B29" s="147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  <c r="Q29" s="2" t="s">
        <v>824</v>
      </c>
      <c r="R29" s="2" t="s">
        <v>824</v>
      </c>
      <c r="S29" s="2" t="s">
        <v>824</v>
      </c>
    </row>
    <row r="30" spans="2:19" x14ac:dyDescent="0.2">
      <c r="B30" s="147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>
        <v>0.4</v>
      </c>
      <c r="R30" s="34">
        <v>0.4</v>
      </c>
      <c r="S30" s="34">
        <v>0.4</v>
      </c>
    </row>
    <row r="31" spans="2:19" x14ac:dyDescent="0.2">
      <c r="B31" s="148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>
        <v>0.6</v>
      </c>
      <c r="R31" s="34">
        <v>0.6</v>
      </c>
      <c r="S31" s="34">
        <v>0.6</v>
      </c>
    </row>
    <row r="32" spans="2:19" x14ac:dyDescent="0.2">
      <c r="B32" s="146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  <c r="Q32" s="134" t="s">
        <v>834</v>
      </c>
      <c r="R32" s="134" t="s">
        <v>834</v>
      </c>
      <c r="S32" s="33" t="s">
        <v>834</v>
      </c>
    </row>
    <row r="33" spans="2:19" x14ac:dyDescent="0.2">
      <c r="B33" s="147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103"/>
      <c r="R33" s="103"/>
      <c r="S33" s="32"/>
    </row>
    <row r="34" spans="2:19" x14ac:dyDescent="0.2">
      <c r="B34" s="147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  <c r="Q34" s="2" t="s">
        <v>824</v>
      </c>
      <c r="R34" s="2" t="s">
        <v>824</v>
      </c>
      <c r="S34" s="2" t="s">
        <v>824</v>
      </c>
    </row>
    <row r="35" spans="2:19" x14ac:dyDescent="0.2">
      <c r="B35" s="147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>
        <v>0.4</v>
      </c>
      <c r="R35" s="34">
        <v>0.4</v>
      </c>
      <c r="S35" s="34">
        <v>0.4</v>
      </c>
    </row>
    <row r="36" spans="2:19" x14ac:dyDescent="0.2">
      <c r="B36" s="147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>
        <v>0.6</v>
      </c>
      <c r="R36" s="34">
        <v>0.6</v>
      </c>
      <c r="S36" s="34">
        <v>0.6</v>
      </c>
    </row>
    <row r="37" spans="2:19" x14ac:dyDescent="0.2">
      <c r="B37" s="148"/>
      <c r="C37" s="2" t="s">
        <v>1973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160"/>
      <c r="R37" s="160"/>
      <c r="S37" s="160"/>
    </row>
    <row r="38" spans="2:19" x14ac:dyDescent="0.2">
      <c r="B38" s="146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  <c r="Q38" s="29" t="s">
        <v>837</v>
      </c>
      <c r="R38" s="29" t="s">
        <v>837</v>
      </c>
      <c r="S38" s="29" t="s">
        <v>837</v>
      </c>
    </row>
    <row r="39" spans="2:19" x14ac:dyDescent="0.2">
      <c r="B39" s="147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0"/>
      <c r="R39" s="30"/>
      <c r="S39" s="30"/>
    </row>
    <row r="40" spans="2:19" x14ac:dyDescent="0.2">
      <c r="B40" s="147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  <c r="Q40" s="2" t="s">
        <v>824</v>
      </c>
      <c r="R40" s="2" t="s">
        <v>824</v>
      </c>
      <c r="S40" s="2" t="s">
        <v>824</v>
      </c>
    </row>
    <row r="41" spans="2:19" x14ac:dyDescent="0.2">
      <c r="B41" s="147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>
        <v>0.4</v>
      </c>
      <c r="R41" s="34">
        <v>0.4</v>
      </c>
      <c r="S41" s="34">
        <v>0.4</v>
      </c>
    </row>
    <row r="42" spans="2:19" x14ac:dyDescent="0.2">
      <c r="B42" s="148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>
        <v>0.6</v>
      </c>
      <c r="R42" s="34">
        <v>0.6</v>
      </c>
      <c r="S42" s="34">
        <v>0.6</v>
      </c>
    </row>
    <row r="43" spans="2:19" x14ac:dyDescent="0.2">
      <c r="B43" s="146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  <c r="Q43" s="53" t="s">
        <v>834</v>
      </c>
      <c r="R43" s="53" t="s">
        <v>834</v>
      </c>
      <c r="S43" s="53" t="s">
        <v>834</v>
      </c>
    </row>
    <row r="44" spans="2:19" x14ac:dyDescent="0.2">
      <c r="B44" s="147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  <c r="Q44" s="31" t="s">
        <v>834</v>
      </c>
      <c r="R44" s="31" t="s">
        <v>834</v>
      </c>
      <c r="S44" s="31" t="s">
        <v>834</v>
      </c>
    </row>
    <row r="45" spans="2:19" x14ac:dyDescent="0.2">
      <c r="B45" s="147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2:19" x14ac:dyDescent="0.2">
      <c r="B46" s="147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</row>
    <row r="47" spans="2:19" x14ac:dyDescent="0.2">
      <c r="B47" s="147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</row>
    <row r="48" spans="2:19" x14ac:dyDescent="0.2">
      <c r="B48" s="148"/>
      <c r="C48" s="2" t="s">
        <v>1973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  <c r="Q48" s="3"/>
      <c r="R48" s="3"/>
      <c r="S48" s="3"/>
    </row>
    <row r="49" spans="2:19" x14ac:dyDescent="0.2">
      <c r="B49" s="146" t="s">
        <v>873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  <c r="Q49" s="134" t="s">
        <v>837</v>
      </c>
      <c r="R49" s="134" t="s">
        <v>837</v>
      </c>
      <c r="S49" s="134" t="s">
        <v>837</v>
      </c>
    </row>
    <row r="50" spans="2:19" x14ac:dyDescent="0.2">
      <c r="B50" s="147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103"/>
      <c r="R50" s="103"/>
      <c r="S50" s="103"/>
    </row>
    <row r="51" spans="2:19" x14ac:dyDescent="0.2">
      <c r="B51" s="147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  <c r="Q51" s="2" t="s">
        <v>824</v>
      </c>
      <c r="R51" s="2" t="s">
        <v>824</v>
      </c>
      <c r="S51" s="2" t="s">
        <v>824</v>
      </c>
    </row>
    <row r="52" spans="2:19" x14ac:dyDescent="0.2">
      <c r="B52" s="147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>
        <v>0.4</v>
      </c>
      <c r="R52" s="34">
        <v>0.4</v>
      </c>
      <c r="S52" s="34">
        <v>0.4</v>
      </c>
    </row>
    <row r="53" spans="2:19" x14ac:dyDescent="0.2">
      <c r="B53" s="148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>
        <v>0.6</v>
      </c>
      <c r="R53" s="34">
        <v>0.6</v>
      </c>
      <c r="S53" s="34">
        <v>0.6</v>
      </c>
    </row>
    <row r="54" spans="2:19" x14ac:dyDescent="0.2">
      <c r="B54" s="146" t="s">
        <v>872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  <c r="Q54" s="52" t="s">
        <v>834</v>
      </c>
      <c r="R54" s="52" t="s">
        <v>834</v>
      </c>
      <c r="S54" s="52" t="s">
        <v>834</v>
      </c>
    </row>
    <row r="55" spans="2:19" x14ac:dyDescent="0.2">
      <c r="B55" s="147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  <c r="Q55" s="31" t="s">
        <v>834</v>
      </c>
      <c r="R55" s="31" t="s">
        <v>834</v>
      </c>
      <c r="S55" s="31" t="s">
        <v>834</v>
      </c>
    </row>
    <row r="56" spans="2:19" x14ac:dyDescent="0.2">
      <c r="B56" s="147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2:19" x14ac:dyDescent="0.2">
      <c r="B57" s="147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</row>
    <row r="58" spans="2:19" x14ac:dyDescent="0.2">
      <c r="B58" s="147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</row>
    <row r="59" spans="2:19" x14ac:dyDescent="0.2">
      <c r="B59" s="148"/>
      <c r="C59" s="2" t="s">
        <v>1973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"/>
      <c r="R59" s="3"/>
      <c r="S59" s="3"/>
    </row>
    <row r="60" spans="2:19" x14ac:dyDescent="0.2">
      <c r="B60" s="146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  <c r="Q60" s="132" t="s">
        <v>834</v>
      </c>
      <c r="R60" s="136" t="s">
        <v>834</v>
      </c>
      <c r="S60" s="162" t="s">
        <v>834</v>
      </c>
    </row>
    <row r="61" spans="2:19" x14ac:dyDescent="0.2">
      <c r="B61" s="147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  <c r="Q61" s="131"/>
      <c r="R61" s="131"/>
      <c r="S61" s="131"/>
    </row>
    <row r="62" spans="2:19" x14ac:dyDescent="0.2">
      <c r="B62" s="147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  <c r="Q62" s="2" t="s">
        <v>824</v>
      </c>
      <c r="R62" s="2" t="s">
        <v>824</v>
      </c>
      <c r="S62" s="2" t="s">
        <v>824</v>
      </c>
    </row>
    <row r="63" spans="2:19" x14ac:dyDescent="0.2">
      <c r="B63" s="147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>
        <v>0.4</v>
      </c>
      <c r="R63" s="34">
        <v>0.4</v>
      </c>
      <c r="S63" s="34">
        <v>0.4</v>
      </c>
    </row>
    <row r="64" spans="2:19" x14ac:dyDescent="0.2">
      <c r="B64" s="147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>
        <v>0.6</v>
      </c>
      <c r="R64" s="34">
        <v>0.6</v>
      </c>
      <c r="S64" s="34">
        <v>0.6</v>
      </c>
    </row>
    <row r="65" spans="2:19" x14ac:dyDescent="0.2">
      <c r="B65" s="148"/>
      <c r="C65" s="2" t="s">
        <v>1973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18"/>
      <c r="R65" s="160"/>
      <c r="S65" s="160"/>
    </row>
    <row r="66" spans="2:19" x14ac:dyDescent="0.2">
      <c r="B66" s="146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  <c r="Q66" s="132" t="s">
        <v>834</v>
      </c>
      <c r="R66" s="137" t="s">
        <v>834</v>
      </c>
      <c r="S66" s="162" t="s">
        <v>834</v>
      </c>
    </row>
    <row r="67" spans="2:19" x14ac:dyDescent="0.2">
      <c r="B67" s="147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131"/>
      <c r="R67" s="131"/>
      <c r="S67" s="131"/>
    </row>
    <row r="68" spans="2:19" x14ac:dyDescent="0.2">
      <c r="B68" s="147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  <c r="Q68" s="2" t="s">
        <v>824</v>
      </c>
      <c r="R68" s="2" t="s">
        <v>824</v>
      </c>
      <c r="S68" s="2" t="s">
        <v>824</v>
      </c>
    </row>
    <row r="69" spans="2:19" x14ac:dyDescent="0.2">
      <c r="B69" s="147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>
        <v>0.4</v>
      </c>
      <c r="R69" s="34">
        <v>0.4</v>
      </c>
      <c r="S69" s="34">
        <v>0.4</v>
      </c>
    </row>
    <row r="70" spans="2:19" x14ac:dyDescent="0.2">
      <c r="B70" s="147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>
        <v>0.6</v>
      </c>
      <c r="R70" s="34">
        <v>0.6</v>
      </c>
      <c r="S70" s="34">
        <v>0.6</v>
      </c>
    </row>
    <row r="71" spans="2:19" x14ac:dyDescent="0.2">
      <c r="B71" s="148"/>
      <c r="C71" s="2" t="s">
        <v>1973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  <c r="R71" s="161"/>
      <c r="S71" s="161"/>
    </row>
    <row r="72" spans="2:19" x14ac:dyDescent="0.2">
      <c r="B72" s="146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  <c r="Q72" s="105" t="s">
        <v>834</v>
      </c>
      <c r="R72" s="105" t="s">
        <v>834</v>
      </c>
      <c r="S72" s="105" t="s">
        <v>834</v>
      </c>
    </row>
    <row r="73" spans="2:19" x14ac:dyDescent="0.2">
      <c r="B73" s="147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  <c r="Q73" s="31" t="s">
        <v>834</v>
      </c>
      <c r="R73" s="31" t="s">
        <v>834</v>
      </c>
      <c r="S73" s="31" t="s">
        <v>834</v>
      </c>
    </row>
    <row r="74" spans="2:19" x14ac:dyDescent="0.2">
      <c r="B74" s="147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2:19" x14ac:dyDescent="0.2">
      <c r="B75" s="147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</row>
    <row r="76" spans="2:19" x14ac:dyDescent="0.2">
      <c r="B76" s="147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</row>
    <row r="77" spans="2:19" x14ac:dyDescent="0.2">
      <c r="B77" s="148"/>
      <c r="C77" s="2" t="s">
        <v>1973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2:19" x14ac:dyDescent="0.2">
      <c r="B78" s="146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  <c r="Q78" s="132" t="s">
        <v>834</v>
      </c>
      <c r="R78" s="137" t="s">
        <v>834</v>
      </c>
      <c r="S78" s="162" t="s">
        <v>834</v>
      </c>
    </row>
    <row r="79" spans="2:19" x14ac:dyDescent="0.2">
      <c r="B79" s="147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  <c r="Q79" s="131"/>
      <c r="R79" s="131"/>
      <c r="S79" s="162"/>
    </row>
    <row r="80" spans="2:19" x14ac:dyDescent="0.2">
      <c r="B80" s="147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  <c r="Q80" s="2" t="s">
        <v>824</v>
      </c>
      <c r="R80" s="2" t="s">
        <v>824</v>
      </c>
      <c r="S80" s="2" t="s">
        <v>824</v>
      </c>
    </row>
    <row r="81" spans="2:19" x14ac:dyDescent="0.2">
      <c r="B81" s="147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>
        <v>0.4</v>
      </c>
      <c r="R81" s="34">
        <v>0.4</v>
      </c>
      <c r="S81" s="34">
        <v>0.4</v>
      </c>
    </row>
    <row r="82" spans="2:19" x14ac:dyDescent="0.2">
      <c r="B82" s="147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>
        <v>0.6</v>
      </c>
      <c r="R82" s="34">
        <v>0.6</v>
      </c>
      <c r="S82" s="34">
        <v>0.6</v>
      </c>
    </row>
    <row r="83" spans="2:19" x14ac:dyDescent="0.2">
      <c r="B83" s="148"/>
      <c r="C83" s="2" t="s">
        <v>1973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3"/>
      <c r="R83" s="3"/>
      <c r="S83" s="161"/>
    </row>
    <row r="84" spans="2:19" x14ac:dyDescent="0.2">
      <c r="B84" s="28" t="s">
        <v>858</v>
      </c>
      <c r="C84" s="2" t="s">
        <v>859</v>
      </c>
      <c r="D84" s="44" t="s">
        <v>857</v>
      </c>
      <c r="E84" s="44" t="s">
        <v>857</v>
      </c>
      <c r="F84" s="45" t="s">
        <v>857</v>
      </c>
      <c r="G84" s="104" t="s">
        <v>857</v>
      </c>
      <c r="H84" s="104" t="s">
        <v>857</v>
      </c>
      <c r="I84" s="44" t="s">
        <v>857</v>
      </c>
      <c r="J84" s="104" t="s">
        <v>857</v>
      </c>
      <c r="K84" s="44" t="s">
        <v>857</v>
      </c>
      <c r="L84" s="45" t="s">
        <v>857</v>
      </c>
      <c r="M84" s="45" t="s">
        <v>857</v>
      </c>
      <c r="N84" s="44" t="s">
        <v>857</v>
      </c>
      <c r="O84" s="45" t="s">
        <v>857</v>
      </c>
      <c r="P84" s="44" t="s">
        <v>857</v>
      </c>
      <c r="Q84" s="45" t="s">
        <v>857</v>
      </c>
      <c r="R84" s="45" t="s">
        <v>857</v>
      </c>
      <c r="S84" s="45" t="s">
        <v>857</v>
      </c>
    </row>
    <row r="87" spans="2:19" x14ac:dyDescent="0.2">
      <c r="D87" s="2" t="s">
        <v>2009</v>
      </c>
      <c r="E87" s="2" t="s">
        <v>2010</v>
      </c>
      <c r="F87" s="2" t="s">
        <v>2060</v>
      </c>
    </row>
    <row r="88" spans="2:19" x14ac:dyDescent="0.2">
      <c r="B88" s="150" t="s">
        <v>845</v>
      </c>
      <c r="C88" s="2" t="s">
        <v>827</v>
      </c>
      <c r="D88" s="40" t="s">
        <v>846</v>
      </c>
      <c r="E88" s="122" t="s">
        <v>846</v>
      </c>
      <c r="F88" s="37" t="s">
        <v>846</v>
      </c>
    </row>
    <row r="89" spans="2:19" x14ac:dyDescent="0.2">
      <c r="B89" s="151"/>
      <c r="C89" s="2" t="s">
        <v>828</v>
      </c>
      <c r="D89" s="37"/>
      <c r="E89" s="37"/>
      <c r="F89" s="37"/>
    </row>
    <row r="90" spans="2:19" x14ac:dyDescent="0.2">
      <c r="B90" s="151"/>
      <c r="C90" s="2" t="s">
        <v>823</v>
      </c>
      <c r="D90" s="2"/>
      <c r="E90" s="2"/>
      <c r="F90" s="2"/>
    </row>
    <row r="91" spans="2:19" x14ac:dyDescent="0.2">
      <c r="B91" s="151"/>
      <c r="C91" s="2" t="s">
        <v>832</v>
      </c>
      <c r="D91" s="34"/>
      <c r="E91" s="34"/>
      <c r="F91" s="34"/>
    </row>
    <row r="92" spans="2:19" x14ac:dyDescent="0.2">
      <c r="B92" s="151"/>
      <c r="C92" s="2" t="s">
        <v>833</v>
      </c>
      <c r="D92" s="34"/>
      <c r="E92" s="34"/>
      <c r="F92" s="34"/>
    </row>
    <row r="93" spans="2:19" x14ac:dyDescent="0.2">
      <c r="B93" s="150" t="s">
        <v>847</v>
      </c>
      <c r="C93" s="2" t="s">
        <v>827</v>
      </c>
      <c r="D93" s="119" t="s">
        <v>846</v>
      </c>
      <c r="E93" s="128" t="s">
        <v>846</v>
      </c>
      <c r="F93" s="37" t="s">
        <v>846</v>
      </c>
    </row>
    <row r="94" spans="2:19" x14ac:dyDescent="0.2">
      <c r="B94" s="151"/>
      <c r="C94" s="2" t="s">
        <v>828</v>
      </c>
      <c r="D94" s="37"/>
      <c r="E94" s="37"/>
      <c r="F94" s="37"/>
    </row>
    <row r="95" spans="2:19" x14ac:dyDescent="0.2">
      <c r="B95" s="151"/>
      <c r="C95" s="2" t="s">
        <v>823</v>
      </c>
      <c r="D95" s="2"/>
      <c r="E95" s="2"/>
      <c r="F95" s="2"/>
    </row>
    <row r="96" spans="2:19" x14ac:dyDescent="0.2">
      <c r="B96" s="151"/>
      <c r="C96" s="2" t="s">
        <v>832</v>
      </c>
      <c r="D96" s="34"/>
      <c r="E96" s="34"/>
      <c r="F96" s="34"/>
    </row>
    <row r="97" spans="2:6" x14ac:dyDescent="0.2">
      <c r="B97" s="151"/>
      <c r="C97" s="2" t="s">
        <v>833</v>
      </c>
      <c r="D97" s="34"/>
      <c r="E97" s="34"/>
      <c r="F97" s="34"/>
    </row>
    <row r="98" spans="2:6" x14ac:dyDescent="0.2">
      <c r="B98" s="150" t="s">
        <v>848</v>
      </c>
      <c r="C98" s="2" t="s">
        <v>827</v>
      </c>
      <c r="D98" s="38" t="s">
        <v>846</v>
      </c>
      <c r="E98" s="129" t="s">
        <v>846</v>
      </c>
      <c r="F98" s="37" t="s">
        <v>846</v>
      </c>
    </row>
    <row r="99" spans="2:6" x14ac:dyDescent="0.2">
      <c r="B99" s="151"/>
      <c r="C99" s="2" t="s">
        <v>828</v>
      </c>
      <c r="D99" s="37"/>
      <c r="E99" s="37"/>
      <c r="F99" s="37"/>
    </row>
    <row r="100" spans="2:6" x14ac:dyDescent="0.2">
      <c r="B100" s="151"/>
      <c r="C100" s="2" t="s">
        <v>823</v>
      </c>
      <c r="D100" s="2"/>
      <c r="E100" s="2"/>
      <c r="F100" s="2"/>
    </row>
    <row r="101" spans="2:6" x14ac:dyDescent="0.2">
      <c r="B101" s="151"/>
      <c r="C101" s="2" t="s">
        <v>832</v>
      </c>
      <c r="D101" s="34"/>
      <c r="E101" s="34"/>
      <c r="F101" s="34"/>
    </row>
    <row r="102" spans="2:6" x14ac:dyDescent="0.2">
      <c r="B102" s="151"/>
      <c r="C102" s="2" t="s">
        <v>833</v>
      </c>
      <c r="D102" s="34"/>
      <c r="E102" s="34"/>
      <c r="F102" s="34"/>
    </row>
    <row r="103" spans="2:6" x14ac:dyDescent="0.2">
      <c r="B103" s="150" t="s">
        <v>865</v>
      </c>
      <c r="C103" s="2" t="s">
        <v>827</v>
      </c>
      <c r="D103" s="63">
        <v>1</v>
      </c>
      <c r="E103" s="122">
        <v>1</v>
      </c>
      <c r="F103" s="130">
        <v>1</v>
      </c>
    </row>
    <row r="104" spans="2:6" x14ac:dyDescent="0.2">
      <c r="B104" s="151"/>
      <c r="C104" s="2" t="s">
        <v>828</v>
      </c>
      <c r="D104" s="37"/>
      <c r="E104" s="37"/>
      <c r="F104" s="37"/>
    </row>
    <row r="105" spans="2:6" x14ac:dyDescent="0.2">
      <c r="B105" s="151"/>
      <c r="C105" s="2" t="s">
        <v>823</v>
      </c>
      <c r="D105" s="2"/>
      <c r="E105" s="2"/>
      <c r="F105" s="2"/>
    </row>
    <row r="106" spans="2:6" x14ac:dyDescent="0.2">
      <c r="B106" s="151"/>
      <c r="C106" s="2" t="s">
        <v>832</v>
      </c>
      <c r="D106" s="34"/>
      <c r="E106" s="34"/>
      <c r="F106" s="34"/>
    </row>
    <row r="107" spans="2:6" x14ac:dyDescent="0.2">
      <c r="B107" s="151"/>
      <c r="C107" s="2" t="s">
        <v>833</v>
      </c>
      <c r="D107" s="34"/>
      <c r="E107" s="34"/>
      <c r="F107" s="34"/>
    </row>
    <row r="108" spans="2:6" x14ac:dyDescent="0.2">
      <c r="B108" s="150" t="s">
        <v>849</v>
      </c>
      <c r="C108" s="2" t="s">
        <v>827</v>
      </c>
      <c r="D108" s="39" t="s">
        <v>850</v>
      </c>
      <c r="E108" s="129" t="s">
        <v>850</v>
      </c>
      <c r="F108" s="130">
        <v>1</v>
      </c>
    </row>
    <row r="109" spans="2:6" x14ac:dyDescent="0.2">
      <c r="B109" s="151"/>
      <c r="C109" s="2" t="s">
        <v>828</v>
      </c>
      <c r="D109" s="37"/>
      <c r="E109" s="37"/>
      <c r="F109" s="37"/>
    </row>
    <row r="110" spans="2:6" x14ac:dyDescent="0.2">
      <c r="B110" s="151"/>
      <c r="C110" s="2" t="s">
        <v>823</v>
      </c>
      <c r="D110" s="2"/>
      <c r="E110" s="2"/>
      <c r="F110" s="2"/>
    </row>
    <row r="111" spans="2:6" x14ac:dyDescent="0.2">
      <c r="B111" s="151"/>
      <c r="C111" s="2" t="s">
        <v>832</v>
      </c>
      <c r="D111" s="34"/>
      <c r="E111" s="34"/>
      <c r="F111" s="34"/>
    </row>
    <row r="112" spans="2:6" x14ac:dyDescent="0.2">
      <c r="B112" s="151"/>
      <c r="C112" s="2" t="s">
        <v>833</v>
      </c>
      <c r="D112" s="34"/>
      <c r="E112" s="34"/>
      <c r="F112" s="34"/>
    </row>
    <row r="113" spans="2:6" x14ac:dyDescent="0.2">
      <c r="B113" s="146" t="s">
        <v>864</v>
      </c>
      <c r="C113" s="2" t="s">
        <v>827</v>
      </c>
      <c r="D113" s="41"/>
      <c r="E113" s="41"/>
      <c r="F113" s="41"/>
    </row>
    <row r="114" spans="2:6" x14ac:dyDescent="0.2">
      <c r="B114" s="147"/>
      <c r="C114" s="2" t="s">
        <v>828</v>
      </c>
      <c r="D114" s="37"/>
      <c r="E114" s="37"/>
      <c r="F114" s="37"/>
    </row>
    <row r="115" spans="2:6" x14ac:dyDescent="0.2">
      <c r="B115" s="147"/>
      <c r="C115" s="2" t="s">
        <v>823</v>
      </c>
      <c r="D115" s="2"/>
      <c r="E115" s="2"/>
      <c r="F115" s="2"/>
    </row>
    <row r="116" spans="2:6" x14ac:dyDescent="0.2">
      <c r="B116" s="147"/>
      <c r="C116" s="2" t="s">
        <v>832</v>
      </c>
      <c r="D116" s="34"/>
      <c r="E116" s="34"/>
      <c r="F116" s="34"/>
    </row>
    <row r="117" spans="2:6" x14ac:dyDescent="0.2">
      <c r="B117" s="148"/>
      <c r="C117" s="2" t="s">
        <v>833</v>
      </c>
      <c r="D117" s="34"/>
      <c r="E117" s="34"/>
      <c r="F117" s="34"/>
    </row>
    <row r="118" spans="2:6" x14ac:dyDescent="0.2">
      <c r="B118" s="2" t="s">
        <v>866</v>
      </c>
      <c r="C118" s="2" t="s">
        <v>867</v>
      </c>
      <c r="D118" s="46"/>
      <c r="E118" s="46"/>
      <c r="F118" s="46"/>
    </row>
    <row r="119" spans="2:6" x14ac:dyDescent="0.2">
      <c r="B119" s="2" t="s">
        <v>876</v>
      </c>
      <c r="C119" s="2" t="s">
        <v>867</v>
      </c>
      <c r="D119" s="51"/>
      <c r="E119" s="122"/>
      <c r="F119" s="50"/>
    </row>
    <row r="120" spans="2:6" x14ac:dyDescent="0.2">
      <c r="B120" s="146" t="s">
        <v>877</v>
      </c>
      <c r="C120" s="2" t="s">
        <v>827</v>
      </c>
      <c r="D120" s="39" t="s">
        <v>837</v>
      </c>
      <c r="E120" s="129" t="s">
        <v>837</v>
      </c>
      <c r="F120" s="129" t="s">
        <v>837</v>
      </c>
    </row>
    <row r="121" spans="2:6" x14ac:dyDescent="0.2">
      <c r="B121" s="147"/>
      <c r="C121" s="2" t="s">
        <v>828</v>
      </c>
      <c r="D121" s="37"/>
      <c r="E121" s="37"/>
      <c r="F121" s="37"/>
    </row>
    <row r="122" spans="2:6" x14ac:dyDescent="0.2">
      <c r="B122" s="147"/>
      <c r="C122" s="2" t="s">
        <v>823</v>
      </c>
      <c r="D122" s="2"/>
      <c r="E122" s="2"/>
      <c r="F122" s="2"/>
    </row>
    <row r="123" spans="2:6" x14ac:dyDescent="0.2">
      <c r="B123" s="147"/>
      <c r="C123" s="2" t="s">
        <v>832</v>
      </c>
      <c r="D123" s="34"/>
      <c r="E123" s="34"/>
      <c r="F123" s="34"/>
    </row>
    <row r="124" spans="2:6" x14ac:dyDescent="0.2">
      <c r="B124" s="148"/>
      <c r="C124" s="2" t="s">
        <v>833</v>
      </c>
      <c r="D124" s="34"/>
      <c r="E124" s="34"/>
      <c r="F124" s="34"/>
    </row>
    <row r="125" spans="2:6" x14ac:dyDescent="0.2">
      <c r="B125" s="150" t="s">
        <v>878</v>
      </c>
      <c r="C125" s="2" t="s">
        <v>827</v>
      </c>
      <c r="D125" s="52" t="s">
        <v>834</v>
      </c>
      <c r="E125" s="121" t="s">
        <v>834</v>
      </c>
      <c r="F125" s="121" t="s">
        <v>834</v>
      </c>
    </row>
    <row r="126" spans="2:6" x14ac:dyDescent="0.2">
      <c r="B126" s="150"/>
      <c r="C126" s="2" t="s">
        <v>828</v>
      </c>
      <c r="D126" s="37"/>
      <c r="E126" s="37"/>
      <c r="F126" s="37"/>
    </row>
    <row r="127" spans="2:6" x14ac:dyDescent="0.2">
      <c r="B127" s="150"/>
      <c r="C127" s="2" t="s">
        <v>823</v>
      </c>
      <c r="D127" s="2"/>
      <c r="E127" s="2"/>
      <c r="F127" s="2"/>
    </row>
    <row r="128" spans="2:6" x14ac:dyDescent="0.2">
      <c r="B128" s="150"/>
      <c r="C128" s="2" t="s">
        <v>832</v>
      </c>
      <c r="D128" s="34"/>
      <c r="E128" s="34"/>
      <c r="F128" s="34"/>
    </row>
    <row r="129" spans="2:6" x14ac:dyDescent="0.2">
      <c r="B129" s="150"/>
      <c r="C129" s="2" t="s">
        <v>833</v>
      </c>
      <c r="D129" s="34"/>
      <c r="E129" s="34"/>
      <c r="F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74:S74 D10:S10 D68:S68 D127:F127 D62:S62 D18:S18 D40:S40 D34:S34 D45:S45 D29:S29 D23:S23 D5:S5 D51:S51 D80:S80 D122:F122 D90:F90 D95:F95 D100:F100 D105:F105 D110:F110 D115:F115 D56:S56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0.23796192609182532</v>
      </c>
      <c r="F2" s="5">
        <f t="shared" ref="F2:L2" si="0">SUM(F4:F104)</f>
        <v>1786</v>
      </c>
      <c r="G2" s="5">
        <f t="shared" si="0"/>
        <v>425</v>
      </c>
      <c r="H2" s="5">
        <f t="shared" si="0"/>
        <v>62</v>
      </c>
      <c r="I2" s="5">
        <f t="shared" si="0"/>
        <v>11</v>
      </c>
      <c r="J2" s="6">
        <f t="shared" si="0"/>
        <v>25</v>
      </c>
      <c r="K2" s="12">
        <f>((G2-H2-I2-J2)+(H2*2)+(I2*3)+(J2*4))</f>
        <v>584</v>
      </c>
      <c r="L2" s="7">
        <f t="shared" si="0"/>
        <v>155</v>
      </c>
      <c r="M2" s="11">
        <f t="shared" ref="M2:M4" si="1">IFERROR(IF((G2+P2+Q2)/(F2+P2+Q2+S2)=1,"1.00",(G2+P2+Q2)/(F2+P2+Q2+S2)),0)</f>
        <v>0.28890041493775931</v>
      </c>
      <c r="N2" s="11">
        <f>IF(F2=0,IF(M2="1.00","1.000",M2),SUM(ROUND(K2/F2,3),M2))</f>
        <v>0.61590041493775938</v>
      </c>
      <c r="O2" s="5">
        <f>SUM(O4:O104)</f>
        <v>382</v>
      </c>
      <c r="P2" s="5">
        <f>SUM(P4:P104)</f>
        <v>111</v>
      </c>
      <c r="Q2" s="5">
        <f>SUM(Q4:Q104)</f>
        <v>21</v>
      </c>
      <c r="R2" s="5">
        <f>SUM(R4:R104)</f>
        <v>38</v>
      </c>
      <c r="S2" s="5">
        <f>SUM(S4:S104)</f>
        <v>10</v>
      </c>
      <c r="T2" s="5">
        <f t="shared" ref="T2:V2" si="2">SUM(T4:T104)</f>
        <v>30</v>
      </c>
      <c r="U2" s="5">
        <f t="shared" si="2"/>
        <v>26</v>
      </c>
      <c r="V2" s="5">
        <f t="shared" si="2"/>
        <v>32</v>
      </c>
      <c r="W2" s="20">
        <f>IFERROR(CalcRC27(F2,G2,K2,O2,P2,Q2,R2,S2,T2,U2,V2),"-")</f>
        <v>2.9786510764801197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963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964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1684</v>
      </c>
      <c r="E7" s="11">
        <f t="shared" si="3"/>
        <v>0.20338983050847459</v>
      </c>
      <c r="F7" s="5">
        <v>59</v>
      </c>
      <c r="G7" s="5">
        <v>12</v>
      </c>
      <c r="H7" s="5">
        <v>2</v>
      </c>
      <c r="I7" s="5">
        <v>0</v>
      </c>
      <c r="J7" s="6">
        <v>2</v>
      </c>
      <c r="K7" s="12">
        <v>20</v>
      </c>
      <c r="L7" s="7">
        <v>7</v>
      </c>
      <c r="M7" s="11">
        <f t="shared" si="5"/>
        <v>0.28985507246376813</v>
      </c>
      <c r="N7" s="11">
        <f t="shared" si="6"/>
        <v>0.62885507246376815</v>
      </c>
      <c r="O7" s="20">
        <v>17</v>
      </c>
      <c r="P7" s="21">
        <v>7</v>
      </c>
      <c r="Q7" s="21">
        <v>1</v>
      </c>
      <c r="R7" s="22">
        <v>0</v>
      </c>
      <c r="S7" s="22">
        <v>2</v>
      </c>
      <c r="T7" s="20">
        <v>1</v>
      </c>
      <c r="U7" s="20">
        <v>1</v>
      </c>
      <c r="V7" s="20">
        <v>1</v>
      </c>
      <c r="W7" s="62">
        <f>IFERROR(CalcRC27(F7,G7,K7,O7,P7,Q7,R7,S7,T7,U7,V7),"-")</f>
        <v>3.1657902813299206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965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0.28000000000000003</v>
      </c>
      <c r="F14" s="5">
        <v>200</v>
      </c>
      <c r="G14" s="5">
        <v>56</v>
      </c>
      <c r="H14" s="5">
        <v>8</v>
      </c>
      <c r="I14" s="5">
        <v>0</v>
      </c>
      <c r="J14" s="6">
        <v>2</v>
      </c>
      <c r="K14" s="12">
        <v>70</v>
      </c>
      <c r="L14" s="7">
        <v>12</v>
      </c>
      <c r="M14" s="11">
        <f t="shared" si="5"/>
        <v>0.31132075471698112</v>
      </c>
      <c r="N14" s="11">
        <f t="shared" si="6"/>
        <v>0.66132075471698104</v>
      </c>
      <c r="O14" s="20">
        <v>41</v>
      </c>
      <c r="P14" s="21">
        <v>10</v>
      </c>
      <c r="Q14" s="21">
        <v>0</v>
      </c>
      <c r="R14" s="22">
        <v>1</v>
      </c>
      <c r="S14" s="22">
        <v>2</v>
      </c>
      <c r="T14" s="20">
        <v>2</v>
      </c>
      <c r="U14" s="20">
        <v>2</v>
      </c>
      <c r="V14" s="20">
        <v>0</v>
      </c>
      <c r="W14" s="62">
        <f>IFERROR(CalcRC27(F14,G14,K14,O14,P14,Q14,R14,S14,T14,U14,V14),"-")</f>
        <v>4.0426078079213514</v>
      </c>
      <c r="X14" s="13" t="s">
        <v>893</v>
      </c>
    </row>
    <row r="15" spans="2:24" ht="13.8" x14ac:dyDescent="0.2">
      <c r="B15" s="8">
        <f t="shared" si="4"/>
        <v>10</v>
      </c>
      <c r="C15" s="10">
        <v>10</v>
      </c>
      <c r="D15" s="13" t="s">
        <v>966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1001</v>
      </c>
    </row>
    <row r="16" spans="2:24" ht="13.8" x14ac:dyDescent="0.2">
      <c r="B16" s="8">
        <f t="shared" si="4"/>
        <v>11</v>
      </c>
      <c r="C16" s="10">
        <v>11</v>
      </c>
      <c r="D16" s="13" t="s">
        <v>967</v>
      </c>
      <c r="E16" s="11">
        <f t="shared" si="3"/>
        <v>0</v>
      </c>
      <c r="F16" s="5">
        <v>18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2</v>
      </c>
      <c r="M16" s="11">
        <f t="shared" si="5"/>
        <v>0</v>
      </c>
      <c r="N16" s="11">
        <f t="shared" si="6"/>
        <v>0</v>
      </c>
      <c r="O16" s="20">
        <v>11</v>
      </c>
      <c r="P16" s="21">
        <v>0</v>
      </c>
      <c r="Q16" s="21">
        <v>0</v>
      </c>
      <c r="R16" s="22">
        <v>2</v>
      </c>
      <c r="S16" s="22">
        <v>1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-2.2680000000000016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968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969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970</v>
      </c>
      <c r="E19" s="11">
        <f t="shared" si="3"/>
        <v>0.125</v>
      </c>
      <c r="F19" s="5">
        <v>16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0.125</v>
      </c>
      <c r="N19" s="11">
        <f t="shared" si="6"/>
        <v>0.25</v>
      </c>
      <c r="O19" s="20">
        <v>10</v>
      </c>
      <c r="P19" s="21">
        <v>0</v>
      </c>
      <c r="Q19" s="21">
        <v>0</v>
      </c>
      <c r="R19" s="22">
        <v>2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-0.61300000000000154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2001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1002</v>
      </c>
    </row>
    <row r="23" spans="2:24" ht="13.8" x14ac:dyDescent="0.2">
      <c r="B23" s="8">
        <f t="shared" si="4"/>
        <v>18</v>
      </c>
      <c r="C23" s="10">
        <v>18</v>
      </c>
      <c r="D23" s="13" t="s">
        <v>1266</v>
      </c>
      <c r="E23" s="11">
        <f t="shared" si="3"/>
        <v>0.33333333333333331</v>
      </c>
      <c r="F23" s="5">
        <v>18</v>
      </c>
      <c r="G23" s="5">
        <v>6</v>
      </c>
      <c r="H23" s="5">
        <v>1</v>
      </c>
      <c r="I23" s="5">
        <v>0</v>
      </c>
      <c r="J23" s="6">
        <v>0</v>
      </c>
      <c r="K23" s="12">
        <v>7</v>
      </c>
      <c r="L23" s="7">
        <v>1</v>
      </c>
      <c r="M23" s="11">
        <f t="shared" si="5"/>
        <v>0.36842105263157893</v>
      </c>
      <c r="N23" s="11">
        <f t="shared" si="6"/>
        <v>0.75742105263157899</v>
      </c>
      <c r="O23" s="20">
        <v>5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5.5407692307692278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1003</v>
      </c>
    </row>
    <row r="27" spans="2:24" ht="13.8" x14ac:dyDescent="0.2">
      <c r="B27" s="8">
        <f t="shared" si="4"/>
        <v>22</v>
      </c>
      <c r="C27" s="10">
        <v>22</v>
      </c>
      <c r="D27" s="13" t="s">
        <v>974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1004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884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894</v>
      </c>
    </row>
    <row r="32" spans="2:24" ht="13.8" x14ac:dyDescent="0.2">
      <c r="B32" s="8">
        <f t="shared" si="4"/>
        <v>27</v>
      </c>
      <c r="C32" s="10">
        <v>27</v>
      </c>
      <c r="D32" s="13" t="s">
        <v>975</v>
      </c>
      <c r="E32" s="11">
        <f t="shared" si="3"/>
        <v>0.19402985074626866</v>
      </c>
      <c r="F32" s="5">
        <v>67</v>
      </c>
      <c r="G32" s="5">
        <v>13</v>
      </c>
      <c r="H32" s="5">
        <v>5</v>
      </c>
      <c r="I32" s="5">
        <v>0</v>
      </c>
      <c r="J32" s="6">
        <v>0</v>
      </c>
      <c r="K32" s="12">
        <v>18</v>
      </c>
      <c r="L32" s="7">
        <v>10</v>
      </c>
      <c r="M32" s="11">
        <f t="shared" si="5"/>
        <v>0.26027397260273971</v>
      </c>
      <c r="N32" s="11">
        <f t="shared" si="6"/>
        <v>0.52927397260273978</v>
      </c>
      <c r="O32" s="20">
        <v>13</v>
      </c>
      <c r="P32" s="21">
        <v>4</v>
      </c>
      <c r="Q32" s="21">
        <v>2</v>
      </c>
      <c r="R32" s="22">
        <v>0</v>
      </c>
      <c r="S32" s="22">
        <v>0</v>
      </c>
      <c r="T32" s="20">
        <v>0</v>
      </c>
      <c r="U32" s="20">
        <v>0</v>
      </c>
      <c r="V32" s="20">
        <v>4</v>
      </c>
      <c r="W32" s="62">
        <f>IFERROR(CalcRC27(F32,G32,K32,O32,P32,Q32,R32,S32,T32,U32,V32),"-")</f>
        <v>1.5127779877184675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976</v>
      </c>
      <c r="E33" s="11">
        <f t="shared" si="3"/>
        <v>0.22727272727272727</v>
      </c>
      <c r="F33" s="5">
        <v>22</v>
      </c>
      <c r="G33" s="5">
        <v>5</v>
      </c>
      <c r="H33" s="5">
        <v>0</v>
      </c>
      <c r="I33" s="5">
        <v>0</v>
      </c>
      <c r="J33" s="6">
        <v>0</v>
      </c>
      <c r="K33" s="12">
        <v>5</v>
      </c>
      <c r="L33" s="7">
        <v>1</v>
      </c>
      <c r="M33" s="11">
        <f t="shared" si="5"/>
        <v>0.22727272727272727</v>
      </c>
      <c r="N33" s="11">
        <f t="shared" si="6"/>
        <v>0.45427272727272727</v>
      </c>
      <c r="O33" s="20">
        <v>4</v>
      </c>
      <c r="P33" s="21">
        <v>0</v>
      </c>
      <c r="Q33" s="21">
        <v>0</v>
      </c>
      <c r="R33" s="22">
        <v>3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1.3982999999999981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977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1005</v>
      </c>
    </row>
    <row r="36" spans="2:24" ht="13.8" x14ac:dyDescent="0.2">
      <c r="B36" s="8">
        <f t="shared" si="4"/>
        <v>31</v>
      </c>
      <c r="C36" s="10">
        <v>31</v>
      </c>
      <c r="D36" s="13" t="s">
        <v>978</v>
      </c>
      <c r="E36" s="11">
        <f t="shared" si="3"/>
        <v>0.20833333333333334</v>
      </c>
      <c r="F36" s="5">
        <v>144</v>
      </c>
      <c r="G36" s="5">
        <v>30</v>
      </c>
      <c r="H36" s="5">
        <v>5</v>
      </c>
      <c r="I36" s="5">
        <v>0</v>
      </c>
      <c r="J36" s="6">
        <v>3</v>
      </c>
      <c r="K36" s="12">
        <v>44</v>
      </c>
      <c r="L36" s="7">
        <v>12</v>
      </c>
      <c r="M36" s="11">
        <f t="shared" si="5"/>
        <v>0.25974025974025972</v>
      </c>
      <c r="N36" s="11">
        <f t="shared" si="6"/>
        <v>0.56574025974025965</v>
      </c>
      <c r="O36" s="20">
        <v>31</v>
      </c>
      <c r="P36" s="21">
        <v>9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2.1611396103896086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1141</v>
      </c>
      <c r="E37" s="11">
        <f t="shared" si="3"/>
        <v>0.34375</v>
      </c>
      <c r="F37" s="5">
        <v>32</v>
      </c>
      <c r="G37" s="5">
        <v>11</v>
      </c>
      <c r="H37" s="5">
        <v>2</v>
      </c>
      <c r="I37" s="5">
        <v>0</v>
      </c>
      <c r="J37" s="6">
        <v>2</v>
      </c>
      <c r="K37" s="12">
        <v>18</v>
      </c>
      <c r="L37" s="7">
        <v>3</v>
      </c>
      <c r="M37" s="11">
        <f t="shared" si="5"/>
        <v>0.41666666666666669</v>
      </c>
      <c r="N37" s="11">
        <f t="shared" si="6"/>
        <v>0.97966666666666669</v>
      </c>
      <c r="O37" s="20">
        <v>4</v>
      </c>
      <c r="P37" s="21">
        <v>1</v>
      </c>
      <c r="Q37" s="21">
        <v>3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9.0361547911547877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979</v>
      </c>
      <c r="E38" s="11">
        <f t="shared" si="3"/>
        <v>0.22857142857142856</v>
      </c>
      <c r="F38" s="5">
        <v>175</v>
      </c>
      <c r="G38" s="5">
        <v>40</v>
      </c>
      <c r="H38" s="5">
        <v>7</v>
      </c>
      <c r="I38" s="5">
        <v>0</v>
      </c>
      <c r="J38" s="6">
        <v>3</v>
      </c>
      <c r="K38" s="12">
        <v>56</v>
      </c>
      <c r="L38" s="7">
        <v>13</v>
      </c>
      <c r="M38" s="11">
        <f t="shared" si="5"/>
        <v>0.27807486631016043</v>
      </c>
      <c r="N38" s="11">
        <f t="shared" si="6"/>
        <v>0.59807486631016049</v>
      </c>
      <c r="O38" s="20">
        <v>31</v>
      </c>
      <c r="P38" s="21">
        <v>11</v>
      </c>
      <c r="Q38" s="21">
        <v>1</v>
      </c>
      <c r="R38" s="22">
        <v>6</v>
      </c>
      <c r="S38" s="22">
        <v>0</v>
      </c>
      <c r="T38" s="20">
        <v>1</v>
      </c>
      <c r="U38" s="20">
        <v>1</v>
      </c>
      <c r="V38" s="20">
        <v>4</v>
      </c>
      <c r="W38" s="62">
        <f>IFERROR(CalcRC27(F38,G38,K38,O38,P38,Q38,R38,S38,T38,U38,V38),"-")</f>
        <v>2.6964016608701806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1006</v>
      </c>
    </row>
    <row r="41" spans="2:24" ht="13.8" x14ac:dyDescent="0.2">
      <c r="B41" s="8">
        <f t="shared" si="4"/>
        <v>36</v>
      </c>
      <c r="C41" s="10">
        <v>36</v>
      </c>
      <c r="D41" s="13" t="s">
        <v>982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983</v>
      </c>
      <c r="E42" s="11">
        <f t="shared" si="3"/>
        <v>0.27878787878787881</v>
      </c>
      <c r="F42" s="5">
        <v>165</v>
      </c>
      <c r="G42" s="5">
        <v>46</v>
      </c>
      <c r="H42" s="5">
        <v>8</v>
      </c>
      <c r="I42" s="5">
        <v>4</v>
      </c>
      <c r="J42" s="6">
        <v>1</v>
      </c>
      <c r="K42" s="12">
        <v>65</v>
      </c>
      <c r="L42" s="7">
        <v>15</v>
      </c>
      <c r="M42" s="11">
        <f t="shared" si="5"/>
        <v>0.33888888888888891</v>
      </c>
      <c r="N42" s="11">
        <f t="shared" si="6"/>
        <v>0.73288888888888892</v>
      </c>
      <c r="O42" s="20">
        <v>14</v>
      </c>
      <c r="P42" s="21">
        <v>13</v>
      </c>
      <c r="Q42" s="21">
        <v>2</v>
      </c>
      <c r="R42" s="22">
        <v>0</v>
      </c>
      <c r="S42" s="22">
        <v>0</v>
      </c>
      <c r="T42" s="20">
        <v>4</v>
      </c>
      <c r="U42" s="20">
        <v>3</v>
      </c>
      <c r="V42" s="20">
        <v>2</v>
      </c>
      <c r="W42" s="62">
        <f>IFERROR(CalcRC27(F42,G42,K42,O42,P42,Q42,R42,S42,T42,U42,V42),"-")</f>
        <v>4.8047741935483854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984</v>
      </c>
      <c r="E43" s="11">
        <f t="shared" si="3"/>
        <v>0.25</v>
      </c>
      <c r="F43" s="5">
        <v>56</v>
      </c>
      <c r="G43" s="5">
        <v>14</v>
      </c>
      <c r="H43" s="5">
        <v>1</v>
      </c>
      <c r="I43" s="5">
        <v>0</v>
      </c>
      <c r="J43" s="6">
        <v>3</v>
      </c>
      <c r="K43" s="12">
        <v>24</v>
      </c>
      <c r="L43" s="7">
        <v>7</v>
      </c>
      <c r="M43" s="11">
        <f t="shared" si="5"/>
        <v>0.32258064516129031</v>
      </c>
      <c r="N43" s="11">
        <f t="shared" si="6"/>
        <v>0.75158064516129031</v>
      </c>
      <c r="O43" s="20">
        <v>19</v>
      </c>
      <c r="P43" s="21">
        <v>4</v>
      </c>
      <c r="Q43" s="21">
        <v>2</v>
      </c>
      <c r="R43" s="22">
        <v>0</v>
      </c>
      <c r="S43" s="22">
        <v>0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4.6960073313782971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895</v>
      </c>
    </row>
    <row r="45" spans="2:24" ht="13.8" x14ac:dyDescent="0.2">
      <c r="B45" s="8">
        <f t="shared" si="4"/>
        <v>40</v>
      </c>
      <c r="C45" s="10">
        <v>40</v>
      </c>
      <c r="D45" s="13" t="s">
        <v>985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987</v>
      </c>
      <c r="E47" s="11">
        <f t="shared" si="3"/>
        <v>0</v>
      </c>
      <c r="F47" s="5">
        <v>3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-1.8540000000000014</v>
      </c>
      <c r="X47" s="13" t="s">
        <v>1007</v>
      </c>
    </row>
    <row r="48" spans="2:24" ht="13.8" x14ac:dyDescent="0.2">
      <c r="B48" s="8">
        <f t="shared" si="4"/>
        <v>43</v>
      </c>
      <c r="C48" s="10">
        <v>43</v>
      </c>
      <c r="D48" s="13" t="s">
        <v>988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1256</v>
      </c>
      <c r="E49" s="11">
        <f t="shared" si="3"/>
        <v>0.2413793103448276</v>
      </c>
      <c r="F49" s="5">
        <v>29</v>
      </c>
      <c r="G49" s="5">
        <v>7</v>
      </c>
      <c r="H49" s="5">
        <v>3</v>
      </c>
      <c r="I49" s="5">
        <v>0</v>
      </c>
      <c r="J49" s="6">
        <v>0</v>
      </c>
      <c r="K49" s="12">
        <v>10</v>
      </c>
      <c r="L49" s="7">
        <v>2</v>
      </c>
      <c r="M49" s="11">
        <f t="shared" si="5"/>
        <v>0.3125</v>
      </c>
      <c r="N49" s="11">
        <f t="shared" si="6"/>
        <v>0.65749999999999997</v>
      </c>
      <c r="O49" s="20">
        <v>7</v>
      </c>
      <c r="P49" s="21">
        <v>3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3.4618451086956497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1265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1778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896</v>
      </c>
    </row>
    <row r="52" spans="2:24" ht="13.8" x14ac:dyDescent="0.2">
      <c r="B52" s="8">
        <f t="shared" si="4"/>
        <v>47</v>
      </c>
      <c r="C52" s="10">
        <v>47</v>
      </c>
      <c r="D52" s="13" t="s">
        <v>886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897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7.1428571428571425E-2</v>
      </c>
      <c r="F53" s="5">
        <v>14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7.1428571428571425E-2</v>
      </c>
      <c r="N53" s="11">
        <f t="shared" si="6"/>
        <v>0.1424285714285714</v>
      </c>
      <c r="O53" s="20">
        <v>7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-1.5522857142857158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887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898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9.5238095238095233E-2</v>
      </c>
      <c r="F55" s="5">
        <v>21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9.5238095238095233E-2</v>
      </c>
      <c r="N55" s="11">
        <f t="shared" si="6"/>
        <v>0.33323809523809522</v>
      </c>
      <c r="O55" s="20">
        <v>8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-0.16147368421052802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989</v>
      </c>
      <c r="E56" s="11">
        <f t="shared" si="3"/>
        <v>0.29807692307692307</v>
      </c>
      <c r="F56" s="5">
        <v>208</v>
      </c>
      <c r="G56" s="5">
        <v>62</v>
      </c>
      <c r="H56" s="5">
        <v>4</v>
      </c>
      <c r="I56" s="5">
        <v>3</v>
      </c>
      <c r="J56" s="6">
        <v>1</v>
      </c>
      <c r="K56" s="12">
        <v>73</v>
      </c>
      <c r="L56" s="7">
        <v>25</v>
      </c>
      <c r="M56" s="11">
        <f t="shared" si="5"/>
        <v>0.34666666666666668</v>
      </c>
      <c r="N56" s="11">
        <f t="shared" si="6"/>
        <v>0.69766666666666666</v>
      </c>
      <c r="O56" s="20">
        <v>16</v>
      </c>
      <c r="P56" s="21">
        <v>14</v>
      </c>
      <c r="Q56" s="21">
        <v>2</v>
      </c>
      <c r="R56" s="22">
        <v>0</v>
      </c>
      <c r="S56" s="22">
        <v>1</v>
      </c>
      <c r="T56" s="20">
        <v>4</v>
      </c>
      <c r="U56" s="20">
        <v>4</v>
      </c>
      <c r="V56" s="20">
        <v>2</v>
      </c>
      <c r="W56" s="62">
        <f>IFERROR(CalcRC27(F56,G56,K56,O56,P56,Q56,R56,S56,T56,U56,V56),"-")</f>
        <v>4.5191058823529389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0.29473684210526313</v>
      </c>
      <c r="F57" s="5">
        <v>95</v>
      </c>
      <c r="G57" s="5">
        <v>28</v>
      </c>
      <c r="H57" s="5">
        <v>4</v>
      </c>
      <c r="I57" s="5">
        <v>0</v>
      </c>
      <c r="J57" s="6">
        <v>5</v>
      </c>
      <c r="K57" s="12">
        <v>47</v>
      </c>
      <c r="L57" s="7">
        <v>14</v>
      </c>
      <c r="M57" s="11">
        <f t="shared" si="5"/>
        <v>0.33663366336633666</v>
      </c>
      <c r="N57" s="11">
        <f t="shared" si="6"/>
        <v>0.8316336633663366</v>
      </c>
      <c r="O57" s="20">
        <v>26</v>
      </c>
      <c r="P57" s="21">
        <v>4</v>
      </c>
      <c r="Q57" s="21">
        <v>2</v>
      </c>
      <c r="R57" s="22">
        <v>0</v>
      </c>
      <c r="S57" s="22">
        <v>0</v>
      </c>
      <c r="T57" s="20">
        <v>1</v>
      </c>
      <c r="U57" s="20">
        <v>2</v>
      </c>
      <c r="V57" s="20">
        <v>0</v>
      </c>
      <c r="W57" s="62">
        <f>IFERROR(CalcRC27(F57,G57,K57,O57,P57,Q57,R57,S57,T57,U57,V57),"-")</f>
        <v>5.9412604390873849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990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1897</v>
      </c>
      <c r="E60" s="11">
        <f t="shared" si="3"/>
        <v>0.21621621621621623</v>
      </c>
      <c r="F60" s="5">
        <v>37</v>
      </c>
      <c r="G60" s="5">
        <v>8</v>
      </c>
      <c r="H60" s="5">
        <v>2</v>
      </c>
      <c r="I60" s="5">
        <v>0</v>
      </c>
      <c r="J60" s="6">
        <v>1</v>
      </c>
      <c r="K60" s="12">
        <v>13</v>
      </c>
      <c r="L60" s="7">
        <v>6</v>
      </c>
      <c r="M60" s="11">
        <f t="shared" si="5"/>
        <v>0.25641025641025639</v>
      </c>
      <c r="N60" s="11">
        <f t="shared" si="6"/>
        <v>0.60741025641025637</v>
      </c>
      <c r="O60" s="20">
        <v>4</v>
      </c>
      <c r="P60" s="21">
        <v>2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2</v>
      </c>
      <c r="W60" s="62">
        <f>IFERROR(CalcRC27(F60,G60,K60,O60,P60,Q60,R60,S60,T60,U60,V60),"-")</f>
        <v>2.3040694789081866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888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899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1008</v>
      </c>
    </row>
    <row r="64" spans="2:24" ht="13.8" x14ac:dyDescent="0.2">
      <c r="B64" s="8">
        <f t="shared" si="4"/>
        <v>59</v>
      </c>
      <c r="C64" s="10">
        <v>59</v>
      </c>
      <c r="D64" s="13" t="s">
        <v>991</v>
      </c>
      <c r="E64" s="11">
        <f t="shared" si="3"/>
        <v>0.25</v>
      </c>
      <c r="F64" s="5">
        <v>4</v>
      </c>
      <c r="G64" s="5">
        <v>1</v>
      </c>
      <c r="H64" s="5">
        <v>1</v>
      </c>
      <c r="I64" s="5">
        <v>0</v>
      </c>
      <c r="J64" s="6">
        <v>0</v>
      </c>
      <c r="K64" s="12">
        <v>2</v>
      </c>
      <c r="L64" s="7">
        <v>1</v>
      </c>
      <c r="M64" s="11">
        <f t="shared" si="5"/>
        <v>0.25</v>
      </c>
      <c r="N64" s="11">
        <f t="shared" si="6"/>
        <v>0.75</v>
      </c>
      <c r="O64" s="20">
        <v>1</v>
      </c>
      <c r="P64" s="21">
        <v>0</v>
      </c>
      <c r="Q64" s="21">
        <v>0</v>
      </c>
      <c r="R64" s="22">
        <v>1</v>
      </c>
      <c r="S64" s="22">
        <v>0</v>
      </c>
      <c r="T64" s="20">
        <v>1</v>
      </c>
      <c r="U64" s="20">
        <v>0</v>
      </c>
      <c r="V64" s="20">
        <v>0</v>
      </c>
      <c r="W64" s="62">
        <f>IFERROR(CalcRC27(F64,G64,K64,O64,P64,Q64,R64,S64,T64,U64,V64),"-")</f>
        <v>4.9979999999999993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1598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992</v>
      </c>
      <c r="E66" s="11">
        <f t="shared" si="3"/>
        <v>0.21897810218978103</v>
      </c>
      <c r="F66" s="5">
        <v>137</v>
      </c>
      <c r="G66" s="5">
        <v>30</v>
      </c>
      <c r="H66" s="5">
        <v>4</v>
      </c>
      <c r="I66" s="5">
        <v>1</v>
      </c>
      <c r="J66" s="6">
        <v>0</v>
      </c>
      <c r="K66" s="12">
        <v>36</v>
      </c>
      <c r="L66" s="7">
        <v>6</v>
      </c>
      <c r="M66" s="11">
        <f t="shared" si="5"/>
        <v>0.28758169934640521</v>
      </c>
      <c r="N66" s="11">
        <f t="shared" si="6"/>
        <v>0.55058169934640522</v>
      </c>
      <c r="O66" s="20">
        <v>39</v>
      </c>
      <c r="P66" s="21">
        <v>13</v>
      </c>
      <c r="Q66" s="21">
        <v>1</v>
      </c>
      <c r="R66" s="22">
        <v>8</v>
      </c>
      <c r="S66" s="22">
        <v>2</v>
      </c>
      <c r="T66" s="20">
        <v>7</v>
      </c>
      <c r="U66" s="20">
        <v>3</v>
      </c>
      <c r="V66" s="20">
        <v>4</v>
      </c>
      <c r="W66" s="62">
        <f>IFERROR(CalcRC27(F66,G66,K66,O66,P66,Q66,R66,S66,T66,U66,V66),"-")</f>
        <v>2.2497219995992768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1133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900</v>
      </c>
    </row>
    <row r="68" spans="2:24" ht="13.8" x14ac:dyDescent="0.2">
      <c r="B68" s="8">
        <f t="shared" si="4"/>
        <v>63</v>
      </c>
      <c r="C68" s="10">
        <v>63</v>
      </c>
      <c r="D68" s="13" t="s">
        <v>889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1009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1235</v>
      </c>
      <c r="E70" s="11">
        <f t="shared" si="9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1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-0.79200000000000137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993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1169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1980</v>
      </c>
    </row>
    <row r="73" spans="2:24" ht="13.8" x14ac:dyDescent="0.2">
      <c r="B73" s="8">
        <f t="shared" si="8"/>
        <v>68</v>
      </c>
      <c r="C73" s="10">
        <v>68</v>
      </c>
      <c r="D73" s="13" t="s">
        <v>994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1010</v>
      </c>
    </row>
    <row r="74" spans="2:24" ht="13.8" x14ac:dyDescent="0.2">
      <c r="B74" s="8">
        <f t="shared" si="8"/>
        <v>69</v>
      </c>
      <c r="C74" s="10">
        <v>69</v>
      </c>
      <c r="D74" s="13" t="s">
        <v>995</v>
      </c>
      <c r="E74" s="11">
        <f t="shared" si="9"/>
        <v>0.14285714285714285</v>
      </c>
      <c r="F74" s="5">
        <v>14</v>
      </c>
      <c r="G74" s="5">
        <v>2</v>
      </c>
      <c r="H74" s="5">
        <v>1</v>
      </c>
      <c r="I74" s="5">
        <v>0</v>
      </c>
      <c r="J74" s="6">
        <v>0</v>
      </c>
      <c r="K74" s="12">
        <v>3</v>
      </c>
      <c r="L74" s="7">
        <v>1</v>
      </c>
      <c r="M74" s="11">
        <f t="shared" si="10"/>
        <v>0.2</v>
      </c>
      <c r="N74" s="11">
        <f t="shared" si="11"/>
        <v>0.41400000000000003</v>
      </c>
      <c r="O74" s="20">
        <v>5</v>
      </c>
      <c r="P74" s="21">
        <v>1</v>
      </c>
      <c r="Q74" s="21">
        <v>0</v>
      </c>
      <c r="R74" s="22">
        <v>1</v>
      </c>
      <c r="S74" s="22">
        <v>0</v>
      </c>
      <c r="T74" s="20">
        <v>4</v>
      </c>
      <c r="U74" s="20">
        <v>4</v>
      </c>
      <c r="V74" s="20">
        <v>0</v>
      </c>
      <c r="W74" s="62">
        <f>IFERROR(CalcRC27(F74,G74,K74,O74,P74,Q74,R74,S74,T74,U74,V74),"-")</f>
        <v>-0.5130882352941194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1974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996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1011</v>
      </c>
    </row>
    <row r="101" spans="2:24" ht="13.8" x14ac:dyDescent="0.2">
      <c r="B101" s="8">
        <f t="shared" si="8"/>
        <v>96</v>
      </c>
      <c r="C101" s="10">
        <v>96</v>
      </c>
      <c r="D101" s="13" t="s">
        <v>997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890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901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1012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0.17647058823529413</v>
      </c>
      <c r="F104" s="5">
        <v>34</v>
      </c>
      <c r="G104" s="5">
        <v>6</v>
      </c>
      <c r="H104" s="5">
        <v>0</v>
      </c>
      <c r="I104" s="5">
        <v>0</v>
      </c>
      <c r="J104" s="6">
        <v>1</v>
      </c>
      <c r="K104" s="12">
        <v>9</v>
      </c>
      <c r="L104" s="7">
        <v>3</v>
      </c>
      <c r="M104" s="11">
        <f t="shared" si="10"/>
        <v>0.28205128205128205</v>
      </c>
      <c r="N104" s="11">
        <f t="shared" si="11"/>
        <v>0.54705128205128206</v>
      </c>
      <c r="O104" s="20">
        <v>8</v>
      </c>
      <c r="P104" s="21">
        <v>4</v>
      </c>
      <c r="Q104" s="21">
        <v>1</v>
      </c>
      <c r="R104" s="22">
        <v>3</v>
      </c>
      <c r="S104" s="22">
        <v>0</v>
      </c>
      <c r="T104" s="20">
        <v>1</v>
      </c>
      <c r="U104" s="20">
        <v>0</v>
      </c>
      <c r="V104" s="20">
        <v>2</v>
      </c>
      <c r="W104" s="62">
        <f>IFERROR(CalcRC27(F104,G104,K104,O104,P104,Q104,R104,S104,T104,U104,V104),"-")</f>
        <v>1.9390519480519466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1013</v>
      </c>
    </row>
    <row r="106" spans="2:24" ht="13.8" x14ac:dyDescent="0.2">
      <c r="B106" s="8">
        <f t="shared" si="8"/>
        <v>121</v>
      </c>
      <c r="C106" s="10">
        <v>121</v>
      </c>
      <c r="D106" s="13" t="s">
        <v>891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902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999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1014</v>
      </c>
    </row>
    <row r="110" spans="2:24" ht="13.8" x14ac:dyDescent="0.2">
      <c r="B110" s="8">
        <f t="shared" si="8"/>
        <v>125</v>
      </c>
      <c r="C110" s="10">
        <v>125</v>
      </c>
      <c r="D110" s="13" t="s">
        <v>892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903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1015</v>
      </c>
    </row>
    <row r="114" spans="2:24" ht="13.8" x14ac:dyDescent="0.2">
      <c r="B114" s="8">
        <f t="shared" si="8"/>
        <v>129</v>
      </c>
      <c r="C114" s="10">
        <v>129</v>
      </c>
      <c r="D114" s="9" t="s">
        <v>1975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1976</v>
      </c>
    </row>
    <row r="115" spans="2:24" ht="13.8" x14ac:dyDescent="0.2">
      <c r="B115" s="8">
        <f t="shared" si="8"/>
        <v>130</v>
      </c>
      <c r="C115" s="10">
        <v>130</v>
      </c>
      <c r="D115" s="9" t="s">
        <v>2054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1977</v>
      </c>
    </row>
    <row r="116" spans="2:24" ht="13.8" x14ac:dyDescent="0.2">
      <c r="B116" s="8">
        <f t="shared" si="8"/>
        <v>131</v>
      </c>
      <c r="C116" s="10">
        <v>131</v>
      </c>
      <c r="D116" s="9" t="s">
        <v>2055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1978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1708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1023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1024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2020</v>
      </c>
    </row>
    <row r="11" spans="2:24" ht="13.8" x14ac:dyDescent="0.2">
      <c r="B11" s="8">
        <f t="shared" si="4"/>
        <v>6</v>
      </c>
      <c r="C11" s="10">
        <v>6</v>
      </c>
      <c r="D11" s="13" t="s">
        <v>1685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1025</v>
      </c>
    </row>
    <row r="12" spans="2:24" ht="13.8" x14ac:dyDescent="0.2">
      <c r="B12" s="8">
        <f t="shared" si="4"/>
        <v>7</v>
      </c>
      <c r="C12" s="10">
        <v>7</v>
      </c>
      <c r="D12" s="13" t="s">
        <v>1026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1027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1028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1029</v>
      </c>
    </row>
    <row r="17" spans="2:24" ht="13.8" x14ac:dyDescent="0.2">
      <c r="B17" s="8">
        <f t="shared" si="4"/>
        <v>12</v>
      </c>
      <c r="C17" s="10">
        <v>12</v>
      </c>
      <c r="D17" s="13" t="s">
        <v>1030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1031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1032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1033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1034</v>
      </c>
    </row>
    <row r="23" spans="2:24" ht="13.8" x14ac:dyDescent="0.2">
      <c r="B23" s="8">
        <f t="shared" si="4"/>
        <v>18</v>
      </c>
      <c r="C23" s="10">
        <v>18</v>
      </c>
      <c r="D23" s="13" t="s">
        <v>1711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1035</v>
      </c>
    </row>
    <row r="24" spans="2:24" ht="13.8" x14ac:dyDescent="0.2">
      <c r="B24" s="8">
        <f t="shared" si="4"/>
        <v>19</v>
      </c>
      <c r="C24" s="10">
        <v>19</v>
      </c>
      <c r="D24" s="13" t="s">
        <v>1979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2024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1036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1513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1037</v>
      </c>
    </row>
    <row r="28" spans="2:24" ht="13.8" x14ac:dyDescent="0.2">
      <c r="B28" s="8">
        <f t="shared" si="4"/>
        <v>23</v>
      </c>
      <c r="C28" s="10">
        <v>23</v>
      </c>
      <c r="D28" s="13" t="s">
        <v>1949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1950</v>
      </c>
    </row>
    <row r="29" spans="2:24" ht="13.8" x14ac:dyDescent="0.2">
      <c r="B29" s="8">
        <f t="shared" si="4"/>
        <v>24</v>
      </c>
      <c r="C29" s="10">
        <v>24</v>
      </c>
      <c r="D29" s="13" t="s">
        <v>1498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1038</v>
      </c>
    </row>
    <row r="30" spans="2:24" ht="13.8" x14ac:dyDescent="0.2">
      <c r="B30" s="8">
        <f t="shared" si="4"/>
        <v>25</v>
      </c>
      <c r="C30" s="10">
        <v>25</v>
      </c>
      <c r="D30" s="13" t="s">
        <v>1039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1040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1041</v>
      </c>
    </row>
    <row r="32" spans="2:24" ht="13.8" x14ac:dyDescent="0.2">
      <c r="B32" s="8">
        <f t="shared" si="4"/>
        <v>27</v>
      </c>
      <c r="C32" s="10">
        <v>27</v>
      </c>
      <c r="D32" s="13" t="s">
        <v>1042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1043</v>
      </c>
    </row>
    <row r="33" spans="2:24" ht="13.8" x14ac:dyDescent="0.2">
      <c r="B33" s="8">
        <f t="shared" si="4"/>
        <v>28</v>
      </c>
      <c r="C33" s="10">
        <v>28</v>
      </c>
      <c r="D33" s="13" t="s">
        <v>1044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2025</v>
      </c>
    </row>
    <row r="34" spans="2:24" ht="13.8" x14ac:dyDescent="0.2">
      <c r="B34" s="8">
        <f t="shared" si="4"/>
        <v>29</v>
      </c>
      <c r="C34" s="10">
        <v>29</v>
      </c>
      <c r="D34" s="13" t="s">
        <v>1045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1865</v>
      </c>
    </row>
    <row r="35" spans="2:24" ht="13.8" x14ac:dyDescent="0.2">
      <c r="B35" s="8">
        <f t="shared" si="4"/>
        <v>30</v>
      </c>
      <c r="C35" s="10">
        <v>30</v>
      </c>
      <c r="D35" s="13" t="s">
        <v>1999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1208</v>
      </c>
    </row>
    <row r="36" spans="2:24" ht="13.8" x14ac:dyDescent="0.2">
      <c r="B36" s="8">
        <f t="shared" si="4"/>
        <v>31</v>
      </c>
      <c r="C36" s="10">
        <v>31</v>
      </c>
      <c r="D36" s="13" t="s">
        <v>1046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1047</v>
      </c>
    </row>
    <row r="37" spans="2:24" ht="13.8" x14ac:dyDescent="0.2">
      <c r="B37" s="8">
        <f t="shared" si="4"/>
        <v>32</v>
      </c>
      <c r="C37" s="10">
        <v>32</v>
      </c>
      <c r="D37" s="13" t="s">
        <v>1244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1048</v>
      </c>
    </row>
    <row r="38" spans="2:24" ht="13.8" x14ac:dyDescent="0.2">
      <c r="B38" s="8">
        <f t="shared" si="4"/>
        <v>33</v>
      </c>
      <c r="C38" s="10">
        <v>33</v>
      </c>
      <c r="D38" s="13" t="s">
        <v>1171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1866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1049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2021</v>
      </c>
    </row>
    <row r="41" spans="2:24" ht="13.8" x14ac:dyDescent="0.2">
      <c r="B41" s="8">
        <f t="shared" si="4"/>
        <v>36</v>
      </c>
      <c r="C41" s="10">
        <v>36</v>
      </c>
      <c r="D41" s="13" t="s">
        <v>1050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1051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1957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1052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1053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1054</v>
      </c>
    </row>
    <row r="49" spans="2:24" ht="13.8" x14ac:dyDescent="0.2">
      <c r="B49" s="8">
        <f t="shared" si="4"/>
        <v>44</v>
      </c>
      <c r="C49" s="10">
        <v>44</v>
      </c>
      <c r="D49" s="13" t="s">
        <v>1269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2023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1055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1056</v>
      </c>
    </row>
    <row r="52" spans="2:24" ht="13.8" x14ac:dyDescent="0.2">
      <c r="B52" s="8">
        <f t="shared" si="4"/>
        <v>47</v>
      </c>
      <c r="C52" s="10">
        <v>47</v>
      </c>
      <c r="D52" s="13" t="s">
        <v>1057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1058</v>
      </c>
    </row>
    <row r="53" spans="2:24" ht="13.8" x14ac:dyDescent="0.2">
      <c r="B53" s="8">
        <f t="shared" si="4"/>
        <v>48</v>
      </c>
      <c r="C53" s="10">
        <v>48</v>
      </c>
      <c r="D53" s="13" t="s">
        <v>1059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1060</v>
      </c>
    </row>
    <row r="54" spans="2:24" ht="13.8" x14ac:dyDescent="0.2">
      <c r="B54" s="8">
        <f t="shared" si="4"/>
        <v>49</v>
      </c>
      <c r="C54" s="10">
        <v>49</v>
      </c>
      <c r="D54" s="13" t="s">
        <v>1061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1867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1062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1063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1064</v>
      </c>
    </row>
    <row r="59" spans="2:24" ht="13.8" x14ac:dyDescent="0.2">
      <c r="B59" s="8">
        <f t="shared" si="4"/>
        <v>54</v>
      </c>
      <c r="C59" s="10">
        <v>54</v>
      </c>
      <c r="D59" s="13" t="s">
        <v>1065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1066</v>
      </c>
    </row>
    <row r="60" spans="2:24" ht="13.8" x14ac:dyDescent="0.2">
      <c r="B60" s="8">
        <f t="shared" si="4"/>
        <v>55</v>
      </c>
      <c r="C60" s="10">
        <v>55</v>
      </c>
      <c r="D60" s="13" t="s">
        <v>1067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1068</v>
      </c>
    </row>
    <row r="61" spans="2:24" ht="13.8" x14ac:dyDescent="0.2">
      <c r="B61" s="8">
        <f t="shared" si="4"/>
        <v>56</v>
      </c>
      <c r="C61" s="10">
        <v>56</v>
      </c>
      <c r="D61" s="13" t="s">
        <v>1069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1070</v>
      </c>
    </row>
    <row r="62" spans="2:24" ht="13.8" x14ac:dyDescent="0.2">
      <c r="B62" s="8">
        <f t="shared" si="4"/>
        <v>57</v>
      </c>
      <c r="C62" s="10">
        <v>57</v>
      </c>
      <c r="D62" s="13" t="s">
        <v>1071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1072</v>
      </c>
    </row>
    <row r="63" spans="2:24" ht="13.8" x14ac:dyDescent="0.2">
      <c r="B63" s="8">
        <f t="shared" si="4"/>
        <v>58</v>
      </c>
      <c r="C63" s="10">
        <v>58</v>
      </c>
      <c r="D63" s="13" t="s">
        <v>1073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1074</v>
      </c>
    </row>
    <row r="64" spans="2:24" ht="13.8" x14ac:dyDescent="0.2">
      <c r="B64" s="8">
        <f t="shared" si="4"/>
        <v>59</v>
      </c>
      <c r="C64" s="10">
        <v>59</v>
      </c>
      <c r="D64" s="13" t="s">
        <v>1353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1075</v>
      </c>
    </row>
    <row r="65" spans="2:24" ht="13.8" x14ac:dyDescent="0.2">
      <c r="B65" s="8">
        <f t="shared" si="4"/>
        <v>60</v>
      </c>
      <c r="C65" s="10">
        <v>60</v>
      </c>
      <c r="D65" s="13" t="s">
        <v>1417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1076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1077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1078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1079</v>
      </c>
    </row>
    <row r="70" spans="2:24" ht="13.8" x14ac:dyDescent="0.2">
      <c r="B70" s="8">
        <f t="shared" si="9"/>
        <v>65</v>
      </c>
      <c r="C70" s="10">
        <v>65</v>
      </c>
      <c r="D70" s="13" t="s">
        <v>1080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1868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1029</v>
      </c>
    </row>
    <row r="72" spans="2:24" ht="13.8" x14ac:dyDescent="0.2">
      <c r="B72" s="8">
        <f t="shared" si="9"/>
        <v>67</v>
      </c>
      <c r="C72" s="10">
        <v>67</v>
      </c>
      <c r="D72" s="13" t="s">
        <v>1081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1082</v>
      </c>
    </row>
    <row r="73" spans="2:24" ht="13.8" x14ac:dyDescent="0.2">
      <c r="B73" s="8">
        <f t="shared" si="9"/>
        <v>68</v>
      </c>
      <c r="C73" s="10">
        <v>68</v>
      </c>
      <c r="D73" s="13" t="s">
        <v>1083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1084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1085</v>
      </c>
    </row>
    <row r="96" spans="2:24" ht="13.8" x14ac:dyDescent="0.2">
      <c r="B96" s="8">
        <f t="shared" si="9"/>
        <v>91</v>
      </c>
      <c r="C96" s="10">
        <v>91</v>
      </c>
      <c r="D96" s="13" t="s">
        <v>1086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1087</v>
      </c>
    </row>
    <row r="97" spans="2:24" ht="13.8" x14ac:dyDescent="0.2">
      <c r="B97" s="8">
        <f t="shared" si="9"/>
        <v>92</v>
      </c>
      <c r="C97" s="10">
        <v>92</v>
      </c>
      <c r="D97" s="13" t="s">
        <v>1088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1089</v>
      </c>
    </row>
    <row r="98" spans="2:24" ht="13.8" x14ac:dyDescent="0.2">
      <c r="B98" s="8">
        <f t="shared" si="9"/>
        <v>93</v>
      </c>
      <c r="C98" s="10">
        <v>93</v>
      </c>
      <c r="D98" s="13" t="s">
        <v>1090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1091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1681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1093</v>
      </c>
    </row>
    <row r="102" spans="2:24" ht="13.8" x14ac:dyDescent="0.2">
      <c r="B102" s="8">
        <f t="shared" si="9"/>
        <v>97</v>
      </c>
      <c r="C102" s="10">
        <v>97</v>
      </c>
      <c r="D102" s="13" t="s">
        <v>1276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1095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1869</v>
      </c>
    </row>
    <row r="105" spans="2:24" ht="13.8" x14ac:dyDescent="0.2">
      <c r="B105" s="8" t="str">
        <f t="shared" si="9"/>
        <v>001</v>
      </c>
      <c r="C105" s="10" t="s">
        <v>1179</v>
      </c>
      <c r="D105" s="23" t="s">
        <v>1393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2033</v>
      </c>
    </row>
    <row r="106" spans="2:24" ht="13.8" x14ac:dyDescent="0.2">
      <c r="B106" s="8" t="str">
        <f t="shared" si="9"/>
        <v>002</v>
      </c>
      <c r="C106" s="10" t="s">
        <v>1180</v>
      </c>
      <c r="D106" s="13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2022</v>
      </c>
    </row>
    <row r="107" spans="2:24" ht="13.8" x14ac:dyDescent="0.2">
      <c r="B107" s="8" t="str">
        <f t="shared" si="9"/>
        <v>003</v>
      </c>
      <c r="C107" s="10" t="s">
        <v>1181</v>
      </c>
      <c r="D107" s="13" t="s">
        <v>1244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2042</v>
      </c>
    </row>
    <row r="108" spans="2:24" ht="13.8" x14ac:dyDescent="0.2">
      <c r="B108" s="8" t="str">
        <f t="shared" si="9"/>
        <v>004</v>
      </c>
      <c r="C108" s="10" t="s">
        <v>1182</v>
      </c>
      <c r="D108" s="13" t="s">
        <v>1707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2034</v>
      </c>
    </row>
    <row r="109" spans="2:24" ht="13.8" x14ac:dyDescent="0.2">
      <c r="B109" s="8" t="str">
        <f t="shared" si="9"/>
        <v>005</v>
      </c>
      <c r="C109" s="10" t="s">
        <v>1183</v>
      </c>
      <c r="D109" s="13" t="s">
        <v>1096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2035</v>
      </c>
    </row>
    <row r="110" spans="2:24" ht="13.8" x14ac:dyDescent="0.2">
      <c r="B110" s="8" t="str">
        <f t="shared" si="9"/>
        <v>006</v>
      </c>
      <c r="C110" s="10" t="s">
        <v>2026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1025</v>
      </c>
    </row>
    <row r="111" spans="2:24" ht="13.8" x14ac:dyDescent="0.2">
      <c r="B111" s="8" t="str">
        <f t="shared" si="9"/>
        <v>007</v>
      </c>
      <c r="C111" s="10" t="s">
        <v>1210</v>
      </c>
      <c r="D111" s="13" t="s">
        <v>1097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2036</v>
      </c>
    </row>
    <row r="112" spans="2:24" ht="13.8" x14ac:dyDescent="0.2">
      <c r="B112" s="8" t="str">
        <f t="shared" si="9"/>
        <v>008</v>
      </c>
      <c r="C112" s="10" t="s">
        <v>1184</v>
      </c>
      <c r="D112" s="13" t="s">
        <v>1098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2037</v>
      </c>
    </row>
    <row r="113" spans="2:24" ht="13.8" x14ac:dyDescent="0.2">
      <c r="B113" s="8" t="str">
        <f t="shared" si="9"/>
        <v>009</v>
      </c>
      <c r="C113" s="10" t="s">
        <v>2043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2044</v>
      </c>
    </row>
    <row r="114" spans="2:24" ht="13.8" x14ac:dyDescent="0.2">
      <c r="B114" s="8" t="str">
        <f t="shared" si="9"/>
        <v>010</v>
      </c>
      <c r="C114" s="10" t="s">
        <v>2027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2028</v>
      </c>
    </row>
    <row r="115" spans="2:24" ht="13.8" x14ac:dyDescent="0.2">
      <c r="B115" s="8" t="str">
        <f t="shared" si="9"/>
        <v>011</v>
      </c>
      <c r="C115" s="10" t="s">
        <v>1185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1186</v>
      </c>
      <c r="D116" s="26" t="s">
        <v>2000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1099</v>
      </c>
    </row>
    <row r="117" spans="2:24" ht="13.8" x14ac:dyDescent="0.2">
      <c r="B117" s="8" t="str">
        <f t="shared" si="9"/>
        <v>013</v>
      </c>
      <c r="C117" s="10" t="s">
        <v>1187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1870</v>
      </c>
    </row>
    <row r="118" spans="2:24" ht="13.8" x14ac:dyDescent="0.2">
      <c r="B118" s="8" t="str">
        <f t="shared" si="9"/>
        <v>014</v>
      </c>
      <c r="C118" s="10" t="s">
        <v>1188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1100</v>
      </c>
    </row>
    <row r="119" spans="2:24" ht="13.8" x14ac:dyDescent="0.2">
      <c r="B119" s="8" t="str">
        <f t="shared" si="9"/>
        <v>015</v>
      </c>
      <c r="C119" s="10" t="s">
        <v>1247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1211</v>
      </c>
      <c r="D120" s="26" t="s">
        <v>1101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1102</v>
      </c>
    </row>
    <row r="121" spans="2:24" ht="13.8" x14ac:dyDescent="0.2">
      <c r="B121" s="8" t="str">
        <f t="shared" si="9"/>
        <v>018</v>
      </c>
      <c r="C121" s="10" t="s">
        <v>1103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1248</v>
      </c>
      <c r="D122" s="26" t="s">
        <v>1104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1105</v>
      </c>
    </row>
    <row r="123" spans="2:24" ht="13.8" x14ac:dyDescent="0.2">
      <c r="B123" s="8" t="str">
        <f t="shared" si="9"/>
        <v>020</v>
      </c>
      <c r="C123" s="10" t="s">
        <v>1189</v>
      </c>
      <c r="D123" s="26" t="s">
        <v>2004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1190</v>
      </c>
      <c r="D124" s="26" t="s">
        <v>1176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1191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2029</v>
      </c>
    </row>
    <row r="126" spans="2:24" ht="13.8" x14ac:dyDescent="0.2">
      <c r="B126" s="8" t="str">
        <f t="shared" si="9"/>
        <v>023</v>
      </c>
      <c r="C126" s="10" t="s">
        <v>1249</v>
      </c>
      <c r="D126" s="26" t="s">
        <v>1598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1106</v>
      </c>
    </row>
    <row r="127" spans="2:24" ht="13.8" x14ac:dyDescent="0.2">
      <c r="B127" s="8" t="str">
        <f t="shared" si="9"/>
        <v>024</v>
      </c>
      <c r="C127" s="10" t="s">
        <v>1251</v>
      </c>
      <c r="D127" s="26" t="s">
        <v>1475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2030</v>
      </c>
    </row>
    <row r="128" spans="2:24" ht="13.8" x14ac:dyDescent="0.2">
      <c r="B128" s="8" t="str">
        <f t="shared" si="9"/>
        <v>025</v>
      </c>
      <c r="C128" s="10" t="s">
        <v>1253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2038</v>
      </c>
    </row>
    <row r="129" spans="2:24" ht="13.8" x14ac:dyDescent="0.2">
      <c r="B129" s="8" t="str">
        <f t="shared" si="9"/>
        <v>026</v>
      </c>
      <c r="C129" s="10" t="s">
        <v>1254</v>
      </c>
      <c r="D129" s="26" t="s">
        <v>1134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1107</v>
      </c>
    </row>
    <row r="130" spans="2:24" ht="13.8" x14ac:dyDescent="0.2">
      <c r="B130" s="8" t="str">
        <f t="shared" si="9"/>
        <v>027</v>
      </c>
      <c r="C130" s="10" t="s">
        <v>2039</v>
      </c>
      <c r="D130" s="26" t="s">
        <v>1108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2040</v>
      </c>
    </row>
    <row r="131" spans="2:24" ht="13.8" x14ac:dyDescent="0.2">
      <c r="B131" s="8" t="str">
        <f t="shared" si="9"/>
        <v>028</v>
      </c>
      <c r="C131" s="10" t="s">
        <v>1109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1110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1766</v>
      </c>
      <c r="D133" s="26" t="s">
        <v>1111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2045</v>
      </c>
    </row>
    <row r="134" spans="2:24" ht="13.8" x14ac:dyDescent="0.2">
      <c r="B134" s="8" t="str">
        <f t="shared" si="14"/>
        <v>033</v>
      </c>
      <c r="C134" s="10" t="s">
        <v>2046</v>
      </c>
      <c r="D134" s="26" t="s">
        <v>1112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2047</v>
      </c>
    </row>
    <row r="135" spans="2:24" ht="13.8" x14ac:dyDescent="0.2">
      <c r="B135" s="8" t="str">
        <f t="shared" si="14"/>
        <v>034</v>
      </c>
      <c r="C135" s="10" t="s">
        <v>1769</v>
      </c>
      <c r="D135" s="26" t="s">
        <v>1113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1114</v>
      </c>
    </row>
    <row r="136" spans="2:24" ht="13.8" x14ac:dyDescent="0.2">
      <c r="B136" s="8" t="str">
        <f t="shared" si="14"/>
        <v>035</v>
      </c>
      <c r="C136" s="10" t="s">
        <v>1115</v>
      </c>
      <c r="D136" s="8" t="s">
        <v>1116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1871</v>
      </c>
    </row>
    <row r="137" spans="2:24" ht="13.8" x14ac:dyDescent="0.2">
      <c r="B137" s="8" t="str">
        <f t="shared" si="14"/>
        <v>039</v>
      </c>
      <c r="C137" s="10" t="s">
        <v>2048</v>
      </c>
      <c r="D137" s="26" t="s">
        <v>1117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2049</v>
      </c>
    </row>
    <row r="138" spans="2:24" ht="13.8" x14ac:dyDescent="0.2">
      <c r="B138" s="8" t="str">
        <f t="shared" si="14"/>
        <v>044</v>
      </c>
      <c r="C138" s="10" t="s">
        <v>1775</v>
      </c>
      <c r="D138" s="26" t="s">
        <v>1118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2050</v>
      </c>
    </row>
    <row r="139" spans="2:24" ht="13.8" x14ac:dyDescent="0.2">
      <c r="B139" s="8" t="str">
        <f t="shared" si="14"/>
        <v>047</v>
      </c>
      <c r="C139" s="10" t="s">
        <v>1119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2051</v>
      </c>
      <c r="D140" s="26" t="s">
        <v>1120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2052</v>
      </c>
    </row>
    <row r="141" spans="2:24" ht="13.8" x14ac:dyDescent="0.2">
      <c r="B141" s="8" t="str">
        <f t="shared" si="14"/>
        <v>056</v>
      </c>
      <c r="C141" s="10" t="s">
        <v>1121</v>
      </c>
      <c r="D141" s="26" t="s">
        <v>2005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1122</v>
      </c>
      <c r="D142" s="8" t="s">
        <v>1123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1872</v>
      </c>
    </row>
    <row r="143" spans="2:24" ht="13.8" x14ac:dyDescent="0.2">
      <c r="B143" s="8" t="str">
        <f t="shared" si="14"/>
        <v>063</v>
      </c>
      <c r="C143" s="10" t="s">
        <v>1124</v>
      </c>
      <c r="D143" s="26" t="s">
        <v>1125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2031</v>
      </c>
      <c r="D144" s="26" t="s">
        <v>1126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2032</v>
      </c>
    </row>
    <row r="145" spans="2:24" ht="13.8" x14ac:dyDescent="0.2">
      <c r="B145" s="8" t="str">
        <f t="shared" si="14"/>
        <v>098</v>
      </c>
      <c r="C145" s="10" t="s">
        <v>2041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1873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1237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1127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1129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1874</v>
      </c>
    </row>
    <row r="19" spans="2:24" ht="13.8" x14ac:dyDescent="0.2">
      <c r="B19" s="8">
        <f t="shared" si="4"/>
        <v>14</v>
      </c>
      <c r="C19" s="10">
        <v>14</v>
      </c>
      <c r="D19" s="13" t="s">
        <v>1131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1132</v>
      </c>
    </row>
    <row r="20" spans="2:24" ht="13.8" x14ac:dyDescent="0.2">
      <c r="B20" s="8">
        <f t="shared" si="4"/>
        <v>15</v>
      </c>
      <c r="C20" s="10">
        <v>15</v>
      </c>
      <c r="D20" s="2" t="s">
        <v>1239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1240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1135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1136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1875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1137</v>
      </c>
    </row>
    <row r="32" spans="2:24" ht="13.8" x14ac:dyDescent="0.2">
      <c r="B32" s="8">
        <f t="shared" si="4"/>
        <v>27</v>
      </c>
      <c r="C32" s="10">
        <v>27</v>
      </c>
      <c r="D32" s="9" t="s">
        <v>1996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1139</v>
      </c>
    </row>
    <row r="34" spans="2:24" ht="13.8" x14ac:dyDescent="0.2">
      <c r="B34" s="8">
        <f t="shared" si="4"/>
        <v>29</v>
      </c>
      <c r="C34" s="10">
        <v>29</v>
      </c>
      <c r="D34" s="13" t="s">
        <v>1241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1141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1142</v>
      </c>
    </row>
    <row r="41" spans="2:24" ht="13.8" x14ac:dyDescent="0.2">
      <c r="B41" s="8">
        <f t="shared" si="4"/>
        <v>36</v>
      </c>
      <c r="C41" s="10">
        <v>36</v>
      </c>
      <c r="D41" s="13" t="s">
        <v>2002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1143</v>
      </c>
    </row>
    <row r="42" spans="2:24" ht="13.8" x14ac:dyDescent="0.2">
      <c r="B42" s="8">
        <f t="shared" si="4"/>
        <v>37</v>
      </c>
      <c r="C42" s="10">
        <v>37</v>
      </c>
      <c r="D42" s="13" t="s">
        <v>1172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1876</v>
      </c>
    </row>
    <row r="43" spans="2:24" ht="13.8" x14ac:dyDescent="0.2">
      <c r="B43" s="8">
        <f t="shared" si="4"/>
        <v>38</v>
      </c>
      <c r="C43" s="10">
        <v>38</v>
      </c>
      <c r="D43" s="13" t="s">
        <v>1144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1145</v>
      </c>
    </row>
    <row r="44" spans="2:24" ht="13.8" x14ac:dyDescent="0.2">
      <c r="B44" s="8">
        <f t="shared" si="4"/>
        <v>39</v>
      </c>
      <c r="C44" s="10">
        <v>39</v>
      </c>
      <c r="D44" s="13" t="s">
        <v>1242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1877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1146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1147</v>
      </c>
    </row>
    <row r="48" spans="2:24" ht="13.8" x14ac:dyDescent="0.2">
      <c r="B48" s="8">
        <f t="shared" si="4"/>
        <v>43</v>
      </c>
      <c r="C48" s="10">
        <v>43</v>
      </c>
      <c r="D48" s="13" t="s">
        <v>1997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1148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1149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1995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1150</v>
      </c>
    </row>
    <row r="55" spans="2:24" ht="13.8" x14ac:dyDescent="0.2">
      <c r="B55" s="8">
        <f t="shared" si="4"/>
        <v>50</v>
      </c>
      <c r="C55" s="10">
        <v>50</v>
      </c>
      <c r="D55" s="13" t="s">
        <v>1151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1152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1153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1154</v>
      </c>
    </row>
    <row r="58" spans="2:24" ht="13.8" x14ac:dyDescent="0.2">
      <c r="B58" s="8">
        <f t="shared" si="4"/>
        <v>53</v>
      </c>
      <c r="C58" s="10">
        <v>53</v>
      </c>
      <c r="D58" s="13" t="s">
        <v>1479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1155</v>
      </c>
    </row>
    <row r="60" spans="2:24" ht="13.8" x14ac:dyDescent="0.2">
      <c r="B60" s="8">
        <f t="shared" si="4"/>
        <v>55</v>
      </c>
      <c r="C60" s="10">
        <v>55</v>
      </c>
      <c r="D60" s="13" t="s">
        <v>1243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1156</v>
      </c>
    </row>
    <row r="62" spans="2:24" ht="13.8" x14ac:dyDescent="0.2">
      <c r="B62" s="8">
        <f t="shared" si="4"/>
        <v>57</v>
      </c>
      <c r="C62" s="10">
        <v>57</v>
      </c>
      <c r="D62" s="13" t="s">
        <v>1832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1157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1158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1159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1162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1163</v>
      </c>
    </row>
    <row r="72" spans="2:24" ht="13.8" x14ac:dyDescent="0.2">
      <c r="B72" s="8">
        <f t="shared" si="10"/>
        <v>67</v>
      </c>
      <c r="C72" s="10">
        <v>67</v>
      </c>
      <c r="D72" s="13" t="s">
        <v>2005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1164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1878</v>
      </c>
    </row>
    <row r="105" spans="2:24" ht="13.8" x14ac:dyDescent="0.2">
      <c r="B105" s="8" t="str">
        <f t="shared" si="10"/>
        <v>012</v>
      </c>
      <c r="C105" s="10" t="s">
        <v>1186</v>
      </c>
      <c r="D105" s="14" t="s">
        <v>1999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1187</v>
      </c>
      <c r="D106" s="9" t="s">
        <v>1165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1247</v>
      </c>
      <c r="D107" s="9" t="s">
        <v>1088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1089</v>
      </c>
    </row>
    <row r="108" spans="2:24" ht="13.8" x14ac:dyDescent="0.2">
      <c r="B108" s="8" t="str">
        <f t="shared" si="10"/>
        <v>019</v>
      </c>
      <c r="C108" s="10" t="s">
        <v>1248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1249</v>
      </c>
      <c r="D109" s="9" t="s">
        <v>1250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1166</v>
      </c>
    </row>
    <row r="110" spans="2:24" ht="13.8" x14ac:dyDescent="0.2">
      <c r="B110" s="8" t="str">
        <f t="shared" si="10"/>
        <v>024</v>
      </c>
      <c r="C110" s="10" t="s">
        <v>1251</v>
      </c>
      <c r="D110" s="9" t="s">
        <v>1252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1253</v>
      </c>
      <c r="D111" s="9" t="s">
        <v>1167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1167</v>
      </c>
    </row>
    <row r="112" spans="2:24" ht="13.8" x14ac:dyDescent="0.2">
      <c r="B112" s="8" t="str">
        <f t="shared" si="10"/>
        <v>026</v>
      </c>
      <c r="C112" s="10" t="s">
        <v>1254</v>
      </c>
      <c r="D112" s="13" t="s">
        <v>1683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1168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52" activePane="bottomRight" state="frozen"/>
      <selection pane="topRight" activeCell="E1" sqref="E1"/>
      <selection pane="bottomLeft" activeCell="A4" sqref="A4"/>
      <selection pane="bottomRight" activeCell="D59" sqref="D5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0.2562204400575776</v>
      </c>
      <c r="F2" s="5">
        <f t="shared" ref="F2:L2" si="0">SUM(F4:F104)</f>
        <v>4863</v>
      </c>
      <c r="G2" s="5">
        <f t="shared" si="0"/>
        <v>1246</v>
      </c>
      <c r="H2" s="5">
        <f t="shared" si="0"/>
        <v>243</v>
      </c>
      <c r="I2" s="5">
        <f t="shared" si="0"/>
        <v>15</v>
      </c>
      <c r="J2" s="6">
        <f t="shared" si="0"/>
        <v>101</v>
      </c>
      <c r="K2" s="12">
        <f t="shared" ref="K2" si="1">((G2-H2-I2-J2)+(H2*2)+(I2*3)+(J2*4))</f>
        <v>1822</v>
      </c>
      <c r="L2" s="7">
        <f t="shared" si="0"/>
        <v>508</v>
      </c>
      <c r="M2" s="11">
        <f t="shared" ref="M2:M4" si="2">IFERROR(IF((G2+P2+Q2)/(F2+P2+Q2+S2)=1,"1.00",(G2+P2+Q2)/(F2+P2+Q2+S2)),0)</f>
        <v>0.31273549359457425</v>
      </c>
      <c r="N2" s="11">
        <f>IF(F2=0,IF(M2="1.00","1.000",M2),SUM(ROUND(K2/F2,3),M2))</f>
        <v>0.68773549359457431</v>
      </c>
      <c r="O2" s="5">
        <f>SUM(O4:O104)</f>
        <v>922</v>
      </c>
      <c r="P2" s="5">
        <f>SUM(P4:P104)</f>
        <v>360</v>
      </c>
      <c r="Q2" s="5">
        <f>SUM(Q4:Q104)</f>
        <v>54</v>
      </c>
      <c r="R2" s="5">
        <f>SUM(R4:R104)</f>
        <v>85</v>
      </c>
      <c r="S2" s="5">
        <f>SUM(S4:S104)</f>
        <v>31</v>
      </c>
      <c r="T2" s="5">
        <f t="shared" ref="T2:V2" si="3">SUM(T4:T104)</f>
        <v>69</v>
      </c>
      <c r="U2" s="5">
        <f t="shared" si="3"/>
        <v>27</v>
      </c>
      <c r="V2" s="5">
        <f t="shared" si="3"/>
        <v>114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1256</v>
      </c>
      <c r="E4" s="11">
        <f t="shared" ref="E4:E68" si="4">IFERROR(IF(G4/F4=1,"1.00",G4/F4),"---")</f>
        <v>0.16666666666666666</v>
      </c>
      <c r="F4" s="5">
        <v>102</v>
      </c>
      <c r="G4" s="5">
        <v>17</v>
      </c>
      <c r="H4" s="5">
        <v>5</v>
      </c>
      <c r="I4" s="5">
        <v>1</v>
      </c>
      <c r="J4" s="6">
        <v>0</v>
      </c>
      <c r="K4" s="12">
        <v>24</v>
      </c>
      <c r="L4" s="7">
        <v>7</v>
      </c>
      <c r="M4" s="11">
        <f t="shared" si="2"/>
        <v>0.23214285714285715</v>
      </c>
      <c r="N4" s="11">
        <f>IF(F4=0,IF(M4="1.00","1.000",M4),SUM(ROUND(K4/F4,3),M4))</f>
        <v>0.46714285714285714</v>
      </c>
      <c r="O4" s="20">
        <v>24</v>
      </c>
      <c r="P4" s="21">
        <v>8</v>
      </c>
      <c r="Q4" s="21">
        <v>1</v>
      </c>
      <c r="R4" s="22">
        <v>2</v>
      </c>
      <c r="S4" s="22">
        <v>1</v>
      </c>
      <c r="T4" s="20">
        <v>6</v>
      </c>
      <c r="U4" s="20">
        <v>3</v>
      </c>
      <c r="V4" s="20">
        <v>2</v>
      </c>
      <c r="W4" s="62">
        <f>IFERROR(CalcRC27(F4,G4,K4,O4,P4,Q4,R4,S4,T4,U4,V4),"-")</f>
        <v>1.3109592529711358</v>
      </c>
      <c r="X4" s="2" t="s">
        <v>1297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1298</v>
      </c>
    </row>
    <row r="6" spans="2:24" ht="13.8" x14ac:dyDescent="0.2">
      <c r="B6" s="8">
        <f t="shared" si="5"/>
        <v>1</v>
      </c>
      <c r="C6" s="10">
        <v>1</v>
      </c>
      <c r="D6" s="13" t="s">
        <v>1490</v>
      </c>
      <c r="E6" s="11">
        <f t="shared" si="4"/>
        <v>0.27017543859649124</v>
      </c>
      <c r="F6" s="5">
        <v>285</v>
      </c>
      <c r="G6" s="5">
        <v>77</v>
      </c>
      <c r="H6" s="5">
        <v>12</v>
      </c>
      <c r="I6" s="5">
        <v>0</v>
      </c>
      <c r="J6" s="6">
        <v>5</v>
      </c>
      <c r="K6" s="12">
        <v>104</v>
      </c>
      <c r="L6" s="7">
        <v>24</v>
      </c>
      <c r="M6" s="11">
        <f t="shared" si="6"/>
        <v>0.32051282051282054</v>
      </c>
      <c r="N6" s="11">
        <f t="shared" si="7"/>
        <v>0.68551282051282048</v>
      </c>
      <c r="O6" s="20">
        <v>42</v>
      </c>
      <c r="P6" s="21">
        <v>19</v>
      </c>
      <c r="Q6" s="21">
        <v>4</v>
      </c>
      <c r="R6" s="22">
        <v>9</v>
      </c>
      <c r="S6" s="22">
        <v>4</v>
      </c>
      <c r="T6" s="20">
        <v>8</v>
      </c>
      <c r="U6" s="20">
        <v>0</v>
      </c>
      <c r="V6" s="20">
        <v>6</v>
      </c>
      <c r="W6" s="62">
        <f>IFERROR(CalcRC27(F6,G6,K6,O6,P6,Q6,R6,S6,T6,U6,V6),"-")</f>
        <v>4.2053650623739118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>
        <f t="shared" si="4"/>
        <v>0.29400386847195359</v>
      </c>
      <c r="F7" s="5">
        <v>517</v>
      </c>
      <c r="G7" s="5">
        <v>152</v>
      </c>
      <c r="H7" s="5">
        <v>33</v>
      </c>
      <c r="I7" s="5">
        <v>0</v>
      </c>
      <c r="J7" s="6">
        <v>23</v>
      </c>
      <c r="K7" s="12">
        <v>254</v>
      </c>
      <c r="L7" s="7">
        <v>74</v>
      </c>
      <c r="M7" s="11">
        <f t="shared" si="6"/>
        <v>0.34581105169340465</v>
      </c>
      <c r="N7" s="11">
        <f t="shared" si="7"/>
        <v>0.83681105169340464</v>
      </c>
      <c r="O7" s="20">
        <v>59</v>
      </c>
      <c r="P7" s="21">
        <v>37</v>
      </c>
      <c r="Q7" s="21">
        <v>5</v>
      </c>
      <c r="R7" s="22">
        <v>0</v>
      </c>
      <c r="S7" s="22">
        <v>2</v>
      </c>
      <c r="T7" s="20">
        <v>11</v>
      </c>
      <c r="U7" s="20">
        <v>0</v>
      </c>
      <c r="V7" s="20">
        <v>13</v>
      </c>
      <c r="W7" s="62">
        <f>IFERROR(CalcRC27(F7,G7,K7,O7,P7,Q7,R7,S7,T7,U7,V7),"-")</f>
        <v>6.1311757669574991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>
        <f t="shared" si="4"/>
        <v>0.31565656565656564</v>
      </c>
      <c r="F8" s="5">
        <v>396</v>
      </c>
      <c r="G8" s="5">
        <v>125</v>
      </c>
      <c r="H8" s="5">
        <v>34</v>
      </c>
      <c r="I8" s="5">
        <v>2</v>
      </c>
      <c r="J8" s="6">
        <v>25</v>
      </c>
      <c r="K8" s="12">
        <v>238</v>
      </c>
      <c r="L8" s="7">
        <v>69</v>
      </c>
      <c r="M8" s="11">
        <f t="shared" si="6"/>
        <v>0.38202247191011235</v>
      </c>
      <c r="N8" s="11">
        <f t="shared" si="7"/>
        <v>0.98302247191011238</v>
      </c>
      <c r="O8" s="20">
        <v>88</v>
      </c>
      <c r="P8" s="21">
        <v>45</v>
      </c>
      <c r="Q8" s="21">
        <v>0</v>
      </c>
      <c r="R8" s="22">
        <v>0</v>
      </c>
      <c r="S8" s="22">
        <v>4</v>
      </c>
      <c r="T8" s="20">
        <v>0</v>
      </c>
      <c r="U8" s="20">
        <v>1</v>
      </c>
      <c r="V8" s="20">
        <v>12</v>
      </c>
      <c r="W8" s="62">
        <f>IFERROR(CalcRC27(F8,G8,K8,O8,P8,Q8,R8,S8,T8,U8,V8),"-")</f>
        <v>7.8796348314606721</v>
      </c>
      <c r="X8" s="2" t="s">
        <v>1879</v>
      </c>
    </row>
    <row r="9" spans="2:24" ht="13.8" x14ac:dyDescent="0.2">
      <c r="B9" s="8">
        <f t="shared" si="5"/>
        <v>4</v>
      </c>
      <c r="C9" s="10">
        <v>4</v>
      </c>
      <c r="D9" s="13" t="s">
        <v>1258</v>
      </c>
      <c r="E9" s="11">
        <f t="shared" si="4"/>
        <v>0.2549800796812749</v>
      </c>
      <c r="F9" s="5">
        <v>251</v>
      </c>
      <c r="G9" s="5">
        <v>64</v>
      </c>
      <c r="H9" s="5">
        <v>7</v>
      </c>
      <c r="I9" s="5">
        <v>1</v>
      </c>
      <c r="J9" s="6">
        <v>3</v>
      </c>
      <c r="K9" s="12">
        <v>82</v>
      </c>
      <c r="L9" s="7">
        <v>24</v>
      </c>
      <c r="M9" s="11">
        <f t="shared" si="6"/>
        <v>0.30627306273062732</v>
      </c>
      <c r="N9" s="11">
        <f t="shared" si="7"/>
        <v>0.63327306273062733</v>
      </c>
      <c r="O9" s="20">
        <v>43</v>
      </c>
      <c r="P9" s="21">
        <v>12</v>
      </c>
      <c r="Q9" s="21">
        <v>7</v>
      </c>
      <c r="R9" s="22">
        <v>1</v>
      </c>
      <c r="S9" s="22">
        <v>1</v>
      </c>
      <c r="T9" s="20">
        <v>2</v>
      </c>
      <c r="U9" s="20">
        <v>2</v>
      </c>
      <c r="V9" s="20">
        <v>6</v>
      </c>
      <c r="W9" s="62">
        <f>IFERROR(CalcRC27(F9,G9,K9,O9,P9,Q9,R9,S9,T9,U9,V9),"-")</f>
        <v>3.2838266273514463</v>
      </c>
      <c r="X9" s="2" t="s">
        <v>1299</v>
      </c>
    </row>
    <row r="10" spans="2:24" ht="13.8" x14ac:dyDescent="0.2">
      <c r="B10" s="8">
        <f t="shared" si="5"/>
        <v>5</v>
      </c>
      <c r="C10" s="10">
        <v>5</v>
      </c>
      <c r="D10" s="13" t="s">
        <v>1259</v>
      </c>
      <c r="E10" s="11">
        <f t="shared" si="4"/>
        <v>0.21052631578947367</v>
      </c>
      <c r="F10" s="5">
        <v>38</v>
      </c>
      <c r="G10" s="5">
        <v>8</v>
      </c>
      <c r="H10" s="5">
        <v>3</v>
      </c>
      <c r="I10" s="5">
        <v>0</v>
      </c>
      <c r="J10" s="6">
        <v>0</v>
      </c>
      <c r="K10" s="12">
        <v>11</v>
      </c>
      <c r="L10" s="7">
        <v>1</v>
      </c>
      <c r="M10" s="11">
        <f t="shared" si="6"/>
        <v>0.25</v>
      </c>
      <c r="N10" s="11">
        <f t="shared" si="7"/>
        <v>0.53899999999999992</v>
      </c>
      <c r="O10" s="20">
        <v>8</v>
      </c>
      <c r="P10" s="21">
        <v>1</v>
      </c>
      <c r="Q10" s="21">
        <v>1</v>
      </c>
      <c r="R10" s="22">
        <v>0</v>
      </c>
      <c r="S10" s="22">
        <v>0</v>
      </c>
      <c r="T10" s="20">
        <v>0</v>
      </c>
      <c r="U10" s="20">
        <v>0</v>
      </c>
      <c r="V10" s="20">
        <v>1</v>
      </c>
      <c r="W10" s="62">
        <f>IFERROR(CalcRC27(F10,G10,K10,O10,P10,Q10,R10,S10,T10,U10,V10),"-")</f>
        <v>1.9945161290322562</v>
      </c>
      <c r="X10" s="2" t="s">
        <v>1300</v>
      </c>
    </row>
    <row r="11" spans="2:24" ht="13.8" x14ac:dyDescent="0.2">
      <c r="B11" s="8">
        <f t="shared" si="5"/>
        <v>6</v>
      </c>
      <c r="C11" s="10">
        <v>6</v>
      </c>
      <c r="D11" s="13" t="s">
        <v>1260</v>
      </c>
      <c r="E11" s="11">
        <f t="shared" si="4"/>
        <v>0.25133689839572193</v>
      </c>
      <c r="F11" s="5">
        <v>187</v>
      </c>
      <c r="G11" s="5">
        <v>47</v>
      </c>
      <c r="H11" s="5">
        <v>12</v>
      </c>
      <c r="I11" s="5">
        <v>1</v>
      </c>
      <c r="J11" s="6">
        <v>0</v>
      </c>
      <c r="K11" s="12">
        <v>61</v>
      </c>
      <c r="L11" s="7">
        <v>5</v>
      </c>
      <c r="M11" s="11">
        <f t="shared" si="6"/>
        <v>0.29499999999999998</v>
      </c>
      <c r="N11" s="11">
        <f t="shared" si="7"/>
        <v>0.621</v>
      </c>
      <c r="O11" s="20">
        <v>43</v>
      </c>
      <c r="P11" s="21">
        <v>12</v>
      </c>
      <c r="Q11" s="21">
        <v>0</v>
      </c>
      <c r="R11" s="22">
        <v>0</v>
      </c>
      <c r="S11" s="22">
        <v>1</v>
      </c>
      <c r="T11" s="20">
        <v>8</v>
      </c>
      <c r="U11" s="20">
        <v>6</v>
      </c>
      <c r="V11" s="20">
        <v>4</v>
      </c>
      <c r="W11" s="62">
        <f>IFERROR(CalcRC27(F11,G11,K11,O11,P11,Q11,R11,S11,T11,U11,V11),"-")</f>
        <v>2.9429721854304618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0.27290076335877861</v>
      </c>
      <c r="F12" s="5">
        <v>524</v>
      </c>
      <c r="G12" s="5">
        <v>143</v>
      </c>
      <c r="H12" s="5">
        <v>34</v>
      </c>
      <c r="I12" s="5">
        <v>0</v>
      </c>
      <c r="J12" s="6">
        <v>8</v>
      </c>
      <c r="K12" s="12">
        <v>201</v>
      </c>
      <c r="L12" s="7">
        <v>62</v>
      </c>
      <c r="M12" s="11">
        <f t="shared" si="6"/>
        <v>0.32155477031802121</v>
      </c>
      <c r="N12" s="11">
        <f t="shared" si="7"/>
        <v>0.70555477031802116</v>
      </c>
      <c r="O12" s="20">
        <v>53</v>
      </c>
      <c r="P12" s="21">
        <v>35</v>
      </c>
      <c r="Q12" s="21">
        <v>4</v>
      </c>
      <c r="R12" s="22">
        <v>0</v>
      </c>
      <c r="S12" s="22">
        <v>3</v>
      </c>
      <c r="T12" s="20">
        <v>0</v>
      </c>
      <c r="U12" s="20">
        <v>0</v>
      </c>
      <c r="V12" s="20">
        <v>17</v>
      </c>
      <c r="W12" s="62">
        <f>IFERROR(CalcRC27(F12,G12,K12,O12,P12,Q12,R12,S12,T12,U12,V12),"-")</f>
        <v>4.1437961104306344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>
        <f t="shared" si="4"/>
        <v>0.13043478260869565</v>
      </c>
      <c r="F13" s="5">
        <v>23</v>
      </c>
      <c r="G13" s="5">
        <v>3</v>
      </c>
      <c r="H13" s="5">
        <v>0</v>
      </c>
      <c r="I13" s="5">
        <v>0</v>
      </c>
      <c r="J13" s="6">
        <v>0</v>
      </c>
      <c r="K13" s="12">
        <v>3</v>
      </c>
      <c r="L13" s="7">
        <v>0</v>
      </c>
      <c r="M13" s="11">
        <f t="shared" si="6"/>
        <v>0.2</v>
      </c>
      <c r="N13" s="11">
        <f t="shared" si="7"/>
        <v>0.33</v>
      </c>
      <c r="O13" s="20">
        <v>12</v>
      </c>
      <c r="P13" s="21">
        <v>1</v>
      </c>
      <c r="Q13" s="21">
        <v>1</v>
      </c>
      <c r="R13" s="22">
        <v>0</v>
      </c>
      <c r="S13" s="22">
        <v>0</v>
      </c>
      <c r="T13" s="20">
        <v>2</v>
      </c>
      <c r="U13" s="20">
        <v>0</v>
      </c>
      <c r="V13" s="20">
        <v>0</v>
      </c>
      <c r="W13" s="62">
        <f>IFERROR(CalcRC27(F13,G13,K13,O13,P13,Q13,R13,S13,T13,U13,V13),"-")</f>
        <v>0.60659999999999803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>
        <f t="shared" si="4"/>
        <v>0.24691358024691357</v>
      </c>
      <c r="F14" s="5">
        <v>81</v>
      </c>
      <c r="G14" s="5">
        <v>20</v>
      </c>
      <c r="H14" s="5">
        <v>1</v>
      </c>
      <c r="I14" s="5">
        <v>0</v>
      </c>
      <c r="J14" s="6">
        <v>0</v>
      </c>
      <c r="K14" s="12">
        <v>21</v>
      </c>
      <c r="L14" s="7">
        <v>3</v>
      </c>
      <c r="M14" s="11">
        <f t="shared" si="6"/>
        <v>0.28888888888888886</v>
      </c>
      <c r="N14" s="11">
        <f t="shared" si="7"/>
        <v>0.54788888888888887</v>
      </c>
      <c r="O14" s="20">
        <v>12</v>
      </c>
      <c r="P14" s="21">
        <v>5</v>
      </c>
      <c r="Q14" s="21">
        <v>1</v>
      </c>
      <c r="R14" s="22">
        <v>4</v>
      </c>
      <c r="S14" s="22">
        <v>3</v>
      </c>
      <c r="T14" s="20">
        <v>1</v>
      </c>
      <c r="U14" s="20">
        <v>0</v>
      </c>
      <c r="V14" s="20">
        <v>3</v>
      </c>
      <c r="W14" s="62">
        <f>IFERROR(CalcRC27(F14,G14,K14,O14,P14,Q14,R14,S14,T14,U14,V14),"-")</f>
        <v>2.3077299970032943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>
        <f t="shared" si="4"/>
        <v>0.24444444444444444</v>
      </c>
      <c r="F15" s="5">
        <v>90</v>
      </c>
      <c r="G15" s="5">
        <v>22</v>
      </c>
      <c r="H15" s="5">
        <v>4</v>
      </c>
      <c r="I15" s="5">
        <v>0</v>
      </c>
      <c r="J15" s="6">
        <v>0</v>
      </c>
      <c r="K15" s="12">
        <v>26</v>
      </c>
      <c r="L15" s="7">
        <v>4</v>
      </c>
      <c r="M15" s="11">
        <f t="shared" si="6"/>
        <v>0.29166666666666669</v>
      </c>
      <c r="N15" s="11">
        <f t="shared" si="7"/>
        <v>0.58066666666666666</v>
      </c>
      <c r="O15" s="20">
        <v>15</v>
      </c>
      <c r="P15" s="21">
        <v>5</v>
      </c>
      <c r="Q15" s="21">
        <v>1</v>
      </c>
      <c r="R15" s="22">
        <v>1</v>
      </c>
      <c r="S15" s="22">
        <v>0</v>
      </c>
      <c r="T15" s="20">
        <v>0</v>
      </c>
      <c r="U15" s="20">
        <v>0</v>
      </c>
      <c r="V15" s="20">
        <v>5</v>
      </c>
      <c r="W15" s="62">
        <f>IFERROR(CalcRC27(F15,G15,K15,O15,P15,Q15,R15,S15,T15,U15,V15),"-")</f>
        <v>2.213100585121202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1261</v>
      </c>
      <c r="E16" s="11">
        <f t="shared" si="4"/>
        <v>9.8039215686274508E-2</v>
      </c>
      <c r="F16" s="5">
        <v>51</v>
      </c>
      <c r="G16" s="5">
        <v>5</v>
      </c>
      <c r="H16" s="5">
        <v>0</v>
      </c>
      <c r="I16" s="5">
        <v>0</v>
      </c>
      <c r="J16" s="6">
        <v>0</v>
      </c>
      <c r="K16" s="12">
        <v>5</v>
      </c>
      <c r="L16" s="7">
        <v>1</v>
      </c>
      <c r="M16" s="11">
        <f t="shared" si="6"/>
        <v>0.16363636363636364</v>
      </c>
      <c r="N16" s="11">
        <f t="shared" si="7"/>
        <v>0.26163636363636367</v>
      </c>
      <c r="O16" s="20">
        <v>16</v>
      </c>
      <c r="P16" s="21">
        <v>4</v>
      </c>
      <c r="Q16" s="21">
        <v>0</v>
      </c>
      <c r="R16" s="22">
        <v>8</v>
      </c>
      <c r="S16" s="22">
        <v>0</v>
      </c>
      <c r="T16" s="20">
        <v>0</v>
      </c>
      <c r="U16" s="20">
        <v>0</v>
      </c>
      <c r="V16" s="20">
        <v>1</v>
      </c>
      <c r="W16" s="62">
        <f>IFERROR(CalcRC27(F16,G16,K16,O16,P16,Q16,R16,S16,T16,U16,V16),"-")</f>
        <v>-0.43284848484848637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ref="K17:K61" si="8">((G17-H17-I17-J17)+(H17*2)+(I17*3)+(J17*4))</f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1262</v>
      </c>
      <c r="E19" s="11">
        <f t="shared" si="4"/>
        <v>8.3333333333333329E-2</v>
      </c>
      <c r="F19" s="5">
        <v>12</v>
      </c>
      <c r="G19" s="5">
        <v>1</v>
      </c>
      <c r="H19" s="5">
        <v>0</v>
      </c>
      <c r="I19" s="5">
        <v>0</v>
      </c>
      <c r="J19" s="6">
        <v>0</v>
      </c>
      <c r="K19" s="12">
        <v>1</v>
      </c>
      <c r="L19" s="7">
        <v>0</v>
      </c>
      <c r="M19" s="11">
        <f t="shared" si="6"/>
        <v>8.3333333333333329E-2</v>
      </c>
      <c r="N19" s="11">
        <f t="shared" si="7"/>
        <v>0.16633333333333333</v>
      </c>
      <c r="O19" s="20">
        <v>7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-1.3576153846153862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1301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>
        <f t="shared" si="4"/>
        <v>8.3333333333333329E-2</v>
      </c>
      <c r="F21" s="5">
        <v>24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0</v>
      </c>
      <c r="M21" s="11">
        <f t="shared" si="6"/>
        <v>0.12</v>
      </c>
      <c r="N21" s="11">
        <f t="shared" si="7"/>
        <v>0.20300000000000001</v>
      </c>
      <c r="O21" s="20">
        <v>9</v>
      </c>
      <c r="P21" s="21">
        <v>1</v>
      </c>
      <c r="Q21" s="21">
        <v>0</v>
      </c>
      <c r="R21" s="22">
        <v>5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-0.71111111111111258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989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1302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1263</v>
      </c>
      <c r="E29" s="11">
        <f t="shared" si="4"/>
        <v>0</v>
      </c>
      <c r="F29" s="5">
        <v>9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0.18181818181818182</v>
      </c>
      <c r="N29" s="11">
        <f t="shared" si="7"/>
        <v>0.18181818181818182</v>
      </c>
      <c r="O29" s="20">
        <v>5</v>
      </c>
      <c r="P29" s="21">
        <v>2</v>
      </c>
      <c r="Q29" s="21">
        <v>0</v>
      </c>
      <c r="R29" s="22">
        <v>2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-0.55854545454545612</v>
      </c>
      <c r="X29" s="2" t="s">
        <v>1303</v>
      </c>
    </row>
    <row r="30" spans="2:24" ht="13.8" x14ac:dyDescent="0.2">
      <c r="B30" s="8">
        <f t="shared" si="5"/>
        <v>25</v>
      </c>
      <c r="C30" s="10">
        <v>25</v>
      </c>
      <c r="D30" s="13" t="s">
        <v>2057</v>
      </c>
      <c r="E30" s="11">
        <f t="shared" si="4"/>
        <v>0.18791946308724833</v>
      </c>
      <c r="F30" s="5">
        <v>149</v>
      </c>
      <c r="G30" s="5">
        <v>28</v>
      </c>
      <c r="H30" s="5">
        <v>6</v>
      </c>
      <c r="I30" s="5">
        <v>3</v>
      </c>
      <c r="J30" s="6">
        <v>7</v>
      </c>
      <c r="K30" s="12">
        <v>61</v>
      </c>
      <c r="L30" s="7">
        <v>23</v>
      </c>
      <c r="M30" s="11">
        <f t="shared" si="6"/>
        <v>0.27380952380952384</v>
      </c>
      <c r="N30" s="11">
        <f t="shared" si="7"/>
        <v>0.68280952380952376</v>
      </c>
      <c r="O30" s="20">
        <v>51</v>
      </c>
      <c r="P30" s="21">
        <v>16</v>
      </c>
      <c r="Q30" s="21">
        <v>2</v>
      </c>
      <c r="R30" s="22">
        <v>0</v>
      </c>
      <c r="S30" s="22">
        <v>1</v>
      </c>
      <c r="T30" s="20">
        <v>0</v>
      </c>
      <c r="U30" s="20">
        <v>0</v>
      </c>
      <c r="V30" s="20">
        <v>5</v>
      </c>
      <c r="W30" s="62">
        <f>IFERROR(CalcRC27(F30,G30,K30,O30,P30,Q30,R30,S30,T30,U30,V30),"-")</f>
        <v>3.3736299212598411</v>
      </c>
      <c r="X30" s="2" t="s">
        <v>2058</v>
      </c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>
        <f t="shared" si="4"/>
        <v>0.21428571428571427</v>
      </c>
      <c r="F31" s="5">
        <v>14</v>
      </c>
      <c r="G31" s="5">
        <v>3</v>
      </c>
      <c r="H31" s="5">
        <v>0</v>
      </c>
      <c r="I31" s="5">
        <v>0</v>
      </c>
      <c r="J31" s="6">
        <v>0</v>
      </c>
      <c r="K31" s="12">
        <v>3</v>
      </c>
      <c r="L31" s="7">
        <v>0</v>
      </c>
      <c r="M31" s="11">
        <f t="shared" si="6"/>
        <v>0.26666666666666666</v>
      </c>
      <c r="N31" s="11">
        <f t="shared" si="7"/>
        <v>0.48066666666666669</v>
      </c>
      <c r="O31" s="20">
        <v>7</v>
      </c>
      <c r="P31" s="21">
        <v>1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1.8090909090909069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>
        <f t="shared" si="4"/>
        <v>0</v>
      </c>
      <c r="F32" s="5">
        <v>3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-2.7720000000000016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1304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>
        <f t="shared" si="4"/>
        <v>0.20454545454545456</v>
      </c>
      <c r="F34" s="5">
        <v>88</v>
      </c>
      <c r="G34" s="5">
        <v>18</v>
      </c>
      <c r="H34" s="5">
        <v>4</v>
      </c>
      <c r="I34" s="5">
        <v>0</v>
      </c>
      <c r="J34" s="6">
        <v>1</v>
      </c>
      <c r="K34" s="12">
        <v>25</v>
      </c>
      <c r="L34" s="7">
        <v>14</v>
      </c>
      <c r="M34" s="11">
        <f t="shared" si="6"/>
        <v>0.25531914893617019</v>
      </c>
      <c r="N34" s="11">
        <f t="shared" si="7"/>
        <v>0.53931914893617017</v>
      </c>
      <c r="O34" s="20">
        <v>24</v>
      </c>
      <c r="P34" s="21">
        <v>4</v>
      </c>
      <c r="Q34" s="21">
        <v>2</v>
      </c>
      <c r="R34" s="22">
        <v>0</v>
      </c>
      <c r="S34" s="22">
        <v>0</v>
      </c>
      <c r="T34" s="20">
        <v>0</v>
      </c>
      <c r="U34" s="20">
        <v>0</v>
      </c>
      <c r="V34" s="20">
        <v>1</v>
      </c>
      <c r="W34" s="62">
        <f>IFERROR(CalcRC27(F34,G34,K34,O34,P34,Q34,R34,S34,T34,U34,V34),"-")</f>
        <v>2.2283895714713795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2000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1305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>
        <f t="shared" si="4"/>
        <v>0.2608695652173913</v>
      </c>
      <c r="F36" s="5">
        <v>23</v>
      </c>
      <c r="G36" s="5">
        <v>6</v>
      </c>
      <c r="H36" s="5">
        <v>0</v>
      </c>
      <c r="I36" s="5">
        <v>0</v>
      </c>
      <c r="J36" s="6">
        <v>0</v>
      </c>
      <c r="K36" s="12">
        <v>6</v>
      </c>
      <c r="L36" s="7">
        <v>2</v>
      </c>
      <c r="M36" s="11">
        <f t="shared" si="6"/>
        <v>0.37037037037037035</v>
      </c>
      <c r="N36" s="11">
        <f t="shared" si="7"/>
        <v>0.63137037037037036</v>
      </c>
      <c r="O36" s="20">
        <v>7</v>
      </c>
      <c r="P36" s="21">
        <v>3</v>
      </c>
      <c r="Q36" s="21">
        <v>1</v>
      </c>
      <c r="R36" s="22">
        <v>7</v>
      </c>
      <c r="S36" s="22">
        <v>0</v>
      </c>
      <c r="T36" s="20">
        <v>1</v>
      </c>
      <c r="U36" s="20">
        <v>0</v>
      </c>
      <c r="V36" s="20">
        <v>0</v>
      </c>
      <c r="W36" s="62">
        <f>IFERROR(CalcRC27(F36,G36,K36,O36,P36,Q36,R36,S36,T36,U36,V36),"-")</f>
        <v>3.6900294117647037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1306</v>
      </c>
    </row>
    <row r="39" spans="2:24" ht="13.8" x14ac:dyDescent="0.2">
      <c r="B39" s="8">
        <f t="shared" si="5"/>
        <v>34</v>
      </c>
      <c r="C39" s="10">
        <v>34</v>
      </c>
      <c r="D39" s="13" t="s">
        <v>1265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1307</v>
      </c>
    </row>
    <row r="40" spans="2:24" ht="13.8" x14ac:dyDescent="0.2">
      <c r="B40" s="8">
        <f t="shared" si="5"/>
        <v>35</v>
      </c>
      <c r="C40" s="10">
        <v>35</v>
      </c>
      <c r="D40" s="13" t="s">
        <v>1250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1308</v>
      </c>
    </row>
    <row r="41" spans="2:24" ht="13.8" x14ac:dyDescent="0.2">
      <c r="B41" s="8">
        <f t="shared" si="5"/>
        <v>36</v>
      </c>
      <c r="C41" s="10">
        <v>36</v>
      </c>
      <c r="D41" s="13" t="s">
        <v>1266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1309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>
        <f t="shared" si="4"/>
        <v>0.17241379310344829</v>
      </c>
      <c r="F42" s="5">
        <v>29</v>
      </c>
      <c r="G42" s="5">
        <v>5</v>
      </c>
      <c r="H42" s="5">
        <v>1</v>
      </c>
      <c r="I42" s="5">
        <v>0</v>
      </c>
      <c r="J42" s="6">
        <v>0</v>
      </c>
      <c r="K42" s="12">
        <v>6</v>
      </c>
      <c r="L42" s="7">
        <v>5</v>
      </c>
      <c r="M42" s="11">
        <f t="shared" si="6"/>
        <v>0.22580645161290322</v>
      </c>
      <c r="N42" s="11">
        <f t="shared" si="7"/>
        <v>0.43280645161290321</v>
      </c>
      <c r="O42" s="20">
        <v>5</v>
      </c>
      <c r="P42" s="21">
        <v>1</v>
      </c>
      <c r="Q42" s="21">
        <v>1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1.2282983870967721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1267</v>
      </c>
      <c r="E43" s="11">
        <f t="shared" si="4"/>
        <v>0.25</v>
      </c>
      <c r="F43" s="5">
        <v>4</v>
      </c>
      <c r="G43" s="5">
        <v>1</v>
      </c>
      <c r="H43" s="5">
        <v>0</v>
      </c>
      <c r="I43" s="5">
        <v>0</v>
      </c>
      <c r="J43" s="6">
        <v>0</v>
      </c>
      <c r="K43" s="12">
        <v>1</v>
      </c>
      <c r="L43" s="7">
        <v>0</v>
      </c>
      <c r="M43" s="11">
        <f t="shared" si="6"/>
        <v>0.25</v>
      </c>
      <c r="N43" s="11">
        <f t="shared" si="7"/>
        <v>0.5</v>
      </c>
      <c r="O43" s="20">
        <v>3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1.6829999999999981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1268</v>
      </c>
      <c r="E44" s="11">
        <f t="shared" si="4"/>
        <v>0.26666666666666666</v>
      </c>
      <c r="F44" s="5">
        <v>15</v>
      </c>
      <c r="G44" s="5">
        <v>4</v>
      </c>
      <c r="H44" s="5">
        <v>0</v>
      </c>
      <c r="I44" s="5">
        <v>1</v>
      </c>
      <c r="J44" s="6">
        <v>0</v>
      </c>
      <c r="K44" s="12">
        <v>6</v>
      </c>
      <c r="L44" s="7">
        <v>1</v>
      </c>
      <c r="M44" s="11">
        <f t="shared" si="6"/>
        <v>0.35294117647058826</v>
      </c>
      <c r="N44" s="11">
        <f t="shared" si="7"/>
        <v>0.75294117647058822</v>
      </c>
      <c r="O44" s="20">
        <v>5</v>
      </c>
      <c r="P44" s="21">
        <v>2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2</v>
      </c>
      <c r="W44" s="62">
        <f>IFERROR(CalcRC27(F44,G44,K44,O44,P44,Q44,R44,S44,T44,U44,V44),"-")</f>
        <v>3.1123438914027126</v>
      </c>
      <c r="X44" s="2" t="s">
        <v>1310</v>
      </c>
    </row>
    <row r="45" spans="2:24" ht="13.8" x14ac:dyDescent="0.2">
      <c r="B45" s="8">
        <f t="shared" si="5"/>
        <v>40</v>
      </c>
      <c r="C45" s="10">
        <v>40</v>
      </c>
      <c r="D45" s="13" t="s">
        <v>1265</v>
      </c>
      <c r="E45" s="11">
        <f t="shared" si="4"/>
        <v>0</v>
      </c>
      <c r="F45" s="5">
        <v>2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1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-1.4280000000000013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1269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1270</v>
      </c>
      <c r="E47" s="11">
        <f t="shared" si="4"/>
        <v>9.7560975609756101E-2</v>
      </c>
      <c r="F47" s="5">
        <v>41</v>
      </c>
      <c r="G47" s="5">
        <v>4</v>
      </c>
      <c r="H47" s="5">
        <v>0</v>
      </c>
      <c r="I47" s="5">
        <v>0</v>
      </c>
      <c r="J47" s="6">
        <v>0</v>
      </c>
      <c r="K47" s="12">
        <v>4</v>
      </c>
      <c r="L47" s="7">
        <v>1</v>
      </c>
      <c r="M47" s="11">
        <f t="shared" si="6"/>
        <v>0.13953488372093023</v>
      </c>
      <c r="N47" s="11">
        <f t="shared" si="7"/>
        <v>0.23753488372093023</v>
      </c>
      <c r="O47" s="20">
        <v>28</v>
      </c>
      <c r="P47" s="21">
        <v>2</v>
      </c>
      <c r="Q47" s="21">
        <v>0</v>
      </c>
      <c r="R47" s="22">
        <v>8</v>
      </c>
      <c r="S47" s="22">
        <v>0</v>
      </c>
      <c r="T47" s="20">
        <v>0</v>
      </c>
      <c r="U47" s="20">
        <v>0</v>
      </c>
      <c r="V47" s="20">
        <v>1</v>
      </c>
      <c r="W47" s="62">
        <f>IFERROR(CalcRC27(F47,G47,K47,O47,P47,Q47,R47,S47,T47,U47,V47),"-")</f>
        <v>-0.72492583120204757</v>
      </c>
      <c r="X47" s="2" t="s">
        <v>1880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1311</v>
      </c>
    </row>
    <row r="49" spans="2:24" ht="13.8" x14ac:dyDescent="0.2">
      <c r="B49" s="8">
        <f t="shared" si="5"/>
        <v>44</v>
      </c>
      <c r="C49" s="10">
        <v>44</v>
      </c>
      <c r="D49" s="13" t="s">
        <v>1271</v>
      </c>
      <c r="E49" s="11">
        <f t="shared" si="4"/>
        <v>0.18309859154929578</v>
      </c>
      <c r="F49" s="5">
        <v>71</v>
      </c>
      <c r="G49" s="5">
        <v>13</v>
      </c>
      <c r="H49" s="5">
        <v>4</v>
      </c>
      <c r="I49" s="5">
        <v>0</v>
      </c>
      <c r="J49" s="6">
        <v>0</v>
      </c>
      <c r="K49" s="12">
        <v>17</v>
      </c>
      <c r="L49" s="7">
        <v>3</v>
      </c>
      <c r="M49" s="11">
        <f t="shared" si="6"/>
        <v>0.24675324675324675</v>
      </c>
      <c r="N49" s="11">
        <f t="shared" si="7"/>
        <v>0.48575324675324671</v>
      </c>
      <c r="O49" s="20">
        <v>17</v>
      </c>
      <c r="P49" s="21">
        <v>6</v>
      </c>
      <c r="Q49" s="21">
        <v>0</v>
      </c>
      <c r="R49" s="22">
        <v>2</v>
      </c>
      <c r="S49" s="22">
        <v>0</v>
      </c>
      <c r="T49" s="20">
        <v>2</v>
      </c>
      <c r="U49" s="20">
        <v>0</v>
      </c>
      <c r="V49" s="20">
        <v>3</v>
      </c>
      <c r="W49" s="62">
        <f>IFERROR(CalcRC27(F49,G49,K49,O49,P49,Q49,R49,S49,T49,U49,V49),"-")</f>
        <v>1.4269342977697386</v>
      </c>
      <c r="X49" s="2" t="s">
        <v>1312</v>
      </c>
    </row>
    <row r="50" spans="2:24" ht="13.8" x14ac:dyDescent="0.2">
      <c r="B50" s="8">
        <f t="shared" si="5"/>
        <v>45</v>
      </c>
      <c r="C50" s="10">
        <v>45</v>
      </c>
      <c r="D50" s="13" t="s">
        <v>1272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1313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>
        <f t="shared" si="4"/>
        <v>0</v>
      </c>
      <c r="F53" s="5">
        <v>1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1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-0.90000000000000147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1881</v>
      </c>
    </row>
    <row r="55" spans="2:24" ht="13.8" x14ac:dyDescent="0.2">
      <c r="B55" s="8">
        <f t="shared" si="5"/>
        <v>50</v>
      </c>
      <c r="C55" s="10">
        <v>50</v>
      </c>
      <c r="D55" s="13" t="s">
        <v>1997</v>
      </c>
      <c r="E55" s="11">
        <f t="shared" si="4"/>
        <v>0.29050279329608941</v>
      </c>
      <c r="F55" s="5">
        <v>358</v>
      </c>
      <c r="G55" s="5">
        <v>104</v>
      </c>
      <c r="H55" s="5">
        <v>14</v>
      </c>
      <c r="I55" s="5">
        <v>2</v>
      </c>
      <c r="J55" s="6">
        <v>5</v>
      </c>
      <c r="K55" s="12">
        <v>137</v>
      </c>
      <c r="L55" s="7">
        <v>37</v>
      </c>
      <c r="M55" s="11">
        <f t="shared" si="6"/>
        <v>0.34010152284263961</v>
      </c>
      <c r="N55" s="11">
        <f t="shared" si="7"/>
        <v>0.72310152284263962</v>
      </c>
      <c r="O55" s="20">
        <v>41</v>
      </c>
      <c r="P55" s="21">
        <v>27</v>
      </c>
      <c r="Q55" s="21">
        <v>3</v>
      </c>
      <c r="R55" s="22">
        <v>9</v>
      </c>
      <c r="S55" s="22">
        <v>6</v>
      </c>
      <c r="T55" s="20">
        <v>1</v>
      </c>
      <c r="U55" s="20">
        <v>1</v>
      </c>
      <c r="V55" s="20">
        <v>12</v>
      </c>
      <c r="W55" s="62">
        <f>IFERROR(CalcRC27(F55,G55,K55,O55,P55,Q55,R55,S55,T55,U55,V55),"-")</f>
        <v>4.3741463491895862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1518</v>
      </c>
      <c r="E56" s="11">
        <f t="shared" si="4"/>
        <v>0.28292682926829266</v>
      </c>
      <c r="F56" s="5">
        <v>410</v>
      </c>
      <c r="G56" s="5">
        <v>116</v>
      </c>
      <c r="H56" s="5">
        <v>24</v>
      </c>
      <c r="I56" s="5">
        <v>0</v>
      </c>
      <c r="J56" s="6">
        <v>14</v>
      </c>
      <c r="K56" s="12">
        <v>182</v>
      </c>
      <c r="L56" s="7">
        <v>56</v>
      </c>
      <c r="M56" s="11">
        <f t="shared" si="6"/>
        <v>0.37100213219616207</v>
      </c>
      <c r="N56" s="11">
        <f t="shared" si="7"/>
        <v>0.81500213219616202</v>
      </c>
      <c r="O56" s="20">
        <v>29</v>
      </c>
      <c r="P56" s="21">
        <v>52</v>
      </c>
      <c r="Q56" s="21">
        <v>6</v>
      </c>
      <c r="R56" s="22">
        <v>0</v>
      </c>
      <c r="S56" s="22">
        <v>1</v>
      </c>
      <c r="T56" s="20">
        <v>1</v>
      </c>
      <c r="U56" s="20">
        <v>1</v>
      </c>
      <c r="V56" s="20">
        <v>9</v>
      </c>
      <c r="W56" s="62">
        <f>IFERROR(CalcRC27(F56,G56,K56,O56,P56,Q56,R56,S56,T56,U56,V56),"-")</f>
        <v>6.0258872662448857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2067</v>
      </c>
      <c r="E58" s="11">
        <f t="shared" si="4"/>
        <v>0.25</v>
      </c>
      <c r="F58" s="5">
        <v>12</v>
      </c>
      <c r="G58" s="5">
        <v>3</v>
      </c>
      <c r="H58" s="5">
        <v>0</v>
      </c>
      <c r="I58" s="5">
        <v>0</v>
      </c>
      <c r="J58" s="6">
        <v>1</v>
      </c>
      <c r="K58" s="12">
        <v>6</v>
      </c>
      <c r="L58" s="7">
        <v>3</v>
      </c>
      <c r="M58" s="11">
        <f t="shared" si="6"/>
        <v>0.25</v>
      </c>
      <c r="N58" s="11">
        <f t="shared" si="7"/>
        <v>0.75</v>
      </c>
      <c r="O58" s="20">
        <v>3</v>
      </c>
      <c r="P58" s="21">
        <v>0</v>
      </c>
      <c r="Q58" s="21">
        <v>0</v>
      </c>
      <c r="R58" s="22">
        <v>2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3.987701298701297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1275</v>
      </c>
      <c r="E59" s="11">
        <f t="shared" si="4"/>
        <v>0</v>
      </c>
      <c r="F59" s="5">
        <v>16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9</v>
      </c>
      <c r="P59" s="21">
        <v>0</v>
      </c>
      <c r="Q59" s="21">
        <v>0</v>
      </c>
      <c r="R59" s="22">
        <v>2</v>
      </c>
      <c r="S59" s="22">
        <v>0</v>
      </c>
      <c r="T59" s="20">
        <v>0</v>
      </c>
      <c r="U59" s="20">
        <v>0</v>
      </c>
      <c r="V59" s="20">
        <v>0</v>
      </c>
      <c r="W59" s="62">
        <f>IFERROR(CalcRC27(F59,G59,K59,O59,P59,Q59,R59,S59,T59,U59,V59),"-")</f>
        <v>-2.3840000000000012</v>
      </c>
      <c r="X59" s="2" t="s">
        <v>1314</v>
      </c>
    </row>
    <row r="60" spans="2:24" ht="13.8" x14ac:dyDescent="0.2">
      <c r="B60" s="8">
        <f t="shared" si="5"/>
        <v>55</v>
      </c>
      <c r="C60" s="10">
        <v>55</v>
      </c>
      <c r="D60" s="13" t="s">
        <v>1276</v>
      </c>
      <c r="E60" s="11">
        <f t="shared" si="4"/>
        <v>0.19047619047619047</v>
      </c>
      <c r="F60" s="5">
        <v>42</v>
      </c>
      <c r="G60" s="5">
        <v>8</v>
      </c>
      <c r="H60" s="5">
        <v>5</v>
      </c>
      <c r="I60" s="5">
        <v>0</v>
      </c>
      <c r="J60" s="6">
        <v>0</v>
      </c>
      <c r="K60" s="12">
        <v>13</v>
      </c>
      <c r="L60" s="7">
        <v>4</v>
      </c>
      <c r="M60" s="11">
        <f t="shared" si="6"/>
        <v>0.2608695652173913</v>
      </c>
      <c r="N60" s="11">
        <f t="shared" si="7"/>
        <v>0.57086956521739129</v>
      </c>
      <c r="O60" s="20">
        <v>8</v>
      </c>
      <c r="P60" s="21">
        <v>2</v>
      </c>
      <c r="Q60" s="21">
        <v>2</v>
      </c>
      <c r="R60" s="22">
        <v>2</v>
      </c>
      <c r="S60" s="22">
        <v>0</v>
      </c>
      <c r="T60" s="20">
        <v>1</v>
      </c>
      <c r="U60" s="20">
        <v>0</v>
      </c>
      <c r="V60" s="20">
        <v>1</v>
      </c>
      <c r="W60" s="62">
        <f>IFERROR(CalcRC27(F60,G60,K60,O60,P60,Q60,R60,S60,T60,U60,V60),"-")</f>
        <v>2.4771959459459443</v>
      </c>
      <c r="X60" s="2" t="s">
        <v>1315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>
        <f t="shared" si="4"/>
        <v>0.5</v>
      </c>
      <c r="F62" s="5">
        <v>2</v>
      </c>
      <c r="G62" s="5">
        <v>1</v>
      </c>
      <c r="H62" s="5">
        <v>1</v>
      </c>
      <c r="I62" s="5">
        <v>0</v>
      </c>
      <c r="J62" s="6">
        <v>0</v>
      </c>
      <c r="K62" s="12">
        <v>2</v>
      </c>
      <c r="L62" s="7">
        <v>1</v>
      </c>
      <c r="M62" s="11">
        <f t="shared" si="6"/>
        <v>0.5</v>
      </c>
      <c r="N62" s="11">
        <f t="shared" si="7"/>
        <v>1.5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>
        <f>IFERROR(CalcRC27(F62,G62,K62,O62,P62,Q62,R62,S62,T62,U62,V62),"-")</f>
        <v>20.999999999999996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>
        <f t="shared" si="4"/>
        <v>0.29203539823008851</v>
      </c>
      <c r="F63" s="5">
        <v>339</v>
      </c>
      <c r="G63" s="5">
        <v>99</v>
      </c>
      <c r="H63" s="5">
        <v>16</v>
      </c>
      <c r="I63" s="5">
        <v>3</v>
      </c>
      <c r="J63" s="6">
        <v>4</v>
      </c>
      <c r="K63" s="12">
        <v>133</v>
      </c>
      <c r="L63" s="7">
        <v>30</v>
      </c>
      <c r="M63" s="11">
        <f t="shared" si="6"/>
        <v>0.31428571428571428</v>
      </c>
      <c r="N63" s="11">
        <f t="shared" si="7"/>
        <v>0.70628571428571429</v>
      </c>
      <c r="O63" s="20">
        <v>98</v>
      </c>
      <c r="P63" s="21">
        <v>7</v>
      </c>
      <c r="Q63" s="21">
        <v>4</v>
      </c>
      <c r="R63" s="22">
        <v>1</v>
      </c>
      <c r="S63" s="22">
        <v>0</v>
      </c>
      <c r="T63" s="20">
        <v>16</v>
      </c>
      <c r="U63" s="20">
        <v>2</v>
      </c>
      <c r="V63" s="20">
        <v>2</v>
      </c>
      <c r="W63" s="62">
        <f>IFERROR(CalcRC27(F63,G63,K63,O63,P63,Q63,R63,S63,T63,U63,V63),"-")</f>
        <v>4.7797905459619727</v>
      </c>
      <c r="X63" s="2" t="s">
        <v>1316</v>
      </c>
    </row>
    <row r="64" spans="2:24" ht="13.8" x14ac:dyDescent="0.2">
      <c r="B64" s="8">
        <f t="shared" si="5"/>
        <v>59</v>
      </c>
      <c r="C64" s="10">
        <v>59</v>
      </c>
      <c r="D64" s="13" t="s">
        <v>1277</v>
      </c>
      <c r="E64" s="11">
        <f t="shared" si="4"/>
        <v>0.2</v>
      </c>
      <c r="F64" s="5">
        <v>10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1</v>
      </c>
      <c r="M64" s="11">
        <f t="shared" si="6"/>
        <v>0.2</v>
      </c>
      <c r="N64" s="11">
        <f t="shared" si="7"/>
        <v>0.4</v>
      </c>
      <c r="O64" s="20">
        <v>7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0.6202499999999983</v>
      </c>
      <c r="X64" s="2" t="s">
        <v>1317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>
        <f t="shared" si="4"/>
        <v>0.1111111111111111</v>
      </c>
      <c r="F65" s="5">
        <v>18</v>
      </c>
      <c r="G65" s="5">
        <v>2</v>
      </c>
      <c r="H65" s="5">
        <v>1</v>
      </c>
      <c r="I65" s="5">
        <v>0</v>
      </c>
      <c r="J65" s="6">
        <v>0</v>
      </c>
      <c r="K65" s="12">
        <v>3</v>
      </c>
      <c r="L65" s="7">
        <v>2</v>
      </c>
      <c r="M65" s="11">
        <f t="shared" si="6"/>
        <v>0.27272727272727271</v>
      </c>
      <c r="N65" s="11">
        <f t="shared" si="7"/>
        <v>0.43972727272727274</v>
      </c>
      <c r="O65" s="20">
        <v>4</v>
      </c>
      <c r="P65" s="21">
        <v>4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1</v>
      </c>
      <c r="W65" s="62">
        <f>IFERROR(CalcRC27(F65,G65,K65,O65,P65,Q65,R65,S65,T65,U65,V65),"-")</f>
        <v>1.2671229946524043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>
        <f t="shared" si="4"/>
        <v>0.2556053811659193</v>
      </c>
      <c r="F66" s="5">
        <v>223</v>
      </c>
      <c r="G66" s="5">
        <v>57</v>
      </c>
      <c r="H66" s="5">
        <v>13</v>
      </c>
      <c r="I66" s="5">
        <v>0</v>
      </c>
      <c r="J66" s="6">
        <v>3</v>
      </c>
      <c r="K66" s="12">
        <v>79</v>
      </c>
      <c r="L66" s="7">
        <v>17</v>
      </c>
      <c r="M66" s="11">
        <f t="shared" si="6"/>
        <v>0.32388663967611336</v>
      </c>
      <c r="N66" s="11">
        <f t="shared" si="7"/>
        <v>0.6778866396761134</v>
      </c>
      <c r="O66" s="20">
        <v>51</v>
      </c>
      <c r="P66" s="21">
        <v>17</v>
      </c>
      <c r="Q66" s="21">
        <v>6</v>
      </c>
      <c r="R66" s="22">
        <v>6</v>
      </c>
      <c r="S66" s="22">
        <v>1</v>
      </c>
      <c r="T66" s="20">
        <v>3</v>
      </c>
      <c r="U66" s="20">
        <v>7</v>
      </c>
      <c r="V66" s="20">
        <v>1</v>
      </c>
      <c r="W66" s="62">
        <f>IFERROR(CalcRC27(F66,G66,K66,O66,P66,Q66,R66,S66,T66,U66,V66),"-")</f>
        <v>3.7697706636385453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1278</v>
      </c>
      <c r="E67" s="11">
        <f t="shared" si="4"/>
        <v>0</v>
      </c>
      <c r="F67" s="5">
        <v>1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1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>
        <f>IFERROR(CalcRC27(F67,G67,K67,O67,P67,Q67,R67,S67,T67,U67,V67),"-")</f>
        <v>-2.9160000000000013</v>
      </c>
      <c r="X67" s="2" t="s">
        <v>1882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>
        <f t="shared" si="4"/>
        <v>0.2265625</v>
      </c>
      <c r="F68" s="5">
        <v>128</v>
      </c>
      <c r="G68" s="5">
        <v>29</v>
      </c>
      <c r="H68" s="5">
        <v>2</v>
      </c>
      <c r="I68" s="5">
        <v>0</v>
      </c>
      <c r="J68" s="6">
        <v>0</v>
      </c>
      <c r="K68" s="12">
        <v>31</v>
      </c>
      <c r="L68" s="7">
        <v>4</v>
      </c>
      <c r="M68" s="11">
        <f t="shared" si="6"/>
        <v>0.2978723404255319</v>
      </c>
      <c r="N68" s="11">
        <f t="shared" si="7"/>
        <v>0.53987234042553189</v>
      </c>
      <c r="O68" s="20">
        <v>19</v>
      </c>
      <c r="P68" s="21">
        <v>11</v>
      </c>
      <c r="Q68" s="21">
        <v>2</v>
      </c>
      <c r="R68" s="22">
        <v>1</v>
      </c>
      <c r="S68" s="22">
        <v>0</v>
      </c>
      <c r="T68" s="20">
        <v>2</v>
      </c>
      <c r="U68" s="20">
        <v>3</v>
      </c>
      <c r="V68" s="20">
        <v>2</v>
      </c>
      <c r="W68" s="62">
        <f>IFERROR(CalcRC27(F68,G68,K68,O68,P68,Q68,R68,S68,T68,U68,V68),"-")</f>
        <v>2.2276933601609641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1318</v>
      </c>
    </row>
    <row r="70" spans="2:24" ht="13.8" x14ac:dyDescent="0.2">
      <c r="B70" s="8">
        <f t="shared" si="9"/>
        <v>65</v>
      </c>
      <c r="C70" s="10">
        <v>65</v>
      </c>
      <c r="D70" s="9" t="s">
        <v>1279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1319</v>
      </c>
    </row>
    <row r="72" spans="2:24" ht="13.8" x14ac:dyDescent="0.2">
      <c r="B72" s="8">
        <f t="shared" si="9"/>
        <v>67</v>
      </c>
      <c r="C72" s="10">
        <v>67</v>
      </c>
      <c r="D72" s="13" t="s">
        <v>1281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1282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1883</v>
      </c>
    </row>
    <row r="74" spans="2:24" ht="13.8" x14ac:dyDescent="0.2">
      <c r="B74" s="8">
        <f t="shared" si="9"/>
        <v>69</v>
      </c>
      <c r="C74" s="10">
        <v>69</v>
      </c>
      <c r="D74" s="8"/>
      <c r="E74" s="11">
        <f t="shared" si="10"/>
        <v>0</v>
      </c>
      <c r="F74" s="5">
        <v>38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1</v>
      </c>
      <c r="M74" s="11">
        <f t="shared" si="12"/>
        <v>7.3170731707317069E-2</v>
      </c>
      <c r="N74" s="11">
        <f t="shared" si="13"/>
        <v>7.3170731707317069E-2</v>
      </c>
      <c r="O74" s="20">
        <v>22</v>
      </c>
      <c r="P74" s="21">
        <v>3</v>
      </c>
      <c r="Q74" s="21">
        <v>0</v>
      </c>
      <c r="R74" s="22">
        <v>5</v>
      </c>
      <c r="S74" s="22">
        <v>0</v>
      </c>
      <c r="T74" s="20">
        <v>0</v>
      </c>
      <c r="U74" s="20">
        <v>0</v>
      </c>
      <c r="V74" s="20">
        <v>0</v>
      </c>
      <c r="W74" s="62">
        <f>IFERROR(CalcRC27(F74,G74,K74,O74,P74,Q74,R74,S74,T74,U74,V74),"-")</f>
        <v>-1.7840475227502541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1283</v>
      </c>
      <c r="E103" s="11">
        <f t="shared" si="10"/>
        <v>0.24537037037037038</v>
      </c>
      <c r="F103" s="5">
        <v>216</v>
      </c>
      <c r="G103" s="5">
        <v>53</v>
      </c>
      <c r="H103" s="5">
        <v>7</v>
      </c>
      <c r="I103" s="5">
        <v>1</v>
      </c>
      <c r="J103" s="6">
        <v>1</v>
      </c>
      <c r="K103" s="12">
        <v>65</v>
      </c>
      <c r="L103" s="7">
        <v>27</v>
      </c>
      <c r="M103" s="11">
        <f t="shared" si="12"/>
        <v>0.28448275862068967</v>
      </c>
      <c r="N103" s="11">
        <f t="shared" si="13"/>
        <v>0.58548275862068966</v>
      </c>
      <c r="O103" s="20">
        <v>43</v>
      </c>
      <c r="P103" s="21">
        <v>13</v>
      </c>
      <c r="Q103" s="21">
        <v>0</v>
      </c>
      <c r="R103" s="22">
        <v>4</v>
      </c>
      <c r="S103" s="22">
        <v>3</v>
      </c>
      <c r="T103" s="20">
        <v>3</v>
      </c>
      <c r="U103" s="20">
        <v>1</v>
      </c>
      <c r="V103" s="20">
        <v>4</v>
      </c>
      <c r="W103" s="62">
        <f>IFERROR(CalcRC27(F103,G103,K103,O103,P103,Q103,R103,S103,T103,U103,V103),"-")</f>
        <v>2.810130363196123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 t="s">
        <v>2065</v>
      </c>
      <c r="E104" s="11">
        <f t="shared" si="10"/>
        <v>0.2</v>
      </c>
      <c r="F104" s="5">
        <v>20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2</v>
      </c>
      <c r="M104" s="11">
        <f t="shared" si="12"/>
        <v>0.27272727272727271</v>
      </c>
      <c r="N104" s="11">
        <f t="shared" si="13"/>
        <v>0.62272727272727268</v>
      </c>
      <c r="O104" s="20">
        <v>2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3.4009772727272707</v>
      </c>
      <c r="X104" s="2" t="s">
        <v>2066</v>
      </c>
    </row>
    <row r="105" spans="2:24" ht="13.8" x14ac:dyDescent="0.2">
      <c r="B105" s="8">
        <f t="shared" si="9"/>
        <v>100</v>
      </c>
      <c r="C105" s="10">
        <v>100</v>
      </c>
      <c r="D105" s="9" t="s">
        <v>1284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1284</v>
      </c>
    </row>
    <row r="106" spans="2:24" ht="13.8" x14ac:dyDescent="0.2">
      <c r="B106" s="8">
        <f t="shared" si="9"/>
        <v>101</v>
      </c>
      <c r="C106" s="10">
        <v>101</v>
      </c>
      <c r="D106" s="9" t="s">
        <v>1285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1320</v>
      </c>
    </row>
    <row r="107" spans="2:24" ht="13.8" x14ac:dyDescent="0.2">
      <c r="B107" s="8">
        <f t="shared" si="9"/>
        <v>102</v>
      </c>
      <c r="C107" s="10">
        <v>102</v>
      </c>
      <c r="D107" s="9" t="s">
        <v>1286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1321</v>
      </c>
    </row>
    <row r="108" spans="2:24" ht="13.8" x14ac:dyDescent="0.2">
      <c r="B108" s="8">
        <f t="shared" si="9"/>
        <v>103</v>
      </c>
      <c r="C108" s="10">
        <v>103</v>
      </c>
      <c r="D108" s="9" t="s">
        <v>1287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1322</v>
      </c>
    </row>
    <row r="109" spans="2:24" ht="13.8" x14ac:dyDescent="0.2">
      <c r="B109" s="8">
        <f t="shared" si="9"/>
        <v>105</v>
      </c>
      <c r="C109" s="10">
        <v>105</v>
      </c>
      <c r="D109" s="9" t="s">
        <v>1288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1884</v>
      </c>
    </row>
    <row r="110" spans="2:24" ht="13.8" x14ac:dyDescent="0.2">
      <c r="B110" s="8">
        <f t="shared" si="9"/>
        <v>106</v>
      </c>
      <c r="C110" s="10">
        <v>106</v>
      </c>
      <c r="D110" s="9" t="s">
        <v>1289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1323</v>
      </c>
    </row>
    <row r="111" spans="2:24" ht="13.8" x14ac:dyDescent="0.2">
      <c r="B111" s="8">
        <f t="shared" si="9"/>
        <v>107</v>
      </c>
      <c r="C111" s="10">
        <v>107</v>
      </c>
      <c r="D111" s="9" t="s">
        <v>1290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1885</v>
      </c>
    </row>
    <row r="112" spans="2:24" ht="13.8" x14ac:dyDescent="0.2">
      <c r="B112" s="8">
        <f t="shared" si="9"/>
        <v>108</v>
      </c>
      <c r="C112" s="10">
        <v>108</v>
      </c>
      <c r="D112" s="9" t="s">
        <v>1245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1324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1886</v>
      </c>
    </row>
    <row r="114" spans="2:24" ht="13.8" x14ac:dyDescent="0.2">
      <c r="B114" s="8">
        <f t="shared" si="9"/>
        <v>110</v>
      </c>
      <c r="C114" s="10">
        <v>110</v>
      </c>
      <c r="D114" s="8" t="s">
        <v>904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1887</v>
      </c>
    </row>
    <row r="115" spans="2:24" ht="13.8" x14ac:dyDescent="0.2">
      <c r="B115" s="8">
        <f t="shared" si="9"/>
        <v>111</v>
      </c>
      <c r="C115" s="10">
        <v>111</v>
      </c>
      <c r="D115" s="26" t="s">
        <v>1291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1325</v>
      </c>
    </row>
    <row r="116" spans="2:24" ht="13.8" x14ac:dyDescent="0.2">
      <c r="B116" s="8">
        <f t="shared" si="9"/>
        <v>116</v>
      </c>
      <c r="C116" s="10">
        <v>116</v>
      </c>
      <c r="D116" s="26" t="s">
        <v>1292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1326</v>
      </c>
    </row>
    <row r="118" spans="2:24" ht="13.8" x14ac:dyDescent="0.2">
      <c r="B118" s="8">
        <f t="shared" si="9"/>
        <v>125</v>
      </c>
      <c r="C118" s="10">
        <v>125</v>
      </c>
      <c r="D118" s="26" t="s">
        <v>1294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1327</v>
      </c>
    </row>
    <row r="119" spans="2:24" ht="13.8" x14ac:dyDescent="0.2">
      <c r="B119" s="8">
        <f t="shared" si="9"/>
        <v>130</v>
      </c>
      <c r="C119" s="10">
        <v>130</v>
      </c>
      <c r="D119" s="26" t="s">
        <v>1999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1328</v>
      </c>
    </row>
    <row r="120" spans="2:24" ht="13.8" x14ac:dyDescent="0.2">
      <c r="B120" s="8">
        <f t="shared" si="9"/>
        <v>133</v>
      </c>
      <c r="C120" s="10">
        <v>133</v>
      </c>
      <c r="D120" s="26" t="s">
        <v>1295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1329</v>
      </c>
    </row>
    <row r="121" spans="2:24" ht="13.8" x14ac:dyDescent="0.2">
      <c r="B121" s="8">
        <f t="shared" si="9"/>
        <v>144</v>
      </c>
      <c r="C121" s="10">
        <v>144</v>
      </c>
      <c r="D121" s="26" t="s">
        <v>1296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1330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1889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1266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1359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1888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1360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1361</v>
      </c>
    </row>
    <row r="31" spans="2:24" ht="13.8" x14ac:dyDescent="0.2">
      <c r="B31" s="8">
        <f t="shared" si="5"/>
        <v>26</v>
      </c>
      <c r="C31" s="10">
        <v>26</v>
      </c>
      <c r="D31" s="13" t="s">
        <v>1336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1362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1363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1339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1364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1365</v>
      </c>
    </row>
    <row r="49" spans="2:24" ht="13.8" x14ac:dyDescent="0.2">
      <c r="B49" s="8">
        <f t="shared" si="5"/>
        <v>44</v>
      </c>
      <c r="C49" s="10">
        <v>44</v>
      </c>
      <c r="D49" s="13" t="s">
        <v>1342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1366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1367</v>
      </c>
    </row>
    <row r="54" spans="2:24" ht="13.8" x14ac:dyDescent="0.2">
      <c r="B54" s="8">
        <f t="shared" si="5"/>
        <v>49</v>
      </c>
      <c r="C54" s="10">
        <v>49</v>
      </c>
      <c r="D54" s="13" t="s">
        <v>1345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1368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1993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1369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1890</v>
      </c>
    </row>
    <row r="61" spans="2:24" ht="13.8" x14ac:dyDescent="0.2">
      <c r="B61" s="8">
        <f t="shared" si="5"/>
        <v>56</v>
      </c>
      <c r="C61" s="10">
        <v>56</v>
      </c>
      <c r="D61" s="13" t="s">
        <v>1347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1370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1349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1372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1891</v>
      </c>
    </row>
    <row r="105" spans="2:24" ht="13.8" x14ac:dyDescent="0.2">
      <c r="B105" s="8">
        <f t="shared" si="10"/>
        <v>122</v>
      </c>
      <c r="C105" s="10">
        <v>122</v>
      </c>
      <c r="D105" s="13" t="s">
        <v>1241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1374</v>
      </c>
    </row>
    <row r="107" spans="2:24" ht="13.8" x14ac:dyDescent="0.2">
      <c r="B107" s="8">
        <f t="shared" si="10"/>
        <v>125</v>
      </c>
      <c r="C107" s="10">
        <v>125</v>
      </c>
      <c r="D107" s="13" t="s">
        <v>1354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1375</v>
      </c>
    </row>
    <row r="109" spans="2:24" ht="13.8" x14ac:dyDescent="0.2">
      <c r="B109" s="8">
        <f t="shared" si="10"/>
        <v>127</v>
      </c>
      <c r="C109" s="10">
        <v>127</v>
      </c>
      <c r="D109" s="13" t="s">
        <v>1356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1376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1377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1422</v>
      </c>
    </row>
    <row r="8" spans="2:24" ht="13.8" x14ac:dyDescent="0.2">
      <c r="B8" s="8">
        <f t="shared" si="5"/>
        <v>3</v>
      </c>
      <c r="C8" s="10">
        <v>3</v>
      </c>
      <c r="D8" s="13" t="s">
        <v>1995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1423</v>
      </c>
    </row>
    <row r="10" spans="2:24" ht="13.8" x14ac:dyDescent="0.2">
      <c r="B10" s="8">
        <f t="shared" si="5"/>
        <v>5</v>
      </c>
      <c r="C10" s="10">
        <v>5</v>
      </c>
      <c r="D10" s="13" t="s">
        <v>1378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1424</v>
      </c>
    </row>
    <row r="11" spans="2:24" ht="13.8" x14ac:dyDescent="0.2">
      <c r="B11" s="8">
        <f t="shared" si="5"/>
        <v>6</v>
      </c>
      <c r="C11" s="10">
        <v>6</v>
      </c>
      <c r="D11" s="13" t="s">
        <v>1379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1425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1380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1294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1250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1427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1995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1382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1383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1429</v>
      </c>
    </row>
    <row r="32" spans="2:24" ht="13.8" x14ac:dyDescent="0.2">
      <c r="B32" s="8">
        <f t="shared" si="5"/>
        <v>27</v>
      </c>
      <c r="C32" s="10">
        <v>27</v>
      </c>
      <c r="D32" s="13" t="s">
        <v>1350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1430</v>
      </c>
    </row>
    <row r="33" spans="2:24" ht="13.8" x14ac:dyDescent="0.2">
      <c r="B33" s="8">
        <f t="shared" si="5"/>
        <v>28</v>
      </c>
      <c r="C33" s="10">
        <v>28</v>
      </c>
      <c r="D33" s="13" t="s">
        <v>2001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1384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1431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1432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2003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1433</v>
      </c>
    </row>
    <row r="42" spans="2:24" ht="13.8" x14ac:dyDescent="0.2">
      <c r="B42" s="8">
        <f t="shared" si="5"/>
        <v>37</v>
      </c>
      <c r="C42" s="10">
        <v>37</v>
      </c>
      <c r="D42" s="13" t="s">
        <v>1386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1434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1387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1435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1436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1437</v>
      </c>
    </row>
    <row r="49" spans="2:24" ht="13.8" x14ac:dyDescent="0.2">
      <c r="B49" s="8">
        <f t="shared" si="5"/>
        <v>44</v>
      </c>
      <c r="C49" s="10">
        <v>44</v>
      </c>
      <c r="D49" s="13" t="s">
        <v>1388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1389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1389</v>
      </c>
    </row>
    <row r="51" spans="2:24" ht="13.8" x14ac:dyDescent="0.2">
      <c r="B51" s="8">
        <f t="shared" si="5"/>
        <v>46</v>
      </c>
      <c r="C51" s="10">
        <v>46</v>
      </c>
      <c r="D51" s="13" t="s">
        <v>1390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1438</v>
      </c>
    </row>
    <row r="52" spans="2:24" ht="13.8" x14ac:dyDescent="0.2">
      <c r="B52" s="8">
        <f t="shared" si="5"/>
        <v>47</v>
      </c>
      <c r="C52" s="10">
        <v>47</v>
      </c>
      <c r="D52" s="13" t="s">
        <v>1391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1392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1439</v>
      </c>
    </row>
    <row r="54" spans="2:24" ht="13.8" x14ac:dyDescent="0.2">
      <c r="B54" s="8">
        <f t="shared" si="5"/>
        <v>49</v>
      </c>
      <c r="C54" s="10">
        <v>49</v>
      </c>
      <c r="D54" s="13" t="s">
        <v>1393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1440</v>
      </c>
    </row>
    <row r="58" spans="2:24" ht="13.8" x14ac:dyDescent="0.2">
      <c r="B58" s="8">
        <f t="shared" si="5"/>
        <v>53</v>
      </c>
      <c r="C58" s="10">
        <v>53</v>
      </c>
      <c r="D58" s="13" t="s">
        <v>1395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1421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1441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1997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1355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1442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1892</v>
      </c>
    </row>
    <row r="72" spans="2:24" ht="13.8" x14ac:dyDescent="0.2">
      <c r="B72" s="8">
        <f t="shared" si="8"/>
        <v>67</v>
      </c>
      <c r="C72" s="10">
        <v>67</v>
      </c>
      <c r="D72" s="13" t="s">
        <v>1398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1443</v>
      </c>
    </row>
    <row r="73" spans="2:24" ht="13.8" x14ac:dyDescent="0.2">
      <c r="B73" s="8">
        <f t="shared" si="8"/>
        <v>68</v>
      </c>
      <c r="C73" s="10">
        <v>68</v>
      </c>
      <c r="D73" s="13" t="s">
        <v>1399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1444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1897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1445</v>
      </c>
    </row>
    <row r="96" spans="2:24" ht="13.8" x14ac:dyDescent="0.2">
      <c r="B96" s="8">
        <f t="shared" si="8"/>
        <v>91</v>
      </c>
      <c r="C96" s="10">
        <v>91</v>
      </c>
      <c r="D96" s="13" t="s">
        <v>1898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1893</v>
      </c>
    </row>
    <row r="97" spans="2:24" ht="13.8" x14ac:dyDescent="0.2">
      <c r="B97" s="8">
        <f t="shared" si="8"/>
        <v>92</v>
      </c>
      <c r="C97" s="10">
        <v>92</v>
      </c>
      <c r="D97" s="13" t="s">
        <v>1400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1894</v>
      </c>
    </row>
    <row r="98" spans="2:24" ht="13.8" x14ac:dyDescent="0.2">
      <c r="B98" s="8">
        <f t="shared" si="8"/>
        <v>93</v>
      </c>
      <c r="C98" s="10">
        <v>93</v>
      </c>
      <c r="D98" s="13" t="s">
        <v>1899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1895</v>
      </c>
    </row>
    <row r="99" spans="2:24" ht="13.8" x14ac:dyDescent="0.2">
      <c r="B99" s="8">
        <f t="shared" si="8"/>
        <v>94</v>
      </c>
      <c r="C99" s="10">
        <v>94</v>
      </c>
      <c r="D99" s="13" t="s">
        <v>1900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1896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1401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1446</v>
      </c>
    </row>
    <row r="102" spans="2:24" ht="13.8" x14ac:dyDescent="0.2">
      <c r="B102" s="8">
        <f t="shared" si="8"/>
        <v>97</v>
      </c>
      <c r="C102" s="10">
        <v>97</v>
      </c>
      <c r="D102" s="13" t="s">
        <v>1402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1447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1403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1901</v>
      </c>
    </row>
    <row r="105" spans="2:24" ht="13.8" x14ac:dyDescent="0.2">
      <c r="B105" s="8">
        <f t="shared" si="8"/>
        <v>201</v>
      </c>
      <c r="C105" s="10">
        <v>201</v>
      </c>
      <c r="D105" s="23" t="s">
        <v>1404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1448</v>
      </c>
    </row>
    <row r="106" spans="2:24" ht="13.8" x14ac:dyDescent="0.2">
      <c r="B106" s="8">
        <f t="shared" si="8"/>
        <v>202</v>
      </c>
      <c r="C106" s="10">
        <v>202</v>
      </c>
      <c r="D106" s="13" t="s">
        <v>1174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1902</v>
      </c>
    </row>
    <row r="107" spans="2:24" ht="13.8" x14ac:dyDescent="0.2">
      <c r="B107" s="8">
        <f t="shared" si="8"/>
        <v>203</v>
      </c>
      <c r="C107" s="10">
        <v>203</v>
      </c>
      <c r="D107" s="13" t="s">
        <v>1405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1449</v>
      </c>
    </row>
    <row r="108" spans="2:24" ht="13.8" x14ac:dyDescent="0.2">
      <c r="B108" s="8">
        <f t="shared" si="8"/>
        <v>204</v>
      </c>
      <c r="C108" s="10">
        <v>204</v>
      </c>
      <c r="D108" s="13" t="s">
        <v>1406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1450</v>
      </c>
    </row>
    <row r="110" spans="2:24" ht="13.8" x14ac:dyDescent="0.2">
      <c r="B110" s="8">
        <f t="shared" si="8"/>
        <v>206</v>
      </c>
      <c r="C110" s="10">
        <v>206</v>
      </c>
      <c r="D110" s="13" t="s">
        <v>1408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1451</v>
      </c>
    </row>
    <row r="111" spans="2:24" ht="13.8" x14ac:dyDescent="0.2">
      <c r="B111" s="8">
        <f t="shared" si="8"/>
        <v>207</v>
      </c>
      <c r="C111" s="10">
        <v>207</v>
      </c>
      <c r="D111" s="13" t="s">
        <v>1409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1452</v>
      </c>
    </row>
    <row r="112" spans="2:24" ht="13.8" x14ac:dyDescent="0.2">
      <c r="B112" s="8">
        <f t="shared" si="8"/>
        <v>208</v>
      </c>
      <c r="C112" s="10">
        <v>208</v>
      </c>
      <c r="D112" s="13" t="s">
        <v>1410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1453</v>
      </c>
    </row>
    <row r="113" spans="2:24" ht="13.8" x14ac:dyDescent="0.2">
      <c r="B113" s="8">
        <f t="shared" si="8"/>
        <v>209</v>
      </c>
      <c r="C113" s="10">
        <v>209</v>
      </c>
      <c r="D113" s="13" t="s">
        <v>1411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1454</v>
      </c>
    </row>
    <row r="114" spans="2:24" ht="13.8" x14ac:dyDescent="0.2">
      <c r="B114" s="8">
        <f t="shared" si="8"/>
        <v>210</v>
      </c>
      <c r="C114" s="10">
        <v>210</v>
      </c>
      <c r="D114" s="26" t="s">
        <v>1412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1455</v>
      </c>
    </row>
    <row r="117" spans="2:24" ht="13.8" x14ac:dyDescent="0.2">
      <c r="B117" s="8">
        <f t="shared" si="8"/>
        <v>213</v>
      </c>
      <c r="C117" s="10">
        <v>213</v>
      </c>
      <c r="D117" s="26" t="s">
        <v>1415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1456</v>
      </c>
    </row>
    <row r="118" spans="2:24" ht="13.8" x14ac:dyDescent="0.2">
      <c r="B118" s="8">
        <f t="shared" si="8"/>
        <v>214</v>
      </c>
      <c r="C118" s="10">
        <v>214</v>
      </c>
      <c r="D118" s="26" t="s">
        <v>1999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1457</v>
      </c>
    </row>
    <row r="119" spans="2:24" ht="13.8" x14ac:dyDescent="0.2">
      <c r="B119" s="8">
        <f t="shared" si="8"/>
        <v>215</v>
      </c>
      <c r="C119" s="10">
        <v>215</v>
      </c>
      <c r="D119" s="26" t="s">
        <v>1416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1458</v>
      </c>
    </row>
    <row r="120" spans="2:24" ht="13.8" x14ac:dyDescent="0.2">
      <c r="B120" s="8">
        <f t="shared" si="8"/>
        <v>216</v>
      </c>
      <c r="C120" s="10">
        <v>216</v>
      </c>
      <c r="D120" s="26" t="s">
        <v>1417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1459</v>
      </c>
    </row>
    <row r="121" spans="2:24" ht="13.8" x14ac:dyDescent="0.2">
      <c r="B121" s="8">
        <f t="shared" si="8"/>
        <v>217</v>
      </c>
      <c r="C121" s="10">
        <v>217</v>
      </c>
      <c r="D121" s="26" t="s">
        <v>1418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1460</v>
      </c>
    </row>
    <row r="122" spans="2:24" ht="13.8" x14ac:dyDescent="0.2">
      <c r="B122" s="8">
        <f t="shared" si="8"/>
        <v>218</v>
      </c>
      <c r="C122" s="10">
        <v>218</v>
      </c>
      <c r="D122" s="26" t="s">
        <v>1419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1461</v>
      </c>
    </row>
    <row r="123" spans="2:24" ht="13.8" x14ac:dyDescent="0.2">
      <c r="B123" s="8">
        <f t="shared" si="8"/>
        <v>219</v>
      </c>
      <c r="C123" s="10">
        <v>219</v>
      </c>
      <c r="D123" s="8" t="s">
        <v>1172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1904</v>
      </c>
    </row>
    <row r="124" spans="2:24" ht="13.8" x14ac:dyDescent="0.2">
      <c r="B124" s="8">
        <f t="shared" si="8"/>
        <v>220</v>
      </c>
      <c r="C124" s="10">
        <v>220</v>
      </c>
      <c r="D124" s="8" t="s">
        <v>1420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1903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10" sqref="X10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0.25938281901584653</v>
      </c>
      <c r="F2" s="5">
        <f t="shared" ref="F2:L2" si="0">SUM(F4:F104)</f>
        <v>4796</v>
      </c>
      <c r="G2" s="5">
        <f t="shared" si="0"/>
        <v>1244</v>
      </c>
      <c r="H2" s="5">
        <f t="shared" si="0"/>
        <v>242</v>
      </c>
      <c r="I2" s="5">
        <f t="shared" si="0"/>
        <v>31</v>
      </c>
      <c r="J2" s="6">
        <f t="shared" si="0"/>
        <v>114</v>
      </c>
      <c r="K2" s="12">
        <f t="shared" ref="K2:K65" si="1">((G2-H2-I2-J2)+(H2*2)+(I2*3)+(J2*4))</f>
        <v>1890</v>
      </c>
      <c r="L2" s="7">
        <f t="shared" si="0"/>
        <v>584</v>
      </c>
      <c r="M2" s="11">
        <f t="shared" ref="M2:M67" si="2">IFERROR(IF((G2+P2+Q2)/(F2+P2+Q2+S2)=1,"1.00",(G2+P2+Q2)/(F2+P2+Q2+S2)),0)</f>
        <v>0.32732732732732733</v>
      </c>
      <c r="N2" s="11">
        <f>IF(F2=0,IF(M2="1.00","1.000",M2),SUM(ROUND(K2/F2,3),M2))</f>
        <v>0.72132732732732729</v>
      </c>
      <c r="O2" s="5">
        <f>SUM(O4:O104)</f>
        <v>1085</v>
      </c>
      <c r="P2" s="5">
        <f>SUM(P4:P104)</f>
        <v>436</v>
      </c>
      <c r="Q2" s="5">
        <f>SUM(Q4:Q104)</f>
        <v>64</v>
      </c>
      <c r="R2" s="5">
        <f>SUM(R4:R104)</f>
        <v>105</v>
      </c>
      <c r="S2" s="5">
        <f>SUM(S4:S104)</f>
        <v>32</v>
      </c>
      <c r="T2" s="5">
        <f t="shared" ref="T2:V2" si="3">SUM(T4:T104)</f>
        <v>89</v>
      </c>
      <c r="U2" s="5">
        <f t="shared" si="3"/>
        <v>31</v>
      </c>
      <c r="V2" s="5">
        <f t="shared" si="3"/>
        <v>93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1462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>
        <f t="shared" si="4"/>
        <v>0.2608695652173913</v>
      </c>
      <c r="F5" s="5">
        <v>138</v>
      </c>
      <c r="G5" s="5">
        <v>36</v>
      </c>
      <c r="H5" s="5">
        <v>2</v>
      </c>
      <c r="I5" s="5">
        <v>2</v>
      </c>
      <c r="J5" s="6">
        <v>0</v>
      </c>
      <c r="K5" s="12">
        <v>42</v>
      </c>
      <c r="L5" s="7">
        <v>7</v>
      </c>
      <c r="M5" s="11">
        <f t="shared" si="2"/>
        <v>0.29452054794520549</v>
      </c>
      <c r="N5" s="11">
        <f t="shared" ref="N5:N68" si="6">IF(F5=0,IF(M5="1.00","1.000",M5),SUM(ROUND(K5/F5,3),M5))</f>
        <v>0.59852054794520548</v>
      </c>
      <c r="O5" s="20">
        <v>24</v>
      </c>
      <c r="P5" s="21">
        <v>7</v>
      </c>
      <c r="Q5" s="21">
        <v>0</v>
      </c>
      <c r="R5" s="22">
        <v>10</v>
      </c>
      <c r="S5" s="22">
        <v>1</v>
      </c>
      <c r="T5" s="20">
        <v>2</v>
      </c>
      <c r="U5" s="20">
        <v>2</v>
      </c>
      <c r="V5" s="20">
        <v>0</v>
      </c>
      <c r="W5" s="62">
        <f>IFERROR(CalcRC27(F5,G5,K5,O5,P5,Q5,R5,S5,T5,U5,V5),"-")</f>
        <v>3.033918729096988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1530</v>
      </c>
    </row>
    <row r="7" spans="2:24" ht="13.8" x14ac:dyDescent="0.2">
      <c r="B7" s="8">
        <f t="shared" si="5"/>
        <v>2</v>
      </c>
      <c r="C7" s="10">
        <v>2</v>
      </c>
      <c r="D7" s="13" t="s">
        <v>2068</v>
      </c>
      <c r="E7" s="11">
        <f t="shared" si="4"/>
        <v>0</v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-2.9160000000000013</v>
      </c>
      <c r="X7" s="2" t="s">
        <v>1905</v>
      </c>
    </row>
    <row r="8" spans="2:24" ht="13.8" x14ac:dyDescent="0.2">
      <c r="B8" s="8">
        <f t="shared" si="5"/>
        <v>3</v>
      </c>
      <c r="C8" s="10">
        <v>3</v>
      </c>
      <c r="D8" s="13" t="s">
        <v>1999</v>
      </c>
      <c r="E8" s="11">
        <f t="shared" si="4"/>
        <v>0.31422018348623854</v>
      </c>
      <c r="F8" s="5">
        <v>436</v>
      </c>
      <c r="G8" s="5">
        <v>137</v>
      </c>
      <c r="H8" s="5">
        <v>29</v>
      </c>
      <c r="I8" s="5">
        <v>2</v>
      </c>
      <c r="J8" s="6">
        <v>19</v>
      </c>
      <c r="K8" s="12">
        <v>227</v>
      </c>
      <c r="L8" s="7">
        <v>72</v>
      </c>
      <c r="M8" s="11">
        <f t="shared" si="2"/>
        <v>0.43925233644859812</v>
      </c>
      <c r="N8" s="11">
        <f t="shared" si="6"/>
        <v>0.9602523364485982</v>
      </c>
      <c r="O8" s="20">
        <v>76</v>
      </c>
      <c r="P8" s="21">
        <v>92</v>
      </c>
      <c r="Q8" s="21">
        <v>6</v>
      </c>
      <c r="R8" s="22">
        <v>0</v>
      </c>
      <c r="S8" s="22">
        <v>1</v>
      </c>
      <c r="T8" s="20">
        <v>11</v>
      </c>
      <c r="U8" s="20">
        <v>1</v>
      </c>
      <c r="V8" s="20">
        <v>10</v>
      </c>
      <c r="W8" s="62">
        <f>IFERROR(CalcRC27(F8,G8,K8,O8,P8,Q8,R8,S8,T8,U8,V8),"-")</f>
        <v>8.8463742524867008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 t="s">
        <v>2069</v>
      </c>
      <c r="E9" s="11">
        <f t="shared" si="4"/>
        <v>0.27272727272727271</v>
      </c>
      <c r="F9" s="5">
        <v>22</v>
      </c>
      <c r="G9" s="5">
        <v>6</v>
      </c>
      <c r="H9" s="5">
        <v>0</v>
      </c>
      <c r="I9" s="5">
        <v>0</v>
      </c>
      <c r="J9" s="6">
        <v>1</v>
      </c>
      <c r="K9" s="12">
        <v>9</v>
      </c>
      <c r="L9" s="7">
        <v>2</v>
      </c>
      <c r="M9" s="11">
        <f t="shared" si="2"/>
        <v>0.38461538461538464</v>
      </c>
      <c r="N9" s="11">
        <f t="shared" si="6"/>
        <v>0.79361538461538461</v>
      </c>
      <c r="O9" s="20">
        <v>1</v>
      </c>
      <c r="P9" s="21">
        <v>2</v>
      </c>
      <c r="Q9" s="21">
        <v>2</v>
      </c>
      <c r="R9" s="22">
        <v>0</v>
      </c>
      <c r="S9" s="22">
        <v>0</v>
      </c>
      <c r="T9" s="20">
        <v>1</v>
      </c>
      <c r="U9" s="20">
        <v>0</v>
      </c>
      <c r="V9" s="20">
        <v>0</v>
      </c>
      <c r="W9" s="62">
        <f>IFERROR(CalcRC27(F9,G9,K9,O9,P9,Q9,R9,S9,T9,U9,V9),"-")</f>
        <v>6.7980288461538434</v>
      </c>
      <c r="X9" s="2" t="s">
        <v>2070</v>
      </c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>
        <f t="shared" si="4"/>
        <v>0.26190476190476192</v>
      </c>
      <c r="F11" s="5">
        <v>462</v>
      </c>
      <c r="G11" s="5">
        <v>121</v>
      </c>
      <c r="H11" s="5">
        <v>25</v>
      </c>
      <c r="I11" s="5">
        <v>4</v>
      </c>
      <c r="J11" s="6">
        <v>6</v>
      </c>
      <c r="K11" s="12">
        <v>172</v>
      </c>
      <c r="L11" s="7">
        <v>39</v>
      </c>
      <c r="M11" s="11">
        <f t="shared" si="2"/>
        <v>0.33138401559454189</v>
      </c>
      <c r="N11" s="11">
        <f t="shared" si="6"/>
        <v>0.70338401559454189</v>
      </c>
      <c r="O11" s="20">
        <v>87</v>
      </c>
      <c r="P11" s="21">
        <v>46</v>
      </c>
      <c r="Q11" s="21">
        <v>3</v>
      </c>
      <c r="R11" s="22">
        <v>25</v>
      </c>
      <c r="S11" s="22">
        <v>2</v>
      </c>
      <c r="T11" s="20">
        <v>1</v>
      </c>
      <c r="U11" s="20">
        <v>0</v>
      </c>
      <c r="V11" s="20">
        <v>9</v>
      </c>
      <c r="W11" s="62">
        <f>IFERROR(CalcRC27(F11,G11,K11,O11,P11,Q11,R11,S11,T11,U11,V11),"-")</f>
        <v>4.2236297516097512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>
        <f t="shared" si="4"/>
        <v>0.22099447513812154</v>
      </c>
      <c r="F12" s="5">
        <v>181</v>
      </c>
      <c r="G12" s="5">
        <v>40</v>
      </c>
      <c r="H12" s="5">
        <v>4</v>
      </c>
      <c r="I12" s="5">
        <v>0</v>
      </c>
      <c r="J12" s="6">
        <v>0</v>
      </c>
      <c r="K12" s="12">
        <v>44</v>
      </c>
      <c r="L12" s="7">
        <v>16</v>
      </c>
      <c r="M12" s="11">
        <f t="shared" si="2"/>
        <v>0.29702970297029702</v>
      </c>
      <c r="N12" s="11">
        <f t="shared" si="6"/>
        <v>0.54002970297029695</v>
      </c>
      <c r="O12" s="20">
        <v>24</v>
      </c>
      <c r="P12" s="21">
        <v>19</v>
      </c>
      <c r="Q12" s="21">
        <v>1</v>
      </c>
      <c r="R12" s="22">
        <v>1</v>
      </c>
      <c r="S12" s="22">
        <v>1</v>
      </c>
      <c r="T12" s="20">
        <v>0</v>
      </c>
      <c r="U12" s="20">
        <v>1</v>
      </c>
      <c r="V12" s="20">
        <v>6</v>
      </c>
      <c r="W12" s="62">
        <f>IFERROR(CalcRC27(F12,G12,K12,O12,P12,Q12,R12,S12,T12,U12,V12),"-")</f>
        <v>2.1626017733990128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1463</v>
      </c>
      <c r="E13" s="11">
        <f t="shared" si="4"/>
        <v>0.28333333333333333</v>
      </c>
      <c r="F13" s="5">
        <v>240</v>
      </c>
      <c r="G13" s="5">
        <v>68</v>
      </c>
      <c r="H13" s="5">
        <v>7</v>
      </c>
      <c r="I13" s="5">
        <v>4</v>
      </c>
      <c r="J13" s="6">
        <v>2</v>
      </c>
      <c r="K13" s="12">
        <v>89</v>
      </c>
      <c r="L13" s="7">
        <v>13</v>
      </c>
      <c r="M13" s="11">
        <f t="shared" si="2"/>
        <v>0.308</v>
      </c>
      <c r="N13" s="11">
        <f t="shared" si="6"/>
        <v>0.67900000000000005</v>
      </c>
      <c r="O13" s="20">
        <v>41</v>
      </c>
      <c r="P13" s="21">
        <v>8</v>
      </c>
      <c r="Q13" s="21">
        <v>1</v>
      </c>
      <c r="R13" s="22">
        <v>9</v>
      </c>
      <c r="S13" s="22">
        <v>1</v>
      </c>
      <c r="T13" s="20">
        <v>6</v>
      </c>
      <c r="U13" s="20">
        <v>4</v>
      </c>
      <c r="V13" s="20">
        <v>2</v>
      </c>
      <c r="W13" s="62">
        <f>IFERROR(CalcRC27(F13,G13,K13,O13,P13,Q13,R13,S13,T13,U13,V13),"-")</f>
        <v>3.9144818450669492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>
        <f t="shared" si="4"/>
        <v>0.2864864864864865</v>
      </c>
      <c r="F14" s="5">
        <v>185</v>
      </c>
      <c r="G14" s="5">
        <v>53</v>
      </c>
      <c r="H14" s="5">
        <v>7</v>
      </c>
      <c r="I14" s="5">
        <v>1</v>
      </c>
      <c r="J14" s="6">
        <v>4</v>
      </c>
      <c r="K14" s="12">
        <v>74</v>
      </c>
      <c r="L14" s="7">
        <v>35</v>
      </c>
      <c r="M14" s="11">
        <f t="shared" si="2"/>
        <v>0.40444444444444444</v>
      </c>
      <c r="N14" s="11">
        <f t="shared" si="6"/>
        <v>0.80444444444444452</v>
      </c>
      <c r="O14" s="20">
        <v>36</v>
      </c>
      <c r="P14" s="21">
        <v>35</v>
      </c>
      <c r="Q14" s="21">
        <v>3</v>
      </c>
      <c r="R14" s="22">
        <v>0</v>
      </c>
      <c r="S14" s="22">
        <v>2</v>
      </c>
      <c r="T14" s="20">
        <v>3</v>
      </c>
      <c r="U14" s="20">
        <v>0</v>
      </c>
      <c r="V14" s="20">
        <v>2</v>
      </c>
      <c r="W14" s="62">
        <f>IFERROR(CalcRC27(F14,G14,K14,O14,P14,Q14,R14,S14,T14,U14,V14),"-")</f>
        <v>6.7125607843137232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1464</v>
      </c>
      <c r="E17" s="11">
        <f t="shared" si="4"/>
        <v>0.5</v>
      </c>
      <c r="F17" s="5">
        <v>6</v>
      </c>
      <c r="G17" s="5">
        <v>3</v>
      </c>
      <c r="H17" s="5">
        <v>0</v>
      </c>
      <c r="I17" s="5">
        <v>0</v>
      </c>
      <c r="J17" s="6">
        <v>1</v>
      </c>
      <c r="K17" s="12">
        <v>6</v>
      </c>
      <c r="L17" s="7">
        <v>3</v>
      </c>
      <c r="M17" s="11">
        <f t="shared" si="2"/>
        <v>0.5</v>
      </c>
      <c r="N17" s="11">
        <f t="shared" si="6"/>
        <v>1.5</v>
      </c>
      <c r="O17" s="20">
        <v>1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>
        <f>IFERROR(CalcRC27(F17,G17,K17,O17,P17,Q17,R17,S17,T17,U17,V17),"-")</f>
        <v>20.912999999999997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1465</v>
      </c>
      <c r="E18" s="11">
        <f t="shared" si="4"/>
        <v>0.2878787878787879</v>
      </c>
      <c r="F18" s="5">
        <v>66</v>
      </c>
      <c r="G18" s="5">
        <v>19</v>
      </c>
      <c r="H18" s="5">
        <v>2</v>
      </c>
      <c r="I18" s="5">
        <v>0</v>
      </c>
      <c r="J18" s="6">
        <v>1</v>
      </c>
      <c r="K18" s="12">
        <v>24</v>
      </c>
      <c r="L18" s="7">
        <v>13</v>
      </c>
      <c r="M18" s="11">
        <f t="shared" si="2"/>
        <v>0.32857142857142857</v>
      </c>
      <c r="N18" s="11">
        <f t="shared" si="6"/>
        <v>0.69257142857142862</v>
      </c>
      <c r="O18" s="20">
        <v>10</v>
      </c>
      <c r="P18" s="21">
        <v>4</v>
      </c>
      <c r="Q18" s="21">
        <v>0</v>
      </c>
      <c r="R18" s="22">
        <v>1</v>
      </c>
      <c r="S18" s="22">
        <v>0</v>
      </c>
      <c r="T18" s="20">
        <v>2</v>
      </c>
      <c r="U18" s="20">
        <v>1</v>
      </c>
      <c r="V18" s="20">
        <v>1</v>
      </c>
      <c r="W18" s="62">
        <f>IFERROR(CalcRC27(F18,G18,K18,O18,P18,Q18,R18,S18,T18,U18,V18),"-")</f>
        <v>4.2403690140845054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>
        <f t="shared" si="4"/>
        <v>0</v>
      </c>
      <c r="F21" s="5">
        <v>2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2"/>
        <v>0.33333333333333331</v>
      </c>
      <c r="N21" s="11">
        <f t="shared" si="6"/>
        <v>0.33333333333333331</v>
      </c>
      <c r="O21" s="20">
        <v>1</v>
      </c>
      <c r="P21" s="21">
        <v>1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1.392999999999998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1466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2</v>
      </c>
      <c r="P22" s="21">
        <v>0</v>
      </c>
      <c r="Q22" s="21">
        <v>0</v>
      </c>
      <c r="R22" s="22">
        <v>1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-1.8540000000000014</v>
      </c>
      <c r="X22" s="2" t="s">
        <v>1531</v>
      </c>
    </row>
    <row r="23" spans="2:24" ht="13.8" x14ac:dyDescent="0.2">
      <c r="B23" s="8">
        <f t="shared" si="5"/>
        <v>18</v>
      </c>
      <c r="C23" s="10">
        <v>18</v>
      </c>
      <c r="D23" s="13" t="s">
        <v>1264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>
        <f t="shared" si="4"/>
        <v>0.2558139534883721</v>
      </c>
      <c r="F24" s="5">
        <v>344</v>
      </c>
      <c r="G24" s="5">
        <v>88</v>
      </c>
      <c r="H24" s="5">
        <v>25</v>
      </c>
      <c r="I24" s="5">
        <v>0</v>
      </c>
      <c r="J24" s="6">
        <v>5</v>
      </c>
      <c r="K24" s="12">
        <v>128</v>
      </c>
      <c r="L24" s="7">
        <v>43</v>
      </c>
      <c r="M24" s="11">
        <f t="shared" si="2"/>
        <v>0.31746031746031744</v>
      </c>
      <c r="N24" s="11">
        <f t="shared" si="6"/>
        <v>0.68946031746031744</v>
      </c>
      <c r="O24" s="20">
        <v>89</v>
      </c>
      <c r="P24" s="21">
        <v>31</v>
      </c>
      <c r="Q24" s="21">
        <v>1</v>
      </c>
      <c r="R24" s="22">
        <v>14</v>
      </c>
      <c r="S24" s="22">
        <v>2</v>
      </c>
      <c r="T24" s="20">
        <v>1</v>
      </c>
      <c r="U24" s="20">
        <v>1</v>
      </c>
      <c r="V24" s="20">
        <v>6</v>
      </c>
      <c r="W24" s="62">
        <f>IFERROR(CalcRC27(F24,G24,K24,O24,P24,Q24,R24,S24,T24,U24,V24),"-")</f>
        <v>3.9785337393021698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1</v>
      </c>
      <c r="S26" s="22">
        <v>0</v>
      </c>
      <c r="T26" s="20">
        <v>0</v>
      </c>
      <c r="U26" s="20">
        <v>0</v>
      </c>
      <c r="V26" s="20">
        <v>0</v>
      </c>
      <c r="W26" s="62">
        <f>IFERROR(CalcRC27(F26,G26,K26,O26,P26,Q26,R26,S26,T26,U26,V26),"-")</f>
        <v>1.1159999999999988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>
        <f t="shared" si="4"/>
        <v>0.26869158878504673</v>
      </c>
      <c r="F28" s="5">
        <v>428</v>
      </c>
      <c r="G28" s="5">
        <v>115</v>
      </c>
      <c r="H28" s="5">
        <v>15</v>
      </c>
      <c r="I28" s="5">
        <v>5</v>
      </c>
      <c r="J28" s="6">
        <v>2</v>
      </c>
      <c r="K28" s="12">
        <v>146</v>
      </c>
      <c r="L28" s="7">
        <v>26</v>
      </c>
      <c r="M28" s="11">
        <f t="shared" si="2"/>
        <v>0.32334047109207709</v>
      </c>
      <c r="N28" s="11">
        <f t="shared" si="6"/>
        <v>0.66434047109207706</v>
      </c>
      <c r="O28" s="20">
        <v>90</v>
      </c>
      <c r="P28" s="21">
        <v>26</v>
      </c>
      <c r="Q28" s="21">
        <v>10</v>
      </c>
      <c r="R28" s="22">
        <v>10</v>
      </c>
      <c r="S28" s="22">
        <v>3</v>
      </c>
      <c r="T28" s="20">
        <v>41</v>
      </c>
      <c r="U28" s="20">
        <v>13</v>
      </c>
      <c r="V28" s="20">
        <v>4</v>
      </c>
      <c r="W28" s="62">
        <f>IFERROR(CalcRC27(F28,G28,K28,O28,P28,Q28,R28,S28,T28,U28,V28),"-")</f>
        <v>4.1176843610759652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>
        <f t="shared" si="4"/>
        <v>0.27324478178368122</v>
      </c>
      <c r="F29" s="5">
        <v>527</v>
      </c>
      <c r="G29" s="5">
        <v>144</v>
      </c>
      <c r="H29" s="5">
        <v>40</v>
      </c>
      <c r="I29" s="5">
        <v>2</v>
      </c>
      <c r="J29" s="6">
        <v>20</v>
      </c>
      <c r="K29" s="12">
        <v>248</v>
      </c>
      <c r="L29" s="7">
        <v>87</v>
      </c>
      <c r="M29" s="11">
        <f t="shared" si="2"/>
        <v>0.33673469387755101</v>
      </c>
      <c r="N29" s="11">
        <f t="shared" si="6"/>
        <v>0.80773469387755092</v>
      </c>
      <c r="O29" s="20">
        <v>99</v>
      </c>
      <c r="P29" s="21">
        <v>49</v>
      </c>
      <c r="Q29" s="21">
        <v>5</v>
      </c>
      <c r="R29" s="22">
        <v>10</v>
      </c>
      <c r="S29" s="22">
        <v>7</v>
      </c>
      <c r="T29" s="20">
        <v>2</v>
      </c>
      <c r="U29" s="20">
        <v>1</v>
      </c>
      <c r="V29" s="20">
        <v>10</v>
      </c>
      <c r="W29" s="62">
        <f>IFERROR(CalcRC27(F29,G29,K29,O29,P29,Q29,R29,S29,T29,U29,V29),"-")</f>
        <v>5.4999657251666108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1467</v>
      </c>
      <c r="E30" s="11">
        <f t="shared" si="4"/>
        <v>0.24727272727272728</v>
      </c>
      <c r="F30" s="5">
        <v>550</v>
      </c>
      <c r="G30" s="5">
        <v>136</v>
      </c>
      <c r="H30" s="5">
        <v>26</v>
      </c>
      <c r="I30" s="5">
        <v>1</v>
      </c>
      <c r="J30" s="6">
        <v>34</v>
      </c>
      <c r="K30" s="12">
        <v>266</v>
      </c>
      <c r="L30" s="7">
        <v>99</v>
      </c>
      <c r="M30" s="11">
        <f t="shared" si="2"/>
        <v>0.31751227495908346</v>
      </c>
      <c r="N30" s="11">
        <f t="shared" si="6"/>
        <v>0.8015122749590835</v>
      </c>
      <c r="O30" s="20">
        <v>158</v>
      </c>
      <c r="P30" s="21">
        <v>48</v>
      </c>
      <c r="Q30" s="21">
        <v>10</v>
      </c>
      <c r="R30" s="22">
        <v>0</v>
      </c>
      <c r="S30" s="22">
        <v>3</v>
      </c>
      <c r="T30" s="20">
        <v>0</v>
      </c>
      <c r="U30" s="20">
        <v>0</v>
      </c>
      <c r="V30" s="20">
        <v>17</v>
      </c>
      <c r="W30" s="62">
        <f>IFERROR(CalcRC27(F30,G30,K30,O30,P30,Q30,R30,S30,T30,U30,V30),"-")</f>
        <v>5.0367184791872477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1532</v>
      </c>
    </row>
    <row r="32" spans="2:24" ht="13.8" x14ac:dyDescent="0.2">
      <c r="B32" s="8">
        <f t="shared" si="5"/>
        <v>27</v>
      </c>
      <c r="C32" s="10">
        <v>27</v>
      </c>
      <c r="D32" s="13" t="s">
        <v>1468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1533</v>
      </c>
    </row>
    <row r="33" spans="2:24" ht="13.8" x14ac:dyDescent="0.2">
      <c r="B33" s="8">
        <f t="shared" si="5"/>
        <v>28</v>
      </c>
      <c r="C33" s="10">
        <v>28</v>
      </c>
      <c r="D33" s="13" t="s">
        <v>1469</v>
      </c>
      <c r="E33" s="11">
        <f t="shared" si="4"/>
        <v>0.16923076923076924</v>
      </c>
      <c r="F33" s="5">
        <v>65</v>
      </c>
      <c r="G33" s="5">
        <v>11</v>
      </c>
      <c r="H33" s="5">
        <v>3</v>
      </c>
      <c r="I33" s="5">
        <v>0</v>
      </c>
      <c r="J33" s="6">
        <v>1</v>
      </c>
      <c r="K33" s="12">
        <v>17</v>
      </c>
      <c r="L33" s="7">
        <v>3</v>
      </c>
      <c r="M33" s="11">
        <f t="shared" si="2"/>
        <v>0.18181818181818182</v>
      </c>
      <c r="N33" s="11">
        <f t="shared" si="6"/>
        <v>0.44381818181818183</v>
      </c>
      <c r="O33" s="20">
        <v>19</v>
      </c>
      <c r="P33" s="21">
        <v>0</v>
      </c>
      <c r="Q33" s="21">
        <v>1</v>
      </c>
      <c r="R33" s="22">
        <v>0</v>
      </c>
      <c r="S33" s="22">
        <v>0</v>
      </c>
      <c r="T33" s="20">
        <v>1</v>
      </c>
      <c r="U33" s="20">
        <v>0</v>
      </c>
      <c r="V33" s="20">
        <v>1</v>
      </c>
      <c r="W33" s="62">
        <f>IFERROR(CalcRC27(F33,G33,K33,O33,P33,Q33,R33,S33,T33,U33,V33),"-")</f>
        <v>0.98619999999999841</v>
      </c>
      <c r="X33" s="2" t="s">
        <v>1906</v>
      </c>
    </row>
    <row r="34" spans="2:24" ht="13.8" x14ac:dyDescent="0.2">
      <c r="B34" s="8">
        <f t="shared" si="5"/>
        <v>29</v>
      </c>
      <c r="C34" s="10">
        <v>29</v>
      </c>
      <c r="D34" s="13" t="s">
        <v>1240</v>
      </c>
      <c r="E34" s="11">
        <f t="shared" si="4"/>
        <v>0</v>
      </c>
      <c r="F34" s="5">
        <v>1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-2.7000000000000011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>
        <f t="shared" si="4"/>
        <v>0.19047619047619047</v>
      </c>
      <c r="F35" s="5">
        <v>84</v>
      </c>
      <c r="G35" s="5">
        <v>16</v>
      </c>
      <c r="H35" s="5">
        <v>3</v>
      </c>
      <c r="I35" s="5">
        <v>1</v>
      </c>
      <c r="J35" s="6">
        <v>0</v>
      </c>
      <c r="K35" s="12">
        <v>21</v>
      </c>
      <c r="L35" s="7">
        <v>6</v>
      </c>
      <c r="M35" s="11">
        <f t="shared" si="2"/>
        <v>0.25</v>
      </c>
      <c r="N35" s="11">
        <f t="shared" si="6"/>
        <v>0.5</v>
      </c>
      <c r="O35" s="20">
        <v>30</v>
      </c>
      <c r="P35" s="21">
        <v>4</v>
      </c>
      <c r="Q35" s="21">
        <v>3</v>
      </c>
      <c r="R35" s="22">
        <v>1</v>
      </c>
      <c r="S35" s="22">
        <v>1</v>
      </c>
      <c r="T35" s="20">
        <v>3</v>
      </c>
      <c r="U35" s="20">
        <v>3</v>
      </c>
      <c r="V35" s="20">
        <v>0</v>
      </c>
      <c r="W35" s="62">
        <f>IFERROR(CalcRC27(F35,G35,K35,O35,P35,Q35,R35,S35,T35,U35,V35),"-")</f>
        <v>1.70197967300044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>
        <f t="shared" si="4"/>
        <v>0.26996197718631176</v>
      </c>
      <c r="F36" s="5">
        <v>263</v>
      </c>
      <c r="G36" s="5">
        <v>71</v>
      </c>
      <c r="H36" s="5">
        <v>21</v>
      </c>
      <c r="I36" s="5">
        <v>0</v>
      </c>
      <c r="J36" s="6">
        <v>7</v>
      </c>
      <c r="K36" s="12">
        <v>113</v>
      </c>
      <c r="L36" s="7">
        <v>29</v>
      </c>
      <c r="M36" s="11">
        <f t="shared" si="2"/>
        <v>0.30960854092526691</v>
      </c>
      <c r="N36" s="11">
        <f t="shared" si="6"/>
        <v>0.73960854092526684</v>
      </c>
      <c r="O36" s="20">
        <v>65</v>
      </c>
      <c r="P36" s="21">
        <v>11</v>
      </c>
      <c r="Q36" s="21">
        <v>5</v>
      </c>
      <c r="R36" s="22">
        <v>1</v>
      </c>
      <c r="S36" s="22">
        <v>2</v>
      </c>
      <c r="T36" s="20">
        <v>1</v>
      </c>
      <c r="U36" s="20">
        <v>0</v>
      </c>
      <c r="V36" s="20">
        <v>4</v>
      </c>
      <c r="W36" s="62">
        <f>IFERROR(CalcRC27(F36,G36,K36,O36,P36,Q36,R36,S36,T36,U36,V36),"-")</f>
        <v>4.6978141772693238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>
        <f t="shared" si="4"/>
        <v>0.26851851851851855</v>
      </c>
      <c r="F37" s="5">
        <v>216</v>
      </c>
      <c r="G37" s="5">
        <v>58</v>
      </c>
      <c r="H37" s="5">
        <v>11</v>
      </c>
      <c r="I37" s="5">
        <v>5</v>
      </c>
      <c r="J37" s="6">
        <v>4</v>
      </c>
      <c r="K37" s="12">
        <v>91</v>
      </c>
      <c r="L37" s="7">
        <v>40</v>
      </c>
      <c r="M37" s="11">
        <f t="shared" si="2"/>
        <v>0.31330472103004292</v>
      </c>
      <c r="N37" s="11">
        <f t="shared" si="6"/>
        <v>0.73430472103004285</v>
      </c>
      <c r="O37" s="20">
        <v>65</v>
      </c>
      <c r="P37" s="21">
        <v>14</v>
      </c>
      <c r="Q37" s="21">
        <v>1</v>
      </c>
      <c r="R37" s="22">
        <v>4</v>
      </c>
      <c r="S37" s="22">
        <v>2</v>
      </c>
      <c r="T37" s="20">
        <v>1</v>
      </c>
      <c r="U37" s="20">
        <v>0</v>
      </c>
      <c r="V37" s="20">
        <v>4</v>
      </c>
      <c r="W37" s="62">
        <f>IFERROR(CalcRC27(F37,G37,K37,O37,P37,Q37,R37,S37,T37,U37,V37),"-")</f>
        <v>4.5378847197106671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1470</v>
      </c>
      <c r="E38" s="11">
        <f t="shared" si="4"/>
        <v>0.23300970873786409</v>
      </c>
      <c r="F38" s="5">
        <v>103</v>
      </c>
      <c r="G38" s="5">
        <v>24</v>
      </c>
      <c r="H38" s="5">
        <v>4</v>
      </c>
      <c r="I38" s="5">
        <v>0</v>
      </c>
      <c r="J38" s="6">
        <v>2</v>
      </c>
      <c r="K38" s="12">
        <v>34</v>
      </c>
      <c r="L38" s="7">
        <v>9</v>
      </c>
      <c r="M38" s="11">
        <f t="shared" si="2"/>
        <v>0.27927927927927926</v>
      </c>
      <c r="N38" s="11">
        <f t="shared" si="6"/>
        <v>0.60927927927927927</v>
      </c>
      <c r="O38" s="20">
        <v>17</v>
      </c>
      <c r="P38" s="21">
        <v>5</v>
      </c>
      <c r="Q38" s="21">
        <v>2</v>
      </c>
      <c r="R38" s="22">
        <v>0</v>
      </c>
      <c r="S38" s="22">
        <v>1</v>
      </c>
      <c r="T38" s="20">
        <v>0</v>
      </c>
      <c r="U38" s="20">
        <v>1</v>
      </c>
      <c r="V38" s="20">
        <v>6</v>
      </c>
      <c r="W38" s="62">
        <f>IFERROR(CalcRC27(F38,G38,K38,O38,P38,Q38,R38,S38,T38,U38,V38),"-")</f>
        <v>2.271213420316867</v>
      </c>
      <c r="X38" s="2" t="s">
        <v>1534</v>
      </c>
    </row>
    <row r="39" spans="2:24" ht="13.8" x14ac:dyDescent="0.2">
      <c r="B39" s="8">
        <f t="shared" si="5"/>
        <v>34</v>
      </c>
      <c r="C39" s="10">
        <v>34</v>
      </c>
      <c r="D39" s="13" t="s">
        <v>1471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1535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>
        <f t="shared" si="4"/>
        <v>0.25</v>
      </c>
      <c r="F40" s="5">
        <v>4</v>
      </c>
      <c r="G40" s="5">
        <v>1</v>
      </c>
      <c r="H40" s="5">
        <v>0</v>
      </c>
      <c r="I40" s="5">
        <v>0</v>
      </c>
      <c r="J40" s="6">
        <v>0</v>
      </c>
      <c r="K40" s="12">
        <v>1</v>
      </c>
      <c r="L40" s="7">
        <v>0</v>
      </c>
      <c r="M40" s="11">
        <f t="shared" si="2"/>
        <v>0.25</v>
      </c>
      <c r="N40" s="11">
        <f t="shared" si="6"/>
        <v>0.5</v>
      </c>
      <c r="O40" s="20">
        <v>3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1.8114999999999983</v>
      </c>
      <c r="X40" s="2" t="s">
        <v>1907</v>
      </c>
    </row>
    <row r="41" spans="2:24" ht="13.8" x14ac:dyDescent="0.2">
      <c r="B41" s="8">
        <f t="shared" si="5"/>
        <v>36</v>
      </c>
      <c r="C41" s="10">
        <v>36</v>
      </c>
      <c r="D41" s="13" t="s">
        <v>1472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1536</v>
      </c>
    </row>
    <row r="42" spans="2:24" ht="13.8" x14ac:dyDescent="0.2">
      <c r="B42" s="8">
        <f t="shared" si="5"/>
        <v>37</v>
      </c>
      <c r="C42" s="10">
        <v>37</v>
      </c>
      <c r="D42" s="13" t="s">
        <v>1473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1473</v>
      </c>
    </row>
    <row r="43" spans="2:24" ht="13.8" x14ac:dyDescent="0.2">
      <c r="B43" s="8">
        <f t="shared" si="5"/>
        <v>38</v>
      </c>
      <c r="C43" s="10">
        <v>38</v>
      </c>
      <c r="D43" s="13" t="s">
        <v>1474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1537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1538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1276</v>
      </c>
      <c r="E48" s="11">
        <f t="shared" si="4"/>
        <v>0</v>
      </c>
      <c r="F48" s="5">
        <v>10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5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>
        <f>IFERROR(CalcRC27(F48,G48,K48,O48,P48,Q48,R48,S48,T48,U48,V48),"-")</f>
        <v>-2.8080000000000012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>
        <f t="shared" si="4"/>
        <v>0.2857142857142857</v>
      </c>
      <c r="F49" s="5">
        <v>21</v>
      </c>
      <c r="G49" s="5">
        <v>6</v>
      </c>
      <c r="H49" s="5">
        <v>0</v>
      </c>
      <c r="I49" s="5">
        <v>0</v>
      </c>
      <c r="J49" s="6">
        <v>1</v>
      </c>
      <c r="K49" s="12">
        <v>9</v>
      </c>
      <c r="L49" s="7">
        <v>2</v>
      </c>
      <c r="M49" s="11">
        <f t="shared" si="2"/>
        <v>0.2857142857142857</v>
      </c>
      <c r="N49" s="11">
        <f t="shared" si="6"/>
        <v>0.71471428571428564</v>
      </c>
      <c r="O49" s="20">
        <v>6</v>
      </c>
      <c r="P49" s="21">
        <v>0</v>
      </c>
      <c r="Q49" s="21">
        <v>0</v>
      </c>
      <c r="R49" s="22">
        <v>0</v>
      </c>
      <c r="S49" s="22">
        <v>0</v>
      </c>
      <c r="T49" s="20">
        <v>2</v>
      </c>
      <c r="U49" s="20">
        <v>1</v>
      </c>
      <c r="V49" s="20">
        <v>0</v>
      </c>
      <c r="W49" s="62">
        <f>IFERROR(CalcRC27(F49,G49,K49,O49,P49,Q49,R49,S49,T49,U49,V49),"-")</f>
        <v>4.2646428571428547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>
        <f t="shared" si="4"/>
        <v>0.44444444444444442</v>
      </c>
      <c r="F50" s="5">
        <v>9</v>
      </c>
      <c r="G50" s="5">
        <v>4</v>
      </c>
      <c r="H50" s="5">
        <v>1</v>
      </c>
      <c r="I50" s="5">
        <v>1</v>
      </c>
      <c r="J50" s="6">
        <v>0</v>
      </c>
      <c r="K50" s="12">
        <v>7</v>
      </c>
      <c r="L50" s="7">
        <v>2</v>
      </c>
      <c r="M50" s="11">
        <f t="shared" si="2"/>
        <v>0.5</v>
      </c>
      <c r="N50" s="11">
        <f t="shared" si="6"/>
        <v>1.278</v>
      </c>
      <c r="O50" s="20">
        <v>2</v>
      </c>
      <c r="P50" s="21">
        <v>0</v>
      </c>
      <c r="Q50" s="21">
        <v>1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>
        <f>IFERROR(CalcRC27(F50,G50,K50,O50,P50,Q50,R50,S50,T50,U50,V50),"-")</f>
        <v>16.127999999999997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1476</v>
      </c>
      <c r="E52" s="11">
        <f t="shared" si="4"/>
        <v>0.25</v>
      </c>
      <c r="F52" s="5">
        <v>4</v>
      </c>
      <c r="G52" s="5">
        <v>1</v>
      </c>
      <c r="H52" s="5">
        <v>0</v>
      </c>
      <c r="I52" s="5">
        <v>0</v>
      </c>
      <c r="J52" s="6">
        <v>0</v>
      </c>
      <c r="K52" s="12">
        <v>1</v>
      </c>
      <c r="L52" s="7">
        <v>0</v>
      </c>
      <c r="M52" s="11">
        <f t="shared" si="2"/>
        <v>0.25</v>
      </c>
      <c r="N52" s="11">
        <f t="shared" si="6"/>
        <v>0.5</v>
      </c>
      <c r="O52" s="20">
        <v>2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>
        <f>IFERROR(CalcRC27(F52,G52,K52,O52,P52,Q52,R52,S52,T52,U52,V52),"-")</f>
        <v>1.890999999999998</v>
      </c>
      <c r="X52" s="2" t="s">
        <v>1539</v>
      </c>
    </row>
    <row r="53" spans="2:24" ht="13.8" x14ac:dyDescent="0.2">
      <c r="B53" s="8">
        <f t="shared" si="5"/>
        <v>48</v>
      </c>
      <c r="C53" s="10">
        <v>48</v>
      </c>
      <c r="D53" s="13" t="s">
        <v>1975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1540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>
        <f t="shared" si="4"/>
        <v>0.22580645161290322</v>
      </c>
      <c r="F57" s="5">
        <v>31</v>
      </c>
      <c r="G57" s="5">
        <v>7</v>
      </c>
      <c r="H57" s="5">
        <v>3</v>
      </c>
      <c r="I57" s="5">
        <v>0</v>
      </c>
      <c r="J57" s="6">
        <v>0</v>
      </c>
      <c r="K57" s="12">
        <v>10</v>
      </c>
      <c r="L57" s="7">
        <v>1</v>
      </c>
      <c r="M57" s="11">
        <f t="shared" si="2"/>
        <v>0.27272727272727271</v>
      </c>
      <c r="N57" s="11">
        <f t="shared" si="6"/>
        <v>0.59572727272727266</v>
      </c>
      <c r="O57" s="20">
        <v>12</v>
      </c>
      <c r="P57" s="21">
        <v>1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3</v>
      </c>
      <c r="W57" s="62">
        <f>IFERROR(CalcRC27(F57,G57,K57,O57,P57,Q57,R57,S57,T57,U57,V57),"-")</f>
        <v>1.6145858585858568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1541</v>
      </c>
    </row>
    <row r="59" spans="2:24" ht="13.8" x14ac:dyDescent="0.2">
      <c r="B59" s="8">
        <f t="shared" si="5"/>
        <v>54</v>
      </c>
      <c r="C59" s="10">
        <v>54</v>
      </c>
      <c r="D59" s="13" t="s">
        <v>1130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1908</v>
      </c>
    </row>
    <row r="60" spans="2:24" ht="13.8" x14ac:dyDescent="0.2">
      <c r="B60" s="8">
        <f t="shared" si="5"/>
        <v>55</v>
      </c>
      <c r="C60" s="10">
        <v>55</v>
      </c>
      <c r="D60" s="13" t="s">
        <v>1625</v>
      </c>
      <c r="E60" s="11">
        <f t="shared" si="4"/>
        <v>0.19354838709677419</v>
      </c>
      <c r="F60" s="5">
        <v>31</v>
      </c>
      <c r="G60" s="5">
        <v>6</v>
      </c>
      <c r="H60" s="5">
        <v>0</v>
      </c>
      <c r="I60" s="5">
        <v>0</v>
      </c>
      <c r="J60" s="6">
        <v>1</v>
      </c>
      <c r="K60" s="12">
        <v>9</v>
      </c>
      <c r="L60" s="7">
        <v>6</v>
      </c>
      <c r="M60" s="11">
        <f t="shared" si="2"/>
        <v>0.33333333333333331</v>
      </c>
      <c r="N60" s="11">
        <f t="shared" si="6"/>
        <v>0.62333333333333329</v>
      </c>
      <c r="O60" s="20">
        <v>10</v>
      </c>
      <c r="P60" s="21">
        <v>3</v>
      </c>
      <c r="Q60" s="21">
        <v>4</v>
      </c>
      <c r="R60" s="22">
        <v>0</v>
      </c>
      <c r="S60" s="22">
        <v>1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3.9349999999999974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>
        <f t="shared" si="4"/>
        <v>0.17307692307692307</v>
      </c>
      <c r="F62" s="5">
        <v>52</v>
      </c>
      <c r="G62" s="5">
        <v>9</v>
      </c>
      <c r="H62" s="5">
        <v>1</v>
      </c>
      <c r="I62" s="5">
        <v>1</v>
      </c>
      <c r="J62" s="6">
        <v>0</v>
      </c>
      <c r="K62" s="12">
        <v>12</v>
      </c>
      <c r="L62" s="7">
        <v>4</v>
      </c>
      <c r="M62" s="11">
        <f t="shared" si="2"/>
        <v>0.2711864406779661</v>
      </c>
      <c r="N62" s="11">
        <f t="shared" si="6"/>
        <v>0.50218644067796614</v>
      </c>
      <c r="O62" s="20">
        <v>10</v>
      </c>
      <c r="P62" s="21">
        <v>7</v>
      </c>
      <c r="Q62" s="21">
        <v>0</v>
      </c>
      <c r="R62" s="22">
        <v>3</v>
      </c>
      <c r="S62" s="22">
        <v>0</v>
      </c>
      <c r="T62" s="20">
        <v>4</v>
      </c>
      <c r="U62" s="20">
        <v>1</v>
      </c>
      <c r="V62" s="20">
        <v>2</v>
      </c>
      <c r="W62" s="62">
        <f>IFERROR(CalcRC27(F62,G62,K62,O62,P62,Q62,R62,S62,T62,U62,V62),"-")</f>
        <v>1.7946734693877531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1542</v>
      </c>
    </row>
    <row r="65" spans="2:24" ht="13.8" x14ac:dyDescent="0.2">
      <c r="B65" s="8">
        <f t="shared" si="5"/>
        <v>60</v>
      </c>
      <c r="C65" s="10">
        <v>60</v>
      </c>
      <c r="D65" s="13" t="s">
        <v>1480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1543</v>
      </c>
    </row>
    <row r="66" spans="2:24" ht="13.8" x14ac:dyDescent="0.2">
      <c r="B66" s="8">
        <f t="shared" si="5"/>
        <v>61</v>
      </c>
      <c r="C66" s="10">
        <v>61</v>
      </c>
      <c r="D66" s="13" t="s">
        <v>1635</v>
      </c>
      <c r="E66" s="11">
        <f t="shared" si="4"/>
        <v>0.26829268292682928</v>
      </c>
      <c r="F66" s="5">
        <v>123</v>
      </c>
      <c r="G66" s="5">
        <v>33</v>
      </c>
      <c r="H66" s="5">
        <v>8</v>
      </c>
      <c r="I66" s="5">
        <v>2</v>
      </c>
      <c r="J66" s="6">
        <v>1</v>
      </c>
      <c r="K66" s="12">
        <v>48</v>
      </c>
      <c r="L66" s="7">
        <v>14</v>
      </c>
      <c r="M66" s="11">
        <f t="shared" si="2"/>
        <v>0.33576642335766421</v>
      </c>
      <c r="N66" s="11">
        <f t="shared" si="6"/>
        <v>0.72576642335766417</v>
      </c>
      <c r="O66" s="20">
        <v>43</v>
      </c>
      <c r="P66" s="21">
        <v>10</v>
      </c>
      <c r="Q66" s="21">
        <v>3</v>
      </c>
      <c r="R66" s="22">
        <v>3</v>
      </c>
      <c r="S66" s="22">
        <v>1</v>
      </c>
      <c r="T66" s="20">
        <v>3</v>
      </c>
      <c r="U66" s="20">
        <v>1</v>
      </c>
      <c r="V66" s="20">
        <v>1</v>
      </c>
      <c r="W66" s="62">
        <f>IFERROR(CalcRC27(F66,G66,K66,O66,P66,Q66,R66,S66,T66,U66,V66),"-")</f>
        <v>4.7788839285714264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>
        <f t="shared" si="4"/>
        <v>0.17307692307692307</v>
      </c>
      <c r="F67" s="5">
        <v>104</v>
      </c>
      <c r="G67" s="5">
        <v>18</v>
      </c>
      <c r="H67" s="5">
        <v>5</v>
      </c>
      <c r="I67" s="5">
        <v>0</v>
      </c>
      <c r="J67" s="6">
        <v>2</v>
      </c>
      <c r="K67" s="12">
        <v>29</v>
      </c>
      <c r="L67" s="7">
        <v>10</v>
      </c>
      <c r="M67" s="11">
        <f t="shared" si="2"/>
        <v>0.22522522522522523</v>
      </c>
      <c r="N67" s="11">
        <f t="shared" si="6"/>
        <v>0.50422522522522528</v>
      </c>
      <c r="O67" s="20">
        <v>30</v>
      </c>
      <c r="P67" s="21">
        <v>6</v>
      </c>
      <c r="Q67" s="21">
        <v>1</v>
      </c>
      <c r="R67" s="22">
        <v>9</v>
      </c>
      <c r="S67" s="22">
        <v>0</v>
      </c>
      <c r="T67" s="20">
        <v>0</v>
      </c>
      <c r="U67" s="20">
        <v>0</v>
      </c>
      <c r="V67" s="20">
        <v>3</v>
      </c>
      <c r="W67" s="62">
        <f>IFERROR(CalcRC27(F67,G67,K67,O67,P67,Q67,R67,S67,T67,U67,V67),"-")</f>
        <v>1.4576275510204066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1482</v>
      </c>
      <c r="E69" s="11">
        <f t="shared" ref="E69:E132" si="10">IFERROR(IF(G69/F69=1,"1.00",G69/F69),"---")</f>
        <v>0.19230769230769232</v>
      </c>
      <c r="F69" s="5">
        <v>26</v>
      </c>
      <c r="G69" s="5">
        <v>5</v>
      </c>
      <c r="H69" s="5">
        <v>0</v>
      </c>
      <c r="I69" s="5">
        <v>0</v>
      </c>
      <c r="J69" s="6">
        <v>0</v>
      </c>
      <c r="K69" s="12">
        <v>5</v>
      </c>
      <c r="L69" s="7">
        <v>2</v>
      </c>
      <c r="M69" s="11">
        <f t="shared" si="8"/>
        <v>0.18518518518518517</v>
      </c>
      <c r="N69" s="11">
        <f t="shared" ref="N69:N132" si="11">IF(F69=0,IF(M69="1.00","1.000",M69),SUM(ROUND(K69/F69,3),M69))</f>
        <v>0.37718518518518518</v>
      </c>
      <c r="O69" s="20">
        <v>4</v>
      </c>
      <c r="P69" s="21">
        <v>0</v>
      </c>
      <c r="Q69" s="21">
        <v>0</v>
      </c>
      <c r="R69" s="22">
        <v>0</v>
      </c>
      <c r="S69" s="22">
        <v>1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0.63897979797979632</v>
      </c>
      <c r="X69" s="2" t="s">
        <v>1544</v>
      </c>
    </row>
    <row r="70" spans="2:24" ht="13.8" x14ac:dyDescent="0.2">
      <c r="B70" s="8">
        <f t="shared" si="9"/>
        <v>65</v>
      </c>
      <c r="C70" s="10">
        <v>65</v>
      </c>
      <c r="D70" s="9" t="s">
        <v>1483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1545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1546</v>
      </c>
    </row>
    <row r="74" spans="2:24" ht="13.8" x14ac:dyDescent="0.2">
      <c r="B74" s="8">
        <f t="shared" si="9"/>
        <v>69</v>
      </c>
      <c r="C74" s="10">
        <v>69</v>
      </c>
      <c r="D74" s="13"/>
      <c r="E74" s="11">
        <f t="shared" si="10"/>
        <v>0.21428571428571427</v>
      </c>
      <c r="F74" s="5">
        <v>14</v>
      </c>
      <c r="G74" s="5">
        <v>3</v>
      </c>
      <c r="H74" s="5">
        <v>0</v>
      </c>
      <c r="I74" s="5">
        <v>0</v>
      </c>
      <c r="J74" s="6">
        <v>0</v>
      </c>
      <c r="K74" s="12">
        <v>3</v>
      </c>
      <c r="L74" s="7">
        <v>0</v>
      </c>
      <c r="M74" s="11">
        <f t="shared" si="8"/>
        <v>0.26666666666666666</v>
      </c>
      <c r="N74" s="11">
        <f t="shared" si="11"/>
        <v>0.48066666666666669</v>
      </c>
      <c r="O74" s="20">
        <v>3</v>
      </c>
      <c r="P74" s="21">
        <v>1</v>
      </c>
      <c r="Q74" s="21">
        <v>0</v>
      </c>
      <c r="R74" s="22">
        <v>1</v>
      </c>
      <c r="S74" s="22">
        <v>0</v>
      </c>
      <c r="T74" s="20">
        <v>0</v>
      </c>
      <c r="U74" s="20">
        <v>0</v>
      </c>
      <c r="V74" s="20">
        <v>1</v>
      </c>
      <c r="W74" s="62">
        <f>IFERROR(CalcRC27(F74,G74,K74,O74,P74,Q74,R74,S74,T74,U74,V74),"-")</f>
        <v>0.96317307692307519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1335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1910</v>
      </c>
      <c r="E104" s="11">
        <f t="shared" si="10"/>
        <v>0.11627906976744186</v>
      </c>
      <c r="F104" s="5">
        <v>43</v>
      </c>
      <c r="G104" s="5">
        <v>5</v>
      </c>
      <c r="H104" s="5">
        <v>0</v>
      </c>
      <c r="I104" s="5">
        <v>0</v>
      </c>
      <c r="J104" s="6">
        <v>0</v>
      </c>
      <c r="K104" s="12">
        <v>5</v>
      </c>
      <c r="L104" s="7">
        <v>1</v>
      </c>
      <c r="M104" s="11">
        <f t="shared" si="8"/>
        <v>0.22448979591836735</v>
      </c>
      <c r="N104" s="11">
        <f t="shared" si="11"/>
        <v>0.34048979591836737</v>
      </c>
      <c r="O104" s="20">
        <v>18</v>
      </c>
      <c r="P104" s="21">
        <v>6</v>
      </c>
      <c r="Q104" s="21">
        <v>0</v>
      </c>
      <c r="R104" s="22">
        <v>1</v>
      </c>
      <c r="S104" s="22">
        <v>0</v>
      </c>
      <c r="T104" s="20">
        <v>4</v>
      </c>
      <c r="U104" s="20">
        <v>0</v>
      </c>
      <c r="V104" s="20">
        <v>1</v>
      </c>
      <c r="W104" s="62">
        <f>IFERROR(CalcRC27(F104,G104,K104,O104,P104,Q104,R104,S104,T104,U104,V104),"-")</f>
        <v>0.65144999999999809</v>
      </c>
      <c r="X104" s="2" t="s">
        <v>1485</v>
      </c>
    </row>
    <row r="105" spans="2:24" ht="13.8" x14ac:dyDescent="0.2">
      <c r="B105" s="8">
        <f t="shared" si="9"/>
        <v>120</v>
      </c>
      <c r="C105" s="10">
        <v>120</v>
      </c>
      <c r="D105" s="14" t="s">
        <v>1486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1547</v>
      </c>
    </row>
    <row r="106" spans="2:24" ht="13.8" x14ac:dyDescent="0.2">
      <c r="B106" s="8">
        <f t="shared" si="9"/>
        <v>121</v>
      </c>
      <c r="C106" s="10">
        <v>121</v>
      </c>
      <c r="D106" s="9" t="s">
        <v>1487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1548</v>
      </c>
    </row>
    <row r="107" spans="2:24" ht="13.8" x14ac:dyDescent="0.2">
      <c r="B107" s="8">
        <f t="shared" si="9"/>
        <v>122</v>
      </c>
      <c r="C107" s="10">
        <v>122</v>
      </c>
      <c r="D107" s="9" t="s">
        <v>1488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1549</v>
      </c>
    </row>
    <row r="108" spans="2:24" ht="13.8" x14ac:dyDescent="0.2">
      <c r="B108" s="8">
        <f t="shared" si="9"/>
        <v>123</v>
      </c>
      <c r="C108" s="10">
        <v>123</v>
      </c>
      <c r="D108" s="9" t="s">
        <v>1489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1550</v>
      </c>
    </row>
    <row r="109" spans="2:24" ht="13.8" x14ac:dyDescent="0.2">
      <c r="B109" s="8">
        <f t="shared" si="9"/>
        <v>124</v>
      </c>
      <c r="C109" s="10">
        <v>124</v>
      </c>
      <c r="D109" s="9" t="s">
        <v>1490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1551</v>
      </c>
    </row>
    <row r="110" spans="2:24" ht="13.8" x14ac:dyDescent="0.2">
      <c r="B110" s="8">
        <f t="shared" si="9"/>
        <v>125</v>
      </c>
      <c r="C110" s="10">
        <v>125</v>
      </c>
      <c r="D110" s="9" t="s">
        <v>1491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1552</v>
      </c>
    </row>
    <row r="111" spans="2:24" ht="13.8" x14ac:dyDescent="0.2">
      <c r="B111" s="8">
        <f t="shared" si="9"/>
        <v>126</v>
      </c>
      <c r="C111" s="10">
        <v>126</v>
      </c>
      <c r="D111" s="9" t="s">
        <v>1492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1553</v>
      </c>
    </row>
    <row r="112" spans="2:24" ht="13.8" x14ac:dyDescent="0.2">
      <c r="B112" s="8">
        <f t="shared" si="9"/>
        <v>127</v>
      </c>
      <c r="C112" s="10">
        <v>127</v>
      </c>
      <c r="D112" s="9" t="s">
        <v>1493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1554</v>
      </c>
    </row>
    <row r="113" spans="2:24" ht="13.8" x14ac:dyDescent="0.2">
      <c r="B113" s="8">
        <f t="shared" si="9"/>
        <v>128</v>
      </c>
      <c r="C113" s="10">
        <v>128</v>
      </c>
      <c r="D113" s="9" t="s">
        <v>2005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1555</v>
      </c>
    </row>
    <row r="114" spans="2:24" ht="13.8" x14ac:dyDescent="0.2">
      <c r="B114" s="8">
        <f t="shared" si="9"/>
        <v>129</v>
      </c>
      <c r="C114" s="10">
        <v>129</v>
      </c>
      <c r="D114" s="9" t="s">
        <v>1494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1556</v>
      </c>
    </row>
    <row r="115" spans="2:24" ht="13.8" x14ac:dyDescent="0.2">
      <c r="B115" s="8">
        <f t="shared" si="9"/>
        <v>130</v>
      </c>
      <c r="C115" s="10">
        <v>130</v>
      </c>
      <c r="D115" s="9" t="s">
        <v>1495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1557</v>
      </c>
    </row>
    <row r="116" spans="2:24" ht="13.8" x14ac:dyDescent="0.2">
      <c r="B116" s="8">
        <f t="shared" si="9"/>
        <v>131</v>
      </c>
      <c r="C116" s="10">
        <v>131</v>
      </c>
      <c r="D116" s="9" t="s">
        <v>1496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1558</v>
      </c>
    </row>
    <row r="117" spans="2:24" ht="13.8" x14ac:dyDescent="0.2">
      <c r="B117" s="8">
        <f t="shared" si="9"/>
        <v>132</v>
      </c>
      <c r="C117" s="10">
        <v>132</v>
      </c>
      <c r="D117" s="9" t="s">
        <v>1497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1559</v>
      </c>
    </row>
    <row r="118" spans="2:24" ht="13.8" x14ac:dyDescent="0.2">
      <c r="B118" s="8">
        <f t="shared" si="9"/>
        <v>133</v>
      </c>
      <c r="C118" s="10">
        <v>133</v>
      </c>
      <c r="D118" s="9" t="s">
        <v>1409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1560</v>
      </c>
    </row>
    <row r="119" spans="2:24" ht="13.8" x14ac:dyDescent="0.2">
      <c r="B119" s="8">
        <f t="shared" si="9"/>
        <v>134</v>
      </c>
      <c r="C119" s="10">
        <v>134</v>
      </c>
      <c r="D119" s="9" t="s">
        <v>1498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1561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1911</v>
      </c>
    </row>
    <row r="121" spans="2:24" ht="13.8" x14ac:dyDescent="0.2">
      <c r="B121" s="8">
        <f t="shared" si="9"/>
        <v>136</v>
      </c>
      <c r="C121" s="10">
        <v>136</v>
      </c>
      <c r="D121" s="9" t="s">
        <v>1345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1562</v>
      </c>
    </row>
    <row r="122" spans="2:24" ht="13.8" x14ac:dyDescent="0.2">
      <c r="B122" s="8">
        <f t="shared" si="9"/>
        <v>137</v>
      </c>
      <c r="C122" s="10">
        <v>137</v>
      </c>
      <c r="D122" s="9" t="s">
        <v>1499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1563</v>
      </c>
    </row>
    <row r="123" spans="2:24" ht="13.8" x14ac:dyDescent="0.2">
      <c r="B123" s="8">
        <f t="shared" si="9"/>
        <v>138</v>
      </c>
      <c r="C123" s="10">
        <v>138</v>
      </c>
      <c r="D123" s="9" t="s">
        <v>1500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1564</v>
      </c>
    </row>
    <row r="125" spans="2:24" ht="13.8" x14ac:dyDescent="0.2">
      <c r="B125" s="8">
        <f t="shared" si="9"/>
        <v>140</v>
      </c>
      <c r="C125" s="10">
        <v>140</v>
      </c>
      <c r="D125" s="9" t="s">
        <v>2000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1565</v>
      </c>
    </row>
    <row r="126" spans="2:24" ht="13.8" x14ac:dyDescent="0.2">
      <c r="B126" s="8">
        <f t="shared" si="9"/>
        <v>141</v>
      </c>
      <c r="C126" s="10">
        <v>141</v>
      </c>
      <c r="D126" s="9" t="s">
        <v>1502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1912</v>
      </c>
    </row>
    <row r="127" spans="2:24" ht="13.8" x14ac:dyDescent="0.2">
      <c r="B127" s="8">
        <f t="shared" si="9"/>
        <v>142</v>
      </c>
      <c r="C127" s="10">
        <v>142</v>
      </c>
      <c r="D127" s="9" t="s">
        <v>1503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1566</v>
      </c>
    </row>
    <row r="128" spans="2:24" ht="13.8" x14ac:dyDescent="0.2">
      <c r="B128" s="8">
        <f t="shared" si="9"/>
        <v>143</v>
      </c>
      <c r="C128" s="10">
        <v>143</v>
      </c>
      <c r="D128" s="9" t="s">
        <v>1243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1567</v>
      </c>
    </row>
    <row r="129" spans="2:24" ht="13.8" x14ac:dyDescent="0.2">
      <c r="B129" s="8">
        <f t="shared" si="9"/>
        <v>144</v>
      </c>
      <c r="C129" s="10">
        <v>144</v>
      </c>
      <c r="D129" s="9" t="s">
        <v>1504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1913</v>
      </c>
    </row>
    <row r="130" spans="2:24" ht="13.8" x14ac:dyDescent="0.2">
      <c r="B130" s="8">
        <f t="shared" si="9"/>
        <v>145</v>
      </c>
      <c r="C130" s="10">
        <v>145</v>
      </c>
      <c r="D130" s="9" t="s">
        <v>1505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1505</v>
      </c>
    </row>
    <row r="131" spans="2:24" ht="13.8" x14ac:dyDescent="0.2">
      <c r="B131" s="8">
        <f t="shared" si="9"/>
        <v>146</v>
      </c>
      <c r="C131" s="10">
        <v>146</v>
      </c>
      <c r="D131" s="9" t="s">
        <v>1483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1568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1569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1506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1570</v>
      </c>
    </row>
    <row r="134" spans="2:24" ht="13.8" x14ac:dyDescent="0.2">
      <c r="B134" s="8">
        <f t="shared" si="14"/>
        <v>149</v>
      </c>
      <c r="C134" s="10">
        <v>149</v>
      </c>
      <c r="D134" s="9" t="s">
        <v>1507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1571</v>
      </c>
    </row>
    <row r="135" spans="2:24" ht="13.8" x14ac:dyDescent="0.2">
      <c r="B135" s="8">
        <f t="shared" si="14"/>
        <v>150</v>
      </c>
      <c r="C135" s="10">
        <v>150</v>
      </c>
      <c r="D135" s="9" t="s">
        <v>1508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1572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1573</v>
      </c>
    </row>
    <row r="137" spans="2:24" ht="13.8" x14ac:dyDescent="0.2">
      <c r="B137" s="8">
        <f t="shared" si="14"/>
        <v>152</v>
      </c>
      <c r="C137" s="10">
        <v>152</v>
      </c>
      <c r="D137" s="9" t="s">
        <v>1509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1574</v>
      </c>
    </row>
    <row r="138" spans="2:24" ht="13.8" x14ac:dyDescent="0.2">
      <c r="B138" s="8">
        <f t="shared" si="14"/>
        <v>153</v>
      </c>
      <c r="C138" s="10">
        <v>153</v>
      </c>
      <c r="D138" s="9" t="s">
        <v>1510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1575</v>
      </c>
    </row>
    <row r="139" spans="2:24" ht="13.8" x14ac:dyDescent="0.2">
      <c r="B139" s="8">
        <f t="shared" si="14"/>
        <v>154</v>
      </c>
      <c r="C139" s="10">
        <v>154</v>
      </c>
      <c r="D139" s="9" t="s">
        <v>1511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1576</v>
      </c>
    </row>
    <row r="140" spans="2:24" ht="13.8" x14ac:dyDescent="0.2">
      <c r="B140" s="8">
        <f t="shared" si="14"/>
        <v>155</v>
      </c>
      <c r="C140" s="10">
        <v>155</v>
      </c>
      <c r="D140" s="9" t="s">
        <v>1512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1577</v>
      </c>
    </row>
    <row r="141" spans="2:24" ht="13.8" x14ac:dyDescent="0.2">
      <c r="B141" s="8">
        <f t="shared" si="14"/>
        <v>156</v>
      </c>
      <c r="C141" s="10">
        <v>156</v>
      </c>
      <c r="D141" s="9" t="s">
        <v>1172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1914</v>
      </c>
    </row>
    <row r="142" spans="2:24" ht="13.8" x14ac:dyDescent="0.2">
      <c r="B142" s="8">
        <f t="shared" si="14"/>
        <v>157</v>
      </c>
      <c r="C142" s="10">
        <v>157</v>
      </c>
      <c r="D142" s="9" t="s">
        <v>1513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1237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1578</v>
      </c>
    </row>
    <row r="144" spans="2:24" ht="13.8" x14ac:dyDescent="0.2">
      <c r="B144" s="8">
        <f t="shared" si="14"/>
        <v>159</v>
      </c>
      <c r="C144" s="10">
        <v>159</v>
      </c>
      <c r="D144" s="9" t="s">
        <v>1239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1579</v>
      </c>
    </row>
    <row r="145" spans="2:24" ht="13.8" x14ac:dyDescent="0.2">
      <c r="B145" s="8">
        <f t="shared" si="14"/>
        <v>160</v>
      </c>
      <c r="C145" s="10">
        <v>160</v>
      </c>
      <c r="D145" s="9" t="s">
        <v>1514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1580</v>
      </c>
    </row>
    <row r="146" spans="2:24" ht="13.8" x14ac:dyDescent="0.2">
      <c r="B146" s="8">
        <f t="shared" si="14"/>
        <v>161</v>
      </c>
      <c r="C146" s="10">
        <v>161</v>
      </c>
      <c r="D146" s="9" t="s">
        <v>1515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1581</v>
      </c>
    </row>
    <row r="147" spans="2:24" ht="13.8" x14ac:dyDescent="0.2">
      <c r="B147" s="8">
        <f t="shared" si="14"/>
        <v>162</v>
      </c>
      <c r="C147" s="10">
        <v>162</v>
      </c>
      <c r="D147" s="9" t="s">
        <v>1516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1582</v>
      </c>
    </row>
    <row r="148" spans="2:24" ht="13.8" x14ac:dyDescent="0.2">
      <c r="B148" s="8">
        <f t="shared" si="14"/>
        <v>163</v>
      </c>
      <c r="C148" s="10">
        <v>163</v>
      </c>
      <c r="D148" s="9" t="s">
        <v>1269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1583</v>
      </c>
    </row>
    <row r="149" spans="2:24" ht="13.8" x14ac:dyDescent="0.2">
      <c r="B149" s="8">
        <f t="shared" si="14"/>
        <v>164</v>
      </c>
      <c r="C149" s="10">
        <v>164</v>
      </c>
      <c r="D149" s="9" t="s">
        <v>1517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1584</v>
      </c>
    </row>
    <row r="150" spans="2:24" ht="13.8" x14ac:dyDescent="0.2">
      <c r="B150" s="8">
        <f t="shared" si="14"/>
        <v>165</v>
      </c>
      <c r="C150" s="10">
        <v>165</v>
      </c>
      <c r="D150" s="9" t="s">
        <v>1518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1585</v>
      </c>
    </row>
    <row r="151" spans="2:24" ht="13.8" x14ac:dyDescent="0.2">
      <c r="B151" s="8">
        <f t="shared" si="14"/>
        <v>166</v>
      </c>
      <c r="C151" s="10">
        <v>166</v>
      </c>
      <c r="D151" s="9" t="s">
        <v>1519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1586</v>
      </c>
    </row>
    <row r="152" spans="2:24" ht="13.8" x14ac:dyDescent="0.2">
      <c r="B152" s="8">
        <f t="shared" si="14"/>
        <v>167</v>
      </c>
      <c r="C152" s="10">
        <v>167</v>
      </c>
      <c r="D152" s="9" t="s">
        <v>1520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1587</v>
      </c>
    </row>
    <row r="153" spans="2:24" ht="13.8" x14ac:dyDescent="0.2">
      <c r="B153" s="8">
        <f t="shared" si="14"/>
        <v>168</v>
      </c>
      <c r="C153" s="10">
        <v>168</v>
      </c>
      <c r="D153" s="9" t="s">
        <v>1521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1588</v>
      </c>
    </row>
    <row r="154" spans="2:24" ht="13.8" x14ac:dyDescent="0.2">
      <c r="B154" s="8">
        <f t="shared" si="14"/>
        <v>169</v>
      </c>
      <c r="C154" s="10">
        <v>169</v>
      </c>
      <c r="D154" s="9" t="s">
        <v>1522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1589</v>
      </c>
    </row>
    <row r="155" spans="2:24" ht="13.8" x14ac:dyDescent="0.2">
      <c r="B155" s="8">
        <f t="shared" si="14"/>
        <v>170</v>
      </c>
      <c r="C155" s="10">
        <v>170</v>
      </c>
      <c r="D155" s="9" t="s">
        <v>1523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1590</v>
      </c>
    </row>
    <row r="156" spans="2:24" ht="13.8" x14ac:dyDescent="0.2">
      <c r="B156" s="8">
        <f t="shared" si="14"/>
        <v>171</v>
      </c>
      <c r="C156" s="10">
        <v>171</v>
      </c>
      <c r="D156" s="9" t="s">
        <v>1524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1591</v>
      </c>
    </row>
    <row r="157" spans="2:24" ht="13.8" x14ac:dyDescent="0.2">
      <c r="B157" s="8">
        <f t="shared" si="14"/>
        <v>172</v>
      </c>
      <c r="C157" s="10">
        <v>172</v>
      </c>
      <c r="D157" s="9" t="s">
        <v>1525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1592</v>
      </c>
    </row>
    <row r="158" spans="2:24" ht="13.8" x14ac:dyDescent="0.2">
      <c r="B158" s="8">
        <f t="shared" si="14"/>
        <v>173</v>
      </c>
      <c r="C158" s="10">
        <v>173</v>
      </c>
      <c r="D158" s="9" t="s">
        <v>1526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1915</v>
      </c>
    </row>
    <row r="159" spans="2:24" ht="13.8" x14ac:dyDescent="0.2">
      <c r="B159" s="8">
        <f t="shared" si="14"/>
        <v>174</v>
      </c>
      <c r="C159" s="10">
        <v>174</v>
      </c>
      <c r="D159" s="9" t="s">
        <v>1527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1593</v>
      </c>
    </row>
    <row r="160" spans="2:24" ht="13.8" x14ac:dyDescent="0.2">
      <c r="B160" s="8">
        <f t="shared" si="14"/>
        <v>175</v>
      </c>
      <c r="C160" s="10">
        <v>175</v>
      </c>
      <c r="D160" s="9" t="s">
        <v>1528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1916</v>
      </c>
    </row>
    <row r="161" spans="2:24" ht="13.8" x14ac:dyDescent="0.2">
      <c r="B161" s="8">
        <f t="shared" si="14"/>
        <v>176</v>
      </c>
      <c r="C161" s="10">
        <v>176</v>
      </c>
      <c r="D161" s="9" t="s">
        <v>1529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1917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1674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1918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1639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1594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1640</v>
      </c>
    </row>
    <row r="15" spans="2:24" ht="13.8" x14ac:dyDescent="0.2">
      <c r="B15" s="8">
        <f t="shared" si="4"/>
        <v>10</v>
      </c>
      <c r="C15" s="10">
        <v>10</v>
      </c>
      <c r="D15" s="13" t="s">
        <v>1595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1641</v>
      </c>
    </row>
    <row r="16" spans="2:24" ht="13.8" x14ac:dyDescent="0.2">
      <c r="B16" s="8">
        <f t="shared" si="4"/>
        <v>11</v>
      </c>
      <c r="C16" s="10">
        <v>11</v>
      </c>
      <c r="D16" s="13" t="s">
        <v>1398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1642</v>
      </c>
    </row>
    <row r="17" spans="2:24" ht="13.8" x14ac:dyDescent="0.2">
      <c r="B17" s="8">
        <f t="shared" si="4"/>
        <v>12</v>
      </c>
      <c r="C17" s="10">
        <v>12</v>
      </c>
      <c r="D17" s="13" t="s">
        <v>1335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1160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1596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1265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1598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1599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1643</v>
      </c>
    </row>
    <row r="27" spans="2:24" ht="13.8" x14ac:dyDescent="0.2">
      <c r="B27" s="8">
        <f t="shared" si="4"/>
        <v>22</v>
      </c>
      <c r="C27" s="10">
        <v>22</v>
      </c>
      <c r="D27" s="13" t="s">
        <v>1832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2011</v>
      </c>
    </row>
    <row r="28" spans="2:24" ht="13.8" x14ac:dyDescent="0.2">
      <c r="B28" s="8">
        <f t="shared" si="4"/>
        <v>23</v>
      </c>
      <c r="C28" s="10">
        <v>23</v>
      </c>
      <c r="D28" s="13" t="s">
        <v>1600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1644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1601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1645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1646</v>
      </c>
    </row>
    <row r="35" spans="2:24" ht="13.8" x14ac:dyDescent="0.2">
      <c r="B35" s="8">
        <f t="shared" si="4"/>
        <v>30</v>
      </c>
      <c r="C35" s="10">
        <v>30</v>
      </c>
      <c r="D35" s="13" t="s">
        <v>1603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1647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2012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1648</v>
      </c>
    </row>
    <row r="39" spans="2:24" ht="13.8" x14ac:dyDescent="0.2">
      <c r="B39" s="8">
        <f t="shared" si="4"/>
        <v>34</v>
      </c>
      <c r="C39" s="10">
        <v>34</v>
      </c>
      <c r="D39" s="13" t="s">
        <v>1604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1605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1649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1606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1650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1607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1608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1651</v>
      </c>
    </row>
    <row r="47" spans="2:24" ht="13.8" x14ac:dyDescent="0.2">
      <c r="B47" s="8">
        <f t="shared" si="4"/>
        <v>42</v>
      </c>
      <c r="C47" s="10">
        <v>42</v>
      </c>
      <c r="D47" s="13" t="s">
        <v>1609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1652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1610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1919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1611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1653</v>
      </c>
    </row>
    <row r="53" spans="2:24" ht="13.8" x14ac:dyDescent="0.2">
      <c r="B53" s="8">
        <f t="shared" si="4"/>
        <v>48</v>
      </c>
      <c r="C53" s="10">
        <v>48</v>
      </c>
      <c r="D53" s="13" t="s">
        <v>1612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1613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1238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1614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1615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1920</v>
      </c>
    </row>
    <row r="60" spans="2:24" ht="13.8" x14ac:dyDescent="0.2">
      <c r="B60" s="8">
        <f t="shared" si="4"/>
        <v>55</v>
      </c>
      <c r="C60" s="10">
        <v>55</v>
      </c>
      <c r="D60" s="13" t="s">
        <v>1616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1921</v>
      </c>
    </row>
    <row r="61" spans="2:24" ht="13.8" x14ac:dyDescent="0.2">
      <c r="B61" s="8">
        <f t="shared" si="4"/>
        <v>56</v>
      </c>
      <c r="C61" s="10">
        <v>56</v>
      </c>
      <c r="D61" s="13" t="s">
        <v>1617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1654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1996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1170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1996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1277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1618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1655</v>
      </c>
    </row>
    <row r="68" spans="2:24" ht="13.8" x14ac:dyDescent="0.2">
      <c r="B68" s="8">
        <f t="shared" si="4"/>
        <v>63</v>
      </c>
      <c r="C68" s="10">
        <v>63</v>
      </c>
      <c r="D68" s="9" t="s">
        <v>1479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1656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1619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1657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1829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1658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1659</v>
      </c>
    </row>
    <row r="105" spans="2:24" ht="13.8" x14ac:dyDescent="0.2">
      <c r="B105" s="8">
        <f t="shared" si="8"/>
        <v>111</v>
      </c>
      <c r="C105" s="10">
        <v>111</v>
      </c>
      <c r="D105" s="14" t="s">
        <v>1621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1660</v>
      </c>
    </row>
    <row r="106" spans="2:24" ht="13.8" x14ac:dyDescent="0.2">
      <c r="B106" s="8">
        <f t="shared" si="8"/>
        <v>112</v>
      </c>
      <c r="C106" s="10">
        <v>112</v>
      </c>
      <c r="D106" s="9" t="s">
        <v>1622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1661</v>
      </c>
    </row>
    <row r="107" spans="2:24" ht="13.8" x14ac:dyDescent="0.2">
      <c r="B107" s="8">
        <f t="shared" si="8"/>
        <v>113</v>
      </c>
      <c r="C107" s="10">
        <v>113</v>
      </c>
      <c r="D107" s="9" t="s">
        <v>2005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1662</v>
      </c>
    </row>
    <row r="108" spans="2:24" ht="13.8" x14ac:dyDescent="0.2">
      <c r="B108" s="8">
        <f t="shared" si="8"/>
        <v>114</v>
      </c>
      <c r="C108" s="10">
        <v>114</v>
      </c>
      <c r="D108" s="9" t="s">
        <v>1623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1663</v>
      </c>
    </row>
    <row r="109" spans="2:24" ht="13.8" x14ac:dyDescent="0.2">
      <c r="B109" s="8">
        <f t="shared" si="8"/>
        <v>115</v>
      </c>
      <c r="C109" s="10">
        <v>115</v>
      </c>
      <c r="D109" s="9" t="s">
        <v>1269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1095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1922</v>
      </c>
    </row>
    <row r="111" spans="2:24" ht="13.8" x14ac:dyDescent="0.2">
      <c r="B111" s="8">
        <f t="shared" si="8"/>
        <v>117</v>
      </c>
      <c r="C111" s="10">
        <v>117</v>
      </c>
      <c r="D111" s="9" t="s">
        <v>1624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1625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1664</v>
      </c>
    </row>
    <row r="113" spans="2:24" ht="13.8" x14ac:dyDescent="0.2">
      <c r="B113" s="8">
        <f t="shared" si="8"/>
        <v>119</v>
      </c>
      <c r="C113" s="10">
        <v>119</v>
      </c>
      <c r="D113" s="9" t="s">
        <v>2013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2013</v>
      </c>
    </row>
    <row r="114" spans="2:24" ht="13.8" x14ac:dyDescent="0.2">
      <c r="B114" s="8">
        <f t="shared" si="8"/>
        <v>120</v>
      </c>
      <c r="C114" s="10">
        <v>120</v>
      </c>
      <c r="D114" s="9" t="s">
        <v>1276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1665</v>
      </c>
    </row>
    <row r="116" spans="2:24" ht="13.8" x14ac:dyDescent="0.2">
      <c r="B116" s="8">
        <f t="shared" si="8"/>
        <v>122</v>
      </c>
      <c r="C116" s="10">
        <v>122</v>
      </c>
      <c r="D116" s="9" t="s">
        <v>1627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1666</v>
      </c>
    </row>
    <row r="117" spans="2:24" ht="13.8" x14ac:dyDescent="0.2">
      <c r="B117" s="8">
        <f t="shared" si="8"/>
        <v>123</v>
      </c>
      <c r="C117" s="10">
        <v>123</v>
      </c>
      <c r="D117" s="9" t="s">
        <v>2014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2014</v>
      </c>
    </row>
    <row r="118" spans="2:24" ht="13.8" x14ac:dyDescent="0.2">
      <c r="B118" s="8">
        <f t="shared" si="8"/>
        <v>124</v>
      </c>
      <c r="C118" s="10">
        <v>124</v>
      </c>
      <c r="D118" s="9" t="s">
        <v>1175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1923</v>
      </c>
    </row>
    <row r="119" spans="2:24" ht="13.8" x14ac:dyDescent="0.2">
      <c r="B119" s="8">
        <f t="shared" si="8"/>
        <v>125</v>
      </c>
      <c r="C119" s="10">
        <v>125</v>
      </c>
      <c r="D119" s="9" t="s">
        <v>1628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1628</v>
      </c>
    </row>
    <row r="120" spans="2:24" ht="13.8" x14ac:dyDescent="0.2">
      <c r="B120" s="8">
        <f t="shared" si="8"/>
        <v>126</v>
      </c>
      <c r="C120" s="10">
        <v>126</v>
      </c>
      <c r="D120" s="9" t="s">
        <v>1629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1667</v>
      </c>
    </row>
    <row r="121" spans="2:24" ht="13.8" x14ac:dyDescent="0.2">
      <c r="B121" s="8">
        <f t="shared" si="8"/>
        <v>127</v>
      </c>
      <c r="C121" s="10">
        <v>127</v>
      </c>
      <c r="D121" s="9" t="s">
        <v>1630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1631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1668</v>
      </c>
    </row>
    <row r="123" spans="2:24" ht="13.8" x14ac:dyDescent="0.2">
      <c r="B123" s="8">
        <f t="shared" si="8"/>
        <v>129</v>
      </c>
      <c r="C123" s="10">
        <v>129</v>
      </c>
      <c r="D123" s="9" t="s">
        <v>1632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1669</v>
      </c>
    </row>
    <row r="124" spans="2:24" ht="13.8" x14ac:dyDescent="0.2">
      <c r="B124" s="8">
        <f t="shared" si="8"/>
        <v>130</v>
      </c>
      <c r="C124" s="10">
        <v>130</v>
      </c>
      <c r="D124" s="9" t="s">
        <v>1633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1670</v>
      </c>
    </row>
    <row r="125" spans="2:24" ht="13.8" x14ac:dyDescent="0.2">
      <c r="B125" s="8">
        <f t="shared" si="8"/>
        <v>131</v>
      </c>
      <c r="C125" s="10">
        <v>131</v>
      </c>
      <c r="D125" s="9" t="s">
        <v>1634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1671</v>
      </c>
    </row>
    <row r="126" spans="2:24" ht="13.8" x14ac:dyDescent="0.2">
      <c r="B126" s="8">
        <f t="shared" si="8"/>
        <v>132</v>
      </c>
      <c r="C126" s="10">
        <v>132</v>
      </c>
      <c r="D126" s="9" t="s">
        <v>1635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1672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1636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1637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1638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1673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1</v>
      </c>
      <c r="F2" s="5">
        <f t="shared" ref="F2:L2" si="0">SUM(F4:F104)</f>
        <v>3</v>
      </c>
      <c r="G2" s="5">
        <f t="shared" si="0"/>
        <v>3</v>
      </c>
      <c r="H2" s="5">
        <f t="shared" si="0"/>
        <v>0</v>
      </c>
      <c r="I2" s="5">
        <f t="shared" si="0"/>
        <v>0</v>
      </c>
      <c r="J2" s="6">
        <f t="shared" si="0"/>
        <v>3</v>
      </c>
      <c r="K2" s="12">
        <f>((G2-H2-I2-J2)+(H2*2)+(I2*3)+(J2*4))</f>
        <v>12</v>
      </c>
      <c r="L2" s="7">
        <f t="shared" si="0"/>
        <v>3</v>
      </c>
      <c r="M2" s="11" t="str">
        <f t="shared" ref="M2:M4" si="1">IFERROR(IF((G2+P2+Q2)/(F2+P2+Q2+S2)=1,"1.00",(G2+P2+Q2)/(F2+P2+Q2+S2)),0)</f>
        <v>1.00</v>
      </c>
      <c r="N2" s="11">
        <f>IF(F2=0,IF(M2="1.00","1.000",M2),SUM(ROUND(K2/F2,3),M2))</f>
        <v>4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951</v>
      </c>
    </row>
    <row r="8" spans="2:24" ht="13.8" x14ac:dyDescent="0.2">
      <c r="B8" s="8">
        <f t="shared" si="3"/>
        <v>3</v>
      </c>
      <c r="C8" s="10">
        <v>3</v>
      </c>
      <c r="D8" s="13" t="s">
        <v>905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926</v>
      </c>
    </row>
    <row r="9" spans="2:24" ht="13.8" x14ac:dyDescent="0.2">
      <c r="B9" s="8">
        <f t="shared" si="3"/>
        <v>4</v>
      </c>
      <c r="C9" s="10">
        <v>4</v>
      </c>
      <c r="D9" s="9" t="s">
        <v>906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927</v>
      </c>
    </row>
    <row r="10" spans="2:24" ht="13.8" x14ac:dyDescent="0.2">
      <c r="B10" s="8">
        <f t="shared" si="3"/>
        <v>5</v>
      </c>
      <c r="C10" s="10">
        <v>5</v>
      </c>
      <c r="D10" s="13" t="s">
        <v>1625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1016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1017</v>
      </c>
    </row>
    <row r="12" spans="2:24" ht="13.8" x14ac:dyDescent="0.2">
      <c r="B12" s="8">
        <f t="shared" si="3"/>
        <v>7</v>
      </c>
      <c r="C12" s="10">
        <v>7</v>
      </c>
      <c r="D12" s="13" t="s">
        <v>907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909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928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929</v>
      </c>
    </row>
    <row r="22" spans="2:24" ht="13.8" x14ac:dyDescent="0.2">
      <c r="B22" s="8">
        <f t="shared" si="3"/>
        <v>17</v>
      </c>
      <c r="C22" s="10">
        <v>17</v>
      </c>
      <c r="D22" s="13" t="s">
        <v>2005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1213</v>
      </c>
    </row>
    <row r="24" spans="2:24" ht="13.8" x14ac:dyDescent="0.2">
      <c r="B24" s="8">
        <f t="shared" si="3"/>
        <v>19</v>
      </c>
      <c r="C24" s="10">
        <v>19</v>
      </c>
      <c r="D24" s="13" t="s">
        <v>911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930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931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932</v>
      </c>
    </row>
    <row r="32" spans="2:24" ht="13.8" x14ac:dyDescent="0.2">
      <c r="B32" s="8">
        <f t="shared" si="3"/>
        <v>27</v>
      </c>
      <c r="C32" s="10">
        <v>27</v>
      </c>
      <c r="D32" s="13" t="s">
        <v>915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1778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1224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1225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1215</v>
      </c>
    </row>
    <row r="37" spans="2:24" ht="13.8" x14ac:dyDescent="0.2">
      <c r="B37" s="8">
        <f t="shared" si="3"/>
        <v>32</v>
      </c>
      <c r="C37" s="10">
        <v>32</v>
      </c>
      <c r="D37" s="13" t="s">
        <v>1216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1217</v>
      </c>
    </row>
    <row r="38" spans="2:24" ht="13.8" x14ac:dyDescent="0.2">
      <c r="B38" s="8">
        <f t="shared" si="3"/>
        <v>33</v>
      </c>
      <c r="C38" s="10">
        <v>33</v>
      </c>
      <c r="D38" s="13" t="s">
        <v>1222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1223</v>
      </c>
    </row>
    <row r="39" spans="2:24" ht="13.8" x14ac:dyDescent="0.2">
      <c r="B39" s="8">
        <f t="shared" si="3"/>
        <v>34</v>
      </c>
      <c r="C39" s="10">
        <v>34</v>
      </c>
      <c r="D39" s="13" t="s">
        <v>1759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933</v>
      </c>
    </row>
    <row r="41" spans="2:24" ht="13.8" x14ac:dyDescent="0.2">
      <c r="B41" s="8">
        <f t="shared" si="3"/>
        <v>36</v>
      </c>
      <c r="C41" s="10">
        <v>36</v>
      </c>
      <c r="D41" s="13" t="s">
        <v>1228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1229</v>
      </c>
    </row>
    <row r="42" spans="2:24" ht="13.8" x14ac:dyDescent="0.2">
      <c r="B42" s="8">
        <f t="shared" si="3"/>
        <v>37</v>
      </c>
      <c r="C42" s="10">
        <v>37</v>
      </c>
      <c r="D42" s="13" t="s">
        <v>917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934</v>
      </c>
    </row>
    <row r="45" spans="2:24" ht="13.8" x14ac:dyDescent="0.2">
      <c r="B45" s="8">
        <f t="shared" si="3"/>
        <v>40</v>
      </c>
      <c r="C45" s="10">
        <v>40</v>
      </c>
      <c r="D45" s="13" t="s">
        <v>2003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952</v>
      </c>
    </row>
    <row r="47" spans="2:24" ht="13.8" x14ac:dyDescent="0.2">
      <c r="B47" s="8">
        <f t="shared" si="3"/>
        <v>42</v>
      </c>
      <c r="C47" s="10">
        <v>42</v>
      </c>
      <c r="D47" s="9" t="s">
        <v>1220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1221</v>
      </c>
    </row>
    <row r="48" spans="2:24" ht="13.8" x14ac:dyDescent="0.2">
      <c r="B48" s="8">
        <f t="shared" si="3"/>
        <v>43</v>
      </c>
      <c r="C48" s="10">
        <v>43</v>
      </c>
      <c r="D48" s="13" t="s">
        <v>919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935</v>
      </c>
    </row>
    <row r="49" spans="2:24" ht="13.8" x14ac:dyDescent="0.2">
      <c r="B49" s="8">
        <f t="shared" si="3"/>
        <v>44</v>
      </c>
      <c r="C49" s="10">
        <v>44</v>
      </c>
      <c r="D49" s="13" t="s">
        <v>1157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936</v>
      </c>
    </row>
    <row r="50" spans="2:24" ht="13.8" x14ac:dyDescent="0.2">
      <c r="B50" s="8">
        <f t="shared" si="3"/>
        <v>45</v>
      </c>
      <c r="C50" s="10">
        <v>45</v>
      </c>
      <c r="D50" s="13" t="s">
        <v>1218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1219</v>
      </c>
    </row>
    <row r="51" spans="2:24" ht="13.8" x14ac:dyDescent="0.2">
      <c r="B51" s="8">
        <f t="shared" si="3"/>
        <v>46</v>
      </c>
      <c r="C51" s="10">
        <v>46</v>
      </c>
      <c r="D51" s="13" t="s">
        <v>920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937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1991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1992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1230</v>
      </c>
      <c r="E58" s="11" t="str">
        <f t="shared" si="4"/>
        <v>1.00</v>
      </c>
      <c r="F58" s="5">
        <v>2</v>
      </c>
      <c r="G58" s="5">
        <v>2</v>
      </c>
      <c r="H58" s="5">
        <v>0</v>
      </c>
      <c r="I58" s="5">
        <v>0</v>
      </c>
      <c r="J58" s="6">
        <v>2</v>
      </c>
      <c r="K58" s="12">
        <f t="shared" si="8"/>
        <v>8</v>
      </c>
      <c r="L58" s="7">
        <v>2</v>
      </c>
      <c r="M58" s="11" t="str">
        <f t="shared" si="9"/>
        <v>1.00</v>
      </c>
      <c r="N58" s="11">
        <f t="shared" si="10"/>
        <v>4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1231</v>
      </c>
    </row>
    <row r="59" spans="2:24" ht="13.8" x14ac:dyDescent="0.2">
      <c r="B59" s="8">
        <f t="shared" si="3"/>
        <v>54</v>
      </c>
      <c r="C59" s="10">
        <v>54</v>
      </c>
      <c r="D59" s="13" t="s">
        <v>954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938</v>
      </c>
    </row>
    <row r="60" spans="2:24" ht="13.8" x14ac:dyDescent="0.2">
      <c r="B60" s="8">
        <f t="shared" si="3"/>
        <v>55</v>
      </c>
      <c r="C60" s="10">
        <v>55</v>
      </c>
      <c r="D60" s="13" t="s">
        <v>921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939</v>
      </c>
    </row>
    <row r="61" spans="2:24" ht="13.8" x14ac:dyDescent="0.2">
      <c r="B61" s="8">
        <f t="shared" si="3"/>
        <v>56</v>
      </c>
      <c r="C61" s="10">
        <v>56</v>
      </c>
      <c r="D61" s="13" t="s">
        <v>1421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940</v>
      </c>
    </row>
    <row r="63" spans="2:24" ht="13.8" x14ac:dyDescent="0.2">
      <c r="B63" s="8">
        <f t="shared" si="3"/>
        <v>58</v>
      </c>
      <c r="C63" s="10">
        <v>58</v>
      </c>
      <c r="D63" s="13" t="s">
        <v>923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941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1969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1226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1227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1.00</v>
      </c>
      <c r="F71" s="5">
        <v>1</v>
      </c>
      <c r="G71" s="5">
        <v>1</v>
      </c>
      <c r="H71" s="5">
        <v>0</v>
      </c>
      <c r="I71" s="5">
        <v>0</v>
      </c>
      <c r="J71" s="6">
        <v>1</v>
      </c>
      <c r="K71" s="12">
        <f t="shared" si="8"/>
        <v>4</v>
      </c>
      <c r="L71" s="7">
        <v>1</v>
      </c>
      <c r="M71" s="11" t="str">
        <f t="shared" si="9"/>
        <v>1.00</v>
      </c>
      <c r="N71" s="11">
        <f t="shared" si="10"/>
        <v>4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924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1409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1232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925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1233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1234</v>
      </c>
    </row>
    <row r="105" spans="2:24" ht="13.8" x14ac:dyDescent="0.2">
      <c r="B105" s="8">
        <f t="shared" si="12"/>
        <v>111</v>
      </c>
      <c r="C105" s="10">
        <v>111</v>
      </c>
      <c r="D105" s="14" t="s">
        <v>1951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1965</v>
      </c>
    </row>
    <row r="106" spans="2:24" ht="13.8" x14ac:dyDescent="0.2">
      <c r="B106" s="8">
        <f t="shared" si="12"/>
        <v>112</v>
      </c>
      <c r="C106" s="10">
        <v>112</v>
      </c>
      <c r="D106" s="9" t="s">
        <v>1952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1966</v>
      </c>
    </row>
    <row r="107" spans="2:24" ht="13.8" x14ac:dyDescent="0.2">
      <c r="B107" s="8">
        <f t="shared" si="12"/>
        <v>113</v>
      </c>
      <c r="C107" s="10">
        <v>113</v>
      </c>
      <c r="D107" s="9" t="s">
        <v>1953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1967</v>
      </c>
    </row>
    <row r="108" spans="2:24" ht="13.8" x14ac:dyDescent="0.2">
      <c r="B108" s="8">
        <f t="shared" si="12"/>
        <v>114</v>
      </c>
      <c r="C108" s="10">
        <v>114</v>
      </c>
      <c r="D108" s="9" t="s">
        <v>1954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942</v>
      </c>
    </row>
    <row r="109" spans="2:24" ht="13.8" x14ac:dyDescent="0.2">
      <c r="B109" s="8">
        <f t="shared" si="12"/>
        <v>115</v>
      </c>
      <c r="C109" s="10">
        <v>115</v>
      </c>
      <c r="D109" s="9" t="s">
        <v>1955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943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1355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944</v>
      </c>
    </row>
    <row r="111" spans="2:24" ht="13.8" x14ac:dyDescent="0.2">
      <c r="B111" s="8">
        <f t="shared" si="17"/>
        <v>123</v>
      </c>
      <c r="C111" s="10">
        <v>123</v>
      </c>
      <c r="D111" s="9" t="s">
        <v>1956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945</v>
      </c>
    </row>
    <row r="112" spans="2:24" ht="13.8" x14ac:dyDescent="0.2">
      <c r="B112" s="8">
        <f t="shared" si="17"/>
        <v>124</v>
      </c>
      <c r="C112" s="10">
        <v>124</v>
      </c>
      <c r="D112" s="9" t="s">
        <v>1747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946</v>
      </c>
    </row>
    <row r="113" spans="2:24" ht="13.8" x14ac:dyDescent="0.2">
      <c r="B113" s="8">
        <f t="shared" si="17"/>
        <v>125</v>
      </c>
      <c r="C113" s="10">
        <v>125</v>
      </c>
      <c r="D113" s="9" t="s">
        <v>1483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947</v>
      </c>
    </row>
    <row r="114" spans="2:24" ht="13.8" x14ac:dyDescent="0.2">
      <c r="B114" s="8">
        <f t="shared" si="17"/>
        <v>126</v>
      </c>
      <c r="C114" s="10">
        <v>126</v>
      </c>
      <c r="D114" s="9" t="s">
        <v>1957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948</v>
      </c>
    </row>
    <row r="115" spans="2:24" ht="13.8" x14ac:dyDescent="0.2">
      <c r="B115" s="8">
        <f t="shared" si="17"/>
        <v>127</v>
      </c>
      <c r="C115" s="10">
        <v>127</v>
      </c>
      <c r="D115" s="9" t="s">
        <v>1693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949</v>
      </c>
    </row>
    <row r="116" spans="2:24" ht="13.8" x14ac:dyDescent="0.2">
      <c r="B116" s="8">
        <f t="shared" si="17"/>
        <v>128</v>
      </c>
      <c r="C116" s="10">
        <v>128</v>
      </c>
      <c r="D116" s="9" t="s">
        <v>1958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950</v>
      </c>
    </row>
    <row r="117" spans="2:24" ht="13.8" x14ac:dyDescent="0.2">
      <c r="B117" s="8">
        <f t="shared" si="17"/>
        <v>130</v>
      </c>
      <c r="C117" s="10">
        <v>130</v>
      </c>
      <c r="D117" s="9" t="s">
        <v>1959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1968</v>
      </c>
    </row>
    <row r="118" spans="2:24" ht="13.8" x14ac:dyDescent="0.2">
      <c r="B118" s="8">
        <f t="shared" si="17"/>
        <v>137</v>
      </c>
      <c r="C118" s="10">
        <v>137</v>
      </c>
      <c r="D118" s="9" t="s">
        <v>1960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1961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1969</v>
      </c>
    </row>
    <row r="120" spans="2:24" ht="13.8" x14ac:dyDescent="0.2">
      <c r="B120" s="8">
        <f t="shared" si="17"/>
        <v>165</v>
      </c>
      <c r="C120" s="10">
        <v>165</v>
      </c>
      <c r="D120" s="9" t="s">
        <v>1962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1970</v>
      </c>
    </row>
    <row r="121" spans="2:24" ht="13.8" x14ac:dyDescent="0.2">
      <c r="B121" s="8">
        <f t="shared" si="17"/>
        <v>168</v>
      </c>
      <c r="C121" s="10">
        <v>168</v>
      </c>
      <c r="D121" s="9" t="s">
        <v>1963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1971</v>
      </c>
    </row>
    <row r="122" spans="2:24" ht="13.8" x14ac:dyDescent="0.2">
      <c r="B122" s="8">
        <f t="shared" si="17"/>
        <v>196</v>
      </c>
      <c r="C122" s="10">
        <v>196</v>
      </c>
      <c r="D122" s="9" t="s">
        <v>1964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1972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0.24292578750667379</v>
      </c>
      <c r="F2" s="5">
        <f t="shared" ref="F2:L2" si="0">SUM(F4:F104)</f>
        <v>1873</v>
      </c>
      <c r="G2" s="5">
        <f t="shared" si="0"/>
        <v>455</v>
      </c>
      <c r="H2" s="5">
        <f t="shared" si="0"/>
        <v>90</v>
      </c>
      <c r="I2" s="5">
        <f t="shared" si="0"/>
        <v>5</v>
      </c>
      <c r="J2" s="6">
        <f t="shared" si="0"/>
        <v>28</v>
      </c>
      <c r="K2" s="12">
        <f t="shared" ref="K2:K67" si="1">((G2-H2-I2-J2)+(H2*2)+(I2*3)+(J2*4))</f>
        <v>639</v>
      </c>
      <c r="L2" s="7">
        <f t="shared" si="0"/>
        <v>166</v>
      </c>
      <c r="M2" s="11">
        <f t="shared" ref="M2:M4" si="2">IFERROR(IF((G2+P2+Q2)/(F2+P2+Q2+S2)=1,"1.00",(G2+P2+Q2)/(F2+P2+Q2+S2)),0)</f>
        <v>0.30204280155642022</v>
      </c>
      <c r="N2" s="11">
        <f>IF(F2=0,IF(M2="1.00","1.000",M2),SUM(ROUND(K2/F2,3),M2))</f>
        <v>0.64304280155642024</v>
      </c>
      <c r="O2" s="5">
        <f>SUM(O4:O104)</f>
        <v>363</v>
      </c>
      <c r="P2" s="5">
        <f>SUM(P4:P104)</f>
        <v>153</v>
      </c>
      <c r="Q2" s="5">
        <f>SUM(Q4:Q104)</f>
        <v>13</v>
      </c>
      <c r="R2" s="5">
        <f>SUM(R4:R104)</f>
        <v>42</v>
      </c>
      <c r="S2" s="5">
        <f>SUM(S4:S104)</f>
        <v>17</v>
      </c>
      <c r="T2" s="5">
        <f t="shared" ref="T2:V2" si="3">SUM(T4:T104)</f>
        <v>20</v>
      </c>
      <c r="U2" s="5">
        <f t="shared" si="3"/>
        <v>5</v>
      </c>
      <c r="V2" s="5">
        <f t="shared" si="3"/>
        <v>42</v>
      </c>
      <c r="W2" s="20">
        <f>IFERROR(CalcRC27(F2,G2,K2,O2,P2,Q2,R2,S2,T2,U2,V2),"-")</f>
        <v>3.4376548418816544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>
        <f t="shared" ref="E4:E68" si="4">IFERROR(IF(G4/F4=1,"1.00",G4/F4),"---")</f>
        <v>8.3333333333333329E-2</v>
      </c>
      <c r="F4" s="5">
        <v>24</v>
      </c>
      <c r="G4" s="5">
        <v>2</v>
      </c>
      <c r="H4" s="5">
        <v>1</v>
      </c>
      <c r="I4" s="5">
        <v>0</v>
      </c>
      <c r="J4" s="6">
        <v>0</v>
      </c>
      <c r="K4" s="12">
        <v>3</v>
      </c>
      <c r="L4" s="7">
        <v>1</v>
      </c>
      <c r="M4" s="11">
        <f t="shared" si="2"/>
        <v>0.12</v>
      </c>
      <c r="N4" s="11">
        <f>IF(F4=0,IF(M4="1.00","1.000",M4),SUM(ROUND(K4/F4,3),M4))</f>
        <v>0.245</v>
      </c>
      <c r="O4" s="20">
        <v>4</v>
      </c>
      <c r="P4" s="21">
        <v>1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2</v>
      </c>
      <c r="W4" s="62">
        <f>IFERROR(CalcRC27(F4,G4,K4,O4,P4,Q4,R4,S4,T4,U4,V4),"-")</f>
        <v>-1.4798000000000016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>
        <f t="shared" si="4"/>
        <v>0.23333333333333334</v>
      </c>
      <c r="F5" s="5">
        <v>90</v>
      </c>
      <c r="G5" s="5">
        <v>21</v>
      </c>
      <c r="H5" s="5">
        <v>4</v>
      </c>
      <c r="I5" s="5">
        <v>0</v>
      </c>
      <c r="J5" s="6">
        <v>0</v>
      </c>
      <c r="K5" s="12">
        <v>24</v>
      </c>
      <c r="L5" s="7">
        <v>8</v>
      </c>
      <c r="M5" s="11">
        <f t="shared" ref="M5:M6" si="6">IFERROR(IF((G5+P5+Q5)/(F5+P5+Q5+S5)=1,"1.00",(G5+P5+Q5)/(F5+P5+Q5+S5)),0)</f>
        <v>0.25806451612903225</v>
      </c>
      <c r="N5" s="11">
        <f t="shared" ref="N5:N68" si="7">IF(F5=0,IF(M5="1.00","1.000",M5),SUM(ROUND(K5/F5,3),M5))</f>
        <v>0.52506451612903227</v>
      </c>
      <c r="O5" s="20">
        <v>7</v>
      </c>
      <c r="P5" s="21">
        <v>3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3</v>
      </c>
      <c r="W5" s="62">
        <f>IFERROR(CalcRC27(F5,G5,K5,O5,P5,Q5,R5,S5,T5,U5,V5),"-")</f>
        <v>1.8256693548387077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>
        <f t="shared" si="4"/>
        <v>0.359375</v>
      </c>
      <c r="F8" s="5">
        <v>64</v>
      </c>
      <c r="G8" s="5">
        <v>23</v>
      </c>
      <c r="H8" s="5">
        <v>6</v>
      </c>
      <c r="I8" s="5">
        <v>1</v>
      </c>
      <c r="J8" s="6">
        <v>1</v>
      </c>
      <c r="K8" s="12">
        <v>34</v>
      </c>
      <c r="L8" s="7">
        <v>8</v>
      </c>
      <c r="M8" s="11">
        <f t="shared" si="8"/>
        <v>0.42465753424657532</v>
      </c>
      <c r="N8" s="11">
        <f t="shared" si="7"/>
        <v>0.9556575342465754</v>
      </c>
      <c r="O8" s="20">
        <v>13</v>
      </c>
      <c r="P8" s="21">
        <v>7</v>
      </c>
      <c r="Q8" s="21">
        <v>1</v>
      </c>
      <c r="R8" s="22">
        <v>0</v>
      </c>
      <c r="S8" s="22">
        <v>1</v>
      </c>
      <c r="T8" s="20">
        <v>0</v>
      </c>
      <c r="U8" s="20">
        <v>0</v>
      </c>
      <c r="V8" s="20">
        <v>3</v>
      </c>
      <c r="W8" s="62">
        <f>IFERROR(CalcRC27(F8,G8,K8,O8,P8,Q8,R8,S8,T8,U8,V8),"-")</f>
        <v>7.9413735159817325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1676</v>
      </c>
      <c r="E9" s="11">
        <f t="shared" si="4"/>
        <v>0.26282051282051283</v>
      </c>
      <c r="F9" s="5">
        <v>156</v>
      </c>
      <c r="G9" s="5">
        <v>41</v>
      </c>
      <c r="H9" s="5">
        <v>9</v>
      </c>
      <c r="I9" s="5">
        <v>0</v>
      </c>
      <c r="J9" s="6">
        <v>0</v>
      </c>
      <c r="K9" s="12">
        <v>49</v>
      </c>
      <c r="L9" s="7">
        <v>8</v>
      </c>
      <c r="M9" s="11">
        <f t="shared" si="8"/>
        <v>0.29696969696969699</v>
      </c>
      <c r="N9" s="11">
        <f t="shared" si="7"/>
        <v>0.61096969696969694</v>
      </c>
      <c r="O9" s="20">
        <v>22</v>
      </c>
      <c r="P9" s="21">
        <v>8</v>
      </c>
      <c r="Q9" s="21">
        <v>0</v>
      </c>
      <c r="R9" s="22">
        <v>7</v>
      </c>
      <c r="S9" s="22">
        <v>1</v>
      </c>
      <c r="T9" s="20">
        <v>4</v>
      </c>
      <c r="U9" s="20">
        <v>2</v>
      </c>
      <c r="V9" s="20">
        <v>3</v>
      </c>
      <c r="W9" s="62">
        <f>IFERROR(CalcRC27(F9,G9,K9,O9,P9,Q9,R9,S9,T9,U9,V9),"-")</f>
        <v>3.027320494186045</v>
      </c>
      <c r="X9" s="2" t="s">
        <v>1716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>
        <f t="shared" si="4"/>
        <v>0.25333333333333335</v>
      </c>
      <c r="F10" s="5">
        <v>75</v>
      </c>
      <c r="G10" s="5">
        <v>19</v>
      </c>
      <c r="H10" s="5">
        <v>7</v>
      </c>
      <c r="I10" s="5">
        <v>0</v>
      </c>
      <c r="J10" s="6">
        <v>0</v>
      </c>
      <c r="K10" s="12">
        <v>26</v>
      </c>
      <c r="L10" s="7">
        <v>10</v>
      </c>
      <c r="M10" s="11">
        <f t="shared" si="8"/>
        <v>0.30588235294117649</v>
      </c>
      <c r="N10" s="11">
        <f t="shared" si="7"/>
        <v>0.65288235294117647</v>
      </c>
      <c r="O10" s="20">
        <v>24</v>
      </c>
      <c r="P10" s="21">
        <v>7</v>
      </c>
      <c r="Q10" s="21">
        <v>0</v>
      </c>
      <c r="R10" s="22">
        <v>0</v>
      </c>
      <c r="S10" s="22">
        <v>3</v>
      </c>
      <c r="T10" s="20">
        <v>0</v>
      </c>
      <c r="U10" s="20">
        <v>0</v>
      </c>
      <c r="V10" s="20">
        <v>2</v>
      </c>
      <c r="W10" s="62">
        <f>IFERROR(CalcRC27(F10,G10,K10,O10,P10,Q10,R10,S10,T10,U10,V10),"-")</f>
        <v>3.5634445515911262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1677</v>
      </c>
      <c r="E12" s="11">
        <f t="shared" si="4"/>
        <v>0.23404255319148937</v>
      </c>
      <c r="F12" s="5">
        <v>94</v>
      </c>
      <c r="G12" s="5">
        <v>22</v>
      </c>
      <c r="H12" s="5">
        <v>4</v>
      </c>
      <c r="I12" s="5">
        <v>1</v>
      </c>
      <c r="J12" s="6">
        <v>2</v>
      </c>
      <c r="K12" s="12">
        <v>34</v>
      </c>
      <c r="L12" s="7">
        <v>8</v>
      </c>
      <c r="M12" s="11">
        <f t="shared" si="8"/>
        <v>0.31428571428571428</v>
      </c>
      <c r="N12" s="11">
        <f t="shared" si="7"/>
        <v>0.67628571428571427</v>
      </c>
      <c r="O12" s="20">
        <v>17</v>
      </c>
      <c r="P12" s="21">
        <v>10</v>
      </c>
      <c r="Q12" s="21">
        <v>1</v>
      </c>
      <c r="R12" s="22">
        <v>2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4.2170944683000746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1996</v>
      </c>
      <c r="E13" s="11">
        <f t="shared" si="4"/>
        <v>0.22085889570552147</v>
      </c>
      <c r="F13" s="5">
        <v>163</v>
      </c>
      <c r="G13" s="5">
        <v>36</v>
      </c>
      <c r="H13" s="5">
        <v>7</v>
      </c>
      <c r="I13" s="5">
        <v>0</v>
      </c>
      <c r="J13" s="6">
        <v>1</v>
      </c>
      <c r="K13" s="12">
        <v>45</v>
      </c>
      <c r="L13" s="7">
        <v>9</v>
      </c>
      <c r="M13" s="11">
        <f t="shared" si="8"/>
        <v>0.2824858757062147</v>
      </c>
      <c r="N13" s="11">
        <f t="shared" si="7"/>
        <v>0.55848587570621477</v>
      </c>
      <c r="O13" s="20">
        <v>31</v>
      </c>
      <c r="P13" s="21">
        <v>13</v>
      </c>
      <c r="Q13" s="21">
        <v>1</v>
      </c>
      <c r="R13" s="22">
        <v>5</v>
      </c>
      <c r="S13" s="22">
        <v>0</v>
      </c>
      <c r="T13" s="20">
        <v>0</v>
      </c>
      <c r="U13" s="20">
        <v>1</v>
      </c>
      <c r="V13" s="20">
        <v>5</v>
      </c>
      <c r="W13" s="62">
        <f>IFERROR(CalcRC27(F13,G13,K13,O13,P13,Q13,R13,S13,T13,U13,V13),"-")</f>
        <v>2.2008466316292381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1398</v>
      </c>
      <c r="E15" s="11">
        <f t="shared" si="4"/>
        <v>0.21739130434782608</v>
      </c>
      <c r="F15" s="5">
        <v>23</v>
      </c>
      <c r="G15" s="5">
        <v>5</v>
      </c>
      <c r="H15" s="5">
        <v>1</v>
      </c>
      <c r="I15" s="5">
        <v>0</v>
      </c>
      <c r="J15" s="6">
        <v>0</v>
      </c>
      <c r="K15" s="12">
        <v>6</v>
      </c>
      <c r="L15" s="7">
        <v>3</v>
      </c>
      <c r="M15" s="11">
        <f t="shared" si="8"/>
        <v>0.29629629629629628</v>
      </c>
      <c r="N15" s="11">
        <f t="shared" si="7"/>
        <v>0.55729629629629629</v>
      </c>
      <c r="O15" s="20">
        <v>5</v>
      </c>
      <c r="P15" s="21">
        <v>1</v>
      </c>
      <c r="Q15" s="21">
        <v>2</v>
      </c>
      <c r="R15" s="22">
        <v>0</v>
      </c>
      <c r="S15" s="22">
        <v>1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3.0008654970760213</v>
      </c>
      <c r="X15" s="2" t="s">
        <v>1717</v>
      </c>
    </row>
    <row r="16" spans="2:24" ht="13.8" x14ac:dyDescent="0.2">
      <c r="B16" s="8">
        <f t="shared" si="5"/>
        <v>11</v>
      </c>
      <c r="C16" s="10">
        <v>11</v>
      </c>
      <c r="D16" s="13" t="s">
        <v>1678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1718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>
        <f t="shared" si="4"/>
        <v>0</v>
      </c>
      <c r="F19" s="5">
        <v>3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2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-1.8540000000000014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>
        <f t="shared" si="4"/>
        <v>0</v>
      </c>
      <c r="F20" s="5">
        <v>1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-2.7000000000000011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>
        <f t="shared" si="4"/>
        <v>0</v>
      </c>
      <c r="F21" s="5">
        <v>4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4</v>
      </c>
      <c r="P21" s="21">
        <v>0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-2.1096000000000013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2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-2.8440000000000016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1679</v>
      </c>
      <c r="E27" s="11">
        <f t="shared" si="4"/>
        <v>0.22988505747126436</v>
      </c>
      <c r="F27" s="5">
        <v>174</v>
      </c>
      <c r="G27" s="5">
        <v>40</v>
      </c>
      <c r="H27" s="5">
        <v>8</v>
      </c>
      <c r="I27" s="5">
        <v>0</v>
      </c>
      <c r="J27" s="6">
        <v>6</v>
      </c>
      <c r="K27" s="12">
        <v>66</v>
      </c>
      <c r="L27" s="7">
        <v>15</v>
      </c>
      <c r="M27" s="11">
        <f t="shared" si="8"/>
        <v>0.29896907216494845</v>
      </c>
      <c r="N27" s="11">
        <f t="shared" si="7"/>
        <v>0.67796907216494851</v>
      </c>
      <c r="O27" s="20">
        <v>31</v>
      </c>
      <c r="P27" s="21">
        <v>16</v>
      </c>
      <c r="Q27" s="21">
        <v>2</v>
      </c>
      <c r="R27" s="22">
        <v>0</v>
      </c>
      <c r="S27" s="22">
        <v>2</v>
      </c>
      <c r="T27" s="20">
        <v>0</v>
      </c>
      <c r="U27" s="20">
        <v>0</v>
      </c>
      <c r="V27" s="20">
        <v>1</v>
      </c>
      <c r="W27" s="62">
        <f>IFERROR(CalcRC27(F27,G27,K27,O27,P27,Q27,R27,S27,T27,U27,V27),"-")</f>
        <v>4.0981532846715307</v>
      </c>
      <c r="X27" s="2" t="s">
        <v>1924</v>
      </c>
    </row>
    <row r="28" spans="2:24" ht="13.8" x14ac:dyDescent="0.2">
      <c r="B28" s="8">
        <f t="shared" si="5"/>
        <v>23</v>
      </c>
      <c r="C28" s="10">
        <v>23</v>
      </c>
      <c r="D28" s="13" t="s">
        <v>1680</v>
      </c>
      <c r="E28" s="11">
        <f t="shared" si="4"/>
        <v>0.26470588235294118</v>
      </c>
      <c r="F28" s="5">
        <v>34</v>
      </c>
      <c r="G28" s="5">
        <v>9</v>
      </c>
      <c r="H28" s="5">
        <v>0</v>
      </c>
      <c r="I28" s="5">
        <v>0</v>
      </c>
      <c r="J28" s="6">
        <v>1</v>
      </c>
      <c r="K28" s="12">
        <v>12</v>
      </c>
      <c r="L28" s="7">
        <v>2</v>
      </c>
      <c r="M28" s="11">
        <f t="shared" si="8"/>
        <v>0.2857142857142857</v>
      </c>
      <c r="N28" s="11">
        <f t="shared" si="7"/>
        <v>0.63871428571428568</v>
      </c>
      <c r="O28" s="20">
        <v>10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3.6745371428571403</v>
      </c>
      <c r="X28" s="2" t="s">
        <v>1719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>
        <f t="shared" si="4"/>
        <v>0.2655367231638418</v>
      </c>
      <c r="F30" s="5">
        <v>177</v>
      </c>
      <c r="G30" s="5">
        <v>47</v>
      </c>
      <c r="H30" s="5">
        <v>10</v>
      </c>
      <c r="I30" s="5">
        <v>1</v>
      </c>
      <c r="J30" s="6">
        <v>7</v>
      </c>
      <c r="K30" s="12">
        <v>72</v>
      </c>
      <c r="L30" s="7">
        <v>18</v>
      </c>
      <c r="M30" s="11">
        <f t="shared" si="8"/>
        <v>0.35148514851485146</v>
      </c>
      <c r="N30" s="11">
        <f t="shared" si="7"/>
        <v>0.75848514851485138</v>
      </c>
      <c r="O30" s="20">
        <v>26</v>
      </c>
      <c r="P30" s="21">
        <v>22</v>
      </c>
      <c r="Q30" s="21">
        <v>2</v>
      </c>
      <c r="R30" s="22">
        <v>4</v>
      </c>
      <c r="S30" s="22">
        <v>1</v>
      </c>
      <c r="T30" s="20">
        <v>8</v>
      </c>
      <c r="U30" s="20">
        <v>1</v>
      </c>
      <c r="V30" s="20">
        <v>6</v>
      </c>
      <c r="W30" s="62">
        <f>IFERROR(CalcRC27(F30,G30,K30,O30,P30,Q30,R30,S30,T30,U30,V30),"-")</f>
        <v>5.0203779570627631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1598</v>
      </c>
      <c r="E32" s="11">
        <f t="shared" si="4"/>
        <v>0.19607843137254902</v>
      </c>
      <c r="F32" s="5">
        <v>51</v>
      </c>
      <c r="G32" s="5">
        <v>10</v>
      </c>
      <c r="H32" s="5">
        <v>3</v>
      </c>
      <c r="I32" s="5">
        <v>0</v>
      </c>
      <c r="J32" s="6">
        <v>0</v>
      </c>
      <c r="K32" s="12">
        <v>13</v>
      </c>
      <c r="L32" s="7">
        <v>3</v>
      </c>
      <c r="M32" s="11">
        <f t="shared" si="8"/>
        <v>0.26315789473684209</v>
      </c>
      <c r="N32" s="11">
        <f t="shared" si="7"/>
        <v>0.51815789473684215</v>
      </c>
      <c r="O32" s="20">
        <v>9</v>
      </c>
      <c r="P32" s="21">
        <v>5</v>
      </c>
      <c r="Q32" s="21">
        <v>0</v>
      </c>
      <c r="R32" s="22">
        <v>4</v>
      </c>
      <c r="S32" s="22">
        <v>1</v>
      </c>
      <c r="T32" s="20">
        <v>0</v>
      </c>
      <c r="U32" s="20">
        <v>0</v>
      </c>
      <c r="V32" s="20">
        <v>2</v>
      </c>
      <c r="W32" s="62">
        <f>IFERROR(CalcRC27(F32,G32,K32,O32,P32,Q32,R32,S32,T32,U32,V32),"-")</f>
        <v>1.7304221311475396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1720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3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-2.9160000000000017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1721</v>
      </c>
    </row>
    <row r="37" spans="2:24" ht="13.8" x14ac:dyDescent="0.2">
      <c r="B37" s="8">
        <f t="shared" si="5"/>
        <v>32</v>
      </c>
      <c r="C37" s="10">
        <v>32</v>
      </c>
      <c r="D37" s="13" t="s">
        <v>999</v>
      </c>
      <c r="E37" s="11">
        <f t="shared" si="4"/>
        <v>0.29931972789115646</v>
      </c>
      <c r="F37" s="5">
        <v>147</v>
      </c>
      <c r="G37" s="5">
        <v>44</v>
      </c>
      <c r="H37" s="5">
        <v>9</v>
      </c>
      <c r="I37" s="5">
        <v>0</v>
      </c>
      <c r="J37" s="6">
        <v>1</v>
      </c>
      <c r="K37" s="12">
        <v>53</v>
      </c>
      <c r="L37" s="7">
        <v>14</v>
      </c>
      <c r="M37" s="11">
        <f t="shared" si="8"/>
        <v>0.35582822085889571</v>
      </c>
      <c r="N37" s="11">
        <f t="shared" si="7"/>
        <v>0.71682822085889564</v>
      </c>
      <c r="O37" s="20">
        <v>17</v>
      </c>
      <c r="P37" s="21">
        <v>14</v>
      </c>
      <c r="Q37" s="21">
        <v>0</v>
      </c>
      <c r="R37" s="22">
        <v>3</v>
      </c>
      <c r="S37" s="22">
        <v>2</v>
      </c>
      <c r="T37" s="20">
        <v>3</v>
      </c>
      <c r="U37" s="20">
        <v>0</v>
      </c>
      <c r="V37" s="20">
        <v>4</v>
      </c>
      <c r="W37" s="62">
        <f>IFERROR(CalcRC27(F37,G37,K37,O37,P37,Q37,R37,S37,T37,U37,V37),"-")</f>
        <v>4.7685477624784838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1722</v>
      </c>
    </row>
    <row r="40" spans="2:24" ht="13.8" x14ac:dyDescent="0.2">
      <c r="B40" s="8">
        <f t="shared" si="5"/>
        <v>35</v>
      </c>
      <c r="C40" s="10">
        <v>35</v>
      </c>
      <c r="D40" s="13" t="s">
        <v>1684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1723</v>
      </c>
    </row>
    <row r="41" spans="2:24" ht="13.8" x14ac:dyDescent="0.2">
      <c r="B41" s="8">
        <f t="shared" si="5"/>
        <v>36</v>
      </c>
      <c r="C41" s="10">
        <v>36</v>
      </c>
      <c r="D41" s="13" t="s">
        <v>1685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1724</v>
      </c>
    </row>
    <row r="42" spans="2:24" ht="13.8" x14ac:dyDescent="0.2">
      <c r="B42" s="8">
        <f t="shared" si="5"/>
        <v>37</v>
      </c>
      <c r="C42" s="10">
        <v>37</v>
      </c>
      <c r="D42" s="13" t="s">
        <v>1686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>
        <f t="shared" si="4"/>
        <v>0.32786885245901637</v>
      </c>
      <c r="F43" s="5">
        <v>61</v>
      </c>
      <c r="G43" s="5">
        <v>20</v>
      </c>
      <c r="H43" s="5">
        <v>1</v>
      </c>
      <c r="I43" s="5">
        <v>1</v>
      </c>
      <c r="J43" s="6">
        <v>1</v>
      </c>
      <c r="K43" s="12">
        <v>20</v>
      </c>
      <c r="L43" s="7">
        <v>4</v>
      </c>
      <c r="M43" s="11">
        <f t="shared" si="8"/>
        <v>0.4</v>
      </c>
      <c r="N43" s="11">
        <f t="shared" si="7"/>
        <v>0.72799999999999998</v>
      </c>
      <c r="O43" s="20">
        <v>11</v>
      </c>
      <c r="P43" s="21">
        <v>8</v>
      </c>
      <c r="Q43" s="21">
        <v>0</v>
      </c>
      <c r="R43" s="22">
        <v>2</v>
      </c>
      <c r="S43" s="22">
        <v>1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5.2942536231884043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1687</v>
      </c>
      <c r="E44" s="11">
        <f t="shared" si="4"/>
        <v>0.1</v>
      </c>
      <c r="F44" s="5">
        <v>10</v>
      </c>
      <c r="G44" s="5">
        <v>1</v>
      </c>
      <c r="H44" s="5">
        <v>1</v>
      </c>
      <c r="I44" s="5">
        <v>0</v>
      </c>
      <c r="J44" s="6">
        <v>0</v>
      </c>
      <c r="K44" s="12">
        <v>2</v>
      </c>
      <c r="L44" s="7">
        <v>1</v>
      </c>
      <c r="M44" s="11">
        <f t="shared" si="8"/>
        <v>0.18181818181818182</v>
      </c>
      <c r="N44" s="11">
        <f t="shared" si="7"/>
        <v>0.38181818181818183</v>
      </c>
      <c r="O44" s="20">
        <v>1</v>
      </c>
      <c r="P44" s="21">
        <v>1</v>
      </c>
      <c r="Q44" s="21">
        <v>0</v>
      </c>
      <c r="R44" s="22">
        <v>1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0.68519999999999848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2002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1725</v>
      </c>
    </row>
    <row r="46" spans="2:24" ht="13.8" x14ac:dyDescent="0.2">
      <c r="B46" s="8">
        <f t="shared" si="5"/>
        <v>41</v>
      </c>
      <c r="C46" s="10">
        <v>41</v>
      </c>
      <c r="D46" s="13" t="s">
        <v>1688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1925</v>
      </c>
    </row>
    <row r="47" spans="2:24" ht="13.8" x14ac:dyDescent="0.2">
      <c r="B47" s="8">
        <f t="shared" si="5"/>
        <v>42</v>
      </c>
      <c r="C47" s="10">
        <v>42</v>
      </c>
      <c r="D47" s="13" t="s">
        <v>1689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1926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1692</v>
      </c>
      <c r="E55" s="11">
        <f t="shared" si="4"/>
        <v>0.18518518518518517</v>
      </c>
      <c r="F55" s="5">
        <v>27</v>
      </c>
      <c r="G55" s="5">
        <v>5</v>
      </c>
      <c r="H55" s="5">
        <v>1</v>
      </c>
      <c r="I55" s="5">
        <v>0</v>
      </c>
      <c r="J55" s="6">
        <v>0</v>
      </c>
      <c r="K55" s="12">
        <v>5</v>
      </c>
      <c r="L55" s="7">
        <v>1</v>
      </c>
      <c r="M55" s="11">
        <f t="shared" si="8"/>
        <v>0.2413793103448276</v>
      </c>
      <c r="N55" s="11">
        <f t="shared" si="7"/>
        <v>0.42637931034482757</v>
      </c>
      <c r="O55" s="20">
        <v>7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1.223304347826085</v>
      </c>
      <c r="X55" s="2" t="s">
        <v>1692</v>
      </c>
    </row>
    <row r="56" spans="2:24" ht="13.8" x14ac:dyDescent="0.2">
      <c r="B56" s="8">
        <f t="shared" si="5"/>
        <v>51</v>
      </c>
      <c r="C56" s="10">
        <v>51</v>
      </c>
      <c r="D56" s="13" t="s">
        <v>1693</v>
      </c>
      <c r="E56" s="11">
        <f t="shared" si="4"/>
        <v>0.216</v>
      </c>
      <c r="F56" s="5">
        <v>125</v>
      </c>
      <c r="G56" s="5">
        <v>27</v>
      </c>
      <c r="H56" s="5">
        <v>7</v>
      </c>
      <c r="I56" s="5">
        <v>0</v>
      </c>
      <c r="J56" s="6">
        <v>2</v>
      </c>
      <c r="K56" s="12">
        <v>40</v>
      </c>
      <c r="L56" s="7">
        <v>11</v>
      </c>
      <c r="M56" s="11">
        <f t="shared" si="8"/>
        <v>0.25757575757575757</v>
      </c>
      <c r="N56" s="11">
        <f t="shared" si="7"/>
        <v>0.57757575757575763</v>
      </c>
      <c r="O56" s="20">
        <v>22</v>
      </c>
      <c r="P56" s="21">
        <v>6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4</v>
      </c>
      <c r="W56" s="62">
        <f>IFERROR(CalcRC27(F56,G56,K56,O56,P56,Q56,R56,S56,T56,U56,V56),"-")</f>
        <v>2.3334866310160414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1726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1694</v>
      </c>
      <c r="E60" s="11">
        <f t="shared" si="4"/>
        <v>0</v>
      </c>
      <c r="F60" s="5">
        <v>3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2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-2.8440000000000016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1241</v>
      </c>
      <c r="E62" s="11">
        <f t="shared" si="4"/>
        <v>0.24528301886792453</v>
      </c>
      <c r="F62" s="5">
        <v>106</v>
      </c>
      <c r="G62" s="5">
        <v>26</v>
      </c>
      <c r="H62" s="5">
        <v>1</v>
      </c>
      <c r="I62" s="5">
        <v>0</v>
      </c>
      <c r="J62" s="6">
        <v>0</v>
      </c>
      <c r="K62" s="12">
        <v>27</v>
      </c>
      <c r="L62" s="7">
        <v>7</v>
      </c>
      <c r="M62" s="11">
        <f t="shared" si="8"/>
        <v>0.31623931623931623</v>
      </c>
      <c r="N62" s="11">
        <f t="shared" si="7"/>
        <v>0.57123931623931623</v>
      </c>
      <c r="O62" s="20">
        <v>19</v>
      </c>
      <c r="P62" s="21">
        <v>11</v>
      </c>
      <c r="Q62" s="21">
        <v>0</v>
      </c>
      <c r="R62" s="22">
        <v>8</v>
      </c>
      <c r="S62" s="22">
        <v>0</v>
      </c>
      <c r="T62" s="20">
        <v>2</v>
      </c>
      <c r="U62" s="20">
        <v>0</v>
      </c>
      <c r="V62" s="20">
        <v>2</v>
      </c>
      <c r="W62" s="62">
        <f>IFERROR(CalcRC27(F62,G62,K62,O62,P62,Q62,R62,S62,T62,U62,V62),"-")</f>
        <v>2.8596933333333312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1727</v>
      </c>
    </row>
    <row r="65" spans="2:24" ht="13.8" x14ac:dyDescent="0.2">
      <c r="B65" s="8">
        <f t="shared" si="5"/>
        <v>60</v>
      </c>
      <c r="C65" s="10">
        <v>60</v>
      </c>
      <c r="D65" s="13" t="s">
        <v>1696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1997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1728</v>
      </c>
    </row>
    <row r="67" spans="2:24" ht="13.8" x14ac:dyDescent="0.2">
      <c r="B67" s="8">
        <f t="shared" si="5"/>
        <v>62</v>
      </c>
      <c r="C67" s="10">
        <v>62</v>
      </c>
      <c r="D67" s="13" t="s">
        <v>2001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>
        <f t="shared" si="4"/>
        <v>8.6956521739130432E-2</v>
      </c>
      <c r="F68" s="5">
        <v>23</v>
      </c>
      <c r="G68" s="5">
        <v>2</v>
      </c>
      <c r="H68" s="5">
        <v>0</v>
      </c>
      <c r="I68" s="5">
        <v>0</v>
      </c>
      <c r="J68" s="6">
        <v>0</v>
      </c>
      <c r="K68" s="12">
        <v>2</v>
      </c>
      <c r="L68" s="7">
        <v>2</v>
      </c>
      <c r="M68" s="11">
        <f t="shared" si="8"/>
        <v>0.18518518518518517</v>
      </c>
      <c r="N68" s="11">
        <f t="shared" si="7"/>
        <v>0.2721851851851852</v>
      </c>
      <c r="O68" s="20">
        <v>3</v>
      </c>
      <c r="P68" s="21">
        <v>2</v>
      </c>
      <c r="Q68" s="21">
        <v>1</v>
      </c>
      <c r="R68" s="22">
        <v>1</v>
      </c>
      <c r="S68" s="22">
        <v>1</v>
      </c>
      <c r="T68" s="20">
        <v>1</v>
      </c>
      <c r="U68" s="20">
        <v>0</v>
      </c>
      <c r="V68" s="20">
        <v>0</v>
      </c>
      <c r="W68" s="62">
        <f>IFERROR(CalcRC27(F68,G68,K68,O68,P68,Q68,R68,S68,T68,U68,V68),"-")</f>
        <v>0.14607763975155125</v>
      </c>
      <c r="X68" s="2" t="s">
        <v>209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1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1927</v>
      </c>
    </row>
    <row r="70" spans="2:24" ht="13.8" x14ac:dyDescent="0.2">
      <c r="B70" s="8">
        <f t="shared" si="9"/>
        <v>65</v>
      </c>
      <c r="C70" s="10">
        <v>65</v>
      </c>
      <c r="D70" s="9" t="s">
        <v>1698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1729</v>
      </c>
    </row>
    <row r="71" spans="2:24" ht="13.8" x14ac:dyDescent="0.2">
      <c r="B71" s="8">
        <f t="shared" si="9"/>
        <v>66</v>
      </c>
      <c r="C71" s="10">
        <v>66</v>
      </c>
      <c r="D71" s="13" t="s">
        <v>1699</v>
      </c>
      <c r="E71" s="11">
        <f t="shared" si="10"/>
        <v>0</v>
      </c>
      <c r="F71" s="5">
        <v>1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1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-2.9160000000000013</v>
      </c>
      <c r="X71" s="2" t="s">
        <v>420</v>
      </c>
    </row>
    <row r="72" spans="2:24" ht="13.8" x14ac:dyDescent="0.2">
      <c r="B72" s="8">
        <f t="shared" si="9"/>
        <v>67</v>
      </c>
      <c r="C72" s="10">
        <v>67</v>
      </c>
      <c r="D72" s="13" t="s">
        <v>169</v>
      </c>
      <c r="E72" s="11">
        <f t="shared" si="10"/>
        <v>0.16666666666666666</v>
      </c>
      <c r="F72" s="5">
        <v>36</v>
      </c>
      <c r="G72" s="5">
        <v>6</v>
      </c>
      <c r="H72" s="5">
        <v>1</v>
      </c>
      <c r="I72" s="5">
        <v>0</v>
      </c>
      <c r="J72" s="6">
        <v>0</v>
      </c>
      <c r="K72" s="12">
        <v>7</v>
      </c>
      <c r="L72" s="7">
        <v>3</v>
      </c>
      <c r="M72" s="11">
        <f t="shared" si="13"/>
        <v>0.18421052631578946</v>
      </c>
      <c r="N72" s="11">
        <f t="shared" si="12"/>
        <v>0.37821052631578944</v>
      </c>
      <c r="O72" s="20">
        <v>10</v>
      </c>
      <c r="P72" s="21">
        <v>1</v>
      </c>
      <c r="Q72" s="21">
        <v>0</v>
      </c>
      <c r="R72" s="22">
        <v>2</v>
      </c>
      <c r="S72" s="22">
        <v>1</v>
      </c>
      <c r="T72" s="20">
        <v>0</v>
      </c>
      <c r="U72" s="20">
        <v>0</v>
      </c>
      <c r="V72" s="20">
        <v>0</v>
      </c>
      <c r="W72" s="62">
        <f>IFERROR(CalcRC27(F72,G72,K72,O72,P72,Q72,R72,S72,T72,U72,V72),"-")</f>
        <v>0.63784090909090707</v>
      </c>
      <c r="X72" s="2" t="s">
        <v>459</v>
      </c>
    </row>
    <row r="73" spans="2:24" ht="13.8" x14ac:dyDescent="0.2">
      <c r="B73" s="8">
        <f t="shared" si="9"/>
        <v>68</v>
      </c>
      <c r="C73" s="10">
        <v>68</v>
      </c>
      <c r="D73" s="13" t="s">
        <v>1700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1730</v>
      </c>
    </row>
    <row r="74" spans="2:24" ht="13.8" x14ac:dyDescent="0.2">
      <c r="B74" s="8">
        <f t="shared" si="9"/>
        <v>69</v>
      </c>
      <c r="C74" s="10">
        <v>69</v>
      </c>
      <c r="D74" s="13" t="s">
        <v>1616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1928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 t="s">
        <v>644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 t="s">
        <v>1690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184</v>
      </c>
      <c r="E104" s="11">
        <f t="shared" si="10"/>
        <v>0.25128205128205128</v>
      </c>
      <c r="F104" s="5">
        <v>195</v>
      </c>
      <c r="G104" s="5">
        <v>49</v>
      </c>
      <c r="H104" s="5">
        <v>9</v>
      </c>
      <c r="I104" s="5">
        <v>1</v>
      </c>
      <c r="J104" s="6">
        <v>6</v>
      </c>
      <c r="K104" s="12">
        <v>78</v>
      </c>
      <c r="L104" s="7">
        <v>30</v>
      </c>
      <c r="M104" s="11">
        <f t="shared" si="13"/>
        <v>0.30516431924882631</v>
      </c>
      <c r="N104" s="11">
        <f t="shared" si="12"/>
        <v>0.70516431924882639</v>
      </c>
      <c r="O104" s="20">
        <v>60</v>
      </c>
      <c r="P104" s="21">
        <v>15</v>
      </c>
      <c r="Q104" s="21">
        <v>1</v>
      </c>
      <c r="R104" s="22">
        <v>0</v>
      </c>
      <c r="S104" s="22">
        <v>2</v>
      </c>
      <c r="T104" s="20">
        <v>0</v>
      </c>
      <c r="U104" s="20">
        <v>0</v>
      </c>
      <c r="V104" s="20">
        <v>4</v>
      </c>
      <c r="W104" s="62">
        <f>IFERROR(CalcRC27(F104,G104,K104,O104,P104,Q104,R104,S104,T104,U104,V104),"-")</f>
        <v>4.1452394366197156</v>
      </c>
      <c r="X104" s="2" t="s">
        <v>1929</v>
      </c>
    </row>
    <row r="105" spans="2:24" ht="13.8" x14ac:dyDescent="0.2">
      <c r="B105" s="8">
        <f t="shared" si="9"/>
        <v>120</v>
      </c>
      <c r="C105" s="10">
        <v>120</v>
      </c>
      <c r="D105" s="14" t="s">
        <v>1701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1731</v>
      </c>
    </row>
    <row r="106" spans="2:24" ht="13.8" x14ac:dyDescent="0.2">
      <c r="B106" s="8">
        <f t="shared" si="9"/>
        <v>121</v>
      </c>
      <c r="C106" s="10">
        <v>121</v>
      </c>
      <c r="D106" s="9" t="s">
        <v>1702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9"/>
        <v>122</v>
      </c>
      <c r="C107" s="10">
        <v>122</v>
      </c>
      <c r="D107" s="9" t="s">
        <v>1703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9"/>
        <v>123</v>
      </c>
      <c r="C108" s="10">
        <v>123</v>
      </c>
      <c r="D108" s="9" t="s">
        <v>1704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9"/>
        <v>124</v>
      </c>
      <c r="C109" s="10">
        <v>124</v>
      </c>
      <c r="D109" s="9" t="s">
        <v>1705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9"/>
        <v>125</v>
      </c>
      <c r="C110" s="10">
        <v>125</v>
      </c>
      <c r="D110" s="9" t="s">
        <v>1706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1732</v>
      </c>
    </row>
    <row r="111" spans="2:24" ht="13.8" x14ac:dyDescent="0.2">
      <c r="B111" s="8">
        <f t="shared" si="9"/>
        <v>126</v>
      </c>
      <c r="C111" s="10">
        <v>126</v>
      </c>
      <c r="D111" s="9" t="s">
        <v>1707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1733</v>
      </c>
    </row>
    <row r="112" spans="2:24" ht="13.8" x14ac:dyDescent="0.2">
      <c r="B112" s="8">
        <f t="shared" si="9"/>
        <v>127</v>
      </c>
      <c r="C112" s="10">
        <v>127</v>
      </c>
      <c r="D112" s="9" t="s">
        <v>1708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1734</v>
      </c>
    </row>
    <row r="113" spans="2:24" ht="13.8" x14ac:dyDescent="0.2">
      <c r="B113" s="8">
        <f t="shared" si="9"/>
        <v>128</v>
      </c>
      <c r="C113" s="10">
        <v>128</v>
      </c>
      <c r="D113" s="9" t="s">
        <v>1709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1735</v>
      </c>
    </row>
    <row r="114" spans="2:24" ht="13.8" x14ac:dyDescent="0.2">
      <c r="B114" s="8">
        <f t="shared" si="9"/>
        <v>129</v>
      </c>
      <c r="C114" s="10">
        <v>129</v>
      </c>
      <c r="D114" s="9" t="s">
        <v>758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1736</v>
      </c>
    </row>
    <row r="115" spans="2:24" ht="13.8" x14ac:dyDescent="0.2">
      <c r="B115" s="8">
        <f t="shared" si="9"/>
        <v>130</v>
      </c>
      <c r="C115" s="10">
        <v>130</v>
      </c>
      <c r="D115" s="9" t="s">
        <v>1710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1737</v>
      </c>
    </row>
    <row r="116" spans="2:24" ht="13.8" x14ac:dyDescent="0.2">
      <c r="B116" s="8">
        <f t="shared" si="9"/>
        <v>131</v>
      </c>
      <c r="C116" s="10">
        <v>131</v>
      </c>
      <c r="D116" s="9" t="s">
        <v>1711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9"/>
        <v>132</v>
      </c>
      <c r="C117" s="10">
        <v>132</v>
      </c>
      <c r="D117" s="9" t="s">
        <v>1712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9"/>
        <v>133</v>
      </c>
      <c r="C118" s="10">
        <v>133</v>
      </c>
      <c r="D118" s="9" t="s">
        <v>1599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1738</v>
      </c>
    </row>
    <row r="119" spans="2:24" ht="13.8" x14ac:dyDescent="0.2">
      <c r="B119" s="8">
        <f t="shared" si="9"/>
        <v>134</v>
      </c>
      <c r="C119" s="10">
        <v>134</v>
      </c>
      <c r="D119" s="9" t="s">
        <v>1713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1739</v>
      </c>
    </row>
    <row r="120" spans="2:24" ht="13.8" x14ac:dyDescent="0.2">
      <c r="B120" s="8">
        <f t="shared" si="9"/>
        <v>135</v>
      </c>
      <c r="C120" s="10">
        <v>135</v>
      </c>
      <c r="D120" s="9" t="s">
        <v>1714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1740</v>
      </c>
    </row>
    <row r="121" spans="2:24" ht="13.8" x14ac:dyDescent="0.2">
      <c r="B121" s="8">
        <f t="shared" si="9"/>
        <v>136</v>
      </c>
      <c r="C121" s="10">
        <v>136</v>
      </c>
      <c r="D121" s="9" t="s">
        <v>1483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1741</v>
      </c>
    </row>
    <row r="122" spans="2:24" ht="13.8" x14ac:dyDescent="0.2">
      <c r="B122" s="8">
        <f t="shared" si="9"/>
        <v>137</v>
      </c>
      <c r="C122" s="10">
        <v>137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1742</v>
      </c>
    </row>
    <row r="123" spans="2:24" ht="13.8" x14ac:dyDescent="0.2">
      <c r="B123" s="8">
        <f t="shared" si="9"/>
        <v>138</v>
      </c>
      <c r="C123" s="10">
        <v>138</v>
      </c>
      <c r="D123" s="9" t="s">
        <v>1482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 t="s">
        <v>1743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1192</v>
      </c>
    </row>
    <row r="6" spans="2:24" ht="13.8" x14ac:dyDescent="0.2">
      <c r="B6" s="8">
        <f t="shared" si="5"/>
        <v>1</v>
      </c>
      <c r="C6" s="10">
        <v>1</v>
      </c>
      <c r="D6" s="13" t="s">
        <v>2003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1193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2001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1783</v>
      </c>
    </row>
    <row r="13" spans="2:24" ht="13.8" x14ac:dyDescent="0.2">
      <c r="B13" s="8">
        <f t="shared" si="5"/>
        <v>8</v>
      </c>
      <c r="C13" s="10">
        <v>8</v>
      </c>
      <c r="D13" s="13" t="s">
        <v>1744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1931</v>
      </c>
    </row>
    <row r="14" spans="2:24" ht="13.8" x14ac:dyDescent="0.2">
      <c r="B14" s="8">
        <f t="shared" si="5"/>
        <v>9</v>
      </c>
      <c r="C14" s="10">
        <v>9</v>
      </c>
      <c r="D14" s="13" t="s">
        <v>1351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1195</v>
      </c>
    </row>
    <row r="15" spans="2:24" ht="13.8" x14ac:dyDescent="0.2">
      <c r="B15" s="8">
        <f t="shared" si="5"/>
        <v>10</v>
      </c>
      <c r="C15" s="10">
        <v>10</v>
      </c>
      <c r="D15" s="13" t="s">
        <v>1498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1196</v>
      </c>
    </row>
    <row r="16" spans="2:24" ht="13.8" x14ac:dyDescent="0.2">
      <c r="B16" s="8">
        <f t="shared" si="5"/>
        <v>11</v>
      </c>
      <c r="C16" s="10">
        <v>11</v>
      </c>
      <c r="D16" s="13" t="s">
        <v>1239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1209</v>
      </c>
    </row>
    <row r="18" spans="2:24" ht="13.8" x14ac:dyDescent="0.2">
      <c r="B18" s="8">
        <f t="shared" si="5"/>
        <v>13</v>
      </c>
      <c r="C18" s="10">
        <v>13</v>
      </c>
      <c r="D18" s="13" t="s">
        <v>1177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1745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1205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1784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1748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1785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1749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1786</v>
      </c>
    </row>
    <row r="31" spans="2:24" ht="13.8" x14ac:dyDescent="0.2">
      <c r="B31" s="8">
        <f t="shared" si="5"/>
        <v>26</v>
      </c>
      <c r="C31" s="10">
        <v>26</v>
      </c>
      <c r="D31" s="13" t="s">
        <v>1750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1787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1788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1399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1198</v>
      </c>
    </row>
    <row r="38" spans="2:24" ht="13.8" x14ac:dyDescent="0.2">
      <c r="B38" s="8">
        <f t="shared" si="5"/>
        <v>33</v>
      </c>
      <c r="C38" s="10">
        <v>33</v>
      </c>
      <c r="D38" s="13" t="s">
        <v>1752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1789</v>
      </c>
    </row>
    <row r="39" spans="2:24" ht="13.8" x14ac:dyDescent="0.2">
      <c r="B39" s="8">
        <f t="shared" si="5"/>
        <v>34</v>
      </c>
      <c r="C39" s="10">
        <v>34</v>
      </c>
      <c r="D39" s="13" t="s">
        <v>1696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1790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1791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1199</v>
      </c>
    </row>
    <row r="45" spans="2:24" ht="13.8" x14ac:dyDescent="0.2">
      <c r="B45" s="8">
        <f t="shared" si="5"/>
        <v>40</v>
      </c>
      <c r="C45" s="10">
        <v>40</v>
      </c>
      <c r="D45" s="13" t="s">
        <v>1753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1932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1933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1755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1934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1792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1200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1935</v>
      </c>
    </row>
    <row r="60" spans="2:24" ht="13.8" x14ac:dyDescent="0.2">
      <c r="B60" s="8">
        <f t="shared" si="5"/>
        <v>55</v>
      </c>
      <c r="C60" s="10">
        <v>55</v>
      </c>
      <c r="D60" s="13" t="s">
        <v>1948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1948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1201</v>
      </c>
    </row>
    <row r="62" spans="2:24" ht="13.8" x14ac:dyDescent="0.2">
      <c r="B62" s="8">
        <f t="shared" si="5"/>
        <v>57</v>
      </c>
      <c r="C62" s="10">
        <v>57</v>
      </c>
      <c r="D62" s="13" t="s">
        <v>1993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1936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1202</v>
      </c>
    </row>
    <row r="66" spans="2:24" ht="13.8" x14ac:dyDescent="0.2">
      <c r="B66" s="8">
        <f t="shared" si="5"/>
        <v>61</v>
      </c>
      <c r="C66" s="10">
        <v>61</v>
      </c>
      <c r="D66" s="13" t="s">
        <v>1758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1793</v>
      </c>
    </row>
    <row r="67" spans="2:24" ht="13.8" x14ac:dyDescent="0.2">
      <c r="B67" s="8">
        <f t="shared" si="5"/>
        <v>62</v>
      </c>
      <c r="C67" s="10">
        <v>62</v>
      </c>
      <c r="D67" s="13" t="s">
        <v>1759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1794</v>
      </c>
    </row>
    <row r="68" spans="2:24" ht="13.8" x14ac:dyDescent="0.2">
      <c r="B68" s="8">
        <f t="shared" si="5"/>
        <v>63</v>
      </c>
      <c r="C68" s="10">
        <v>63</v>
      </c>
      <c r="D68" s="9" t="s">
        <v>1937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1760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1207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1947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1762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1795</v>
      </c>
    </row>
    <row r="102" spans="2:24" ht="13.8" x14ac:dyDescent="0.2">
      <c r="B102" s="8">
        <f t="shared" si="9"/>
        <v>97</v>
      </c>
      <c r="C102" s="10">
        <v>97</v>
      </c>
      <c r="D102" s="26" t="s">
        <v>1763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1796</v>
      </c>
    </row>
    <row r="103" spans="2:24" ht="13.8" x14ac:dyDescent="0.2">
      <c r="B103" s="8">
        <f t="shared" si="9"/>
        <v>98</v>
      </c>
      <c r="C103" s="10">
        <v>98</v>
      </c>
      <c r="D103" s="26" t="s">
        <v>1764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1797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1179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1181</v>
      </c>
      <c r="D106" s="9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1182</v>
      </c>
      <c r="D107" s="9" t="s">
        <v>1998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1203</v>
      </c>
    </row>
    <row r="108" spans="2:24" ht="13.8" x14ac:dyDescent="0.2">
      <c r="B108" s="8" t="str">
        <f t="shared" si="9"/>
        <v>011</v>
      </c>
      <c r="C108" s="10" t="s">
        <v>1185</v>
      </c>
      <c r="D108" s="9" t="s">
        <v>1462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1204</v>
      </c>
    </row>
    <row r="109" spans="2:24" ht="13.8" x14ac:dyDescent="0.2">
      <c r="B109" s="8" t="str">
        <f t="shared" si="9"/>
        <v>020</v>
      </c>
      <c r="C109" s="10" t="s">
        <v>1189</v>
      </c>
      <c r="D109" s="9" t="s">
        <v>1765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1206</v>
      </c>
    </row>
    <row r="110" spans="2:24" ht="13.8" x14ac:dyDescent="0.2">
      <c r="B110" s="8" t="str">
        <f t="shared" si="9"/>
        <v>031</v>
      </c>
      <c r="C110" s="10" t="s">
        <v>1766</v>
      </c>
      <c r="D110" s="9" t="s">
        <v>1339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1798</v>
      </c>
    </row>
    <row r="111" spans="2:24" ht="13.8" x14ac:dyDescent="0.2">
      <c r="B111" s="8" t="str">
        <f t="shared" si="9"/>
        <v>032</v>
      </c>
      <c r="C111" s="10" t="s">
        <v>1767</v>
      </c>
      <c r="D111" s="9" t="s">
        <v>1768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1799</v>
      </c>
    </row>
    <row r="112" spans="2:24" ht="13.8" x14ac:dyDescent="0.2">
      <c r="B112" s="8" t="str">
        <f t="shared" si="9"/>
        <v>034</v>
      </c>
      <c r="C112" s="10" t="s">
        <v>1769</v>
      </c>
      <c r="D112" s="9" t="s">
        <v>1243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1800</v>
      </c>
    </row>
    <row r="113" spans="2:24" ht="13.8" x14ac:dyDescent="0.2">
      <c r="B113" s="8" t="str">
        <f t="shared" si="9"/>
        <v>041</v>
      </c>
      <c r="C113" s="10" t="s">
        <v>1770</v>
      </c>
      <c r="D113" s="9" t="s">
        <v>1771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1801</v>
      </c>
    </row>
    <row r="114" spans="2:24" ht="13.8" x14ac:dyDescent="0.2">
      <c r="B114" s="8" t="str">
        <f t="shared" si="9"/>
        <v>042</v>
      </c>
      <c r="C114" s="10" t="s">
        <v>1772</v>
      </c>
      <c r="D114" s="9" t="s">
        <v>1773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1802</v>
      </c>
    </row>
    <row r="115" spans="2:24" ht="13.8" x14ac:dyDescent="0.2">
      <c r="B115" s="8" t="str">
        <f t="shared" si="9"/>
        <v>043</v>
      </c>
      <c r="C115" s="10" t="s">
        <v>1774</v>
      </c>
      <c r="D115" s="9" t="s">
        <v>1279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1803</v>
      </c>
    </row>
    <row r="116" spans="2:24" ht="13.8" x14ac:dyDescent="0.2">
      <c r="B116" s="8" t="str">
        <f t="shared" si="9"/>
        <v>044</v>
      </c>
      <c r="C116" s="10" t="s">
        <v>1775</v>
      </c>
      <c r="D116" s="9" t="s">
        <v>1776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1804</v>
      </c>
    </row>
    <row r="117" spans="2:24" ht="13.8" x14ac:dyDescent="0.2">
      <c r="B117" s="8" t="str">
        <f t="shared" si="9"/>
        <v>045</v>
      </c>
      <c r="C117" s="10" t="s">
        <v>1777</v>
      </c>
      <c r="D117" s="9" t="s">
        <v>1778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1805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1806</v>
      </c>
    </row>
    <row r="119" spans="2:24" ht="13.8" x14ac:dyDescent="0.2">
      <c r="B119" s="8">
        <f t="shared" si="9"/>
        <v>124</v>
      </c>
      <c r="C119" s="10">
        <v>124</v>
      </c>
      <c r="D119" s="9" t="s">
        <v>1779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1807</v>
      </c>
    </row>
    <row r="120" spans="2:24" ht="13.8" x14ac:dyDescent="0.2">
      <c r="B120" s="8">
        <f t="shared" si="9"/>
        <v>126</v>
      </c>
      <c r="C120" s="10">
        <v>126</v>
      </c>
      <c r="D120" s="9" t="s">
        <v>1780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1808</v>
      </c>
    </row>
    <row r="121" spans="2:24" ht="13.8" x14ac:dyDescent="0.2">
      <c r="B121" s="8">
        <f t="shared" si="9"/>
        <v>127</v>
      </c>
      <c r="C121" s="10">
        <v>127</v>
      </c>
      <c r="D121" s="9" t="s">
        <v>1781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1197</v>
      </c>
    </row>
    <row r="122" spans="2:24" ht="13.8" x14ac:dyDescent="0.2">
      <c r="B122" s="8">
        <f t="shared" si="9"/>
        <v>128</v>
      </c>
      <c r="C122" s="10">
        <v>128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1809</v>
      </c>
    </row>
    <row r="124" spans="2:24" ht="13.8" x14ac:dyDescent="0.2">
      <c r="B124" s="8">
        <f t="shared" si="9"/>
        <v>130</v>
      </c>
      <c r="C124" s="10">
        <v>130</v>
      </c>
      <c r="D124" s="9" t="s">
        <v>1686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1244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1985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1938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1841</v>
      </c>
    </row>
    <row r="23" spans="2:24" ht="13.8" x14ac:dyDescent="0.2">
      <c r="B23" s="8">
        <f t="shared" si="5"/>
        <v>18</v>
      </c>
      <c r="C23" s="10">
        <v>18</v>
      </c>
      <c r="D23" s="13" t="s">
        <v>1684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1842</v>
      </c>
    </row>
    <row r="25" spans="2:24" ht="13.8" x14ac:dyDescent="0.2">
      <c r="B25" s="8">
        <f t="shared" si="5"/>
        <v>20</v>
      </c>
      <c r="C25" s="10">
        <v>20</v>
      </c>
      <c r="D25" s="13" t="s">
        <v>1813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1939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1843</v>
      </c>
    </row>
    <row r="28" spans="2:24" ht="13.8" x14ac:dyDescent="0.2">
      <c r="B28" s="8">
        <f t="shared" si="5"/>
        <v>23</v>
      </c>
      <c r="C28" s="10">
        <v>23</v>
      </c>
      <c r="D28" s="13" t="s">
        <v>1815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1940</v>
      </c>
    </row>
    <row r="29" spans="2:24" ht="13.8" x14ac:dyDescent="0.2">
      <c r="B29" s="8">
        <f t="shared" si="5"/>
        <v>24</v>
      </c>
      <c r="C29" s="10">
        <v>24</v>
      </c>
      <c r="D29" s="13" t="s">
        <v>1710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1844</v>
      </c>
    </row>
    <row r="36" spans="2:24" ht="13.8" x14ac:dyDescent="0.2">
      <c r="B36" s="8">
        <f t="shared" si="5"/>
        <v>31</v>
      </c>
      <c r="C36" s="10">
        <v>31</v>
      </c>
      <c r="D36" s="13" t="s">
        <v>1987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1845</v>
      </c>
    </row>
    <row r="37" spans="2:24" ht="13.8" x14ac:dyDescent="0.2">
      <c r="B37" s="8">
        <f t="shared" si="5"/>
        <v>32</v>
      </c>
      <c r="C37" s="10">
        <v>32</v>
      </c>
      <c r="D37" s="13" t="s">
        <v>1380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1846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1748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1984</v>
      </c>
    </row>
    <row r="40" spans="2:24" ht="13.8" x14ac:dyDescent="0.2">
      <c r="B40" s="8">
        <f t="shared" si="5"/>
        <v>35</v>
      </c>
      <c r="C40" s="10">
        <v>35</v>
      </c>
      <c r="D40" s="13" t="s">
        <v>988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1986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1816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1817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1818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1819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1847</v>
      </c>
    </row>
    <row r="47" spans="2:24" ht="13.8" x14ac:dyDescent="0.2">
      <c r="B47" s="8">
        <f t="shared" si="5"/>
        <v>42</v>
      </c>
      <c r="C47" s="10">
        <v>42</v>
      </c>
      <c r="D47" s="13" t="s">
        <v>1993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1994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1982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1975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1988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1989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1848</v>
      </c>
    </row>
    <row r="59" spans="2:24" ht="13.8" x14ac:dyDescent="0.2">
      <c r="B59" s="8">
        <f t="shared" si="5"/>
        <v>54</v>
      </c>
      <c r="C59" s="10">
        <v>54</v>
      </c>
      <c r="D59" s="13" t="s">
        <v>1821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1849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1983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1822</v>
      </c>
    </row>
    <row r="66" spans="2:24" ht="13.8" x14ac:dyDescent="0.2">
      <c r="B66" s="8">
        <f t="shared" si="5"/>
        <v>61</v>
      </c>
      <c r="C66" s="10">
        <v>61</v>
      </c>
      <c r="D66" s="13" t="s">
        <v>1823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1850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1851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1824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1852</v>
      </c>
    </row>
    <row r="73" spans="2:24" ht="13.8" x14ac:dyDescent="0.2">
      <c r="B73" s="8">
        <f t="shared" si="9"/>
        <v>68</v>
      </c>
      <c r="C73" s="10">
        <v>68</v>
      </c>
      <c r="D73" s="13" t="s">
        <v>1825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1853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1141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1708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1826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1854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1827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1981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1828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1855</v>
      </c>
    </row>
    <row r="106" spans="2:24" ht="13.8" x14ac:dyDescent="0.2">
      <c r="B106" s="8" t="str">
        <f t="shared" si="14"/>
        <v>022</v>
      </c>
      <c r="C106" s="10" t="s">
        <v>1191</v>
      </c>
      <c r="D106" s="9" t="s">
        <v>1829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1830</v>
      </c>
      <c r="D107" s="9" t="s">
        <v>1831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1832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1856</v>
      </c>
    </row>
    <row r="109" spans="2:24" ht="13.8" x14ac:dyDescent="0.2">
      <c r="B109" s="8">
        <f t="shared" si="14"/>
        <v>131</v>
      </c>
      <c r="C109" s="10">
        <v>131</v>
      </c>
      <c r="D109" s="9" t="s">
        <v>1833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1857</v>
      </c>
    </row>
    <row r="110" spans="2:24" ht="13.8" x14ac:dyDescent="0.2">
      <c r="B110" s="8">
        <f t="shared" si="14"/>
        <v>135</v>
      </c>
      <c r="C110" s="10">
        <v>135</v>
      </c>
      <c r="D110" s="9" t="s">
        <v>1834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1858</v>
      </c>
    </row>
    <row r="111" spans="2:24" ht="13.8" x14ac:dyDescent="0.2">
      <c r="B111" s="8">
        <f t="shared" si="14"/>
        <v>137</v>
      </c>
      <c r="C111" s="10">
        <v>137</v>
      </c>
      <c r="D111" s="9" t="s">
        <v>1835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1859</v>
      </c>
    </row>
    <row r="112" spans="2:24" ht="13.8" x14ac:dyDescent="0.2">
      <c r="B112" s="8">
        <f t="shared" si="14"/>
        <v>138</v>
      </c>
      <c r="C112" s="10">
        <v>138</v>
      </c>
      <c r="D112" s="9" t="s">
        <v>1836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1860</v>
      </c>
    </row>
    <row r="113" spans="2:24" ht="13.8" x14ac:dyDescent="0.2">
      <c r="B113" s="8">
        <f t="shared" si="14"/>
        <v>141</v>
      </c>
      <c r="C113" s="10">
        <v>141</v>
      </c>
      <c r="D113" s="9" t="s">
        <v>1837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1861</v>
      </c>
    </row>
    <row r="114" spans="2:24" ht="13.8" x14ac:dyDescent="0.2">
      <c r="B114" s="8">
        <f t="shared" si="14"/>
        <v>142</v>
      </c>
      <c r="C114" s="10">
        <v>142</v>
      </c>
      <c r="D114" s="9" t="s">
        <v>1838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1862</v>
      </c>
    </row>
    <row r="115" spans="2:24" ht="13.8" x14ac:dyDescent="0.2">
      <c r="B115" s="8">
        <f t="shared" si="14"/>
        <v>144</v>
      </c>
      <c r="C115" s="10">
        <v>144</v>
      </c>
      <c r="D115" s="9" t="s">
        <v>1839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1863</v>
      </c>
    </row>
    <row r="116" spans="2:24" ht="13.8" x14ac:dyDescent="0.2">
      <c r="B116" s="8">
        <f t="shared" si="14"/>
        <v>155</v>
      </c>
      <c r="C116" s="10">
        <v>155</v>
      </c>
      <c r="D116" s="9" t="s">
        <v>1840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1864</v>
      </c>
    </row>
    <row r="117" spans="2:24" ht="13.8" x14ac:dyDescent="0.2">
      <c r="B117" s="8">
        <f t="shared" si="14"/>
        <v>144</v>
      </c>
      <c r="C117" s="10">
        <v>144</v>
      </c>
      <c r="D117" s="9" t="s">
        <v>1839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1863</v>
      </c>
    </row>
    <row r="118" spans="2:24" ht="13.8" x14ac:dyDescent="0.2">
      <c r="B118" s="8">
        <f t="shared" si="14"/>
        <v>152</v>
      </c>
      <c r="C118" s="10">
        <v>152</v>
      </c>
      <c r="D118" s="9" t="s">
        <v>1069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1212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1212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1036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1072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1064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1996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1243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1039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1040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1025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10">
        <v>1</v>
      </c>
      <c r="C4" s="10">
        <v>13</v>
      </c>
      <c r="D4" s="13" t="s">
        <v>1177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1997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1269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2001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1194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1999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A566-C340-4A97-BC31-6BD1694ADB78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8"/>
      <c r="C2" s="158"/>
      <c r="D2" s="158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7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7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ref="M130:M193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R5" sqref="R5"/>
    </sheetView>
  </sheetViews>
  <sheetFormatPr defaultRowHeight="13.2" x14ac:dyDescent="0.2"/>
  <sheetData>
    <row r="1" spans="1:27" ht="39.6" customHeight="1" x14ac:dyDescent="0.2">
      <c r="B1" s="1" t="s">
        <v>1018</v>
      </c>
      <c r="C1" s="1" t="s">
        <v>1019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1020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959</v>
      </c>
      <c r="V1" s="1" t="s">
        <v>960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51" t="s">
        <v>2056</v>
      </c>
      <c r="O2" s="151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2017</v>
      </c>
      <c r="B5" s="25" t="s">
        <v>2071</v>
      </c>
      <c r="C5" t="s">
        <v>2071</v>
      </c>
      <c r="D5" s="16" t="s">
        <v>2071</v>
      </c>
      <c r="E5" t="s">
        <v>2071</v>
      </c>
      <c r="F5" t="s">
        <v>2071</v>
      </c>
      <c r="G5" s="24" t="s">
        <v>2071</v>
      </c>
      <c r="H5" s="24" t="s">
        <v>2071</v>
      </c>
      <c r="I5" s="24" t="s">
        <v>2071</v>
      </c>
      <c r="J5" s="24" t="s">
        <v>2071</v>
      </c>
      <c r="K5" s="24" t="s">
        <v>2071</v>
      </c>
      <c r="L5" s="24" t="s">
        <v>2071</v>
      </c>
      <c r="M5" s="24" t="s">
        <v>2071</v>
      </c>
      <c r="N5" t="s">
        <v>2071</v>
      </c>
      <c r="O5" s="24" t="s">
        <v>2071</v>
      </c>
      <c r="P5" s="24" t="s">
        <v>2071</v>
      </c>
      <c r="Q5" s="24" t="s">
        <v>2071</v>
      </c>
      <c r="R5" s="24" t="s">
        <v>2071</v>
      </c>
      <c r="S5" s="24" t="s">
        <v>2071</v>
      </c>
      <c r="T5" s="24" t="s">
        <v>2071</v>
      </c>
      <c r="U5" s="24" t="s">
        <v>2071</v>
      </c>
      <c r="V5" s="24" t="s">
        <v>2071</v>
      </c>
      <c r="W5" s="16" t="s">
        <v>2071</v>
      </c>
      <c r="X5" s="16" t="s">
        <v>2071</v>
      </c>
      <c r="Y5" s="16" t="s">
        <v>2071</v>
      </c>
      <c r="Z5" s="16" t="s">
        <v>2071</v>
      </c>
      <c r="AA5" t="s">
        <v>2071</v>
      </c>
    </row>
    <row r="6" spans="1:27" x14ac:dyDescent="0.2">
      <c r="A6" t="s">
        <v>2017</v>
      </c>
      <c r="B6" s="15" t="s">
        <v>2071</v>
      </c>
      <c r="C6" t="s">
        <v>2071</v>
      </c>
      <c r="D6" s="16" t="s">
        <v>2071</v>
      </c>
      <c r="E6" t="s">
        <v>2071</v>
      </c>
      <c r="F6" t="s">
        <v>2071</v>
      </c>
      <c r="G6" t="s">
        <v>2071</v>
      </c>
      <c r="H6" t="s">
        <v>2071</v>
      </c>
      <c r="I6" t="s">
        <v>2071</v>
      </c>
      <c r="J6" t="s">
        <v>2071</v>
      </c>
      <c r="K6" t="s">
        <v>2071</v>
      </c>
      <c r="L6" t="s">
        <v>2071</v>
      </c>
      <c r="M6" t="s">
        <v>2071</v>
      </c>
      <c r="N6" t="s">
        <v>2071</v>
      </c>
      <c r="O6" t="s">
        <v>2071</v>
      </c>
      <c r="P6" t="s">
        <v>2071</v>
      </c>
      <c r="Q6" t="s">
        <v>2071</v>
      </c>
      <c r="R6" t="s">
        <v>2071</v>
      </c>
      <c r="S6" t="s">
        <v>2071</v>
      </c>
      <c r="T6" t="s">
        <v>2071</v>
      </c>
      <c r="U6" t="s">
        <v>2071</v>
      </c>
      <c r="V6" t="s">
        <v>2071</v>
      </c>
      <c r="W6" s="16" t="s">
        <v>2071</v>
      </c>
      <c r="X6" s="16" t="s">
        <v>2071</v>
      </c>
      <c r="Y6" s="16" t="s">
        <v>2071</v>
      </c>
      <c r="Z6" s="16" t="s">
        <v>2071</v>
      </c>
      <c r="AA6" t="s">
        <v>2071</v>
      </c>
    </row>
    <row r="7" spans="1:27" x14ac:dyDescent="0.2">
      <c r="A7" t="s">
        <v>2017</v>
      </c>
      <c r="B7" s="15" t="s">
        <v>2071</v>
      </c>
      <c r="C7" t="s">
        <v>2071</v>
      </c>
      <c r="D7" s="16" t="s">
        <v>2071</v>
      </c>
      <c r="E7" t="s">
        <v>2071</v>
      </c>
      <c r="F7" t="s">
        <v>2071</v>
      </c>
      <c r="G7" t="s">
        <v>2071</v>
      </c>
      <c r="H7" t="s">
        <v>2071</v>
      </c>
      <c r="I7" t="s">
        <v>2071</v>
      </c>
      <c r="J7" t="s">
        <v>2071</v>
      </c>
      <c r="K7" t="s">
        <v>2071</v>
      </c>
      <c r="L7" t="s">
        <v>2071</v>
      </c>
      <c r="M7" t="s">
        <v>2071</v>
      </c>
      <c r="N7" t="s">
        <v>2071</v>
      </c>
      <c r="O7" t="s">
        <v>2071</v>
      </c>
      <c r="P7" t="s">
        <v>2071</v>
      </c>
      <c r="Q7" t="s">
        <v>2071</v>
      </c>
      <c r="R7" t="s">
        <v>2071</v>
      </c>
      <c r="S7" t="s">
        <v>2071</v>
      </c>
      <c r="T7" t="s">
        <v>2071</v>
      </c>
      <c r="U7" t="s">
        <v>2071</v>
      </c>
      <c r="V7" t="s">
        <v>2071</v>
      </c>
      <c r="W7" s="16" t="s">
        <v>2071</v>
      </c>
      <c r="X7" s="16" t="s">
        <v>2071</v>
      </c>
      <c r="Y7" s="16" t="s">
        <v>2071</v>
      </c>
      <c r="Z7" s="16" t="s">
        <v>2071</v>
      </c>
      <c r="AA7" t="s">
        <v>2071</v>
      </c>
    </row>
    <row r="8" spans="1:27" x14ac:dyDescent="0.2">
      <c r="A8" t="s">
        <v>2017</v>
      </c>
      <c r="B8" s="15" t="s">
        <v>2071</v>
      </c>
      <c r="C8" t="s">
        <v>2071</v>
      </c>
      <c r="D8" s="16" t="s">
        <v>2071</v>
      </c>
      <c r="E8" t="s">
        <v>2071</v>
      </c>
      <c r="F8" t="s">
        <v>2071</v>
      </c>
      <c r="G8" t="s">
        <v>2071</v>
      </c>
      <c r="H8" t="s">
        <v>2071</v>
      </c>
      <c r="I8" t="s">
        <v>2071</v>
      </c>
      <c r="J8" t="s">
        <v>2071</v>
      </c>
      <c r="K8" t="s">
        <v>2071</v>
      </c>
      <c r="L8" t="s">
        <v>2071</v>
      </c>
      <c r="M8" t="s">
        <v>2071</v>
      </c>
      <c r="N8" t="s">
        <v>2071</v>
      </c>
      <c r="O8" t="s">
        <v>2071</v>
      </c>
      <c r="P8" t="s">
        <v>2071</v>
      </c>
      <c r="Q8" t="s">
        <v>2071</v>
      </c>
      <c r="R8" t="s">
        <v>2071</v>
      </c>
      <c r="S8" t="s">
        <v>2071</v>
      </c>
      <c r="T8" t="s">
        <v>2071</v>
      </c>
      <c r="U8" t="s">
        <v>2071</v>
      </c>
      <c r="V8" t="s">
        <v>2071</v>
      </c>
      <c r="W8" s="16" t="s">
        <v>2071</v>
      </c>
      <c r="X8" s="16" t="s">
        <v>2071</v>
      </c>
      <c r="Y8" s="16" t="s">
        <v>2071</v>
      </c>
      <c r="Z8" s="16" t="s">
        <v>2071</v>
      </c>
      <c r="AA8" t="s">
        <v>2071</v>
      </c>
    </row>
    <row r="9" spans="1:27" x14ac:dyDescent="0.2">
      <c r="A9" t="s">
        <v>2017</v>
      </c>
      <c r="B9" s="15" t="s">
        <v>2071</v>
      </c>
      <c r="C9" t="s">
        <v>2071</v>
      </c>
      <c r="D9" s="16" t="s">
        <v>2071</v>
      </c>
      <c r="E9" t="s">
        <v>2071</v>
      </c>
      <c r="F9" t="s">
        <v>2071</v>
      </c>
      <c r="G9" t="s">
        <v>2071</v>
      </c>
      <c r="H9" t="s">
        <v>2071</v>
      </c>
      <c r="I9" t="s">
        <v>2071</v>
      </c>
      <c r="J9" t="s">
        <v>2071</v>
      </c>
      <c r="K9" t="s">
        <v>2071</v>
      </c>
      <c r="L9" t="s">
        <v>2071</v>
      </c>
      <c r="M9" t="s">
        <v>2071</v>
      </c>
      <c r="N9" t="s">
        <v>2071</v>
      </c>
      <c r="O9" t="s">
        <v>2071</v>
      </c>
      <c r="P9" t="s">
        <v>2071</v>
      </c>
      <c r="Q9" t="s">
        <v>2071</v>
      </c>
      <c r="R9" t="s">
        <v>2071</v>
      </c>
      <c r="S9" t="s">
        <v>2071</v>
      </c>
      <c r="T9" t="s">
        <v>2071</v>
      </c>
      <c r="U9" t="s">
        <v>2071</v>
      </c>
      <c r="V9" t="s">
        <v>2071</v>
      </c>
      <c r="W9" s="16" t="s">
        <v>2071</v>
      </c>
      <c r="X9" s="16" t="s">
        <v>2071</v>
      </c>
      <c r="Y9" s="16" t="s">
        <v>2071</v>
      </c>
      <c r="Z9" s="16" t="s">
        <v>2071</v>
      </c>
      <c r="AA9" t="s">
        <v>2071</v>
      </c>
    </row>
    <row r="10" spans="1:27" x14ac:dyDescent="0.2">
      <c r="A10" t="s">
        <v>2017</v>
      </c>
      <c r="B10" s="15" t="s">
        <v>2071</v>
      </c>
      <c r="C10" t="s">
        <v>2071</v>
      </c>
      <c r="D10" s="16" t="s">
        <v>2071</v>
      </c>
      <c r="E10" t="s">
        <v>2071</v>
      </c>
      <c r="F10" t="s">
        <v>2071</v>
      </c>
      <c r="G10" t="s">
        <v>2071</v>
      </c>
      <c r="H10" t="s">
        <v>2071</v>
      </c>
      <c r="I10" t="s">
        <v>2071</v>
      </c>
      <c r="J10" t="s">
        <v>2071</v>
      </c>
      <c r="K10" t="s">
        <v>2071</v>
      </c>
      <c r="L10" t="s">
        <v>2071</v>
      </c>
      <c r="M10" t="s">
        <v>2071</v>
      </c>
      <c r="N10" t="s">
        <v>2071</v>
      </c>
      <c r="O10" t="s">
        <v>2071</v>
      </c>
      <c r="P10" t="s">
        <v>2071</v>
      </c>
      <c r="Q10" t="s">
        <v>2071</v>
      </c>
      <c r="R10" t="s">
        <v>2071</v>
      </c>
      <c r="S10" t="s">
        <v>2071</v>
      </c>
      <c r="T10" t="s">
        <v>2071</v>
      </c>
      <c r="U10" t="s">
        <v>2071</v>
      </c>
      <c r="V10" t="s">
        <v>2071</v>
      </c>
      <c r="W10" s="16" t="s">
        <v>2071</v>
      </c>
      <c r="X10" s="16" t="s">
        <v>2071</v>
      </c>
      <c r="Y10" s="16" t="s">
        <v>2071</v>
      </c>
      <c r="Z10" s="16" t="s">
        <v>2071</v>
      </c>
      <c r="AA10" t="s">
        <v>2071</v>
      </c>
    </row>
    <row r="11" spans="1:27" x14ac:dyDescent="0.2">
      <c r="A11" t="s">
        <v>2017</v>
      </c>
      <c r="B11" s="15" t="s">
        <v>2071</v>
      </c>
      <c r="C11" t="s">
        <v>2071</v>
      </c>
      <c r="D11" s="16" t="s">
        <v>2071</v>
      </c>
      <c r="E11" t="s">
        <v>2071</v>
      </c>
      <c r="F11" t="s">
        <v>2071</v>
      </c>
      <c r="G11" t="s">
        <v>2071</v>
      </c>
      <c r="H11" t="s">
        <v>2071</v>
      </c>
      <c r="I11" t="s">
        <v>2071</v>
      </c>
      <c r="J11" t="s">
        <v>2071</v>
      </c>
      <c r="K11" t="s">
        <v>2071</v>
      </c>
      <c r="L11" t="s">
        <v>2071</v>
      </c>
      <c r="M11" t="s">
        <v>2071</v>
      </c>
      <c r="N11" t="s">
        <v>2071</v>
      </c>
      <c r="O11" t="s">
        <v>2071</v>
      </c>
      <c r="P11" t="s">
        <v>2071</v>
      </c>
      <c r="Q11" t="s">
        <v>2071</v>
      </c>
      <c r="R11" t="s">
        <v>2071</v>
      </c>
      <c r="S11" t="s">
        <v>2071</v>
      </c>
      <c r="T11" t="s">
        <v>2071</v>
      </c>
      <c r="U11" t="s">
        <v>2071</v>
      </c>
      <c r="V11" t="s">
        <v>2071</v>
      </c>
      <c r="W11" s="16" t="s">
        <v>2071</v>
      </c>
      <c r="X11" s="16" t="s">
        <v>2071</v>
      </c>
      <c r="Y11" s="16" t="s">
        <v>2071</v>
      </c>
      <c r="Z11" s="16" t="s">
        <v>2071</v>
      </c>
      <c r="AA11" t="s">
        <v>2071</v>
      </c>
    </row>
    <row r="12" spans="1:27" x14ac:dyDescent="0.2">
      <c r="A12" t="s">
        <v>223</v>
      </c>
      <c r="B12" s="15" t="s">
        <v>2071</v>
      </c>
      <c r="C12" t="s">
        <v>2071</v>
      </c>
      <c r="D12" s="16" t="s">
        <v>2071</v>
      </c>
      <c r="E12" t="s">
        <v>2071</v>
      </c>
      <c r="F12" t="s">
        <v>2071</v>
      </c>
      <c r="G12" t="s">
        <v>2071</v>
      </c>
      <c r="H12" t="s">
        <v>2071</v>
      </c>
      <c r="I12" t="s">
        <v>2071</v>
      </c>
      <c r="J12" t="s">
        <v>2071</v>
      </c>
      <c r="K12" t="s">
        <v>2071</v>
      </c>
      <c r="L12" t="s">
        <v>2071</v>
      </c>
      <c r="M12" t="s">
        <v>2071</v>
      </c>
      <c r="N12" t="s">
        <v>2071</v>
      </c>
      <c r="O12" t="s">
        <v>2071</v>
      </c>
      <c r="P12" t="s">
        <v>2071</v>
      </c>
      <c r="Q12" t="s">
        <v>2071</v>
      </c>
      <c r="R12" t="s">
        <v>2071</v>
      </c>
      <c r="S12" t="s">
        <v>2071</v>
      </c>
      <c r="T12" t="s">
        <v>2071</v>
      </c>
      <c r="U12" t="s">
        <v>2071</v>
      </c>
      <c r="V12" t="s">
        <v>2071</v>
      </c>
      <c r="W12" s="16" t="s">
        <v>2071</v>
      </c>
      <c r="X12" s="16" t="s">
        <v>2071</v>
      </c>
      <c r="Y12" s="16" t="s">
        <v>2071</v>
      </c>
      <c r="Z12" s="16" t="s">
        <v>2071</v>
      </c>
      <c r="AA12" t="s">
        <v>2071</v>
      </c>
    </row>
    <row r="13" spans="1:27" x14ac:dyDescent="0.2">
      <c r="A13" t="s">
        <v>223</v>
      </c>
      <c r="B13" s="15" t="s">
        <v>2071</v>
      </c>
      <c r="C13" t="s">
        <v>2071</v>
      </c>
      <c r="D13" s="16" t="s">
        <v>2071</v>
      </c>
      <c r="E13" t="s">
        <v>2071</v>
      </c>
      <c r="F13" t="s">
        <v>2071</v>
      </c>
      <c r="G13" t="s">
        <v>2071</v>
      </c>
      <c r="H13" t="s">
        <v>2071</v>
      </c>
      <c r="I13" t="s">
        <v>2071</v>
      </c>
      <c r="J13" t="s">
        <v>2071</v>
      </c>
      <c r="K13" t="s">
        <v>2071</v>
      </c>
      <c r="L13" t="s">
        <v>2071</v>
      </c>
      <c r="M13" t="s">
        <v>2071</v>
      </c>
      <c r="N13" t="s">
        <v>2071</v>
      </c>
      <c r="O13" t="s">
        <v>2071</v>
      </c>
      <c r="P13" t="s">
        <v>2071</v>
      </c>
      <c r="Q13" t="s">
        <v>2071</v>
      </c>
      <c r="R13" t="s">
        <v>2071</v>
      </c>
      <c r="S13" t="s">
        <v>2071</v>
      </c>
      <c r="T13" t="s">
        <v>2071</v>
      </c>
      <c r="U13" t="s">
        <v>2071</v>
      </c>
      <c r="V13" t="s">
        <v>2071</v>
      </c>
      <c r="W13" s="16" t="s">
        <v>2071</v>
      </c>
      <c r="X13" s="16" t="s">
        <v>2071</v>
      </c>
      <c r="Y13" s="16" t="s">
        <v>2071</v>
      </c>
      <c r="Z13" s="16" t="s">
        <v>2071</v>
      </c>
      <c r="AA13" t="s">
        <v>2071</v>
      </c>
    </row>
    <row r="14" spans="1:27" x14ac:dyDescent="0.2">
      <c r="A14" t="s">
        <v>223</v>
      </c>
      <c r="B14" s="15" t="s">
        <v>2071</v>
      </c>
      <c r="C14" t="s">
        <v>2071</v>
      </c>
      <c r="D14" s="16" t="s">
        <v>2071</v>
      </c>
      <c r="E14" t="s">
        <v>2071</v>
      </c>
      <c r="F14" t="s">
        <v>2071</v>
      </c>
      <c r="G14" t="s">
        <v>2071</v>
      </c>
      <c r="H14" t="s">
        <v>2071</v>
      </c>
      <c r="I14" t="s">
        <v>2071</v>
      </c>
      <c r="J14" t="s">
        <v>2071</v>
      </c>
      <c r="K14" t="s">
        <v>2071</v>
      </c>
      <c r="L14" t="s">
        <v>2071</v>
      </c>
      <c r="M14" t="s">
        <v>2071</v>
      </c>
      <c r="N14" t="s">
        <v>2071</v>
      </c>
      <c r="O14" t="s">
        <v>2071</v>
      </c>
      <c r="P14" t="s">
        <v>2071</v>
      </c>
      <c r="Q14" t="s">
        <v>2071</v>
      </c>
      <c r="R14" t="s">
        <v>2071</v>
      </c>
      <c r="S14" t="s">
        <v>2071</v>
      </c>
      <c r="T14" t="s">
        <v>2071</v>
      </c>
      <c r="U14" t="s">
        <v>2071</v>
      </c>
      <c r="V14" t="s">
        <v>2071</v>
      </c>
      <c r="W14" s="16" t="s">
        <v>2071</v>
      </c>
      <c r="X14" s="16" t="s">
        <v>2071</v>
      </c>
      <c r="Y14" s="16" t="s">
        <v>2071</v>
      </c>
      <c r="Z14" s="16" t="s">
        <v>2071</v>
      </c>
      <c r="AA14" t="s">
        <v>2071</v>
      </c>
    </row>
    <row r="15" spans="1:27" x14ac:dyDescent="0.2">
      <c r="A15" t="s">
        <v>223</v>
      </c>
      <c r="B15" s="15" t="s">
        <v>2071</v>
      </c>
      <c r="C15" t="s">
        <v>2071</v>
      </c>
      <c r="D15" s="16" t="s">
        <v>2071</v>
      </c>
      <c r="E15" t="s">
        <v>2071</v>
      </c>
      <c r="F15" t="s">
        <v>2071</v>
      </c>
      <c r="G15" t="s">
        <v>2071</v>
      </c>
      <c r="H15" t="s">
        <v>2071</v>
      </c>
      <c r="I15" t="s">
        <v>2071</v>
      </c>
      <c r="J15" t="s">
        <v>2071</v>
      </c>
      <c r="K15" t="s">
        <v>2071</v>
      </c>
      <c r="L15" t="s">
        <v>2071</v>
      </c>
      <c r="M15" t="s">
        <v>2071</v>
      </c>
      <c r="N15" t="s">
        <v>2071</v>
      </c>
      <c r="O15" t="s">
        <v>2071</v>
      </c>
      <c r="P15" t="s">
        <v>2071</v>
      </c>
      <c r="Q15" t="s">
        <v>2071</v>
      </c>
      <c r="R15" t="s">
        <v>2071</v>
      </c>
      <c r="S15" t="s">
        <v>2071</v>
      </c>
      <c r="T15" t="s">
        <v>2071</v>
      </c>
      <c r="U15" t="s">
        <v>2071</v>
      </c>
      <c r="V15" t="s">
        <v>2071</v>
      </c>
      <c r="W15" s="16" t="s">
        <v>2071</v>
      </c>
      <c r="X15" s="16" t="s">
        <v>2071</v>
      </c>
      <c r="Y15" s="16" t="s">
        <v>2071</v>
      </c>
      <c r="Z15" s="16" t="s">
        <v>2071</v>
      </c>
      <c r="AA15" t="s">
        <v>2071</v>
      </c>
    </row>
    <row r="16" spans="1:27" x14ac:dyDescent="0.2">
      <c r="A16" t="s">
        <v>223</v>
      </c>
      <c r="B16" s="15" t="s">
        <v>2071</v>
      </c>
      <c r="C16" t="s">
        <v>2071</v>
      </c>
      <c r="D16" s="16" t="s">
        <v>2071</v>
      </c>
      <c r="E16" t="s">
        <v>2071</v>
      </c>
      <c r="F16" t="s">
        <v>2071</v>
      </c>
      <c r="G16" t="s">
        <v>2071</v>
      </c>
      <c r="H16" t="s">
        <v>2071</v>
      </c>
      <c r="I16" t="s">
        <v>2071</v>
      </c>
      <c r="J16" t="s">
        <v>2071</v>
      </c>
      <c r="K16" t="s">
        <v>2071</v>
      </c>
      <c r="L16" t="s">
        <v>2071</v>
      </c>
      <c r="M16" t="s">
        <v>2071</v>
      </c>
      <c r="N16" t="s">
        <v>2071</v>
      </c>
      <c r="O16" t="s">
        <v>2071</v>
      </c>
      <c r="P16" t="s">
        <v>2071</v>
      </c>
      <c r="Q16" t="s">
        <v>2071</v>
      </c>
      <c r="R16" t="s">
        <v>2071</v>
      </c>
      <c r="S16" t="s">
        <v>2071</v>
      </c>
      <c r="T16" t="s">
        <v>2071</v>
      </c>
      <c r="U16" t="s">
        <v>2071</v>
      </c>
      <c r="V16" t="s">
        <v>2071</v>
      </c>
      <c r="W16" s="16" t="s">
        <v>2071</v>
      </c>
      <c r="X16" s="16" t="s">
        <v>2071</v>
      </c>
      <c r="Y16" s="16" t="s">
        <v>2071</v>
      </c>
      <c r="Z16" s="16" t="s">
        <v>2071</v>
      </c>
      <c r="AA16" t="s">
        <v>2071</v>
      </c>
    </row>
    <row r="17" spans="1:27" x14ac:dyDescent="0.2">
      <c r="A17" t="s">
        <v>223</v>
      </c>
      <c r="B17" s="15" t="s">
        <v>2071</v>
      </c>
      <c r="C17" t="s">
        <v>2071</v>
      </c>
      <c r="D17" s="16" t="s">
        <v>2071</v>
      </c>
      <c r="E17" t="s">
        <v>2071</v>
      </c>
      <c r="F17" t="s">
        <v>2071</v>
      </c>
      <c r="G17" t="s">
        <v>2071</v>
      </c>
      <c r="H17" t="s">
        <v>2071</v>
      </c>
      <c r="I17" t="s">
        <v>2071</v>
      </c>
      <c r="J17" t="s">
        <v>2071</v>
      </c>
      <c r="K17" t="s">
        <v>2071</v>
      </c>
      <c r="L17" t="s">
        <v>2071</v>
      </c>
      <c r="M17" t="s">
        <v>2071</v>
      </c>
      <c r="N17" t="s">
        <v>2071</v>
      </c>
      <c r="O17" t="s">
        <v>2071</v>
      </c>
      <c r="P17" t="s">
        <v>2071</v>
      </c>
      <c r="Q17" t="s">
        <v>2071</v>
      </c>
      <c r="R17" t="s">
        <v>2071</v>
      </c>
      <c r="S17" t="s">
        <v>2071</v>
      </c>
      <c r="T17" t="s">
        <v>2071</v>
      </c>
      <c r="U17" t="s">
        <v>2071</v>
      </c>
      <c r="V17" t="s">
        <v>2071</v>
      </c>
      <c r="W17" s="16" t="s">
        <v>2071</v>
      </c>
      <c r="X17" s="16" t="s">
        <v>2071</v>
      </c>
      <c r="Y17" s="16" t="s">
        <v>2071</v>
      </c>
      <c r="Z17" s="16" t="s">
        <v>2071</v>
      </c>
      <c r="AA17" t="s">
        <v>2071</v>
      </c>
    </row>
    <row r="18" spans="1:27" x14ac:dyDescent="0.2">
      <c r="A18" t="s">
        <v>223</v>
      </c>
      <c r="B18" s="15" t="s">
        <v>2071</v>
      </c>
      <c r="C18" t="s">
        <v>2071</v>
      </c>
      <c r="D18" s="16" t="s">
        <v>2071</v>
      </c>
      <c r="E18" t="s">
        <v>2071</v>
      </c>
      <c r="F18" t="s">
        <v>2071</v>
      </c>
      <c r="G18" t="s">
        <v>2071</v>
      </c>
      <c r="H18" t="s">
        <v>2071</v>
      </c>
      <c r="I18" t="s">
        <v>2071</v>
      </c>
      <c r="J18" t="s">
        <v>2071</v>
      </c>
      <c r="K18" t="s">
        <v>2071</v>
      </c>
      <c r="L18" t="s">
        <v>2071</v>
      </c>
      <c r="M18" t="s">
        <v>2071</v>
      </c>
      <c r="N18" t="s">
        <v>2071</v>
      </c>
      <c r="O18" t="s">
        <v>2071</v>
      </c>
      <c r="P18" t="s">
        <v>2071</v>
      </c>
      <c r="Q18" t="s">
        <v>2071</v>
      </c>
      <c r="R18" t="s">
        <v>2071</v>
      </c>
      <c r="S18" t="s">
        <v>2071</v>
      </c>
      <c r="T18" t="s">
        <v>2071</v>
      </c>
      <c r="U18" t="s">
        <v>2071</v>
      </c>
      <c r="V18" t="s">
        <v>2071</v>
      </c>
      <c r="W18" s="16" t="s">
        <v>2071</v>
      </c>
      <c r="X18" s="16" t="s">
        <v>2071</v>
      </c>
      <c r="Y18" s="16" t="s">
        <v>2071</v>
      </c>
      <c r="Z18" s="16" t="s">
        <v>2071</v>
      </c>
      <c r="AA18" t="s">
        <v>2071</v>
      </c>
    </row>
    <row r="19" spans="1:27" x14ac:dyDescent="0.2">
      <c r="A19" t="s">
        <v>223</v>
      </c>
      <c r="B19" s="15" t="s">
        <v>2071</v>
      </c>
      <c r="C19" t="s">
        <v>2071</v>
      </c>
      <c r="D19" s="16" t="s">
        <v>2071</v>
      </c>
      <c r="E19" t="s">
        <v>2071</v>
      </c>
      <c r="F19" t="s">
        <v>2071</v>
      </c>
      <c r="G19" t="s">
        <v>2071</v>
      </c>
      <c r="H19" t="s">
        <v>2071</v>
      </c>
      <c r="I19" t="s">
        <v>2071</v>
      </c>
      <c r="J19" t="s">
        <v>2071</v>
      </c>
      <c r="K19" t="s">
        <v>2071</v>
      </c>
      <c r="L19" t="s">
        <v>2071</v>
      </c>
      <c r="M19" t="s">
        <v>2071</v>
      </c>
      <c r="N19" t="s">
        <v>2071</v>
      </c>
      <c r="O19" t="s">
        <v>2071</v>
      </c>
      <c r="P19" t="s">
        <v>2071</v>
      </c>
      <c r="Q19" t="s">
        <v>2071</v>
      </c>
      <c r="R19" t="s">
        <v>2071</v>
      </c>
      <c r="S19" t="s">
        <v>2071</v>
      </c>
      <c r="T19" t="s">
        <v>2071</v>
      </c>
      <c r="U19" t="s">
        <v>2071</v>
      </c>
      <c r="V19" t="s">
        <v>2071</v>
      </c>
      <c r="W19" s="16" t="s">
        <v>2071</v>
      </c>
      <c r="X19" s="16" t="s">
        <v>2071</v>
      </c>
      <c r="Y19" s="16" t="s">
        <v>2071</v>
      </c>
      <c r="Z19" s="16" t="s">
        <v>2071</v>
      </c>
      <c r="AA19" t="s">
        <v>2071</v>
      </c>
    </row>
    <row r="20" spans="1:27" x14ac:dyDescent="0.2">
      <c r="A20" t="s">
        <v>223</v>
      </c>
      <c r="B20" s="15" t="s">
        <v>2071</v>
      </c>
      <c r="C20" t="s">
        <v>2071</v>
      </c>
      <c r="D20" s="16" t="s">
        <v>2071</v>
      </c>
      <c r="E20" t="s">
        <v>2071</v>
      </c>
      <c r="F20" t="s">
        <v>2071</v>
      </c>
      <c r="G20" t="s">
        <v>2071</v>
      </c>
      <c r="H20" t="s">
        <v>2071</v>
      </c>
      <c r="I20" t="s">
        <v>2071</v>
      </c>
      <c r="J20" t="s">
        <v>2071</v>
      </c>
      <c r="K20" t="s">
        <v>2071</v>
      </c>
      <c r="L20" t="s">
        <v>2071</v>
      </c>
      <c r="M20" t="s">
        <v>2071</v>
      </c>
      <c r="N20" t="s">
        <v>2071</v>
      </c>
      <c r="O20" t="s">
        <v>2071</v>
      </c>
      <c r="P20" t="s">
        <v>2071</v>
      </c>
      <c r="Q20" t="s">
        <v>2071</v>
      </c>
      <c r="R20" t="s">
        <v>2071</v>
      </c>
      <c r="S20" t="s">
        <v>2071</v>
      </c>
      <c r="T20" t="s">
        <v>2071</v>
      </c>
      <c r="U20" t="s">
        <v>2071</v>
      </c>
      <c r="V20" t="s">
        <v>2071</v>
      </c>
      <c r="W20" s="16" t="s">
        <v>2071</v>
      </c>
      <c r="X20" s="16" t="s">
        <v>2071</v>
      </c>
      <c r="Y20" s="16" t="s">
        <v>2071</v>
      </c>
      <c r="Z20" s="16" t="s">
        <v>2071</v>
      </c>
      <c r="AA20" t="s">
        <v>2071</v>
      </c>
    </row>
    <row r="21" spans="1:27" x14ac:dyDescent="0.2">
      <c r="A21" t="s">
        <v>223</v>
      </c>
      <c r="B21" s="15" t="s">
        <v>2071</v>
      </c>
      <c r="C21" t="s">
        <v>2071</v>
      </c>
      <c r="D21" s="16" t="s">
        <v>2071</v>
      </c>
      <c r="E21" t="s">
        <v>2071</v>
      </c>
      <c r="F21" t="s">
        <v>2071</v>
      </c>
      <c r="G21" t="s">
        <v>2071</v>
      </c>
      <c r="H21" t="s">
        <v>2071</v>
      </c>
      <c r="I21" t="s">
        <v>2071</v>
      </c>
      <c r="J21" t="s">
        <v>2071</v>
      </c>
      <c r="K21" t="s">
        <v>2071</v>
      </c>
      <c r="L21" t="s">
        <v>2071</v>
      </c>
      <c r="M21" t="s">
        <v>2071</v>
      </c>
      <c r="N21" t="s">
        <v>2071</v>
      </c>
      <c r="O21" t="s">
        <v>2071</v>
      </c>
      <c r="P21" t="s">
        <v>2071</v>
      </c>
      <c r="Q21" t="s">
        <v>2071</v>
      </c>
      <c r="R21" t="s">
        <v>2071</v>
      </c>
      <c r="S21" t="s">
        <v>2071</v>
      </c>
      <c r="T21" t="s">
        <v>2071</v>
      </c>
      <c r="U21" t="s">
        <v>2071</v>
      </c>
      <c r="V21" t="s">
        <v>2071</v>
      </c>
      <c r="W21" s="16" t="s">
        <v>2071</v>
      </c>
      <c r="X21" s="16" t="s">
        <v>2071</v>
      </c>
      <c r="Y21" s="16" t="s">
        <v>2071</v>
      </c>
      <c r="Z21" s="16" t="s">
        <v>2071</v>
      </c>
      <c r="AA21" t="s">
        <v>2071</v>
      </c>
    </row>
    <row r="22" spans="1:27" x14ac:dyDescent="0.2">
      <c r="A22" t="s">
        <v>223</v>
      </c>
      <c r="B22" s="15" t="s">
        <v>2071</v>
      </c>
      <c r="C22" t="s">
        <v>2071</v>
      </c>
      <c r="D22" s="16" t="s">
        <v>2071</v>
      </c>
      <c r="E22" t="s">
        <v>2071</v>
      </c>
      <c r="F22" t="s">
        <v>2071</v>
      </c>
      <c r="G22" t="s">
        <v>2071</v>
      </c>
      <c r="H22" t="s">
        <v>2071</v>
      </c>
      <c r="I22" t="s">
        <v>2071</v>
      </c>
      <c r="J22" t="s">
        <v>2071</v>
      </c>
      <c r="K22" t="s">
        <v>2071</v>
      </c>
      <c r="L22" t="s">
        <v>2071</v>
      </c>
      <c r="M22" t="s">
        <v>2071</v>
      </c>
      <c r="N22" t="s">
        <v>2071</v>
      </c>
      <c r="O22" t="s">
        <v>2071</v>
      </c>
      <c r="P22" t="s">
        <v>2071</v>
      </c>
      <c r="Q22" t="s">
        <v>2071</v>
      </c>
      <c r="R22" t="s">
        <v>2071</v>
      </c>
      <c r="S22" t="s">
        <v>2071</v>
      </c>
      <c r="T22" t="s">
        <v>2071</v>
      </c>
      <c r="U22" t="s">
        <v>2071</v>
      </c>
      <c r="V22" t="s">
        <v>2071</v>
      </c>
      <c r="W22" s="16" t="s">
        <v>2071</v>
      </c>
      <c r="X22" s="16" t="s">
        <v>2071</v>
      </c>
      <c r="Y22" s="16" t="s">
        <v>2071</v>
      </c>
      <c r="Z22" s="16" t="s">
        <v>2071</v>
      </c>
      <c r="AA22" t="s">
        <v>2071</v>
      </c>
    </row>
    <row r="23" spans="1:27" x14ac:dyDescent="0.2">
      <c r="A23" t="s">
        <v>223</v>
      </c>
      <c r="B23" s="15" t="s">
        <v>2071</v>
      </c>
      <c r="C23" t="s">
        <v>2071</v>
      </c>
      <c r="D23" s="16" t="s">
        <v>2071</v>
      </c>
      <c r="E23" t="s">
        <v>2071</v>
      </c>
      <c r="F23" t="s">
        <v>2071</v>
      </c>
      <c r="G23" t="s">
        <v>2071</v>
      </c>
      <c r="H23" t="s">
        <v>2071</v>
      </c>
      <c r="I23" t="s">
        <v>2071</v>
      </c>
      <c r="J23" t="s">
        <v>2071</v>
      </c>
      <c r="K23" t="s">
        <v>2071</v>
      </c>
      <c r="L23" t="s">
        <v>2071</v>
      </c>
      <c r="M23" t="s">
        <v>2071</v>
      </c>
      <c r="N23" t="s">
        <v>2071</v>
      </c>
      <c r="O23" t="s">
        <v>2071</v>
      </c>
      <c r="P23" t="s">
        <v>2071</v>
      </c>
      <c r="Q23" t="s">
        <v>2071</v>
      </c>
      <c r="R23" t="s">
        <v>2071</v>
      </c>
      <c r="S23" t="s">
        <v>2071</v>
      </c>
      <c r="T23" t="s">
        <v>2071</v>
      </c>
      <c r="U23" t="s">
        <v>2071</v>
      </c>
      <c r="V23" t="s">
        <v>2071</v>
      </c>
      <c r="W23" s="16" t="s">
        <v>2071</v>
      </c>
      <c r="X23" s="16" t="s">
        <v>2071</v>
      </c>
      <c r="Y23" s="16" t="s">
        <v>2071</v>
      </c>
      <c r="Z23" s="16" t="s">
        <v>2071</v>
      </c>
      <c r="AA23" t="s">
        <v>2071</v>
      </c>
    </row>
    <row r="24" spans="1:27" x14ac:dyDescent="0.2">
      <c r="A24" t="s">
        <v>223</v>
      </c>
      <c r="B24" s="15" t="s">
        <v>2071</v>
      </c>
      <c r="C24" t="s">
        <v>2071</v>
      </c>
      <c r="D24" s="16" t="s">
        <v>2071</v>
      </c>
      <c r="E24" t="s">
        <v>2071</v>
      </c>
      <c r="F24" t="s">
        <v>2071</v>
      </c>
      <c r="G24" t="s">
        <v>2071</v>
      </c>
      <c r="H24" t="s">
        <v>2071</v>
      </c>
      <c r="I24" t="s">
        <v>2071</v>
      </c>
      <c r="J24" t="s">
        <v>2071</v>
      </c>
      <c r="K24" t="s">
        <v>2071</v>
      </c>
      <c r="L24" t="s">
        <v>2071</v>
      </c>
      <c r="M24" t="s">
        <v>2071</v>
      </c>
      <c r="N24" t="s">
        <v>2071</v>
      </c>
      <c r="O24" t="s">
        <v>2071</v>
      </c>
      <c r="P24" t="s">
        <v>2071</v>
      </c>
      <c r="Q24" t="s">
        <v>2071</v>
      </c>
      <c r="R24" t="s">
        <v>2071</v>
      </c>
      <c r="S24" t="s">
        <v>2071</v>
      </c>
      <c r="T24" t="s">
        <v>2071</v>
      </c>
      <c r="U24" t="s">
        <v>2071</v>
      </c>
      <c r="V24" t="s">
        <v>2071</v>
      </c>
      <c r="W24" s="16" t="s">
        <v>2071</v>
      </c>
      <c r="X24" s="16" t="s">
        <v>2071</v>
      </c>
      <c r="Y24" s="16" t="s">
        <v>2071</v>
      </c>
      <c r="Z24" s="16" t="s">
        <v>2071</v>
      </c>
      <c r="AA24" t="s">
        <v>2071</v>
      </c>
    </row>
    <row r="25" spans="1:27" x14ac:dyDescent="0.2">
      <c r="A25" t="s">
        <v>223</v>
      </c>
      <c r="B25" s="15" t="s">
        <v>2071</v>
      </c>
      <c r="C25" t="s">
        <v>2071</v>
      </c>
      <c r="D25" s="16" t="s">
        <v>2071</v>
      </c>
      <c r="E25" t="s">
        <v>2071</v>
      </c>
      <c r="F25" t="s">
        <v>2071</v>
      </c>
      <c r="G25" t="s">
        <v>2071</v>
      </c>
      <c r="H25" t="s">
        <v>2071</v>
      </c>
      <c r="I25" t="s">
        <v>2071</v>
      </c>
      <c r="J25" t="s">
        <v>2071</v>
      </c>
      <c r="K25" t="s">
        <v>2071</v>
      </c>
      <c r="L25" t="s">
        <v>2071</v>
      </c>
      <c r="M25" t="s">
        <v>2071</v>
      </c>
      <c r="N25" t="s">
        <v>2071</v>
      </c>
      <c r="O25" t="s">
        <v>2071</v>
      </c>
      <c r="P25" t="s">
        <v>2071</v>
      </c>
      <c r="Q25" t="s">
        <v>2071</v>
      </c>
      <c r="R25" t="s">
        <v>2071</v>
      </c>
      <c r="S25" t="s">
        <v>2071</v>
      </c>
      <c r="T25" t="s">
        <v>2071</v>
      </c>
      <c r="U25" t="s">
        <v>2071</v>
      </c>
      <c r="V25" t="s">
        <v>2071</v>
      </c>
      <c r="W25" s="16" t="s">
        <v>2071</v>
      </c>
      <c r="X25" s="16" t="s">
        <v>2071</v>
      </c>
      <c r="Y25" s="16" t="s">
        <v>2071</v>
      </c>
      <c r="Z25" s="16" t="s">
        <v>2071</v>
      </c>
      <c r="AA25" t="s">
        <v>2071</v>
      </c>
    </row>
    <row r="26" spans="1:27" x14ac:dyDescent="0.2">
      <c r="A26" t="s">
        <v>2018</v>
      </c>
      <c r="B26" s="15" t="s">
        <v>2071</v>
      </c>
      <c r="C26" t="s">
        <v>2071</v>
      </c>
      <c r="D26" s="16" t="s">
        <v>2071</v>
      </c>
      <c r="E26" t="s">
        <v>2071</v>
      </c>
      <c r="F26" t="s">
        <v>2071</v>
      </c>
      <c r="G26" t="s">
        <v>2071</v>
      </c>
      <c r="H26" t="s">
        <v>2071</v>
      </c>
      <c r="I26" t="s">
        <v>2071</v>
      </c>
      <c r="J26" t="s">
        <v>2071</v>
      </c>
      <c r="K26" t="s">
        <v>2071</v>
      </c>
      <c r="L26" t="s">
        <v>2071</v>
      </c>
      <c r="M26" t="s">
        <v>2071</v>
      </c>
      <c r="N26" t="s">
        <v>2071</v>
      </c>
      <c r="O26" t="s">
        <v>2071</v>
      </c>
      <c r="P26" t="s">
        <v>2071</v>
      </c>
      <c r="Q26" t="s">
        <v>2071</v>
      </c>
      <c r="R26" t="s">
        <v>2071</v>
      </c>
      <c r="S26" t="s">
        <v>2071</v>
      </c>
      <c r="T26" t="s">
        <v>2071</v>
      </c>
      <c r="U26" t="s">
        <v>2071</v>
      </c>
      <c r="V26" t="s">
        <v>2071</v>
      </c>
      <c r="W26" s="16" t="s">
        <v>2071</v>
      </c>
      <c r="X26" s="16" t="s">
        <v>2071</v>
      </c>
      <c r="Y26" s="16" t="s">
        <v>2071</v>
      </c>
      <c r="Z26" s="16" t="s">
        <v>2071</v>
      </c>
      <c r="AA26" t="s">
        <v>2071</v>
      </c>
    </row>
    <row r="27" spans="1:27" x14ac:dyDescent="0.2">
      <c r="A27" t="s">
        <v>2018</v>
      </c>
      <c r="B27" s="15" t="s">
        <v>2071</v>
      </c>
      <c r="C27" t="s">
        <v>2071</v>
      </c>
      <c r="D27" s="16" t="s">
        <v>2071</v>
      </c>
      <c r="E27" t="s">
        <v>2071</v>
      </c>
      <c r="F27" t="s">
        <v>2071</v>
      </c>
      <c r="G27" t="s">
        <v>2071</v>
      </c>
      <c r="H27" t="s">
        <v>2071</v>
      </c>
      <c r="I27" t="s">
        <v>2071</v>
      </c>
      <c r="J27" t="s">
        <v>2071</v>
      </c>
      <c r="K27" t="s">
        <v>2071</v>
      </c>
      <c r="L27" t="s">
        <v>2071</v>
      </c>
      <c r="M27" t="s">
        <v>2071</v>
      </c>
      <c r="N27" t="s">
        <v>2071</v>
      </c>
      <c r="O27" t="s">
        <v>2071</v>
      </c>
      <c r="P27" t="s">
        <v>2071</v>
      </c>
      <c r="Q27" t="s">
        <v>2071</v>
      </c>
      <c r="R27" t="s">
        <v>2071</v>
      </c>
      <c r="S27" t="s">
        <v>2071</v>
      </c>
      <c r="T27" t="s">
        <v>2071</v>
      </c>
      <c r="U27" t="s">
        <v>2071</v>
      </c>
      <c r="V27" t="s">
        <v>2071</v>
      </c>
      <c r="W27" s="16" t="s">
        <v>2071</v>
      </c>
      <c r="X27" s="16" t="s">
        <v>2071</v>
      </c>
      <c r="Y27" s="16" t="s">
        <v>2071</v>
      </c>
      <c r="Z27" s="16" t="s">
        <v>2071</v>
      </c>
      <c r="AA27" t="s">
        <v>2071</v>
      </c>
    </row>
    <row r="28" spans="1:27" x14ac:dyDescent="0.2">
      <c r="A28" t="s">
        <v>2018</v>
      </c>
      <c r="B28" s="15" t="s">
        <v>2071</v>
      </c>
      <c r="C28" t="s">
        <v>2071</v>
      </c>
      <c r="D28" s="16" t="s">
        <v>2071</v>
      </c>
      <c r="E28" t="s">
        <v>2071</v>
      </c>
      <c r="F28" t="s">
        <v>2071</v>
      </c>
      <c r="G28" t="s">
        <v>2071</v>
      </c>
      <c r="H28" t="s">
        <v>2071</v>
      </c>
      <c r="I28" t="s">
        <v>2071</v>
      </c>
      <c r="J28" t="s">
        <v>2071</v>
      </c>
      <c r="K28" t="s">
        <v>2071</v>
      </c>
      <c r="L28" t="s">
        <v>2071</v>
      </c>
      <c r="M28" t="s">
        <v>2071</v>
      </c>
      <c r="N28" t="s">
        <v>2071</v>
      </c>
      <c r="O28" t="s">
        <v>2071</v>
      </c>
      <c r="P28" t="s">
        <v>2071</v>
      </c>
      <c r="Q28" t="s">
        <v>2071</v>
      </c>
      <c r="R28" t="s">
        <v>2071</v>
      </c>
      <c r="S28" t="s">
        <v>2071</v>
      </c>
      <c r="T28" t="s">
        <v>2071</v>
      </c>
      <c r="U28" t="s">
        <v>2071</v>
      </c>
      <c r="V28" t="s">
        <v>2071</v>
      </c>
      <c r="W28" s="16" t="s">
        <v>2071</v>
      </c>
      <c r="X28" s="16" t="s">
        <v>2071</v>
      </c>
      <c r="Y28" s="16" t="s">
        <v>2071</v>
      </c>
      <c r="Z28" s="16" t="s">
        <v>2071</v>
      </c>
      <c r="AA28" t="s">
        <v>2071</v>
      </c>
    </row>
    <row r="29" spans="1:27" x14ac:dyDescent="0.2">
      <c r="A29" t="s">
        <v>2018</v>
      </c>
      <c r="B29" s="15" t="s">
        <v>2071</v>
      </c>
      <c r="C29" t="s">
        <v>2071</v>
      </c>
      <c r="D29" s="16" t="s">
        <v>2071</v>
      </c>
      <c r="E29" t="s">
        <v>2071</v>
      </c>
      <c r="F29" t="s">
        <v>2071</v>
      </c>
      <c r="G29" t="s">
        <v>2071</v>
      </c>
      <c r="H29" t="s">
        <v>2071</v>
      </c>
      <c r="I29" t="s">
        <v>2071</v>
      </c>
      <c r="J29" t="s">
        <v>2071</v>
      </c>
      <c r="K29" t="s">
        <v>2071</v>
      </c>
      <c r="L29" t="s">
        <v>2071</v>
      </c>
      <c r="M29" t="s">
        <v>2071</v>
      </c>
      <c r="N29" t="s">
        <v>2071</v>
      </c>
      <c r="O29" t="s">
        <v>2071</v>
      </c>
      <c r="P29" t="s">
        <v>2071</v>
      </c>
      <c r="Q29" t="s">
        <v>2071</v>
      </c>
      <c r="R29" t="s">
        <v>2071</v>
      </c>
      <c r="S29" t="s">
        <v>2071</v>
      </c>
      <c r="T29" t="s">
        <v>2071</v>
      </c>
      <c r="U29" t="s">
        <v>2071</v>
      </c>
      <c r="V29" t="s">
        <v>2071</v>
      </c>
      <c r="W29" s="16" t="s">
        <v>2071</v>
      </c>
      <c r="X29" s="16" t="s">
        <v>2071</v>
      </c>
      <c r="Y29" s="16" t="s">
        <v>2071</v>
      </c>
      <c r="Z29" s="16" t="s">
        <v>2071</v>
      </c>
      <c r="AA29" t="s">
        <v>2071</v>
      </c>
    </row>
    <row r="30" spans="1:27" x14ac:dyDescent="0.2">
      <c r="A30" t="s">
        <v>2018</v>
      </c>
      <c r="B30" s="15" t="s">
        <v>2071</v>
      </c>
      <c r="C30" t="s">
        <v>2071</v>
      </c>
      <c r="D30" s="16" t="s">
        <v>2071</v>
      </c>
      <c r="E30" t="s">
        <v>2071</v>
      </c>
      <c r="F30" t="s">
        <v>2071</v>
      </c>
      <c r="G30" t="s">
        <v>2071</v>
      </c>
      <c r="H30" t="s">
        <v>2071</v>
      </c>
      <c r="I30" t="s">
        <v>2071</v>
      </c>
      <c r="J30" t="s">
        <v>2071</v>
      </c>
      <c r="K30" t="s">
        <v>2071</v>
      </c>
      <c r="L30" t="s">
        <v>2071</v>
      </c>
      <c r="M30" t="s">
        <v>2071</v>
      </c>
      <c r="N30" t="s">
        <v>2071</v>
      </c>
      <c r="O30" t="s">
        <v>2071</v>
      </c>
      <c r="P30" t="s">
        <v>2071</v>
      </c>
      <c r="Q30" t="s">
        <v>2071</v>
      </c>
      <c r="R30" t="s">
        <v>2071</v>
      </c>
      <c r="S30" t="s">
        <v>2071</v>
      </c>
      <c r="T30" t="s">
        <v>2071</v>
      </c>
      <c r="U30" t="s">
        <v>2071</v>
      </c>
      <c r="V30" t="s">
        <v>2071</v>
      </c>
      <c r="W30" s="16" t="s">
        <v>2071</v>
      </c>
      <c r="X30" s="16" t="s">
        <v>2071</v>
      </c>
      <c r="Y30" s="16" t="s">
        <v>2071</v>
      </c>
      <c r="Z30" s="16" t="s">
        <v>2071</v>
      </c>
      <c r="AA30" t="s">
        <v>2071</v>
      </c>
    </row>
    <row r="31" spans="1:27" x14ac:dyDescent="0.2">
      <c r="A31" t="s">
        <v>2018</v>
      </c>
      <c r="B31" s="15" t="s">
        <v>2071</v>
      </c>
      <c r="C31" t="s">
        <v>2071</v>
      </c>
      <c r="D31" s="16" t="s">
        <v>2071</v>
      </c>
      <c r="E31" t="s">
        <v>2071</v>
      </c>
      <c r="F31" t="s">
        <v>2071</v>
      </c>
      <c r="G31" t="s">
        <v>2071</v>
      </c>
      <c r="H31" t="s">
        <v>2071</v>
      </c>
      <c r="I31" t="s">
        <v>2071</v>
      </c>
      <c r="J31" t="s">
        <v>2071</v>
      </c>
      <c r="K31" t="s">
        <v>2071</v>
      </c>
      <c r="L31" t="s">
        <v>2071</v>
      </c>
      <c r="M31" t="s">
        <v>2071</v>
      </c>
      <c r="N31" t="s">
        <v>2071</v>
      </c>
      <c r="O31" t="s">
        <v>2071</v>
      </c>
      <c r="P31" t="s">
        <v>2071</v>
      </c>
      <c r="Q31" t="s">
        <v>2071</v>
      </c>
      <c r="R31" t="s">
        <v>2071</v>
      </c>
      <c r="S31" t="s">
        <v>2071</v>
      </c>
      <c r="T31" t="s">
        <v>2071</v>
      </c>
      <c r="U31" t="s">
        <v>2071</v>
      </c>
      <c r="V31" t="s">
        <v>2071</v>
      </c>
      <c r="W31" s="16" t="s">
        <v>2071</v>
      </c>
      <c r="X31" s="16" t="s">
        <v>2071</v>
      </c>
      <c r="Y31" s="16" t="s">
        <v>2071</v>
      </c>
      <c r="Z31" s="16" t="s">
        <v>2071</v>
      </c>
      <c r="AA31" t="s">
        <v>2071</v>
      </c>
    </row>
    <row r="32" spans="1:27" x14ac:dyDescent="0.2">
      <c r="A32" t="s">
        <v>2018</v>
      </c>
      <c r="B32" s="15" t="s">
        <v>2071</v>
      </c>
      <c r="C32" t="s">
        <v>2071</v>
      </c>
      <c r="D32" s="16" t="s">
        <v>2071</v>
      </c>
      <c r="E32" t="s">
        <v>2071</v>
      </c>
      <c r="F32" t="s">
        <v>2071</v>
      </c>
      <c r="G32" t="s">
        <v>2071</v>
      </c>
      <c r="H32" t="s">
        <v>2071</v>
      </c>
      <c r="I32" t="s">
        <v>2071</v>
      </c>
      <c r="J32" t="s">
        <v>2071</v>
      </c>
      <c r="K32" t="s">
        <v>2071</v>
      </c>
      <c r="L32" t="s">
        <v>2071</v>
      </c>
      <c r="M32" t="s">
        <v>2071</v>
      </c>
      <c r="N32" t="s">
        <v>2071</v>
      </c>
      <c r="O32" t="s">
        <v>2071</v>
      </c>
      <c r="P32" t="s">
        <v>2071</v>
      </c>
      <c r="Q32" t="s">
        <v>2071</v>
      </c>
      <c r="R32" t="s">
        <v>2071</v>
      </c>
      <c r="S32" t="s">
        <v>2071</v>
      </c>
      <c r="T32" t="s">
        <v>2071</v>
      </c>
      <c r="U32" t="s">
        <v>2071</v>
      </c>
      <c r="V32" t="s">
        <v>2071</v>
      </c>
      <c r="W32" s="16" t="s">
        <v>2071</v>
      </c>
      <c r="X32" s="16" t="s">
        <v>2071</v>
      </c>
      <c r="Y32" s="16" t="s">
        <v>2071</v>
      </c>
      <c r="Z32" s="16" t="s">
        <v>2071</v>
      </c>
      <c r="AA32" t="s">
        <v>2071</v>
      </c>
    </row>
    <row r="33" spans="1:27" x14ac:dyDescent="0.2">
      <c r="A33" t="s">
        <v>2018</v>
      </c>
      <c r="B33" s="15" t="s">
        <v>2071</v>
      </c>
      <c r="C33" t="s">
        <v>2071</v>
      </c>
      <c r="D33" s="16" t="s">
        <v>2071</v>
      </c>
      <c r="E33" t="s">
        <v>2071</v>
      </c>
      <c r="F33" t="s">
        <v>2071</v>
      </c>
      <c r="G33" t="s">
        <v>2071</v>
      </c>
      <c r="H33" t="s">
        <v>2071</v>
      </c>
      <c r="I33" t="s">
        <v>2071</v>
      </c>
      <c r="J33" t="s">
        <v>2071</v>
      </c>
      <c r="K33" t="s">
        <v>2071</v>
      </c>
      <c r="L33" t="s">
        <v>2071</v>
      </c>
      <c r="M33" t="s">
        <v>2071</v>
      </c>
      <c r="N33" t="s">
        <v>2071</v>
      </c>
      <c r="O33" t="s">
        <v>2071</v>
      </c>
      <c r="P33" t="s">
        <v>2071</v>
      </c>
      <c r="Q33" t="s">
        <v>2071</v>
      </c>
      <c r="R33" t="s">
        <v>2071</v>
      </c>
      <c r="S33" t="s">
        <v>2071</v>
      </c>
      <c r="T33" t="s">
        <v>2071</v>
      </c>
      <c r="U33" t="s">
        <v>2071</v>
      </c>
      <c r="V33" t="s">
        <v>2071</v>
      </c>
      <c r="W33" s="16" t="s">
        <v>2071</v>
      </c>
      <c r="X33" s="16" t="s">
        <v>2071</v>
      </c>
      <c r="Y33" s="16" t="s">
        <v>2071</v>
      </c>
      <c r="Z33" s="16" t="s">
        <v>2071</v>
      </c>
      <c r="AA33" t="s">
        <v>2071</v>
      </c>
    </row>
    <row r="34" spans="1:27" x14ac:dyDescent="0.2">
      <c r="A34" t="s">
        <v>2018</v>
      </c>
      <c r="B34" s="15" t="s">
        <v>2071</v>
      </c>
      <c r="C34" t="s">
        <v>2071</v>
      </c>
      <c r="D34" s="16" t="s">
        <v>2071</v>
      </c>
      <c r="E34" t="s">
        <v>2071</v>
      </c>
      <c r="F34" t="s">
        <v>2071</v>
      </c>
      <c r="G34" t="s">
        <v>2071</v>
      </c>
      <c r="H34" t="s">
        <v>2071</v>
      </c>
      <c r="I34" t="s">
        <v>2071</v>
      </c>
      <c r="J34" t="s">
        <v>2071</v>
      </c>
      <c r="K34" t="s">
        <v>2071</v>
      </c>
      <c r="L34" t="s">
        <v>2071</v>
      </c>
      <c r="M34" t="s">
        <v>2071</v>
      </c>
      <c r="N34" t="s">
        <v>2071</v>
      </c>
      <c r="O34" t="s">
        <v>2071</v>
      </c>
      <c r="P34" t="s">
        <v>2071</v>
      </c>
      <c r="Q34" t="s">
        <v>2071</v>
      </c>
      <c r="R34" t="s">
        <v>2071</v>
      </c>
      <c r="S34" t="s">
        <v>2071</v>
      </c>
      <c r="T34" t="s">
        <v>2071</v>
      </c>
      <c r="U34" t="s">
        <v>2071</v>
      </c>
      <c r="V34" t="s">
        <v>2071</v>
      </c>
      <c r="W34" s="16" t="s">
        <v>2071</v>
      </c>
      <c r="X34" s="16" t="s">
        <v>2071</v>
      </c>
      <c r="Y34" s="16" t="s">
        <v>2071</v>
      </c>
      <c r="Z34" s="16" t="s">
        <v>2071</v>
      </c>
      <c r="AA34" t="s">
        <v>2071</v>
      </c>
    </row>
    <row r="35" spans="1:27" x14ac:dyDescent="0.2">
      <c r="A35" t="s">
        <v>2018</v>
      </c>
      <c r="B35" s="15" t="s">
        <v>2071</v>
      </c>
      <c r="C35" t="s">
        <v>2071</v>
      </c>
      <c r="D35" s="16" t="s">
        <v>2071</v>
      </c>
      <c r="E35" t="s">
        <v>2071</v>
      </c>
      <c r="F35" t="s">
        <v>2071</v>
      </c>
      <c r="G35" t="s">
        <v>2071</v>
      </c>
      <c r="H35" t="s">
        <v>2071</v>
      </c>
      <c r="I35" t="s">
        <v>2071</v>
      </c>
      <c r="J35" t="s">
        <v>2071</v>
      </c>
      <c r="K35" t="s">
        <v>2071</v>
      </c>
      <c r="L35" t="s">
        <v>2071</v>
      </c>
      <c r="M35" t="s">
        <v>2071</v>
      </c>
      <c r="N35" t="s">
        <v>2071</v>
      </c>
      <c r="O35" t="s">
        <v>2071</v>
      </c>
      <c r="P35" t="s">
        <v>2071</v>
      </c>
      <c r="Q35" t="s">
        <v>2071</v>
      </c>
      <c r="R35" t="s">
        <v>2071</v>
      </c>
      <c r="S35" t="s">
        <v>2071</v>
      </c>
      <c r="T35" t="s">
        <v>2071</v>
      </c>
      <c r="U35" t="s">
        <v>2071</v>
      </c>
      <c r="V35" t="s">
        <v>2071</v>
      </c>
      <c r="W35" s="16" t="s">
        <v>2071</v>
      </c>
      <c r="X35" s="16" t="s">
        <v>2071</v>
      </c>
      <c r="Y35" s="16" t="s">
        <v>2071</v>
      </c>
      <c r="Z35" s="16" t="s">
        <v>2071</v>
      </c>
      <c r="AA35" t="s">
        <v>2071</v>
      </c>
    </row>
    <row r="36" spans="1:27" x14ac:dyDescent="0.2">
      <c r="A36" t="s">
        <v>2018</v>
      </c>
      <c r="B36" s="15" t="s">
        <v>2071</v>
      </c>
      <c r="C36" t="s">
        <v>2071</v>
      </c>
      <c r="D36" s="16" t="s">
        <v>2071</v>
      </c>
      <c r="E36" t="s">
        <v>2071</v>
      </c>
      <c r="F36" t="s">
        <v>2071</v>
      </c>
      <c r="G36" t="s">
        <v>2071</v>
      </c>
      <c r="H36" t="s">
        <v>2071</v>
      </c>
      <c r="I36" t="s">
        <v>2071</v>
      </c>
      <c r="J36" t="s">
        <v>2071</v>
      </c>
      <c r="K36" t="s">
        <v>2071</v>
      </c>
      <c r="L36" t="s">
        <v>2071</v>
      </c>
      <c r="M36" t="s">
        <v>2071</v>
      </c>
      <c r="N36" t="s">
        <v>2071</v>
      </c>
      <c r="O36" t="s">
        <v>2071</v>
      </c>
      <c r="P36" t="s">
        <v>2071</v>
      </c>
      <c r="Q36" t="s">
        <v>2071</v>
      </c>
      <c r="R36" t="s">
        <v>2071</v>
      </c>
      <c r="S36" t="s">
        <v>2071</v>
      </c>
      <c r="T36" t="s">
        <v>2071</v>
      </c>
      <c r="U36" t="s">
        <v>2071</v>
      </c>
      <c r="V36" t="s">
        <v>2071</v>
      </c>
      <c r="W36" s="16" t="s">
        <v>2071</v>
      </c>
      <c r="X36" s="16" t="s">
        <v>2071</v>
      </c>
      <c r="Y36" s="16" t="s">
        <v>2071</v>
      </c>
      <c r="Z36" s="16" t="s">
        <v>2071</v>
      </c>
      <c r="AA36" t="s">
        <v>2071</v>
      </c>
    </row>
    <row r="37" spans="1:27" x14ac:dyDescent="0.2">
      <c r="A37" t="s">
        <v>2018</v>
      </c>
      <c r="B37" s="15" t="s">
        <v>2071</v>
      </c>
      <c r="C37" t="s">
        <v>2071</v>
      </c>
      <c r="D37" s="16" t="s">
        <v>2071</v>
      </c>
      <c r="E37" t="s">
        <v>2071</v>
      </c>
      <c r="F37" t="s">
        <v>2071</v>
      </c>
      <c r="G37" t="s">
        <v>2071</v>
      </c>
      <c r="H37" t="s">
        <v>2071</v>
      </c>
      <c r="I37" t="s">
        <v>2071</v>
      </c>
      <c r="J37" t="s">
        <v>2071</v>
      </c>
      <c r="K37" t="s">
        <v>2071</v>
      </c>
      <c r="L37" t="s">
        <v>2071</v>
      </c>
      <c r="M37" t="s">
        <v>2071</v>
      </c>
      <c r="N37" t="s">
        <v>2071</v>
      </c>
      <c r="O37" t="s">
        <v>2071</v>
      </c>
      <c r="P37" t="s">
        <v>2071</v>
      </c>
      <c r="Q37" t="s">
        <v>2071</v>
      </c>
      <c r="R37" t="s">
        <v>2071</v>
      </c>
      <c r="S37" t="s">
        <v>2071</v>
      </c>
      <c r="T37" t="s">
        <v>2071</v>
      </c>
      <c r="U37" t="s">
        <v>2071</v>
      </c>
      <c r="V37" t="s">
        <v>2071</v>
      </c>
      <c r="W37" s="16" t="s">
        <v>2071</v>
      </c>
      <c r="X37" s="16" t="s">
        <v>2071</v>
      </c>
      <c r="Y37" s="16" t="s">
        <v>2071</v>
      </c>
      <c r="Z37" s="16" t="s">
        <v>2071</v>
      </c>
      <c r="AA37" t="s">
        <v>2071</v>
      </c>
    </row>
    <row r="38" spans="1:27" x14ac:dyDescent="0.2">
      <c r="A38" t="s">
        <v>2019</v>
      </c>
      <c r="B38" s="15" t="s">
        <v>2071</v>
      </c>
      <c r="C38" t="s">
        <v>2071</v>
      </c>
      <c r="D38" s="16" t="s">
        <v>2071</v>
      </c>
      <c r="E38" t="s">
        <v>2071</v>
      </c>
      <c r="F38" t="s">
        <v>2071</v>
      </c>
      <c r="G38" t="s">
        <v>2071</v>
      </c>
      <c r="H38" t="s">
        <v>2071</v>
      </c>
      <c r="I38" t="s">
        <v>2071</v>
      </c>
      <c r="J38" t="s">
        <v>2071</v>
      </c>
      <c r="K38" t="s">
        <v>2071</v>
      </c>
      <c r="L38" t="s">
        <v>2071</v>
      </c>
      <c r="M38" t="s">
        <v>2071</v>
      </c>
      <c r="N38" t="s">
        <v>2071</v>
      </c>
      <c r="O38" t="s">
        <v>2071</v>
      </c>
      <c r="P38" t="s">
        <v>2071</v>
      </c>
      <c r="Q38" t="s">
        <v>2071</v>
      </c>
      <c r="R38" t="s">
        <v>2071</v>
      </c>
      <c r="S38" t="s">
        <v>2071</v>
      </c>
      <c r="T38" t="s">
        <v>2071</v>
      </c>
      <c r="U38" t="s">
        <v>2071</v>
      </c>
      <c r="V38" t="s">
        <v>2071</v>
      </c>
      <c r="W38" s="16" t="s">
        <v>2071</v>
      </c>
      <c r="X38" s="16" t="s">
        <v>2071</v>
      </c>
      <c r="Y38" s="16" t="s">
        <v>2071</v>
      </c>
      <c r="Z38" s="16" t="s">
        <v>2071</v>
      </c>
      <c r="AA38" t="s">
        <v>2071</v>
      </c>
    </row>
    <row r="39" spans="1:27" x14ac:dyDescent="0.2">
      <c r="A39" t="s">
        <v>2019</v>
      </c>
      <c r="B39" s="15" t="s">
        <v>2071</v>
      </c>
      <c r="C39" t="s">
        <v>2071</v>
      </c>
      <c r="D39" s="16" t="s">
        <v>2071</v>
      </c>
      <c r="E39" t="s">
        <v>2071</v>
      </c>
      <c r="F39" t="s">
        <v>2071</v>
      </c>
      <c r="G39" t="s">
        <v>2071</v>
      </c>
      <c r="H39" t="s">
        <v>2071</v>
      </c>
      <c r="I39" t="s">
        <v>2071</v>
      </c>
      <c r="J39" t="s">
        <v>2071</v>
      </c>
      <c r="K39" t="s">
        <v>2071</v>
      </c>
      <c r="L39" t="s">
        <v>2071</v>
      </c>
      <c r="M39" t="s">
        <v>2071</v>
      </c>
      <c r="N39" t="s">
        <v>2071</v>
      </c>
      <c r="O39" t="s">
        <v>2071</v>
      </c>
      <c r="P39" t="s">
        <v>2071</v>
      </c>
      <c r="Q39" t="s">
        <v>2071</v>
      </c>
      <c r="R39" t="s">
        <v>2071</v>
      </c>
      <c r="S39" t="s">
        <v>2071</v>
      </c>
      <c r="T39" t="s">
        <v>2071</v>
      </c>
      <c r="U39" t="s">
        <v>2071</v>
      </c>
      <c r="V39" t="s">
        <v>2071</v>
      </c>
      <c r="W39" s="16" t="s">
        <v>2071</v>
      </c>
      <c r="X39" s="16" t="s">
        <v>2071</v>
      </c>
      <c r="Y39" s="16" t="s">
        <v>2071</v>
      </c>
      <c r="Z39" s="16" t="s">
        <v>2071</v>
      </c>
      <c r="AA39" t="s">
        <v>2071</v>
      </c>
    </row>
    <row r="40" spans="1:27" x14ac:dyDescent="0.2">
      <c r="A40" t="s">
        <v>2019</v>
      </c>
      <c r="B40" s="15" t="s">
        <v>2071</v>
      </c>
      <c r="C40" t="s">
        <v>2071</v>
      </c>
      <c r="D40" s="16" t="s">
        <v>2071</v>
      </c>
      <c r="E40" t="s">
        <v>2071</v>
      </c>
      <c r="F40" t="s">
        <v>2071</v>
      </c>
      <c r="G40" t="s">
        <v>2071</v>
      </c>
      <c r="H40" t="s">
        <v>2071</v>
      </c>
      <c r="I40" t="s">
        <v>2071</v>
      </c>
      <c r="J40" t="s">
        <v>2071</v>
      </c>
      <c r="K40" t="s">
        <v>2071</v>
      </c>
      <c r="L40" t="s">
        <v>2071</v>
      </c>
      <c r="M40" t="s">
        <v>2071</v>
      </c>
      <c r="N40" t="s">
        <v>2071</v>
      </c>
      <c r="O40" t="s">
        <v>2071</v>
      </c>
      <c r="P40" t="s">
        <v>2071</v>
      </c>
      <c r="Q40" t="s">
        <v>2071</v>
      </c>
      <c r="R40" t="s">
        <v>2071</v>
      </c>
      <c r="S40" t="s">
        <v>2071</v>
      </c>
      <c r="T40" t="s">
        <v>2071</v>
      </c>
      <c r="U40" t="s">
        <v>2071</v>
      </c>
      <c r="V40" t="s">
        <v>2071</v>
      </c>
      <c r="W40" s="16" t="s">
        <v>2071</v>
      </c>
      <c r="X40" s="16" t="s">
        <v>2071</v>
      </c>
      <c r="Y40" s="16" t="s">
        <v>2071</v>
      </c>
      <c r="Z40" s="16" t="s">
        <v>2071</v>
      </c>
      <c r="AA40" t="s">
        <v>2071</v>
      </c>
    </row>
    <row r="41" spans="1:27" x14ac:dyDescent="0.2">
      <c r="A41" t="s">
        <v>2019</v>
      </c>
      <c r="B41" s="15" t="s">
        <v>2071</v>
      </c>
      <c r="C41" t="s">
        <v>2071</v>
      </c>
      <c r="D41" s="16" t="s">
        <v>2071</v>
      </c>
      <c r="E41" t="s">
        <v>2071</v>
      </c>
      <c r="F41" t="s">
        <v>2071</v>
      </c>
      <c r="G41" t="s">
        <v>2071</v>
      </c>
      <c r="H41" t="s">
        <v>2071</v>
      </c>
      <c r="I41" t="s">
        <v>2071</v>
      </c>
      <c r="J41" t="s">
        <v>2071</v>
      </c>
      <c r="K41" t="s">
        <v>2071</v>
      </c>
      <c r="L41" t="s">
        <v>2071</v>
      </c>
      <c r="M41" t="s">
        <v>2071</v>
      </c>
      <c r="N41" t="s">
        <v>2071</v>
      </c>
      <c r="O41" t="s">
        <v>2071</v>
      </c>
      <c r="P41" t="s">
        <v>2071</v>
      </c>
      <c r="Q41" t="s">
        <v>2071</v>
      </c>
      <c r="R41" t="s">
        <v>2071</v>
      </c>
      <c r="S41" t="s">
        <v>2071</v>
      </c>
      <c r="T41" t="s">
        <v>2071</v>
      </c>
      <c r="U41" t="s">
        <v>2071</v>
      </c>
      <c r="V41" t="s">
        <v>2071</v>
      </c>
      <c r="W41" s="16" t="s">
        <v>2071</v>
      </c>
      <c r="X41" s="16" t="s">
        <v>2071</v>
      </c>
      <c r="Y41" s="16" t="s">
        <v>2071</v>
      </c>
      <c r="Z41" s="16" t="s">
        <v>2071</v>
      </c>
      <c r="AA41" t="s">
        <v>2071</v>
      </c>
    </row>
    <row r="42" spans="1:27" x14ac:dyDescent="0.2">
      <c r="A42" t="s">
        <v>2019</v>
      </c>
      <c r="B42" s="15" t="s">
        <v>2071</v>
      </c>
      <c r="C42" t="s">
        <v>2071</v>
      </c>
      <c r="D42" s="16" t="s">
        <v>2071</v>
      </c>
      <c r="E42" t="s">
        <v>2071</v>
      </c>
      <c r="F42" t="s">
        <v>2071</v>
      </c>
      <c r="G42" t="s">
        <v>2071</v>
      </c>
      <c r="H42" t="s">
        <v>2071</v>
      </c>
      <c r="I42" t="s">
        <v>2071</v>
      </c>
      <c r="J42" t="s">
        <v>2071</v>
      </c>
      <c r="K42" t="s">
        <v>2071</v>
      </c>
      <c r="L42" t="s">
        <v>2071</v>
      </c>
      <c r="M42" t="s">
        <v>2071</v>
      </c>
      <c r="N42" t="s">
        <v>2071</v>
      </c>
      <c r="O42" t="s">
        <v>2071</v>
      </c>
      <c r="P42" t="s">
        <v>2071</v>
      </c>
      <c r="Q42" t="s">
        <v>2071</v>
      </c>
      <c r="R42" t="s">
        <v>2071</v>
      </c>
      <c r="S42" t="s">
        <v>2071</v>
      </c>
      <c r="T42" t="s">
        <v>2071</v>
      </c>
      <c r="U42" t="s">
        <v>2071</v>
      </c>
      <c r="V42" t="s">
        <v>2071</v>
      </c>
      <c r="W42" s="16" t="s">
        <v>2071</v>
      </c>
      <c r="X42" s="16" t="s">
        <v>2071</v>
      </c>
      <c r="Y42" s="16" t="s">
        <v>2071</v>
      </c>
      <c r="Z42" s="16" t="s">
        <v>2071</v>
      </c>
      <c r="AA42" t="s">
        <v>2071</v>
      </c>
    </row>
    <row r="43" spans="1:27" x14ac:dyDescent="0.2">
      <c r="A43" t="s">
        <v>2019</v>
      </c>
      <c r="B43" s="15" t="s">
        <v>2071</v>
      </c>
      <c r="C43" t="s">
        <v>2071</v>
      </c>
      <c r="D43" s="16" t="s">
        <v>2071</v>
      </c>
      <c r="E43" t="s">
        <v>2071</v>
      </c>
      <c r="F43" t="s">
        <v>2071</v>
      </c>
      <c r="G43" t="s">
        <v>2071</v>
      </c>
      <c r="H43" t="s">
        <v>2071</v>
      </c>
      <c r="I43" t="s">
        <v>2071</v>
      </c>
      <c r="J43" t="s">
        <v>2071</v>
      </c>
      <c r="K43" t="s">
        <v>2071</v>
      </c>
      <c r="L43" t="s">
        <v>2071</v>
      </c>
      <c r="M43" t="s">
        <v>2071</v>
      </c>
      <c r="N43" t="s">
        <v>2071</v>
      </c>
      <c r="O43" t="s">
        <v>2071</v>
      </c>
      <c r="P43" t="s">
        <v>2071</v>
      </c>
      <c r="Q43" t="s">
        <v>2071</v>
      </c>
      <c r="R43" t="s">
        <v>2071</v>
      </c>
      <c r="S43" t="s">
        <v>2071</v>
      </c>
      <c r="T43" t="s">
        <v>2071</v>
      </c>
      <c r="U43" t="s">
        <v>2071</v>
      </c>
      <c r="V43" t="s">
        <v>2071</v>
      </c>
      <c r="W43" s="16" t="s">
        <v>2071</v>
      </c>
      <c r="X43" s="16" t="s">
        <v>2071</v>
      </c>
      <c r="Y43" s="16" t="s">
        <v>2071</v>
      </c>
      <c r="Z43" s="16" t="s">
        <v>2071</v>
      </c>
      <c r="AA43" t="s">
        <v>2071</v>
      </c>
    </row>
    <row r="44" spans="1:27" x14ac:dyDescent="0.2">
      <c r="A44" t="s">
        <v>2019</v>
      </c>
      <c r="B44" s="15" t="s">
        <v>2071</v>
      </c>
      <c r="C44" t="s">
        <v>2071</v>
      </c>
      <c r="D44" s="16" t="s">
        <v>2071</v>
      </c>
      <c r="E44" t="s">
        <v>2071</v>
      </c>
      <c r="F44" t="s">
        <v>2071</v>
      </c>
      <c r="G44" t="s">
        <v>2071</v>
      </c>
      <c r="H44" t="s">
        <v>2071</v>
      </c>
      <c r="I44" t="s">
        <v>2071</v>
      </c>
      <c r="J44" t="s">
        <v>2071</v>
      </c>
      <c r="K44" t="s">
        <v>2071</v>
      </c>
      <c r="L44" t="s">
        <v>2071</v>
      </c>
      <c r="M44" t="s">
        <v>2071</v>
      </c>
      <c r="N44" t="s">
        <v>2071</v>
      </c>
      <c r="O44" t="s">
        <v>2071</v>
      </c>
      <c r="P44" t="s">
        <v>2071</v>
      </c>
      <c r="Q44" t="s">
        <v>2071</v>
      </c>
      <c r="R44" t="s">
        <v>2071</v>
      </c>
      <c r="S44" t="s">
        <v>2071</v>
      </c>
      <c r="T44" t="s">
        <v>2071</v>
      </c>
      <c r="U44" t="s">
        <v>2071</v>
      </c>
      <c r="V44" t="s">
        <v>2071</v>
      </c>
      <c r="W44" s="16" t="s">
        <v>2071</v>
      </c>
      <c r="X44" s="16" t="s">
        <v>2071</v>
      </c>
      <c r="Y44" s="16" t="s">
        <v>2071</v>
      </c>
      <c r="Z44" s="16" t="s">
        <v>2071</v>
      </c>
      <c r="AA44" t="s">
        <v>2071</v>
      </c>
    </row>
    <row r="45" spans="1:27" x14ac:dyDescent="0.2">
      <c r="A45" t="s">
        <v>2019</v>
      </c>
      <c r="B45" s="15" t="s">
        <v>2071</v>
      </c>
      <c r="C45" t="s">
        <v>2071</v>
      </c>
      <c r="D45" s="16" t="s">
        <v>2071</v>
      </c>
      <c r="E45" t="s">
        <v>2071</v>
      </c>
      <c r="F45" t="s">
        <v>2071</v>
      </c>
      <c r="G45" t="s">
        <v>2071</v>
      </c>
      <c r="H45" t="s">
        <v>2071</v>
      </c>
      <c r="I45" t="s">
        <v>2071</v>
      </c>
      <c r="J45" t="s">
        <v>2071</v>
      </c>
      <c r="K45" t="s">
        <v>2071</v>
      </c>
      <c r="L45" t="s">
        <v>2071</v>
      </c>
      <c r="M45" t="s">
        <v>2071</v>
      </c>
      <c r="N45" t="s">
        <v>2071</v>
      </c>
      <c r="O45" t="s">
        <v>2071</v>
      </c>
      <c r="P45" t="s">
        <v>2071</v>
      </c>
      <c r="Q45" t="s">
        <v>2071</v>
      </c>
      <c r="R45" t="s">
        <v>2071</v>
      </c>
      <c r="S45" t="s">
        <v>2071</v>
      </c>
      <c r="T45" t="s">
        <v>2071</v>
      </c>
      <c r="U45" t="s">
        <v>2071</v>
      </c>
      <c r="V45" t="s">
        <v>2071</v>
      </c>
      <c r="W45" s="16" t="s">
        <v>2071</v>
      </c>
      <c r="X45" s="16" t="s">
        <v>2071</v>
      </c>
      <c r="Y45" s="16" t="s">
        <v>2071</v>
      </c>
      <c r="Z45" s="16" t="s">
        <v>2071</v>
      </c>
      <c r="AA45" t="s">
        <v>2071</v>
      </c>
    </row>
    <row r="46" spans="1:27" x14ac:dyDescent="0.2">
      <c r="A46" t="s">
        <v>2019</v>
      </c>
      <c r="B46" s="15" t="s">
        <v>2071</v>
      </c>
      <c r="C46" t="s">
        <v>2071</v>
      </c>
      <c r="D46" s="16" t="s">
        <v>2071</v>
      </c>
      <c r="E46" t="s">
        <v>2071</v>
      </c>
      <c r="F46" t="s">
        <v>2071</v>
      </c>
      <c r="G46" t="s">
        <v>2071</v>
      </c>
      <c r="H46" t="s">
        <v>2071</v>
      </c>
      <c r="I46" t="s">
        <v>2071</v>
      </c>
      <c r="J46" t="s">
        <v>2071</v>
      </c>
      <c r="K46" t="s">
        <v>2071</v>
      </c>
      <c r="L46" t="s">
        <v>2071</v>
      </c>
      <c r="M46" t="s">
        <v>2071</v>
      </c>
      <c r="N46" t="s">
        <v>2071</v>
      </c>
      <c r="O46" t="s">
        <v>2071</v>
      </c>
      <c r="P46" t="s">
        <v>2071</v>
      </c>
      <c r="Q46" t="s">
        <v>2071</v>
      </c>
      <c r="R46" t="s">
        <v>2071</v>
      </c>
      <c r="S46" t="s">
        <v>2071</v>
      </c>
      <c r="T46" t="s">
        <v>2071</v>
      </c>
      <c r="U46" t="s">
        <v>2071</v>
      </c>
      <c r="V46" t="s">
        <v>2071</v>
      </c>
      <c r="W46" s="16" t="s">
        <v>2071</v>
      </c>
      <c r="X46" s="16" t="s">
        <v>2071</v>
      </c>
      <c r="Y46" s="16" t="s">
        <v>2071</v>
      </c>
      <c r="Z46" s="16" t="s">
        <v>2071</v>
      </c>
      <c r="AA46" t="s">
        <v>2071</v>
      </c>
    </row>
    <row r="47" spans="1:27" x14ac:dyDescent="0.2">
      <c r="A47" t="s">
        <v>2019</v>
      </c>
      <c r="B47" s="15" t="s">
        <v>2071</v>
      </c>
      <c r="C47" t="s">
        <v>2071</v>
      </c>
      <c r="D47" s="16" t="s">
        <v>2071</v>
      </c>
      <c r="E47" t="s">
        <v>2071</v>
      </c>
      <c r="F47" t="s">
        <v>2071</v>
      </c>
      <c r="G47" t="s">
        <v>2071</v>
      </c>
      <c r="H47" t="s">
        <v>2071</v>
      </c>
      <c r="I47" t="s">
        <v>2071</v>
      </c>
      <c r="J47" t="s">
        <v>2071</v>
      </c>
      <c r="K47" t="s">
        <v>2071</v>
      </c>
      <c r="L47" t="s">
        <v>2071</v>
      </c>
      <c r="M47" t="s">
        <v>2071</v>
      </c>
      <c r="N47" t="s">
        <v>2071</v>
      </c>
      <c r="O47" t="s">
        <v>2071</v>
      </c>
      <c r="P47" t="s">
        <v>2071</v>
      </c>
      <c r="Q47" t="s">
        <v>2071</v>
      </c>
      <c r="R47" t="s">
        <v>2071</v>
      </c>
      <c r="S47" t="s">
        <v>2071</v>
      </c>
      <c r="T47" t="s">
        <v>2071</v>
      </c>
      <c r="U47" t="s">
        <v>2071</v>
      </c>
      <c r="V47" t="s">
        <v>2071</v>
      </c>
      <c r="W47" s="16" t="s">
        <v>2071</v>
      </c>
      <c r="X47" s="16" t="s">
        <v>2071</v>
      </c>
      <c r="Y47" s="16" t="s">
        <v>2071</v>
      </c>
      <c r="Z47" s="16" t="s">
        <v>2071</v>
      </c>
      <c r="AA47" t="s">
        <v>2071</v>
      </c>
    </row>
    <row r="48" spans="1:27" x14ac:dyDescent="0.2">
      <c r="A48" t="s">
        <v>2019</v>
      </c>
      <c r="B48" s="15" t="s">
        <v>2071</v>
      </c>
      <c r="C48" t="s">
        <v>2071</v>
      </c>
      <c r="D48" s="16" t="s">
        <v>2071</v>
      </c>
      <c r="E48" t="s">
        <v>2071</v>
      </c>
      <c r="F48" t="s">
        <v>2071</v>
      </c>
      <c r="G48" t="s">
        <v>2071</v>
      </c>
      <c r="H48" t="s">
        <v>2071</v>
      </c>
      <c r="I48" t="s">
        <v>2071</v>
      </c>
      <c r="J48" t="s">
        <v>2071</v>
      </c>
      <c r="K48" t="s">
        <v>2071</v>
      </c>
      <c r="L48" t="s">
        <v>2071</v>
      </c>
      <c r="M48" t="s">
        <v>2071</v>
      </c>
      <c r="N48" t="s">
        <v>2071</v>
      </c>
      <c r="O48" t="s">
        <v>2071</v>
      </c>
      <c r="P48" t="s">
        <v>2071</v>
      </c>
      <c r="Q48" t="s">
        <v>2071</v>
      </c>
      <c r="R48" t="s">
        <v>2071</v>
      </c>
      <c r="S48" t="s">
        <v>2071</v>
      </c>
      <c r="T48" t="s">
        <v>2071</v>
      </c>
      <c r="U48" t="s">
        <v>2071</v>
      </c>
      <c r="V48" t="s">
        <v>2071</v>
      </c>
      <c r="W48" s="16" t="s">
        <v>2071</v>
      </c>
      <c r="X48" s="16" t="s">
        <v>2071</v>
      </c>
      <c r="Y48" s="16" t="s">
        <v>2071</v>
      </c>
      <c r="Z48" s="16" t="s">
        <v>2071</v>
      </c>
      <c r="AA48" t="s">
        <v>2071</v>
      </c>
    </row>
    <row r="49" spans="1:27" x14ac:dyDescent="0.2">
      <c r="A49" t="s">
        <v>2019</v>
      </c>
      <c r="B49" s="15" t="s">
        <v>2071</v>
      </c>
      <c r="C49" t="s">
        <v>2071</v>
      </c>
      <c r="D49" s="16" t="s">
        <v>2071</v>
      </c>
      <c r="E49" t="s">
        <v>2071</v>
      </c>
      <c r="F49" t="s">
        <v>2071</v>
      </c>
      <c r="G49" t="s">
        <v>2071</v>
      </c>
      <c r="H49" t="s">
        <v>2071</v>
      </c>
      <c r="I49" t="s">
        <v>2071</v>
      </c>
      <c r="J49" t="s">
        <v>2071</v>
      </c>
      <c r="K49" t="s">
        <v>2071</v>
      </c>
      <c r="L49" t="s">
        <v>2071</v>
      </c>
      <c r="M49" t="s">
        <v>2071</v>
      </c>
      <c r="N49" t="s">
        <v>2071</v>
      </c>
      <c r="O49" t="s">
        <v>2071</v>
      </c>
      <c r="P49" t="s">
        <v>2071</v>
      </c>
      <c r="Q49" t="s">
        <v>2071</v>
      </c>
      <c r="R49" t="s">
        <v>2071</v>
      </c>
      <c r="S49" t="s">
        <v>2071</v>
      </c>
      <c r="T49" t="s">
        <v>2071</v>
      </c>
      <c r="U49" t="s">
        <v>2071</v>
      </c>
      <c r="V49" t="s">
        <v>2071</v>
      </c>
      <c r="W49" s="16" t="s">
        <v>2071</v>
      </c>
      <c r="X49" s="16" t="s">
        <v>2071</v>
      </c>
      <c r="Y49" s="16" t="s">
        <v>2071</v>
      </c>
      <c r="Z49" s="16" t="s">
        <v>2071</v>
      </c>
      <c r="AA49" t="s">
        <v>2071</v>
      </c>
    </row>
    <row r="50" spans="1:27" x14ac:dyDescent="0.2">
      <c r="A50" t="s">
        <v>2019</v>
      </c>
      <c r="B50" s="15" t="s">
        <v>2071</v>
      </c>
      <c r="C50" t="s">
        <v>2071</v>
      </c>
      <c r="D50" s="16" t="s">
        <v>2071</v>
      </c>
      <c r="E50" t="s">
        <v>2071</v>
      </c>
      <c r="F50" t="s">
        <v>2071</v>
      </c>
      <c r="G50" t="s">
        <v>2071</v>
      </c>
      <c r="H50" t="s">
        <v>2071</v>
      </c>
      <c r="I50" t="s">
        <v>2071</v>
      </c>
      <c r="J50" t="s">
        <v>2071</v>
      </c>
      <c r="K50" t="s">
        <v>2071</v>
      </c>
      <c r="L50" t="s">
        <v>2071</v>
      </c>
      <c r="M50" t="s">
        <v>2071</v>
      </c>
      <c r="N50" t="s">
        <v>2071</v>
      </c>
      <c r="O50" t="s">
        <v>2071</v>
      </c>
      <c r="P50" t="s">
        <v>2071</v>
      </c>
      <c r="Q50" t="s">
        <v>2071</v>
      </c>
      <c r="R50" t="s">
        <v>2071</v>
      </c>
      <c r="S50" t="s">
        <v>2071</v>
      </c>
      <c r="T50" t="s">
        <v>2071</v>
      </c>
      <c r="U50" t="s">
        <v>2071</v>
      </c>
      <c r="V50" t="s">
        <v>2071</v>
      </c>
      <c r="W50" s="16" t="s">
        <v>2071</v>
      </c>
      <c r="X50" s="16" t="s">
        <v>2071</v>
      </c>
      <c r="Y50" s="16" t="s">
        <v>2071</v>
      </c>
      <c r="Z50" s="16" t="s">
        <v>2071</v>
      </c>
      <c r="AA50" t="s">
        <v>2071</v>
      </c>
    </row>
    <row r="51" spans="1:27" x14ac:dyDescent="0.2">
      <c r="A51" t="s">
        <v>2019</v>
      </c>
      <c r="B51" s="15" t="s">
        <v>2071</v>
      </c>
      <c r="C51" t="s">
        <v>2071</v>
      </c>
      <c r="D51" s="16" t="s">
        <v>2071</v>
      </c>
      <c r="E51" t="s">
        <v>2071</v>
      </c>
      <c r="F51" t="s">
        <v>2071</v>
      </c>
      <c r="G51" t="s">
        <v>2071</v>
      </c>
      <c r="H51" t="s">
        <v>2071</v>
      </c>
      <c r="I51" t="s">
        <v>2071</v>
      </c>
      <c r="J51" t="s">
        <v>2071</v>
      </c>
      <c r="K51" t="s">
        <v>2071</v>
      </c>
      <c r="L51" t="s">
        <v>2071</v>
      </c>
      <c r="M51" t="s">
        <v>2071</v>
      </c>
      <c r="N51" t="s">
        <v>2071</v>
      </c>
      <c r="O51" t="s">
        <v>2071</v>
      </c>
      <c r="P51" t="s">
        <v>2071</v>
      </c>
      <c r="Q51" t="s">
        <v>2071</v>
      </c>
      <c r="R51" t="s">
        <v>2071</v>
      </c>
      <c r="S51" t="s">
        <v>2071</v>
      </c>
      <c r="T51" t="s">
        <v>2071</v>
      </c>
      <c r="U51" t="s">
        <v>2071</v>
      </c>
      <c r="V51" t="s">
        <v>2071</v>
      </c>
      <c r="W51" s="16" t="s">
        <v>2071</v>
      </c>
      <c r="X51" s="16" t="s">
        <v>2071</v>
      </c>
      <c r="Y51" s="16" t="s">
        <v>2071</v>
      </c>
      <c r="Z51" s="16" t="s">
        <v>2071</v>
      </c>
      <c r="AA51" t="s">
        <v>2071</v>
      </c>
    </row>
    <row r="52" spans="1:27" x14ac:dyDescent="0.2">
      <c r="A52" t="s">
        <v>2019</v>
      </c>
      <c r="B52" s="15" t="s">
        <v>2071</v>
      </c>
      <c r="C52" t="s">
        <v>2071</v>
      </c>
      <c r="D52" s="16" t="s">
        <v>2071</v>
      </c>
      <c r="E52" t="s">
        <v>2071</v>
      </c>
      <c r="F52" t="s">
        <v>2071</v>
      </c>
      <c r="G52" t="s">
        <v>2071</v>
      </c>
      <c r="H52" t="s">
        <v>2071</v>
      </c>
      <c r="I52" t="s">
        <v>2071</v>
      </c>
      <c r="J52" t="s">
        <v>2071</v>
      </c>
      <c r="K52" t="s">
        <v>2071</v>
      </c>
      <c r="L52" t="s">
        <v>2071</v>
      </c>
      <c r="M52" t="s">
        <v>2071</v>
      </c>
      <c r="N52" t="s">
        <v>2071</v>
      </c>
      <c r="O52" t="s">
        <v>2071</v>
      </c>
      <c r="P52" t="s">
        <v>2071</v>
      </c>
      <c r="Q52" t="s">
        <v>2071</v>
      </c>
      <c r="R52" t="s">
        <v>2071</v>
      </c>
      <c r="S52" t="s">
        <v>2071</v>
      </c>
      <c r="T52" t="s">
        <v>2071</v>
      </c>
      <c r="U52" t="s">
        <v>2071</v>
      </c>
      <c r="V52" t="s">
        <v>2071</v>
      </c>
      <c r="W52" s="16" t="s">
        <v>2071</v>
      </c>
      <c r="X52" s="16" t="s">
        <v>2071</v>
      </c>
      <c r="Y52" s="16" t="s">
        <v>2071</v>
      </c>
      <c r="Z52" s="16" t="s">
        <v>2071</v>
      </c>
      <c r="AA52" t="s">
        <v>2071</v>
      </c>
    </row>
    <row r="53" spans="1:27" x14ac:dyDescent="0.2">
      <c r="B53" s="15" t="s">
        <v>2071</v>
      </c>
      <c r="C53" t="s">
        <v>2071</v>
      </c>
      <c r="D53" s="16" t="s">
        <v>2071</v>
      </c>
      <c r="E53" t="s">
        <v>2071</v>
      </c>
      <c r="F53" t="s">
        <v>2071</v>
      </c>
      <c r="G53" t="s">
        <v>2071</v>
      </c>
      <c r="H53" t="s">
        <v>2071</v>
      </c>
      <c r="I53" t="s">
        <v>2071</v>
      </c>
      <c r="J53" t="s">
        <v>2071</v>
      </c>
      <c r="K53" t="s">
        <v>2071</v>
      </c>
      <c r="L53" t="s">
        <v>2071</v>
      </c>
      <c r="M53" t="s">
        <v>2071</v>
      </c>
      <c r="N53" t="s">
        <v>2071</v>
      </c>
      <c r="O53" t="s">
        <v>2071</v>
      </c>
      <c r="P53" t="s">
        <v>2071</v>
      </c>
      <c r="Q53" t="s">
        <v>2071</v>
      </c>
      <c r="R53" t="s">
        <v>2071</v>
      </c>
      <c r="S53" t="s">
        <v>2071</v>
      </c>
      <c r="T53" t="s">
        <v>2071</v>
      </c>
      <c r="U53" t="s">
        <v>2071</v>
      </c>
      <c r="V53" t="s">
        <v>2071</v>
      </c>
      <c r="W53" s="16" t="s">
        <v>2071</v>
      </c>
      <c r="X53" s="16" t="s">
        <v>2071</v>
      </c>
      <c r="Y53" s="16" t="s">
        <v>2071</v>
      </c>
      <c r="Z53" s="16" t="s">
        <v>2071</v>
      </c>
      <c r="AA53" t="s">
        <v>2071</v>
      </c>
    </row>
    <row r="54" spans="1:27" x14ac:dyDescent="0.2">
      <c r="B54" s="15" t="s">
        <v>2071</v>
      </c>
      <c r="C54" t="s">
        <v>2071</v>
      </c>
      <c r="D54" s="16" t="s">
        <v>2071</v>
      </c>
      <c r="E54" t="s">
        <v>2071</v>
      </c>
      <c r="F54" t="s">
        <v>2071</v>
      </c>
      <c r="G54" t="s">
        <v>2071</v>
      </c>
      <c r="H54" t="s">
        <v>2071</v>
      </c>
      <c r="I54" t="s">
        <v>2071</v>
      </c>
      <c r="J54" t="s">
        <v>2071</v>
      </c>
      <c r="K54" t="s">
        <v>2071</v>
      </c>
      <c r="L54" t="s">
        <v>2071</v>
      </c>
      <c r="M54" t="s">
        <v>2071</v>
      </c>
      <c r="N54" t="s">
        <v>2071</v>
      </c>
      <c r="O54" t="s">
        <v>2071</v>
      </c>
      <c r="P54" t="s">
        <v>2071</v>
      </c>
      <c r="Q54" t="s">
        <v>2071</v>
      </c>
      <c r="R54" t="s">
        <v>2071</v>
      </c>
      <c r="S54" t="s">
        <v>2071</v>
      </c>
      <c r="T54" t="s">
        <v>2071</v>
      </c>
      <c r="U54" t="s">
        <v>2071</v>
      </c>
      <c r="V54" t="s">
        <v>2071</v>
      </c>
      <c r="W54" s="16" t="s">
        <v>2071</v>
      </c>
      <c r="X54" s="16" t="s">
        <v>2071</v>
      </c>
      <c r="Y54" s="16" t="s">
        <v>2071</v>
      </c>
      <c r="Z54" s="16" t="s">
        <v>2071</v>
      </c>
      <c r="AA54" t="s">
        <v>2071</v>
      </c>
    </row>
    <row r="55" spans="1:27" x14ac:dyDescent="0.2">
      <c r="B55" s="15" t="s">
        <v>2071</v>
      </c>
      <c r="C55" t="s">
        <v>2071</v>
      </c>
      <c r="D55" s="16" t="s">
        <v>2071</v>
      </c>
      <c r="E55" t="s">
        <v>2071</v>
      </c>
      <c r="F55" t="s">
        <v>2071</v>
      </c>
      <c r="G55" t="s">
        <v>2071</v>
      </c>
      <c r="H55" t="s">
        <v>2071</v>
      </c>
      <c r="I55" t="s">
        <v>2071</v>
      </c>
      <c r="J55" t="s">
        <v>2071</v>
      </c>
      <c r="K55" t="s">
        <v>2071</v>
      </c>
      <c r="L55" t="s">
        <v>2071</v>
      </c>
      <c r="M55" t="s">
        <v>2071</v>
      </c>
      <c r="N55" t="s">
        <v>2071</v>
      </c>
      <c r="O55" t="s">
        <v>2071</v>
      </c>
      <c r="P55" t="s">
        <v>2071</v>
      </c>
      <c r="Q55" t="s">
        <v>2071</v>
      </c>
      <c r="R55" t="s">
        <v>2071</v>
      </c>
      <c r="S55" t="s">
        <v>2071</v>
      </c>
      <c r="T55" t="s">
        <v>2071</v>
      </c>
      <c r="U55" t="s">
        <v>2071</v>
      </c>
      <c r="V55" t="s">
        <v>2071</v>
      </c>
      <c r="W55" s="16" t="s">
        <v>2071</v>
      </c>
      <c r="X55" s="16" t="s">
        <v>2071</v>
      </c>
      <c r="Y55" s="16" t="s">
        <v>2071</v>
      </c>
      <c r="Z55" s="16" t="s">
        <v>2071</v>
      </c>
      <c r="AA55" t="s">
        <v>2071</v>
      </c>
    </row>
    <row r="56" spans="1:27" x14ac:dyDescent="0.2">
      <c r="B56" s="15" t="s">
        <v>2071</v>
      </c>
      <c r="C56" t="s">
        <v>2071</v>
      </c>
      <c r="D56" s="16" t="s">
        <v>2071</v>
      </c>
      <c r="E56" t="s">
        <v>2071</v>
      </c>
      <c r="F56" t="s">
        <v>2071</v>
      </c>
      <c r="G56" t="s">
        <v>2071</v>
      </c>
      <c r="H56" t="s">
        <v>2071</v>
      </c>
      <c r="I56" t="s">
        <v>2071</v>
      </c>
      <c r="J56" t="s">
        <v>2071</v>
      </c>
      <c r="K56" t="s">
        <v>2071</v>
      </c>
      <c r="L56" t="s">
        <v>2071</v>
      </c>
      <c r="M56" t="s">
        <v>2071</v>
      </c>
      <c r="N56" t="s">
        <v>2071</v>
      </c>
      <c r="O56" t="s">
        <v>2071</v>
      </c>
      <c r="P56" t="s">
        <v>2071</v>
      </c>
      <c r="Q56" t="s">
        <v>2071</v>
      </c>
      <c r="R56" t="s">
        <v>2071</v>
      </c>
      <c r="S56" t="s">
        <v>2071</v>
      </c>
      <c r="T56" t="s">
        <v>2071</v>
      </c>
      <c r="U56" t="s">
        <v>2071</v>
      </c>
      <c r="V56" t="s">
        <v>2071</v>
      </c>
      <c r="W56" s="16" t="s">
        <v>2071</v>
      </c>
      <c r="X56" s="16" t="s">
        <v>2071</v>
      </c>
      <c r="Y56" s="16" t="s">
        <v>2071</v>
      </c>
      <c r="Z56" s="16" t="s">
        <v>2071</v>
      </c>
      <c r="AA56" t="s">
        <v>2071</v>
      </c>
    </row>
    <row r="57" spans="1:27" x14ac:dyDescent="0.2">
      <c r="B57" s="15" t="s">
        <v>2071</v>
      </c>
      <c r="C57" t="s">
        <v>2071</v>
      </c>
      <c r="D57" s="16" t="s">
        <v>2071</v>
      </c>
      <c r="E57" t="s">
        <v>2071</v>
      </c>
      <c r="F57" t="s">
        <v>2071</v>
      </c>
      <c r="G57" t="s">
        <v>2071</v>
      </c>
      <c r="H57" t="s">
        <v>2071</v>
      </c>
      <c r="I57" t="s">
        <v>2071</v>
      </c>
      <c r="J57" t="s">
        <v>2071</v>
      </c>
      <c r="K57" t="s">
        <v>2071</v>
      </c>
      <c r="L57" t="s">
        <v>2071</v>
      </c>
      <c r="M57" t="s">
        <v>2071</v>
      </c>
      <c r="N57" t="s">
        <v>2071</v>
      </c>
      <c r="O57" t="s">
        <v>2071</v>
      </c>
      <c r="P57" t="s">
        <v>2071</v>
      </c>
      <c r="Q57" t="s">
        <v>2071</v>
      </c>
      <c r="R57" t="s">
        <v>2071</v>
      </c>
      <c r="S57" t="s">
        <v>2071</v>
      </c>
      <c r="T57" t="s">
        <v>2071</v>
      </c>
      <c r="U57" t="s">
        <v>2071</v>
      </c>
      <c r="V57" t="s">
        <v>2071</v>
      </c>
      <c r="W57" s="16" t="s">
        <v>2071</v>
      </c>
      <c r="X57" s="16" t="s">
        <v>2071</v>
      </c>
      <c r="Y57" s="16" t="s">
        <v>2071</v>
      </c>
      <c r="Z57" s="16" t="s">
        <v>2071</v>
      </c>
      <c r="AA57" t="s">
        <v>2071</v>
      </c>
    </row>
    <row r="58" spans="1:27" x14ac:dyDescent="0.2">
      <c r="B58" s="15" t="s">
        <v>2071</v>
      </c>
      <c r="C58" t="s">
        <v>2071</v>
      </c>
      <c r="D58" s="16" t="s">
        <v>2071</v>
      </c>
      <c r="E58" t="s">
        <v>2071</v>
      </c>
      <c r="F58" t="s">
        <v>2071</v>
      </c>
      <c r="G58" t="s">
        <v>2071</v>
      </c>
      <c r="H58" t="s">
        <v>2071</v>
      </c>
      <c r="I58" t="s">
        <v>2071</v>
      </c>
      <c r="J58" t="s">
        <v>2071</v>
      </c>
      <c r="K58" t="s">
        <v>2071</v>
      </c>
      <c r="L58" t="s">
        <v>2071</v>
      </c>
      <c r="M58" t="s">
        <v>2071</v>
      </c>
      <c r="N58" t="s">
        <v>2071</v>
      </c>
      <c r="O58" t="s">
        <v>2071</v>
      </c>
      <c r="P58" t="s">
        <v>2071</v>
      </c>
      <c r="Q58" t="s">
        <v>2071</v>
      </c>
      <c r="R58" t="s">
        <v>2071</v>
      </c>
      <c r="S58" t="s">
        <v>2071</v>
      </c>
      <c r="T58" t="s">
        <v>2071</v>
      </c>
      <c r="U58" t="s">
        <v>2071</v>
      </c>
      <c r="V58" t="s">
        <v>2071</v>
      </c>
      <c r="W58" s="16" t="s">
        <v>2071</v>
      </c>
      <c r="X58" s="16" t="s">
        <v>2071</v>
      </c>
      <c r="Y58" s="16" t="s">
        <v>2071</v>
      </c>
      <c r="Z58" s="16" t="s">
        <v>2071</v>
      </c>
      <c r="AA58" t="s">
        <v>2071</v>
      </c>
    </row>
    <row r="59" spans="1:27" x14ac:dyDescent="0.2">
      <c r="B59" s="15" t="s">
        <v>2071</v>
      </c>
      <c r="C59" t="s">
        <v>2071</v>
      </c>
      <c r="D59" s="16" t="s">
        <v>2071</v>
      </c>
      <c r="E59" t="s">
        <v>2071</v>
      </c>
      <c r="F59" t="s">
        <v>2071</v>
      </c>
      <c r="G59" t="s">
        <v>2071</v>
      </c>
      <c r="H59" t="s">
        <v>2071</v>
      </c>
      <c r="I59" t="s">
        <v>2071</v>
      </c>
      <c r="J59" t="s">
        <v>2071</v>
      </c>
      <c r="K59" t="s">
        <v>2071</v>
      </c>
      <c r="L59" t="s">
        <v>2071</v>
      </c>
      <c r="M59" t="s">
        <v>2071</v>
      </c>
      <c r="N59" t="s">
        <v>2071</v>
      </c>
      <c r="O59" t="s">
        <v>2071</v>
      </c>
      <c r="P59" t="s">
        <v>2071</v>
      </c>
      <c r="Q59" t="s">
        <v>2071</v>
      </c>
      <c r="R59" t="s">
        <v>2071</v>
      </c>
      <c r="S59" t="s">
        <v>2071</v>
      </c>
      <c r="T59" t="s">
        <v>2071</v>
      </c>
      <c r="U59" t="s">
        <v>2071</v>
      </c>
      <c r="V59" t="s">
        <v>2071</v>
      </c>
      <c r="W59" s="16" t="s">
        <v>2071</v>
      </c>
      <c r="X59" s="16" t="s">
        <v>2071</v>
      </c>
      <c r="Y59" s="16" t="s">
        <v>2071</v>
      </c>
      <c r="Z59" s="16" t="s">
        <v>2071</v>
      </c>
      <c r="AA59" t="s">
        <v>2071</v>
      </c>
    </row>
    <row r="60" spans="1:27" x14ac:dyDescent="0.2">
      <c r="B60" s="15" t="s">
        <v>2071</v>
      </c>
      <c r="C60" t="s">
        <v>2071</v>
      </c>
      <c r="D60" s="16" t="s">
        <v>2071</v>
      </c>
      <c r="E60" t="s">
        <v>2071</v>
      </c>
      <c r="F60" t="s">
        <v>2071</v>
      </c>
      <c r="G60" t="s">
        <v>2071</v>
      </c>
      <c r="H60" t="s">
        <v>2071</v>
      </c>
      <c r="I60" t="s">
        <v>2071</v>
      </c>
      <c r="J60" t="s">
        <v>2071</v>
      </c>
      <c r="K60" t="s">
        <v>2071</v>
      </c>
      <c r="L60" t="s">
        <v>2071</v>
      </c>
      <c r="M60" t="s">
        <v>2071</v>
      </c>
      <c r="N60" t="s">
        <v>2071</v>
      </c>
      <c r="O60" t="s">
        <v>2071</v>
      </c>
      <c r="P60" t="s">
        <v>2071</v>
      </c>
      <c r="Q60" t="s">
        <v>2071</v>
      </c>
      <c r="R60" t="s">
        <v>2071</v>
      </c>
      <c r="S60" t="s">
        <v>2071</v>
      </c>
      <c r="T60" t="s">
        <v>2071</v>
      </c>
      <c r="U60" t="s">
        <v>2071</v>
      </c>
      <c r="V60" t="s">
        <v>2071</v>
      </c>
      <c r="W60" s="16" t="s">
        <v>2071</v>
      </c>
      <c r="X60" s="16" t="s">
        <v>2071</v>
      </c>
      <c r="Y60" s="16" t="s">
        <v>2071</v>
      </c>
      <c r="Z60" s="16" t="s">
        <v>2071</v>
      </c>
      <c r="AA60" t="s">
        <v>2071</v>
      </c>
    </row>
    <row r="61" spans="1:27" x14ac:dyDescent="0.2">
      <c r="B61" s="15" t="s">
        <v>2071</v>
      </c>
      <c r="C61" t="s">
        <v>2071</v>
      </c>
      <c r="D61" s="16" t="s">
        <v>2071</v>
      </c>
      <c r="E61" t="s">
        <v>2071</v>
      </c>
      <c r="F61" t="s">
        <v>2071</v>
      </c>
      <c r="G61" t="s">
        <v>2071</v>
      </c>
      <c r="H61" t="s">
        <v>2071</v>
      </c>
      <c r="I61" t="s">
        <v>2071</v>
      </c>
      <c r="J61" t="s">
        <v>2071</v>
      </c>
      <c r="K61" t="s">
        <v>2071</v>
      </c>
      <c r="L61" t="s">
        <v>2071</v>
      </c>
      <c r="M61" t="s">
        <v>2071</v>
      </c>
      <c r="N61" t="s">
        <v>2071</v>
      </c>
      <c r="O61" t="s">
        <v>2071</v>
      </c>
      <c r="P61" t="s">
        <v>2071</v>
      </c>
      <c r="Q61" t="s">
        <v>2071</v>
      </c>
      <c r="R61" t="s">
        <v>2071</v>
      </c>
      <c r="S61" t="s">
        <v>2071</v>
      </c>
      <c r="T61" t="s">
        <v>2071</v>
      </c>
      <c r="U61" t="s">
        <v>2071</v>
      </c>
      <c r="V61" t="s">
        <v>2071</v>
      </c>
      <c r="W61" s="16" t="s">
        <v>2071</v>
      </c>
      <c r="X61" s="16" t="s">
        <v>2071</v>
      </c>
      <c r="Y61" s="16" t="s">
        <v>2071</v>
      </c>
      <c r="Z61" s="16" t="s">
        <v>2071</v>
      </c>
      <c r="AA61" t="s">
        <v>2071</v>
      </c>
    </row>
    <row r="62" spans="1:27" x14ac:dyDescent="0.2">
      <c r="B62" s="15" t="s">
        <v>2071</v>
      </c>
      <c r="C62" t="s">
        <v>2071</v>
      </c>
      <c r="D62" s="16" t="s">
        <v>2071</v>
      </c>
      <c r="E62" t="s">
        <v>2071</v>
      </c>
      <c r="F62" t="s">
        <v>2071</v>
      </c>
      <c r="G62" t="s">
        <v>2071</v>
      </c>
      <c r="H62" t="s">
        <v>2071</v>
      </c>
      <c r="I62" t="s">
        <v>2071</v>
      </c>
      <c r="J62" t="s">
        <v>2071</v>
      </c>
      <c r="K62" t="s">
        <v>2071</v>
      </c>
      <c r="L62" t="s">
        <v>2071</v>
      </c>
      <c r="M62" t="s">
        <v>2071</v>
      </c>
      <c r="N62" t="s">
        <v>2071</v>
      </c>
      <c r="O62" t="s">
        <v>2071</v>
      </c>
      <c r="P62" t="s">
        <v>2071</v>
      </c>
      <c r="Q62" t="s">
        <v>2071</v>
      </c>
      <c r="R62" t="s">
        <v>2071</v>
      </c>
      <c r="S62" t="s">
        <v>2071</v>
      </c>
      <c r="T62" t="s">
        <v>2071</v>
      </c>
      <c r="U62" t="s">
        <v>2071</v>
      </c>
      <c r="V62" t="s">
        <v>2071</v>
      </c>
      <c r="W62" s="16" t="s">
        <v>2071</v>
      </c>
      <c r="X62" s="16" t="s">
        <v>2071</v>
      </c>
      <c r="Y62" s="16" t="s">
        <v>2071</v>
      </c>
      <c r="Z62" s="16" t="s">
        <v>2071</v>
      </c>
      <c r="AA62" t="s">
        <v>2071</v>
      </c>
    </row>
    <row r="63" spans="1:27" x14ac:dyDescent="0.2">
      <c r="B63" s="15" t="s">
        <v>2071</v>
      </c>
      <c r="C63" t="s">
        <v>2071</v>
      </c>
      <c r="D63" s="16" t="s">
        <v>2071</v>
      </c>
      <c r="E63" t="s">
        <v>2071</v>
      </c>
      <c r="F63" t="s">
        <v>2071</v>
      </c>
      <c r="G63" t="s">
        <v>2071</v>
      </c>
      <c r="H63" t="s">
        <v>2071</v>
      </c>
      <c r="I63" t="s">
        <v>2071</v>
      </c>
      <c r="J63" t="s">
        <v>2071</v>
      </c>
      <c r="K63" t="s">
        <v>2071</v>
      </c>
      <c r="L63" t="s">
        <v>2071</v>
      </c>
      <c r="M63" t="s">
        <v>2071</v>
      </c>
      <c r="N63" t="s">
        <v>2071</v>
      </c>
      <c r="O63" t="s">
        <v>2071</v>
      </c>
      <c r="P63" t="s">
        <v>2071</v>
      </c>
      <c r="Q63" t="s">
        <v>2071</v>
      </c>
      <c r="R63" t="s">
        <v>2071</v>
      </c>
      <c r="S63" t="s">
        <v>2071</v>
      </c>
      <c r="T63" t="s">
        <v>2071</v>
      </c>
      <c r="U63" t="s">
        <v>2071</v>
      </c>
      <c r="V63" t="s">
        <v>2071</v>
      </c>
      <c r="W63" s="16" t="s">
        <v>2071</v>
      </c>
      <c r="X63" s="16" t="s">
        <v>2071</v>
      </c>
      <c r="Y63" s="16" t="s">
        <v>2071</v>
      </c>
      <c r="Z63" s="16" t="s">
        <v>2071</v>
      </c>
      <c r="AA63" t="s">
        <v>2071</v>
      </c>
    </row>
    <row r="64" spans="1:27" x14ac:dyDescent="0.2">
      <c r="B64" s="15" t="s">
        <v>2071</v>
      </c>
      <c r="C64" t="s">
        <v>2071</v>
      </c>
      <c r="D64" s="16" t="s">
        <v>2071</v>
      </c>
      <c r="E64" t="s">
        <v>2071</v>
      </c>
      <c r="F64" t="s">
        <v>2071</v>
      </c>
      <c r="G64" t="s">
        <v>2071</v>
      </c>
      <c r="H64" t="s">
        <v>2071</v>
      </c>
      <c r="I64" t="s">
        <v>2071</v>
      </c>
      <c r="J64" t="s">
        <v>2071</v>
      </c>
      <c r="K64" t="s">
        <v>2071</v>
      </c>
      <c r="L64" t="s">
        <v>2071</v>
      </c>
      <c r="M64" t="s">
        <v>2071</v>
      </c>
      <c r="N64" t="s">
        <v>2071</v>
      </c>
      <c r="O64" t="s">
        <v>2071</v>
      </c>
      <c r="P64" t="s">
        <v>2071</v>
      </c>
      <c r="Q64" t="s">
        <v>2071</v>
      </c>
      <c r="R64" t="s">
        <v>2071</v>
      </c>
      <c r="S64" t="s">
        <v>2071</v>
      </c>
      <c r="T64" t="s">
        <v>2071</v>
      </c>
      <c r="U64" t="s">
        <v>2071</v>
      </c>
      <c r="V64" t="s">
        <v>2071</v>
      </c>
      <c r="W64" s="16" t="s">
        <v>2071</v>
      </c>
      <c r="X64" s="16" t="s">
        <v>2071</v>
      </c>
      <c r="Y64" s="16" t="s">
        <v>2071</v>
      </c>
      <c r="Z64" s="16" t="s">
        <v>2071</v>
      </c>
      <c r="AA64" t="s">
        <v>2071</v>
      </c>
    </row>
    <row r="65" spans="2:27" x14ac:dyDescent="0.2">
      <c r="B65" s="15" t="s">
        <v>2071</v>
      </c>
      <c r="C65" t="s">
        <v>2071</v>
      </c>
      <c r="D65" s="16" t="s">
        <v>2071</v>
      </c>
      <c r="E65" t="s">
        <v>2071</v>
      </c>
      <c r="F65" t="s">
        <v>2071</v>
      </c>
      <c r="G65" t="s">
        <v>2071</v>
      </c>
      <c r="H65" t="s">
        <v>2071</v>
      </c>
      <c r="I65" t="s">
        <v>2071</v>
      </c>
      <c r="J65" t="s">
        <v>2071</v>
      </c>
      <c r="K65" t="s">
        <v>2071</v>
      </c>
      <c r="L65" t="s">
        <v>2071</v>
      </c>
      <c r="M65" t="s">
        <v>2071</v>
      </c>
      <c r="N65" t="s">
        <v>2071</v>
      </c>
      <c r="O65" t="s">
        <v>2071</v>
      </c>
      <c r="P65" t="s">
        <v>2071</v>
      </c>
      <c r="Q65" t="s">
        <v>2071</v>
      </c>
      <c r="R65" t="s">
        <v>2071</v>
      </c>
      <c r="S65" t="s">
        <v>2071</v>
      </c>
      <c r="T65" t="s">
        <v>2071</v>
      </c>
      <c r="U65" t="s">
        <v>2071</v>
      </c>
      <c r="V65" t="s">
        <v>2071</v>
      </c>
      <c r="W65" s="16" t="s">
        <v>2071</v>
      </c>
      <c r="X65" s="16" t="s">
        <v>2071</v>
      </c>
      <c r="Y65" s="16" t="s">
        <v>2071</v>
      </c>
      <c r="Z65" s="16" t="s">
        <v>2071</v>
      </c>
      <c r="AA65" t="s">
        <v>2071</v>
      </c>
    </row>
    <row r="66" spans="2:27" x14ac:dyDescent="0.2">
      <c r="B66" s="15" t="s">
        <v>2071</v>
      </c>
      <c r="C66" t="s">
        <v>2071</v>
      </c>
      <c r="D66" s="16" t="s">
        <v>2071</v>
      </c>
      <c r="E66" t="s">
        <v>2071</v>
      </c>
      <c r="F66" t="s">
        <v>2071</v>
      </c>
      <c r="G66" t="s">
        <v>2071</v>
      </c>
      <c r="H66" t="s">
        <v>2071</v>
      </c>
      <c r="I66" t="s">
        <v>2071</v>
      </c>
      <c r="J66" t="s">
        <v>2071</v>
      </c>
      <c r="K66" t="s">
        <v>2071</v>
      </c>
      <c r="L66" t="s">
        <v>2071</v>
      </c>
      <c r="M66" t="s">
        <v>2071</v>
      </c>
      <c r="N66" t="s">
        <v>2071</v>
      </c>
      <c r="O66" t="s">
        <v>2071</v>
      </c>
      <c r="P66" t="s">
        <v>2071</v>
      </c>
      <c r="Q66" t="s">
        <v>2071</v>
      </c>
      <c r="R66" t="s">
        <v>2071</v>
      </c>
      <c r="S66" t="s">
        <v>2071</v>
      </c>
      <c r="T66" t="s">
        <v>2071</v>
      </c>
      <c r="U66" t="s">
        <v>2071</v>
      </c>
      <c r="V66" t="s">
        <v>2071</v>
      </c>
      <c r="W66" s="16" t="s">
        <v>2071</v>
      </c>
      <c r="X66" s="16" t="s">
        <v>2071</v>
      </c>
      <c r="Y66" s="16" t="s">
        <v>2071</v>
      </c>
      <c r="Z66" s="16" t="s">
        <v>2071</v>
      </c>
      <c r="AA66" t="s">
        <v>2071</v>
      </c>
    </row>
    <row r="67" spans="2:27" x14ac:dyDescent="0.2">
      <c r="B67" s="15" t="s">
        <v>2071</v>
      </c>
      <c r="C67" t="s">
        <v>2071</v>
      </c>
      <c r="D67" s="16" t="s">
        <v>2071</v>
      </c>
      <c r="E67" t="s">
        <v>2071</v>
      </c>
      <c r="F67" t="s">
        <v>2071</v>
      </c>
      <c r="G67" t="s">
        <v>2071</v>
      </c>
      <c r="H67" t="s">
        <v>2071</v>
      </c>
      <c r="I67" t="s">
        <v>2071</v>
      </c>
      <c r="J67" t="s">
        <v>2071</v>
      </c>
      <c r="K67" t="s">
        <v>2071</v>
      </c>
      <c r="L67" t="s">
        <v>2071</v>
      </c>
      <c r="M67" t="s">
        <v>2071</v>
      </c>
      <c r="N67" t="s">
        <v>2071</v>
      </c>
      <c r="O67" t="s">
        <v>2071</v>
      </c>
      <c r="P67" t="s">
        <v>2071</v>
      </c>
      <c r="Q67" t="s">
        <v>2071</v>
      </c>
      <c r="R67" t="s">
        <v>2071</v>
      </c>
      <c r="S67" t="s">
        <v>2071</v>
      </c>
      <c r="T67" t="s">
        <v>2071</v>
      </c>
      <c r="U67" t="s">
        <v>2071</v>
      </c>
      <c r="V67" t="s">
        <v>2071</v>
      </c>
      <c r="W67" s="16" t="s">
        <v>2071</v>
      </c>
      <c r="X67" s="16" t="s">
        <v>2071</v>
      </c>
      <c r="Y67" s="16" t="s">
        <v>2071</v>
      </c>
      <c r="Z67" s="16" t="s">
        <v>2071</v>
      </c>
      <c r="AA67" t="s">
        <v>2071</v>
      </c>
    </row>
    <row r="68" spans="2:27" x14ac:dyDescent="0.2">
      <c r="B68" s="15" t="s">
        <v>2071</v>
      </c>
      <c r="C68" t="s">
        <v>2071</v>
      </c>
      <c r="D68" s="16" t="s">
        <v>2071</v>
      </c>
      <c r="E68" t="s">
        <v>2071</v>
      </c>
      <c r="F68" t="s">
        <v>2071</v>
      </c>
      <c r="G68" t="s">
        <v>2071</v>
      </c>
      <c r="H68" t="s">
        <v>2071</v>
      </c>
      <c r="I68" t="s">
        <v>2071</v>
      </c>
      <c r="J68" t="s">
        <v>2071</v>
      </c>
      <c r="K68" t="s">
        <v>2071</v>
      </c>
      <c r="L68" t="s">
        <v>2071</v>
      </c>
      <c r="M68" t="s">
        <v>2071</v>
      </c>
      <c r="N68" t="s">
        <v>2071</v>
      </c>
      <c r="O68" t="s">
        <v>2071</v>
      </c>
      <c r="P68" t="s">
        <v>2071</v>
      </c>
      <c r="Q68" t="s">
        <v>2071</v>
      </c>
      <c r="R68" t="s">
        <v>2071</v>
      </c>
      <c r="S68" t="s">
        <v>2071</v>
      </c>
      <c r="T68" t="s">
        <v>2071</v>
      </c>
      <c r="U68" t="s">
        <v>2071</v>
      </c>
      <c r="V68" t="s">
        <v>2071</v>
      </c>
      <c r="W68" s="16" t="s">
        <v>2071</v>
      </c>
      <c r="X68" s="16" t="s">
        <v>2071</v>
      </c>
      <c r="Y68" s="16" t="s">
        <v>2071</v>
      </c>
      <c r="Z68" s="16" t="s">
        <v>2071</v>
      </c>
      <c r="AA68" t="s">
        <v>2071</v>
      </c>
    </row>
    <row r="69" spans="2:27" x14ac:dyDescent="0.2">
      <c r="B69" s="15" t="s">
        <v>2071</v>
      </c>
      <c r="C69" t="s">
        <v>2071</v>
      </c>
      <c r="D69" s="16" t="s">
        <v>2071</v>
      </c>
      <c r="E69" t="s">
        <v>2071</v>
      </c>
      <c r="F69" t="s">
        <v>2071</v>
      </c>
      <c r="G69" t="s">
        <v>2071</v>
      </c>
      <c r="H69" t="s">
        <v>2071</v>
      </c>
      <c r="I69" t="s">
        <v>2071</v>
      </c>
      <c r="J69" t="s">
        <v>2071</v>
      </c>
      <c r="K69" t="s">
        <v>2071</v>
      </c>
      <c r="L69" t="s">
        <v>2071</v>
      </c>
      <c r="M69" t="s">
        <v>2071</v>
      </c>
      <c r="N69" t="s">
        <v>2071</v>
      </c>
      <c r="O69" t="s">
        <v>2071</v>
      </c>
      <c r="P69" t="s">
        <v>2071</v>
      </c>
      <c r="Q69" t="s">
        <v>2071</v>
      </c>
      <c r="R69" t="s">
        <v>2071</v>
      </c>
      <c r="S69" t="s">
        <v>2071</v>
      </c>
      <c r="T69" t="s">
        <v>2071</v>
      </c>
      <c r="U69" t="s">
        <v>2071</v>
      </c>
      <c r="V69" t="s">
        <v>2071</v>
      </c>
      <c r="W69" s="16" t="s">
        <v>2071</v>
      </c>
      <c r="X69" s="16" t="s">
        <v>2071</v>
      </c>
      <c r="Y69" s="16" t="s">
        <v>2071</v>
      </c>
      <c r="Z69" s="16" t="s">
        <v>2071</v>
      </c>
      <c r="AA69" t="s">
        <v>2071</v>
      </c>
    </row>
    <row r="70" spans="2:27" x14ac:dyDescent="0.2">
      <c r="B70" s="15" t="s">
        <v>2071</v>
      </c>
      <c r="C70" t="s">
        <v>2071</v>
      </c>
      <c r="D70" s="16" t="s">
        <v>2071</v>
      </c>
      <c r="E70" t="s">
        <v>2071</v>
      </c>
      <c r="F70" t="s">
        <v>2071</v>
      </c>
      <c r="G70" t="s">
        <v>2071</v>
      </c>
      <c r="H70" t="s">
        <v>2071</v>
      </c>
      <c r="I70" t="s">
        <v>2071</v>
      </c>
      <c r="J70" t="s">
        <v>2071</v>
      </c>
      <c r="K70" t="s">
        <v>2071</v>
      </c>
      <c r="L70" t="s">
        <v>2071</v>
      </c>
      <c r="M70" t="s">
        <v>2071</v>
      </c>
      <c r="N70" t="s">
        <v>2071</v>
      </c>
      <c r="O70" t="s">
        <v>2071</v>
      </c>
      <c r="P70" t="s">
        <v>2071</v>
      </c>
      <c r="Q70" t="s">
        <v>2071</v>
      </c>
      <c r="R70" t="s">
        <v>2071</v>
      </c>
      <c r="S70" t="s">
        <v>2071</v>
      </c>
      <c r="T70" t="s">
        <v>2071</v>
      </c>
      <c r="U70" t="s">
        <v>2071</v>
      </c>
      <c r="V70" t="s">
        <v>2071</v>
      </c>
      <c r="W70" s="16" t="s">
        <v>2071</v>
      </c>
      <c r="X70" s="16" t="s">
        <v>2071</v>
      </c>
      <c r="Y70" s="16" t="s">
        <v>2071</v>
      </c>
      <c r="Z70" s="16" t="s">
        <v>2071</v>
      </c>
      <c r="AA70" t="s">
        <v>2071</v>
      </c>
    </row>
    <row r="71" spans="2:27" x14ac:dyDescent="0.2">
      <c r="B71" s="15" t="s">
        <v>2071</v>
      </c>
      <c r="C71" t="s">
        <v>2071</v>
      </c>
      <c r="D71" s="16" t="s">
        <v>2071</v>
      </c>
      <c r="E71" t="s">
        <v>2071</v>
      </c>
      <c r="F71" t="s">
        <v>2071</v>
      </c>
      <c r="G71" t="s">
        <v>2071</v>
      </c>
      <c r="H71" t="s">
        <v>2071</v>
      </c>
      <c r="I71" t="s">
        <v>2071</v>
      </c>
      <c r="J71" t="s">
        <v>2071</v>
      </c>
      <c r="K71" t="s">
        <v>2071</v>
      </c>
      <c r="L71" t="s">
        <v>2071</v>
      </c>
      <c r="M71" t="s">
        <v>2071</v>
      </c>
      <c r="N71" t="s">
        <v>2071</v>
      </c>
      <c r="O71" t="s">
        <v>2071</v>
      </c>
      <c r="P71" t="s">
        <v>2071</v>
      </c>
      <c r="Q71" t="s">
        <v>2071</v>
      </c>
      <c r="R71" t="s">
        <v>2071</v>
      </c>
      <c r="S71" t="s">
        <v>2071</v>
      </c>
      <c r="T71" t="s">
        <v>2071</v>
      </c>
      <c r="U71" t="s">
        <v>2071</v>
      </c>
      <c r="V71" t="s">
        <v>2071</v>
      </c>
      <c r="W71" s="16" t="s">
        <v>2071</v>
      </c>
      <c r="X71" s="16" t="s">
        <v>2071</v>
      </c>
      <c r="Y71" s="16" t="s">
        <v>2071</v>
      </c>
      <c r="Z71" s="16" t="s">
        <v>2071</v>
      </c>
      <c r="AA71" t="s">
        <v>2071</v>
      </c>
    </row>
    <row r="72" spans="2:27" x14ac:dyDescent="0.2">
      <c r="B72" s="15" t="s">
        <v>2071</v>
      </c>
      <c r="C72" t="s">
        <v>2071</v>
      </c>
      <c r="D72" s="16" t="s">
        <v>2071</v>
      </c>
      <c r="E72" t="s">
        <v>2071</v>
      </c>
      <c r="F72" t="s">
        <v>2071</v>
      </c>
      <c r="G72" t="s">
        <v>2071</v>
      </c>
      <c r="H72" t="s">
        <v>2071</v>
      </c>
      <c r="I72" t="s">
        <v>2071</v>
      </c>
      <c r="J72" t="s">
        <v>2071</v>
      </c>
      <c r="K72" t="s">
        <v>2071</v>
      </c>
      <c r="L72" t="s">
        <v>2071</v>
      </c>
      <c r="M72" t="s">
        <v>2071</v>
      </c>
      <c r="N72" t="s">
        <v>2071</v>
      </c>
      <c r="O72" t="s">
        <v>2071</v>
      </c>
      <c r="P72" t="s">
        <v>2071</v>
      </c>
      <c r="Q72" t="s">
        <v>2071</v>
      </c>
      <c r="R72" t="s">
        <v>2071</v>
      </c>
      <c r="S72" t="s">
        <v>2071</v>
      </c>
      <c r="T72" t="s">
        <v>2071</v>
      </c>
      <c r="U72" t="s">
        <v>2071</v>
      </c>
      <c r="V72" t="s">
        <v>2071</v>
      </c>
      <c r="W72" s="16" t="s">
        <v>2071</v>
      </c>
      <c r="X72" s="16" t="s">
        <v>2071</v>
      </c>
      <c r="Y72" s="16" t="s">
        <v>2071</v>
      </c>
      <c r="Z72" s="16" t="s">
        <v>2071</v>
      </c>
      <c r="AA72" t="s">
        <v>2071</v>
      </c>
    </row>
    <row r="73" spans="2:27" x14ac:dyDescent="0.2">
      <c r="B73" s="15" t="s">
        <v>2071</v>
      </c>
      <c r="C73" t="s">
        <v>2071</v>
      </c>
      <c r="D73" s="16" t="s">
        <v>2071</v>
      </c>
      <c r="E73" t="s">
        <v>2071</v>
      </c>
      <c r="F73" t="s">
        <v>2071</v>
      </c>
      <c r="G73" t="s">
        <v>2071</v>
      </c>
      <c r="H73" t="s">
        <v>2071</v>
      </c>
      <c r="I73" t="s">
        <v>2071</v>
      </c>
      <c r="J73" t="s">
        <v>2071</v>
      </c>
      <c r="K73" t="s">
        <v>2071</v>
      </c>
      <c r="L73" t="s">
        <v>2071</v>
      </c>
      <c r="M73" t="s">
        <v>2071</v>
      </c>
      <c r="N73" t="s">
        <v>2071</v>
      </c>
      <c r="O73" t="s">
        <v>2071</v>
      </c>
      <c r="P73" t="s">
        <v>2071</v>
      </c>
      <c r="Q73" t="s">
        <v>2071</v>
      </c>
      <c r="R73" t="s">
        <v>2071</v>
      </c>
      <c r="S73" t="s">
        <v>2071</v>
      </c>
      <c r="T73" t="s">
        <v>2071</v>
      </c>
      <c r="U73" t="s">
        <v>2071</v>
      </c>
      <c r="V73" t="s">
        <v>2071</v>
      </c>
      <c r="W73" s="16" t="s">
        <v>2071</v>
      </c>
      <c r="X73" s="16" t="s">
        <v>2071</v>
      </c>
      <c r="Y73" s="16" t="s">
        <v>2071</v>
      </c>
      <c r="Z73" s="16" t="s">
        <v>2071</v>
      </c>
      <c r="AA73" t="s">
        <v>2071</v>
      </c>
    </row>
    <row r="74" spans="2:27" x14ac:dyDescent="0.2">
      <c r="B74" s="15" t="s">
        <v>2071</v>
      </c>
      <c r="C74" t="s">
        <v>2071</v>
      </c>
      <c r="D74" s="16" t="s">
        <v>2071</v>
      </c>
      <c r="E74" t="s">
        <v>2071</v>
      </c>
      <c r="F74" t="s">
        <v>2071</v>
      </c>
      <c r="G74" t="s">
        <v>2071</v>
      </c>
      <c r="H74" t="s">
        <v>2071</v>
      </c>
      <c r="I74" t="s">
        <v>2071</v>
      </c>
      <c r="J74" t="s">
        <v>2071</v>
      </c>
      <c r="K74" t="s">
        <v>2071</v>
      </c>
      <c r="L74" t="s">
        <v>2071</v>
      </c>
      <c r="M74" t="s">
        <v>2071</v>
      </c>
      <c r="N74" t="s">
        <v>2071</v>
      </c>
      <c r="O74" t="s">
        <v>2071</v>
      </c>
      <c r="P74" t="s">
        <v>2071</v>
      </c>
      <c r="Q74" t="s">
        <v>2071</v>
      </c>
      <c r="R74" t="s">
        <v>2071</v>
      </c>
      <c r="S74" t="s">
        <v>2071</v>
      </c>
      <c r="T74" t="s">
        <v>2071</v>
      </c>
      <c r="U74" t="s">
        <v>2071</v>
      </c>
      <c r="V74" t="s">
        <v>2071</v>
      </c>
      <c r="W74" s="16" t="s">
        <v>2071</v>
      </c>
      <c r="X74" s="16" t="s">
        <v>2071</v>
      </c>
      <c r="Y74" s="16" t="s">
        <v>2071</v>
      </c>
      <c r="Z74" s="16" t="s">
        <v>2071</v>
      </c>
      <c r="AA74" t="s">
        <v>2071</v>
      </c>
    </row>
    <row r="75" spans="2:27" x14ac:dyDescent="0.2">
      <c r="B75" s="15" t="s">
        <v>2071</v>
      </c>
      <c r="C75" t="s">
        <v>2071</v>
      </c>
      <c r="D75" s="16" t="s">
        <v>2071</v>
      </c>
      <c r="E75" t="s">
        <v>2071</v>
      </c>
      <c r="F75" t="s">
        <v>2071</v>
      </c>
      <c r="G75" t="s">
        <v>2071</v>
      </c>
      <c r="H75" t="s">
        <v>2071</v>
      </c>
      <c r="I75" t="s">
        <v>2071</v>
      </c>
      <c r="J75" t="s">
        <v>2071</v>
      </c>
      <c r="K75" t="s">
        <v>2071</v>
      </c>
      <c r="L75" t="s">
        <v>2071</v>
      </c>
      <c r="M75" t="s">
        <v>2071</v>
      </c>
      <c r="N75" t="s">
        <v>2071</v>
      </c>
      <c r="O75" t="s">
        <v>2071</v>
      </c>
      <c r="P75" t="s">
        <v>2071</v>
      </c>
      <c r="Q75" t="s">
        <v>2071</v>
      </c>
      <c r="R75" t="s">
        <v>2071</v>
      </c>
      <c r="S75" t="s">
        <v>2071</v>
      </c>
      <c r="T75" t="s">
        <v>2071</v>
      </c>
      <c r="U75" t="s">
        <v>2071</v>
      </c>
      <c r="V75" t="s">
        <v>2071</v>
      </c>
      <c r="W75" s="16" t="s">
        <v>2071</v>
      </c>
      <c r="X75" s="16" t="s">
        <v>2071</v>
      </c>
      <c r="Y75" s="16" t="s">
        <v>2071</v>
      </c>
      <c r="Z75" s="16" t="s">
        <v>2071</v>
      </c>
      <c r="AA75" t="s">
        <v>2071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日本</vt:lpstr>
      <vt:lpstr>他国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2026-02-23T12:37:10Z</dcterms:modified>
</cp:coreProperties>
</file>