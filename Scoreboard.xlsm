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6866C817-D578-40D5-9129-D0F6A1120E55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6" i="25" l="1"/>
  <c r="N6" i="25" s="1"/>
  <c r="M6" i="25"/>
  <c r="K7" i="25"/>
  <c r="N7" i="25" s="1"/>
  <c r="M7" i="25"/>
  <c r="K8" i="25"/>
  <c r="N8" i="25" s="1"/>
  <c r="M8" i="25"/>
  <c r="K9" i="25"/>
  <c r="N9" i="25" s="1"/>
  <c r="M9" i="25"/>
  <c r="K10" i="25"/>
  <c r="N10" i="25" s="1"/>
  <c r="M10" i="25"/>
  <c r="K11" i="25"/>
  <c r="N11" i="25" s="1"/>
  <c r="M11" i="25"/>
  <c r="K12" i="25"/>
  <c r="N12" i="25" s="1"/>
  <c r="M12" i="25"/>
  <c r="K13" i="25"/>
  <c r="N13" i="25" s="1"/>
  <c r="M13" i="25"/>
  <c r="K14" i="25"/>
  <c r="N14" i="25" s="1"/>
  <c r="M14" i="25"/>
  <c r="K15" i="25"/>
  <c r="N15" i="25" s="1"/>
  <c r="M15" i="25"/>
  <c r="K16" i="25"/>
  <c r="N16" i="25" s="1"/>
  <c r="M16" i="25"/>
  <c r="K17" i="25"/>
  <c r="N17" i="25" s="1"/>
  <c r="M17" i="25"/>
  <c r="K18" i="25"/>
  <c r="N18" i="25" s="1"/>
  <c r="M18" i="25"/>
  <c r="K19" i="25"/>
  <c r="N19" i="25" s="1"/>
  <c r="M19" i="25"/>
  <c r="K20" i="25"/>
  <c r="N20" i="25" s="1"/>
  <c r="M20" i="25"/>
  <c r="K21" i="25"/>
  <c r="N21" i="25" s="1"/>
  <c r="M21" i="25"/>
  <c r="K22" i="25"/>
  <c r="N22" i="25" s="1"/>
  <c r="M22" i="25"/>
  <c r="K23" i="25"/>
  <c r="N23" i="25" s="1"/>
  <c r="M23" i="25"/>
  <c r="K24" i="25"/>
  <c r="N24" i="25" s="1"/>
  <c r="M24" i="25"/>
  <c r="K25" i="25"/>
  <c r="N25" i="25" s="1"/>
  <c r="M25" i="25"/>
  <c r="K26" i="25"/>
  <c r="N26" i="25" s="1"/>
  <c r="M26" i="25"/>
  <c r="K27" i="25"/>
  <c r="N27" i="25" s="1"/>
  <c r="M27" i="25"/>
  <c r="K28" i="25"/>
  <c r="N28" i="25" s="1"/>
  <c r="M28" i="25"/>
  <c r="K29" i="25"/>
  <c r="N29" i="25" s="1"/>
  <c r="M29" i="25"/>
  <c r="K30" i="25"/>
  <c r="N30" i="25" s="1"/>
  <c r="M30" i="25"/>
  <c r="K31" i="25"/>
  <c r="N31" i="25" s="1"/>
  <c r="M31" i="25"/>
  <c r="K32" i="25"/>
  <c r="N32" i="25" s="1"/>
  <c r="M32" i="25"/>
  <c r="K33" i="25"/>
  <c r="N33" i="25" s="1"/>
  <c r="M33" i="25"/>
  <c r="K34" i="25"/>
  <c r="N34" i="25" s="1"/>
  <c r="M34" i="25"/>
  <c r="K35" i="25"/>
  <c r="N35" i="25" s="1"/>
  <c r="M35" i="25"/>
  <c r="K36" i="25"/>
  <c r="N36" i="25" s="1"/>
  <c r="M36" i="25"/>
  <c r="K37" i="25"/>
  <c r="N37" i="25" s="1"/>
  <c r="M37" i="25"/>
  <c r="K38" i="25"/>
  <c r="N38" i="25" s="1"/>
  <c r="M38" i="25"/>
  <c r="K39" i="25"/>
  <c r="N39" i="25" s="1"/>
  <c r="M39" i="25"/>
  <c r="K40" i="25"/>
  <c r="N40" i="25" s="1"/>
  <c r="M40" i="25"/>
  <c r="K41" i="25"/>
  <c r="N41" i="25" s="1"/>
  <c r="M41" i="25"/>
  <c r="K42" i="25"/>
  <c r="N42" i="25" s="1"/>
  <c r="M42" i="25"/>
  <c r="K43" i="25"/>
  <c r="N43" i="25" s="1"/>
  <c r="M43" i="25"/>
  <c r="K44" i="25"/>
  <c r="N44" i="25" s="1"/>
  <c r="M44" i="25"/>
  <c r="K45" i="25"/>
  <c r="N45" i="25" s="1"/>
  <c r="M45" i="25"/>
  <c r="K46" i="25"/>
  <c r="N46" i="25" s="1"/>
  <c r="M46" i="25"/>
  <c r="K47" i="25"/>
  <c r="N47" i="25" s="1"/>
  <c r="M47" i="25"/>
  <c r="K48" i="25"/>
  <c r="N48" i="25" s="1"/>
  <c r="M48" i="25"/>
  <c r="K49" i="25"/>
  <c r="N49" i="25" s="1"/>
  <c r="M49" i="25"/>
  <c r="K50" i="25"/>
  <c r="N50" i="25" s="1"/>
  <c r="M50" i="25"/>
  <c r="K51" i="25"/>
  <c r="N51" i="25" s="1"/>
  <c r="M51" i="25"/>
  <c r="K52" i="25"/>
  <c r="N52" i="25" s="1"/>
  <c r="M52" i="25"/>
  <c r="K53" i="25"/>
  <c r="N53" i="25" s="1"/>
  <c r="M53" i="25"/>
  <c r="K54" i="25"/>
  <c r="N54" i="25" s="1"/>
  <c r="M54" i="25"/>
  <c r="K55" i="25"/>
  <c r="N55" i="25" s="1"/>
  <c r="M55" i="25"/>
  <c r="K56" i="25"/>
  <c r="N56" i="25" s="1"/>
  <c r="M56" i="25"/>
  <c r="K57" i="25"/>
  <c r="N57" i="25" s="1"/>
  <c r="M57" i="25"/>
  <c r="K58" i="25"/>
  <c r="N58" i="25" s="1"/>
  <c r="M58" i="25"/>
  <c r="K59" i="25"/>
  <c r="N59" i="25" s="1"/>
  <c r="M59" i="25"/>
  <c r="K60" i="25"/>
  <c r="N60" i="25" s="1"/>
  <c r="M60" i="25"/>
  <c r="K61" i="25"/>
  <c r="N61" i="25" s="1"/>
  <c r="M61" i="25"/>
  <c r="K62" i="25"/>
  <c r="N62" i="25" s="1"/>
  <c r="M62" i="25"/>
  <c r="K63" i="25"/>
  <c r="N63" i="25" s="1"/>
  <c r="M63" i="25"/>
  <c r="K64" i="25"/>
  <c r="N64" i="25" s="1"/>
  <c r="M64" i="25"/>
  <c r="K65" i="25"/>
  <c r="N65" i="25" s="1"/>
  <c r="M65" i="25"/>
  <c r="K66" i="25"/>
  <c r="N66" i="25" s="1"/>
  <c r="M66" i="25"/>
  <c r="K67" i="25"/>
  <c r="N67" i="25" s="1"/>
  <c r="M67" i="25"/>
  <c r="K68" i="25"/>
  <c r="N68" i="25" s="1"/>
  <c r="M68" i="25"/>
  <c r="K69" i="25"/>
  <c r="N69" i="25" s="1"/>
  <c r="M69" i="25"/>
  <c r="K70" i="25"/>
  <c r="N70" i="25" s="1"/>
  <c r="M70" i="25"/>
  <c r="K71" i="25"/>
  <c r="N71" i="25" s="1"/>
  <c r="M71" i="25"/>
  <c r="K72" i="25"/>
  <c r="N72" i="25" s="1"/>
  <c r="M72" i="25"/>
  <c r="K73" i="25"/>
  <c r="N73" i="25" s="1"/>
  <c r="M73" i="25"/>
  <c r="K74" i="25"/>
  <c r="N74" i="25" s="1"/>
  <c r="M74" i="25"/>
  <c r="K75" i="25"/>
  <c r="N75" i="25" s="1"/>
  <c r="M75" i="25"/>
  <c r="K76" i="25"/>
  <c r="N76" i="25" s="1"/>
  <c r="M76" i="25"/>
  <c r="K77" i="25"/>
  <c r="N77" i="25" s="1"/>
  <c r="M77" i="25"/>
  <c r="K78" i="25"/>
  <c r="N78" i="25" s="1"/>
  <c r="M78" i="25"/>
  <c r="K79" i="25"/>
  <c r="N79" i="25" s="1"/>
  <c r="M79" i="25"/>
  <c r="K80" i="25"/>
  <c r="N80" i="25" s="1"/>
  <c r="M80" i="25"/>
  <c r="K81" i="25"/>
  <c r="N81" i="25" s="1"/>
  <c r="M81" i="25"/>
  <c r="K82" i="25"/>
  <c r="N82" i="25" s="1"/>
  <c r="M82" i="25"/>
  <c r="K83" i="25"/>
  <c r="N83" i="25" s="1"/>
  <c r="M83" i="25"/>
  <c r="K84" i="25"/>
  <c r="N84" i="25" s="1"/>
  <c r="M84" i="25"/>
  <c r="K85" i="25"/>
  <c r="N85" i="25" s="1"/>
  <c r="M85" i="25"/>
  <c r="K86" i="25"/>
  <c r="N86" i="25" s="1"/>
  <c r="M86" i="25"/>
  <c r="K87" i="25"/>
  <c r="N87" i="25" s="1"/>
  <c r="M87" i="25"/>
  <c r="K88" i="25"/>
  <c r="N88" i="25" s="1"/>
  <c r="M88" i="25"/>
  <c r="K89" i="25"/>
  <c r="N89" i="25" s="1"/>
  <c r="M89" i="25"/>
  <c r="K90" i="25"/>
  <c r="N90" i="25" s="1"/>
  <c r="M90" i="25"/>
  <c r="K91" i="25"/>
  <c r="N91" i="25" s="1"/>
  <c r="M91" i="25"/>
  <c r="K92" i="25"/>
  <c r="N92" i="25" s="1"/>
  <c r="M92" i="25"/>
  <c r="K93" i="25"/>
  <c r="N93" i="25" s="1"/>
  <c r="M93" i="25"/>
  <c r="K94" i="25"/>
  <c r="N94" i="25" s="1"/>
  <c r="M94" i="25"/>
  <c r="K95" i="25"/>
  <c r="N95" i="25" s="1"/>
  <c r="M95" i="25"/>
  <c r="K96" i="25"/>
  <c r="N96" i="25" s="1"/>
  <c r="M96" i="25"/>
  <c r="K97" i="25"/>
  <c r="N97" i="25" s="1"/>
  <c r="M97" i="25"/>
  <c r="K98" i="25"/>
  <c r="N98" i="25" s="1"/>
  <c r="M98" i="25"/>
  <c r="K99" i="25"/>
  <c r="N99" i="25" s="1"/>
  <c r="M99" i="25"/>
  <c r="K100" i="25"/>
  <c r="N100" i="25" s="1"/>
  <c r="M100" i="25"/>
  <c r="K101" i="25"/>
  <c r="N101" i="25" s="1"/>
  <c r="M101" i="25"/>
  <c r="K102" i="25"/>
  <c r="N102" i="25" s="1"/>
  <c r="M102" i="25"/>
  <c r="K103" i="25"/>
  <c r="N103" i="25" s="1"/>
  <c r="M103" i="25"/>
  <c r="K104" i="25"/>
  <c r="N104" i="25" s="1"/>
  <c r="M104" i="25"/>
  <c r="K105" i="25"/>
  <c r="N105" i="25" s="1"/>
  <c r="M105" i="25"/>
  <c r="K106" i="25"/>
  <c r="N106" i="25" s="1"/>
  <c r="M106" i="25"/>
  <c r="K107" i="25"/>
  <c r="N107" i="25" s="1"/>
  <c r="M107" i="25"/>
  <c r="K108" i="25"/>
  <c r="N108" i="25" s="1"/>
  <c r="M108" i="25"/>
  <c r="K109" i="25"/>
  <c r="N109" i="25" s="1"/>
  <c r="M109" i="25"/>
  <c r="K110" i="25"/>
  <c r="N110" i="25" s="1"/>
  <c r="M110" i="25"/>
  <c r="K111" i="25"/>
  <c r="N111" i="25" s="1"/>
  <c r="M111" i="25"/>
  <c r="K112" i="25"/>
  <c r="N112" i="25" s="1"/>
  <c r="M112" i="25"/>
  <c r="K113" i="25"/>
  <c r="N113" i="25" s="1"/>
  <c r="M113" i="25"/>
  <c r="K114" i="25"/>
  <c r="N114" i="25" s="1"/>
  <c r="M114" i="25"/>
  <c r="K115" i="25"/>
  <c r="N115" i="25" s="1"/>
  <c r="M115" i="25"/>
  <c r="K116" i="25"/>
  <c r="N116" i="25" s="1"/>
  <c r="M116" i="25"/>
  <c r="K117" i="25"/>
  <c r="N117" i="25" s="1"/>
  <c r="M117" i="25"/>
  <c r="K118" i="25"/>
  <c r="N118" i="25" s="1"/>
  <c r="M118" i="25"/>
  <c r="K119" i="25"/>
  <c r="N119" i="25" s="1"/>
  <c r="M119" i="25"/>
  <c r="K120" i="25"/>
  <c r="N120" i="25" s="1"/>
  <c r="M120" i="25"/>
  <c r="K121" i="25"/>
  <c r="N121" i="25" s="1"/>
  <c r="M121" i="25"/>
  <c r="K122" i="25"/>
  <c r="N122" i="25" s="1"/>
  <c r="M122" i="25"/>
  <c r="K123" i="25"/>
  <c r="N123" i="25" s="1"/>
  <c r="M123" i="25"/>
  <c r="K124" i="25"/>
  <c r="N124" i="25" s="1"/>
  <c r="M124" i="25"/>
  <c r="K125" i="25"/>
  <c r="N125" i="25" s="1"/>
  <c r="M125" i="25"/>
  <c r="K126" i="25"/>
  <c r="N126" i="25" s="1"/>
  <c r="M126" i="25"/>
  <c r="K127" i="25"/>
  <c r="N127" i="25" s="1"/>
  <c r="M127" i="25"/>
  <c r="K128" i="25"/>
  <c r="N128" i="25" s="1"/>
  <c r="M128" i="25"/>
  <c r="K129" i="25"/>
  <c r="N129" i="25" s="1"/>
  <c r="M129" i="25"/>
  <c r="K130" i="25"/>
  <c r="N130" i="25" s="1"/>
  <c r="M130" i="25"/>
  <c r="K131" i="25"/>
  <c r="N131" i="25" s="1"/>
  <c r="M131" i="25"/>
  <c r="K132" i="25"/>
  <c r="N132" i="25" s="1"/>
  <c r="M132" i="25"/>
  <c r="K133" i="25"/>
  <c r="N133" i="25" s="1"/>
  <c r="M133" i="25"/>
  <c r="K134" i="25"/>
  <c r="N134" i="25" s="1"/>
  <c r="M134" i="25"/>
  <c r="K6" i="29"/>
  <c r="N6" i="29" s="1"/>
  <c r="M6" i="29"/>
  <c r="K7" i="29"/>
  <c r="N7" i="29" s="1"/>
  <c r="M7" i="29"/>
  <c r="K8" i="29"/>
  <c r="N8" i="29" s="1"/>
  <c r="M8" i="29"/>
  <c r="K9" i="29"/>
  <c r="N9" i="29" s="1"/>
  <c r="M9" i="29"/>
  <c r="K10" i="29"/>
  <c r="N10" i="29" s="1"/>
  <c r="M10" i="29"/>
  <c r="K11" i="29"/>
  <c r="N11" i="29" s="1"/>
  <c r="M11" i="29"/>
  <c r="K12" i="29"/>
  <c r="N12" i="29" s="1"/>
  <c r="M12" i="29"/>
  <c r="K13" i="29"/>
  <c r="N13" i="29" s="1"/>
  <c r="M13" i="29"/>
  <c r="K14" i="29"/>
  <c r="N14" i="29" s="1"/>
  <c r="M14" i="29"/>
  <c r="K15" i="29"/>
  <c r="N15" i="29" s="1"/>
  <c r="M15" i="29"/>
  <c r="K16" i="29"/>
  <c r="N16" i="29" s="1"/>
  <c r="M16" i="29"/>
  <c r="K17" i="29"/>
  <c r="N17" i="29" s="1"/>
  <c r="M17" i="29"/>
  <c r="K18" i="29"/>
  <c r="N18" i="29" s="1"/>
  <c r="M18" i="29"/>
  <c r="K19" i="29"/>
  <c r="N19" i="29" s="1"/>
  <c r="M19" i="29"/>
  <c r="K20" i="29"/>
  <c r="N20" i="29" s="1"/>
  <c r="M20" i="29"/>
  <c r="K21" i="29"/>
  <c r="N21" i="29" s="1"/>
  <c r="M21" i="29"/>
  <c r="K22" i="29"/>
  <c r="N22" i="29" s="1"/>
  <c r="M22" i="29"/>
  <c r="K23" i="29"/>
  <c r="N23" i="29" s="1"/>
  <c r="M23" i="29"/>
  <c r="K24" i="29"/>
  <c r="N24" i="29" s="1"/>
  <c r="M24" i="29"/>
  <c r="K25" i="29"/>
  <c r="N25" i="29" s="1"/>
  <c r="M25" i="29"/>
  <c r="K26" i="29"/>
  <c r="N26" i="29" s="1"/>
  <c r="M26" i="29"/>
  <c r="K27" i="29"/>
  <c r="N27" i="29" s="1"/>
  <c r="M27" i="29"/>
  <c r="K28" i="29"/>
  <c r="N28" i="29" s="1"/>
  <c r="M28" i="29"/>
  <c r="K29" i="29"/>
  <c r="N29" i="29" s="1"/>
  <c r="M29" i="29"/>
  <c r="K30" i="29"/>
  <c r="N30" i="29" s="1"/>
  <c r="M30" i="29"/>
  <c r="K31" i="29"/>
  <c r="N31" i="29" s="1"/>
  <c r="M31" i="29"/>
  <c r="K32" i="29"/>
  <c r="N32" i="29" s="1"/>
  <c r="M32" i="29"/>
  <c r="K33" i="29"/>
  <c r="N33" i="29" s="1"/>
  <c r="M33" i="29"/>
  <c r="K34" i="29"/>
  <c r="N34" i="29" s="1"/>
  <c r="M34" i="29"/>
  <c r="K35" i="29"/>
  <c r="N35" i="29" s="1"/>
  <c r="M35" i="29"/>
  <c r="K36" i="29"/>
  <c r="N36" i="29" s="1"/>
  <c r="M36" i="29"/>
  <c r="K37" i="29"/>
  <c r="N37" i="29" s="1"/>
  <c r="M37" i="29"/>
  <c r="K38" i="29"/>
  <c r="N38" i="29" s="1"/>
  <c r="M38" i="29"/>
  <c r="K39" i="29"/>
  <c r="N39" i="29" s="1"/>
  <c r="M39" i="29"/>
  <c r="K40" i="29"/>
  <c r="N40" i="29" s="1"/>
  <c r="M40" i="29"/>
  <c r="K41" i="29"/>
  <c r="N41" i="29" s="1"/>
  <c r="M41" i="29"/>
  <c r="K42" i="29"/>
  <c r="N42" i="29" s="1"/>
  <c r="M42" i="29"/>
  <c r="K43" i="29"/>
  <c r="N43" i="29" s="1"/>
  <c r="M43" i="29"/>
  <c r="K44" i="29"/>
  <c r="N44" i="29" s="1"/>
  <c r="M44" i="29"/>
  <c r="K45" i="29"/>
  <c r="N45" i="29" s="1"/>
  <c r="M45" i="29"/>
  <c r="K46" i="29"/>
  <c r="N46" i="29" s="1"/>
  <c r="M46" i="29"/>
  <c r="K47" i="29"/>
  <c r="N47" i="29" s="1"/>
  <c r="M47" i="29"/>
  <c r="K48" i="29"/>
  <c r="N48" i="29" s="1"/>
  <c r="M48" i="29"/>
  <c r="K49" i="29"/>
  <c r="N49" i="29" s="1"/>
  <c r="M49" i="29"/>
  <c r="K50" i="29"/>
  <c r="N50" i="29" s="1"/>
  <c r="M50" i="29"/>
  <c r="K51" i="29"/>
  <c r="N51" i="29" s="1"/>
  <c r="M51" i="29"/>
  <c r="K52" i="29"/>
  <c r="N52" i="29" s="1"/>
  <c r="M52" i="29"/>
  <c r="K53" i="29"/>
  <c r="N53" i="29" s="1"/>
  <c r="M53" i="29"/>
  <c r="K54" i="29"/>
  <c r="N54" i="29" s="1"/>
  <c r="M54" i="29"/>
  <c r="K55" i="29"/>
  <c r="N55" i="29" s="1"/>
  <c r="M55" i="29"/>
  <c r="K56" i="29"/>
  <c r="N56" i="29" s="1"/>
  <c r="M56" i="29"/>
  <c r="K57" i="29"/>
  <c r="N57" i="29" s="1"/>
  <c r="M57" i="29"/>
  <c r="K58" i="29"/>
  <c r="N58" i="29" s="1"/>
  <c r="M58" i="29"/>
  <c r="K59" i="29"/>
  <c r="N59" i="29" s="1"/>
  <c r="M59" i="29"/>
  <c r="K60" i="29"/>
  <c r="N60" i="29" s="1"/>
  <c r="M60" i="29"/>
  <c r="K61" i="29"/>
  <c r="N61" i="29" s="1"/>
  <c r="M61" i="29"/>
  <c r="K62" i="29"/>
  <c r="N62" i="29" s="1"/>
  <c r="M62" i="29"/>
  <c r="K63" i="29"/>
  <c r="N63" i="29" s="1"/>
  <c r="M63" i="29"/>
  <c r="K64" i="29"/>
  <c r="N64" i="29" s="1"/>
  <c r="M64" i="29"/>
  <c r="K65" i="29"/>
  <c r="N65" i="29" s="1"/>
  <c r="M65" i="29"/>
  <c r="K66" i="29"/>
  <c r="N66" i="29" s="1"/>
  <c r="M66" i="29"/>
  <c r="K67" i="29"/>
  <c r="N67" i="29" s="1"/>
  <c r="M67" i="29"/>
  <c r="K68" i="29"/>
  <c r="N68" i="29" s="1"/>
  <c r="M68" i="29"/>
  <c r="K69" i="29"/>
  <c r="N69" i="29" s="1"/>
  <c r="M69" i="29"/>
  <c r="K70" i="29"/>
  <c r="N70" i="29" s="1"/>
  <c r="M70" i="29"/>
  <c r="K71" i="29"/>
  <c r="N71" i="29" s="1"/>
  <c r="M71" i="29"/>
  <c r="K72" i="29"/>
  <c r="N72" i="29" s="1"/>
  <c r="M72" i="29"/>
  <c r="K73" i="29"/>
  <c r="N73" i="29" s="1"/>
  <c r="M73" i="29"/>
  <c r="K74" i="29"/>
  <c r="N74" i="29" s="1"/>
  <c r="M74" i="29"/>
  <c r="K75" i="29"/>
  <c r="N75" i="29" s="1"/>
  <c r="M75" i="29"/>
  <c r="K76" i="29"/>
  <c r="N76" i="29" s="1"/>
  <c r="M76" i="29"/>
  <c r="K77" i="29"/>
  <c r="N77" i="29" s="1"/>
  <c r="M77" i="29"/>
  <c r="K78" i="29"/>
  <c r="N78" i="29" s="1"/>
  <c r="M78" i="29"/>
  <c r="K79" i="29"/>
  <c r="N79" i="29" s="1"/>
  <c r="M79" i="29"/>
  <c r="K80" i="29"/>
  <c r="N80" i="29" s="1"/>
  <c r="M80" i="29"/>
  <c r="K81" i="29"/>
  <c r="N81" i="29" s="1"/>
  <c r="M81" i="29"/>
  <c r="K82" i="29"/>
  <c r="N82" i="29" s="1"/>
  <c r="M82" i="29"/>
  <c r="K83" i="29"/>
  <c r="N83" i="29" s="1"/>
  <c r="M83" i="29"/>
  <c r="K84" i="29"/>
  <c r="N84" i="29" s="1"/>
  <c r="M84" i="29"/>
  <c r="K85" i="29"/>
  <c r="N85" i="29" s="1"/>
  <c r="M85" i="29"/>
  <c r="K86" i="29"/>
  <c r="N86" i="29" s="1"/>
  <c r="M86" i="29"/>
  <c r="K87" i="29"/>
  <c r="N87" i="29" s="1"/>
  <c r="M87" i="29"/>
  <c r="K88" i="29"/>
  <c r="N88" i="29" s="1"/>
  <c r="M88" i="29"/>
  <c r="K89" i="29"/>
  <c r="N89" i="29" s="1"/>
  <c r="M89" i="29"/>
  <c r="K90" i="29"/>
  <c r="N90" i="29" s="1"/>
  <c r="M90" i="29"/>
  <c r="K91" i="29"/>
  <c r="N91" i="29" s="1"/>
  <c r="M91" i="29"/>
  <c r="K92" i="29"/>
  <c r="N92" i="29" s="1"/>
  <c r="M92" i="29"/>
  <c r="K93" i="29"/>
  <c r="N93" i="29" s="1"/>
  <c r="M93" i="29"/>
  <c r="K94" i="29"/>
  <c r="N94" i="29" s="1"/>
  <c r="M94" i="29"/>
  <c r="K95" i="29"/>
  <c r="N95" i="29" s="1"/>
  <c r="M95" i="29"/>
  <c r="K96" i="29"/>
  <c r="N96" i="29" s="1"/>
  <c r="M96" i="29"/>
  <c r="K97" i="29"/>
  <c r="N97" i="29" s="1"/>
  <c r="M97" i="29"/>
  <c r="K98" i="29"/>
  <c r="N98" i="29" s="1"/>
  <c r="M98" i="29"/>
  <c r="K99" i="29"/>
  <c r="N99" i="29" s="1"/>
  <c r="M99" i="29"/>
  <c r="K100" i="29"/>
  <c r="N100" i="29" s="1"/>
  <c r="M100" i="29"/>
  <c r="K101" i="29"/>
  <c r="N101" i="29" s="1"/>
  <c r="M101" i="29"/>
  <c r="K102" i="29"/>
  <c r="N102" i="29" s="1"/>
  <c r="M102" i="29"/>
  <c r="K103" i="29"/>
  <c r="N103" i="29" s="1"/>
  <c r="M103" i="29"/>
  <c r="K104" i="29"/>
  <c r="N104" i="29" s="1"/>
  <c r="M104" i="29"/>
  <c r="K105" i="29"/>
  <c r="N105" i="29" s="1"/>
  <c r="M105" i="29"/>
  <c r="K106" i="29"/>
  <c r="N106" i="29" s="1"/>
  <c r="M106" i="29"/>
  <c r="K107" i="29"/>
  <c r="N107" i="29" s="1"/>
  <c r="M107" i="29"/>
  <c r="K108" i="29"/>
  <c r="N108" i="29" s="1"/>
  <c r="M108" i="29"/>
  <c r="K109" i="29"/>
  <c r="N109" i="29" s="1"/>
  <c r="M109" i="29"/>
  <c r="K110" i="29"/>
  <c r="N110" i="29" s="1"/>
  <c r="M110" i="29"/>
  <c r="K111" i="29"/>
  <c r="N111" i="29" s="1"/>
  <c r="M111" i="29"/>
  <c r="K112" i="29"/>
  <c r="N112" i="29" s="1"/>
  <c r="M112" i="29"/>
  <c r="K113" i="29"/>
  <c r="N113" i="29" s="1"/>
  <c r="M113" i="29"/>
  <c r="K114" i="29"/>
  <c r="N114" i="29" s="1"/>
  <c r="M114" i="29"/>
  <c r="K115" i="29"/>
  <c r="N115" i="29" s="1"/>
  <c r="M115" i="29"/>
  <c r="K116" i="29"/>
  <c r="N116" i="29" s="1"/>
  <c r="M116" i="29"/>
  <c r="K117" i="29"/>
  <c r="N117" i="29" s="1"/>
  <c r="M117" i="29"/>
  <c r="K118" i="29"/>
  <c r="N118" i="29" s="1"/>
  <c r="M118" i="29"/>
  <c r="K119" i="29"/>
  <c r="N119" i="29" s="1"/>
  <c r="M119" i="29"/>
  <c r="K120" i="29"/>
  <c r="N120" i="29" s="1"/>
  <c r="M120" i="29"/>
  <c r="K121" i="29"/>
  <c r="N121" i="29" s="1"/>
  <c r="M121" i="29"/>
  <c r="K122" i="29"/>
  <c r="N122" i="29" s="1"/>
  <c r="M122" i="29"/>
  <c r="K123" i="29"/>
  <c r="N123" i="29" s="1"/>
  <c r="M123" i="29"/>
  <c r="K124" i="29"/>
  <c r="N124" i="29" s="1"/>
  <c r="M124" i="29"/>
  <c r="K125" i="29"/>
  <c r="N125" i="29" s="1"/>
  <c r="M125" i="29"/>
  <c r="K126" i="29"/>
  <c r="N126" i="29" s="1"/>
  <c r="M126" i="29"/>
  <c r="K127" i="29"/>
  <c r="N127" i="29" s="1"/>
  <c r="M127" i="29"/>
  <c r="K128" i="29"/>
  <c r="N128" i="29" s="1"/>
  <c r="M128" i="29"/>
  <c r="K129" i="29"/>
  <c r="N129" i="29" s="1"/>
  <c r="M129" i="29"/>
  <c r="K130" i="29"/>
  <c r="N130" i="29" s="1"/>
  <c r="M130" i="29"/>
  <c r="K131" i="29"/>
  <c r="N131" i="29" s="1"/>
  <c r="M131" i="29"/>
  <c r="K132" i="29"/>
  <c r="N132" i="29" s="1"/>
  <c r="M132" i="29"/>
  <c r="K133" i="29"/>
  <c r="N133" i="29" s="1"/>
  <c r="M133" i="29"/>
  <c r="K134" i="29"/>
  <c r="N134" i="29" s="1"/>
  <c r="M134" i="29"/>
  <c r="M134" i="39"/>
  <c r="K134" i="39"/>
  <c r="N134" i="39" s="1"/>
  <c r="E134" i="39"/>
  <c r="B134" i="39"/>
  <c r="N133" i="39"/>
  <c r="M133" i="39"/>
  <c r="K133" i="39"/>
  <c r="E133" i="39"/>
  <c r="B133" i="39"/>
  <c r="M132" i="39"/>
  <c r="K132" i="39"/>
  <c r="N132" i="39" s="1"/>
  <c r="E132" i="39"/>
  <c r="B132" i="39"/>
  <c r="M131" i="39"/>
  <c r="K131" i="39"/>
  <c r="N131" i="39" s="1"/>
  <c r="E131" i="39"/>
  <c r="B131" i="39"/>
  <c r="M130" i="39"/>
  <c r="K130" i="39"/>
  <c r="N130" i="39" s="1"/>
  <c r="E130" i="39"/>
  <c r="B130" i="39"/>
  <c r="N129" i="39"/>
  <c r="M129" i="39"/>
  <c r="K129" i="39"/>
  <c r="E129" i="39"/>
  <c r="B129" i="39"/>
  <c r="M128" i="39"/>
  <c r="K128" i="39"/>
  <c r="N128" i="39" s="1"/>
  <c r="E128" i="39"/>
  <c r="B128" i="39"/>
  <c r="M127" i="39"/>
  <c r="K127" i="39"/>
  <c r="N127" i="39" s="1"/>
  <c r="E127" i="39"/>
  <c r="B127" i="39"/>
  <c r="M126" i="39"/>
  <c r="K126" i="39"/>
  <c r="N126" i="39" s="1"/>
  <c r="E126" i="39"/>
  <c r="B126" i="39"/>
  <c r="N125" i="39"/>
  <c r="M125" i="39"/>
  <c r="K125" i="39"/>
  <c r="E125" i="39"/>
  <c r="B125" i="39"/>
  <c r="M124" i="39"/>
  <c r="K124" i="39"/>
  <c r="N124" i="39" s="1"/>
  <c r="E124" i="39"/>
  <c r="B124" i="39"/>
  <c r="M123" i="39"/>
  <c r="K123" i="39"/>
  <c r="N123" i="39" s="1"/>
  <c r="E123" i="39"/>
  <c r="B123" i="39"/>
  <c r="M122" i="39"/>
  <c r="K122" i="39"/>
  <c r="N122" i="39" s="1"/>
  <c r="E122" i="39"/>
  <c r="B122" i="39"/>
  <c r="N121" i="39"/>
  <c r="M121" i="39"/>
  <c r="K121" i="39"/>
  <c r="E121" i="39"/>
  <c r="B121" i="39"/>
  <c r="N120" i="39"/>
  <c r="M120" i="39"/>
  <c r="K120" i="39"/>
  <c r="E120" i="39"/>
  <c r="B120" i="39"/>
  <c r="M119" i="39"/>
  <c r="K119" i="39"/>
  <c r="N119" i="39" s="1"/>
  <c r="E119" i="39"/>
  <c r="B119" i="39"/>
  <c r="M118" i="39"/>
  <c r="K118" i="39"/>
  <c r="N118" i="39" s="1"/>
  <c r="E118" i="39"/>
  <c r="B118" i="39"/>
  <c r="N117" i="39"/>
  <c r="M117" i="39"/>
  <c r="K117" i="39"/>
  <c r="E117" i="39"/>
  <c r="B117" i="39"/>
  <c r="M116" i="39"/>
  <c r="K116" i="39"/>
  <c r="N116" i="39" s="1"/>
  <c r="E116" i="39"/>
  <c r="B116" i="39"/>
  <c r="M115" i="39"/>
  <c r="K115" i="39"/>
  <c r="N115" i="39" s="1"/>
  <c r="E115" i="39"/>
  <c r="B115" i="39"/>
  <c r="M114" i="39"/>
  <c r="K114" i="39"/>
  <c r="N114" i="39" s="1"/>
  <c r="E114" i="39"/>
  <c r="B114" i="39"/>
  <c r="N113" i="39"/>
  <c r="M113" i="39"/>
  <c r="K113" i="39"/>
  <c r="E113" i="39"/>
  <c r="B113" i="39"/>
  <c r="M112" i="39"/>
  <c r="K112" i="39"/>
  <c r="N112" i="39" s="1"/>
  <c r="E112" i="39"/>
  <c r="B112" i="39"/>
  <c r="M111" i="39"/>
  <c r="K111" i="39"/>
  <c r="N111" i="39" s="1"/>
  <c r="E111" i="39"/>
  <c r="B111" i="39"/>
  <c r="M110" i="39"/>
  <c r="K110" i="39"/>
  <c r="N110" i="39" s="1"/>
  <c r="E110" i="39"/>
  <c r="B110" i="39"/>
  <c r="N109" i="39"/>
  <c r="M109" i="39"/>
  <c r="K109" i="39"/>
  <c r="E109" i="39"/>
  <c r="B109" i="39"/>
  <c r="N108" i="39"/>
  <c r="M108" i="39"/>
  <c r="K108" i="39"/>
  <c r="E108" i="39"/>
  <c r="B108" i="39"/>
  <c r="M107" i="39"/>
  <c r="K107" i="39"/>
  <c r="N107" i="39" s="1"/>
  <c r="E107" i="39"/>
  <c r="B107" i="39"/>
  <c r="M106" i="39"/>
  <c r="K106" i="39"/>
  <c r="N106" i="39" s="1"/>
  <c r="E106" i="39"/>
  <c r="B106" i="39"/>
  <c r="N105" i="39"/>
  <c r="M105" i="39"/>
  <c r="K105" i="39"/>
  <c r="E105" i="39"/>
  <c r="B105" i="39"/>
  <c r="M104" i="39"/>
  <c r="K104" i="39"/>
  <c r="N104" i="39" s="1"/>
  <c r="E104" i="39"/>
  <c r="B104" i="39"/>
  <c r="M103" i="39"/>
  <c r="K103" i="39"/>
  <c r="N103" i="39" s="1"/>
  <c r="E103" i="39"/>
  <c r="B103" i="39"/>
  <c r="M102" i="39"/>
  <c r="K102" i="39"/>
  <c r="N102" i="39" s="1"/>
  <c r="E102" i="39"/>
  <c r="B102" i="39"/>
  <c r="N101" i="39"/>
  <c r="M101" i="39"/>
  <c r="K101" i="39"/>
  <c r="E101" i="39"/>
  <c r="B101" i="39"/>
  <c r="M100" i="39"/>
  <c r="K100" i="39"/>
  <c r="N100" i="39" s="1"/>
  <c r="E100" i="39"/>
  <c r="B100" i="39"/>
  <c r="M99" i="39"/>
  <c r="K99" i="39"/>
  <c r="N99" i="39" s="1"/>
  <c r="E99" i="39"/>
  <c r="B99" i="39"/>
  <c r="M98" i="39"/>
  <c r="K98" i="39"/>
  <c r="N98" i="39" s="1"/>
  <c r="E98" i="39"/>
  <c r="B98" i="39"/>
  <c r="N97" i="39"/>
  <c r="M97" i="39"/>
  <c r="K97" i="39"/>
  <c r="E97" i="39"/>
  <c r="B97" i="39"/>
  <c r="M96" i="39"/>
  <c r="K96" i="39"/>
  <c r="N96" i="39" s="1"/>
  <c r="E96" i="39"/>
  <c r="B96" i="39"/>
  <c r="M95" i="39"/>
  <c r="K95" i="39"/>
  <c r="N95" i="39" s="1"/>
  <c r="E95" i="39"/>
  <c r="B95" i="39"/>
  <c r="N94" i="39"/>
  <c r="M94" i="39"/>
  <c r="K94" i="39"/>
  <c r="E94" i="39"/>
  <c r="B94" i="39"/>
  <c r="N93" i="39"/>
  <c r="M93" i="39"/>
  <c r="K93" i="39"/>
  <c r="E93" i="39"/>
  <c r="B93" i="39"/>
  <c r="M92" i="39"/>
  <c r="K92" i="39"/>
  <c r="N92" i="39" s="1"/>
  <c r="E92" i="39"/>
  <c r="B92" i="39"/>
  <c r="M91" i="39"/>
  <c r="K91" i="39"/>
  <c r="E91" i="39"/>
  <c r="B91" i="39"/>
  <c r="N90" i="39"/>
  <c r="M90" i="39"/>
  <c r="K90" i="39"/>
  <c r="E90" i="39"/>
  <c r="B90" i="39"/>
  <c r="N89" i="39"/>
  <c r="M89" i="39"/>
  <c r="K89" i="39"/>
  <c r="E89" i="39"/>
  <c r="B89" i="39"/>
  <c r="N88" i="39"/>
  <c r="M88" i="39"/>
  <c r="K88" i="39"/>
  <c r="E88" i="39"/>
  <c r="B88" i="39"/>
  <c r="M87" i="39"/>
  <c r="K87" i="39"/>
  <c r="N87" i="39" s="1"/>
  <c r="E87" i="39"/>
  <c r="B87" i="39"/>
  <c r="N86" i="39"/>
  <c r="M86" i="39"/>
  <c r="K86" i="39"/>
  <c r="E86" i="39"/>
  <c r="B86" i="39"/>
  <c r="N85" i="39"/>
  <c r="M85" i="39"/>
  <c r="K85" i="39"/>
  <c r="E85" i="39"/>
  <c r="B85" i="39"/>
  <c r="N84" i="39"/>
  <c r="M84" i="39"/>
  <c r="K84" i="39"/>
  <c r="E84" i="39"/>
  <c r="B84" i="39"/>
  <c r="M83" i="39"/>
  <c r="K83" i="39"/>
  <c r="E83" i="39"/>
  <c r="B83" i="39"/>
  <c r="N82" i="39"/>
  <c r="M82" i="39"/>
  <c r="K82" i="39"/>
  <c r="E82" i="39"/>
  <c r="B82" i="39"/>
  <c r="N81" i="39"/>
  <c r="M81" i="39"/>
  <c r="K81" i="39"/>
  <c r="E81" i="39"/>
  <c r="B81" i="39"/>
  <c r="M80" i="39"/>
  <c r="K80" i="39"/>
  <c r="N80" i="39" s="1"/>
  <c r="E80" i="39"/>
  <c r="B80" i="39"/>
  <c r="M79" i="39"/>
  <c r="K79" i="39"/>
  <c r="N79" i="39" s="1"/>
  <c r="E79" i="39"/>
  <c r="B79" i="39"/>
  <c r="N78" i="39"/>
  <c r="M78" i="39"/>
  <c r="K78" i="39"/>
  <c r="E78" i="39"/>
  <c r="B78" i="39"/>
  <c r="N77" i="39"/>
  <c r="M77" i="39"/>
  <c r="K77" i="39"/>
  <c r="E77" i="39"/>
  <c r="B77" i="39"/>
  <c r="M76" i="39"/>
  <c r="K76" i="39"/>
  <c r="N76" i="39" s="1"/>
  <c r="E76" i="39"/>
  <c r="B76" i="39"/>
  <c r="M75" i="39"/>
  <c r="K75" i="39"/>
  <c r="N75" i="39" s="1"/>
  <c r="E75" i="39"/>
  <c r="B75" i="39"/>
  <c r="N74" i="39"/>
  <c r="M74" i="39"/>
  <c r="K74" i="39"/>
  <c r="E74" i="39"/>
  <c r="B74" i="39"/>
  <c r="N73" i="39"/>
  <c r="M73" i="39"/>
  <c r="K73" i="39"/>
  <c r="E73" i="39"/>
  <c r="B73" i="39"/>
  <c r="N72" i="39"/>
  <c r="M72" i="39"/>
  <c r="K72" i="39"/>
  <c r="E72" i="39"/>
  <c r="B72" i="39"/>
  <c r="M71" i="39"/>
  <c r="K71" i="39"/>
  <c r="N71" i="39" s="1"/>
  <c r="E71" i="39"/>
  <c r="B71" i="39"/>
  <c r="N70" i="39"/>
  <c r="M70" i="39"/>
  <c r="K70" i="39"/>
  <c r="E70" i="39"/>
  <c r="B70" i="39"/>
  <c r="N69" i="39"/>
  <c r="M69" i="39"/>
  <c r="K69" i="39"/>
  <c r="E69" i="39"/>
  <c r="B69" i="39"/>
  <c r="M68" i="39"/>
  <c r="K68" i="39"/>
  <c r="N68" i="39" s="1"/>
  <c r="E68" i="39"/>
  <c r="B68" i="39"/>
  <c r="M67" i="39"/>
  <c r="K67" i="39"/>
  <c r="N67" i="39" s="1"/>
  <c r="E67" i="39"/>
  <c r="B67" i="39"/>
  <c r="N66" i="39"/>
  <c r="M66" i="39"/>
  <c r="K66" i="39"/>
  <c r="E66" i="39"/>
  <c r="B66" i="39"/>
  <c r="N65" i="39"/>
  <c r="M65" i="39"/>
  <c r="K65" i="39"/>
  <c r="E65" i="39"/>
  <c r="B65" i="39"/>
  <c r="M64" i="39"/>
  <c r="K64" i="39"/>
  <c r="N64" i="39" s="1"/>
  <c r="E64" i="39"/>
  <c r="B64" i="39"/>
  <c r="M63" i="39"/>
  <c r="K63" i="39"/>
  <c r="N63" i="39" s="1"/>
  <c r="E63" i="39"/>
  <c r="B63" i="39"/>
  <c r="N62" i="39"/>
  <c r="M62" i="39"/>
  <c r="K62" i="39"/>
  <c r="E62" i="39"/>
  <c r="B62" i="39"/>
  <c r="N61" i="39"/>
  <c r="M61" i="39"/>
  <c r="K61" i="39"/>
  <c r="E61" i="39"/>
  <c r="B61" i="39"/>
  <c r="M60" i="39"/>
  <c r="K60" i="39"/>
  <c r="N60" i="39" s="1"/>
  <c r="E60" i="39"/>
  <c r="B60" i="39"/>
  <c r="M59" i="39"/>
  <c r="K59" i="39"/>
  <c r="E59" i="39"/>
  <c r="B59" i="39"/>
  <c r="N58" i="39"/>
  <c r="M58" i="39"/>
  <c r="K58" i="39"/>
  <c r="E58" i="39"/>
  <c r="B58" i="39"/>
  <c r="N57" i="39"/>
  <c r="M57" i="39"/>
  <c r="K57" i="39"/>
  <c r="E57" i="39"/>
  <c r="B57" i="39"/>
  <c r="M56" i="39"/>
  <c r="K56" i="39"/>
  <c r="N56" i="39" s="1"/>
  <c r="E56" i="39"/>
  <c r="B56" i="39"/>
  <c r="M55" i="39"/>
  <c r="K55" i="39"/>
  <c r="N55" i="39" s="1"/>
  <c r="E55" i="39"/>
  <c r="B55" i="39"/>
  <c r="N54" i="39"/>
  <c r="M54" i="39"/>
  <c r="K54" i="39"/>
  <c r="E54" i="39"/>
  <c r="B54" i="39"/>
  <c r="N53" i="39"/>
  <c r="M53" i="39"/>
  <c r="K53" i="39"/>
  <c r="E53" i="39"/>
  <c r="B53" i="39"/>
  <c r="N52" i="39"/>
  <c r="M52" i="39"/>
  <c r="K52" i="39"/>
  <c r="E52" i="39"/>
  <c r="B52" i="39"/>
  <c r="M51" i="39"/>
  <c r="K51" i="39"/>
  <c r="E51" i="39"/>
  <c r="B51" i="39"/>
  <c r="N50" i="39"/>
  <c r="M50" i="39"/>
  <c r="K50" i="39"/>
  <c r="E50" i="39"/>
  <c r="B50" i="39"/>
  <c r="N49" i="39"/>
  <c r="M49" i="39"/>
  <c r="K49" i="39"/>
  <c r="E49" i="39"/>
  <c r="B49" i="39"/>
  <c r="M48" i="39"/>
  <c r="K48" i="39"/>
  <c r="N48" i="39" s="1"/>
  <c r="E48" i="39"/>
  <c r="B48" i="39"/>
  <c r="M47" i="39"/>
  <c r="K47" i="39"/>
  <c r="N47" i="39" s="1"/>
  <c r="E47" i="39"/>
  <c r="B47" i="39"/>
  <c r="N46" i="39"/>
  <c r="M46" i="39"/>
  <c r="K46" i="39"/>
  <c r="E46" i="39"/>
  <c r="B46" i="39"/>
  <c r="N45" i="39"/>
  <c r="M45" i="39"/>
  <c r="K45" i="39"/>
  <c r="E45" i="39"/>
  <c r="B45" i="39"/>
  <c r="M44" i="39"/>
  <c r="K44" i="39"/>
  <c r="N44" i="39" s="1"/>
  <c r="E44" i="39"/>
  <c r="B44" i="39"/>
  <c r="M43" i="39"/>
  <c r="K43" i="39"/>
  <c r="N43" i="39" s="1"/>
  <c r="E43" i="39"/>
  <c r="B43" i="39"/>
  <c r="N42" i="39"/>
  <c r="M42" i="39"/>
  <c r="K42" i="39"/>
  <c r="E42" i="39"/>
  <c r="B42" i="39"/>
  <c r="N41" i="39"/>
  <c r="M41" i="39"/>
  <c r="K41" i="39"/>
  <c r="E41" i="39"/>
  <c r="B41" i="39"/>
  <c r="N40" i="39"/>
  <c r="M40" i="39"/>
  <c r="K40" i="39"/>
  <c r="E40" i="39"/>
  <c r="B40" i="39"/>
  <c r="M39" i="39"/>
  <c r="K39" i="39"/>
  <c r="N39" i="39" s="1"/>
  <c r="E39" i="39"/>
  <c r="B39" i="39"/>
  <c r="N38" i="39"/>
  <c r="M38" i="39"/>
  <c r="K38" i="39"/>
  <c r="E38" i="39"/>
  <c r="B38" i="39"/>
  <c r="N37" i="39"/>
  <c r="M37" i="39"/>
  <c r="K37" i="39"/>
  <c r="E37" i="39"/>
  <c r="B37" i="39"/>
  <c r="M36" i="39"/>
  <c r="K36" i="39"/>
  <c r="N36" i="39" s="1"/>
  <c r="E36" i="39"/>
  <c r="B36" i="39"/>
  <c r="M35" i="39"/>
  <c r="K35" i="39"/>
  <c r="N35" i="39" s="1"/>
  <c r="E35" i="39"/>
  <c r="B35" i="39"/>
  <c r="N34" i="39"/>
  <c r="M34" i="39"/>
  <c r="K34" i="39"/>
  <c r="E34" i="39"/>
  <c r="B34" i="39"/>
  <c r="N33" i="39"/>
  <c r="M33" i="39"/>
  <c r="K33" i="39"/>
  <c r="E33" i="39"/>
  <c r="B33" i="39"/>
  <c r="M32" i="39"/>
  <c r="K32" i="39"/>
  <c r="N32" i="39" s="1"/>
  <c r="E32" i="39"/>
  <c r="B32" i="39"/>
  <c r="M31" i="39"/>
  <c r="K31" i="39"/>
  <c r="N31" i="39" s="1"/>
  <c r="E31" i="39"/>
  <c r="B31" i="39"/>
  <c r="N30" i="39"/>
  <c r="M30" i="39"/>
  <c r="K30" i="39"/>
  <c r="E30" i="39"/>
  <c r="B30" i="39"/>
  <c r="N29" i="39"/>
  <c r="M29" i="39"/>
  <c r="K29" i="39"/>
  <c r="E29" i="39"/>
  <c r="B29" i="39"/>
  <c r="M28" i="39"/>
  <c r="K28" i="39"/>
  <c r="N28" i="39" s="1"/>
  <c r="E28" i="39"/>
  <c r="B28" i="39"/>
  <c r="M27" i="39"/>
  <c r="K27" i="39"/>
  <c r="E27" i="39"/>
  <c r="B27" i="39"/>
  <c r="N26" i="39"/>
  <c r="M26" i="39"/>
  <c r="K26" i="39"/>
  <c r="E26" i="39"/>
  <c r="B26" i="39"/>
  <c r="N25" i="39"/>
  <c r="M25" i="39"/>
  <c r="K25" i="39"/>
  <c r="E25" i="39"/>
  <c r="B25" i="39"/>
  <c r="N24" i="39"/>
  <c r="M24" i="39"/>
  <c r="K24" i="39"/>
  <c r="E24" i="39"/>
  <c r="B24" i="39"/>
  <c r="M23" i="39"/>
  <c r="K23" i="39"/>
  <c r="N23" i="39" s="1"/>
  <c r="E23" i="39"/>
  <c r="B23" i="39"/>
  <c r="N22" i="39"/>
  <c r="M22" i="39"/>
  <c r="K22" i="39"/>
  <c r="E22" i="39"/>
  <c r="B22" i="39"/>
  <c r="N21" i="39"/>
  <c r="M21" i="39"/>
  <c r="K21" i="39"/>
  <c r="E21" i="39"/>
  <c r="B21" i="39"/>
  <c r="N20" i="39"/>
  <c r="M20" i="39"/>
  <c r="K20" i="39"/>
  <c r="E20" i="39"/>
  <c r="B20" i="39"/>
  <c r="M19" i="39"/>
  <c r="K19" i="39"/>
  <c r="E19" i="39"/>
  <c r="B19" i="39"/>
  <c r="N18" i="39"/>
  <c r="M18" i="39"/>
  <c r="K18" i="39"/>
  <c r="E18" i="39"/>
  <c r="B18" i="39"/>
  <c r="N17" i="39"/>
  <c r="M17" i="39"/>
  <c r="K17" i="39"/>
  <c r="E17" i="39"/>
  <c r="B17" i="39"/>
  <c r="M16" i="39"/>
  <c r="K16" i="39"/>
  <c r="N16" i="39" s="1"/>
  <c r="E16" i="39"/>
  <c r="B16" i="39"/>
  <c r="M15" i="39"/>
  <c r="K15" i="39"/>
  <c r="N15" i="39" s="1"/>
  <c r="E15" i="39"/>
  <c r="B15" i="39"/>
  <c r="N14" i="39"/>
  <c r="M14" i="39"/>
  <c r="K14" i="39"/>
  <c r="E14" i="39"/>
  <c r="B14" i="39"/>
  <c r="N13" i="39"/>
  <c r="M13" i="39"/>
  <c r="K13" i="39"/>
  <c r="E13" i="39"/>
  <c r="B13" i="39"/>
  <c r="M12" i="39"/>
  <c r="K12" i="39"/>
  <c r="N12" i="39" s="1"/>
  <c r="E12" i="39"/>
  <c r="B12" i="39"/>
  <c r="M11" i="39"/>
  <c r="K11" i="39"/>
  <c r="N11" i="39" s="1"/>
  <c r="E11" i="39"/>
  <c r="B11" i="39"/>
  <c r="N10" i="39"/>
  <c r="M10" i="39"/>
  <c r="K10" i="39"/>
  <c r="E10" i="39"/>
  <c r="B10" i="39"/>
  <c r="N9" i="39"/>
  <c r="M9" i="39"/>
  <c r="K9" i="39"/>
  <c r="E9" i="39"/>
  <c r="B9" i="39"/>
  <c r="N8" i="39"/>
  <c r="M8" i="39"/>
  <c r="K8" i="39"/>
  <c r="E8" i="39"/>
  <c r="B8" i="39"/>
  <c r="M7" i="39"/>
  <c r="K7" i="39"/>
  <c r="N7" i="39" s="1"/>
  <c r="E7" i="39"/>
  <c r="B7" i="39"/>
  <c r="N6" i="39"/>
  <c r="M6" i="39"/>
  <c r="K6" i="39"/>
  <c r="E6" i="39"/>
  <c r="B6" i="39"/>
  <c r="N5" i="39"/>
  <c r="M5" i="39"/>
  <c r="K5" i="39"/>
  <c r="E5" i="39"/>
  <c r="B5" i="39"/>
  <c r="M4" i="39"/>
  <c r="K4" i="39"/>
  <c r="E4" i="39"/>
  <c r="B4" i="39"/>
  <c r="V2" i="39"/>
  <c r="U2" i="39"/>
  <c r="T2" i="39"/>
  <c r="S2" i="39"/>
  <c r="R2" i="39"/>
  <c r="M2" i="39" s="1"/>
  <c r="Q2" i="39"/>
  <c r="P2" i="39"/>
  <c r="O2" i="39"/>
  <c r="L2" i="39"/>
  <c r="J2" i="39"/>
  <c r="I2" i="39"/>
  <c r="H2" i="39"/>
  <c r="G2" i="39"/>
  <c r="F2" i="39"/>
  <c r="E2" i="39"/>
  <c r="M134" i="38"/>
  <c r="K134" i="38"/>
  <c r="E134" i="38"/>
  <c r="B134" i="38"/>
  <c r="N133" i="38"/>
  <c r="M133" i="38"/>
  <c r="K133" i="38"/>
  <c r="E133" i="38"/>
  <c r="B133" i="38"/>
  <c r="M132" i="38"/>
  <c r="K132" i="38"/>
  <c r="N132" i="38" s="1"/>
  <c r="E132" i="38"/>
  <c r="B132" i="38"/>
  <c r="N131" i="38"/>
  <c r="M131" i="38"/>
  <c r="K131" i="38"/>
  <c r="E131" i="38"/>
  <c r="B131" i="38"/>
  <c r="M130" i="38"/>
  <c r="K130" i="38"/>
  <c r="E130" i="38"/>
  <c r="B130" i="38"/>
  <c r="N129" i="38"/>
  <c r="M129" i="38"/>
  <c r="K129" i="38"/>
  <c r="E129" i="38"/>
  <c r="B129" i="38"/>
  <c r="M128" i="38"/>
  <c r="K128" i="38"/>
  <c r="N128" i="38" s="1"/>
  <c r="E128" i="38"/>
  <c r="B128" i="38"/>
  <c r="N127" i="38"/>
  <c r="M127" i="38"/>
  <c r="K127" i="38"/>
  <c r="E127" i="38"/>
  <c r="B127" i="38"/>
  <c r="M126" i="38"/>
  <c r="K126" i="38"/>
  <c r="N126" i="38" s="1"/>
  <c r="E126" i="38"/>
  <c r="B126" i="38"/>
  <c r="N125" i="38"/>
  <c r="M125" i="38"/>
  <c r="K125" i="38"/>
  <c r="E125" i="38"/>
  <c r="B125" i="38"/>
  <c r="M124" i="38"/>
  <c r="K124" i="38"/>
  <c r="N124" i="38" s="1"/>
  <c r="E124" i="38"/>
  <c r="B124" i="38"/>
  <c r="N123" i="38"/>
  <c r="M123" i="38"/>
  <c r="K123" i="38"/>
  <c r="E123" i="38"/>
  <c r="B123" i="38"/>
  <c r="M122" i="38"/>
  <c r="K122" i="38"/>
  <c r="N122" i="38" s="1"/>
  <c r="E122" i="38"/>
  <c r="B122" i="38"/>
  <c r="M121" i="38"/>
  <c r="N121" i="38" s="1"/>
  <c r="K121" i="38"/>
  <c r="E121" i="38"/>
  <c r="B121" i="38"/>
  <c r="M120" i="38"/>
  <c r="K120" i="38"/>
  <c r="N120" i="38" s="1"/>
  <c r="E120" i="38"/>
  <c r="B120" i="38"/>
  <c r="N119" i="38"/>
  <c r="M119" i="38"/>
  <c r="K119" i="38"/>
  <c r="E119" i="38"/>
  <c r="B119" i="38"/>
  <c r="M118" i="38"/>
  <c r="K118" i="38"/>
  <c r="E118" i="38"/>
  <c r="B118" i="38"/>
  <c r="N117" i="38"/>
  <c r="M117" i="38"/>
  <c r="K117" i="38"/>
  <c r="E117" i="38"/>
  <c r="B117" i="38"/>
  <c r="M116" i="38"/>
  <c r="K116" i="38"/>
  <c r="N116" i="38" s="1"/>
  <c r="E116" i="38"/>
  <c r="B116" i="38"/>
  <c r="N115" i="38"/>
  <c r="M115" i="38"/>
  <c r="K115" i="38"/>
  <c r="E115" i="38"/>
  <c r="B115" i="38"/>
  <c r="M114" i="38"/>
  <c r="K114" i="38"/>
  <c r="E114" i="38"/>
  <c r="B114" i="38"/>
  <c r="M113" i="38"/>
  <c r="N113" i="38" s="1"/>
  <c r="K113" i="38"/>
  <c r="E113" i="38"/>
  <c r="B113" i="38"/>
  <c r="M112" i="38"/>
  <c r="K112" i="38"/>
  <c r="N112" i="38" s="1"/>
  <c r="E112" i="38"/>
  <c r="B112" i="38"/>
  <c r="N111" i="38"/>
  <c r="M111" i="38"/>
  <c r="K111" i="38"/>
  <c r="E111" i="38"/>
  <c r="B111" i="38"/>
  <c r="M110" i="38"/>
  <c r="K110" i="38"/>
  <c r="N110" i="38" s="1"/>
  <c r="E110" i="38"/>
  <c r="B110" i="38"/>
  <c r="M109" i="38"/>
  <c r="N109" i="38" s="1"/>
  <c r="K109" i="38"/>
  <c r="E109" i="38"/>
  <c r="B109" i="38"/>
  <c r="M108" i="38"/>
  <c r="K108" i="38"/>
  <c r="N108" i="38" s="1"/>
  <c r="E108" i="38"/>
  <c r="B108" i="38"/>
  <c r="N107" i="38"/>
  <c r="M107" i="38"/>
  <c r="K107" i="38"/>
  <c r="E107" i="38"/>
  <c r="B107" i="38"/>
  <c r="M106" i="38"/>
  <c r="K106" i="38"/>
  <c r="E106" i="38"/>
  <c r="B106" i="38"/>
  <c r="M105" i="38"/>
  <c r="N105" i="38" s="1"/>
  <c r="K105" i="38"/>
  <c r="E105" i="38"/>
  <c r="B105" i="38"/>
  <c r="M104" i="38"/>
  <c r="K104" i="38"/>
  <c r="N104" i="38" s="1"/>
  <c r="E104" i="38"/>
  <c r="B104" i="38"/>
  <c r="N103" i="38"/>
  <c r="M103" i="38"/>
  <c r="K103" i="38"/>
  <c r="E103" i="38"/>
  <c r="B103" i="38"/>
  <c r="M102" i="38"/>
  <c r="K102" i="38"/>
  <c r="E102" i="38"/>
  <c r="B102" i="38"/>
  <c r="N101" i="38"/>
  <c r="M101" i="38"/>
  <c r="K101" i="38"/>
  <c r="E101" i="38"/>
  <c r="B101" i="38"/>
  <c r="M100" i="38"/>
  <c r="K100" i="38"/>
  <c r="N100" i="38" s="1"/>
  <c r="E100" i="38"/>
  <c r="B100" i="38"/>
  <c r="N99" i="38"/>
  <c r="M99" i="38"/>
  <c r="K99" i="38"/>
  <c r="E99" i="38"/>
  <c r="B99" i="38"/>
  <c r="M98" i="38"/>
  <c r="K98" i="38"/>
  <c r="E98" i="38"/>
  <c r="B98" i="38"/>
  <c r="M97" i="38"/>
  <c r="N97" i="38" s="1"/>
  <c r="K97" i="38"/>
  <c r="E97" i="38"/>
  <c r="B97" i="38"/>
  <c r="M96" i="38"/>
  <c r="K96" i="38"/>
  <c r="N96" i="38" s="1"/>
  <c r="E96" i="38"/>
  <c r="B96" i="38"/>
  <c r="N95" i="38"/>
  <c r="M95" i="38"/>
  <c r="K95" i="38"/>
  <c r="E95" i="38"/>
  <c r="B95" i="38"/>
  <c r="M94" i="38"/>
  <c r="K94" i="38"/>
  <c r="N94" i="38" s="1"/>
  <c r="E94" i="38"/>
  <c r="B94" i="38"/>
  <c r="M93" i="38"/>
  <c r="N93" i="38" s="1"/>
  <c r="K93" i="38"/>
  <c r="E93" i="38"/>
  <c r="B93" i="38"/>
  <c r="M92" i="38"/>
  <c r="K92" i="38"/>
  <c r="N92" i="38" s="1"/>
  <c r="E92" i="38"/>
  <c r="B92" i="38"/>
  <c r="N91" i="38"/>
  <c r="M91" i="38"/>
  <c r="K91" i="38"/>
  <c r="E91" i="38"/>
  <c r="B91" i="38"/>
  <c r="M90" i="38"/>
  <c r="K90" i="38"/>
  <c r="N90" i="38" s="1"/>
  <c r="E90" i="38"/>
  <c r="B90" i="38"/>
  <c r="M89" i="38"/>
  <c r="N89" i="38" s="1"/>
  <c r="K89" i="38"/>
  <c r="E89" i="38"/>
  <c r="B89" i="38"/>
  <c r="M88" i="38"/>
  <c r="K88" i="38"/>
  <c r="N88" i="38" s="1"/>
  <c r="E88" i="38"/>
  <c r="B88" i="38"/>
  <c r="N87" i="38"/>
  <c r="M87" i="38"/>
  <c r="K87" i="38"/>
  <c r="E87" i="38"/>
  <c r="B87" i="38"/>
  <c r="M86" i="38"/>
  <c r="K86" i="38"/>
  <c r="E86" i="38"/>
  <c r="B86" i="38"/>
  <c r="N85" i="38"/>
  <c r="M85" i="38"/>
  <c r="K85" i="38"/>
  <c r="E85" i="38"/>
  <c r="B85" i="38"/>
  <c r="M84" i="38"/>
  <c r="K84" i="38"/>
  <c r="N84" i="38" s="1"/>
  <c r="E84" i="38"/>
  <c r="B84" i="38"/>
  <c r="N83" i="38"/>
  <c r="M83" i="38"/>
  <c r="K83" i="38"/>
  <c r="E83" i="38"/>
  <c r="B83" i="38"/>
  <c r="M82" i="38"/>
  <c r="K82" i="38"/>
  <c r="E82" i="38"/>
  <c r="B82" i="38"/>
  <c r="N81" i="38"/>
  <c r="M81" i="38"/>
  <c r="K81" i="38"/>
  <c r="E81" i="38"/>
  <c r="B81" i="38"/>
  <c r="M80" i="38"/>
  <c r="K80" i="38"/>
  <c r="N80" i="38" s="1"/>
  <c r="E80" i="38"/>
  <c r="B80" i="38"/>
  <c r="N79" i="38"/>
  <c r="M79" i="38"/>
  <c r="K79" i="38"/>
  <c r="E79" i="38"/>
  <c r="B79" i="38"/>
  <c r="M78" i="38"/>
  <c r="K78" i="38"/>
  <c r="N78" i="38" s="1"/>
  <c r="E78" i="38"/>
  <c r="B78" i="38"/>
  <c r="M77" i="38"/>
  <c r="N77" i="38" s="1"/>
  <c r="K77" i="38"/>
  <c r="E77" i="38"/>
  <c r="B77" i="38"/>
  <c r="M76" i="38"/>
  <c r="K76" i="38"/>
  <c r="N76" i="38" s="1"/>
  <c r="E76" i="38"/>
  <c r="B76" i="38"/>
  <c r="N75" i="38"/>
  <c r="M75" i="38"/>
  <c r="K75" i="38"/>
  <c r="E75" i="38"/>
  <c r="B75" i="38"/>
  <c r="M74" i="38"/>
  <c r="K74" i="38"/>
  <c r="N74" i="38" s="1"/>
  <c r="E74" i="38"/>
  <c r="B74" i="38"/>
  <c r="M73" i="38"/>
  <c r="N73" i="38" s="1"/>
  <c r="K73" i="38"/>
  <c r="E73" i="38"/>
  <c r="B73" i="38"/>
  <c r="M72" i="38"/>
  <c r="K72" i="38"/>
  <c r="N72" i="38" s="1"/>
  <c r="E72" i="38"/>
  <c r="B72" i="38"/>
  <c r="N71" i="38"/>
  <c r="M71" i="38"/>
  <c r="K71" i="38"/>
  <c r="E71" i="38"/>
  <c r="B71" i="38"/>
  <c r="M70" i="38"/>
  <c r="K70" i="38"/>
  <c r="E70" i="38"/>
  <c r="B70" i="38"/>
  <c r="N69" i="38"/>
  <c r="M69" i="38"/>
  <c r="K69" i="38"/>
  <c r="E69" i="38"/>
  <c r="B69" i="38"/>
  <c r="M68" i="38"/>
  <c r="K68" i="38"/>
  <c r="N68" i="38" s="1"/>
  <c r="E68" i="38"/>
  <c r="B68" i="38"/>
  <c r="N67" i="38"/>
  <c r="M67" i="38"/>
  <c r="K67" i="38"/>
  <c r="E67" i="38"/>
  <c r="B67" i="38"/>
  <c r="M66" i="38"/>
  <c r="K66" i="38"/>
  <c r="E66" i="38"/>
  <c r="B66" i="38"/>
  <c r="M65" i="38"/>
  <c r="N65" i="38" s="1"/>
  <c r="K65" i="38"/>
  <c r="E65" i="38"/>
  <c r="B65" i="38"/>
  <c r="M64" i="38"/>
  <c r="K64" i="38"/>
  <c r="N64" i="38" s="1"/>
  <c r="E64" i="38"/>
  <c r="B64" i="38"/>
  <c r="N63" i="38"/>
  <c r="M63" i="38"/>
  <c r="K63" i="38"/>
  <c r="E63" i="38"/>
  <c r="B63" i="38"/>
  <c r="M62" i="38"/>
  <c r="K62" i="38"/>
  <c r="N62" i="38" s="1"/>
  <c r="E62" i="38"/>
  <c r="B62" i="38"/>
  <c r="M61" i="38"/>
  <c r="N61" i="38" s="1"/>
  <c r="K61" i="38"/>
  <c r="E61" i="38"/>
  <c r="B61" i="38"/>
  <c r="M60" i="38"/>
  <c r="K60" i="38"/>
  <c r="N60" i="38" s="1"/>
  <c r="E60" i="38"/>
  <c r="B60" i="38"/>
  <c r="N59" i="38"/>
  <c r="M59" i="38"/>
  <c r="K59" i="38"/>
  <c r="E59" i="38"/>
  <c r="B59" i="38"/>
  <c r="M58" i="38"/>
  <c r="K58" i="38"/>
  <c r="N58" i="38" s="1"/>
  <c r="E58" i="38"/>
  <c r="B58" i="38"/>
  <c r="M57" i="38"/>
  <c r="N57" i="38" s="1"/>
  <c r="K57" i="38"/>
  <c r="E57" i="38"/>
  <c r="B57" i="38"/>
  <c r="M56" i="38"/>
  <c r="K56" i="38"/>
  <c r="N56" i="38" s="1"/>
  <c r="E56" i="38"/>
  <c r="B56" i="38"/>
  <c r="N55" i="38"/>
  <c r="M55" i="38"/>
  <c r="K55" i="38"/>
  <c r="E55" i="38"/>
  <c r="B55" i="38"/>
  <c r="M54" i="38"/>
  <c r="K54" i="38"/>
  <c r="N54" i="38" s="1"/>
  <c r="E54" i="38"/>
  <c r="B54" i="38"/>
  <c r="N53" i="38"/>
  <c r="M53" i="38"/>
  <c r="K53" i="38"/>
  <c r="E53" i="38"/>
  <c r="B53" i="38"/>
  <c r="M52" i="38"/>
  <c r="K52" i="38"/>
  <c r="N52" i="38" s="1"/>
  <c r="E52" i="38"/>
  <c r="B52" i="38"/>
  <c r="N51" i="38"/>
  <c r="M51" i="38"/>
  <c r="K51" i="38"/>
  <c r="E51" i="38"/>
  <c r="B51" i="38"/>
  <c r="M50" i="38"/>
  <c r="K50" i="38"/>
  <c r="E50" i="38"/>
  <c r="B50" i="38"/>
  <c r="M49" i="38"/>
  <c r="N49" i="38" s="1"/>
  <c r="K49" i="38"/>
  <c r="E49" i="38"/>
  <c r="B49" i="38"/>
  <c r="M48" i="38"/>
  <c r="K48" i="38"/>
  <c r="N48" i="38" s="1"/>
  <c r="E48" i="38"/>
  <c r="B48" i="38"/>
  <c r="N47" i="38"/>
  <c r="M47" i="38"/>
  <c r="K47" i="38"/>
  <c r="E47" i="38"/>
  <c r="B47" i="38"/>
  <c r="M46" i="38"/>
  <c r="K46" i="38"/>
  <c r="N46" i="38" s="1"/>
  <c r="E46" i="38"/>
  <c r="B46" i="38"/>
  <c r="N45" i="38"/>
  <c r="M45" i="38"/>
  <c r="K45" i="38"/>
  <c r="E45" i="38"/>
  <c r="B45" i="38"/>
  <c r="M44" i="38"/>
  <c r="K44" i="38"/>
  <c r="N44" i="38" s="1"/>
  <c r="E44" i="38"/>
  <c r="B44" i="38"/>
  <c r="N43" i="38"/>
  <c r="M43" i="38"/>
  <c r="K43" i="38"/>
  <c r="E43" i="38"/>
  <c r="B43" i="38"/>
  <c r="M42" i="38"/>
  <c r="K42" i="38"/>
  <c r="N42" i="38" s="1"/>
  <c r="E42" i="38"/>
  <c r="B42" i="38"/>
  <c r="M41" i="38"/>
  <c r="N41" i="38" s="1"/>
  <c r="K41" i="38"/>
  <c r="E41" i="38"/>
  <c r="B41" i="38"/>
  <c r="M40" i="38"/>
  <c r="K40" i="38"/>
  <c r="N40" i="38" s="1"/>
  <c r="E40" i="38"/>
  <c r="B40" i="38"/>
  <c r="N39" i="38"/>
  <c r="M39" i="38"/>
  <c r="K39" i="38"/>
  <c r="E39" i="38"/>
  <c r="B39" i="38"/>
  <c r="M38" i="38"/>
  <c r="K38" i="38"/>
  <c r="N38" i="38" s="1"/>
  <c r="E38" i="38"/>
  <c r="B38" i="38"/>
  <c r="N37" i="38"/>
  <c r="M37" i="38"/>
  <c r="K37" i="38"/>
  <c r="E37" i="38"/>
  <c r="B37" i="38"/>
  <c r="M36" i="38"/>
  <c r="K36" i="38"/>
  <c r="N36" i="38" s="1"/>
  <c r="E36" i="38"/>
  <c r="B36" i="38"/>
  <c r="N35" i="38"/>
  <c r="M35" i="38"/>
  <c r="K35" i="38"/>
  <c r="E35" i="38"/>
  <c r="B35" i="38"/>
  <c r="M34" i="38"/>
  <c r="K34" i="38"/>
  <c r="E34" i="38"/>
  <c r="B34" i="38"/>
  <c r="M33" i="38"/>
  <c r="N33" i="38" s="1"/>
  <c r="K33" i="38"/>
  <c r="E33" i="38"/>
  <c r="B33" i="38"/>
  <c r="M32" i="38"/>
  <c r="K32" i="38"/>
  <c r="N32" i="38" s="1"/>
  <c r="E32" i="38"/>
  <c r="B32" i="38"/>
  <c r="N31" i="38"/>
  <c r="M31" i="38"/>
  <c r="K31" i="38"/>
  <c r="E31" i="38"/>
  <c r="B31" i="38"/>
  <c r="M30" i="38"/>
  <c r="K30" i="38"/>
  <c r="N30" i="38" s="1"/>
  <c r="E30" i="38"/>
  <c r="B30" i="38"/>
  <c r="N29" i="38"/>
  <c r="M29" i="38"/>
  <c r="K29" i="38"/>
  <c r="E29" i="38"/>
  <c r="B29" i="38"/>
  <c r="M28" i="38"/>
  <c r="K28" i="38"/>
  <c r="N28" i="38" s="1"/>
  <c r="E28" i="38"/>
  <c r="B28" i="38"/>
  <c r="N27" i="38"/>
  <c r="M27" i="38"/>
  <c r="K27" i="38"/>
  <c r="E27" i="38"/>
  <c r="B27" i="38"/>
  <c r="M26" i="38"/>
  <c r="K26" i="38"/>
  <c r="N26" i="38" s="1"/>
  <c r="E26" i="38"/>
  <c r="B26" i="38"/>
  <c r="M25" i="38"/>
  <c r="N25" i="38" s="1"/>
  <c r="K25" i="38"/>
  <c r="E25" i="38"/>
  <c r="B25" i="38"/>
  <c r="M24" i="38"/>
  <c r="K24" i="38"/>
  <c r="N24" i="38" s="1"/>
  <c r="E24" i="38"/>
  <c r="B24" i="38"/>
  <c r="N23" i="38"/>
  <c r="M23" i="38"/>
  <c r="K23" i="38"/>
  <c r="E23" i="38"/>
  <c r="B23" i="38"/>
  <c r="M22" i="38"/>
  <c r="K22" i="38"/>
  <c r="N22" i="38" s="1"/>
  <c r="E22" i="38"/>
  <c r="B22" i="38"/>
  <c r="N21" i="38"/>
  <c r="M21" i="38"/>
  <c r="K21" i="38"/>
  <c r="E21" i="38"/>
  <c r="B21" i="38"/>
  <c r="M20" i="38"/>
  <c r="K20" i="38"/>
  <c r="N20" i="38" s="1"/>
  <c r="E20" i="38"/>
  <c r="B20" i="38"/>
  <c r="N19" i="38"/>
  <c r="M19" i="38"/>
  <c r="K19" i="38"/>
  <c r="E19" i="38"/>
  <c r="B19" i="38"/>
  <c r="M18" i="38"/>
  <c r="K18" i="38"/>
  <c r="E18" i="38"/>
  <c r="B18" i="38"/>
  <c r="M17" i="38"/>
  <c r="N17" i="38" s="1"/>
  <c r="K17" i="38"/>
  <c r="E17" i="38"/>
  <c r="B17" i="38"/>
  <c r="M16" i="38"/>
  <c r="K16" i="38"/>
  <c r="N16" i="38" s="1"/>
  <c r="E16" i="38"/>
  <c r="B16" i="38"/>
  <c r="N15" i="38"/>
  <c r="M15" i="38"/>
  <c r="K15" i="38"/>
  <c r="E15" i="38"/>
  <c r="B15" i="38"/>
  <c r="M14" i="38"/>
  <c r="K14" i="38"/>
  <c r="N14" i="38" s="1"/>
  <c r="E14" i="38"/>
  <c r="B14" i="38"/>
  <c r="N13" i="38"/>
  <c r="M13" i="38"/>
  <c r="K13" i="38"/>
  <c r="E13" i="38"/>
  <c r="B13" i="38"/>
  <c r="M12" i="38"/>
  <c r="K12" i="38"/>
  <c r="N12" i="38" s="1"/>
  <c r="E12" i="38"/>
  <c r="B12" i="38"/>
  <c r="N11" i="38"/>
  <c r="M11" i="38"/>
  <c r="K11" i="38"/>
  <c r="E11" i="38"/>
  <c r="B11" i="38"/>
  <c r="M10" i="38"/>
  <c r="K10" i="38"/>
  <c r="N10" i="38" s="1"/>
  <c r="E10" i="38"/>
  <c r="B10" i="38"/>
  <c r="M9" i="38"/>
  <c r="N9" i="38" s="1"/>
  <c r="K9" i="38"/>
  <c r="E9" i="38"/>
  <c r="B9" i="38"/>
  <c r="M8" i="38"/>
  <c r="K8" i="38"/>
  <c r="N8" i="38" s="1"/>
  <c r="E8" i="38"/>
  <c r="B8" i="38"/>
  <c r="N7" i="38"/>
  <c r="M7" i="38"/>
  <c r="K7" i="38"/>
  <c r="E7" i="38"/>
  <c r="B7" i="38"/>
  <c r="M6" i="38"/>
  <c r="K6" i="38"/>
  <c r="N6" i="38" s="1"/>
  <c r="E6" i="38"/>
  <c r="B6" i="38"/>
  <c r="N5" i="38"/>
  <c r="M5" i="38"/>
  <c r="K5" i="38"/>
  <c r="E5" i="38"/>
  <c r="B5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K134" i="37"/>
  <c r="E134" i="37"/>
  <c r="B134" i="37"/>
  <c r="N133" i="37"/>
  <c r="M133" i="37"/>
  <c r="K133" i="37"/>
  <c r="E133" i="37"/>
  <c r="B133" i="37"/>
  <c r="N132" i="37"/>
  <c r="M132" i="37"/>
  <c r="K132" i="37"/>
  <c r="E132" i="37"/>
  <c r="B132" i="37"/>
  <c r="M131" i="37"/>
  <c r="K131" i="37"/>
  <c r="N131" i="37" s="1"/>
  <c r="E131" i="37"/>
  <c r="B131" i="37"/>
  <c r="M130" i="37"/>
  <c r="K130" i="37"/>
  <c r="E130" i="37"/>
  <c r="B130" i="37"/>
  <c r="N129" i="37"/>
  <c r="M129" i="37"/>
  <c r="K129" i="37"/>
  <c r="E129" i="37"/>
  <c r="B129" i="37"/>
  <c r="N128" i="37"/>
  <c r="M128" i="37"/>
  <c r="K128" i="37"/>
  <c r="E128" i="37"/>
  <c r="B128" i="37"/>
  <c r="N127" i="37"/>
  <c r="M127" i="37"/>
  <c r="K127" i="37"/>
  <c r="E127" i="37"/>
  <c r="B127" i="37"/>
  <c r="M126" i="37"/>
  <c r="K126" i="37"/>
  <c r="E126" i="37"/>
  <c r="B126" i="37"/>
  <c r="N125" i="37"/>
  <c r="M125" i="37"/>
  <c r="K125" i="37"/>
  <c r="E125" i="37"/>
  <c r="B125" i="37"/>
  <c r="N124" i="37"/>
  <c r="M124" i="37"/>
  <c r="K124" i="37"/>
  <c r="E124" i="37"/>
  <c r="B124" i="37"/>
  <c r="N123" i="37"/>
  <c r="M123" i="37"/>
  <c r="K123" i="37"/>
  <c r="E123" i="37"/>
  <c r="B123" i="37"/>
  <c r="M122" i="37"/>
  <c r="K122" i="37"/>
  <c r="N122" i="37" s="1"/>
  <c r="E122" i="37"/>
  <c r="B122" i="37"/>
  <c r="N121" i="37"/>
  <c r="M121" i="37"/>
  <c r="K121" i="37"/>
  <c r="E121" i="37"/>
  <c r="B121" i="37"/>
  <c r="N120" i="37"/>
  <c r="M120" i="37"/>
  <c r="K120" i="37"/>
  <c r="E120" i="37"/>
  <c r="M119" i="37"/>
  <c r="N119" i="37" s="1"/>
  <c r="K119" i="37"/>
  <c r="E119" i="37"/>
  <c r="N118" i="37"/>
  <c r="M118" i="37"/>
  <c r="K118" i="37"/>
  <c r="E118" i="37"/>
  <c r="M117" i="37"/>
  <c r="K117" i="37"/>
  <c r="E117" i="37"/>
  <c r="M116" i="37"/>
  <c r="K116" i="37"/>
  <c r="E116" i="37"/>
  <c r="N115" i="37"/>
  <c r="M115" i="37"/>
  <c r="K115" i="37"/>
  <c r="E115" i="37"/>
  <c r="M114" i="37"/>
  <c r="K114" i="37"/>
  <c r="N114" i="37" s="1"/>
  <c r="E114" i="37"/>
  <c r="M113" i="37"/>
  <c r="K113" i="37"/>
  <c r="N113" i="37" s="1"/>
  <c r="E113" i="37"/>
  <c r="N112" i="37"/>
  <c r="M112" i="37"/>
  <c r="K112" i="37"/>
  <c r="E112" i="37"/>
  <c r="N111" i="37"/>
  <c r="M111" i="37"/>
  <c r="K111" i="37"/>
  <c r="E111" i="37"/>
  <c r="N110" i="37"/>
  <c r="M110" i="37"/>
  <c r="K110" i="37"/>
  <c r="E110" i="37"/>
  <c r="M109" i="37"/>
  <c r="K109" i="37"/>
  <c r="N109" i="37" s="1"/>
  <c r="E109" i="37"/>
  <c r="M108" i="37"/>
  <c r="K108" i="37"/>
  <c r="E108" i="37"/>
  <c r="N107" i="37"/>
  <c r="M107" i="37"/>
  <c r="K107" i="37"/>
  <c r="E107" i="37"/>
  <c r="M106" i="37"/>
  <c r="K106" i="37"/>
  <c r="N106" i="37" s="1"/>
  <c r="E106" i="37"/>
  <c r="M105" i="37"/>
  <c r="K105" i="37"/>
  <c r="N105" i="37" s="1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K102" i="37"/>
  <c r="E102" i="37"/>
  <c r="N101" i="37"/>
  <c r="M101" i="37"/>
  <c r="K101" i="37"/>
  <c r="E101" i="37"/>
  <c r="N100" i="37"/>
  <c r="M100" i="37"/>
  <c r="K100" i="37"/>
  <c r="E100" i="37"/>
  <c r="M99" i="37"/>
  <c r="K99" i="37"/>
  <c r="N99" i="37" s="1"/>
  <c r="E99" i="37"/>
  <c r="N98" i="37"/>
  <c r="M98" i="37"/>
  <c r="K98" i="37"/>
  <c r="E98" i="37"/>
  <c r="M97" i="37"/>
  <c r="N97" i="37" s="1"/>
  <c r="K97" i="37"/>
  <c r="E97" i="37"/>
  <c r="N96" i="37"/>
  <c r="M96" i="37"/>
  <c r="K96" i="37"/>
  <c r="E96" i="37"/>
  <c r="M95" i="37"/>
  <c r="K95" i="37"/>
  <c r="E95" i="37"/>
  <c r="M94" i="37"/>
  <c r="K94" i="37"/>
  <c r="E94" i="37"/>
  <c r="N93" i="37"/>
  <c r="M93" i="37"/>
  <c r="K93" i="37"/>
  <c r="E93" i="37"/>
  <c r="M92" i="37"/>
  <c r="K92" i="37"/>
  <c r="N92" i="37" s="1"/>
  <c r="E92" i="37"/>
  <c r="M91" i="37"/>
  <c r="K91" i="37"/>
  <c r="N91" i="37" s="1"/>
  <c r="E91" i="37"/>
  <c r="N90" i="37"/>
  <c r="M90" i="37"/>
  <c r="K90" i="37"/>
  <c r="E90" i="37"/>
  <c r="M89" i="37"/>
  <c r="N89" i="37" s="1"/>
  <c r="K89" i="37"/>
  <c r="E89" i="37"/>
  <c r="N88" i="37"/>
  <c r="M88" i="37"/>
  <c r="K88" i="37"/>
  <c r="E88" i="37"/>
  <c r="M87" i="37"/>
  <c r="K87" i="37"/>
  <c r="N87" i="37" s="1"/>
  <c r="E87" i="37"/>
  <c r="M86" i="37"/>
  <c r="K86" i="37"/>
  <c r="E86" i="37"/>
  <c r="N85" i="37"/>
  <c r="M85" i="37"/>
  <c r="K85" i="37"/>
  <c r="E85" i="37"/>
  <c r="M84" i="37"/>
  <c r="K84" i="37"/>
  <c r="N84" i="37" s="1"/>
  <c r="E84" i="37"/>
  <c r="M83" i="37"/>
  <c r="K83" i="37"/>
  <c r="N83" i="37" s="1"/>
  <c r="E83" i="37"/>
  <c r="N82" i="37"/>
  <c r="M82" i="37"/>
  <c r="K82" i="37"/>
  <c r="E82" i="37"/>
  <c r="N81" i="37"/>
  <c r="M81" i="37"/>
  <c r="K81" i="37"/>
  <c r="E81" i="37"/>
  <c r="N80" i="37"/>
  <c r="M80" i="37"/>
  <c r="K80" i="37"/>
  <c r="E80" i="37"/>
  <c r="M79" i="37"/>
  <c r="K79" i="37"/>
  <c r="N79" i="37" s="1"/>
  <c r="E79" i="37"/>
  <c r="M78" i="37"/>
  <c r="K78" i="37"/>
  <c r="N78" i="37" s="1"/>
  <c r="E78" i="37"/>
  <c r="N77" i="37"/>
  <c r="M77" i="37"/>
  <c r="K77" i="37"/>
  <c r="E77" i="37"/>
  <c r="N76" i="37"/>
  <c r="M76" i="37"/>
  <c r="K76" i="37"/>
  <c r="E76" i="37"/>
  <c r="M75" i="37"/>
  <c r="K75" i="37"/>
  <c r="N75" i="37" s="1"/>
  <c r="E75" i="37"/>
  <c r="N74" i="37"/>
  <c r="M74" i="37"/>
  <c r="K74" i="37"/>
  <c r="E74" i="37"/>
  <c r="M73" i="37"/>
  <c r="N73" i="37" s="1"/>
  <c r="K73" i="37"/>
  <c r="E73" i="37"/>
  <c r="N72" i="37"/>
  <c r="M72" i="37"/>
  <c r="K72" i="37"/>
  <c r="E72" i="37"/>
  <c r="M71" i="37"/>
  <c r="K71" i="37"/>
  <c r="E71" i="37"/>
  <c r="M70" i="37"/>
  <c r="K70" i="37"/>
  <c r="N70" i="37" s="1"/>
  <c r="E70" i="37"/>
  <c r="N69" i="37"/>
  <c r="M69" i="37"/>
  <c r="K69" i="37"/>
  <c r="E69" i="37"/>
  <c r="M68" i="37"/>
  <c r="K68" i="37"/>
  <c r="N68" i="37" s="1"/>
  <c r="E68" i="37"/>
  <c r="M67" i="37"/>
  <c r="K67" i="37"/>
  <c r="N67" i="37" s="1"/>
  <c r="E67" i="37"/>
  <c r="N66" i="37"/>
  <c r="M66" i="37"/>
  <c r="K66" i="37"/>
  <c r="E66" i="37"/>
  <c r="M65" i="37"/>
  <c r="N65" i="37" s="1"/>
  <c r="K65" i="37"/>
  <c r="E65" i="37"/>
  <c r="N64" i="37"/>
  <c r="M64" i="37"/>
  <c r="K64" i="37"/>
  <c r="E64" i="37"/>
  <c r="M63" i="37"/>
  <c r="K63" i="37"/>
  <c r="E63" i="37"/>
  <c r="M62" i="37"/>
  <c r="K62" i="37"/>
  <c r="E62" i="37"/>
  <c r="N61" i="37"/>
  <c r="M61" i="37"/>
  <c r="K61" i="37"/>
  <c r="E61" i="37"/>
  <c r="M60" i="37"/>
  <c r="K60" i="37"/>
  <c r="N60" i="37" s="1"/>
  <c r="E60" i="37"/>
  <c r="M59" i="37"/>
  <c r="K59" i="37"/>
  <c r="N59" i="37" s="1"/>
  <c r="E59" i="37"/>
  <c r="N58" i="37"/>
  <c r="M58" i="37"/>
  <c r="K58" i="37"/>
  <c r="E58" i="37"/>
  <c r="N57" i="37"/>
  <c r="M57" i="37"/>
  <c r="K57" i="37"/>
  <c r="E57" i="37"/>
  <c r="N56" i="37"/>
  <c r="M56" i="37"/>
  <c r="K56" i="37"/>
  <c r="E56" i="37"/>
  <c r="M55" i="37"/>
  <c r="K55" i="37"/>
  <c r="E55" i="37"/>
  <c r="M54" i="37"/>
  <c r="K54" i="37"/>
  <c r="N54" i="37" s="1"/>
  <c r="E54" i="37"/>
  <c r="N53" i="37"/>
  <c r="M53" i="37"/>
  <c r="K53" i="37"/>
  <c r="E53" i="37"/>
  <c r="M52" i="37"/>
  <c r="K52" i="37"/>
  <c r="N52" i="37" s="1"/>
  <c r="E52" i="37"/>
  <c r="M51" i="37"/>
  <c r="K51" i="37"/>
  <c r="N51" i="37" s="1"/>
  <c r="E51" i="37"/>
  <c r="N50" i="37"/>
  <c r="M50" i="37"/>
  <c r="K50" i="37"/>
  <c r="E50" i="37"/>
  <c r="N49" i="37"/>
  <c r="M49" i="37"/>
  <c r="K49" i="37"/>
  <c r="E49" i="37"/>
  <c r="N48" i="37"/>
  <c r="M48" i="37"/>
  <c r="K48" i="37"/>
  <c r="E48" i="37"/>
  <c r="M47" i="37"/>
  <c r="K47" i="37"/>
  <c r="N47" i="37" s="1"/>
  <c r="E47" i="37"/>
  <c r="M46" i="37"/>
  <c r="K46" i="37"/>
  <c r="N46" i="37" s="1"/>
  <c r="E46" i="37"/>
  <c r="N45" i="37"/>
  <c r="M45" i="37"/>
  <c r="K45" i="37"/>
  <c r="E45" i="37"/>
  <c r="N44" i="37"/>
  <c r="M44" i="37"/>
  <c r="K44" i="37"/>
  <c r="E44" i="37"/>
  <c r="M43" i="37"/>
  <c r="K43" i="37"/>
  <c r="N43" i="37" s="1"/>
  <c r="E43" i="37"/>
  <c r="N42" i="37"/>
  <c r="M42" i="37"/>
  <c r="K42" i="37"/>
  <c r="E42" i="37"/>
  <c r="N41" i="37"/>
  <c r="M41" i="37"/>
  <c r="K41" i="37"/>
  <c r="E41" i="37"/>
  <c r="N40" i="37"/>
  <c r="M40" i="37"/>
  <c r="K40" i="37"/>
  <c r="E40" i="37"/>
  <c r="M39" i="37"/>
  <c r="K39" i="37"/>
  <c r="E39" i="37"/>
  <c r="M38" i="37"/>
  <c r="K38" i="37"/>
  <c r="E38" i="37"/>
  <c r="N37" i="37"/>
  <c r="M37" i="37"/>
  <c r="K37" i="37"/>
  <c r="E37" i="37"/>
  <c r="N36" i="37"/>
  <c r="M36" i="37"/>
  <c r="K36" i="37"/>
  <c r="E36" i="37"/>
  <c r="M35" i="37"/>
  <c r="K35" i="37"/>
  <c r="N35" i="37" s="1"/>
  <c r="E35" i="37"/>
  <c r="N34" i="37"/>
  <c r="M34" i="37"/>
  <c r="K34" i="37"/>
  <c r="E34" i="37"/>
  <c r="M33" i="37"/>
  <c r="N33" i="37" s="1"/>
  <c r="K33" i="37"/>
  <c r="E33" i="37"/>
  <c r="N32" i="37"/>
  <c r="M32" i="37"/>
  <c r="K32" i="37"/>
  <c r="E32" i="37"/>
  <c r="M31" i="37"/>
  <c r="K31" i="37"/>
  <c r="E31" i="37"/>
  <c r="M30" i="37"/>
  <c r="K30" i="37"/>
  <c r="E30" i="37"/>
  <c r="N29" i="37"/>
  <c r="M29" i="37"/>
  <c r="K29" i="37"/>
  <c r="E29" i="37"/>
  <c r="M28" i="37"/>
  <c r="K28" i="37"/>
  <c r="N28" i="37" s="1"/>
  <c r="E28" i="37"/>
  <c r="M27" i="37"/>
  <c r="K27" i="37"/>
  <c r="N27" i="37" s="1"/>
  <c r="E27" i="37"/>
  <c r="N26" i="37"/>
  <c r="M26" i="37"/>
  <c r="K26" i="37"/>
  <c r="E26" i="37"/>
  <c r="M25" i="37"/>
  <c r="N25" i="37" s="1"/>
  <c r="K25" i="37"/>
  <c r="E25" i="37"/>
  <c r="N24" i="37"/>
  <c r="M24" i="37"/>
  <c r="K24" i="37"/>
  <c r="E24" i="37"/>
  <c r="M23" i="37"/>
  <c r="K23" i="37"/>
  <c r="N23" i="37" s="1"/>
  <c r="E23" i="37"/>
  <c r="M22" i="37"/>
  <c r="K22" i="37"/>
  <c r="E22" i="37"/>
  <c r="N21" i="37"/>
  <c r="M21" i="37"/>
  <c r="K21" i="37"/>
  <c r="E21" i="37"/>
  <c r="M20" i="37"/>
  <c r="K20" i="37"/>
  <c r="N20" i="37" s="1"/>
  <c r="E20" i="37"/>
  <c r="M19" i="37"/>
  <c r="K19" i="37"/>
  <c r="N19" i="37" s="1"/>
  <c r="E19" i="37"/>
  <c r="N18" i="37"/>
  <c r="M18" i="37"/>
  <c r="K18" i="37"/>
  <c r="E18" i="37"/>
  <c r="N17" i="37"/>
  <c r="M17" i="37"/>
  <c r="K17" i="37"/>
  <c r="E17" i="37"/>
  <c r="N16" i="37"/>
  <c r="M16" i="37"/>
  <c r="K16" i="37"/>
  <c r="E16" i="37"/>
  <c r="M15" i="37"/>
  <c r="K15" i="37"/>
  <c r="N15" i="37" s="1"/>
  <c r="E15" i="37"/>
  <c r="M14" i="37"/>
  <c r="K14" i="37"/>
  <c r="N14" i="37" s="1"/>
  <c r="E14" i="37"/>
  <c r="N13" i="37"/>
  <c r="M13" i="37"/>
  <c r="K13" i="37"/>
  <c r="E13" i="37"/>
  <c r="N12" i="37"/>
  <c r="M12" i="37"/>
  <c r="K12" i="37"/>
  <c r="E12" i="37"/>
  <c r="M11" i="37"/>
  <c r="K11" i="37"/>
  <c r="N11" i="37" s="1"/>
  <c r="E11" i="37"/>
  <c r="N10" i="37"/>
  <c r="M10" i="37"/>
  <c r="K10" i="37"/>
  <c r="E10" i="37"/>
  <c r="M9" i="37"/>
  <c r="N9" i="37" s="1"/>
  <c r="K9" i="37"/>
  <c r="E9" i="37"/>
  <c r="N8" i="37"/>
  <c r="M8" i="37"/>
  <c r="K8" i="37"/>
  <c r="E8" i="37"/>
  <c r="M7" i="37"/>
  <c r="K7" i="37"/>
  <c r="E7" i="37"/>
  <c r="M6" i="37"/>
  <c r="K6" i="37"/>
  <c r="E6" i="37"/>
  <c r="N5" i="37"/>
  <c r="M5" i="37"/>
  <c r="K5" i="37"/>
  <c r="E5" i="37"/>
  <c r="M4" i="37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N134" i="36"/>
  <c r="M134" i="36"/>
  <c r="K134" i="36"/>
  <c r="E134" i="36"/>
  <c r="B134" i="36"/>
  <c r="M133" i="36"/>
  <c r="K133" i="36"/>
  <c r="E133" i="36"/>
  <c r="B133" i="36"/>
  <c r="N132" i="36"/>
  <c r="M132" i="36"/>
  <c r="K132" i="36"/>
  <c r="E132" i="36"/>
  <c r="B132" i="36"/>
  <c r="M131" i="36"/>
  <c r="N131" i="36" s="1"/>
  <c r="K131" i="36"/>
  <c r="E131" i="36"/>
  <c r="B131" i="36"/>
  <c r="N130" i="36"/>
  <c r="M130" i="36"/>
  <c r="K130" i="36"/>
  <c r="E130" i="36"/>
  <c r="B130" i="36"/>
  <c r="M129" i="36"/>
  <c r="K129" i="36"/>
  <c r="N129" i="36" s="1"/>
  <c r="E129" i="36"/>
  <c r="B129" i="36"/>
  <c r="N128" i="36"/>
  <c r="M128" i="36"/>
  <c r="K128" i="36"/>
  <c r="E128" i="36"/>
  <c r="B128" i="36"/>
  <c r="N127" i="36"/>
  <c r="M127" i="36"/>
  <c r="K127" i="36"/>
  <c r="E127" i="36"/>
  <c r="B127" i="36"/>
  <c r="N126" i="36"/>
  <c r="M126" i="36"/>
  <c r="K126" i="36"/>
  <c r="E126" i="36"/>
  <c r="B126" i="36"/>
  <c r="M125" i="36"/>
  <c r="K125" i="36"/>
  <c r="N125" i="36" s="1"/>
  <c r="E125" i="36"/>
  <c r="B125" i="36"/>
  <c r="N124" i="36"/>
  <c r="M124" i="36"/>
  <c r="K124" i="36"/>
  <c r="E124" i="36"/>
  <c r="B124" i="36"/>
  <c r="N123" i="36"/>
  <c r="M123" i="36"/>
  <c r="K123" i="36"/>
  <c r="E123" i="36"/>
  <c r="B123" i="36"/>
  <c r="M122" i="36"/>
  <c r="K122" i="36"/>
  <c r="N122" i="36" s="1"/>
  <c r="E122" i="36"/>
  <c r="B122" i="36"/>
  <c r="M121" i="36"/>
  <c r="K121" i="36"/>
  <c r="E121" i="36"/>
  <c r="B121" i="36"/>
  <c r="N120" i="36"/>
  <c r="M120" i="36"/>
  <c r="K120" i="36"/>
  <c r="E120" i="36"/>
  <c r="M119" i="36"/>
  <c r="K119" i="36"/>
  <c r="N119" i="36" s="1"/>
  <c r="E119" i="36"/>
  <c r="M118" i="36"/>
  <c r="K118" i="36"/>
  <c r="N118" i="36" s="1"/>
  <c r="E118" i="36"/>
  <c r="N117" i="36"/>
  <c r="M117" i="36"/>
  <c r="K117" i="36"/>
  <c r="E117" i="36"/>
  <c r="M116" i="36"/>
  <c r="K116" i="36"/>
  <c r="N116" i="36" s="1"/>
  <c r="E116" i="36"/>
  <c r="M115" i="36"/>
  <c r="K115" i="36"/>
  <c r="N115" i="36" s="1"/>
  <c r="E115" i="36"/>
  <c r="M114" i="36"/>
  <c r="N114" i="36" s="1"/>
  <c r="K114" i="36"/>
  <c r="E114" i="36"/>
  <c r="N113" i="36"/>
  <c r="M113" i="36"/>
  <c r="K113" i="36"/>
  <c r="E113" i="36"/>
  <c r="N112" i="36"/>
  <c r="M112" i="36"/>
  <c r="K112" i="36"/>
  <c r="E112" i="36"/>
  <c r="M111" i="36"/>
  <c r="K111" i="36"/>
  <c r="N111" i="36" s="1"/>
  <c r="E111" i="36"/>
  <c r="M110" i="36"/>
  <c r="K110" i="36"/>
  <c r="E110" i="36"/>
  <c r="N109" i="36"/>
  <c r="M109" i="36"/>
  <c r="K109" i="36"/>
  <c r="E109" i="36"/>
  <c r="N108" i="36"/>
  <c r="M108" i="36"/>
  <c r="K108" i="36"/>
  <c r="E108" i="36"/>
  <c r="M107" i="36"/>
  <c r="K107" i="36"/>
  <c r="N107" i="36" s="1"/>
  <c r="E107" i="36"/>
  <c r="N106" i="36"/>
  <c r="M106" i="36"/>
  <c r="K106" i="36"/>
  <c r="E106" i="36"/>
  <c r="M105" i="36"/>
  <c r="N105" i="36" s="1"/>
  <c r="K105" i="36"/>
  <c r="E105" i="36"/>
  <c r="N104" i="36"/>
  <c r="M104" i="36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M101" i="36"/>
  <c r="K101" i="36"/>
  <c r="N101" i="36" s="1"/>
  <c r="E101" i="36"/>
  <c r="N100" i="36"/>
  <c r="M100" i="36"/>
  <c r="K100" i="36"/>
  <c r="E100" i="36"/>
  <c r="M99" i="36"/>
  <c r="N99" i="36" s="1"/>
  <c r="K99" i="36"/>
  <c r="E99" i="36"/>
  <c r="N98" i="36"/>
  <c r="M98" i="36"/>
  <c r="K98" i="36"/>
  <c r="E98" i="36"/>
  <c r="M97" i="36"/>
  <c r="K97" i="36"/>
  <c r="E97" i="36"/>
  <c r="M96" i="36"/>
  <c r="K96" i="36"/>
  <c r="N96" i="36" s="1"/>
  <c r="E96" i="36"/>
  <c r="N95" i="36"/>
  <c r="M95" i="36"/>
  <c r="K95" i="36"/>
  <c r="E95" i="36"/>
  <c r="M94" i="36"/>
  <c r="K94" i="36"/>
  <c r="N94" i="36" s="1"/>
  <c r="E94" i="36"/>
  <c r="M93" i="36"/>
  <c r="K93" i="36"/>
  <c r="N93" i="36" s="1"/>
  <c r="E93" i="36"/>
  <c r="M92" i="36"/>
  <c r="N92" i="36" s="1"/>
  <c r="K92" i="36"/>
  <c r="E92" i="36"/>
  <c r="N91" i="36"/>
  <c r="M91" i="36"/>
  <c r="K91" i="36"/>
  <c r="E91" i="36"/>
  <c r="N90" i="36"/>
  <c r="M90" i="36"/>
  <c r="K90" i="36"/>
  <c r="E90" i="36"/>
  <c r="M89" i="36"/>
  <c r="K89" i="36"/>
  <c r="E89" i="36"/>
  <c r="M88" i="36"/>
  <c r="K88" i="36"/>
  <c r="E88" i="36"/>
  <c r="N87" i="36"/>
  <c r="M87" i="36"/>
  <c r="K87" i="36"/>
  <c r="E87" i="36"/>
  <c r="N86" i="36"/>
  <c r="M86" i="36"/>
  <c r="K86" i="36"/>
  <c r="E86" i="36"/>
  <c r="M85" i="36"/>
  <c r="K85" i="36"/>
  <c r="N85" i="36" s="1"/>
  <c r="E85" i="36"/>
  <c r="M84" i="36"/>
  <c r="N84" i="36" s="1"/>
  <c r="K84" i="36"/>
  <c r="E84" i="36"/>
  <c r="N83" i="36"/>
  <c r="M83" i="36"/>
  <c r="K83" i="36"/>
  <c r="E83" i="36"/>
  <c r="N82" i="36"/>
  <c r="M82" i="36"/>
  <c r="K82" i="36"/>
  <c r="E82" i="36"/>
  <c r="M81" i="36"/>
  <c r="K81" i="36"/>
  <c r="E81" i="36"/>
  <c r="M80" i="36"/>
  <c r="K80" i="36"/>
  <c r="N80" i="36" s="1"/>
  <c r="E80" i="36"/>
  <c r="N79" i="36"/>
  <c r="M79" i="36"/>
  <c r="K79" i="36"/>
  <c r="E79" i="36"/>
  <c r="M78" i="36"/>
  <c r="K78" i="36"/>
  <c r="N78" i="36" s="1"/>
  <c r="E78" i="36"/>
  <c r="M77" i="36"/>
  <c r="K77" i="36"/>
  <c r="N77" i="36" s="1"/>
  <c r="E77" i="36"/>
  <c r="N76" i="36"/>
  <c r="M76" i="36"/>
  <c r="K76" i="36"/>
  <c r="E76" i="36"/>
  <c r="N75" i="36"/>
  <c r="M75" i="36"/>
  <c r="K75" i="36"/>
  <c r="E75" i="36"/>
  <c r="N74" i="36"/>
  <c r="M74" i="36"/>
  <c r="K74" i="36"/>
  <c r="E74" i="36"/>
  <c r="M73" i="36"/>
  <c r="K73" i="36"/>
  <c r="N73" i="36" s="1"/>
  <c r="E73" i="36"/>
  <c r="M72" i="36"/>
  <c r="K72" i="36"/>
  <c r="N72" i="36" s="1"/>
  <c r="E72" i="36"/>
  <c r="N71" i="36"/>
  <c r="M71" i="36"/>
  <c r="K71" i="36"/>
  <c r="E71" i="36"/>
  <c r="M70" i="36"/>
  <c r="K70" i="36"/>
  <c r="N70" i="36" s="1"/>
  <c r="E70" i="36"/>
  <c r="M69" i="36"/>
  <c r="K69" i="36"/>
  <c r="N69" i="36" s="1"/>
  <c r="E69" i="36"/>
  <c r="M68" i="36"/>
  <c r="N68" i="36" s="1"/>
  <c r="K68" i="36"/>
  <c r="E68" i="36"/>
  <c r="N67" i="36"/>
  <c r="M67" i="36"/>
  <c r="K67" i="36"/>
  <c r="E67" i="36"/>
  <c r="N66" i="36"/>
  <c r="M66" i="36"/>
  <c r="K66" i="36"/>
  <c r="E66" i="36"/>
  <c r="M65" i="36"/>
  <c r="K65" i="36"/>
  <c r="N65" i="36" s="1"/>
  <c r="E65" i="36"/>
  <c r="M64" i="36"/>
  <c r="K64" i="36"/>
  <c r="E64" i="36"/>
  <c r="N63" i="36"/>
  <c r="M63" i="36"/>
  <c r="K63" i="36"/>
  <c r="E63" i="36"/>
  <c r="N62" i="36"/>
  <c r="M62" i="36"/>
  <c r="K62" i="36"/>
  <c r="E62" i="36"/>
  <c r="M61" i="36"/>
  <c r="K61" i="36"/>
  <c r="N61" i="36" s="1"/>
  <c r="E61" i="36"/>
  <c r="M60" i="36"/>
  <c r="N60" i="36" s="1"/>
  <c r="K60" i="36"/>
  <c r="E60" i="36"/>
  <c r="M59" i="36"/>
  <c r="N59" i="36" s="1"/>
  <c r="K59" i="36"/>
  <c r="E59" i="36"/>
  <c r="N58" i="36"/>
  <c r="M58" i="36"/>
  <c r="K58" i="36"/>
  <c r="E58" i="36"/>
  <c r="M57" i="36"/>
  <c r="K57" i="36"/>
  <c r="E57" i="36"/>
  <c r="M56" i="36"/>
  <c r="K56" i="36"/>
  <c r="N56" i="36" s="1"/>
  <c r="E56" i="36"/>
  <c r="N55" i="36"/>
  <c r="M55" i="36"/>
  <c r="K55" i="36"/>
  <c r="E55" i="36"/>
  <c r="M54" i="36"/>
  <c r="K54" i="36"/>
  <c r="N54" i="36" s="1"/>
  <c r="E54" i="36"/>
  <c r="M53" i="36"/>
  <c r="K53" i="36"/>
  <c r="N53" i="36" s="1"/>
  <c r="E53" i="36"/>
  <c r="M52" i="36"/>
  <c r="N52" i="36" s="1"/>
  <c r="K52" i="36"/>
  <c r="E52" i="36"/>
  <c r="M51" i="36"/>
  <c r="N51" i="36" s="1"/>
  <c r="K51" i="36"/>
  <c r="E51" i="36"/>
  <c r="N50" i="36"/>
  <c r="M50" i="36"/>
  <c r="K50" i="36"/>
  <c r="E50" i="36"/>
  <c r="M49" i="36"/>
  <c r="K49" i="36"/>
  <c r="E49" i="36"/>
  <c r="M48" i="36"/>
  <c r="K48" i="36"/>
  <c r="E48" i="36"/>
  <c r="N47" i="36"/>
  <c r="M47" i="36"/>
  <c r="K47" i="36"/>
  <c r="E47" i="36"/>
  <c r="M46" i="36"/>
  <c r="K46" i="36"/>
  <c r="N46" i="36" s="1"/>
  <c r="E46" i="36"/>
  <c r="M45" i="36"/>
  <c r="K45" i="36"/>
  <c r="N45" i="36" s="1"/>
  <c r="E45" i="36"/>
  <c r="M44" i="36"/>
  <c r="N44" i="36" s="1"/>
  <c r="K44" i="36"/>
  <c r="E44" i="36"/>
  <c r="N43" i="36"/>
  <c r="M43" i="36"/>
  <c r="K43" i="36"/>
  <c r="E43" i="36"/>
  <c r="N42" i="36"/>
  <c r="M42" i="36"/>
  <c r="K42" i="36"/>
  <c r="E42" i="36"/>
  <c r="M41" i="36"/>
  <c r="K41" i="36"/>
  <c r="N41" i="36" s="1"/>
  <c r="E41" i="36"/>
  <c r="M40" i="36"/>
  <c r="K40" i="36"/>
  <c r="N40" i="36" s="1"/>
  <c r="E40" i="36"/>
  <c r="N39" i="36"/>
  <c r="M39" i="36"/>
  <c r="K39" i="36"/>
  <c r="E39" i="36"/>
  <c r="N38" i="36"/>
  <c r="M38" i="36"/>
  <c r="K38" i="36"/>
  <c r="E38" i="36"/>
  <c r="M37" i="36"/>
  <c r="K37" i="36"/>
  <c r="N37" i="36" s="1"/>
  <c r="E37" i="36"/>
  <c r="N36" i="36"/>
  <c r="M36" i="36"/>
  <c r="K36" i="36"/>
  <c r="E36" i="36"/>
  <c r="N35" i="36"/>
  <c r="M35" i="36"/>
  <c r="K35" i="36"/>
  <c r="E35" i="36"/>
  <c r="N34" i="36"/>
  <c r="M34" i="36"/>
  <c r="K34" i="36"/>
  <c r="E34" i="36"/>
  <c r="M33" i="36"/>
  <c r="K33" i="36"/>
  <c r="E33" i="36"/>
  <c r="M32" i="36"/>
  <c r="K32" i="36"/>
  <c r="N32" i="36" s="1"/>
  <c r="E32" i="36"/>
  <c r="N31" i="36"/>
  <c r="M31" i="36"/>
  <c r="K31" i="36"/>
  <c r="E31" i="36"/>
  <c r="N30" i="36"/>
  <c r="M30" i="36"/>
  <c r="K30" i="36"/>
  <c r="E30" i="36"/>
  <c r="M29" i="36"/>
  <c r="K29" i="36"/>
  <c r="N29" i="36" s="1"/>
  <c r="E29" i="36"/>
  <c r="N28" i="36"/>
  <c r="M28" i="36"/>
  <c r="K28" i="36"/>
  <c r="E28" i="36"/>
  <c r="M27" i="36"/>
  <c r="N27" i="36" s="1"/>
  <c r="K27" i="36"/>
  <c r="E27" i="36"/>
  <c r="N26" i="36"/>
  <c r="M26" i="36"/>
  <c r="K26" i="36"/>
  <c r="E26" i="36"/>
  <c r="M25" i="36"/>
  <c r="K25" i="36"/>
  <c r="N25" i="36" s="1"/>
  <c r="E25" i="36"/>
  <c r="M24" i="36"/>
  <c r="K24" i="36"/>
  <c r="E24" i="36"/>
  <c r="N23" i="36"/>
  <c r="M23" i="36"/>
  <c r="K23" i="36"/>
  <c r="E23" i="36"/>
  <c r="M22" i="36"/>
  <c r="K22" i="36"/>
  <c r="N22" i="36" s="1"/>
  <c r="E22" i="36"/>
  <c r="M21" i="36"/>
  <c r="K21" i="36"/>
  <c r="N21" i="36" s="1"/>
  <c r="E21" i="36"/>
  <c r="M20" i="36"/>
  <c r="N20" i="36" s="1"/>
  <c r="K20" i="36"/>
  <c r="E20" i="36"/>
  <c r="N19" i="36"/>
  <c r="M19" i="36"/>
  <c r="K19" i="36"/>
  <c r="E19" i="36"/>
  <c r="N18" i="36"/>
  <c r="M18" i="36"/>
  <c r="K18" i="36"/>
  <c r="E18" i="36"/>
  <c r="M17" i="36"/>
  <c r="K17" i="36"/>
  <c r="N17" i="36" s="1"/>
  <c r="E17" i="36"/>
  <c r="M16" i="36"/>
  <c r="K16" i="36"/>
  <c r="E16" i="36"/>
  <c r="N15" i="36"/>
  <c r="M15" i="36"/>
  <c r="K15" i="36"/>
  <c r="E15" i="36"/>
  <c r="M14" i="36"/>
  <c r="K14" i="36"/>
  <c r="N14" i="36" s="1"/>
  <c r="E14" i="36"/>
  <c r="M13" i="36"/>
  <c r="K13" i="36"/>
  <c r="N13" i="36" s="1"/>
  <c r="E13" i="36"/>
  <c r="N12" i="36"/>
  <c r="M12" i="36"/>
  <c r="K12" i="36"/>
  <c r="E12" i="36"/>
  <c r="M11" i="36"/>
  <c r="N11" i="36" s="1"/>
  <c r="K11" i="36"/>
  <c r="E11" i="36"/>
  <c r="N10" i="36"/>
  <c r="M10" i="36"/>
  <c r="K10" i="36"/>
  <c r="E10" i="36"/>
  <c r="M9" i="36"/>
  <c r="K9" i="36"/>
  <c r="N9" i="36" s="1"/>
  <c r="E9" i="36"/>
  <c r="M8" i="36"/>
  <c r="K8" i="36"/>
  <c r="N8" i="36" s="1"/>
  <c r="E8" i="36"/>
  <c r="M7" i="36"/>
  <c r="N7" i="36" s="1"/>
  <c r="K7" i="36"/>
  <c r="E7" i="36"/>
  <c r="M6" i="36"/>
  <c r="K6" i="36"/>
  <c r="N6" i="36" s="1"/>
  <c r="E6" i="36"/>
  <c r="M5" i="36"/>
  <c r="K5" i="36"/>
  <c r="N5" i="36" s="1"/>
  <c r="E5" i="36"/>
  <c r="M4" i="36"/>
  <c r="K4" i="36"/>
  <c r="N4" i="36" s="1"/>
  <c r="E4" i="36"/>
  <c r="V2" i="36"/>
  <c r="U2" i="36"/>
  <c r="T2" i="36"/>
  <c r="S2" i="36"/>
  <c r="R2" i="36"/>
  <c r="Q2" i="36"/>
  <c r="P2" i="36"/>
  <c r="O2" i="36"/>
  <c r="L2" i="36"/>
  <c r="J2" i="36"/>
  <c r="I2" i="36"/>
  <c r="N2" i="36" s="1"/>
  <c r="H2" i="36"/>
  <c r="G2" i="36"/>
  <c r="F2" i="36"/>
  <c r="M2" i="36" s="1"/>
  <c r="M134" i="35"/>
  <c r="K134" i="35"/>
  <c r="N134" i="35" s="1"/>
  <c r="E134" i="35"/>
  <c r="B134" i="35"/>
  <c r="N133" i="35"/>
  <c r="M133" i="35"/>
  <c r="K133" i="35"/>
  <c r="E133" i="35"/>
  <c r="B133" i="35"/>
  <c r="M132" i="35"/>
  <c r="K132" i="35"/>
  <c r="E132" i="35"/>
  <c r="B132" i="35"/>
  <c r="N131" i="35"/>
  <c r="M131" i="35"/>
  <c r="K131" i="35"/>
  <c r="E131" i="35"/>
  <c r="B131" i="35"/>
  <c r="M130" i="35"/>
  <c r="K130" i="35"/>
  <c r="N130" i="35" s="1"/>
  <c r="E130" i="35"/>
  <c r="B130" i="35"/>
  <c r="N129" i="35"/>
  <c r="M129" i="35"/>
  <c r="K129" i="35"/>
  <c r="E129" i="35"/>
  <c r="B129" i="35"/>
  <c r="M128" i="35"/>
  <c r="K128" i="35"/>
  <c r="E128" i="35"/>
  <c r="B128" i="35"/>
  <c r="N127" i="35"/>
  <c r="M127" i="35"/>
  <c r="K127" i="35"/>
  <c r="E127" i="35"/>
  <c r="B127" i="35"/>
  <c r="M126" i="35"/>
  <c r="K126" i="35"/>
  <c r="N126" i="35" s="1"/>
  <c r="E126" i="35"/>
  <c r="B126" i="35"/>
  <c r="N125" i="35"/>
  <c r="M125" i="35"/>
  <c r="K125" i="35"/>
  <c r="E125" i="35"/>
  <c r="B125" i="35"/>
  <c r="M124" i="35"/>
  <c r="K124" i="35"/>
  <c r="N124" i="35" s="1"/>
  <c r="E124" i="35"/>
  <c r="B124" i="35"/>
  <c r="N123" i="35"/>
  <c r="M123" i="35"/>
  <c r="K123" i="35"/>
  <c r="E123" i="35"/>
  <c r="B123" i="35"/>
  <c r="M122" i="35"/>
  <c r="K122" i="35"/>
  <c r="N122" i="35" s="1"/>
  <c r="E122" i="35"/>
  <c r="B122" i="35"/>
  <c r="N121" i="35"/>
  <c r="M121" i="35"/>
  <c r="K121" i="35"/>
  <c r="E121" i="35"/>
  <c r="B121" i="35"/>
  <c r="M120" i="35"/>
  <c r="K120" i="35"/>
  <c r="E120" i="35"/>
  <c r="B120" i="35"/>
  <c r="N119" i="35"/>
  <c r="M119" i="35"/>
  <c r="K119" i="35"/>
  <c r="E119" i="35"/>
  <c r="B119" i="35"/>
  <c r="N118" i="35"/>
  <c r="M118" i="35"/>
  <c r="K118" i="35"/>
  <c r="E118" i="35"/>
  <c r="B118" i="35"/>
  <c r="M117" i="35"/>
  <c r="K117" i="35"/>
  <c r="N117" i="35" s="1"/>
  <c r="E117" i="35"/>
  <c r="B117" i="35"/>
  <c r="M116" i="35"/>
  <c r="K116" i="35"/>
  <c r="N116" i="35" s="1"/>
  <c r="E116" i="35"/>
  <c r="B116" i="35"/>
  <c r="N115" i="35"/>
  <c r="M115" i="35"/>
  <c r="K115" i="35"/>
  <c r="E115" i="35"/>
  <c r="B115" i="35"/>
  <c r="N114" i="35"/>
  <c r="M114" i="35"/>
  <c r="K114" i="35"/>
  <c r="E114" i="35"/>
  <c r="B114" i="35"/>
  <c r="M113" i="35"/>
  <c r="K113" i="35"/>
  <c r="N113" i="35" s="1"/>
  <c r="E113" i="35"/>
  <c r="B113" i="35"/>
  <c r="M112" i="35"/>
  <c r="K112" i="35"/>
  <c r="N112" i="35" s="1"/>
  <c r="E112" i="35"/>
  <c r="B112" i="35"/>
  <c r="N111" i="35"/>
  <c r="M111" i="35"/>
  <c r="K111" i="35"/>
  <c r="E111" i="35"/>
  <c r="B111" i="35"/>
  <c r="M110" i="35"/>
  <c r="K110" i="35"/>
  <c r="N110" i="35" s="1"/>
  <c r="E110" i="35"/>
  <c r="B110" i="35"/>
  <c r="N109" i="35"/>
  <c r="M109" i="35"/>
  <c r="K109" i="35"/>
  <c r="E109" i="35"/>
  <c r="B109" i="35"/>
  <c r="M108" i="35"/>
  <c r="K108" i="35"/>
  <c r="E108" i="35"/>
  <c r="B108" i="35"/>
  <c r="N107" i="35"/>
  <c r="M107" i="35"/>
  <c r="K107" i="35"/>
  <c r="E107" i="35"/>
  <c r="B107" i="35"/>
  <c r="M106" i="35"/>
  <c r="K106" i="35"/>
  <c r="N106" i="35" s="1"/>
  <c r="E106" i="35"/>
  <c r="B106" i="35"/>
  <c r="M105" i="35"/>
  <c r="K105" i="35"/>
  <c r="N105" i="35" s="1"/>
  <c r="E105" i="35"/>
  <c r="B105" i="35"/>
  <c r="M104" i="35"/>
  <c r="K104" i="35"/>
  <c r="N104" i="35" s="1"/>
  <c r="E104" i="35"/>
  <c r="B104" i="35"/>
  <c r="N103" i="35"/>
  <c r="M103" i="35"/>
  <c r="K103" i="35"/>
  <c r="E103" i="35"/>
  <c r="B103" i="35"/>
  <c r="M102" i="35"/>
  <c r="K102" i="35"/>
  <c r="N102" i="35" s="1"/>
  <c r="E102" i="35"/>
  <c r="B102" i="35"/>
  <c r="N101" i="35"/>
  <c r="M101" i="35"/>
  <c r="K101" i="35"/>
  <c r="E101" i="35"/>
  <c r="B101" i="35"/>
  <c r="M100" i="35"/>
  <c r="K100" i="35"/>
  <c r="E100" i="35"/>
  <c r="B100" i="35"/>
  <c r="N99" i="35"/>
  <c r="M99" i="35"/>
  <c r="K99" i="35"/>
  <c r="E99" i="35"/>
  <c r="B99" i="35"/>
  <c r="M98" i="35"/>
  <c r="K98" i="35"/>
  <c r="N98" i="35" s="1"/>
  <c r="E98" i="35"/>
  <c r="B98" i="35"/>
  <c r="M97" i="35"/>
  <c r="K97" i="35"/>
  <c r="N97" i="35" s="1"/>
  <c r="E97" i="35"/>
  <c r="B97" i="35"/>
  <c r="M96" i="35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N93" i="35"/>
  <c r="M93" i="35"/>
  <c r="K93" i="35"/>
  <c r="E93" i="35"/>
  <c r="B93" i="35"/>
  <c r="M92" i="35"/>
  <c r="K92" i="35"/>
  <c r="N92" i="35" s="1"/>
  <c r="E92" i="35"/>
  <c r="B92" i="35"/>
  <c r="M91" i="35"/>
  <c r="N91" i="35" s="1"/>
  <c r="K91" i="35"/>
  <c r="E91" i="35"/>
  <c r="B91" i="35"/>
  <c r="M90" i="35"/>
  <c r="K90" i="35"/>
  <c r="N90" i="35" s="1"/>
  <c r="E90" i="35"/>
  <c r="B90" i="35"/>
  <c r="N89" i="35"/>
  <c r="M89" i="35"/>
  <c r="K89" i="35"/>
  <c r="E89" i="35"/>
  <c r="B89" i="35"/>
  <c r="M88" i="35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K85" i="35"/>
  <c r="N85" i="35" s="1"/>
  <c r="E85" i="35"/>
  <c r="B85" i="35"/>
  <c r="M84" i="35"/>
  <c r="K84" i="35"/>
  <c r="N84" i="35" s="1"/>
  <c r="E84" i="35"/>
  <c r="B84" i="35"/>
  <c r="N83" i="35"/>
  <c r="M83" i="35"/>
  <c r="K83" i="35"/>
  <c r="E83" i="35"/>
  <c r="B83" i="35"/>
  <c r="N82" i="35"/>
  <c r="M82" i="35"/>
  <c r="K82" i="35"/>
  <c r="E82" i="35"/>
  <c r="B82" i="35"/>
  <c r="M81" i="35"/>
  <c r="K81" i="35"/>
  <c r="N81" i="35" s="1"/>
  <c r="E81" i="35"/>
  <c r="B81" i="35"/>
  <c r="M80" i="35"/>
  <c r="K80" i="35"/>
  <c r="N80" i="35" s="1"/>
  <c r="E80" i="35"/>
  <c r="B80" i="35"/>
  <c r="N79" i="35"/>
  <c r="M79" i="35"/>
  <c r="K79" i="35"/>
  <c r="E79" i="35"/>
  <c r="B79" i="35"/>
  <c r="N78" i="35"/>
  <c r="M78" i="35"/>
  <c r="K78" i="35"/>
  <c r="E78" i="35"/>
  <c r="B78" i="35"/>
  <c r="M77" i="35"/>
  <c r="K77" i="35"/>
  <c r="N77" i="35" s="1"/>
  <c r="E77" i="35"/>
  <c r="B77" i="35"/>
  <c r="M76" i="35"/>
  <c r="N76" i="35" s="1"/>
  <c r="K76" i="35"/>
  <c r="E76" i="35"/>
  <c r="B76" i="35"/>
  <c r="N75" i="35"/>
  <c r="M75" i="35"/>
  <c r="K75" i="35"/>
  <c r="E75" i="35"/>
  <c r="B75" i="35"/>
  <c r="N74" i="35"/>
  <c r="M74" i="35"/>
  <c r="K74" i="35"/>
  <c r="E74" i="35"/>
  <c r="B74" i="35"/>
  <c r="M73" i="35"/>
  <c r="K73" i="35"/>
  <c r="N73" i="35" s="1"/>
  <c r="E73" i="35"/>
  <c r="B73" i="35"/>
  <c r="M72" i="35"/>
  <c r="K72" i="35"/>
  <c r="N72" i="35" s="1"/>
  <c r="E72" i="35"/>
  <c r="B72" i="35"/>
  <c r="N71" i="35"/>
  <c r="M71" i="35"/>
  <c r="K71" i="35"/>
  <c r="E71" i="35"/>
  <c r="B71" i="35"/>
  <c r="N70" i="35"/>
  <c r="M70" i="35"/>
  <c r="K70" i="35"/>
  <c r="E70" i="35"/>
  <c r="B70" i="35"/>
  <c r="M69" i="35"/>
  <c r="K69" i="35"/>
  <c r="N69" i="35" s="1"/>
  <c r="E69" i="35"/>
  <c r="B69" i="35"/>
  <c r="M68" i="35"/>
  <c r="N68" i="35" s="1"/>
  <c r="K68" i="35"/>
  <c r="E68" i="35"/>
  <c r="B68" i="35"/>
  <c r="N67" i="35"/>
  <c r="M67" i="35"/>
  <c r="K67" i="35"/>
  <c r="E67" i="35"/>
  <c r="B67" i="35"/>
  <c r="N66" i="35"/>
  <c r="M66" i="35"/>
  <c r="K66" i="35"/>
  <c r="E66" i="35"/>
  <c r="B66" i="35"/>
  <c r="M65" i="35"/>
  <c r="K65" i="35"/>
  <c r="N65" i="35" s="1"/>
  <c r="E65" i="35"/>
  <c r="B65" i="35"/>
  <c r="M64" i="35"/>
  <c r="K64" i="35"/>
  <c r="N64" i="35" s="1"/>
  <c r="E64" i="35"/>
  <c r="B64" i="35"/>
  <c r="M63" i="35"/>
  <c r="N63" i="35" s="1"/>
  <c r="K63" i="35"/>
  <c r="E63" i="35"/>
  <c r="B63" i="35"/>
  <c r="N62" i="35"/>
  <c r="M62" i="35"/>
  <c r="K62" i="35"/>
  <c r="E62" i="35"/>
  <c r="B62" i="35"/>
  <c r="M61" i="35"/>
  <c r="K61" i="35"/>
  <c r="E61" i="35"/>
  <c r="B61" i="35"/>
  <c r="M60" i="35"/>
  <c r="K60" i="35"/>
  <c r="N60" i="35" s="1"/>
  <c r="E60" i="35"/>
  <c r="B60" i="35"/>
  <c r="M59" i="35"/>
  <c r="K59" i="35"/>
  <c r="N59" i="35" s="1"/>
  <c r="E59" i="35"/>
  <c r="B59" i="35"/>
  <c r="N58" i="35"/>
  <c r="M58" i="35"/>
  <c r="K58" i="35"/>
  <c r="E58" i="35"/>
  <c r="B58" i="35"/>
  <c r="M57" i="35"/>
  <c r="K57" i="35"/>
  <c r="N57" i="35" s="1"/>
  <c r="E57" i="35"/>
  <c r="B57" i="35"/>
  <c r="M56" i="35"/>
  <c r="K56" i="35"/>
  <c r="N56" i="35" s="1"/>
  <c r="E56" i="35"/>
  <c r="B56" i="35"/>
  <c r="M55" i="35"/>
  <c r="K55" i="35"/>
  <c r="N55" i="35" s="1"/>
  <c r="E55" i="35"/>
  <c r="B55" i="35"/>
  <c r="N54" i="35"/>
  <c r="M54" i="35"/>
  <c r="K54" i="35"/>
  <c r="E54" i="35"/>
  <c r="B54" i="35"/>
  <c r="M53" i="35"/>
  <c r="K53" i="35"/>
  <c r="E53" i="35"/>
  <c r="B53" i="35"/>
  <c r="M52" i="35"/>
  <c r="K52" i="35"/>
  <c r="N52" i="35" s="1"/>
  <c r="E52" i="35"/>
  <c r="B52" i="35"/>
  <c r="M51" i="35"/>
  <c r="K51" i="35"/>
  <c r="N51" i="35" s="1"/>
  <c r="E51" i="35"/>
  <c r="B51" i="35"/>
  <c r="N50" i="35"/>
  <c r="M50" i="35"/>
  <c r="K50" i="35"/>
  <c r="E50" i="35"/>
  <c r="B50" i="35"/>
  <c r="M49" i="35"/>
  <c r="K49" i="35"/>
  <c r="N49" i="35" s="1"/>
  <c r="E49" i="35"/>
  <c r="B49" i="35"/>
  <c r="M48" i="35"/>
  <c r="K48" i="35"/>
  <c r="N48" i="35" s="1"/>
  <c r="E48" i="35"/>
  <c r="B48" i="35"/>
  <c r="M47" i="35"/>
  <c r="K47" i="35"/>
  <c r="N47" i="35" s="1"/>
  <c r="E47" i="35"/>
  <c r="B47" i="35"/>
  <c r="N46" i="35"/>
  <c r="M46" i="35"/>
  <c r="K46" i="35"/>
  <c r="E46" i="35"/>
  <c r="B46" i="35"/>
  <c r="M45" i="35"/>
  <c r="K45" i="35"/>
  <c r="E45" i="35"/>
  <c r="B45" i="35"/>
  <c r="M44" i="35"/>
  <c r="K44" i="35"/>
  <c r="N44" i="35" s="1"/>
  <c r="E44" i="35"/>
  <c r="B44" i="35"/>
  <c r="M43" i="35"/>
  <c r="K43" i="35"/>
  <c r="N43" i="35" s="1"/>
  <c r="E43" i="35"/>
  <c r="B43" i="35"/>
  <c r="N42" i="35"/>
  <c r="M42" i="35"/>
  <c r="K42" i="35"/>
  <c r="E42" i="35"/>
  <c r="B42" i="35"/>
  <c r="M41" i="35"/>
  <c r="K41" i="35"/>
  <c r="N41" i="35" s="1"/>
  <c r="E41" i="35"/>
  <c r="B41" i="35"/>
  <c r="M40" i="35"/>
  <c r="K40" i="35"/>
  <c r="N40" i="35" s="1"/>
  <c r="E40" i="35"/>
  <c r="B40" i="35"/>
  <c r="M39" i="35"/>
  <c r="N39" i="35" s="1"/>
  <c r="K39" i="35"/>
  <c r="E39" i="35"/>
  <c r="B39" i="35"/>
  <c r="N38" i="35"/>
  <c r="M38" i="35"/>
  <c r="K38" i="35"/>
  <c r="E38" i="35"/>
  <c r="B38" i="35"/>
  <c r="M37" i="35"/>
  <c r="K37" i="35"/>
  <c r="E37" i="35"/>
  <c r="B37" i="35"/>
  <c r="M36" i="35"/>
  <c r="K36" i="35"/>
  <c r="N36" i="35" s="1"/>
  <c r="E36" i="35"/>
  <c r="B36" i="35"/>
  <c r="M35" i="35"/>
  <c r="N35" i="35" s="1"/>
  <c r="K35" i="35"/>
  <c r="E35" i="35"/>
  <c r="B35" i="35"/>
  <c r="N34" i="35"/>
  <c r="M34" i="35"/>
  <c r="K34" i="35"/>
  <c r="E34" i="35"/>
  <c r="B34" i="35"/>
  <c r="M33" i="35"/>
  <c r="K33" i="35"/>
  <c r="N33" i="35" s="1"/>
  <c r="E33" i="35"/>
  <c r="B33" i="35"/>
  <c r="M32" i="35"/>
  <c r="K32" i="35"/>
  <c r="N32" i="35" s="1"/>
  <c r="E32" i="35"/>
  <c r="B32" i="35"/>
  <c r="M31" i="35"/>
  <c r="N31" i="35" s="1"/>
  <c r="K31" i="35"/>
  <c r="E31" i="35"/>
  <c r="B31" i="35"/>
  <c r="N30" i="35"/>
  <c r="M30" i="35"/>
  <c r="K30" i="35"/>
  <c r="E30" i="35"/>
  <c r="B30" i="35"/>
  <c r="M29" i="35"/>
  <c r="K29" i="35"/>
  <c r="E29" i="35"/>
  <c r="B29" i="35"/>
  <c r="M28" i="35"/>
  <c r="K28" i="35"/>
  <c r="N28" i="35" s="1"/>
  <c r="E28" i="35"/>
  <c r="B28" i="35"/>
  <c r="M27" i="35"/>
  <c r="N27" i="35" s="1"/>
  <c r="K27" i="35"/>
  <c r="E27" i="35"/>
  <c r="B27" i="35"/>
  <c r="N26" i="35"/>
  <c r="M26" i="35"/>
  <c r="K26" i="35"/>
  <c r="E26" i="35"/>
  <c r="B26" i="35"/>
  <c r="M25" i="35"/>
  <c r="K25" i="35"/>
  <c r="N25" i="35" s="1"/>
  <c r="E25" i="35"/>
  <c r="B25" i="35"/>
  <c r="M24" i="35"/>
  <c r="K24" i="35"/>
  <c r="N24" i="35" s="1"/>
  <c r="E24" i="35"/>
  <c r="B24" i="35"/>
  <c r="M23" i="35"/>
  <c r="N23" i="35" s="1"/>
  <c r="K23" i="35"/>
  <c r="E23" i="35"/>
  <c r="B23" i="35"/>
  <c r="N22" i="35"/>
  <c r="M22" i="35"/>
  <c r="K22" i="35"/>
  <c r="E22" i="35"/>
  <c r="B22" i="35"/>
  <c r="M21" i="35"/>
  <c r="K21" i="35"/>
  <c r="E21" i="35"/>
  <c r="B21" i="35"/>
  <c r="M20" i="35"/>
  <c r="K20" i="35"/>
  <c r="N20" i="35" s="1"/>
  <c r="E20" i="35"/>
  <c r="B20" i="35"/>
  <c r="M19" i="35"/>
  <c r="N19" i="35" s="1"/>
  <c r="K19" i="35"/>
  <c r="E19" i="35"/>
  <c r="B19" i="35"/>
  <c r="N18" i="35"/>
  <c r="M18" i="35"/>
  <c r="K18" i="35"/>
  <c r="E18" i="35"/>
  <c r="B18" i="35"/>
  <c r="M17" i="35"/>
  <c r="K17" i="35"/>
  <c r="N17" i="35" s="1"/>
  <c r="E17" i="35"/>
  <c r="B17" i="35"/>
  <c r="M16" i="35"/>
  <c r="K16" i="35"/>
  <c r="N16" i="35" s="1"/>
  <c r="E16" i="35"/>
  <c r="B16" i="35"/>
  <c r="M15" i="35"/>
  <c r="N15" i="35" s="1"/>
  <c r="K15" i="35"/>
  <c r="E15" i="35"/>
  <c r="B15" i="35"/>
  <c r="N14" i="35"/>
  <c r="M14" i="35"/>
  <c r="K14" i="35"/>
  <c r="E14" i="35"/>
  <c r="B14" i="35"/>
  <c r="M13" i="35"/>
  <c r="K13" i="35"/>
  <c r="E13" i="35"/>
  <c r="B13" i="35"/>
  <c r="M12" i="35"/>
  <c r="K12" i="35"/>
  <c r="N12" i="35" s="1"/>
  <c r="E12" i="35"/>
  <c r="B12" i="35"/>
  <c r="M11" i="35"/>
  <c r="N11" i="35" s="1"/>
  <c r="K11" i="35"/>
  <c r="E11" i="35"/>
  <c r="B11" i="35"/>
  <c r="N10" i="35"/>
  <c r="M10" i="35"/>
  <c r="K10" i="35"/>
  <c r="E10" i="35"/>
  <c r="B10" i="35"/>
  <c r="M9" i="35"/>
  <c r="K9" i="35"/>
  <c r="N9" i="35" s="1"/>
  <c r="E9" i="35"/>
  <c r="B9" i="35"/>
  <c r="M8" i="35"/>
  <c r="K8" i="35"/>
  <c r="N8" i="35" s="1"/>
  <c r="E8" i="35"/>
  <c r="B8" i="35"/>
  <c r="M7" i="35"/>
  <c r="N7" i="35" s="1"/>
  <c r="K7" i="35"/>
  <c r="E7" i="35"/>
  <c r="B7" i="35"/>
  <c r="N6" i="35"/>
  <c r="M6" i="35"/>
  <c r="K6" i="35"/>
  <c r="E6" i="35"/>
  <c r="B6" i="35"/>
  <c r="M5" i="35"/>
  <c r="K5" i="35"/>
  <c r="K2" i="35" s="1"/>
  <c r="E5" i="35"/>
  <c r="B5" i="35"/>
  <c r="M4" i="35"/>
  <c r="K4" i="35"/>
  <c r="N4" i="35" s="1"/>
  <c r="E4" i="35"/>
  <c r="B4" i="35"/>
  <c r="V2" i="35"/>
  <c r="U2" i="35"/>
  <c r="T2" i="35"/>
  <c r="S2" i="35"/>
  <c r="R2" i="35"/>
  <c r="Q2" i="35"/>
  <c r="P2" i="35"/>
  <c r="M2" i="35" s="1"/>
  <c r="O2" i="35"/>
  <c r="L2" i="35"/>
  <c r="J2" i="35"/>
  <c r="I2" i="35"/>
  <c r="H2" i="35"/>
  <c r="G2" i="35"/>
  <c r="F2" i="35"/>
  <c r="E2" i="35" s="1"/>
  <c r="M134" i="34"/>
  <c r="K134" i="34"/>
  <c r="N134" i="34" s="1"/>
  <c r="E134" i="34"/>
  <c r="B134" i="34"/>
  <c r="M133" i="34"/>
  <c r="K133" i="34"/>
  <c r="N133" i="34" s="1"/>
  <c r="E133" i="34"/>
  <c r="B133" i="34"/>
  <c r="M132" i="34"/>
  <c r="K132" i="34"/>
  <c r="N132" i="34" s="1"/>
  <c r="E132" i="34"/>
  <c r="B132" i="34"/>
  <c r="N131" i="34"/>
  <c r="M131" i="34"/>
  <c r="K131" i="34"/>
  <c r="E131" i="34"/>
  <c r="B131" i="34"/>
  <c r="M130" i="34"/>
  <c r="K130" i="34"/>
  <c r="N130" i="34" s="1"/>
  <c r="E130" i="34"/>
  <c r="B130" i="34"/>
  <c r="M129" i="34"/>
  <c r="K129" i="34"/>
  <c r="N129" i="34" s="1"/>
  <c r="E129" i="34"/>
  <c r="B129" i="34"/>
  <c r="M128" i="34"/>
  <c r="K128" i="34"/>
  <c r="N128" i="34" s="1"/>
  <c r="E128" i="34"/>
  <c r="B128" i="34"/>
  <c r="N127" i="34"/>
  <c r="M127" i="34"/>
  <c r="K127" i="34"/>
  <c r="E127" i="34"/>
  <c r="B127" i="34"/>
  <c r="M126" i="34"/>
  <c r="K126" i="34"/>
  <c r="N126" i="34" s="1"/>
  <c r="E126" i="34"/>
  <c r="B126" i="34"/>
  <c r="M125" i="34"/>
  <c r="K125" i="34"/>
  <c r="N125" i="34" s="1"/>
  <c r="E125" i="34"/>
  <c r="B125" i="34"/>
  <c r="M124" i="34"/>
  <c r="K124" i="34"/>
  <c r="N124" i="34" s="1"/>
  <c r="E124" i="34"/>
  <c r="B124" i="34"/>
  <c r="N123" i="34"/>
  <c r="M123" i="34"/>
  <c r="K123" i="34"/>
  <c r="E123" i="34"/>
  <c r="B123" i="34"/>
  <c r="M122" i="34"/>
  <c r="K122" i="34"/>
  <c r="N122" i="34" s="1"/>
  <c r="E122" i="34"/>
  <c r="B122" i="34"/>
  <c r="M121" i="34"/>
  <c r="K121" i="34"/>
  <c r="N121" i="34" s="1"/>
  <c r="E121" i="34"/>
  <c r="B121" i="34"/>
  <c r="M120" i="34"/>
  <c r="K120" i="34"/>
  <c r="N120" i="34" s="1"/>
  <c r="E120" i="34"/>
  <c r="B120" i="34"/>
  <c r="N119" i="34"/>
  <c r="M119" i="34"/>
  <c r="K119" i="34"/>
  <c r="E119" i="34"/>
  <c r="B119" i="34"/>
  <c r="M118" i="34"/>
  <c r="K118" i="34"/>
  <c r="N118" i="34" s="1"/>
  <c r="E118" i="34"/>
  <c r="B118" i="34"/>
  <c r="M117" i="34"/>
  <c r="K117" i="34"/>
  <c r="N117" i="34" s="1"/>
  <c r="E117" i="34"/>
  <c r="B117" i="34"/>
  <c r="M116" i="34"/>
  <c r="K116" i="34"/>
  <c r="N116" i="34" s="1"/>
  <c r="E116" i="34"/>
  <c r="B116" i="34"/>
  <c r="N115" i="34"/>
  <c r="M115" i="34"/>
  <c r="K115" i="34"/>
  <c r="E115" i="34"/>
  <c r="B115" i="34"/>
  <c r="M114" i="34"/>
  <c r="K114" i="34"/>
  <c r="N114" i="34" s="1"/>
  <c r="E114" i="34"/>
  <c r="B114" i="34"/>
  <c r="M113" i="34"/>
  <c r="K113" i="34"/>
  <c r="N113" i="34" s="1"/>
  <c r="E113" i="34"/>
  <c r="B113" i="34"/>
  <c r="M112" i="34"/>
  <c r="K112" i="34"/>
  <c r="N112" i="34" s="1"/>
  <c r="E112" i="34"/>
  <c r="B112" i="34"/>
  <c r="N111" i="34"/>
  <c r="M111" i="34"/>
  <c r="K111" i="34"/>
  <c r="E111" i="34"/>
  <c r="B111" i="34"/>
  <c r="M110" i="34"/>
  <c r="K110" i="34"/>
  <c r="N110" i="34" s="1"/>
  <c r="E110" i="34"/>
  <c r="B110" i="34"/>
  <c r="M109" i="34"/>
  <c r="K109" i="34"/>
  <c r="N109" i="34" s="1"/>
  <c r="E109" i="34"/>
  <c r="B109" i="34"/>
  <c r="M108" i="34"/>
  <c r="K108" i="34"/>
  <c r="N108" i="34" s="1"/>
  <c r="E108" i="34"/>
  <c r="B108" i="34"/>
  <c r="N107" i="34"/>
  <c r="M107" i="34"/>
  <c r="K107" i="34"/>
  <c r="E107" i="34"/>
  <c r="B107" i="34"/>
  <c r="M106" i="34"/>
  <c r="K106" i="34"/>
  <c r="N106" i="34" s="1"/>
  <c r="E106" i="34"/>
  <c r="B106" i="34"/>
  <c r="M105" i="34"/>
  <c r="K105" i="34"/>
  <c r="N105" i="34" s="1"/>
  <c r="E105" i="34"/>
  <c r="B105" i="34"/>
  <c r="M104" i="34"/>
  <c r="K104" i="34"/>
  <c r="N104" i="34" s="1"/>
  <c r="E104" i="34"/>
  <c r="B104" i="34"/>
  <c r="N103" i="34"/>
  <c r="M103" i="34"/>
  <c r="K103" i="34"/>
  <c r="E103" i="34"/>
  <c r="B103" i="34"/>
  <c r="M102" i="34"/>
  <c r="K102" i="34"/>
  <c r="N102" i="34" s="1"/>
  <c r="E102" i="34"/>
  <c r="B102" i="34"/>
  <c r="M101" i="34"/>
  <c r="K101" i="34"/>
  <c r="N101" i="34" s="1"/>
  <c r="E101" i="34"/>
  <c r="B101" i="34"/>
  <c r="M100" i="34"/>
  <c r="K100" i="34"/>
  <c r="N100" i="34" s="1"/>
  <c r="E100" i="34"/>
  <c r="B100" i="34"/>
  <c r="N99" i="34"/>
  <c r="M99" i="34"/>
  <c r="K99" i="34"/>
  <c r="E99" i="34"/>
  <c r="B99" i="34"/>
  <c r="M98" i="34"/>
  <c r="K98" i="34"/>
  <c r="N98" i="34" s="1"/>
  <c r="E98" i="34"/>
  <c r="B98" i="34"/>
  <c r="M97" i="34"/>
  <c r="K97" i="34"/>
  <c r="N97" i="34" s="1"/>
  <c r="E97" i="34"/>
  <c r="B97" i="34"/>
  <c r="M96" i="34"/>
  <c r="K96" i="34"/>
  <c r="N96" i="34" s="1"/>
  <c r="E96" i="34"/>
  <c r="B96" i="34"/>
  <c r="N95" i="34"/>
  <c r="M95" i="34"/>
  <c r="K95" i="34"/>
  <c r="E95" i="34"/>
  <c r="B95" i="34"/>
  <c r="M94" i="34"/>
  <c r="K94" i="34"/>
  <c r="N94" i="34" s="1"/>
  <c r="E94" i="34"/>
  <c r="B94" i="34"/>
  <c r="M93" i="34"/>
  <c r="K93" i="34"/>
  <c r="N93" i="34" s="1"/>
  <c r="E93" i="34"/>
  <c r="B93" i="34"/>
  <c r="M92" i="34"/>
  <c r="K92" i="34"/>
  <c r="N92" i="34" s="1"/>
  <c r="E92" i="34"/>
  <c r="B92" i="34"/>
  <c r="N91" i="34"/>
  <c r="M91" i="34"/>
  <c r="K91" i="34"/>
  <c r="E91" i="34"/>
  <c r="B91" i="34"/>
  <c r="M90" i="34"/>
  <c r="K90" i="34"/>
  <c r="N90" i="34" s="1"/>
  <c r="E90" i="34"/>
  <c r="B90" i="34"/>
  <c r="M89" i="34"/>
  <c r="K89" i="34"/>
  <c r="N89" i="34" s="1"/>
  <c r="E89" i="34"/>
  <c r="B89" i="34"/>
  <c r="M88" i="34"/>
  <c r="K88" i="34"/>
  <c r="N88" i="34" s="1"/>
  <c r="E88" i="34"/>
  <c r="B88" i="34"/>
  <c r="N87" i="34"/>
  <c r="M87" i="34"/>
  <c r="K87" i="34"/>
  <c r="E87" i="34"/>
  <c r="B87" i="34"/>
  <c r="M86" i="34"/>
  <c r="K86" i="34"/>
  <c r="N86" i="34" s="1"/>
  <c r="E86" i="34"/>
  <c r="B86" i="34"/>
  <c r="M85" i="34"/>
  <c r="K85" i="34"/>
  <c r="N85" i="34" s="1"/>
  <c r="E85" i="34"/>
  <c r="B85" i="34"/>
  <c r="M84" i="34"/>
  <c r="K84" i="34"/>
  <c r="N84" i="34" s="1"/>
  <c r="E84" i="34"/>
  <c r="B84" i="34"/>
  <c r="N83" i="34"/>
  <c r="M83" i="34"/>
  <c r="K83" i="34"/>
  <c r="E83" i="34"/>
  <c r="B83" i="34"/>
  <c r="M82" i="34"/>
  <c r="K82" i="34"/>
  <c r="N82" i="34" s="1"/>
  <c r="E82" i="34"/>
  <c r="B82" i="34"/>
  <c r="M81" i="34"/>
  <c r="K81" i="34"/>
  <c r="N81" i="34" s="1"/>
  <c r="E81" i="34"/>
  <c r="B81" i="34"/>
  <c r="M80" i="34"/>
  <c r="K80" i="34"/>
  <c r="N80" i="34" s="1"/>
  <c r="E80" i="34"/>
  <c r="B80" i="34"/>
  <c r="N79" i="34"/>
  <c r="M79" i="34"/>
  <c r="K79" i="34"/>
  <c r="E79" i="34"/>
  <c r="B79" i="34"/>
  <c r="M78" i="34"/>
  <c r="K78" i="34"/>
  <c r="N78" i="34" s="1"/>
  <c r="E78" i="34"/>
  <c r="B78" i="34"/>
  <c r="M77" i="34"/>
  <c r="K77" i="34"/>
  <c r="N77" i="34" s="1"/>
  <c r="E77" i="34"/>
  <c r="B77" i="34"/>
  <c r="M76" i="34"/>
  <c r="K76" i="34"/>
  <c r="N76" i="34" s="1"/>
  <c r="E76" i="34"/>
  <c r="B76" i="34"/>
  <c r="N75" i="34"/>
  <c r="M75" i="34"/>
  <c r="K75" i="34"/>
  <c r="E75" i="34"/>
  <c r="B75" i="34"/>
  <c r="M74" i="34"/>
  <c r="K74" i="34"/>
  <c r="N74" i="34" s="1"/>
  <c r="E74" i="34"/>
  <c r="B74" i="34"/>
  <c r="M73" i="34"/>
  <c r="K73" i="34"/>
  <c r="N73" i="34" s="1"/>
  <c r="E73" i="34"/>
  <c r="B73" i="34"/>
  <c r="M72" i="34"/>
  <c r="N72" i="34" s="1"/>
  <c r="K72" i="34"/>
  <c r="E72" i="34"/>
  <c r="B72" i="34"/>
  <c r="N71" i="34"/>
  <c r="M71" i="34"/>
  <c r="K71" i="34"/>
  <c r="E71" i="34"/>
  <c r="B71" i="34"/>
  <c r="M70" i="34"/>
  <c r="K70" i="34"/>
  <c r="N70" i="34" s="1"/>
  <c r="E70" i="34"/>
  <c r="B70" i="34"/>
  <c r="M69" i="34"/>
  <c r="K69" i="34"/>
  <c r="N69" i="34" s="1"/>
  <c r="E69" i="34"/>
  <c r="B69" i="34"/>
  <c r="M68" i="34"/>
  <c r="N68" i="34" s="1"/>
  <c r="K68" i="34"/>
  <c r="E68" i="34"/>
  <c r="B68" i="34"/>
  <c r="N67" i="34"/>
  <c r="M67" i="34"/>
  <c r="K67" i="34"/>
  <c r="E67" i="34"/>
  <c r="B67" i="34"/>
  <c r="M66" i="34"/>
  <c r="K66" i="34"/>
  <c r="N66" i="34" s="1"/>
  <c r="E66" i="34"/>
  <c r="B66" i="34"/>
  <c r="M65" i="34"/>
  <c r="K65" i="34"/>
  <c r="N65" i="34" s="1"/>
  <c r="E65" i="34"/>
  <c r="B65" i="34"/>
  <c r="M64" i="34"/>
  <c r="N64" i="34" s="1"/>
  <c r="K64" i="34"/>
  <c r="E64" i="34"/>
  <c r="B64" i="34"/>
  <c r="N63" i="34"/>
  <c r="M63" i="34"/>
  <c r="K63" i="34"/>
  <c r="E63" i="34"/>
  <c r="B63" i="34"/>
  <c r="M62" i="34"/>
  <c r="K62" i="34"/>
  <c r="N62" i="34" s="1"/>
  <c r="E62" i="34"/>
  <c r="B62" i="34"/>
  <c r="M61" i="34"/>
  <c r="K61" i="34"/>
  <c r="N61" i="34" s="1"/>
  <c r="E61" i="34"/>
  <c r="B61" i="34"/>
  <c r="M60" i="34"/>
  <c r="N60" i="34" s="1"/>
  <c r="K60" i="34"/>
  <c r="E60" i="34"/>
  <c r="B60" i="34"/>
  <c r="N59" i="34"/>
  <c r="M59" i="34"/>
  <c r="K59" i="34"/>
  <c r="E59" i="34"/>
  <c r="B59" i="34"/>
  <c r="M58" i="34"/>
  <c r="K58" i="34"/>
  <c r="N58" i="34" s="1"/>
  <c r="E58" i="34"/>
  <c r="B58" i="34"/>
  <c r="M57" i="34"/>
  <c r="K57" i="34"/>
  <c r="N57" i="34" s="1"/>
  <c r="E57" i="34"/>
  <c r="B57" i="34"/>
  <c r="M56" i="34"/>
  <c r="N56" i="34" s="1"/>
  <c r="K56" i="34"/>
  <c r="E56" i="34"/>
  <c r="B56" i="34"/>
  <c r="N55" i="34"/>
  <c r="M55" i="34"/>
  <c r="K55" i="34"/>
  <c r="E55" i="34"/>
  <c r="B55" i="34"/>
  <c r="M54" i="34"/>
  <c r="K54" i="34"/>
  <c r="N54" i="34" s="1"/>
  <c r="E54" i="34"/>
  <c r="B54" i="34"/>
  <c r="M53" i="34"/>
  <c r="K53" i="34"/>
  <c r="N53" i="34" s="1"/>
  <c r="E53" i="34"/>
  <c r="B53" i="34"/>
  <c r="M52" i="34"/>
  <c r="N52" i="34" s="1"/>
  <c r="K52" i="34"/>
  <c r="E52" i="34"/>
  <c r="B52" i="34"/>
  <c r="N51" i="34"/>
  <c r="M51" i="34"/>
  <c r="K51" i="34"/>
  <c r="E51" i="34"/>
  <c r="B51" i="34"/>
  <c r="M50" i="34"/>
  <c r="K50" i="34"/>
  <c r="N50" i="34" s="1"/>
  <c r="E50" i="34"/>
  <c r="B50" i="34"/>
  <c r="M49" i="34"/>
  <c r="K49" i="34"/>
  <c r="N49" i="34" s="1"/>
  <c r="E49" i="34"/>
  <c r="B49" i="34"/>
  <c r="M48" i="34"/>
  <c r="N48" i="34" s="1"/>
  <c r="K48" i="34"/>
  <c r="E48" i="34"/>
  <c r="B48" i="34"/>
  <c r="N47" i="34"/>
  <c r="M47" i="34"/>
  <c r="K47" i="34"/>
  <c r="E47" i="34"/>
  <c r="B47" i="34"/>
  <c r="M46" i="34"/>
  <c r="K46" i="34"/>
  <c r="N46" i="34" s="1"/>
  <c r="E46" i="34"/>
  <c r="B46" i="34"/>
  <c r="M45" i="34"/>
  <c r="K45" i="34"/>
  <c r="N45" i="34" s="1"/>
  <c r="E45" i="34"/>
  <c r="B45" i="34"/>
  <c r="M44" i="34"/>
  <c r="N44" i="34" s="1"/>
  <c r="K44" i="34"/>
  <c r="E44" i="34"/>
  <c r="B44" i="34"/>
  <c r="N43" i="34"/>
  <c r="M43" i="34"/>
  <c r="K43" i="34"/>
  <c r="E43" i="34"/>
  <c r="B43" i="34"/>
  <c r="M42" i="34"/>
  <c r="K42" i="34"/>
  <c r="N42" i="34" s="1"/>
  <c r="E42" i="34"/>
  <c r="B42" i="34"/>
  <c r="M41" i="34"/>
  <c r="K41" i="34"/>
  <c r="N41" i="34" s="1"/>
  <c r="E41" i="34"/>
  <c r="B41" i="34"/>
  <c r="M40" i="34"/>
  <c r="N40" i="34" s="1"/>
  <c r="K40" i="34"/>
  <c r="E40" i="34"/>
  <c r="B40" i="34"/>
  <c r="N39" i="34"/>
  <c r="M39" i="34"/>
  <c r="K39" i="34"/>
  <c r="E39" i="34"/>
  <c r="B39" i="34"/>
  <c r="M38" i="34"/>
  <c r="K38" i="34"/>
  <c r="N38" i="34" s="1"/>
  <c r="E38" i="34"/>
  <c r="B38" i="34"/>
  <c r="M37" i="34"/>
  <c r="K37" i="34"/>
  <c r="N37" i="34" s="1"/>
  <c r="E37" i="34"/>
  <c r="B37" i="34"/>
  <c r="M36" i="34"/>
  <c r="N36" i="34" s="1"/>
  <c r="K36" i="34"/>
  <c r="E36" i="34"/>
  <c r="B36" i="34"/>
  <c r="N35" i="34"/>
  <c r="M35" i="34"/>
  <c r="K35" i="34"/>
  <c r="E35" i="34"/>
  <c r="B35" i="34"/>
  <c r="M34" i="34"/>
  <c r="K34" i="34"/>
  <c r="N34" i="34" s="1"/>
  <c r="E34" i="34"/>
  <c r="B34" i="34"/>
  <c r="M33" i="34"/>
  <c r="K33" i="34"/>
  <c r="N33" i="34" s="1"/>
  <c r="E33" i="34"/>
  <c r="B33" i="34"/>
  <c r="M32" i="34"/>
  <c r="N32" i="34" s="1"/>
  <c r="K32" i="34"/>
  <c r="E32" i="34"/>
  <c r="B32" i="34"/>
  <c r="N31" i="34"/>
  <c r="M31" i="34"/>
  <c r="K31" i="34"/>
  <c r="E31" i="34"/>
  <c r="B31" i="34"/>
  <c r="M30" i="34"/>
  <c r="K30" i="34"/>
  <c r="N30" i="34" s="1"/>
  <c r="E30" i="34"/>
  <c r="B30" i="34"/>
  <c r="M29" i="34"/>
  <c r="K29" i="34"/>
  <c r="N29" i="34" s="1"/>
  <c r="E29" i="34"/>
  <c r="B29" i="34"/>
  <c r="M28" i="34"/>
  <c r="N28" i="34" s="1"/>
  <c r="K28" i="34"/>
  <c r="E28" i="34"/>
  <c r="B28" i="34"/>
  <c r="N27" i="34"/>
  <c r="M27" i="34"/>
  <c r="K27" i="34"/>
  <c r="E27" i="34"/>
  <c r="B27" i="34"/>
  <c r="M26" i="34"/>
  <c r="K26" i="34"/>
  <c r="N26" i="34" s="1"/>
  <c r="E26" i="34"/>
  <c r="B26" i="34"/>
  <c r="M25" i="34"/>
  <c r="K25" i="34"/>
  <c r="N25" i="34" s="1"/>
  <c r="E25" i="34"/>
  <c r="B25" i="34"/>
  <c r="M24" i="34"/>
  <c r="N24" i="34" s="1"/>
  <c r="K24" i="34"/>
  <c r="E24" i="34"/>
  <c r="B24" i="34"/>
  <c r="N23" i="34"/>
  <c r="M23" i="34"/>
  <c r="K23" i="34"/>
  <c r="E23" i="34"/>
  <c r="B23" i="34"/>
  <c r="M22" i="34"/>
  <c r="K22" i="34"/>
  <c r="N22" i="34" s="1"/>
  <c r="E22" i="34"/>
  <c r="B22" i="34"/>
  <c r="M21" i="34"/>
  <c r="K21" i="34"/>
  <c r="N21" i="34" s="1"/>
  <c r="E21" i="34"/>
  <c r="B21" i="34"/>
  <c r="M20" i="34"/>
  <c r="N20" i="34" s="1"/>
  <c r="K20" i="34"/>
  <c r="E20" i="34"/>
  <c r="B20" i="34"/>
  <c r="N19" i="34"/>
  <c r="M19" i="34"/>
  <c r="K19" i="34"/>
  <c r="E19" i="34"/>
  <c r="B19" i="34"/>
  <c r="M18" i="34"/>
  <c r="K18" i="34"/>
  <c r="N18" i="34" s="1"/>
  <c r="E18" i="34"/>
  <c r="B18" i="34"/>
  <c r="M17" i="34"/>
  <c r="K17" i="34"/>
  <c r="N17" i="34" s="1"/>
  <c r="E17" i="34"/>
  <c r="B17" i="34"/>
  <c r="M16" i="34"/>
  <c r="N16" i="34" s="1"/>
  <c r="K16" i="34"/>
  <c r="E16" i="34"/>
  <c r="B16" i="34"/>
  <c r="N15" i="34"/>
  <c r="M15" i="34"/>
  <c r="K15" i="34"/>
  <c r="E15" i="34"/>
  <c r="B15" i="34"/>
  <c r="M14" i="34"/>
  <c r="K14" i="34"/>
  <c r="N14" i="34" s="1"/>
  <c r="E14" i="34"/>
  <c r="B14" i="34"/>
  <c r="M13" i="34"/>
  <c r="K13" i="34"/>
  <c r="N13" i="34" s="1"/>
  <c r="E13" i="34"/>
  <c r="B13" i="34"/>
  <c r="M12" i="34"/>
  <c r="N12" i="34" s="1"/>
  <c r="K12" i="34"/>
  <c r="E12" i="34"/>
  <c r="B12" i="34"/>
  <c r="N11" i="34"/>
  <c r="M11" i="34"/>
  <c r="K11" i="34"/>
  <c r="E11" i="34"/>
  <c r="B11" i="34"/>
  <c r="M10" i="34"/>
  <c r="K10" i="34"/>
  <c r="N10" i="34" s="1"/>
  <c r="E10" i="34"/>
  <c r="B10" i="34"/>
  <c r="M9" i="34"/>
  <c r="K9" i="34"/>
  <c r="N9" i="34" s="1"/>
  <c r="E9" i="34"/>
  <c r="B9" i="34"/>
  <c r="M8" i="34"/>
  <c r="N8" i="34" s="1"/>
  <c r="K8" i="34"/>
  <c r="E8" i="34"/>
  <c r="B8" i="34"/>
  <c r="N7" i="34"/>
  <c r="M7" i="34"/>
  <c r="K7" i="34"/>
  <c r="E7" i="34"/>
  <c r="B7" i="34"/>
  <c r="M6" i="34"/>
  <c r="K6" i="34"/>
  <c r="N6" i="34" s="1"/>
  <c r="E6" i="34"/>
  <c r="B6" i="34"/>
  <c r="M5" i="34"/>
  <c r="K5" i="34"/>
  <c r="E5" i="34"/>
  <c r="B5" i="34"/>
  <c r="M4" i="34"/>
  <c r="K4" i="34"/>
  <c r="N4" i="34" s="1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F2" i="34"/>
  <c r="N134" i="33"/>
  <c r="M134" i="33"/>
  <c r="K134" i="33"/>
  <c r="E134" i="33"/>
  <c r="B134" i="33"/>
  <c r="N133" i="33"/>
  <c r="M133" i="33"/>
  <c r="K133" i="33"/>
  <c r="E133" i="33"/>
  <c r="B133" i="33"/>
  <c r="M132" i="33"/>
  <c r="K132" i="33"/>
  <c r="E132" i="33"/>
  <c r="B132" i="33"/>
  <c r="M131" i="33"/>
  <c r="K131" i="33"/>
  <c r="N131" i="33" s="1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K128" i="33"/>
  <c r="E128" i="33"/>
  <c r="B128" i="33"/>
  <c r="M127" i="33"/>
  <c r="K127" i="33"/>
  <c r="N127" i="33" s="1"/>
  <c r="E127" i="33"/>
  <c r="B127" i="33"/>
  <c r="N126" i="33"/>
  <c r="M126" i="33"/>
  <c r="K126" i="33"/>
  <c r="E126" i="33"/>
  <c r="B126" i="33"/>
  <c r="N125" i="33"/>
  <c r="M125" i="33"/>
  <c r="K125" i="33"/>
  <c r="E125" i="33"/>
  <c r="B125" i="33"/>
  <c r="M124" i="33"/>
  <c r="K124" i="33"/>
  <c r="E124" i="33"/>
  <c r="B124" i="33"/>
  <c r="M123" i="33"/>
  <c r="K123" i="33"/>
  <c r="N123" i="33" s="1"/>
  <c r="E123" i="33"/>
  <c r="B123" i="33"/>
  <c r="N122" i="33"/>
  <c r="M122" i="33"/>
  <c r="K122" i="33"/>
  <c r="E122" i="33"/>
  <c r="B122" i="33"/>
  <c r="N121" i="33"/>
  <c r="M121" i="33"/>
  <c r="K121" i="33"/>
  <c r="E121" i="33"/>
  <c r="B121" i="33"/>
  <c r="M120" i="33"/>
  <c r="K120" i="33"/>
  <c r="E120" i="33"/>
  <c r="B120" i="33"/>
  <c r="M119" i="33"/>
  <c r="K119" i="33"/>
  <c r="N119" i="33" s="1"/>
  <c r="E119" i="33"/>
  <c r="B119" i="33"/>
  <c r="N118" i="33"/>
  <c r="M118" i="33"/>
  <c r="K118" i="33"/>
  <c r="E118" i="33"/>
  <c r="B118" i="33"/>
  <c r="N117" i="33"/>
  <c r="M117" i="33"/>
  <c r="K117" i="33"/>
  <c r="E117" i="33"/>
  <c r="B117" i="33"/>
  <c r="M116" i="33"/>
  <c r="K116" i="33"/>
  <c r="E116" i="33"/>
  <c r="B116" i="33"/>
  <c r="M115" i="33"/>
  <c r="K115" i="33"/>
  <c r="N115" i="33" s="1"/>
  <c r="E115" i="33"/>
  <c r="B115" i="33"/>
  <c r="N114" i="33"/>
  <c r="M114" i="33"/>
  <c r="K114" i="33"/>
  <c r="E114" i="33"/>
  <c r="B114" i="33"/>
  <c r="N113" i="33"/>
  <c r="M113" i="33"/>
  <c r="K113" i="33"/>
  <c r="E113" i="33"/>
  <c r="B113" i="33"/>
  <c r="M112" i="33"/>
  <c r="K112" i="33"/>
  <c r="E112" i="33"/>
  <c r="B112" i="33"/>
  <c r="M111" i="33"/>
  <c r="K111" i="33"/>
  <c r="N111" i="33" s="1"/>
  <c r="E111" i="33"/>
  <c r="B111" i="33"/>
  <c r="N110" i="33"/>
  <c r="M110" i="33"/>
  <c r="K110" i="33"/>
  <c r="E110" i="33"/>
  <c r="B110" i="33"/>
  <c r="N109" i="33"/>
  <c r="M109" i="33"/>
  <c r="K109" i="33"/>
  <c r="E109" i="33"/>
  <c r="B109" i="33"/>
  <c r="M108" i="33"/>
  <c r="K108" i="33"/>
  <c r="E108" i="33"/>
  <c r="B108" i="33"/>
  <c r="M107" i="33"/>
  <c r="K107" i="33"/>
  <c r="N107" i="33" s="1"/>
  <c r="E107" i="33"/>
  <c r="B107" i="33"/>
  <c r="N106" i="33"/>
  <c r="M106" i="33"/>
  <c r="K106" i="33"/>
  <c r="E106" i="33"/>
  <c r="B106" i="33"/>
  <c r="N105" i="33"/>
  <c r="M105" i="33"/>
  <c r="K105" i="33"/>
  <c r="E105" i="33"/>
  <c r="B105" i="33"/>
  <c r="M104" i="33"/>
  <c r="K104" i="33"/>
  <c r="E104" i="33"/>
  <c r="B104" i="33"/>
  <c r="M103" i="33"/>
  <c r="K103" i="33"/>
  <c r="N103" i="33" s="1"/>
  <c r="E103" i="33"/>
  <c r="B103" i="33"/>
  <c r="N102" i="33"/>
  <c r="M102" i="33"/>
  <c r="K102" i="33"/>
  <c r="E102" i="33"/>
  <c r="B102" i="33"/>
  <c r="N101" i="33"/>
  <c r="M101" i="33"/>
  <c r="K101" i="33"/>
  <c r="E101" i="33"/>
  <c r="B101" i="33"/>
  <c r="M100" i="33"/>
  <c r="K100" i="33"/>
  <c r="E100" i="33"/>
  <c r="B100" i="33"/>
  <c r="M99" i="33"/>
  <c r="K99" i="33"/>
  <c r="N99" i="33" s="1"/>
  <c r="E99" i="33"/>
  <c r="B99" i="33"/>
  <c r="N98" i="33"/>
  <c r="M98" i="33"/>
  <c r="K98" i="33"/>
  <c r="E98" i="33"/>
  <c r="B98" i="33"/>
  <c r="N97" i="33"/>
  <c r="M97" i="33"/>
  <c r="K97" i="33"/>
  <c r="E97" i="33"/>
  <c r="B97" i="33"/>
  <c r="M96" i="33"/>
  <c r="K96" i="33"/>
  <c r="E96" i="33"/>
  <c r="B96" i="33"/>
  <c r="M95" i="33"/>
  <c r="K95" i="33"/>
  <c r="N95" i="33" s="1"/>
  <c r="E95" i="33"/>
  <c r="B95" i="33"/>
  <c r="N94" i="33"/>
  <c r="M94" i="33"/>
  <c r="K94" i="33"/>
  <c r="E94" i="33"/>
  <c r="B94" i="33"/>
  <c r="N93" i="33"/>
  <c r="M93" i="33"/>
  <c r="K93" i="33"/>
  <c r="E93" i="33"/>
  <c r="B93" i="33"/>
  <c r="M92" i="33"/>
  <c r="K92" i="33"/>
  <c r="E92" i="33"/>
  <c r="B92" i="33"/>
  <c r="M91" i="33"/>
  <c r="K91" i="33"/>
  <c r="N91" i="33" s="1"/>
  <c r="E91" i="33"/>
  <c r="B91" i="33"/>
  <c r="N90" i="33"/>
  <c r="M90" i="33"/>
  <c r="K90" i="33"/>
  <c r="E90" i="33"/>
  <c r="B90" i="33"/>
  <c r="N89" i="33"/>
  <c r="M89" i="33"/>
  <c r="K89" i="33"/>
  <c r="E89" i="33"/>
  <c r="B89" i="33"/>
  <c r="M88" i="33"/>
  <c r="K88" i="33"/>
  <c r="E88" i="33"/>
  <c r="B88" i="33"/>
  <c r="M87" i="33"/>
  <c r="K87" i="33"/>
  <c r="N87" i="33" s="1"/>
  <c r="E87" i="33"/>
  <c r="B87" i="33"/>
  <c r="N86" i="33"/>
  <c r="M86" i="33"/>
  <c r="K86" i="33"/>
  <c r="E86" i="33"/>
  <c r="B86" i="33"/>
  <c r="N85" i="33"/>
  <c r="M85" i="33"/>
  <c r="K85" i="33"/>
  <c r="E85" i="33"/>
  <c r="B85" i="33"/>
  <c r="M84" i="33"/>
  <c r="K84" i="33"/>
  <c r="E84" i="33"/>
  <c r="B84" i="33"/>
  <c r="M83" i="33"/>
  <c r="K83" i="33"/>
  <c r="N83" i="33" s="1"/>
  <c r="E83" i="33"/>
  <c r="B83" i="33"/>
  <c r="N82" i="33"/>
  <c r="M82" i="33"/>
  <c r="K82" i="33"/>
  <c r="E82" i="33"/>
  <c r="B82" i="33"/>
  <c r="N81" i="33"/>
  <c r="M81" i="33"/>
  <c r="K81" i="33"/>
  <c r="E81" i="33"/>
  <c r="B81" i="33"/>
  <c r="M80" i="33"/>
  <c r="K80" i="33"/>
  <c r="E80" i="33"/>
  <c r="B80" i="33"/>
  <c r="M79" i="33"/>
  <c r="K79" i="33"/>
  <c r="N79" i="33" s="1"/>
  <c r="E79" i="33"/>
  <c r="B79" i="33"/>
  <c r="N78" i="33"/>
  <c r="M78" i="33"/>
  <c r="K78" i="33"/>
  <c r="E78" i="33"/>
  <c r="B78" i="33"/>
  <c r="N77" i="33"/>
  <c r="M77" i="33"/>
  <c r="K77" i="33"/>
  <c r="E77" i="33"/>
  <c r="B77" i="33"/>
  <c r="M76" i="33"/>
  <c r="K76" i="33"/>
  <c r="E76" i="33"/>
  <c r="B76" i="33"/>
  <c r="M75" i="33"/>
  <c r="K75" i="33"/>
  <c r="N75" i="33" s="1"/>
  <c r="E75" i="33"/>
  <c r="B75" i="33"/>
  <c r="N74" i="33"/>
  <c r="M74" i="33"/>
  <c r="K74" i="33"/>
  <c r="E74" i="33"/>
  <c r="B74" i="33"/>
  <c r="N73" i="33"/>
  <c r="M73" i="33"/>
  <c r="K73" i="33"/>
  <c r="E73" i="33"/>
  <c r="B73" i="33"/>
  <c r="M72" i="33"/>
  <c r="K72" i="33"/>
  <c r="E72" i="33"/>
  <c r="B72" i="33"/>
  <c r="M71" i="33"/>
  <c r="K71" i="33"/>
  <c r="N71" i="33" s="1"/>
  <c r="E71" i="33"/>
  <c r="B71" i="33"/>
  <c r="N70" i="33"/>
  <c r="M70" i="33"/>
  <c r="K70" i="33"/>
  <c r="E70" i="33"/>
  <c r="B70" i="33"/>
  <c r="N69" i="33"/>
  <c r="M69" i="33"/>
  <c r="K69" i="33"/>
  <c r="E69" i="33"/>
  <c r="B69" i="33"/>
  <c r="M68" i="33"/>
  <c r="K68" i="33"/>
  <c r="E68" i="33"/>
  <c r="B68" i="33"/>
  <c r="M67" i="33"/>
  <c r="K67" i="33"/>
  <c r="N67" i="33" s="1"/>
  <c r="E67" i="33"/>
  <c r="B67" i="33"/>
  <c r="N66" i="33"/>
  <c r="M66" i="33"/>
  <c r="K66" i="33"/>
  <c r="E66" i="33"/>
  <c r="B66" i="33"/>
  <c r="N65" i="33"/>
  <c r="M65" i="33"/>
  <c r="K65" i="33"/>
  <c r="E65" i="33"/>
  <c r="B65" i="33"/>
  <c r="M64" i="33"/>
  <c r="K64" i="33"/>
  <c r="E64" i="33"/>
  <c r="B64" i="33"/>
  <c r="M63" i="33"/>
  <c r="K63" i="33"/>
  <c r="N63" i="33" s="1"/>
  <c r="E63" i="33"/>
  <c r="B63" i="33"/>
  <c r="N62" i="33"/>
  <c r="M62" i="33"/>
  <c r="K62" i="33"/>
  <c r="E62" i="33"/>
  <c r="B62" i="33"/>
  <c r="N61" i="33"/>
  <c r="M61" i="33"/>
  <c r="K61" i="33"/>
  <c r="E61" i="33"/>
  <c r="B61" i="33"/>
  <c r="M60" i="33"/>
  <c r="K60" i="33"/>
  <c r="E60" i="33"/>
  <c r="B60" i="33"/>
  <c r="M59" i="33"/>
  <c r="K59" i="33"/>
  <c r="N59" i="33" s="1"/>
  <c r="E59" i="33"/>
  <c r="B59" i="33"/>
  <c r="N58" i="33"/>
  <c r="M58" i="33"/>
  <c r="K58" i="33"/>
  <c r="E58" i="33"/>
  <c r="B58" i="33"/>
  <c r="N57" i="33"/>
  <c r="M57" i="33"/>
  <c r="K57" i="33"/>
  <c r="E57" i="33"/>
  <c r="B57" i="33"/>
  <c r="M56" i="33"/>
  <c r="K56" i="33"/>
  <c r="E56" i="33"/>
  <c r="B56" i="33"/>
  <c r="M55" i="33"/>
  <c r="K55" i="33"/>
  <c r="N55" i="33" s="1"/>
  <c r="E55" i="33"/>
  <c r="B55" i="33"/>
  <c r="N54" i="33"/>
  <c r="M54" i="33"/>
  <c r="K54" i="33"/>
  <c r="E54" i="33"/>
  <c r="B54" i="33"/>
  <c r="N53" i="33"/>
  <c r="M53" i="33"/>
  <c r="K53" i="33"/>
  <c r="E53" i="33"/>
  <c r="B53" i="33"/>
  <c r="M52" i="33"/>
  <c r="K52" i="33"/>
  <c r="E52" i="33"/>
  <c r="B52" i="33"/>
  <c r="M51" i="33"/>
  <c r="K51" i="33"/>
  <c r="N51" i="33" s="1"/>
  <c r="E51" i="33"/>
  <c r="B51" i="33"/>
  <c r="N50" i="33"/>
  <c r="M50" i="33"/>
  <c r="K50" i="33"/>
  <c r="E50" i="33"/>
  <c r="B50" i="33"/>
  <c r="N49" i="33"/>
  <c r="M49" i="33"/>
  <c r="K49" i="33"/>
  <c r="E49" i="33"/>
  <c r="B49" i="33"/>
  <c r="M48" i="33"/>
  <c r="K48" i="33"/>
  <c r="E48" i="33"/>
  <c r="B48" i="33"/>
  <c r="M47" i="33"/>
  <c r="K47" i="33"/>
  <c r="N47" i="33" s="1"/>
  <c r="E47" i="33"/>
  <c r="B47" i="33"/>
  <c r="N46" i="33"/>
  <c r="M46" i="33"/>
  <c r="K46" i="33"/>
  <c r="E46" i="33"/>
  <c r="B46" i="33"/>
  <c r="N45" i="33"/>
  <c r="M45" i="33"/>
  <c r="K45" i="33"/>
  <c r="E45" i="33"/>
  <c r="B45" i="33"/>
  <c r="M44" i="33"/>
  <c r="K44" i="33"/>
  <c r="E44" i="33"/>
  <c r="B44" i="33"/>
  <c r="M43" i="33"/>
  <c r="K43" i="33"/>
  <c r="N43" i="33" s="1"/>
  <c r="E43" i="33"/>
  <c r="B43" i="33"/>
  <c r="N42" i="33"/>
  <c r="M42" i="33"/>
  <c r="K42" i="33"/>
  <c r="E42" i="33"/>
  <c r="B42" i="33"/>
  <c r="N41" i="33"/>
  <c r="M41" i="33"/>
  <c r="K41" i="33"/>
  <c r="E41" i="33"/>
  <c r="B41" i="33"/>
  <c r="M40" i="33"/>
  <c r="K40" i="33"/>
  <c r="E40" i="33"/>
  <c r="B40" i="33"/>
  <c r="M39" i="33"/>
  <c r="K39" i="33"/>
  <c r="N39" i="33" s="1"/>
  <c r="E39" i="33"/>
  <c r="B39" i="33"/>
  <c r="N38" i="33"/>
  <c r="M38" i="33"/>
  <c r="K38" i="33"/>
  <c r="E38" i="33"/>
  <c r="B38" i="33"/>
  <c r="N37" i="33"/>
  <c r="M37" i="33"/>
  <c r="K37" i="33"/>
  <c r="E37" i="33"/>
  <c r="B37" i="33"/>
  <c r="M36" i="33"/>
  <c r="K36" i="33"/>
  <c r="E36" i="33"/>
  <c r="B36" i="33"/>
  <c r="M35" i="33"/>
  <c r="K35" i="33"/>
  <c r="N35" i="33" s="1"/>
  <c r="E35" i="33"/>
  <c r="B35" i="33"/>
  <c r="N34" i="33"/>
  <c r="M34" i="33"/>
  <c r="K34" i="33"/>
  <c r="E34" i="33"/>
  <c r="B34" i="33"/>
  <c r="N33" i="33"/>
  <c r="M33" i="33"/>
  <c r="K33" i="33"/>
  <c r="E33" i="33"/>
  <c r="B33" i="33"/>
  <c r="M32" i="33"/>
  <c r="K32" i="33"/>
  <c r="E32" i="33"/>
  <c r="B32" i="33"/>
  <c r="M31" i="33"/>
  <c r="K31" i="33"/>
  <c r="N31" i="33" s="1"/>
  <c r="E31" i="33"/>
  <c r="B31" i="33"/>
  <c r="N30" i="33"/>
  <c r="M30" i="33"/>
  <c r="K30" i="33"/>
  <c r="E30" i="33"/>
  <c r="B30" i="33"/>
  <c r="N29" i="33"/>
  <c r="M29" i="33"/>
  <c r="K29" i="33"/>
  <c r="E29" i="33"/>
  <c r="B29" i="33"/>
  <c r="M28" i="33"/>
  <c r="K28" i="33"/>
  <c r="E28" i="33"/>
  <c r="B28" i="33"/>
  <c r="M27" i="33"/>
  <c r="K27" i="33"/>
  <c r="N27" i="33" s="1"/>
  <c r="E27" i="33"/>
  <c r="B27" i="33"/>
  <c r="N26" i="33"/>
  <c r="M26" i="33"/>
  <c r="K26" i="33"/>
  <c r="E26" i="33"/>
  <c r="B26" i="33"/>
  <c r="N25" i="33"/>
  <c r="M25" i="33"/>
  <c r="K25" i="33"/>
  <c r="E25" i="33"/>
  <c r="B25" i="33"/>
  <c r="M24" i="33"/>
  <c r="K24" i="33"/>
  <c r="E24" i="33"/>
  <c r="B24" i="33"/>
  <c r="M23" i="33"/>
  <c r="K23" i="33"/>
  <c r="N23" i="33" s="1"/>
  <c r="E23" i="33"/>
  <c r="B23" i="33"/>
  <c r="N22" i="33"/>
  <c r="M22" i="33"/>
  <c r="K22" i="33"/>
  <c r="E22" i="33"/>
  <c r="B22" i="33"/>
  <c r="N21" i="33"/>
  <c r="M21" i="33"/>
  <c r="K21" i="33"/>
  <c r="E21" i="33"/>
  <c r="B21" i="33"/>
  <c r="M20" i="33"/>
  <c r="K20" i="33"/>
  <c r="E20" i="33"/>
  <c r="B20" i="33"/>
  <c r="M19" i="33"/>
  <c r="K19" i="33"/>
  <c r="N19" i="33" s="1"/>
  <c r="E19" i="33"/>
  <c r="B19" i="33"/>
  <c r="N18" i="33"/>
  <c r="M18" i="33"/>
  <c r="K18" i="33"/>
  <c r="E18" i="33"/>
  <c r="B18" i="33"/>
  <c r="N17" i="33"/>
  <c r="M17" i="33"/>
  <c r="K17" i="33"/>
  <c r="E17" i="33"/>
  <c r="B17" i="33"/>
  <c r="M16" i="33"/>
  <c r="K16" i="33"/>
  <c r="E16" i="33"/>
  <c r="B16" i="33"/>
  <c r="M15" i="33"/>
  <c r="K15" i="33"/>
  <c r="N15" i="33" s="1"/>
  <c r="E15" i="33"/>
  <c r="B15" i="33"/>
  <c r="N14" i="33"/>
  <c r="M14" i="33"/>
  <c r="K14" i="33"/>
  <c r="E14" i="33"/>
  <c r="B14" i="33"/>
  <c r="N13" i="33"/>
  <c r="M13" i="33"/>
  <c r="K13" i="33"/>
  <c r="E13" i="33"/>
  <c r="B13" i="33"/>
  <c r="M12" i="33"/>
  <c r="K12" i="33"/>
  <c r="E12" i="33"/>
  <c r="B12" i="33"/>
  <c r="M11" i="33"/>
  <c r="K11" i="33"/>
  <c r="N11" i="33" s="1"/>
  <c r="E11" i="33"/>
  <c r="B11" i="33"/>
  <c r="N10" i="33"/>
  <c r="M10" i="33"/>
  <c r="K10" i="33"/>
  <c r="E10" i="33"/>
  <c r="B10" i="33"/>
  <c r="N9" i="33"/>
  <c r="M9" i="33"/>
  <c r="K9" i="33"/>
  <c r="E9" i="33"/>
  <c r="B9" i="33"/>
  <c r="M8" i="33"/>
  <c r="K8" i="33"/>
  <c r="E8" i="33"/>
  <c r="B8" i="33"/>
  <c r="M7" i="33"/>
  <c r="K7" i="33"/>
  <c r="N7" i="33" s="1"/>
  <c r="E7" i="33"/>
  <c r="B7" i="33"/>
  <c r="N6" i="33"/>
  <c r="M6" i="33"/>
  <c r="K6" i="33"/>
  <c r="E6" i="33"/>
  <c r="B6" i="33"/>
  <c r="N5" i="33"/>
  <c r="M5" i="33"/>
  <c r="K5" i="33"/>
  <c r="E5" i="33"/>
  <c r="B5" i="33"/>
  <c r="M4" i="33"/>
  <c r="K4" i="33"/>
  <c r="K2" i="33" s="1"/>
  <c r="E4" i="33"/>
  <c r="B4" i="33"/>
  <c r="V2" i="33"/>
  <c r="U2" i="33"/>
  <c r="T2" i="33"/>
  <c r="S2" i="33"/>
  <c r="R2" i="33"/>
  <c r="M2" i="33" s="1"/>
  <c r="Q2" i="33"/>
  <c r="P2" i="33"/>
  <c r="O2" i="33"/>
  <c r="L2" i="33"/>
  <c r="J2" i="33"/>
  <c r="I2" i="33"/>
  <c r="H2" i="33"/>
  <c r="G2" i="33"/>
  <c r="N2" i="33" s="1"/>
  <c r="F2" i="33"/>
  <c r="E2" i="33"/>
  <c r="E134" i="25"/>
  <c r="B134" i="25"/>
  <c r="E133" i="25"/>
  <c r="B133" i="25"/>
  <c r="E132" i="25"/>
  <c r="B132" i="25"/>
  <c r="E131" i="25"/>
  <c r="B131" i="25"/>
  <c r="E130" i="25"/>
  <c r="B130" i="25"/>
  <c r="E129" i="25"/>
  <c r="B129" i="25"/>
  <c r="E128" i="25"/>
  <c r="B128" i="25"/>
  <c r="E127" i="25"/>
  <c r="B127" i="25"/>
  <c r="E126" i="25"/>
  <c r="B126" i="25"/>
  <c r="E125" i="25"/>
  <c r="B125" i="25"/>
  <c r="E124" i="25"/>
  <c r="B124" i="25"/>
  <c r="E123" i="25"/>
  <c r="B123" i="25"/>
  <c r="E122" i="25"/>
  <c r="B122" i="25"/>
  <c r="E121" i="25"/>
  <c r="B121" i="25"/>
  <c r="E120" i="25"/>
  <c r="B120" i="25"/>
  <c r="E119" i="25"/>
  <c r="B119" i="25"/>
  <c r="E118" i="25"/>
  <c r="B118" i="25"/>
  <c r="E117" i="25"/>
  <c r="B117" i="25"/>
  <c r="E116" i="25"/>
  <c r="B116" i="25"/>
  <c r="E115" i="25"/>
  <c r="B115" i="25"/>
  <c r="E114" i="25"/>
  <c r="B114" i="25"/>
  <c r="E113" i="25"/>
  <c r="B113" i="25"/>
  <c r="E112" i="25"/>
  <c r="B112" i="25"/>
  <c r="E111" i="25"/>
  <c r="B111" i="25"/>
  <c r="E110" i="25"/>
  <c r="B110" i="25"/>
  <c r="E109" i="25"/>
  <c r="B109" i="25"/>
  <c r="E108" i="25"/>
  <c r="B108" i="25"/>
  <c r="E107" i="25"/>
  <c r="B107" i="25"/>
  <c r="E106" i="25"/>
  <c r="B106" i="25"/>
  <c r="E105" i="25"/>
  <c r="B105" i="25"/>
  <c r="E104" i="25"/>
  <c r="B104" i="25"/>
  <c r="E103" i="25"/>
  <c r="B103" i="25"/>
  <c r="E102" i="25"/>
  <c r="B102" i="25"/>
  <c r="E101" i="25"/>
  <c r="B101" i="25"/>
  <c r="E100" i="25"/>
  <c r="B100" i="25"/>
  <c r="E99" i="25"/>
  <c r="B99" i="25"/>
  <c r="E98" i="25"/>
  <c r="B98" i="25"/>
  <c r="E97" i="25"/>
  <c r="B97" i="25"/>
  <c r="E96" i="25"/>
  <c r="B96" i="25"/>
  <c r="E95" i="25"/>
  <c r="B95" i="25"/>
  <c r="E94" i="25"/>
  <c r="B94" i="25"/>
  <c r="E93" i="25"/>
  <c r="B93" i="25"/>
  <c r="E92" i="25"/>
  <c r="B92" i="25"/>
  <c r="E91" i="25"/>
  <c r="B91" i="25"/>
  <c r="E90" i="25"/>
  <c r="B90" i="25"/>
  <c r="E89" i="25"/>
  <c r="B89" i="25"/>
  <c r="E88" i="25"/>
  <c r="B88" i="25"/>
  <c r="E87" i="25"/>
  <c r="B87" i="25"/>
  <c r="E86" i="25"/>
  <c r="B86" i="25"/>
  <c r="E85" i="25"/>
  <c r="B85" i="25"/>
  <c r="E84" i="25"/>
  <c r="B84" i="25"/>
  <c r="E83" i="25"/>
  <c r="B83" i="25"/>
  <c r="E82" i="25"/>
  <c r="B82" i="25"/>
  <c r="E81" i="25"/>
  <c r="B81" i="25"/>
  <c r="E80" i="25"/>
  <c r="B80" i="25"/>
  <c r="E79" i="25"/>
  <c r="B79" i="25"/>
  <c r="E78" i="25"/>
  <c r="B78" i="25"/>
  <c r="E77" i="25"/>
  <c r="B77" i="25"/>
  <c r="E76" i="25"/>
  <c r="B76" i="25"/>
  <c r="E75" i="25"/>
  <c r="B75" i="25"/>
  <c r="E74" i="25"/>
  <c r="B74" i="25"/>
  <c r="E73" i="25"/>
  <c r="B73" i="25"/>
  <c r="E72" i="25"/>
  <c r="B72" i="25"/>
  <c r="E71" i="25"/>
  <c r="B71" i="25"/>
  <c r="E70" i="25"/>
  <c r="B70" i="25"/>
  <c r="E69" i="25"/>
  <c r="B69" i="25"/>
  <c r="E68" i="25"/>
  <c r="B68" i="25"/>
  <c r="E67" i="25"/>
  <c r="B67" i="25"/>
  <c r="E66" i="25"/>
  <c r="B66" i="25"/>
  <c r="E65" i="25"/>
  <c r="B65" i="25"/>
  <c r="E64" i="25"/>
  <c r="B64" i="25"/>
  <c r="E63" i="25"/>
  <c r="B63" i="25"/>
  <c r="E62" i="25"/>
  <c r="B62" i="25"/>
  <c r="E61" i="25"/>
  <c r="B61" i="25"/>
  <c r="E60" i="25"/>
  <c r="B60" i="25"/>
  <c r="E59" i="25"/>
  <c r="B59" i="25"/>
  <c r="E58" i="25"/>
  <c r="B58" i="25"/>
  <c r="E57" i="25"/>
  <c r="B57" i="25"/>
  <c r="E56" i="25"/>
  <c r="B56" i="25"/>
  <c r="E55" i="25"/>
  <c r="B55" i="25"/>
  <c r="E54" i="25"/>
  <c r="B54" i="25"/>
  <c r="E53" i="25"/>
  <c r="B53" i="25"/>
  <c r="E52" i="25"/>
  <c r="B52" i="25"/>
  <c r="E51" i="25"/>
  <c r="B51" i="25"/>
  <c r="E50" i="25"/>
  <c r="B50" i="25"/>
  <c r="E49" i="25"/>
  <c r="B49" i="25"/>
  <c r="E48" i="25"/>
  <c r="B48" i="25"/>
  <c r="E47" i="25"/>
  <c r="B47" i="25"/>
  <c r="E46" i="25"/>
  <c r="B46" i="25"/>
  <c r="E45" i="25"/>
  <c r="B45" i="25"/>
  <c r="E44" i="25"/>
  <c r="B44" i="25"/>
  <c r="E43" i="25"/>
  <c r="B43" i="25"/>
  <c r="E42" i="25"/>
  <c r="B42" i="25"/>
  <c r="E41" i="25"/>
  <c r="B41" i="25"/>
  <c r="E40" i="25"/>
  <c r="B40" i="25"/>
  <c r="E39" i="25"/>
  <c r="B39" i="25"/>
  <c r="E38" i="25"/>
  <c r="B38" i="25"/>
  <c r="E37" i="25"/>
  <c r="B37" i="25"/>
  <c r="E36" i="25"/>
  <c r="B36" i="25"/>
  <c r="E35" i="25"/>
  <c r="B35" i="25"/>
  <c r="E34" i="25"/>
  <c r="B34" i="25"/>
  <c r="E33" i="25"/>
  <c r="B33" i="25"/>
  <c r="E32" i="25"/>
  <c r="B32" i="25"/>
  <c r="E31" i="25"/>
  <c r="B31" i="25"/>
  <c r="E30" i="25"/>
  <c r="B30" i="25"/>
  <c r="E29" i="25"/>
  <c r="B29" i="25"/>
  <c r="E28" i="25"/>
  <c r="B28" i="25"/>
  <c r="E27" i="25"/>
  <c r="B27" i="25"/>
  <c r="E26" i="25"/>
  <c r="B26" i="25"/>
  <c r="E25" i="25"/>
  <c r="B25" i="25"/>
  <c r="E24" i="25"/>
  <c r="B24" i="25"/>
  <c r="E23" i="25"/>
  <c r="B23" i="25"/>
  <c r="E22" i="25"/>
  <c r="B22" i="25"/>
  <c r="E21" i="25"/>
  <c r="B21" i="25"/>
  <c r="E20" i="25"/>
  <c r="B20" i="25"/>
  <c r="E19" i="25"/>
  <c r="B19" i="25"/>
  <c r="E18" i="25"/>
  <c r="B18" i="25"/>
  <c r="E17" i="25"/>
  <c r="B17" i="25"/>
  <c r="E16" i="25"/>
  <c r="B16" i="25"/>
  <c r="E15" i="25"/>
  <c r="B15" i="25"/>
  <c r="E14" i="25"/>
  <c r="B14" i="25"/>
  <c r="E13" i="25"/>
  <c r="B13" i="25"/>
  <c r="E12" i="25"/>
  <c r="B12" i="25"/>
  <c r="E11" i="25"/>
  <c r="B11" i="25"/>
  <c r="E10" i="25"/>
  <c r="B10" i="25"/>
  <c r="E9" i="25"/>
  <c r="B9" i="25"/>
  <c r="E8" i="25"/>
  <c r="B8" i="25"/>
  <c r="E7" i="25"/>
  <c r="B7" i="25"/>
  <c r="E6" i="25"/>
  <c r="B6" i="25"/>
  <c r="M5" i="25"/>
  <c r="K5" i="25"/>
  <c r="N5" i="25" s="1"/>
  <c r="E5" i="25"/>
  <c r="B5" i="25"/>
  <c r="N4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N134" i="32"/>
  <c r="M134" i="32"/>
  <c r="K134" i="32"/>
  <c r="E134" i="32"/>
  <c r="B134" i="32"/>
  <c r="M133" i="32"/>
  <c r="K133" i="32"/>
  <c r="E133" i="32"/>
  <c r="B133" i="32"/>
  <c r="N132" i="32"/>
  <c r="M132" i="32"/>
  <c r="K132" i="32"/>
  <c r="E132" i="32"/>
  <c r="B132" i="32"/>
  <c r="N131" i="32"/>
  <c r="M131" i="32"/>
  <c r="K131" i="32"/>
  <c r="E131" i="32"/>
  <c r="B131" i="32"/>
  <c r="N130" i="32"/>
  <c r="M130" i="32"/>
  <c r="K130" i="32"/>
  <c r="E130" i="32"/>
  <c r="B130" i="32"/>
  <c r="M129" i="32"/>
  <c r="K129" i="32"/>
  <c r="E129" i="32"/>
  <c r="B129" i="32"/>
  <c r="N128" i="32"/>
  <c r="M128" i="32"/>
  <c r="K128" i="32"/>
  <c r="E128" i="32"/>
  <c r="B128" i="32"/>
  <c r="N127" i="32"/>
  <c r="M127" i="32"/>
  <c r="K127" i="32"/>
  <c r="E127" i="32"/>
  <c r="B127" i="32"/>
  <c r="N126" i="32"/>
  <c r="M126" i="32"/>
  <c r="K126" i="32"/>
  <c r="E126" i="32"/>
  <c r="B126" i="32"/>
  <c r="M125" i="32"/>
  <c r="K125" i="32"/>
  <c r="N125" i="32" s="1"/>
  <c r="E125" i="32"/>
  <c r="B125" i="32"/>
  <c r="N124" i="32"/>
  <c r="M124" i="32"/>
  <c r="K124" i="32"/>
  <c r="E124" i="32"/>
  <c r="B124" i="32"/>
  <c r="N123" i="32"/>
  <c r="M123" i="32"/>
  <c r="K123" i="32"/>
  <c r="E123" i="32"/>
  <c r="B123" i="32"/>
  <c r="N122" i="32"/>
  <c r="M122" i="32"/>
  <c r="K122" i="32"/>
  <c r="E122" i="32"/>
  <c r="B122" i="32"/>
  <c r="M121" i="32"/>
  <c r="K121" i="32"/>
  <c r="E121" i="32"/>
  <c r="B121" i="32"/>
  <c r="N120" i="32"/>
  <c r="M120" i="32"/>
  <c r="K120" i="32"/>
  <c r="E120" i="32"/>
  <c r="B120" i="32"/>
  <c r="M119" i="32"/>
  <c r="N119" i="32" s="1"/>
  <c r="K119" i="32"/>
  <c r="E119" i="32"/>
  <c r="B119" i="32"/>
  <c r="N118" i="32"/>
  <c r="M118" i="32"/>
  <c r="K118" i="32"/>
  <c r="E118" i="32"/>
  <c r="B118" i="32"/>
  <c r="M117" i="32"/>
  <c r="K117" i="32"/>
  <c r="E117" i="32"/>
  <c r="B117" i="32"/>
  <c r="N116" i="32"/>
  <c r="M116" i="32"/>
  <c r="K116" i="32"/>
  <c r="E116" i="32"/>
  <c r="B116" i="32"/>
  <c r="M115" i="32"/>
  <c r="N115" i="32" s="1"/>
  <c r="K115" i="32"/>
  <c r="E115" i="32"/>
  <c r="B115" i="32"/>
  <c r="N114" i="32"/>
  <c r="M114" i="32"/>
  <c r="K114" i="32"/>
  <c r="E114" i="32"/>
  <c r="B114" i="32"/>
  <c r="M113" i="32"/>
  <c r="K113" i="32"/>
  <c r="N113" i="32" s="1"/>
  <c r="E113" i="32"/>
  <c r="B113" i="32"/>
  <c r="N112" i="32"/>
  <c r="M112" i="32"/>
  <c r="K112" i="32"/>
  <c r="E112" i="32"/>
  <c r="B112" i="32"/>
  <c r="M111" i="32"/>
  <c r="N111" i="32" s="1"/>
  <c r="K111" i="32"/>
  <c r="E111" i="32"/>
  <c r="B111" i="32"/>
  <c r="N110" i="32"/>
  <c r="M110" i="32"/>
  <c r="K110" i="32"/>
  <c r="E110" i="32"/>
  <c r="B110" i="32"/>
  <c r="M109" i="32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N106" i="32"/>
  <c r="M106" i="32"/>
  <c r="K106" i="32"/>
  <c r="E106" i="32"/>
  <c r="B106" i="32"/>
  <c r="M105" i="32"/>
  <c r="K105" i="32"/>
  <c r="E105" i="32"/>
  <c r="B105" i="32"/>
  <c r="N104" i="32"/>
  <c r="M104" i="32"/>
  <c r="K104" i="32"/>
  <c r="E104" i="32"/>
  <c r="B104" i="32"/>
  <c r="M103" i="32"/>
  <c r="N103" i="32" s="1"/>
  <c r="K103" i="32"/>
  <c r="E103" i="32"/>
  <c r="B103" i="32"/>
  <c r="N102" i="32"/>
  <c r="M102" i="32"/>
  <c r="K102" i="32"/>
  <c r="E102" i="32"/>
  <c r="B102" i="32"/>
  <c r="M101" i="32"/>
  <c r="K101" i="32"/>
  <c r="E101" i="32"/>
  <c r="B101" i="32"/>
  <c r="N100" i="32"/>
  <c r="M100" i="32"/>
  <c r="K100" i="32"/>
  <c r="E100" i="32"/>
  <c r="B100" i="32"/>
  <c r="M99" i="32"/>
  <c r="N99" i="32" s="1"/>
  <c r="K99" i="32"/>
  <c r="E99" i="32"/>
  <c r="B99" i="32"/>
  <c r="N98" i="32"/>
  <c r="M98" i="32"/>
  <c r="K98" i="32"/>
  <c r="E98" i="32"/>
  <c r="B98" i="32"/>
  <c r="M97" i="32"/>
  <c r="K97" i="32"/>
  <c r="N97" i="32" s="1"/>
  <c r="E97" i="32"/>
  <c r="B97" i="32"/>
  <c r="N96" i="32"/>
  <c r="M96" i="32"/>
  <c r="K96" i="32"/>
  <c r="E96" i="32"/>
  <c r="B96" i="32"/>
  <c r="M95" i="32"/>
  <c r="N95" i="32" s="1"/>
  <c r="K95" i="32"/>
  <c r="E95" i="32"/>
  <c r="B95" i="32"/>
  <c r="N94" i="32"/>
  <c r="M94" i="32"/>
  <c r="K94" i="32"/>
  <c r="E94" i="32"/>
  <c r="B94" i="32"/>
  <c r="M93" i="32"/>
  <c r="K93" i="32"/>
  <c r="E93" i="32"/>
  <c r="B93" i="32"/>
  <c r="N92" i="32"/>
  <c r="M92" i="32"/>
  <c r="K92" i="32"/>
  <c r="E92" i="32"/>
  <c r="B92" i="32"/>
  <c r="M91" i="32"/>
  <c r="N91" i="32" s="1"/>
  <c r="K91" i="32"/>
  <c r="E91" i="32"/>
  <c r="B91" i="32"/>
  <c r="N90" i="32"/>
  <c r="M90" i="32"/>
  <c r="K90" i="32"/>
  <c r="E90" i="32"/>
  <c r="B90" i="32"/>
  <c r="M89" i="32"/>
  <c r="K89" i="32"/>
  <c r="E89" i="32"/>
  <c r="B89" i="32"/>
  <c r="N88" i="32"/>
  <c r="M88" i="32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K85" i="32"/>
  <c r="E85" i="32"/>
  <c r="B85" i="32"/>
  <c r="N84" i="32"/>
  <c r="M84" i="32"/>
  <c r="K84" i="32"/>
  <c r="E84" i="32"/>
  <c r="B84" i="32"/>
  <c r="M83" i="32"/>
  <c r="N83" i="32" s="1"/>
  <c r="K83" i="32"/>
  <c r="E83" i="32"/>
  <c r="B83" i="32"/>
  <c r="N82" i="32"/>
  <c r="M82" i="32"/>
  <c r="K82" i="32"/>
  <c r="E82" i="32"/>
  <c r="B82" i="32"/>
  <c r="M81" i="32"/>
  <c r="K81" i="32"/>
  <c r="N81" i="32" s="1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N78" i="32"/>
  <c r="M78" i="32"/>
  <c r="K78" i="32"/>
  <c r="E78" i="32"/>
  <c r="B78" i="32"/>
  <c r="M77" i="32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M73" i="32"/>
  <c r="K73" i="32"/>
  <c r="E73" i="32"/>
  <c r="B73" i="32"/>
  <c r="N72" i="32"/>
  <c r="M72" i="32"/>
  <c r="K72" i="32"/>
  <c r="E72" i="32"/>
  <c r="B72" i="32"/>
  <c r="M71" i="32"/>
  <c r="N71" i="32" s="1"/>
  <c r="K71" i="32"/>
  <c r="E71" i="32"/>
  <c r="B71" i="32"/>
  <c r="N70" i="32"/>
  <c r="M70" i="32"/>
  <c r="K70" i="32"/>
  <c r="E70" i="32"/>
  <c r="B70" i="32"/>
  <c r="M69" i="32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K65" i="32"/>
  <c r="E65" i="32"/>
  <c r="B65" i="32"/>
  <c r="N64" i="32"/>
  <c r="M64" i="32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K53" i="32"/>
  <c r="E53" i="32"/>
  <c r="B53" i="32"/>
  <c r="N52" i="32"/>
  <c r="M52" i="32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K49" i="32"/>
  <c r="N49" i="32" s="1"/>
  <c r="E49" i="32"/>
  <c r="B49" i="32"/>
  <c r="N48" i="32"/>
  <c r="M48" i="32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K45" i="32"/>
  <c r="N45" i="32" s="1"/>
  <c r="E45" i="32"/>
  <c r="B45" i="32"/>
  <c r="N44" i="32"/>
  <c r="M44" i="32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K41" i="32"/>
  <c r="N41" i="32" s="1"/>
  <c r="E41" i="32"/>
  <c r="B41" i="32"/>
  <c r="N40" i="32"/>
  <c r="M40" i="32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K37" i="32"/>
  <c r="E37" i="32"/>
  <c r="B37" i="32"/>
  <c r="N36" i="32"/>
  <c r="M36" i="32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K29" i="32"/>
  <c r="E29" i="32"/>
  <c r="B29" i="32"/>
  <c r="N28" i="32"/>
  <c r="M28" i="32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K25" i="32"/>
  <c r="E25" i="32"/>
  <c r="B25" i="32"/>
  <c r="N24" i="32"/>
  <c r="M24" i="32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K21" i="32"/>
  <c r="E21" i="32"/>
  <c r="B21" i="32"/>
  <c r="N20" i="32"/>
  <c r="M20" i="32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K17" i="32"/>
  <c r="N17" i="32" s="1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K13" i="32"/>
  <c r="N13" i="32" s="1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K9" i="32"/>
  <c r="N9" i="32" s="1"/>
  <c r="E9" i="32"/>
  <c r="B9" i="32"/>
  <c r="N8" i="32"/>
  <c r="M8" i="32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K5" i="32"/>
  <c r="K2" i="32" s="1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M2" i="32" s="1"/>
  <c r="P2" i="32"/>
  <c r="O2" i="32"/>
  <c r="L2" i="32"/>
  <c r="J2" i="32"/>
  <c r="I2" i="32"/>
  <c r="H2" i="32"/>
  <c r="G2" i="32"/>
  <c r="F2" i="32"/>
  <c r="E2" i="32"/>
  <c r="M165" i="31"/>
  <c r="K165" i="31"/>
  <c r="N165" i="31" s="1"/>
  <c r="E165" i="31"/>
  <c r="B165" i="31"/>
  <c r="N164" i="31"/>
  <c r="M164" i="31"/>
  <c r="K164" i="31"/>
  <c r="E164" i="31"/>
  <c r="B164" i="31"/>
  <c r="M163" i="31"/>
  <c r="K163" i="31"/>
  <c r="N163" i="31" s="1"/>
  <c r="E163" i="31"/>
  <c r="B163" i="31"/>
  <c r="N162" i="31"/>
  <c r="M162" i="31"/>
  <c r="K162" i="31"/>
  <c r="E162" i="31"/>
  <c r="B162" i="31"/>
  <c r="M161" i="31"/>
  <c r="K161" i="31"/>
  <c r="N161" i="31" s="1"/>
  <c r="E161" i="31"/>
  <c r="B161" i="31"/>
  <c r="N160" i="31"/>
  <c r="M160" i="31"/>
  <c r="K160" i="31"/>
  <c r="E160" i="31"/>
  <c r="B160" i="31"/>
  <c r="M159" i="31"/>
  <c r="K159" i="31"/>
  <c r="N159" i="31" s="1"/>
  <c r="E159" i="31"/>
  <c r="B159" i="31"/>
  <c r="N158" i="31"/>
  <c r="M158" i="31"/>
  <c r="K158" i="31"/>
  <c r="E158" i="31"/>
  <c r="B158" i="31"/>
  <c r="M157" i="31"/>
  <c r="K157" i="31"/>
  <c r="N157" i="31" s="1"/>
  <c r="E157" i="31"/>
  <c r="B157" i="31"/>
  <c r="N156" i="31"/>
  <c r="M156" i="31"/>
  <c r="K156" i="31"/>
  <c r="E156" i="31"/>
  <c r="B156" i="31"/>
  <c r="M155" i="31"/>
  <c r="K155" i="31"/>
  <c r="N155" i="31" s="1"/>
  <c r="E155" i="31"/>
  <c r="B155" i="31"/>
  <c r="N154" i="31"/>
  <c r="M154" i="31"/>
  <c r="K154" i="31"/>
  <c r="E154" i="31"/>
  <c r="B154" i="31"/>
  <c r="M153" i="31"/>
  <c r="K153" i="31"/>
  <c r="N153" i="31" s="1"/>
  <c r="E153" i="31"/>
  <c r="B153" i="31"/>
  <c r="N152" i="31"/>
  <c r="M152" i="31"/>
  <c r="K152" i="31"/>
  <c r="E152" i="31"/>
  <c r="B152" i="31"/>
  <c r="M151" i="31"/>
  <c r="K151" i="31"/>
  <c r="N151" i="31" s="1"/>
  <c r="E151" i="31"/>
  <c r="B151" i="31"/>
  <c r="N150" i="31"/>
  <c r="M150" i="31"/>
  <c r="K150" i="31"/>
  <c r="E150" i="31"/>
  <c r="B150" i="31"/>
  <c r="M149" i="31"/>
  <c r="K149" i="31"/>
  <c r="N149" i="31" s="1"/>
  <c r="E149" i="31"/>
  <c r="B149" i="31"/>
  <c r="N148" i="31"/>
  <c r="M148" i="31"/>
  <c r="K148" i="31"/>
  <c r="E148" i="31"/>
  <c r="B148" i="31"/>
  <c r="M147" i="31"/>
  <c r="K147" i="31"/>
  <c r="N147" i="31" s="1"/>
  <c r="E147" i="31"/>
  <c r="B147" i="31"/>
  <c r="N146" i="31"/>
  <c r="M146" i="31"/>
  <c r="K146" i="31"/>
  <c r="E146" i="31"/>
  <c r="B146" i="31"/>
  <c r="M145" i="31"/>
  <c r="K145" i="31"/>
  <c r="N145" i="31" s="1"/>
  <c r="E145" i="31"/>
  <c r="B145" i="31"/>
  <c r="N144" i="31"/>
  <c r="M144" i="31"/>
  <c r="K144" i="31"/>
  <c r="E144" i="31"/>
  <c r="B144" i="31"/>
  <c r="M143" i="31"/>
  <c r="K143" i="31"/>
  <c r="N143" i="31" s="1"/>
  <c r="E143" i="31"/>
  <c r="B143" i="31"/>
  <c r="N142" i="31"/>
  <c r="M142" i="31"/>
  <c r="K142" i="31"/>
  <c r="E142" i="31"/>
  <c r="B142" i="31"/>
  <c r="M141" i="31"/>
  <c r="K141" i="31"/>
  <c r="N141" i="31" s="1"/>
  <c r="E141" i="31"/>
  <c r="B141" i="31"/>
  <c r="N140" i="31"/>
  <c r="M140" i="31"/>
  <c r="K140" i="31"/>
  <c r="E140" i="31"/>
  <c r="B140" i="31"/>
  <c r="M139" i="31"/>
  <c r="K139" i="31"/>
  <c r="N139" i="31" s="1"/>
  <c r="E139" i="31"/>
  <c r="B139" i="31"/>
  <c r="N138" i="31"/>
  <c r="M138" i="31"/>
  <c r="K138" i="31"/>
  <c r="E138" i="31"/>
  <c r="B138" i="31"/>
  <c r="M137" i="31"/>
  <c r="K137" i="31"/>
  <c r="N137" i="31" s="1"/>
  <c r="E137" i="31"/>
  <c r="B137" i="31"/>
  <c r="N136" i="31"/>
  <c r="M136" i="31"/>
  <c r="K136" i="31"/>
  <c r="E136" i="31"/>
  <c r="B136" i="31"/>
  <c r="M135" i="31"/>
  <c r="K135" i="31"/>
  <c r="E135" i="31"/>
  <c r="B135" i="31"/>
  <c r="N134" i="31"/>
  <c r="M134" i="31"/>
  <c r="K134" i="31"/>
  <c r="E134" i="31"/>
  <c r="B134" i="31"/>
  <c r="M133" i="31"/>
  <c r="K133" i="31"/>
  <c r="N133" i="31" s="1"/>
  <c r="E133" i="31"/>
  <c r="B133" i="31"/>
  <c r="N132" i="31"/>
  <c r="M132" i="31"/>
  <c r="K132" i="31"/>
  <c r="E132" i="31"/>
  <c r="B132" i="31"/>
  <c r="M131" i="31"/>
  <c r="K131" i="31"/>
  <c r="N131" i="31" s="1"/>
  <c r="E131" i="31"/>
  <c r="B131" i="31"/>
  <c r="N130" i="31"/>
  <c r="M130" i="31"/>
  <c r="K130" i="31"/>
  <c r="E130" i="31"/>
  <c r="B130" i="31"/>
  <c r="M129" i="31"/>
  <c r="K129" i="31"/>
  <c r="N129" i="31" s="1"/>
  <c r="E129" i="31"/>
  <c r="B129" i="31"/>
  <c r="N128" i="31"/>
  <c r="M128" i="31"/>
  <c r="K128" i="31"/>
  <c r="E128" i="31"/>
  <c r="B128" i="31"/>
  <c r="M127" i="31"/>
  <c r="K127" i="31"/>
  <c r="E127" i="31"/>
  <c r="B127" i="31"/>
  <c r="N126" i="31"/>
  <c r="M126" i="31"/>
  <c r="K126" i="31"/>
  <c r="E126" i="31"/>
  <c r="B126" i="31"/>
  <c r="M125" i="31"/>
  <c r="K125" i="31"/>
  <c r="N125" i="31" s="1"/>
  <c r="E125" i="31"/>
  <c r="B125" i="31"/>
  <c r="N124" i="31"/>
  <c r="M124" i="31"/>
  <c r="K124" i="31"/>
  <c r="E124" i="31"/>
  <c r="B124" i="31"/>
  <c r="M123" i="31"/>
  <c r="K123" i="31"/>
  <c r="E123" i="31"/>
  <c r="B123" i="31"/>
  <c r="N122" i="31"/>
  <c r="M122" i="31"/>
  <c r="K122" i="31"/>
  <c r="E122" i="31"/>
  <c r="B122" i="31"/>
  <c r="M121" i="31"/>
  <c r="K121" i="31"/>
  <c r="N121" i="31" s="1"/>
  <c r="E121" i="31"/>
  <c r="B121" i="31"/>
  <c r="N120" i="31"/>
  <c r="M120" i="31"/>
  <c r="K120" i="31"/>
  <c r="E120" i="31"/>
  <c r="B120" i="31"/>
  <c r="M119" i="31"/>
  <c r="K119" i="31"/>
  <c r="E119" i="31"/>
  <c r="B119" i="31"/>
  <c r="N118" i="31"/>
  <c r="M118" i="31"/>
  <c r="K118" i="31"/>
  <c r="E118" i="31"/>
  <c r="B118" i="31"/>
  <c r="M117" i="31"/>
  <c r="K117" i="31"/>
  <c r="N117" i="31" s="1"/>
  <c r="E117" i="31"/>
  <c r="B117" i="31"/>
  <c r="N116" i="31"/>
  <c r="M116" i="31"/>
  <c r="K116" i="31"/>
  <c r="E116" i="31"/>
  <c r="B116" i="31"/>
  <c r="M115" i="31"/>
  <c r="K115" i="31"/>
  <c r="N115" i="31" s="1"/>
  <c r="E115" i="31"/>
  <c r="B115" i="31"/>
  <c r="N114" i="31"/>
  <c r="M114" i="31"/>
  <c r="K114" i="31"/>
  <c r="E114" i="31"/>
  <c r="B114" i="31"/>
  <c r="M113" i="31"/>
  <c r="K113" i="31"/>
  <c r="N113" i="31" s="1"/>
  <c r="E113" i="31"/>
  <c r="B113" i="31"/>
  <c r="N112" i="31"/>
  <c r="M112" i="31"/>
  <c r="K112" i="31"/>
  <c r="E112" i="31"/>
  <c r="B112" i="31"/>
  <c r="M111" i="31"/>
  <c r="K111" i="31"/>
  <c r="E111" i="31"/>
  <c r="B111" i="31"/>
  <c r="N110" i="31"/>
  <c r="M110" i="31"/>
  <c r="K110" i="31"/>
  <c r="E110" i="31"/>
  <c r="B110" i="31"/>
  <c r="M109" i="31"/>
  <c r="K109" i="31"/>
  <c r="N109" i="31" s="1"/>
  <c r="E109" i="31"/>
  <c r="B109" i="31"/>
  <c r="N108" i="31"/>
  <c r="M108" i="31"/>
  <c r="K108" i="31"/>
  <c r="E108" i="31"/>
  <c r="B108" i="31"/>
  <c r="M107" i="31"/>
  <c r="K107" i="31"/>
  <c r="E107" i="31"/>
  <c r="B107" i="31"/>
  <c r="N106" i="31"/>
  <c r="M106" i="31"/>
  <c r="K106" i="31"/>
  <c r="E106" i="31"/>
  <c r="B106" i="31"/>
  <c r="M105" i="31"/>
  <c r="K105" i="31"/>
  <c r="N105" i="31" s="1"/>
  <c r="E105" i="31"/>
  <c r="B105" i="31"/>
  <c r="N104" i="31"/>
  <c r="M104" i="31"/>
  <c r="K104" i="31"/>
  <c r="E104" i="31"/>
  <c r="B104" i="31"/>
  <c r="M103" i="31"/>
  <c r="K103" i="31"/>
  <c r="E103" i="31"/>
  <c r="B103" i="31"/>
  <c r="N102" i="31"/>
  <c r="M102" i="31"/>
  <c r="K102" i="31"/>
  <c r="E102" i="31"/>
  <c r="B102" i="31"/>
  <c r="M101" i="31"/>
  <c r="K101" i="31"/>
  <c r="N101" i="31" s="1"/>
  <c r="E101" i="31"/>
  <c r="B101" i="31"/>
  <c r="N100" i="31"/>
  <c r="M100" i="31"/>
  <c r="K100" i="31"/>
  <c r="E100" i="31"/>
  <c r="B100" i="31"/>
  <c r="M99" i="31"/>
  <c r="K99" i="31"/>
  <c r="N99" i="31" s="1"/>
  <c r="E99" i="31"/>
  <c r="B99" i="31"/>
  <c r="N98" i="31"/>
  <c r="M98" i="31"/>
  <c r="K98" i="31"/>
  <c r="E98" i="31"/>
  <c r="B98" i="31"/>
  <c r="M97" i="31"/>
  <c r="K97" i="31"/>
  <c r="N97" i="31" s="1"/>
  <c r="E97" i="31"/>
  <c r="B97" i="31"/>
  <c r="N96" i="31"/>
  <c r="M96" i="31"/>
  <c r="K96" i="31"/>
  <c r="E96" i="31"/>
  <c r="B96" i="31"/>
  <c r="M95" i="31"/>
  <c r="K95" i="31"/>
  <c r="E95" i="31"/>
  <c r="B95" i="31"/>
  <c r="N94" i="31"/>
  <c r="M94" i="31"/>
  <c r="K94" i="31"/>
  <c r="E94" i="31"/>
  <c r="B94" i="31"/>
  <c r="M93" i="31"/>
  <c r="K93" i="31"/>
  <c r="N93" i="31" s="1"/>
  <c r="E93" i="31"/>
  <c r="B93" i="31"/>
  <c r="N92" i="31"/>
  <c r="M92" i="31"/>
  <c r="K92" i="31"/>
  <c r="E92" i="31"/>
  <c r="B92" i="31"/>
  <c r="M91" i="31"/>
  <c r="K91" i="31"/>
  <c r="E91" i="31"/>
  <c r="B91" i="31"/>
  <c r="N90" i="31"/>
  <c r="M90" i="31"/>
  <c r="K90" i="31"/>
  <c r="E90" i="31"/>
  <c r="B90" i="31"/>
  <c r="M89" i="31"/>
  <c r="K89" i="31"/>
  <c r="N89" i="31" s="1"/>
  <c r="E89" i="31"/>
  <c r="B89" i="31"/>
  <c r="N88" i="31"/>
  <c r="M88" i="31"/>
  <c r="K88" i="31"/>
  <c r="E88" i="31"/>
  <c r="B88" i="31"/>
  <c r="M87" i="31"/>
  <c r="K87" i="31"/>
  <c r="E87" i="31"/>
  <c r="B87" i="31"/>
  <c r="N86" i="31"/>
  <c r="M86" i="31"/>
  <c r="K86" i="31"/>
  <c r="E86" i="31"/>
  <c r="B86" i="31"/>
  <c r="M85" i="31"/>
  <c r="K85" i="31"/>
  <c r="N85" i="31" s="1"/>
  <c r="E85" i="31"/>
  <c r="B85" i="31"/>
  <c r="N84" i="31"/>
  <c r="M84" i="31"/>
  <c r="K84" i="31"/>
  <c r="E84" i="31"/>
  <c r="B84" i="31"/>
  <c r="M83" i="31"/>
  <c r="K83" i="31"/>
  <c r="N83" i="31" s="1"/>
  <c r="E83" i="31"/>
  <c r="B83" i="31"/>
  <c r="N82" i="31"/>
  <c r="M82" i="31"/>
  <c r="K82" i="31"/>
  <c r="E82" i="31"/>
  <c r="B82" i="31"/>
  <c r="M81" i="31"/>
  <c r="K81" i="31"/>
  <c r="N81" i="31" s="1"/>
  <c r="E81" i="31"/>
  <c r="B81" i="31"/>
  <c r="N80" i="31"/>
  <c r="M80" i="31"/>
  <c r="K80" i="31"/>
  <c r="E80" i="31"/>
  <c r="B80" i="31"/>
  <c r="M79" i="31"/>
  <c r="K79" i="31"/>
  <c r="E79" i="31"/>
  <c r="B79" i="31"/>
  <c r="N78" i="31"/>
  <c r="M78" i="31"/>
  <c r="K78" i="31"/>
  <c r="E78" i="31"/>
  <c r="B78" i="31"/>
  <c r="M77" i="31"/>
  <c r="K77" i="31"/>
  <c r="N77" i="31" s="1"/>
  <c r="E77" i="31"/>
  <c r="B77" i="31"/>
  <c r="N76" i="31"/>
  <c r="M76" i="31"/>
  <c r="K76" i="31"/>
  <c r="E76" i="31"/>
  <c r="B76" i="31"/>
  <c r="M75" i="31"/>
  <c r="K75" i="31"/>
  <c r="E75" i="31"/>
  <c r="B75" i="31"/>
  <c r="N74" i="31"/>
  <c r="M74" i="31"/>
  <c r="K74" i="31"/>
  <c r="E74" i="31"/>
  <c r="B74" i="31"/>
  <c r="M73" i="31"/>
  <c r="K73" i="31"/>
  <c r="N73" i="31" s="1"/>
  <c r="E73" i="31"/>
  <c r="B73" i="31"/>
  <c r="N72" i="31"/>
  <c r="M72" i="31"/>
  <c r="K72" i="31"/>
  <c r="E72" i="31"/>
  <c r="B72" i="31"/>
  <c r="M71" i="31"/>
  <c r="K71" i="31"/>
  <c r="E71" i="31"/>
  <c r="B71" i="31"/>
  <c r="N70" i="31"/>
  <c r="M70" i="31"/>
  <c r="K70" i="31"/>
  <c r="E70" i="31"/>
  <c r="B70" i="31"/>
  <c r="M69" i="31"/>
  <c r="K69" i="31"/>
  <c r="N69" i="31" s="1"/>
  <c r="E69" i="31"/>
  <c r="B69" i="31"/>
  <c r="N68" i="31"/>
  <c r="M68" i="31"/>
  <c r="K68" i="31"/>
  <c r="E68" i="31"/>
  <c r="B68" i="31"/>
  <c r="M67" i="31"/>
  <c r="K67" i="31"/>
  <c r="N67" i="31" s="1"/>
  <c r="E67" i="31"/>
  <c r="B67" i="31"/>
  <c r="N66" i="31"/>
  <c r="M66" i="31"/>
  <c r="K66" i="31"/>
  <c r="E66" i="31"/>
  <c r="B66" i="31"/>
  <c r="M65" i="31"/>
  <c r="K65" i="31"/>
  <c r="N65" i="31" s="1"/>
  <c r="E65" i="31"/>
  <c r="B65" i="31"/>
  <c r="N64" i="31"/>
  <c r="M64" i="31"/>
  <c r="K64" i="31"/>
  <c r="E64" i="31"/>
  <c r="B64" i="31"/>
  <c r="M63" i="31"/>
  <c r="K63" i="31"/>
  <c r="E63" i="31"/>
  <c r="B63" i="31"/>
  <c r="N62" i="31"/>
  <c r="M62" i="31"/>
  <c r="K62" i="31"/>
  <c r="E62" i="31"/>
  <c r="B62" i="31"/>
  <c r="M61" i="31"/>
  <c r="K61" i="31"/>
  <c r="N61" i="31" s="1"/>
  <c r="E61" i="31"/>
  <c r="B61" i="31"/>
  <c r="N60" i="31"/>
  <c r="M60" i="31"/>
  <c r="K60" i="31"/>
  <c r="E60" i="31"/>
  <c r="B60" i="31"/>
  <c r="M59" i="31"/>
  <c r="K59" i="31"/>
  <c r="E59" i="31"/>
  <c r="B59" i="31"/>
  <c r="N58" i="31"/>
  <c r="M58" i="31"/>
  <c r="K58" i="31"/>
  <c r="E58" i="31"/>
  <c r="B58" i="31"/>
  <c r="M57" i="31"/>
  <c r="K57" i="31"/>
  <c r="N57" i="31" s="1"/>
  <c r="E57" i="31"/>
  <c r="B57" i="31"/>
  <c r="N56" i="31"/>
  <c r="M56" i="31"/>
  <c r="K56" i="31"/>
  <c r="E56" i="31"/>
  <c r="B56" i="31"/>
  <c r="M55" i="31"/>
  <c r="K55" i="31"/>
  <c r="E55" i="31"/>
  <c r="B55" i="31"/>
  <c r="N54" i="31"/>
  <c r="M54" i="31"/>
  <c r="K54" i="31"/>
  <c r="E54" i="31"/>
  <c r="B54" i="31"/>
  <c r="M53" i="31"/>
  <c r="K53" i="31"/>
  <c r="N53" i="31" s="1"/>
  <c r="E53" i="31"/>
  <c r="B53" i="31"/>
  <c r="N52" i="31"/>
  <c r="M52" i="31"/>
  <c r="K52" i="31"/>
  <c r="E52" i="31"/>
  <c r="B52" i="31"/>
  <c r="M51" i="31"/>
  <c r="K51" i="31"/>
  <c r="N51" i="31" s="1"/>
  <c r="E51" i="31"/>
  <c r="B51" i="31"/>
  <c r="N50" i="31"/>
  <c r="M50" i="31"/>
  <c r="K50" i="31"/>
  <c r="E50" i="31"/>
  <c r="B50" i="31"/>
  <c r="M49" i="31"/>
  <c r="K49" i="31"/>
  <c r="N49" i="31" s="1"/>
  <c r="E49" i="31"/>
  <c r="B49" i="31"/>
  <c r="N48" i="31"/>
  <c r="M48" i="31"/>
  <c r="K48" i="31"/>
  <c r="E48" i="31"/>
  <c r="B48" i="31"/>
  <c r="M47" i="31"/>
  <c r="K47" i="31"/>
  <c r="E47" i="31"/>
  <c r="B47" i="31"/>
  <c r="N46" i="31"/>
  <c r="M46" i="31"/>
  <c r="K46" i="31"/>
  <c r="E46" i="31"/>
  <c r="B46" i="31"/>
  <c r="M45" i="31"/>
  <c r="K45" i="31"/>
  <c r="N45" i="31" s="1"/>
  <c r="E45" i="31"/>
  <c r="B45" i="31"/>
  <c r="N44" i="31"/>
  <c r="M44" i="31"/>
  <c r="K44" i="31"/>
  <c r="E44" i="31"/>
  <c r="B44" i="31"/>
  <c r="M43" i="31"/>
  <c r="K43" i="31"/>
  <c r="E43" i="31"/>
  <c r="B43" i="31"/>
  <c r="N42" i="31"/>
  <c r="M42" i="31"/>
  <c r="K42" i="31"/>
  <c r="E42" i="31"/>
  <c r="B42" i="31"/>
  <c r="M41" i="31"/>
  <c r="K41" i="31"/>
  <c r="N41" i="31" s="1"/>
  <c r="E41" i="31"/>
  <c r="B41" i="31"/>
  <c r="N40" i="31"/>
  <c r="M40" i="31"/>
  <c r="K40" i="31"/>
  <c r="E40" i="31"/>
  <c r="B40" i="31"/>
  <c r="M39" i="31"/>
  <c r="K39" i="31"/>
  <c r="E39" i="31"/>
  <c r="B39" i="31"/>
  <c r="N38" i="31"/>
  <c r="M38" i="31"/>
  <c r="K38" i="31"/>
  <c r="E38" i="31"/>
  <c r="B38" i="31"/>
  <c r="M37" i="31"/>
  <c r="K37" i="31"/>
  <c r="N37" i="31" s="1"/>
  <c r="E37" i="31"/>
  <c r="B37" i="31"/>
  <c r="N36" i="31"/>
  <c r="M36" i="31"/>
  <c r="K36" i="31"/>
  <c r="E36" i="31"/>
  <c r="B36" i="31"/>
  <c r="M35" i="31"/>
  <c r="K35" i="31"/>
  <c r="N35" i="31" s="1"/>
  <c r="E35" i="31"/>
  <c r="B35" i="31"/>
  <c r="N34" i="31"/>
  <c r="M34" i="31"/>
  <c r="K34" i="31"/>
  <c r="E34" i="31"/>
  <c r="B34" i="31"/>
  <c r="M33" i="31"/>
  <c r="K33" i="31"/>
  <c r="N33" i="31" s="1"/>
  <c r="E33" i="31"/>
  <c r="B33" i="31"/>
  <c r="N32" i="31"/>
  <c r="M32" i="31"/>
  <c r="K32" i="31"/>
  <c r="E32" i="31"/>
  <c r="B32" i="31"/>
  <c r="M31" i="31"/>
  <c r="K31" i="31"/>
  <c r="E31" i="31"/>
  <c r="B31" i="31"/>
  <c r="N30" i="31"/>
  <c r="M30" i="31"/>
  <c r="K30" i="31"/>
  <c r="E30" i="31"/>
  <c r="B30" i="31"/>
  <c r="M29" i="31"/>
  <c r="K29" i="31"/>
  <c r="N29" i="31" s="1"/>
  <c r="E29" i="31"/>
  <c r="B29" i="31"/>
  <c r="N28" i="31"/>
  <c r="M28" i="31"/>
  <c r="K28" i="31"/>
  <c r="E28" i="31"/>
  <c r="B28" i="31"/>
  <c r="M27" i="31"/>
  <c r="K27" i="31"/>
  <c r="E27" i="31"/>
  <c r="B27" i="31"/>
  <c r="N26" i="31"/>
  <c r="M26" i="31"/>
  <c r="K26" i="31"/>
  <c r="E26" i="31"/>
  <c r="B26" i="31"/>
  <c r="M25" i="31"/>
  <c r="K25" i="31"/>
  <c r="N25" i="31" s="1"/>
  <c r="E25" i="31"/>
  <c r="B25" i="31"/>
  <c r="N24" i="31"/>
  <c r="M24" i="31"/>
  <c r="K24" i="31"/>
  <c r="E24" i="31"/>
  <c r="B24" i="31"/>
  <c r="M23" i="31"/>
  <c r="K23" i="31"/>
  <c r="E23" i="31"/>
  <c r="B23" i="31"/>
  <c r="N22" i="31"/>
  <c r="M22" i="31"/>
  <c r="K22" i="31"/>
  <c r="E22" i="31"/>
  <c r="B22" i="31"/>
  <c r="M21" i="31"/>
  <c r="K21" i="31"/>
  <c r="N21" i="31" s="1"/>
  <c r="E21" i="31"/>
  <c r="B21" i="31"/>
  <c r="N20" i="31"/>
  <c r="M20" i="31"/>
  <c r="K20" i="31"/>
  <c r="E20" i="31"/>
  <c r="B20" i="31"/>
  <c r="M19" i="31"/>
  <c r="K19" i="31"/>
  <c r="N19" i="31" s="1"/>
  <c r="E19" i="31"/>
  <c r="B19" i="31"/>
  <c r="N18" i="31"/>
  <c r="M18" i="31"/>
  <c r="K18" i="31"/>
  <c r="E18" i="31"/>
  <c r="B18" i="31"/>
  <c r="M17" i="31"/>
  <c r="K17" i="31"/>
  <c r="N17" i="31" s="1"/>
  <c r="E17" i="31"/>
  <c r="B17" i="31"/>
  <c r="N16" i="31"/>
  <c r="M16" i="31"/>
  <c r="K16" i="31"/>
  <c r="E16" i="31"/>
  <c r="B16" i="31"/>
  <c r="M15" i="31"/>
  <c r="K15" i="31"/>
  <c r="E15" i="31"/>
  <c r="B15" i="31"/>
  <c r="N14" i="31"/>
  <c r="M14" i="31"/>
  <c r="K14" i="31"/>
  <c r="E14" i="31"/>
  <c r="B14" i="31"/>
  <c r="M13" i="31"/>
  <c r="K13" i="31"/>
  <c r="N13" i="31" s="1"/>
  <c r="E13" i="31"/>
  <c r="B13" i="31"/>
  <c r="N12" i="31"/>
  <c r="M12" i="31"/>
  <c r="K12" i="31"/>
  <c r="E12" i="31"/>
  <c r="B12" i="31"/>
  <c r="M11" i="31"/>
  <c r="K11" i="31"/>
  <c r="E11" i="31"/>
  <c r="B11" i="31"/>
  <c r="N10" i="31"/>
  <c r="M10" i="31"/>
  <c r="K10" i="31"/>
  <c r="E10" i="31"/>
  <c r="B10" i="31"/>
  <c r="M9" i="31"/>
  <c r="K9" i="31"/>
  <c r="N9" i="31" s="1"/>
  <c r="E9" i="31"/>
  <c r="B9" i="31"/>
  <c r="N8" i="31"/>
  <c r="M8" i="31"/>
  <c r="K8" i="31"/>
  <c r="E8" i="31"/>
  <c r="B8" i="31"/>
  <c r="M7" i="31"/>
  <c r="K7" i="31"/>
  <c r="E7" i="31"/>
  <c r="B7" i="31"/>
  <c r="N6" i="31"/>
  <c r="M6" i="31"/>
  <c r="K6" i="31"/>
  <c r="E6" i="31"/>
  <c r="B6" i="31"/>
  <c r="M5" i="31"/>
  <c r="K5" i="31"/>
  <c r="E5" i="31"/>
  <c r="B5" i="31"/>
  <c r="N4" i="31"/>
  <c r="M4" i="31"/>
  <c r="K4" i="31"/>
  <c r="E4" i="31"/>
  <c r="B4" i="31"/>
  <c r="V2" i="31"/>
  <c r="U2" i="31"/>
  <c r="T2" i="31"/>
  <c r="S2" i="31"/>
  <c r="R2" i="31"/>
  <c r="Q2" i="31"/>
  <c r="P2" i="31"/>
  <c r="M2" i="31" s="1"/>
  <c r="O2" i="31"/>
  <c r="L2" i="31"/>
  <c r="J2" i="31"/>
  <c r="I2" i="31"/>
  <c r="H2" i="31"/>
  <c r="G2" i="31"/>
  <c r="F2" i="31"/>
  <c r="E2" i="31"/>
  <c r="N134" i="30"/>
  <c r="M134" i="30"/>
  <c r="K134" i="30"/>
  <c r="E134" i="30"/>
  <c r="B134" i="30"/>
  <c r="N133" i="30"/>
  <c r="M133" i="30"/>
  <c r="K133" i="30"/>
  <c r="E133" i="30"/>
  <c r="B133" i="30"/>
  <c r="M132" i="30"/>
  <c r="K132" i="30"/>
  <c r="N132" i="30" s="1"/>
  <c r="E132" i="30"/>
  <c r="B132" i="30"/>
  <c r="M131" i="30"/>
  <c r="K131" i="30"/>
  <c r="E131" i="30"/>
  <c r="B131" i="30"/>
  <c r="N130" i="30"/>
  <c r="M130" i="30"/>
  <c r="K130" i="30"/>
  <c r="E130" i="30"/>
  <c r="B130" i="30"/>
  <c r="N129" i="30"/>
  <c r="M129" i="30"/>
  <c r="K129" i="30"/>
  <c r="E129" i="30"/>
  <c r="B129" i="30"/>
  <c r="M128" i="30"/>
  <c r="K128" i="30"/>
  <c r="N128" i="30" s="1"/>
  <c r="E128" i="30"/>
  <c r="B128" i="30"/>
  <c r="M127" i="30"/>
  <c r="K127" i="30"/>
  <c r="N127" i="30" s="1"/>
  <c r="E127" i="30"/>
  <c r="B127" i="30"/>
  <c r="N126" i="30"/>
  <c r="M126" i="30"/>
  <c r="K126" i="30"/>
  <c r="E126" i="30"/>
  <c r="B126" i="30"/>
  <c r="N125" i="30"/>
  <c r="M125" i="30"/>
  <c r="K125" i="30"/>
  <c r="E125" i="30"/>
  <c r="B125" i="30"/>
  <c r="M124" i="30"/>
  <c r="K124" i="30"/>
  <c r="N124" i="30" s="1"/>
  <c r="E124" i="30"/>
  <c r="B124" i="30"/>
  <c r="M123" i="30"/>
  <c r="K123" i="30"/>
  <c r="E123" i="30"/>
  <c r="B123" i="30"/>
  <c r="N122" i="30"/>
  <c r="M122" i="30"/>
  <c r="K122" i="30"/>
  <c r="E122" i="30"/>
  <c r="B122" i="30"/>
  <c r="N121" i="30"/>
  <c r="M121" i="30"/>
  <c r="K121" i="30"/>
  <c r="E121" i="30"/>
  <c r="B121" i="30"/>
  <c r="M120" i="30"/>
  <c r="K120" i="30"/>
  <c r="N120" i="30" s="1"/>
  <c r="E120" i="30"/>
  <c r="B120" i="30"/>
  <c r="M119" i="30"/>
  <c r="K119" i="30"/>
  <c r="E119" i="30"/>
  <c r="B119" i="30"/>
  <c r="N118" i="30"/>
  <c r="M118" i="30"/>
  <c r="K118" i="30"/>
  <c r="E118" i="30"/>
  <c r="B118" i="30"/>
  <c r="N117" i="30"/>
  <c r="M117" i="30"/>
  <c r="K117" i="30"/>
  <c r="E117" i="30"/>
  <c r="B117" i="30"/>
  <c r="M116" i="30"/>
  <c r="K116" i="30"/>
  <c r="N116" i="30" s="1"/>
  <c r="E116" i="30"/>
  <c r="B116" i="30"/>
  <c r="M115" i="30"/>
  <c r="K115" i="30"/>
  <c r="E115" i="30"/>
  <c r="B115" i="30"/>
  <c r="N114" i="30"/>
  <c r="M114" i="30"/>
  <c r="K114" i="30"/>
  <c r="E114" i="30"/>
  <c r="B114" i="30"/>
  <c r="N113" i="30"/>
  <c r="M113" i="30"/>
  <c r="K113" i="30"/>
  <c r="E113" i="30"/>
  <c r="B113" i="30"/>
  <c r="M112" i="30"/>
  <c r="K112" i="30"/>
  <c r="N112" i="30" s="1"/>
  <c r="E112" i="30"/>
  <c r="B112" i="30"/>
  <c r="M111" i="30"/>
  <c r="K111" i="30"/>
  <c r="N111" i="30" s="1"/>
  <c r="E111" i="30"/>
  <c r="B111" i="30"/>
  <c r="N110" i="30"/>
  <c r="M110" i="30"/>
  <c r="K110" i="30"/>
  <c r="E110" i="30"/>
  <c r="B110" i="30"/>
  <c r="N109" i="30"/>
  <c r="M109" i="30"/>
  <c r="K109" i="30"/>
  <c r="E109" i="30"/>
  <c r="B109" i="30"/>
  <c r="M108" i="30"/>
  <c r="K108" i="30"/>
  <c r="N108" i="30" s="1"/>
  <c r="E108" i="30"/>
  <c r="B108" i="30"/>
  <c r="M107" i="30"/>
  <c r="K107" i="30"/>
  <c r="E107" i="30"/>
  <c r="B107" i="30"/>
  <c r="N106" i="30"/>
  <c r="M106" i="30"/>
  <c r="K106" i="30"/>
  <c r="E106" i="30"/>
  <c r="B106" i="30"/>
  <c r="N105" i="30"/>
  <c r="M105" i="30"/>
  <c r="K105" i="30"/>
  <c r="E105" i="30"/>
  <c r="B105" i="30"/>
  <c r="M104" i="30"/>
  <c r="K104" i="30"/>
  <c r="N104" i="30" s="1"/>
  <c r="E104" i="30"/>
  <c r="B104" i="30"/>
  <c r="M103" i="30"/>
  <c r="K103" i="30"/>
  <c r="E103" i="30"/>
  <c r="B103" i="30"/>
  <c r="N102" i="30"/>
  <c r="M102" i="30"/>
  <c r="K102" i="30"/>
  <c r="E102" i="30"/>
  <c r="B102" i="30"/>
  <c r="N101" i="30"/>
  <c r="M101" i="30"/>
  <c r="K101" i="30"/>
  <c r="E101" i="30"/>
  <c r="B101" i="30"/>
  <c r="M100" i="30"/>
  <c r="K100" i="30"/>
  <c r="N100" i="30" s="1"/>
  <c r="E100" i="30"/>
  <c r="B100" i="30"/>
  <c r="M99" i="30"/>
  <c r="K99" i="30"/>
  <c r="E99" i="30"/>
  <c r="B99" i="30"/>
  <c r="N98" i="30"/>
  <c r="M98" i="30"/>
  <c r="K98" i="30"/>
  <c r="E98" i="30"/>
  <c r="B98" i="30"/>
  <c r="N97" i="30"/>
  <c r="M97" i="30"/>
  <c r="K97" i="30"/>
  <c r="E97" i="30"/>
  <c r="B97" i="30"/>
  <c r="M96" i="30"/>
  <c r="K96" i="30"/>
  <c r="N96" i="30" s="1"/>
  <c r="E96" i="30"/>
  <c r="B96" i="30"/>
  <c r="M95" i="30"/>
  <c r="K95" i="30"/>
  <c r="N95" i="30" s="1"/>
  <c r="E95" i="30"/>
  <c r="B95" i="30"/>
  <c r="N94" i="30"/>
  <c r="M94" i="30"/>
  <c r="K94" i="30"/>
  <c r="E94" i="30"/>
  <c r="B94" i="30"/>
  <c r="N93" i="30"/>
  <c r="M93" i="30"/>
  <c r="K93" i="30"/>
  <c r="E93" i="30"/>
  <c r="B93" i="30"/>
  <c r="M92" i="30"/>
  <c r="K92" i="30"/>
  <c r="N92" i="30" s="1"/>
  <c r="E92" i="30"/>
  <c r="B92" i="30"/>
  <c r="M91" i="30"/>
  <c r="K91" i="30"/>
  <c r="E91" i="30"/>
  <c r="B91" i="30"/>
  <c r="N90" i="30"/>
  <c r="M90" i="30"/>
  <c r="K90" i="30"/>
  <c r="E90" i="30"/>
  <c r="B90" i="30"/>
  <c r="N89" i="30"/>
  <c r="M89" i="30"/>
  <c r="K89" i="30"/>
  <c r="E89" i="30"/>
  <c r="B89" i="30"/>
  <c r="M88" i="30"/>
  <c r="K88" i="30"/>
  <c r="N88" i="30" s="1"/>
  <c r="E88" i="30"/>
  <c r="B88" i="30"/>
  <c r="M87" i="30"/>
  <c r="K87" i="30"/>
  <c r="E87" i="30"/>
  <c r="B87" i="30"/>
  <c r="N86" i="30"/>
  <c r="M86" i="30"/>
  <c r="K86" i="30"/>
  <c r="E86" i="30"/>
  <c r="B86" i="30"/>
  <c r="N85" i="30"/>
  <c r="M85" i="30"/>
  <c r="K85" i="30"/>
  <c r="E85" i="30"/>
  <c r="B85" i="30"/>
  <c r="M84" i="30"/>
  <c r="K84" i="30"/>
  <c r="N84" i="30" s="1"/>
  <c r="E84" i="30"/>
  <c r="B84" i="30"/>
  <c r="M83" i="30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M80" i="30"/>
  <c r="K80" i="30"/>
  <c r="N80" i="30" s="1"/>
  <c r="E80" i="30"/>
  <c r="B80" i="30"/>
  <c r="M79" i="30"/>
  <c r="K79" i="30"/>
  <c r="E79" i="30"/>
  <c r="B79" i="30"/>
  <c r="N78" i="30"/>
  <c r="M78" i="30"/>
  <c r="K78" i="30"/>
  <c r="E78" i="30"/>
  <c r="B78" i="30"/>
  <c r="N77" i="30"/>
  <c r="M77" i="30"/>
  <c r="K77" i="30"/>
  <c r="E77" i="30"/>
  <c r="B77" i="30"/>
  <c r="M76" i="30"/>
  <c r="K76" i="30"/>
  <c r="N76" i="30" s="1"/>
  <c r="E76" i="30"/>
  <c r="B76" i="30"/>
  <c r="M75" i="30"/>
  <c r="K75" i="30"/>
  <c r="E75" i="30"/>
  <c r="B75" i="30"/>
  <c r="N74" i="30"/>
  <c r="M74" i="30"/>
  <c r="K74" i="30"/>
  <c r="E74" i="30"/>
  <c r="B74" i="30"/>
  <c r="N73" i="30"/>
  <c r="M73" i="30"/>
  <c r="K73" i="30"/>
  <c r="E73" i="30"/>
  <c r="B73" i="30"/>
  <c r="M72" i="30"/>
  <c r="K72" i="30"/>
  <c r="N72" i="30" s="1"/>
  <c r="E72" i="30"/>
  <c r="B72" i="30"/>
  <c r="M71" i="30"/>
  <c r="K71" i="30"/>
  <c r="E71" i="30"/>
  <c r="B71" i="30"/>
  <c r="N70" i="30"/>
  <c r="M70" i="30"/>
  <c r="K70" i="30"/>
  <c r="E70" i="30"/>
  <c r="B70" i="30"/>
  <c r="N69" i="30"/>
  <c r="M69" i="30"/>
  <c r="K69" i="30"/>
  <c r="E69" i="30"/>
  <c r="B69" i="30"/>
  <c r="M68" i="30"/>
  <c r="K68" i="30"/>
  <c r="N68" i="30" s="1"/>
  <c r="E68" i="30"/>
  <c r="B68" i="30"/>
  <c r="M67" i="30"/>
  <c r="K67" i="30"/>
  <c r="E67" i="30"/>
  <c r="B67" i="30"/>
  <c r="N66" i="30"/>
  <c r="M66" i="30"/>
  <c r="K66" i="30"/>
  <c r="E66" i="30"/>
  <c r="B66" i="30"/>
  <c r="N65" i="30"/>
  <c r="M65" i="30"/>
  <c r="K65" i="30"/>
  <c r="E65" i="30"/>
  <c r="B65" i="30"/>
  <c r="M64" i="30"/>
  <c r="K64" i="30"/>
  <c r="N64" i="30" s="1"/>
  <c r="E64" i="30"/>
  <c r="B64" i="30"/>
  <c r="M63" i="30"/>
  <c r="K63" i="30"/>
  <c r="E63" i="30"/>
  <c r="B63" i="30"/>
  <c r="N62" i="30"/>
  <c r="M62" i="30"/>
  <c r="K62" i="30"/>
  <c r="E62" i="30"/>
  <c r="B62" i="30"/>
  <c r="N61" i="30"/>
  <c r="M61" i="30"/>
  <c r="K61" i="30"/>
  <c r="E61" i="30"/>
  <c r="B61" i="30"/>
  <c r="M60" i="30"/>
  <c r="K60" i="30"/>
  <c r="N60" i="30" s="1"/>
  <c r="E60" i="30"/>
  <c r="B60" i="30"/>
  <c r="M59" i="30"/>
  <c r="K59" i="30"/>
  <c r="E59" i="30"/>
  <c r="B59" i="30"/>
  <c r="N58" i="30"/>
  <c r="M58" i="30"/>
  <c r="K58" i="30"/>
  <c r="E58" i="30"/>
  <c r="B58" i="30"/>
  <c r="N57" i="30"/>
  <c r="M57" i="30"/>
  <c r="K57" i="30"/>
  <c r="E57" i="30"/>
  <c r="B57" i="30"/>
  <c r="M56" i="30"/>
  <c r="K56" i="30"/>
  <c r="N56" i="30" s="1"/>
  <c r="E56" i="30"/>
  <c r="B56" i="30"/>
  <c r="M55" i="30"/>
  <c r="K55" i="30"/>
  <c r="E55" i="30"/>
  <c r="B55" i="30"/>
  <c r="N54" i="30"/>
  <c r="M54" i="30"/>
  <c r="K54" i="30"/>
  <c r="E54" i="30"/>
  <c r="B54" i="30"/>
  <c r="N53" i="30"/>
  <c r="M53" i="30"/>
  <c r="K53" i="30"/>
  <c r="E53" i="30"/>
  <c r="B53" i="30"/>
  <c r="M52" i="30"/>
  <c r="K52" i="30"/>
  <c r="N52" i="30" s="1"/>
  <c r="E52" i="30"/>
  <c r="B52" i="30"/>
  <c r="M51" i="30"/>
  <c r="K51" i="30"/>
  <c r="E51" i="30"/>
  <c r="B51" i="30"/>
  <c r="N50" i="30"/>
  <c r="M50" i="30"/>
  <c r="K50" i="30"/>
  <c r="E50" i="30"/>
  <c r="B50" i="30"/>
  <c r="N49" i="30"/>
  <c r="M49" i="30"/>
  <c r="K49" i="30"/>
  <c r="E49" i="30"/>
  <c r="B49" i="30"/>
  <c r="M48" i="30"/>
  <c r="K48" i="30"/>
  <c r="N48" i="30" s="1"/>
  <c r="E48" i="30"/>
  <c r="B48" i="30"/>
  <c r="M47" i="30"/>
  <c r="K47" i="30"/>
  <c r="E47" i="30"/>
  <c r="B47" i="30"/>
  <c r="N46" i="30"/>
  <c r="M46" i="30"/>
  <c r="K46" i="30"/>
  <c r="E46" i="30"/>
  <c r="B46" i="30"/>
  <c r="N45" i="30"/>
  <c r="M45" i="30"/>
  <c r="K45" i="30"/>
  <c r="E45" i="30"/>
  <c r="B45" i="30"/>
  <c r="M44" i="30"/>
  <c r="K44" i="30"/>
  <c r="N44" i="30" s="1"/>
  <c r="E44" i="30"/>
  <c r="B44" i="30"/>
  <c r="M43" i="30"/>
  <c r="K43" i="30"/>
  <c r="E43" i="30"/>
  <c r="B43" i="30"/>
  <c r="N42" i="30"/>
  <c r="M42" i="30"/>
  <c r="K42" i="30"/>
  <c r="E42" i="30"/>
  <c r="B42" i="30"/>
  <c r="N41" i="30"/>
  <c r="M41" i="30"/>
  <c r="K41" i="30"/>
  <c r="E41" i="30"/>
  <c r="B41" i="30"/>
  <c r="M40" i="30"/>
  <c r="K40" i="30"/>
  <c r="N40" i="30" s="1"/>
  <c r="E40" i="30"/>
  <c r="B40" i="30"/>
  <c r="M39" i="30"/>
  <c r="K39" i="30"/>
  <c r="E39" i="30"/>
  <c r="B39" i="30"/>
  <c r="N38" i="30"/>
  <c r="M38" i="30"/>
  <c r="K38" i="30"/>
  <c r="E38" i="30"/>
  <c r="B38" i="30"/>
  <c r="N37" i="30"/>
  <c r="M37" i="30"/>
  <c r="K37" i="30"/>
  <c r="E37" i="30"/>
  <c r="B37" i="30"/>
  <c r="M36" i="30"/>
  <c r="K36" i="30"/>
  <c r="N36" i="30" s="1"/>
  <c r="E36" i="30"/>
  <c r="B36" i="30"/>
  <c r="M35" i="30"/>
  <c r="K35" i="30"/>
  <c r="E35" i="30"/>
  <c r="B35" i="30"/>
  <c r="N34" i="30"/>
  <c r="M34" i="30"/>
  <c r="K34" i="30"/>
  <c r="E34" i="30"/>
  <c r="B34" i="30"/>
  <c r="N33" i="30"/>
  <c r="M33" i="30"/>
  <c r="K33" i="30"/>
  <c r="E33" i="30"/>
  <c r="B33" i="30"/>
  <c r="M32" i="30"/>
  <c r="K32" i="30"/>
  <c r="N32" i="30" s="1"/>
  <c r="E32" i="30"/>
  <c r="B32" i="30"/>
  <c r="M31" i="30"/>
  <c r="K31" i="30"/>
  <c r="E31" i="30"/>
  <c r="B31" i="30"/>
  <c r="N30" i="30"/>
  <c r="M30" i="30"/>
  <c r="K30" i="30"/>
  <c r="E30" i="30"/>
  <c r="B30" i="30"/>
  <c r="N29" i="30"/>
  <c r="M29" i="30"/>
  <c r="K29" i="30"/>
  <c r="E29" i="30"/>
  <c r="B29" i="30"/>
  <c r="M28" i="30"/>
  <c r="K28" i="30"/>
  <c r="N28" i="30" s="1"/>
  <c r="E28" i="30"/>
  <c r="B28" i="30"/>
  <c r="M27" i="30"/>
  <c r="K27" i="30"/>
  <c r="E27" i="30"/>
  <c r="B27" i="30"/>
  <c r="N26" i="30"/>
  <c r="M26" i="30"/>
  <c r="K26" i="30"/>
  <c r="E26" i="30"/>
  <c r="B26" i="30"/>
  <c r="N25" i="30"/>
  <c r="M25" i="30"/>
  <c r="K25" i="30"/>
  <c r="E25" i="30"/>
  <c r="B25" i="30"/>
  <c r="M24" i="30"/>
  <c r="K24" i="30"/>
  <c r="N24" i="30" s="1"/>
  <c r="E24" i="30"/>
  <c r="B24" i="30"/>
  <c r="M23" i="30"/>
  <c r="K23" i="30"/>
  <c r="E23" i="30"/>
  <c r="B23" i="30"/>
  <c r="N22" i="30"/>
  <c r="M22" i="30"/>
  <c r="K22" i="30"/>
  <c r="E22" i="30"/>
  <c r="B22" i="30"/>
  <c r="N21" i="30"/>
  <c r="M21" i="30"/>
  <c r="K21" i="30"/>
  <c r="E21" i="30"/>
  <c r="B21" i="30"/>
  <c r="M20" i="30"/>
  <c r="K20" i="30"/>
  <c r="N20" i="30" s="1"/>
  <c r="E20" i="30"/>
  <c r="B20" i="30"/>
  <c r="M19" i="30"/>
  <c r="K19" i="30"/>
  <c r="E19" i="30"/>
  <c r="B19" i="30"/>
  <c r="N18" i="30"/>
  <c r="M18" i="30"/>
  <c r="K18" i="30"/>
  <c r="E18" i="30"/>
  <c r="B18" i="30"/>
  <c r="N17" i="30"/>
  <c r="M17" i="30"/>
  <c r="K17" i="30"/>
  <c r="E17" i="30"/>
  <c r="B17" i="30"/>
  <c r="M16" i="30"/>
  <c r="K16" i="30"/>
  <c r="N16" i="30" s="1"/>
  <c r="E16" i="30"/>
  <c r="B16" i="30"/>
  <c r="M15" i="30"/>
  <c r="K15" i="30"/>
  <c r="E15" i="30"/>
  <c r="B15" i="30"/>
  <c r="N14" i="30"/>
  <c r="M14" i="30"/>
  <c r="K14" i="30"/>
  <c r="E14" i="30"/>
  <c r="B14" i="30"/>
  <c r="N13" i="30"/>
  <c r="M13" i="30"/>
  <c r="K13" i="30"/>
  <c r="E13" i="30"/>
  <c r="B13" i="30"/>
  <c r="M12" i="30"/>
  <c r="K12" i="30"/>
  <c r="N12" i="30" s="1"/>
  <c r="E12" i="30"/>
  <c r="B12" i="30"/>
  <c r="M11" i="30"/>
  <c r="K11" i="30"/>
  <c r="E11" i="30"/>
  <c r="B11" i="30"/>
  <c r="N10" i="30"/>
  <c r="M10" i="30"/>
  <c r="K10" i="30"/>
  <c r="E10" i="30"/>
  <c r="B10" i="30"/>
  <c r="N9" i="30"/>
  <c r="M9" i="30"/>
  <c r="K9" i="30"/>
  <c r="E9" i="30"/>
  <c r="B9" i="30"/>
  <c r="M8" i="30"/>
  <c r="K8" i="30"/>
  <c r="N8" i="30" s="1"/>
  <c r="E8" i="30"/>
  <c r="B8" i="30"/>
  <c r="M7" i="30"/>
  <c r="K7" i="30"/>
  <c r="E7" i="30"/>
  <c r="B7" i="30"/>
  <c r="N6" i="30"/>
  <c r="M6" i="30"/>
  <c r="K6" i="30"/>
  <c r="E6" i="30"/>
  <c r="B6" i="30"/>
  <c r="N5" i="30"/>
  <c r="M5" i="30"/>
  <c r="K5" i="30"/>
  <c r="E5" i="30"/>
  <c r="B5" i="30"/>
  <c r="M4" i="30"/>
  <c r="K4" i="30"/>
  <c r="E4" i="30"/>
  <c r="B4" i="30"/>
  <c r="V2" i="30"/>
  <c r="U2" i="30"/>
  <c r="T2" i="30"/>
  <c r="S2" i="30"/>
  <c r="R2" i="30"/>
  <c r="M2" i="30" s="1"/>
  <c r="Q2" i="30"/>
  <c r="P2" i="30"/>
  <c r="O2" i="30"/>
  <c r="L2" i="30"/>
  <c r="J2" i="30"/>
  <c r="I2" i="30"/>
  <c r="H2" i="30"/>
  <c r="G2" i="30"/>
  <c r="F2" i="30"/>
  <c r="E2" i="30"/>
  <c r="E134" i="29"/>
  <c r="B134" i="29"/>
  <c r="E133" i="29"/>
  <c r="B133" i="29"/>
  <c r="E132" i="29"/>
  <c r="B132" i="29"/>
  <c r="E131" i="29"/>
  <c r="B131" i="29"/>
  <c r="E130" i="29"/>
  <c r="B130" i="29"/>
  <c r="E129" i="29"/>
  <c r="B129" i="29"/>
  <c r="E128" i="29"/>
  <c r="B128" i="29"/>
  <c r="E127" i="29"/>
  <c r="B127" i="29"/>
  <c r="E126" i="29"/>
  <c r="B126" i="29"/>
  <c r="E125" i="29"/>
  <c r="B125" i="29"/>
  <c r="E124" i="29"/>
  <c r="B124" i="29"/>
  <c r="E123" i="29"/>
  <c r="B123" i="29"/>
  <c r="E122" i="29"/>
  <c r="B122" i="29"/>
  <c r="E121" i="29"/>
  <c r="B121" i="29"/>
  <c r="E120" i="29"/>
  <c r="B120" i="29"/>
  <c r="E119" i="29"/>
  <c r="B119" i="29"/>
  <c r="E118" i="29"/>
  <c r="B118" i="29"/>
  <c r="E117" i="29"/>
  <c r="B117" i="29"/>
  <c r="E116" i="29"/>
  <c r="B116" i="29"/>
  <c r="E115" i="29"/>
  <c r="B115" i="29"/>
  <c r="E114" i="29"/>
  <c r="B114" i="29"/>
  <c r="E113" i="29"/>
  <c r="B113" i="29"/>
  <c r="E112" i="29"/>
  <c r="B112" i="29"/>
  <c r="E111" i="29"/>
  <c r="B111" i="29"/>
  <c r="E110" i="29"/>
  <c r="B110" i="29"/>
  <c r="E109" i="29"/>
  <c r="B109" i="29"/>
  <c r="E108" i="29"/>
  <c r="B108" i="29"/>
  <c r="E107" i="29"/>
  <c r="B107" i="29"/>
  <c r="E106" i="29"/>
  <c r="B106" i="29"/>
  <c r="E105" i="29"/>
  <c r="B105" i="29"/>
  <c r="E104" i="29"/>
  <c r="B104" i="29"/>
  <c r="E103" i="29"/>
  <c r="B103" i="29"/>
  <c r="E102" i="29"/>
  <c r="B102" i="29"/>
  <c r="E101" i="29"/>
  <c r="B101" i="29"/>
  <c r="E100" i="29"/>
  <c r="B100" i="29"/>
  <c r="E99" i="29"/>
  <c r="B99" i="29"/>
  <c r="E98" i="29"/>
  <c r="B98" i="29"/>
  <c r="E97" i="29"/>
  <c r="B97" i="29"/>
  <c r="E96" i="29"/>
  <c r="B96" i="29"/>
  <c r="E95" i="29"/>
  <c r="B95" i="29"/>
  <c r="E94" i="29"/>
  <c r="B94" i="29"/>
  <c r="E93" i="29"/>
  <c r="B93" i="29"/>
  <c r="E92" i="29"/>
  <c r="B92" i="29"/>
  <c r="E91" i="29"/>
  <c r="B91" i="29"/>
  <c r="E90" i="29"/>
  <c r="B90" i="29"/>
  <c r="E89" i="29"/>
  <c r="B89" i="29"/>
  <c r="E88" i="29"/>
  <c r="B88" i="29"/>
  <c r="E87" i="29"/>
  <c r="B87" i="29"/>
  <c r="E86" i="29"/>
  <c r="B86" i="29"/>
  <c r="E85" i="29"/>
  <c r="B85" i="29"/>
  <c r="E84" i="29"/>
  <c r="B84" i="29"/>
  <c r="E83" i="29"/>
  <c r="B83" i="29"/>
  <c r="E82" i="29"/>
  <c r="B82" i="29"/>
  <c r="E81" i="29"/>
  <c r="B81" i="29"/>
  <c r="E80" i="29"/>
  <c r="B80" i="29"/>
  <c r="E79" i="29"/>
  <c r="B79" i="29"/>
  <c r="E78" i="29"/>
  <c r="B78" i="29"/>
  <c r="E77" i="29"/>
  <c r="B77" i="29"/>
  <c r="E76" i="29"/>
  <c r="B76" i="29"/>
  <c r="E75" i="29"/>
  <c r="B75" i="29"/>
  <c r="E74" i="29"/>
  <c r="B74" i="29"/>
  <c r="E73" i="29"/>
  <c r="B73" i="29"/>
  <c r="E72" i="29"/>
  <c r="B72" i="29"/>
  <c r="E71" i="29"/>
  <c r="B71" i="29"/>
  <c r="E70" i="29"/>
  <c r="B70" i="29"/>
  <c r="E69" i="29"/>
  <c r="B69" i="29"/>
  <c r="E68" i="29"/>
  <c r="B68" i="29"/>
  <c r="E67" i="29"/>
  <c r="B67" i="29"/>
  <c r="E66" i="29"/>
  <c r="B66" i="29"/>
  <c r="E65" i="29"/>
  <c r="B65" i="29"/>
  <c r="E64" i="29"/>
  <c r="B64" i="29"/>
  <c r="E63" i="29"/>
  <c r="B63" i="29"/>
  <c r="E62" i="29"/>
  <c r="B62" i="29"/>
  <c r="E61" i="29"/>
  <c r="B61" i="29"/>
  <c r="E60" i="29"/>
  <c r="B60" i="29"/>
  <c r="E59" i="29"/>
  <c r="B59" i="29"/>
  <c r="E58" i="29"/>
  <c r="B58" i="29"/>
  <c r="E57" i="29"/>
  <c r="B57" i="29"/>
  <c r="E56" i="29"/>
  <c r="B56" i="29"/>
  <c r="E55" i="29"/>
  <c r="B55" i="29"/>
  <c r="E54" i="29"/>
  <c r="B54" i="29"/>
  <c r="E53" i="29"/>
  <c r="B53" i="29"/>
  <c r="E52" i="29"/>
  <c r="B52" i="29"/>
  <c r="E51" i="29"/>
  <c r="B51" i="29"/>
  <c r="E50" i="29"/>
  <c r="B50" i="29"/>
  <c r="E49" i="29"/>
  <c r="B49" i="29"/>
  <c r="E48" i="29"/>
  <c r="B48" i="29"/>
  <c r="E47" i="29"/>
  <c r="B47" i="29"/>
  <c r="E46" i="29"/>
  <c r="B46" i="29"/>
  <c r="E45" i="29"/>
  <c r="B45" i="29"/>
  <c r="E44" i="29"/>
  <c r="B44" i="29"/>
  <c r="E43" i="29"/>
  <c r="B43" i="29"/>
  <c r="E42" i="29"/>
  <c r="B42" i="29"/>
  <c r="E41" i="29"/>
  <c r="B41" i="29"/>
  <c r="E40" i="29"/>
  <c r="B40" i="29"/>
  <c r="E39" i="29"/>
  <c r="B39" i="29"/>
  <c r="E38" i="29"/>
  <c r="B38" i="29"/>
  <c r="E37" i="29"/>
  <c r="B37" i="29"/>
  <c r="E36" i="29"/>
  <c r="B36" i="29"/>
  <c r="E35" i="29"/>
  <c r="B35" i="29"/>
  <c r="E34" i="29"/>
  <c r="B34" i="29"/>
  <c r="E33" i="29"/>
  <c r="B33" i="29"/>
  <c r="E32" i="29"/>
  <c r="B32" i="29"/>
  <c r="E31" i="29"/>
  <c r="B31" i="29"/>
  <c r="E30" i="29"/>
  <c r="B30" i="29"/>
  <c r="E29" i="29"/>
  <c r="B29" i="29"/>
  <c r="E28" i="29"/>
  <c r="B28" i="29"/>
  <c r="E27" i="29"/>
  <c r="B27" i="29"/>
  <c r="E26" i="29"/>
  <c r="B26" i="29"/>
  <c r="E25" i="29"/>
  <c r="B25" i="29"/>
  <c r="E24" i="29"/>
  <c r="B24" i="29"/>
  <c r="E23" i="29"/>
  <c r="B23" i="29"/>
  <c r="E22" i="29"/>
  <c r="B22" i="29"/>
  <c r="E21" i="29"/>
  <c r="B21" i="29"/>
  <c r="E20" i="29"/>
  <c r="B20" i="29"/>
  <c r="E19" i="29"/>
  <c r="B19" i="29"/>
  <c r="E18" i="29"/>
  <c r="B18" i="29"/>
  <c r="E17" i="29"/>
  <c r="B17" i="29"/>
  <c r="E16" i="29"/>
  <c r="B16" i="29"/>
  <c r="E15" i="29"/>
  <c r="B15" i="29"/>
  <c r="E14" i="29"/>
  <c r="B14" i="29"/>
  <c r="E13" i="29"/>
  <c r="B13" i="29"/>
  <c r="E12" i="29"/>
  <c r="B12" i="29"/>
  <c r="E11" i="29"/>
  <c r="B11" i="29"/>
  <c r="E10" i="29"/>
  <c r="B10" i="29"/>
  <c r="E9" i="29"/>
  <c r="B9" i="29"/>
  <c r="E8" i="29"/>
  <c r="B8" i="29"/>
  <c r="E7" i="29"/>
  <c r="B7" i="29"/>
  <c r="E6" i="29"/>
  <c r="B6" i="29"/>
  <c r="M5" i="29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K133" i="28"/>
  <c r="N133" i="28" s="1"/>
  <c r="E133" i="28"/>
  <c r="B133" i="28"/>
  <c r="M132" i="28"/>
  <c r="K132" i="28"/>
  <c r="N132" i="28" s="1"/>
  <c r="E132" i="28"/>
  <c r="B132" i="28"/>
  <c r="N131" i="28"/>
  <c r="M131" i="28"/>
  <c r="K131" i="28"/>
  <c r="E131" i="28"/>
  <c r="B131" i="28"/>
  <c r="M130" i="28"/>
  <c r="K130" i="28"/>
  <c r="N130" i="28" s="1"/>
  <c r="E130" i="28"/>
  <c r="B130" i="28"/>
  <c r="M129" i="28"/>
  <c r="K129" i="28"/>
  <c r="N129" i="28" s="1"/>
  <c r="E129" i="28"/>
  <c r="B129" i="28"/>
  <c r="M128" i="28"/>
  <c r="K128" i="28"/>
  <c r="N128" i="28" s="1"/>
  <c r="E128" i="28"/>
  <c r="B128" i="28"/>
  <c r="N127" i="28"/>
  <c r="M127" i="28"/>
  <c r="K127" i="28"/>
  <c r="E127" i="28"/>
  <c r="B127" i="28"/>
  <c r="M126" i="28"/>
  <c r="K126" i="28"/>
  <c r="N126" i="28" s="1"/>
  <c r="E126" i="28"/>
  <c r="B126" i="28"/>
  <c r="M125" i="28"/>
  <c r="K125" i="28"/>
  <c r="N125" i="28" s="1"/>
  <c r="E125" i="28"/>
  <c r="B125" i="28"/>
  <c r="M124" i="28"/>
  <c r="K124" i="28"/>
  <c r="N124" i="28" s="1"/>
  <c r="E124" i="28"/>
  <c r="B124" i="28"/>
  <c r="N123" i="28"/>
  <c r="M123" i="28"/>
  <c r="K123" i="28"/>
  <c r="E123" i="28"/>
  <c r="B123" i="28"/>
  <c r="N122" i="28"/>
  <c r="M122" i="28"/>
  <c r="K122" i="28"/>
  <c r="E122" i="28"/>
  <c r="B122" i="28"/>
  <c r="M121" i="28"/>
  <c r="K121" i="28"/>
  <c r="N121" i="28" s="1"/>
  <c r="E121" i="28"/>
  <c r="B121" i="28"/>
  <c r="M120" i="28"/>
  <c r="K120" i="28"/>
  <c r="N120" i="28" s="1"/>
  <c r="E120" i="28"/>
  <c r="B120" i="28"/>
  <c r="N119" i="28"/>
  <c r="M119" i="28"/>
  <c r="K119" i="28"/>
  <c r="E119" i="28"/>
  <c r="B119" i="28"/>
  <c r="M118" i="28"/>
  <c r="K118" i="28"/>
  <c r="N118" i="28" s="1"/>
  <c r="E118" i="28"/>
  <c r="B118" i="28"/>
  <c r="M117" i="28"/>
  <c r="K117" i="28"/>
  <c r="N117" i="28" s="1"/>
  <c r="E117" i="28"/>
  <c r="B117" i="28"/>
  <c r="M116" i="28"/>
  <c r="K116" i="28"/>
  <c r="N116" i="28" s="1"/>
  <c r="E116" i="28"/>
  <c r="B116" i="28"/>
  <c r="N115" i="28"/>
  <c r="M115" i="28"/>
  <c r="K115" i="28"/>
  <c r="E115" i="28"/>
  <c r="B115" i="28"/>
  <c r="M114" i="28"/>
  <c r="K114" i="28"/>
  <c r="N114" i="28" s="1"/>
  <c r="E114" i="28"/>
  <c r="B114" i="28"/>
  <c r="M113" i="28"/>
  <c r="K113" i="28"/>
  <c r="N113" i="28" s="1"/>
  <c r="E113" i="28"/>
  <c r="B113" i="28"/>
  <c r="M112" i="28"/>
  <c r="K112" i="28"/>
  <c r="N112" i="28" s="1"/>
  <c r="E112" i="28"/>
  <c r="B112" i="28"/>
  <c r="N111" i="28"/>
  <c r="M111" i="28"/>
  <c r="K111" i="28"/>
  <c r="E111" i="28"/>
  <c r="B111" i="28"/>
  <c r="M110" i="28"/>
  <c r="K110" i="28"/>
  <c r="N110" i="28" s="1"/>
  <c r="E110" i="28"/>
  <c r="B110" i="28"/>
  <c r="M109" i="28"/>
  <c r="K109" i="28"/>
  <c r="N109" i="28" s="1"/>
  <c r="E109" i="28"/>
  <c r="B109" i="28"/>
  <c r="M108" i="28"/>
  <c r="K108" i="28"/>
  <c r="N108" i="28" s="1"/>
  <c r="E108" i="28"/>
  <c r="B108" i="28"/>
  <c r="N107" i="28"/>
  <c r="M107" i="28"/>
  <c r="K107" i="28"/>
  <c r="E107" i="28"/>
  <c r="B107" i="28"/>
  <c r="N106" i="28"/>
  <c r="M106" i="28"/>
  <c r="K106" i="28"/>
  <c r="E106" i="28"/>
  <c r="B106" i="28"/>
  <c r="M105" i="28"/>
  <c r="K105" i="28"/>
  <c r="N105" i="28" s="1"/>
  <c r="E105" i="28"/>
  <c r="B105" i="28"/>
  <c r="M104" i="28"/>
  <c r="K104" i="28"/>
  <c r="N104" i="28" s="1"/>
  <c r="E104" i="28"/>
  <c r="B104" i="28"/>
  <c r="N103" i="28"/>
  <c r="M103" i="28"/>
  <c r="K103" i="28"/>
  <c r="E103" i="28"/>
  <c r="B103" i="28"/>
  <c r="M102" i="28"/>
  <c r="K102" i="28"/>
  <c r="N102" i="28" s="1"/>
  <c r="E102" i="28"/>
  <c r="B102" i="28"/>
  <c r="M101" i="28"/>
  <c r="K101" i="28"/>
  <c r="N101" i="28" s="1"/>
  <c r="E101" i="28"/>
  <c r="B101" i="28"/>
  <c r="M100" i="28"/>
  <c r="K100" i="28"/>
  <c r="N100" i="28" s="1"/>
  <c r="E100" i="28"/>
  <c r="B100" i="28"/>
  <c r="N99" i="28"/>
  <c r="M99" i="28"/>
  <c r="K99" i="28"/>
  <c r="E99" i="28"/>
  <c r="B99" i="28"/>
  <c r="M98" i="28"/>
  <c r="K98" i="28"/>
  <c r="N98" i="28" s="1"/>
  <c r="E98" i="28"/>
  <c r="B98" i="28"/>
  <c r="M97" i="28"/>
  <c r="K97" i="28"/>
  <c r="N97" i="28" s="1"/>
  <c r="E97" i="28"/>
  <c r="B97" i="28"/>
  <c r="M96" i="28"/>
  <c r="K96" i="28"/>
  <c r="N96" i="28" s="1"/>
  <c r="E96" i="28"/>
  <c r="B96" i="28"/>
  <c r="N95" i="28"/>
  <c r="M95" i="28"/>
  <c r="K95" i="28"/>
  <c r="E95" i="28"/>
  <c r="B95" i="28"/>
  <c r="M94" i="28"/>
  <c r="K94" i="28"/>
  <c r="N94" i="28" s="1"/>
  <c r="E94" i="28"/>
  <c r="B94" i="28"/>
  <c r="M93" i="28"/>
  <c r="K93" i="28"/>
  <c r="N93" i="28" s="1"/>
  <c r="E93" i="28"/>
  <c r="B93" i="28"/>
  <c r="M92" i="28"/>
  <c r="K92" i="28"/>
  <c r="N92" i="28" s="1"/>
  <c r="E92" i="28"/>
  <c r="B92" i="28"/>
  <c r="N91" i="28"/>
  <c r="M91" i="28"/>
  <c r="K91" i="28"/>
  <c r="E91" i="28"/>
  <c r="B91" i="28"/>
  <c r="N90" i="28"/>
  <c r="M90" i="28"/>
  <c r="K90" i="28"/>
  <c r="E90" i="28"/>
  <c r="B90" i="28"/>
  <c r="M89" i="28"/>
  <c r="K89" i="28"/>
  <c r="N89" i="28" s="1"/>
  <c r="E89" i="28"/>
  <c r="B89" i="28"/>
  <c r="M88" i="28"/>
  <c r="K88" i="28"/>
  <c r="N88" i="28" s="1"/>
  <c r="E88" i="28"/>
  <c r="B88" i="28"/>
  <c r="N87" i="28"/>
  <c r="M87" i="28"/>
  <c r="K87" i="28"/>
  <c r="E87" i="28"/>
  <c r="B87" i="28"/>
  <c r="M86" i="28"/>
  <c r="K86" i="28"/>
  <c r="N86" i="28" s="1"/>
  <c r="E86" i="28"/>
  <c r="B86" i="28"/>
  <c r="M85" i="28"/>
  <c r="K85" i="28"/>
  <c r="N85" i="28" s="1"/>
  <c r="E85" i="28"/>
  <c r="B85" i="28"/>
  <c r="M84" i="28"/>
  <c r="K84" i="28"/>
  <c r="N84" i="28" s="1"/>
  <c r="E84" i="28"/>
  <c r="B84" i="28"/>
  <c r="N83" i="28"/>
  <c r="M83" i="28"/>
  <c r="K83" i="28"/>
  <c r="E83" i="28"/>
  <c r="B83" i="28"/>
  <c r="M82" i="28"/>
  <c r="K82" i="28"/>
  <c r="N82" i="28" s="1"/>
  <c r="E82" i="28"/>
  <c r="B82" i="28"/>
  <c r="M81" i="28"/>
  <c r="K81" i="28"/>
  <c r="N81" i="28" s="1"/>
  <c r="E81" i="28"/>
  <c r="B81" i="28"/>
  <c r="M80" i="28"/>
  <c r="K80" i="28"/>
  <c r="N80" i="28" s="1"/>
  <c r="E80" i="28"/>
  <c r="B80" i="28"/>
  <c r="N79" i="28"/>
  <c r="M79" i="28"/>
  <c r="K79" i="28"/>
  <c r="E79" i="28"/>
  <c r="B79" i="28"/>
  <c r="M78" i="28"/>
  <c r="K78" i="28"/>
  <c r="N78" i="28" s="1"/>
  <c r="E78" i="28"/>
  <c r="B78" i="28"/>
  <c r="M77" i="28"/>
  <c r="K77" i="28"/>
  <c r="N77" i="28" s="1"/>
  <c r="E77" i="28"/>
  <c r="B77" i="28"/>
  <c r="M76" i="28"/>
  <c r="K76" i="28"/>
  <c r="N76" i="28" s="1"/>
  <c r="E76" i="28"/>
  <c r="B76" i="28"/>
  <c r="N75" i="28"/>
  <c r="M75" i="28"/>
  <c r="K75" i="28"/>
  <c r="E75" i="28"/>
  <c r="B75" i="28"/>
  <c r="N74" i="28"/>
  <c r="M74" i="28"/>
  <c r="K74" i="28"/>
  <c r="E74" i="28"/>
  <c r="B74" i="28"/>
  <c r="M73" i="28"/>
  <c r="K73" i="28"/>
  <c r="N73" i="28" s="1"/>
  <c r="E73" i="28"/>
  <c r="B73" i="28"/>
  <c r="M72" i="28"/>
  <c r="K72" i="28"/>
  <c r="N72" i="28" s="1"/>
  <c r="E72" i="28"/>
  <c r="B72" i="28"/>
  <c r="N71" i="28"/>
  <c r="M71" i="28"/>
  <c r="K71" i="28"/>
  <c r="E71" i="28"/>
  <c r="B71" i="28"/>
  <c r="M70" i="28"/>
  <c r="K70" i="28"/>
  <c r="N70" i="28" s="1"/>
  <c r="E70" i="28"/>
  <c r="B70" i="28"/>
  <c r="M69" i="28"/>
  <c r="K69" i="28"/>
  <c r="N69" i="28" s="1"/>
  <c r="E69" i="28"/>
  <c r="B69" i="28"/>
  <c r="M68" i="28"/>
  <c r="K68" i="28"/>
  <c r="N68" i="28" s="1"/>
  <c r="E68" i="28"/>
  <c r="B68" i="28"/>
  <c r="N67" i="28"/>
  <c r="M67" i="28"/>
  <c r="K67" i="28"/>
  <c r="E67" i="28"/>
  <c r="B67" i="28"/>
  <c r="M66" i="28"/>
  <c r="K66" i="28"/>
  <c r="N66" i="28" s="1"/>
  <c r="E66" i="28"/>
  <c r="B66" i="28"/>
  <c r="M65" i="28"/>
  <c r="K65" i="28"/>
  <c r="N65" i="28" s="1"/>
  <c r="E65" i="28"/>
  <c r="B65" i="28"/>
  <c r="M64" i="28"/>
  <c r="K64" i="28"/>
  <c r="N64" i="28" s="1"/>
  <c r="E64" i="28"/>
  <c r="B64" i="28"/>
  <c r="N63" i="28"/>
  <c r="M63" i="28"/>
  <c r="K63" i="28"/>
  <c r="E63" i="28"/>
  <c r="B63" i="28"/>
  <c r="M62" i="28"/>
  <c r="K62" i="28"/>
  <c r="N62" i="28" s="1"/>
  <c r="E62" i="28"/>
  <c r="B62" i="28"/>
  <c r="M61" i="28"/>
  <c r="K61" i="28"/>
  <c r="N61" i="28" s="1"/>
  <c r="E61" i="28"/>
  <c r="B61" i="28"/>
  <c r="M60" i="28"/>
  <c r="K60" i="28"/>
  <c r="N60" i="28" s="1"/>
  <c r="E60" i="28"/>
  <c r="B60" i="28"/>
  <c r="N59" i="28"/>
  <c r="M59" i="28"/>
  <c r="K59" i="28"/>
  <c r="E59" i="28"/>
  <c r="B59" i="28"/>
  <c r="N58" i="28"/>
  <c r="M58" i="28"/>
  <c r="K58" i="28"/>
  <c r="E58" i="28"/>
  <c r="B58" i="28"/>
  <c r="M57" i="28"/>
  <c r="K57" i="28"/>
  <c r="N57" i="28" s="1"/>
  <c r="E57" i="28"/>
  <c r="B57" i="28"/>
  <c r="M56" i="28"/>
  <c r="K56" i="28"/>
  <c r="N56" i="28" s="1"/>
  <c r="E56" i="28"/>
  <c r="B56" i="28"/>
  <c r="N55" i="28"/>
  <c r="M55" i="28"/>
  <c r="K55" i="28"/>
  <c r="E55" i="28"/>
  <c r="B55" i="28"/>
  <c r="M54" i="28"/>
  <c r="K54" i="28"/>
  <c r="N54" i="28" s="1"/>
  <c r="E54" i="28"/>
  <c r="B54" i="28"/>
  <c r="M53" i="28"/>
  <c r="K53" i="28"/>
  <c r="N53" i="28" s="1"/>
  <c r="E53" i="28"/>
  <c r="B53" i="28"/>
  <c r="M52" i="28"/>
  <c r="K52" i="28"/>
  <c r="N52" i="28" s="1"/>
  <c r="E52" i="28"/>
  <c r="B52" i="28"/>
  <c r="N51" i="28"/>
  <c r="M51" i="28"/>
  <c r="K51" i="28"/>
  <c r="E51" i="28"/>
  <c r="B51" i="28"/>
  <c r="M50" i="28"/>
  <c r="K50" i="28"/>
  <c r="N50" i="28" s="1"/>
  <c r="E50" i="28"/>
  <c r="B50" i="28"/>
  <c r="M49" i="28"/>
  <c r="K49" i="28"/>
  <c r="N49" i="28" s="1"/>
  <c r="E49" i="28"/>
  <c r="B49" i="28"/>
  <c r="M48" i="28"/>
  <c r="K48" i="28"/>
  <c r="N48" i="28" s="1"/>
  <c r="E48" i="28"/>
  <c r="B48" i="28"/>
  <c r="N47" i="28"/>
  <c r="M47" i="28"/>
  <c r="K47" i="28"/>
  <c r="E47" i="28"/>
  <c r="B47" i="28"/>
  <c r="M46" i="28"/>
  <c r="K46" i="28"/>
  <c r="N46" i="28" s="1"/>
  <c r="E46" i="28"/>
  <c r="B46" i="28"/>
  <c r="M45" i="28"/>
  <c r="K45" i="28"/>
  <c r="N45" i="28" s="1"/>
  <c r="E45" i="28"/>
  <c r="B45" i="28"/>
  <c r="M44" i="28"/>
  <c r="K44" i="28"/>
  <c r="N44" i="28" s="1"/>
  <c r="E44" i="28"/>
  <c r="B44" i="28"/>
  <c r="N43" i="28"/>
  <c r="M43" i="28"/>
  <c r="K43" i="28"/>
  <c r="E43" i="28"/>
  <c r="B43" i="28"/>
  <c r="N42" i="28"/>
  <c r="M42" i="28"/>
  <c r="K42" i="28"/>
  <c r="E42" i="28"/>
  <c r="B42" i="28"/>
  <c r="M41" i="28"/>
  <c r="K41" i="28"/>
  <c r="N41" i="28" s="1"/>
  <c r="E41" i="28"/>
  <c r="B41" i="28"/>
  <c r="M40" i="28"/>
  <c r="K40" i="28"/>
  <c r="N40" i="28" s="1"/>
  <c r="E40" i="28"/>
  <c r="B40" i="28"/>
  <c r="N39" i="28"/>
  <c r="M39" i="28"/>
  <c r="K39" i="28"/>
  <c r="E39" i="28"/>
  <c r="B39" i="28"/>
  <c r="M38" i="28"/>
  <c r="K38" i="28"/>
  <c r="N38" i="28" s="1"/>
  <c r="E38" i="28"/>
  <c r="B38" i="28"/>
  <c r="M37" i="28"/>
  <c r="K37" i="28"/>
  <c r="N37" i="28" s="1"/>
  <c r="E37" i="28"/>
  <c r="B37" i="28"/>
  <c r="M36" i="28"/>
  <c r="K36" i="28"/>
  <c r="N36" i="28" s="1"/>
  <c r="E36" i="28"/>
  <c r="B36" i="28"/>
  <c r="N35" i="28"/>
  <c r="M35" i="28"/>
  <c r="K35" i="28"/>
  <c r="E35" i="28"/>
  <c r="B35" i="28"/>
  <c r="M34" i="28"/>
  <c r="K34" i="28"/>
  <c r="N34" i="28" s="1"/>
  <c r="E34" i="28"/>
  <c r="B34" i="28"/>
  <c r="M33" i="28"/>
  <c r="K33" i="28"/>
  <c r="N33" i="28" s="1"/>
  <c r="E33" i="28"/>
  <c r="B33" i="28"/>
  <c r="M32" i="28"/>
  <c r="K32" i="28"/>
  <c r="N32" i="28" s="1"/>
  <c r="E32" i="28"/>
  <c r="B32" i="28"/>
  <c r="N31" i="28"/>
  <c r="M31" i="28"/>
  <c r="K31" i="28"/>
  <c r="E31" i="28"/>
  <c r="B31" i="28"/>
  <c r="M30" i="28"/>
  <c r="K30" i="28"/>
  <c r="N30" i="28" s="1"/>
  <c r="E30" i="28"/>
  <c r="B30" i="28"/>
  <c r="M29" i="28"/>
  <c r="K29" i="28"/>
  <c r="N29" i="28" s="1"/>
  <c r="E29" i="28"/>
  <c r="B29" i="28"/>
  <c r="M28" i="28"/>
  <c r="K28" i="28"/>
  <c r="N28" i="28" s="1"/>
  <c r="E28" i="28"/>
  <c r="B28" i="28"/>
  <c r="N27" i="28"/>
  <c r="M27" i="28"/>
  <c r="K27" i="28"/>
  <c r="E27" i="28"/>
  <c r="B27" i="28"/>
  <c r="N26" i="28"/>
  <c r="M26" i="28"/>
  <c r="K26" i="28"/>
  <c r="E26" i="28"/>
  <c r="B26" i="28"/>
  <c r="M25" i="28"/>
  <c r="K25" i="28"/>
  <c r="N25" i="28" s="1"/>
  <c r="E25" i="28"/>
  <c r="B25" i="28"/>
  <c r="M24" i="28"/>
  <c r="K24" i="28"/>
  <c r="N24" i="28" s="1"/>
  <c r="E24" i="28"/>
  <c r="B24" i="28"/>
  <c r="N23" i="28"/>
  <c r="M23" i="28"/>
  <c r="K23" i="28"/>
  <c r="E23" i="28"/>
  <c r="B23" i="28"/>
  <c r="M22" i="28"/>
  <c r="K22" i="28"/>
  <c r="N22" i="28" s="1"/>
  <c r="E22" i="28"/>
  <c r="B22" i="28"/>
  <c r="M21" i="28"/>
  <c r="K21" i="28"/>
  <c r="N21" i="28" s="1"/>
  <c r="E21" i="28"/>
  <c r="B21" i="28"/>
  <c r="M20" i="28"/>
  <c r="K20" i="28"/>
  <c r="N20" i="28" s="1"/>
  <c r="E20" i="28"/>
  <c r="B20" i="28"/>
  <c r="N19" i="28"/>
  <c r="M19" i="28"/>
  <c r="K19" i="28"/>
  <c r="E19" i="28"/>
  <c r="B19" i="28"/>
  <c r="M18" i="28"/>
  <c r="K18" i="28"/>
  <c r="N18" i="28" s="1"/>
  <c r="E18" i="28"/>
  <c r="B18" i="28"/>
  <c r="M17" i="28"/>
  <c r="K17" i="28"/>
  <c r="N17" i="28" s="1"/>
  <c r="E17" i="28"/>
  <c r="B17" i="28"/>
  <c r="M16" i="28"/>
  <c r="K16" i="28"/>
  <c r="N16" i="28" s="1"/>
  <c r="E16" i="28"/>
  <c r="B16" i="28"/>
  <c r="N15" i="28"/>
  <c r="M15" i="28"/>
  <c r="K15" i="28"/>
  <c r="E15" i="28"/>
  <c r="B15" i="28"/>
  <c r="M14" i="28"/>
  <c r="K14" i="28"/>
  <c r="N14" i="28" s="1"/>
  <c r="E14" i="28"/>
  <c r="B14" i="28"/>
  <c r="M13" i="28"/>
  <c r="K13" i="28"/>
  <c r="N13" i="28" s="1"/>
  <c r="E13" i="28"/>
  <c r="B13" i="28"/>
  <c r="M12" i="28"/>
  <c r="K12" i="28"/>
  <c r="N12" i="28" s="1"/>
  <c r="E12" i="28"/>
  <c r="B12" i="28"/>
  <c r="N11" i="28"/>
  <c r="M11" i="28"/>
  <c r="K11" i="28"/>
  <c r="E11" i="28"/>
  <c r="B11" i="28"/>
  <c r="N10" i="28"/>
  <c r="M10" i="28"/>
  <c r="K10" i="28"/>
  <c r="E10" i="28"/>
  <c r="B10" i="28"/>
  <c r="M9" i="28"/>
  <c r="K9" i="28"/>
  <c r="N9" i="28" s="1"/>
  <c r="E9" i="28"/>
  <c r="B9" i="28"/>
  <c r="M8" i="28"/>
  <c r="K8" i="28"/>
  <c r="N8" i="28" s="1"/>
  <c r="E8" i="28"/>
  <c r="B8" i="28"/>
  <c r="N7" i="28"/>
  <c r="M7" i="28"/>
  <c r="K7" i="28"/>
  <c r="E7" i="28"/>
  <c r="B7" i="28"/>
  <c r="M6" i="28"/>
  <c r="K6" i="28"/>
  <c r="N6" i="28" s="1"/>
  <c r="E6" i="28"/>
  <c r="B6" i="28"/>
  <c r="M5" i="28"/>
  <c r="K5" i="28"/>
  <c r="E5" i="28"/>
  <c r="B5" i="28"/>
  <c r="M4" i="28"/>
  <c r="K4" i="28"/>
  <c r="N4" i="28" s="1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N134" i="27"/>
  <c r="M134" i="27"/>
  <c r="K134" i="27"/>
  <c r="E134" i="27"/>
  <c r="B134" i="27"/>
  <c r="N133" i="27"/>
  <c r="M133" i="27"/>
  <c r="K133" i="27"/>
  <c r="E133" i="27"/>
  <c r="B133" i="27"/>
  <c r="M132" i="27"/>
  <c r="N132" i="27" s="1"/>
  <c r="K132" i="27"/>
  <c r="E132" i="27"/>
  <c r="B132" i="27"/>
  <c r="M131" i="27"/>
  <c r="K131" i="27"/>
  <c r="N131" i="27" s="1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K127" i="27"/>
  <c r="N127" i="27" s="1"/>
  <c r="E127" i="27"/>
  <c r="B127" i="27"/>
  <c r="N126" i="27"/>
  <c r="M126" i="27"/>
  <c r="K126" i="27"/>
  <c r="E126" i="27"/>
  <c r="B126" i="27"/>
  <c r="N125" i="27"/>
  <c r="M125" i="27"/>
  <c r="K125" i="27"/>
  <c r="E125" i="27"/>
  <c r="B125" i="27"/>
  <c r="M124" i="27"/>
  <c r="N124" i="27" s="1"/>
  <c r="K124" i="27"/>
  <c r="E124" i="27"/>
  <c r="B124" i="27"/>
  <c r="M123" i="27"/>
  <c r="K123" i="27"/>
  <c r="N123" i="27" s="1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K115" i="27"/>
  <c r="N115" i="27" s="1"/>
  <c r="E115" i="27"/>
  <c r="B115" i="27"/>
  <c r="N114" i="27"/>
  <c r="M114" i="27"/>
  <c r="K114" i="27"/>
  <c r="E114" i="27"/>
  <c r="B114" i="27"/>
  <c r="N113" i="27"/>
  <c r="M113" i="27"/>
  <c r="K113" i="27"/>
  <c r="E113" i="27"/>
  <c r="B113" i="27"/>
  <c r="M112" i="27"/>
  <c r="N112" i="27" s="1"/>
  <c r="K112" i="27"/>
  <c r="E112" i="27"/>
  <c r="B112" i="27"/>
  <c r="M111" i="27"/>
  <c r="K111" i="27"/>
  <c r="N111" i="27" s="1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K107" i="27"/>
  <c r="N107" i="27" s="1"/>
  <c r="E107" i="27"/>
  <c r="B107" i="27"/>
  <c r="N106" i="27"/>
  <c r="M106" i="27"/>
  <c r="K106" i="27"/>
  <c r="E106" i="27"/>
  <c r="B106" i="27"/>
  <c r="N105" i="27"/>
  <c r="M105" i="27"/>
  <c r="K105" i="27"/>
  <c r="E105" i="27"/>
  <c r="B105" i="27"/>
  <c r="M104" i="27"/>
  <c r="N104" i="27" s="1"/>
  <c r="K104" i="27"/>
  <c r="E104" i="27"/>
  <c r="B104" i="27"/>
  <c r="M103" i="27"/>
  <c r="K103" i="27"/>
  <c r="E103" i="27"/>
  <c r="B103" i="27"/>
  <c r="N102" i="27"/>
  <c r="M102" i="27"/>
  <c r="K102" i="27"/>
  <c r="E102" i="27"/>
  <c r="B102" i="27"/>
  <c r="N101" i="27"/>
  <c r="M101" i="27"/>
  <c r="K101" i="27"/>
  <c r="E101" i="27"/>
  <c r="B101" i="27"/>
  <c r="M100" i="27"/>
  <c r="N100" i="27" s="1"/>
  <c r="K100" i="27"/>
  <c r="E100" i="27"/>
  <c r="B100" i="27"/>
  <c r="M99" i="27"/>
  <c r="K99" i="27"/>
  <c r="N99" i="27" s="1"/>
  <c r="E99" i="27"/>
  <c r="B99" i="27"/>
  <c r="N98" i="27"/>
  <c r="M98" i="27"/>
  <c r="K98" i="27"/>
  <c r="E98" i="27"/>
  <c r="B98" i="27"/>
  <c r="N97" i="27"/>
  <c r="M97" i="27"/>
  <c r="K97" i="27"/>
  <c r="E97" i="27"/>
  <c r="B97" i="27"/>
  <c r="M96" i="27"/>
  <c r="N96" i="27" s="1"/>
  <c r="K96" i="27"/>
  <c r="E96" i="27"/>
  <c r="B96" i="27"/>
  <c r="M95" i="27"/>
  <c r="K95" i="27"/>
  <c r="N95" i="27" s="1"/>
  <c r="E95" i="27"/>
  <c r="B95" i="27"/>
  <c r="N94" i="27"/>
  <c r="M94" i="27"/>
  <c r="K94" i="27"/>
  <c r="E94" i="27"/>
  <c r="B94" i="27"/>
  <c r="N93" i="27"/>
  <c r="M93" i="27"/>
  <c r="K93" i="27"/>
  <c r="E93" i="27"/>
  <c r="B93" i="27"/>
  <c r="M92" i="27"/>
  <c r="N92" i="27" s="1"/>
  <c r="K92" i="27"/>
  <c r="E92" i="27"/>
  <c r="B92" i="27"/>
  <c r="M91" i="27"/>
  <c r="K91" i="27"/>
  <c r="N91" i="27" s="1"/>
  <c r="E91" i="27"/>
  <c r="B91" i="27"/>
  <c r="N90" i="27"/>
  <c r="M90" i="27"/>
  <c r="K90" i="27"/>
  <c r="E90" i="27"/>
  <c r="B90" i="27"/>
  <c r="N89" i="27"/>
  <c r="M89" i="27"/>
  <c r="K89" i="27"/>
  <c r="E89" i="27"/>
  <c r="B89" i="27"/>
  <c r="M88" i="27"/>
  <c r="N88" i="27" s="1"/>
  <c r="K88" i="27"/>
  <c r="E88" i="27"/>
  <c r="B88" i="27"/>
  <c r="M87" i="27"/>
  <c r="K87" i="27"/>
  <c r="E87" i="27"/>
  <c r="B87" i="27"/>
  <c r="N86" i="27"/>
  <c r="M86" i="27"/>
  <c r="K86" i="27"/>
  <c r="E86" i="27"/>
  <c r="B86" i="27"/>
  <c r="N85" i="27"/>
  <c r="M85" i="27"/>
  <c r="K85" i="27"/>
  <c r="E85" i="27"/>
  <c r="B85" i="27"/>
  <c r="M84" i="27"/>
  <c r="N84" i="27" s="1"/>
  <c r="K84" i="27"/>
  <c r="E84" i="27"/>
  <c r="B84" i="27"/>
  <c r="M83" i="27"/>
  <c r="K83" i="27"/>
  <c r="N83" i="27" s="1"/>
  <c r="E83" i="27"/>
  <c r="B83" i="27"/>
  <c r="N82" i="27"/>
  <c r="M82" i="27"/>
  <c r="K82" i="27"/>
  <c r="E82" i="27"/>
  <c r="B82" i="27"/>
  <c r="N81" i="27"/>
  <c r="M81" i="27"/>
  <c r="K81" i="27"/>
  <c r="E81" i="27"/>
  <c r="B81" i="27"/>
  <c r="M80" i="27"/>
  <c r="N80" i="27" s="1"/>
  <c r="K80" i="27"/>
  <c r="E80" i="27"/>
  <c r="B80" i="27"/>
  <c r="M79" i="27"/>
  <c r="K79" i="27"/>
  <c r="N79" i="27" s="1"/>
  <c r="E79" i="27"/>
  <c r="B79" i="27"/>
  <c r="N78" i="27"/>
  <c r="M78" i="27"/>
  <c r="K78" i="27"/>
  <c r="E78" i="27"/>
  <c r="B78" i="27"/>
  <c r="N77" i="27"/>
  <c r="M77" i="27"/>
  <c r="K77" i="27"/>
  <c r="E77" i="27"/>
  <c r="B77" i="27"/>
  <c r="M76" i="27"/>
  <c r="N76" i="27" s="1"/>
  <c r="K76" i="27"/>
  <c r="E76" i="27"/>
  <c r="B76" i="27"/>
  <c r="M75" i="27"/>
  <c r="K75" i="27"/>
  <c r="N75" i="27" s="1"/>
  <c r="E75" i="27"/>
  <c r="B75" i="27"/>
  <c r="N74" i="27"/>
  <c r="M74" i="27"/>
  <c r="K74" i="27"/>
  <c r="E74" i="27"/>
  <c r="B74" i="27"/>
  <c r="N73" i="27"/>
  <c r="M73" i="27"/>
  <c r="K73" i="27"/>
  <c r="E73" i="27"/>
  <c r="B73" i="27"/>
  <c r="M72" i="27"/>
  <c r="N72" i="27" s="1"/>
  <c r="K72" i="27"/>
  <c r="E72" i="27"/>
  <c r="B72" i="27"/>
  <c r="M71" i="27"/>
  <c r="K71" i="27"/>
  <c r="E71" i="27"/>
  <c r="B71" i="27"/>
  <c r="N70" i="27"/>
  <c r="M70" i="27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K67" i="27"/>
  <c r="N67" i="27" s="1"/>
  <c r="E67" i="27"/>
  <c r="B67" i="27"/>
  <c r="N66" i="27"/>
  <c r="M66" i="27"/>
  <c r="K66" i="27"/>
  <c r="E66" i="27"/>
  <c r="B66" i="27"/>
  <c r="N65" i="27"/>
  <c r="M65" i="27"/>
  <c r="K65" i="27"/>
  <c r="E65" i="27"/>
  <c r="B65" i="27"/>
  <c r="M64" i="27"/>
  <c r="N64" i="27" s="1"/>
  <c r="K64" i="27"/>
  <c r="E64" i="27"/>
  <c r="B64" i="27"/>
  <c r="M63" i="27"/>
  <c r="K63" i="27"/>
  <c r="N63" i="27" s="1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K59" i="27"/>
  <c r="N59" i="27" s="1"/>
  <c r="E59" i="27"/>
  <c r="B59" i="27"/>
  <c r="N58" i="27"/>
  <c r="M58" i="27"/>
  <c r="K58" i="27"/>
  <c r="E58" i="27"/>
  <c r="B58" i="27"/>
  <c r="N57" i="27"/>
  <c r="M57" i="27"/>
  <c r="K57" i="27"/>
  <c r="E57" i="27"/>
  <c r="B57" i="27"/>
  <c r="M56" i="27"/>
  <c r="N56" i="27" s="1"/>
  <c r="K56" i="27"/>
  <c r="E56" i="27"/>
  <c r="B56" i="27"/>
  <c r="M55" i="27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M52" i="27"/>
  <c r="N52" i="27" s="1"/>
  <c r="K52" i="27"/>
  <c r="E52" i="27"/>
  <c r="B52" i="27"/>
  <c r="M51" i="27"/>
  <c r="K51" i="27"/>
  <c r="N51" i="27" s="1"/>
  <c r="E51" i="27"/>
  <c r="B51" i="27"/>
  <c r="N50" i="27"/>
  <c r="M50" i="27"/>
  <c r="K50" i="27"/>
  <c r="E50" i="27"/>
  <c r="B50" i="27"/>
  <c r="N49" i="27"/>
  <c r="M49" i="27"/>
  <c r="K49" i="27"/>
  <c r="E49" i="27"/>
  <c r="B49" i="27"/>
  <c r="M48" i="27"/>
  <c r="N48" i="27" s="1"/>
  <c r="K48" i="27"/>
  <c r="E48" i="27"/>
  <c r="B48" i="27"/>
  <c r="M47" i="27"/>
  <c r="K47" i="27"/>
  <c r="N47" i="27" s="1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K43" i="27"/>
  <c r="E43" i="27"/>
  <c r="B43" i="27"/>
  <c r="N42" i="27"/>
  <c r="M42" i="27"/>
  <c r="K42" i="27"/>
  <c r="E42" i="27"/>
  <c r="B42" i="27"/>
  <c r="N41" i="27"/>
  <c r="M41" i="27"/>
  <c r="K41" i="27"/>
  <c r="E41" i="27"/>
  <c r="B41" i="27"/>
  <c r="M40" i="27"/>
  <c r="N40" i="27" s="1"/>
  <c r="K40" i="27"/>
  <c r="E40" i="27"/>
  <c r="B40" i="27"/>
  <c r="M39" i="27"/>
  <c r="K39" i="27"/>
  <c r="E39" i="27"/>
  <c r="B39" i="27"/>
  <c r="N38" i="27"/>
  <c r="M38" i="27"/>
  <c r="K38" i="27"/>
  <c r="E38" i="27"/>
  <c r="B38" i="27"/>
  <c r="N37" i="27"/>
  <c r="M37" i="27"/>
  <c r="K37" i="27"/>
  <c r="E37" i="27"/>
  <c r="B37" i="27"/>
  <c r="M36" i="27"/>
  <c r="N36" i="27" s="1"/>
  <c r="K36" i="27"/>
  <c r="E36" i="27"/>
  <c r="B36" i="27"/>
  <c r="M35" i="27"/>
  <c r="K35" i="27"/>
  <c r="N35" i="27" s="1"/>
  <c r="E35" i="27"/>
  <c r="B35" i="27"/>
  <c r="N34" i="27"/>
  <c r="M34" i="27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M31" i="27"/>
  <c r="K31" i="27"/>
  <c r="N31" i="27" s="1"/>
  <c r="E31" i="27"/>
  <c r="B31" i="27"/>
  <c r="N30" i="27"/>
  <c r="M30" i="27"/>
  <c r="K30" i="27"/>
  <c r="E30" i="27"/>
  <c r="B30" i="27"/>
  <c r="N29" i="27"/>
  <c r="M29" i="27"/>
  <c r="K29" i="27"/>
  <c r="E29" i="27"/>
  <c r="B29" i="27"/>
  <c r="M28" i="27"/>
  <c r="N28" i="27" s="1"/>
  <c r="K28" i="27"/>
  <c r="E28" i="27"/>
  <c r="B28" i="27"/>
  <c r="M27" i="27"/>
  <c r="K27" i="27"/>
  <c r="E27" i="27"/>
  <c r="B27" i="27"/>
  <c r="N26" i="27"/>
  <c r="M26" i="27"/>
  <c r="K26" i="27"/>
  <c r="E26" i="27"/>
  <c r="B26" i="27"/>
  <c r="N25" i="27"/>
  <c r="M25" i="27"/>
  <c r="K25" i="27"/>
  <c r="E25" i="27"/>
  <c r="B25" i="27"/>
  <c r="M24" i="27"/>
  <c r="N24" i="27" s="1"/>
  <c r="K24" i="27"/>
  <c r="E24" i="27"/>
  <c r="B24" i="27"/>
  <c r="M23" i="27"/>
  <c r="K23" i="27"/>
  <c r="E23" i="27"/>
  <c r="B23" i="27"/>
  <c r="N22" i="27"/>
  <c r="M22" i="27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K19" i="27"/>
  <c r="N19" i="27" s="1"/>
  <c r="E19" i="27"/>
  <c r="B19" i="27"/>
  <c r="N18" i="27"/>
  <c r="M18" i="27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K15" i="27"/>
  <c r="N15" i="27" s="1"/>
  <c r="E15" i="27"/>
  <c r="B15" i="27"/>
  <c r="N14" i="27"/>
  <c r="M14" i="27"/>
  <c r="K14" i="27"/>
  <c r="E14" i="27"/>
  <c r="B14" i="27"/>
  <c r="N13" i="27"/>
  <c r="M13" i="27"/>
  <c r="K13" i="27"/>
  <c r="E13" i="27"/>
  <c r="B13" i="27"/>
  <c r="M12" i="27"/>
  <c r="N12" i="27" s="1"/>
  <c r="K12" i="27"/>
  <c r="E12" i="27"/>
  <c r="B12" i="27"/>
  <c r="M11" i="27"/>
  <c r="K11" i="27"/>
  <c r="E11" i="27"/>
  <c r="B11" i="27"/>
  <c r="N10" i="27"/>
  <c r="M10" i="27"/>
  <c r="K10" i="27"/>
  <c r="E10" i="27"/>
  <c r="B10" i="27"/>
  <c r="N9" i="27"/>
  <c r="M9" i="27"/>
  <c r="K9" i="27"/>
  <c r="E9" i="27"/>
  <c r="B9" i="27"/>
  <c r="M8" i="27"/>
  <c r="N8" i="27" s="1"/>
  <c r="K8" i="27"/>
  <c r="E8" i="27"/>
  <c r="B8" i="27"/>
  <c r="M7" i="27"/>
  <c r="K7" i="27"/>
  <c r="N7" i="27" s="1"/>
  <c r="E7" i="27"/>
  <c r="B7" i="27"/>
  <c r="N6" i="27"/>
  <c r="M6" i="27"/>
  <c r="K6" i="27"/>
  <c r="E6" i="27"/>
  <c r="B6" i="27"/>
  <c r="N5" i="27"/>
  <c r="M5" i="27"/>
  <c r="K5" i="27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O2" i="27"/>
  <c r="M2" i="27"/>
  <c r="L2" i="27"/>
  <c r="K2" i="27"/>
  <c r="J2" i="27"/>
  <c r="I2" i="27"/>
  <c r="H2" i="27"/>
  <c r="G2" i="27"/>
  <c r="N2" i="27" s="1"/>
  <c r="F2" i="27"/>
  <c r="E2" i="27"/>
  <c r="N150" i="26"/>
  <c r="M150" i="26"/>
  <c r="K150" i="26"/>
  <c r="E150" i="26"/>
  <c r="B150" i="26"/>
  <c r="M149" i="26"/>
  <c r="K149" i="26"/>
  <c r="N149" i="26" s="1"/>
  <c r="E149" i="26"/>
  <c r="B149" i="26"/>
  <c r="M148" i="26"/>
  <c r="K148" i="26"/>
  <c r="N148" i="26" s="1"/>
  <c r="E148" i="26"/>
  <c r="B148" i="26"/>
  <c r="M147" i="26"/>
  <c r="K147" i="26"/>
  <c r="N147" i="26" s="1"/>
  <c r="E147" i="26"/>
  <c r="B147" i="26"/>
  <c r="N146" i="26"/>
  <c r="M146" i="26"/>
  <c r="K146" i="26"/>
  <c r="E146" i="26"/>
  <c r="B146" i="26"/>
  <c r="M145" i="26"/>
  <c r="N145" i="26" s="1"/>
  <c r="K145" i="26"/>
  <c r="E145" i="26"/>
  <c r="B145" i="26"/>
  <c r="M144" i="26"/>
  <c r="K144" i="26"/>
  <c r="N144" i="26" s="1"/>
  <c r="E144" i="26"/>
  <c r="B144" i="26"/>
  <c r="M143" i="26"/>
  <c r="K143" i="26"/>
  <c r="N143" i="26" s="1"/>
  <c r="E143" i="26"/>
  <c r="B143" i="26"/>
  <c r="N142" i="26"/>
  <c r="M142" i="26"/>
  <c r="K142" i="26"/>
  <c r="E142" i="26"/>
  <c r="B142" i="26"/>
  <c r="M141" i="26"/>
  <c r="K141" i="26"/>
  <c r="N141" i="26" s="1"/>
  <c r="E141" i="26"/>
  <c r="B141" i="26"/>
  <c r="M140" i="26"/>
  <c r="K140" i="26"/>
  <c r="N140" i="26" s="1"/>
  <c r="E140" i="26"/>
  <c r="B140" i="26"/>
  <c r="M139" i="26"/>
  <c r="K139" i="26"/>
  <c r="N139" i="26" s="1"/>
  <c r="E139" i="26"/>
  <c r="B139" i="26"/>
  <c r="N138" i="26"/>
  <c r="M138" i="26"/>
  <c r="K138" i="26"/>
  <c r="E138" i="26"/>
  <c r="B138" i="26"/>
  <c r="M137" i="26"/>
  <c r="K137" i="26"/>
  <c r="N137" i="26" s="1"/>
  <c r="E137" i="26"/>
  <c r="B137" i="26"/>
  <c r="M136" i="26"/>
  <c r="K136" i="26"/>
  <c r="N136" i="26" s="1"/>
  <c r="E136" i="26"/>
  <c r="B136" i="26"/>
  <c r="M135" i="26"/>
  <c r="K135" i="26"/>
  <c r="N135" i="26" s="1"/>
  <c r="E135" i="26"/>
  <c r="B135" i="26"/>
  <c r="N134" i="26"/>
  <c r="M134" i="26"/>
  <c r="K134" i="26"/>
  <c r="E134" i="26"/>
  <c r="B134" i="26"/>
  <c r="M133" i="26"/>
  <c r="K133" i="26"/>
  <c r="N133" i="26" s="1"/>
  <c r="E133" i="26"/>
  <c r="B133" i="26"/>
  <c r="M132" i="26"/>
  <c r="K132" i="26"/>
  <c r="N132" i="26" s="1"/>
  <c r="E132" i="26"/>
  <c r="B132" i="26"/>
  <c r="M131" i="26"/>
  <c r="K131" i="26"/>
  <c r="N131" i="26" s="1"/>
  <c r="E131" i="26"/>
  <c r="B131" i="26"/>
  <c r="N130" i="26"/>
  <c r="M130" i="26"/>
  <c r="K130" i="26"/>
  <c r="E130" i="26"/>
  <c r="B130" i="26"/>
  <c r="M129" i="26"/>
  <c r="N129" i="26" s="1"/>
  <c r="K129" i="26"/>
  <c r="E129" i="26"/>
  <c r="B129" i="26"/>
  <c r="M128" i="26"/>
  <c r="K128" i="26"/>
  <c r="N128" i="26" s="1"/>
  <c r="E128" i="26"/>
  <c r="B128" i="26"/>
  <c r="M127" i="26"/>
  <c r="K127" i="26"/>
  <c r="N127" i="26" s="1"/>
  <c r="E127" i="26"/>
  <c r="B127" i="26"/>
  <c r="N126" i="26"/>
  <c r="M126" i="26"/>
  <c r="K126" i="26"/>
  <c r="E126" i="26"/>
  <c r="B126" i="26"/>
  <c r="M125" i="26"/>
  <c r="K125" i="26"/>
  <c r="N125" i="26" s="1"/>
  <c r="E125" i="26"/>
  <c r="B125" i="26"/>
  <c r="M124" i="26"/>
  <c r="K124" i="26"/>
  <c r="N124" i="26" s="1"/>
  <c r="E124" i="26"/>
  <c r="B124" i="26"/>
  <c r="M123" i="26"/>
  <c r="K123" i="26"/>
  <c r="N123" i="26" s="1"/>
  <c r="E123" i="26"/>
  <c r="B123" i="26"/>
  <c r="N122" i="26"/>
  <c r="M122" i="26"/>
  <c r="K122" i="26"/>
  <c r="E122" i="26"/>
  <c r="B122" i="26"/>
  <c r="M121" i="26"/>
  <c r="K121" i="26"/>
  <c r="N121" i="26" s="1"/>
  <c r="E121" i="26"/>
  <c r="B121" i="26"/>
  <c r="M120" i="26"/>
  <c r="K120" i="26"/>
  <c r="N120" i="26" s="1"/>
  <c r="E120" i="26"/>
  <c r="B120" i="26"/>
  <c r="M119" i="26"/>
  <c r="K119" i="26"/>
  <c r="N119" i="26" s="1"/>
  <c r="E119" i="26"/>
  <c r="B119" i="26"/>
  <c r="N118" i="26"/>
  <c r="M118" i="26"/>
  <c r="K118" i="26"/>
  <c r="E118" i="26"/>
  <c r="B118" i="26"/>
  <c r="M117" i="26"/>
  <c r="K117" i="26"/>
  <c r="N117" i="26" s="1"/>
  <c r="E117" i="26"/>
  <c r="B117" i="26"/>
  <c r="M116" i="26"/>
  <c r="K116" i="26"/>
  <c r="N116" i="26" s="1"/>
  <c r="E116" i="26"/>
  <c r="B116" i="26"/>
  <c r="M115" i="26"/>
  <c r="K115" i="26"/>
  <c r="N115" i="26" s="1"/>
  <c r="E115" i="26"/>
  <c r="B115" i="26"/>
  <c r="N114" i="26"/>
  <c r="M114" i="26"/>
  <c r="K114" i="26"/>
  <c r="E114" i="26"/>
  <c r="B114" i="26"/>
  <c r="M113" i="26"/>
  <c r="N113" i="26" s="1"/>
  <c r="K113" i="26"/>
  <c r="E113" i="26"/>
  <c r="B113" i="26"/>
  <c r="M112" i="26"/>
  <c r="K112" i="26"/>
  <c r="N112" i="26" s="1"/>
  <c r="E112" i="26"/>
  <c r="B112" i="26"/>
  <c r="M111" i="26"/>
  <c r="K111" i="26"/>
  <c r="N111" i="26" s="1"/>
  <c r="E111" i="26"/>
  <c r="B111" i="26"/>
  <c r="N110" i="26"/>
  <c r="M110" i="26"/>
  <c r="K110" i="26"/>
  <c r="E110" i="26"/>
  <c r="B110" i="26"/>
  <c r="M109" i="26"/>
  <c r="K109" i="26"/>
  <c r="N109" i="26" s="1"/>
  <c r="E109" i="26"/>
  <c r="B109" i="26"/>
  <c r="M108" i="26"/>
  <c r="K108" i="26"/>
  <c r="N108" i="26" s="1"/>
  <c r="E108" i="26"/>
  <c r="B108" i="26"/>
  <c r="M107" i="26"/>
  <c r="K107" i="26"/>
  <c r="N107" i="26" s="1"/>
  <c r="E107" i="26"/>
  <c r="B107" i="26"/>
  <c r="N106" i="26"/>
  <c r="M106" i="26"/>
  <c r="K106" i="26"/>
  <c r="E106" i="26"/>
  <c r="B106" i="26"/>
  <c r="M105" i="26"/>
  <c r="K105" i="26"/>
  <c r="N105" i="26" s="1"/>
  <c r="E105" i="26"/>
  <c r="B105" i="26"/>
  <c r="M104" i="26"/>
  <c r="K104" i="26"/>
  <c r="N104" i="26" s="1"/>
  <c r="E104" i="26"/>
  <c r="B104" i="26"/>
  <c r="M103" i="26"/>
  <c r="K103" i="26"/>
  <c r="N103" i="26" s="1"/>
  <c r="E103" i="26"/>
  <c r="B103" i="26"/>
  <c r="N102" i="26"/>
  <c r="M102" i="26"/>
  <c r="K102" i="26"/>
  <c r="E102" i="26"/>
  <c r="B102" i="26"/>
  <c r="M101" i="26"/>
  <c r="K101" i="26"/>
  <c r="N101" i="26" s="1"/>
  <c r="E101" i="26"/>
  <c r="B101" i="26"/>
  <c r="M100" i="26"/>
  <c r="K100" i="26"/>
  <c r="N100" i="26" s="1"/>
  <c r="E100" i="26"/>
  <c r="B100" i="26"/>
  <c r="M99" i="26"/>
  <c r="K99" i="26"/>
  <c r="N99" i="26" s="1"/>
  <c r="E99" i="26"/>
  <c r="B99" i="26"/>
  <c r="N98" i="26"/>
  <c r="M98" i="26"/>
  <c r="K98" i="26"/>
  <c r="E98" i="26"/>
  <c r="B98" i="26"/>
  <c r="M97" i="26"/>
  <c r="N97" i="26" s="1"/>
  <c r="K97" i="26"/>
  <c r="E97" i="26"/>
  <c r="B97" i="26"/>
  <c r="M96" i="26"/>
  <c r="K96" i="26"/>
  <c r="N96" i="26" s="1"/>
  <c r="E96" i="26"/>
  <c r="B96" i="26"/>
  <c r="M95" i="26"/>
  <c r="K95" i="26"/>
  <c r="N95" i="26" s="1"/>
  <c r="E95" i="26"/>
  <c r="B95" i="26"/>
  <c r="N94" i="26"/>
  <c r="M94" i="26"/>
  <c r="K94" i="26"/>
  <c r="E94" i="26"/>
  <c r="B94" i="26"/>
  <c r="M93" i="26"/>
  <c r="K93" i="26"/>
  <c r="N93" i="26" s="1"/>
  <c r="E93" i="26"/>
  <c r="B93" i="26"/>
  <c r="M92" i="26"/>
  <c r="K92" i="26"/>
  <c r="N92" i="26" s="1"/>
  <c r="E92" i="26"/>
  <c r="B92" i="26"/>
  <c r="M91" i="26"/>
  <c r="K91" i="26"/>
  <c r="N91" i="26" s="1"/>
  <c r="E91" i="26"/>
  <c r="B91" i="26"/>
  <c r="N90" i="26"/>
  <c r="M90" i="26"/>
  <c r="K90" i="26"/>
  <c r="E90" i="26"/>
  <c r="B90" i="26"/>
  <c r="M89" i="26"/>
  <c r="K89" i="26"/>
  <c r="N89" i="26" s="1"/>
  <c r="E89" i="26"/>
  <c r="B89" i="26"/>
  <c r="M88" i="26"/>
  <c r="K88" i="26"/>
  <c r="N88" i="26" s="1"/>
  <c r="E88" i="26"/>
  <c r="B88" i="26"/>
  <c r="M87" i="26"/>
  <c r="K87" i="26"/>
  <c r="N87" i="26" s="1"/>
  <c r="E87" i="26"/>
  <c r="B87" i="26"/>
  <c r="N86" i="26"/>
  <c r="M86" i="26"/>
  <c r="K86" i="26"/>
  <c r="E86" i="26"/>
  <c r="B86" i="26"/>
  <c r="M85" i="26"/>
  <c r="K85" i="26"/>
  <c r="N85" i="26" s="1"/>
  <c r="E85" i="26"/>
  <c r="B85" i="26"/>
  <c r="M84" i="26"/>
  <c r="K84" i="26"/>
  <c r="N84" i="26" s="1"/>
  <c r="E84" i="26"/>
  <c r="B84" i="26"/>
  <c r="M83" i="26"/>
  <c r="K83" i="26"/>
  <c r="N83" i="26" s="1"/>
  <c r="E83" i="26"/>
  <c r="B83" i="26"/>
  <c r="N82" i="26"/>
  <c r="M82" i="26"/>
  <c r="K82" i="26"/>
  <c r="E82" i="26"/>
  <c r="B82" i="26"/>
  <c r="M81" i="26"/>
  <c r="N81" i="26" s="1"/>
  <c r="K81" i="26"/>
  <c r="E81" i="26"/>
  <c r="B81" i="26"/>
  <c r="M80" i="26"/>
  <c r="K80" i="26"/>
  <c r="N80" i="26" s="1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K77" i="26"/>
  <c r="N77" i="26" s="1"/>
  <c r="E77" i="26"/>
  <c r="B77" i="26"/>
  <c r="M76" i="26"/>
  <c r="K76" i="26"/>
  <c r="N76" i="26" s="1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K73" i="26"/>
  <c r="N73" i="26" s="1"/>
  <c r="E73" i="26"/>
  <c r="B73" i="26"/>
  <c r="M72" i="26"/>
  <c r="K72" i="26"/>
  <c r="N72" i="26" s="1"/>
  <c r="E72" i="26"/>
  <c r="B72" i="26"/>
  <c r="M71" i="26"/>
  <c r="N71" i="26" s="1"/>
  <c r="K71" i="26"/>
  <c r="E71" i="26"/>
  <c r="B71" i="26"/>
  <c r="N70" i="26"/>
  <c r="M70" i="26"/>
  <c r="K70" i="26"/>
  <c r="E70" i="26"/>
  <c r="B70" i="26"/>
  <c r="M69" i="26"/>
  <c r="K69" i="26"/>
  <c r="N69" i="26" s="1"/>
  <c r="E69" i="26"/>
  <c r="B69" i="26"/>
  <c r="M68" i="26"/>
  <c r="K68" i="26"/>
  <c r="N68" i="26" s="1"/>
  <c r="E68" i="26"/>
  <c r="B68" i="26"/>
  <c r="M67" i="26"/>
  <c r="N67" i="26" s="1"/>
  <c r="K67" i="26"/>
  <c r="E67" i="26"/>
  <c r="B67" i="26"/>
  <c r="N66" i="26"/>
  <c r="M66" i="26"/>
  <c r="K66" i="26"/>
  <c r="E66" i="26"/>
  <c r="B66" i="26"/>
  <c r="M65" i="26"/>
  <c r="N65" i="26" s="1"/>
  <c r="K65" i="26"/>
  <c r="E65" i="26"/>
  <c r="B65" i="26"/>
  <c r="M64" i="26"/>
  <c r="K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K61" i="26"/>
  <c r="N61" i="26" s="1"/>
  <c r="E61" i="26"/>
  <c r="B61" i="26"/>
  <c r="M60" i="26"/>
  <c r="K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K57" i="26"/>
  <c r="N57" i="26" s="1"/>
  <c r="E57" i="26"/>
  <c r="B57" i="26"/>
  <c r="M56" i="26"/>
  <c r="K56" i="26"/>
  <c r="N56" i="26" s="1"/>
  <c r="E56" i="26"/>
  <c r="B56" i="26"/>
  <c r="M55" i="26"/>
  <c r="N55" i="26" s="1"/>
  <c r="K55" i="26"/>
  <c r="E55" i="26"/>
  <c r="B55" i="26"/>
  <c r="N54" i="26"/>
  <c r="M54" i="26"/>
  <c r="K54" i="26"/>
  <c r="E54" i="26"/>
  <c r="B54" i="26"/>
  <c r="M53" i="26"/>
  <c r="K53" i="26"/>
  <c r="N53" i="26" s="1"/>
  <c r="E53" i="26"/>
  <c r="B53" i="26"/>
  <c r="M52" i="26"/>
  <c r="K52" i="26"/>
  <c r="N52" i="26" s="1"/>
  <c r="E52" i="26"/>
  <c r="B52" i="26"/>
  <c r="M51" i="26"/>
  <c r="N51" i="26" s="1"/>
  <c r="K51" i="26"/>
  <c r="E51" i="26"/>
  <c r="B51" i="26"/>
  <c r="N50" i="26"/>
  <c r="M50" i="26"/>
  <c r="K50" i="26"/>
  <c r="E50" i="26"/>
  <c r="B50" i="26"/>
  <c r="M49" i="26"/>
  <c r="N49" i="26" s="1"/>
  <c r="K49" i="26"/>
  <c r="E49" i="26"/>
  <c r="B49" i="26"/>
  <c r="M48" i="26"/>
  <c r="K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M45" i="26"/>
  <c r="K45" i="26"/>
  <c r="N45" i="26" s="1"/>
  <c r="E45" i="26"/>
  <c r="B45" i="26"/>
  <c r="M44" i="26"/>
  <c r="K44" i="26"/>
  <c r="N44" i="26" s="1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M41" i="26"/>
  <c r="K41" i="26"/>
  <c r="N41" i="26" s="1"/>
  <c r="E41" i="26"/>
  <c r="B41" i="26"/>
  <c r="M40" i="26"/>
  <c r="K40" i="26"/>
  <c r="N40" i="26" s="1"/>
  <c r="E40" i="26"/>
  <c r="B40" i="26"/>
  <c r="M39" i="26"/>
  <c r="N39" i="26" s="1"/>
  <c r="K39" i="26"/>
  <c r="E39" i="26"/>
  <c r="B39" i="26"/>
  <c r="N38" i="26"/>
  <c r="M38" i="26"/>
  <c r="K38" i="26"/>
  <c r="E38" i="26"/>
  <c r="B38" i="26"/>
  <c r="M37" i="26"/>
  <c r="K37" i="26"/>
  <c r="N37" i="26" s="1"/>
  <c r="E37" i="26"/>
  <c r="B37" i="26"/>
  <c r="M36" i="26"/>
  <c r="K36" i="26"/>
  <c r="N36" i="26" s="1"/>
  <c r="E36" i="26"/>
  <c r="B36" i="26"/>
  <c r="M35" i="26"/>
  <c r="N35" i="26" s="1"/>
  <c r="K35" i="26"/>
  <c r="E35" i="26"/>
  <c r="B35" i="26"/>
  <c r="N34" i="26"/>
  <c r="M34" i="26"/>
  <c r="K34" i="26"/>
  <c r="E34" i="26"/>
  <c r="B34" i="26"/>
  <c r="M33" i="26"/>
  <c r="N33" i="26" s="1"/>
  <c r="K33" i="26"/>
  <c r="E33" i="26"/>
  <c r="B33" i="26"/>
  <c r="M32" i="26"/>
  <c r="K32" i="26"/>
  <c r="N32" i="26" s="1"/>
  <c r="E32" i="26"/>
  <c r="B32" i="26"/>
  <c r="M31" i="26"/>
  <c r="N31" i="26" s="1"/>
  <c r="K31" i="26"/>
  <c r="E31" i="26"/>
  <c r="B31" i="26"/>
  <c r="M30" i="26"/>
  <c r="N30" i="26" s="1"/>
  <c r="K30" i="26"/>
  <c r="E30" i="26"/>
  <c r="B30" i="26"/>
  <c r="M29" i="26"/>
  <c r="K29" i="26"/>
  <c r="N29" i="26" s="1"/>
  <c r="E29" i="26"/>
  <c r="B29" i="26"/>
  <c r="M28" i="26"/>
  <c r="K28" i="26"/>
  <c r="N28" i="26" s="1"/>
  <c r="E28" i="26"/>
  <c r="B28" i="26"/>
  <c r="M27" i="26"/>
  <c r="N27" i="26" s="1"/>
  <c r="K27" i="26"/>
  <c r="E27" i="26"/>
  <c r="B27" i="26"/>
  <c r="M26" i="26"/>
  <c r="N26" i="26" s="1"/>
  <c r="K26" i="26"/>
  <c r="E26" i="26"/>
  <c r="B26" i="26"/>
  <c r="M25" i="26"/>
  <c r="K25" i="26"/>
  <c r="N25" i="26" s="1"/>
  <c r="E25" i="26"/>
  <c r="B25" i="26"/>
  <c r="M24" i="26"/>
  <c r="K24" i="26"/>
  <c r="N24" i="26" s="1"/>
  <c r="E24" i="26"/>
  <c r="B24" i="26"/>
  <c r="M23" i="26"/>
  <c r="N23" i="26" s="1"/>
  <c r="K23" i="26"/>
  <c r="E23" i="26"/>
  <c r="B23" i="26"/>
  <c r="N22" i="26"/>
  <c r="M22" i="26"/>
  <c r="K22" i="26"/>
  <c r="E22" i="26"/>
  <c r="B22" i="26"/>
  <c r="M21" i="26"/>
  <c r="K21" i="26"/>
  <c r="N21" i="26" s="1"/>
  <c r="E21" i="26"/>
  <c r="B21" i="26"/>
  <c r="M20" i="26"/>
  <c r="K20" i="26"/>
  <c r="N20" i="26" s="1"/>
  <c r="E20" i="26"/>
  <c r="B20" i="26"/>
  <c r="M19" i="26"/>
  <c r="N19" i="26" s="1"/>
  <c r="K19" i="26"/>
  <c r="E19" i="26"/>
  <c r="B19" i="26"/>
  <c r="N18" i="26"/>
  <c r="M18" i="26"/>
  <c r="K18" i="26"/>
  <c r="E18" i="26"/>
  <c r="B18" i="26"/>
  <c r="M17" i="26"/>
  <c r="N17" i="26" s="1"/>
  <c r="K17" i="26"/>
  <c r="E17" i="26"/>
  <c r="B17" i="26"/>
  <c r="M16" i="26"/>
  <c r="K16" i="26"/>
  <c r="N16" i="26" s="1"/>
  <c r="E16" i="26"/>
  <c r="B16" i="26"/>
  <c r="M15" i="26"/>
  <c r="N15" i="26" s="1"/>
  <c r="K15" i="26"/>
  <c r="E15" i="26"/>
  <c r="B15" i="26"/>
  <c r="M14" i="26"/>
  <c r="N14" i="26" s="1"/>
  <c r="K14" i="26"/>
  <c r="E14" i="26"/>
  <c r="B14" i="26"/>
  <c r="M13" i="26"/>
  <c r="K13" i="26"/>
  <c r="N13" i="26" s="1"/>
  <c r="E13" i="26"/>
  <c r="B13" i="26"/>
  <c r="M12" i="26"/>
  <c r="K12" i="26"/>
  <c r="N12" i="26" s="1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M9" i="26"/>
  <c r="K9" i="26"/>
  <c r="N9" i="26" s="1"/>
  <c r="E9" i="26"/>
  <c r="B9" i="26"/>
  <c r="M8" i="26"/>
  <c r="K8" i="26"/>
  <c r="N8" i="26" s="1"/>
  <c r="E8" i="26"/>
  <c r="B8" i="26"/>
  <c r="M7" i="26"/>
  <c r="N7" i="26" s="1"/>
  <c r="K7" i="26"/>
  <c r="E7" i="26"/>
  <c r="B7" i="26"/>
  <c r="N6" i="26"/>
  <c r="M6" i="26"/>
  <c r="K6" i="26"/>
  <c r="E6" i="26"/>
  <c r="B6" i="26"/>
  <c r="M5" i="26"/>
  <c r="K5" i="26"/>
  <c r="N5" i="26" s="1"/>
  <c r="E5" i="26"/>
  <c r="B5" i="26"/>
  <c r="M4" i="26"/>
  <c r="K4" i="26"/>
  <c r="E4" i="26"/>
  <c r="B4" i="26"/>
  <c r="V2" i="26"/>
  <c r="U2" i="26"/>
  <c r="T2" i="26"/>
  <c r="S2" i="26"/>
  <c r="R2" i="26"/>
  <c r="M2" i="26" s="1"/>
  <c r="Q2" i="26"/>
  <c r="P2" i="26"/>
  <c r="O2" i="26"/>
  <c r="L2" i="26"/>
  <c r="J2" i="26"/>
  <c r="I2" i="26"/>
  <c r="H2" i="26"/>
  <c r="G2" i="26"/>
  <c r="F2" i="26"/>
  <c r="E2" i="26"/>
  <c r="M134" i="3"/>
  <c r="K134" i="3"/>
  <c r="N134" i="3" s="1"/>
  <c r="E134" i="3"/>
  <c r="B134" i="3"/>
  <c r="N133" i="3"/>
  <c r="M133" i="3"/>
  <c r="K133" i="3"/>
  <c r="E133" i="3"/>
  <c r="B133" i="3"/>
  <c r="N132" i="3"/>
  <c r="M132" i="3"/>
  <c r="K132" i="3"/>
  <c r="E132" i="3"/>
  <c r="B132" i="3"/>
  <c r="M131" i="3"/>
  <c r="K131" i="3"/>
  <c r="N131" i="3" s="1"/>
  <c r="E131" i="3"/>
  <c r="B131" i="3"/>
  <c r="M130" i="3"/>
  <c r="K130" i="3"/>
  <c r="N130" i="3" s="1"/>
  <c r="E130" i="3"/>
  <c r="B130" i="3"/>
  <c r="N129" i="3"/>
  <c r="M129" i="3"/>
  <c r="K129" i="3"/>
  <c r="E129" i="3"/>
  <c r="B129" i="3"/>
  <c r="N128" i="3"/>
  <c r="M128" i="3"/>
  <c r="K128" i="3"/>
  <c r="E128" i="3"/>
  <c r="B128" i="3"/>
  <c r="M127" i="3"/>
  <c r="K127" i="3"/>
  <c r="N127" i="3" s="1"/>
  <c r="E127" i="3"/>
  <c r="B127" i="3"/>
  <c r="M126" i="3"/>
  <c r="K126" i="3"/>
  <c r="E126" i="3"/>
  <c r="B126" i="3"/>
  <c r="N125" i="3"/>
  <c r="M125" i="3"/>
  <c r="K125" i="3"/>
  <c r="E125" i="3"/>
  <c r="B125" i="3"/>
  <c r="M124" i="3"/>
  <c r="K124" i="3"/>
  <c r="N124" i="3" s="1"/>
  <c r="E124" i="3"/>
  <c r="B124" i="3"/>
  <c r="M123" i="3"/>
  <c r="K123" i="3"/>
  <c r="N123" i="3" s="1"/>
  <c r="E123" i="3"/>
  <c r="B123" i="3"/>
  <c r="M122" i="3"/>
  <c r="K122" i="3"/>
  <c r="N122" i="3" s="1"/>
  <c r="E122" i="3"/>
  <c r="B122" i="3"/>
  <c r="N121" i="3"/>
  <c r="M121" i="3"/>
  <c r="K121" i="3"/>
  <c r="E121" i="3"/>
  <c r="B121" i="3"/>
  <c r="M120" i="3"/>
  <c r="K120" i="3"/>
  <c r="N120" i="3" s="1"/>
  <c r="E120" i="3"/>
  <c r="B120" i="3"/>
  <c r="M119" i="3"/>
  <c r="K119" i="3"/>
  <c r="N119" i="3" s="1"/>
  <c r="E119" i="3"/>
  <c r="B119" i="3"/>
  <c r="M118" i="3"/>
  <c r="K118" i="3"/>
  <c r="E118" i="3"/>
  <c r="B118" i="3"/>
  <c r="N117" i="3"/>
  <c r="M117" i="3"/>
  <c r="K117" i="3"/>
  <c r="E117" i="3"/>
  <c r="B117" i="3"/>
  <c r="M116" i="3"/>
  <c r="K116" i="3"/>
  <c r="N116" i="3" s="1"/>
  <c r="E116" i="3"/>
  <c r="B116" i="3"/>
  <c r="M115" i="3"/>
  <c r="K115" i="3"/>
  <c r="N115" i="3" s="1"/>
  <c r="E115" i="3"/>
  <c r="B115" i="3"/>
  <c r="M114" i="3"/>
  <c r="K114" i="3"/>
  <c r="E114" i="3"/>
  <c r="B114" i="3"/>
  <c r="N113" i="3"/>
  <c r="M113" i="3"/>
  <c r="K113" i="3"/>
  <c r="E113" i="3"/>
  <c r="B113" i="3"/>
  <c r="M112" i="3"/>
  <c r="K112" i="3"/>
  <c r="N112" i="3" s="1"/>
  <c r="E112" i="3"/>
  <c r="B112" i="3"/>
  <c r="M111" i="3"/>
  <c r="K111" i="3"/>
  <c r="N111" i="3" s="1"/>
  <c r="E111" i="3"/>
  <c r="B111" i="3"/>
  <c r="M110" i="3"/>
  <c r="K110" i="3"/>
  <c r="N110" i="3" s="1"/>
  <c r="E110" i="3"/>
  <c r="B110" i="3"/>
  <c r="N109" i="3"/>
  <c r="M109" i="3"/>
  <c r="K109" i="3"/>
  <c r="E109" i="3"/>
  <c r="B109" i="3"/>
  <c r="M108" i="3"/>
  <c r="K108" i="3"/>
  <c r="N108" i="3" s="1"/>
  <c r="E108" i="3"/>
  <c r="B108" i="3"/>
  <c r="N107" i="3"/>
  <c r="M107" i="3"/>
  <c r="K107" i="3"/>
  <c r="E107" i="3"/>
  <c r="B107" i="3"/>
  <c r="M106" i="3"/>
  <c r="K106" i="3"/>
  <c r="E106" i="3"/>
  <c r="B106" i="3"/>
  <c r="N105" i="3"/>
  <c r="M105" i="3"/>
  <c r="K105" i="3"/>
  <c r="E105" i="3"/>
  <c r="B105" i="3"/>
  <c r="M104" i="3"/>
  <c r="K104" i="3"/>
  <c r="N104" i="3" s="1"/>
  <c r="E104" i="3"/>
  <c r="B104" i="3"/>
  <c r="M103" i="3"/>
  <c r="N103" i="3" s="1"/>
  <c r="K103" i="3"/>
  <c r="E103" i="3"/>
  <c r="B103" i="3"/>
  <c r="M102" i="3"/>
  <c r="K102" i="3"/>
  <c r="N102" i="3" s="1"/>
  <c r="E102" i="3"/>
  <c r="B102" i="3"/>
  <c r="N101" i="3"/>
  <c r="M101" i="3"/>
  <c r="K101" i="3"/>
  <c r="E101" i="3"/>
  <c r="B101" i="3"/>
  <c r="N100" i="3"/>
  <c r="M100" i="3"/>
  <c r="K100" i="3"/>
  <c r="E100" i="3"/>
  <c r="B100" i="3"/>
  <c r="M99" i="3"/>
  <c r="K99" i="3"/>
  <c r="N99" i="3" s="1"/>
  <c r="E99" i="3"/>
  <c r="B99" i="3"/>
  <c r="M98" i="3"/>
  <c r="K98" i="3"/>
  <c r="N98" i="3" s="1"/>
  <c r="E98" i="3"/>
  <c r="B98" i="3"/>
  <c r="N97" i="3"/>
  <c r="M97" i="3"/>
  <c r="K97" i="3"/>
  <c r="E97" i="3"/>
  <c r="B97" i="3"/>
  <c r="N96" i="3"/>
  <c r="M96" i="3"/>
  <c r="K96" i="3"/>
  <c r="E96" i="3"/>
  <c r="B96" i="3"/>
  <c r="M95" i="3"/>
  <c r="K95" i="3"/>
  <c r="N95" i="3" s="1"/>
  <c r="E95" i="3"/>
  <c r="B95" i="3"/>
  <c r="M94" i="3"/>
  <c r="K94" i="3"/>
  <c r="E94" i="3"/>
  <c r="B94" i="3"/>
  <c r="N93" i="3"/>
  <c r="M93" i="3"/>
  <c r="K93" i="3"/>
  <c r="E93" i="3"/>
  <c r="B93" i="3"/>
  <c r="M92" i="3"/>
  <c r="K92" i="3"/>
  <c r="N92" i="3" s="1"/>
  <c r="E92" i="3"/>
  <c r="B92" i="3"/>
  <c r="M91" i="3"/>
  <c r="K91" i="3"/>
  <c r="N91" i="3" s="1"/>
  <c r="E91" i="3"/>
  <c r="B91" i="3"/>
  <c r="M90" i="3"/>
  <c r="K90" i="3"/>
  <c r="N90" i="3" s="1"/>
  <c r="E90" i="3"/>
  <c r="B90" i="3"/>
  <c r="N89" i="3"/>
  <c r="M89" i="3"/>
  <c r="K89" i="3"/>
  <c r="E89" i="3"/>
  <c r="B89" i="3"/>
  <c r="M88" i="3"/>
  <c r="K88" i="3"/>
  <c r="N88" i="3" s="1"/>
  <c r="E88" i="3"/>
  <c r="B88" i="3"/>
  <c r="M87" i="3"/>
  <c r="K87" i="3"/>
  <c r="N87" i="3" s="1"/>
  <c r="E87" i="3"/>
  <c r="B87" i="3"/>
  <c r="M86" i="3"/>
  <c r="K86" i="3"/>
  <c r="E86" i="3"/>
  <c r="B86" i="3"/>
  <c r="M85" i="3"/>
  <c r="K85" i="3"/>
  <c r="N85" i="3" s="1"/>
  <c r="E85" i="3"/>
  <c r="B85" i="3"/>
  <c r="M84" i="3"/>
  <c r="K84" i="3"/>
  <c r="N84" i="3" s="1"/>
  <c r="E84" i="3"/>
  <c r="B84" i="3"/>
  <c r="M83" i="3"/>
  <c r="K83" i="3"/>
  <c r="N83" i="3" s="1"/>
  <c r="E83" i="3"/>
  <c r="B83" i="3"/>
  <c r="N82" i="3"/>
  <c r="M82" i="3"/>
  <c r="K82" i="3"/>
  <c r="E82" i="3"/>
  <c r="B82" i="3"/>
  <c r="M81" i="3"/>
  <c r="K81" i="3"/>
  <c r="N81" i="3" s="1"/>
  <c r="E81" i="3"/>
  <c r="B81" i="3"/>
  <c r="M80" i="3"/>
  <c r="K80" i="3"/>
  <c r="N80" i="3" s="1"/>
  <c r="E80" i="3"/>
  <c r="B80" i="3"/>
  <c r="M79" i="3"/>
  <c r="K79" i="3"/>
  <c r="N79" i="3" s="1"/>
  <c r="E79" i="3"/>
  <c r="B79" i="3"/>
  <c r="N78" i="3"/>
  <c r="M78" i="3"/>
  <c r="K78" i="3"/>
  <c r="E78" i="3"/>
  <c r="B78" i="3"/>
  <c r="M77" i="3"/>
  <c r="K77" i="3"/>
  <c r="N77" i="3" s="1"/>
  <c r="E77" i="3"/>
  <c r="B77" i="3"/>
  <c r="M76" i="3"/>
  <c r="K76" i="3"/>
  <c r="N76" i="3" s="1"/>
  <c r="E76" i="3"/>
  <c r="B76" i="3"/>
  <c r="M75" i="3"/>
  <c r="K75" i="3"/>
  <c r="N75" i="3" s="1"/>
  <c r="E75" i="3"/>
  <c r="B75" i="3"/>
  <c r="N74" i="3"/>
  <c r="M74" i="3"/>
  <c r="K74" i="3"/>
  <c r="E74" i="3"/>
  <c r="B74" i="3"/>
  <c r="M73" i="3"/>
  <c r="K73" i="3"/>
  <c r="N73" i="3" s="1"/>
  <c r="E73" i="3"/>
  <c r="B73" i="3"/>
  <c r="M72" i="3"/>
  <c r="K72" i="3"/>
  <c r="N72" i="3" s="1"/>
  <c r="E72" i="3"/>
  <c r="B72" i="3"/>
  <c r="M71" i="3"/>
  <c r="K71" i="3"/>
  <c r="N71" i="3" s="1"/>
  <c r="E71" i="3"/>
  <c r="B71" i="3"/>
  <c r="N70" i="3"/>
  <c r="M70" i="3"/>
  <c r="K70" i="3"/>
  <c r="E70" i="3"/>
  <c r="B70" i="3"/>
  <c r="M69" i="3"/>
  <c r="K69" i="3"/>
  <c r="N69" i="3" s="1"/>
  <c r="E69" i="3"/>
  <c r="B69" i="3"/>
  <c r="M68" i="3"/>
  <c r="K68" i="3"/>
  <c r="N68" i="3" s="1"/>
  <c r="E68" i="3"/>
  <c r="B68" i="3"/>
  <c r="M67" i="3"/>
  <c r="K67" i="3"/>
  <c r="N67" i="3" s="1"/>
  <c r="E67" i="3"/>
  <c r="B67" i="3"/>
  <c r="N66" i="3"/>
  <c r="M66" i="3"/>
  <c r="K66" i="3"/>
  <c r="E66" i="3"/>
  <c r="B66" i="3"/>
  <c r="M65" i="3"/>
  <c r="K65" i="3"/>
  <c r="N65" i="3" s="1"/>
  <c r="E65" i="3"/>
  <c r="B65" i="3"/>
  <c r="M64" i="3"/>
  <c r="K64" i="3"/>
  <c r="N64" i="3" s="1"/>
  <c r="E64" i="3"/>
  <c r="B64" i="3"/>
  <c r="M63" i="3"/>
  <c r="K63" i="3"/>
  <c r="N63" i="3" s="1"/>
  <c r="E63" i="3"/>
  <c r="B63" i="3"/>
  <c r="N62" i="3"/>
  <c r="M62" i="3"/>
  <c r="K62" i="3"/>
  <c r="E62" i="3"/>
  <c r="B62" i="3"/>
  <c r="M61" i="3"/>
  <c r="K61" i="3"/>
  <c r="N61" i="3" s="1"/>
  <c r="E61" i="3"/>
  <c r="B61" i="3"/>
  <c r="M60" i="3"/>
  <c r="K60" i="3"/>
  <c r="N60" i="3" s="1"/>
  <c r="E60" i="3"/>
  <c r="B60" i="3"/>
  <c r="M59" i="3"/>
  <c r="K59" i="3"/>
  <c r="N59" i="3" s="1"/>
  <c r="E59" i="3"/>
  <c r="B59" i="3"/>
  <c r="N58" i="3"/>
  <c r="M58" i="3"/>
  <c r="K58" i="3"/>
  <c r="E58" i="3"/>
  <c r="B58" i="3"/>
  <c r="M57" i="3"/>
  <c r="K57" i="3"/>
  <c r="N57" i="3" s="1"/>
  <c r="E57" i="3"/>
  <c r="B57" i="3"/>
  <c r="M56" i="3"/>
  <c r="K56" i="3"/>
  <c r="N56" i="3" s="1"/>
  <c r="E56" i="3"/>
  <c r="B56" i="3"/>
  <c r="M55" i="3"/>
  <c r="K55" i="3"/>
  <c r="N55" i="3" s="1"/>
  <c r="E55" i="3"/>
  <c r="B55" i="3"/>
  <c r="N54" i="3"/>
  <c r="M54" i="3"/>
  <c r="K54" i="3"/>
  <c r="E54" i="3"/>
  <c r="B54" i="3"/>
  <c r="M53" i="3"/>
  <c r="K53" i="3"/>
  <c r="N53" i="3" s="1"/>
  <c r="E53" i="3"/>
  <c r="B53" i="3"/>
  <c r="M52" i="3"/>
  <c r="K52" i="3"/>
  <c r="N52" i="3" s="1"/>
  <c r="E52" i="3"/>
  <c r="B52" i="3"/>
  <c r="M51" i="3"/>
  <c r="K51" i="3"/>
  <c r="N51" i="3" s="1"/>
  <c r="E51" i="3"/>
  <c r="B51" i="3"/>
  <c r="N50" i="3"/>
  <c r="M50" i="3"/>
  <c r="K50" i="3"/>
  <c r="E50" i="3"/>
  <c r="B50" i="3"/>
  <c r="M49" i="3"/>
  <c r="K49" i="3"/>
  <c r="N49" i="3" s="1"/>
  <c r="E49" i="3"/>
  <c r="B49" i="3"/>
  <c r="M48" i="3"/>
  <c r="K48" i="3"/>
  <c r="N48" i="3" s="1"/>
  <c r="E48" i="3"/>
  <c r="B48" i="3"/>
  <c r="M47" i="3"/>
  <c r="K47" i="3"/>
  <c r="N47" i="3" s="1"/>
  <c r="E47" i="3"/>
  <c r="B47" i="3"/>
  <c r="N46" i="3"/>
  <c r="M46" i="3"/>
  <c r="K46" i="3"/>
  <c r="E46" i="3"/>
  <c r="B46" i="3"/>
  <c r="M45" i="3"/>
  <c r="K45" i="3"/>
  <c r="N45" i="3" s="1"/>
  <c r="E45" i="3"/>
  <c r="B45" i="3"/>
  <c r="M44" i="3"/>
  <c r="K44" i="3"/>
  <c r="N44" i="3" s="1"/>
  <c r="E44" i="3"/>
  <c r="B44" i="3"/>
  <c r="M43" i="3"/>
  <c r="K43" i="3"/>
  <c r="N43" i="3" s="1"/>
  <c r="E43" i="3"/>
  <c r="B43" i="3"/>
  <c r="N42" i="3"/>
  <c r="M42" i="3"/>
  <c r="K42" i="3"/>
  <c r="E42" i="3"/>
  <c r="B42" i="3"/>
  <c r="M41" i="3"/>
  <c r="K41" i="3"/>
  <c r="N41" i="3" s="1"/>
  <c r="E41" i="3"/>
  <c r="B41" i="3"/>
  <c r="M40" i="3"/>
  <c r="K40" i="3"/>
  <c r="N40" i="3" s="1"/>
  <c r="E40" i="3"/>
  <c r="B40" i="3"/>
  <c r="M39" i="3"/>
  <c r="K39" i="3"/>
  <c r="N39" i="3" s="1"/>
  <c r="E39" i="3"/>
  <c r="B39" i="3"/>
  <c r="N38" i="3"/>
  <c r="M38" i="3"/>
  <c r="K38" i="3"/>
  <c r="E38" i="3"/>
  <c r="B38" i="3"/>
  <c r="M37" i="3"/>
  <c r="K37" i="3"/>
  <c r="N37" i="3" s="1"/>
  <c r="E37" i="3"/>
  <c r="B37" i="3"/>
  <c r="M36" i="3"/>
  <c r="K36" i="3"/>
  <c r="N36" i="3" s="1"/>
  <c r="E36" i="3"/>
  <c r="B36" i="3"/>
  <c r="M35" i="3"/>
  <c r="K35" i="3"/>
  <c r="N35" i="3" s="1"/>
  <c r="E35" i="3"/>
  <c r="B35" i="3"/>
  <c r="N34" i="3"/>
  <c r="M34" i="3"/>
  <c r="K34" i="3"/>
  <c r="E34" i="3"/>
  <c r="B34" i="3"/>
  <c r="M33" i="3"/>
  <c r="K33" i="3"/>
  <c r="N33" i="3" s="1"/>
  <c r="E33" i="3"/>
  <c r="B33" i="3"/>
  <c r="M32" i="3"/>
  <c r="K32" i="3"/>
  <c r="N32" i="3" s="1"/>
  <c r="E32" i="3"/>
  <c r="B32" i="3"/>
  <c r="M31" i="3"/>
  <c r="K31" i="3"/>
  <c r="N31" i="3" s="1"/>
  <c r="E31" i="3"/>
  <c r="B31" i="3"/>
  <c r="N30" i="3"/>
  <c r="M30" i="3"/>
  <c r="K30" i="3"/>
  <c r="E30" i="3"/>
  <c r="B30" i="3"/>
  <c r="M29" i="3"/>
  <c r="K29" i="3"/>
  <c r="N29" i="3" s="1"/>
  <c r="E29" i="3"/>
  <c r="B29" i="3"/>
  <c r="M28" i="3"/>
  <c r="K28" i="3"/>
  <c r="N28" i="3" s="1"/>
  <c r="E28" i="3"/>
  <c r="B28" i="3"/>
  <c r="M27" i="3"/>
  <c r="K27" i="3"/>
  <c r="N27" i="3" s="1"/>
  <c r="E27" i="3"/>
  <c r="B27" i="3"/>
  <c r="N26" i="3"/>
  <c r="M26" i="3"/>
  <c r="K26" i="3"/>
  <c r="E26" i="3"/>
  <c r="B26" i="3"/>
  <c r="M25" i="3"/>
  <c r="K25" i="3"/>
  <c r="N25" i="3" s="1"/>
  <c r="E25" i="3"/>
  <c r="B25" i="3"/>
  <c r="M24" i="3"/>
  <c r="K24" i="3"/>
  <c r="N24" i="3" s="1"/>
  <c r="E24" i="3"/>
  <c r="B24" i="3"/>
  <c r="M23" i="3"/>
  <c r="K23" i="3"/>
  <c r="N23" i="3" s="1"/>
  <c r="E23" i="3"/>
  <c r="B23" i="3"/>
  <c r="N22" i="3"/>
  <c r="M22" i="3"/>
  <c r="K22" i="3"/>
  <c r="E22" i="3"/>
  <c r="B22" i="3"/>
  <c r="M21" i="3"/>
  <c r="K21" i="3"/>
  <c r="N21" i="3" s="1"/>
  <c r="E21" i="3"/>
  <c r="B21" i="3"/>
  <c r="M20" i="3"/>
  <c r="K20" i="3"/>
  <c r="N20" i="3" s="1"/>
  <c r="E20" i="3"/>
  <c r="B20" i="3"/>
  <c r="M19" i="3"/>
  <c r="K19" i="3"/>
  <c r="N19" i="3" s="1"/>
  <c r="E19" i="3"/>
  <c r="B19" i="3"/>
  <c r="N18" i="3"/>
  <c r="M18" i="3"/>
  <c r="K18" i="3"/>
  <c r="E18" i="3"/>
  <c r="B18" i="3"/>
  <c r="M17" i="3"/>
  <c r="K17" i="3"/>
  <c r="N17" i="3" s="1"/>
  <c r="E17" i="3"/>
  <c r="B17" i="3"/>
  <c r="M16" i="3"/>
  <c r="K16" i="3"/>
  <c r="N16" i="3" s="1"/>
  <c r="E16" i="3"/>
  <c r="B16" i="3"/>
  <c r="M15" i="3"/>
  <c r="K15" i="3"/>
  <c r="N15" i="3" s="1"/>
  <c r="E15" i="3"/>
  <c r="B15" i="3"/>
  <c r="N14" i="3"/>
  <c r="M14" i="3"/>
  <c r="K14" i="3"/>
  <c r="E14" i="3"/>
  <c r="B14" i="3"/>
  <c r="M13" i="3"/>
  <c r="K13" i="3"/>
  <c r="N13" i="3" s="1"/>
  <c r="E13" i="3"/>
  <c r="B13" i="3"/>
  <c r="M12" i="3"/>
  <c r="K12" i="3"/>
  <c r="N12" i="3" s="1"/>
  <c r="E12" i="3"/>
  <c r="B12" i="3"/>
  <c r="M11" i="3"/>
  <c r="K11" i="3"/>
  <c r="N11" i="3" s="1"/>
  <c r="E11" i="3"/>
  <c r="B11" i="3"/>
  <c r="N10" i="3"/>
  <c r="M10" i="3"/>
  <c r="K10" i="3"/>
  <c r="E10" i="3"/>
  <c r="B10" i="3"/>
  <c r="M9" i="3"/>
  <c r="K9" i="3"/>
  <c r="N9" i="3" s="1"/>
  <c r="E9" i="3"/>
  <c r="B9" i="3"/>
  <c r="M8" i="3"/>
  <c r="K8" i="3"/>
  <c r="N8" i="3" s="1"/>
  <c r="E8" i="3"/>
  <c r="B8" i="3"/>
  <c r="M7" i="3"/>
  <c r="K7" i="3"/>
  <c r="N7" i="3" s="1"/>
  <c r="E7" i="3"/>
  <c r="B7" i="3"/>
  <c r="N6" i="3"/>
  <c r="M6" i="3"/>
  <c r="K6" i="3"/>
  <c r="E6" i="3"/>
  <c r="B6" i="3"/>
  <c r="M5" i="3"/>
  <c r="K5" i="3"/>
  <c r="N5" i="3" s="1"/>
  <c r="E5" i="3"/>
  <c r="B5" i="3"/>
  <c r="M4" i="3"/>
  <c r="K4" i="3"/>
  <c r="N4" i="3" s="1"/>
  <c r="E4" i="3"/>
  <c r="B4" i="3"/>
  <c r="V2" i="3"/>
  <c r="U2" i="3"/>
  <c r="T2" i="3"/>
  <c r="S2" i="3"/>
  <c r="R2" i="3"/>
  <c r="Q2" i="3"/>
  <c r="P2" i="3"/>
  <c r="M2" i="3" s="1"/>
  <c r="O2" i="3"/>
  <c r="L2" i="3"/>
  <c r="J2" i="3"/>
  <c r="I2" i="3"/>
  <c r="H2" i="3"/>
  <c r="G2" i="3"/>
  <c r="N2" i="3" s="1"/>
  <c r="F2" i="3"/>
  <c r="E2" i="3"/>
  <c r="W6" i="25"/>
  <c r="W8" i="25"/>
  <c r="W10" i="25"/>
  <c r="W12" i="25"/>
  <c r="W14" i="25"/>
  <c r="W16" i="25"/>
  <c r="W18" i="25"/>
  <c r="W20" i="25"/>
  <c r="W22" i="25"/>
  <c r="W24" i="25"/>
  <c r="W26" i="25"/>
  <c r="W28" i="25"/>
  <c r="W30" i="25"/>
  <c r="W32" i="25"/>
  <c r="W34" i="25"/>
  <c r="W36" i="25"/>
  <c r="W38" i="25"/>
  <c r="W40" i="25"/>
  <c r="W42" i="25"/>
  <c r="W44" i="25"/>
  <c r="W46" i="25"/>
  <c r="W48" i="25"/>
  <c r="W50" i="25"/>
  <c r="W52" i="25"/>
  <c r="W54" i="25"/>
  <c r="W56" i="25"/>
  <c r="W58" i="25"/>
  <c r="W60" i="25"/>
  <c r="W62" i="25"/>
  <c r="W64" i="25"/>
  <c r="W66" i="25"/>
  <c r="W68" i="25"/>
  <c r="W70" i="25"/>
  <c r="W72" i="25"/>
  <c r="W74" i="25"/>
  <c r="W76" i="25"/>
  <c r="W78" i="25"/>
  <c r="W80" i="25"/>
  <c r="W82" i="25"/>
  <c r="W84" i="25"/>
  <c r="W86" i="25"/>
  <c r="W88" i="25"/>
  <c r="W90" i="25"/>
  <c r="W92" i="25"/>
  <c r="W94" i="25"/>
  <c r="W96" i="25"/>
  <c r="W98" i="25"/>
  <c r="W100" i="25"/>
  <c r="W102" i="25"/>
  <c r="W104" i="25"/>
  <c r="W106" i="25"/>
  <c r="W108" i="25"/>
  <c r="W110" i="25"/>
  <c r="W112" i="25"/>
  <c r="W114" i="25"/>
  <c r="W116" i="25"/>
  <c r="W118" i="25"/>
  <c r="W120" i="25"/>
  <c r="W122" i="25"/>
  <c r="W124" i="25"/>
  <c r="W126" i="25"/>
  <c r="W128" i="25"/>
  <c r="W130" i="25"/>
  <c r="W132" i="25"/>
  <c r="W134" i="25"/>
  <c r="W7" i="25"/>
  <c r="W9" i="25"/>
  <c r="W11" i="25"/>
  <c r="W13" i="25"/>
  <c r="W15" i="25"/>
  <c r="W17" i="25"/>
  <c r="W19" i="25"/>
  <c r="W21" i="25"/>
  <c r="W23" i="25"/>
  <c r="W25" i="25"/>
  <c r="W27" i="25"/>
  <c r="W29" i="25"/>
  <c r="W31" i="25"/>
  <c r="W33" i="25"/>
  <c r="W35" i="25"/>
  <c r="W37" i="25"/>
  <c r="W39" i="25"/>
  <c r="W41" i="25"/>
  <c r="W43" i="25"/>
  <c r="W45" i="25"/>
  <c r="W47" i="25"/>
  <c r="W49" i="25"/>
  <c r="W51" i="25"/>
  <c r="W53" i="25"/>
  <c r="W55" i="25"/>
  <c r="W57" i="25"/>
  <c r="W59" i="25"/>
  <c r="W61" i="25"/>
  <c r="W63" i="25"/>
  <c r="W65" i="25"/>
  <c r="W67" i="25"/>
  <c r="W69" i="25"/>
  <c r="W71" i="25"/>
  <c r="W73" i="25"/>
  <c r="W75" i="25"/>
  <c r="W77" i="25"/>
  <c r="W79" i="25"/>
  <c r="W81" i="25"/>
  <c r="W83" i="25"/>
  <c r="W85" i="25"/>
  <c r="W87" i="25"/>
  <c r="W89" i="25"/>
  <c r="W91" i="25"/>
  <c r="W93" i="25"/>
  <c r="W95" i="25"/>
  <c r="W97" i="25"/>
  <c r="W99" i="25"/>
  <c r="W101" i="25"/>
  <c r="W103" i="25"/>
  <c r="W105" i="25"/>
  <c r="W107" i="25"/>
  <c r="W109" i="25"/>
  <c r="W111" i="25"/>
  <c r="W113" i="25"/>
  <c r="W115" i="25"/>
  <c r="W117" i="25"/>
  <c r="W119" i="25"/>
  <c r="W121" i="25"/>
  <c r="W123" i="25"/>
  <c r="W125" i="25"/>
  <c r="W127" i="25"/>
  <c r="W129" i="25"/>
  <c r="W131" i="25"/>
  <c r="W133" i="25"/>
  <c r="W19" i="29"/>
  <c r="W17" i="29"/>
  <c r="W47" i="29"/>
  <c r="W63" i="29"/>
  <c r="W77" i="29"/>
  <c r="W87" i="29"/>
  <c r="W99" i="29"/>
  <c r="W111" i="29"/>
  <c r="W123" i="29"/>
  <c r="W15" i="29"/>
  <c r="W25" i="29"/>
  <c r="W37" i="29"/>
  <c r="W45" i="29"/>
  <c r="W55" i="29"/>
  <c r="W65" i="29"/>
  <c r="W73" i="29"/>
  <c r="W85" i="29"/>
  <c r="W97" i="29"/>
  <c r="W109" i="29"/>
  <c r="W119" i="29"/>
  <c r="W131" i="29"/>
  <c r="W6" i="29"/>
  <c r="W8" i="29"/>
  <c r="W10" i="29"/>
  <c r="W12" i="29"/>
  <c r="W14" i="29"/>
  <c r="W16" i="29"/>
  <c r="W18" i="29"/>
  <c r="W20" i="29"/>
  <c r="W22" i="29"/>
  <c r="W24" i="29"/>
  <c r="W26" i="29"/>
  <c r="W28" i="29"/>
  <c r="W30" i="29"/>
  <c r="W32" i="29"/>
  <c r="W34" i="29"/>
  <c r="W36" i="29"/>
  <c r="W38" i="29"/>
  <c r="W40" i="29"/>
  <c r="W42" i="29"/>
  <c r="W44" i="29"/>
  <c r="W46" i="29"/>
  <c r="W48" i="29"/>
  <c r="W50" i="29"/>
  <c r="W52" i="29"/>
  <c r="W54" i="29"/>
  <c r="W56" i="29"/>
  <c r="W58" i="29"/>
  <c r="W60" i="29"/>
  <c r="W62" i="29"/>
  <c r="W64" i="29"/>
  <c r="W66" i="29"/>
  <c r="W68" i="29"/>
  <c r="W70" i="29"/>
  <c r="W72" i="29"/>
  <c r="W74" i="29"/>
  <c r="W76" i="29"/>
  <c r="W78" i="29"/>
  <c r="W80" i="29"/>
  <c r="W82" i="29"/>
  <c r="W84" i="29"/>
  <c r="W86" i="29"/>
  <c r="W88" i="29"/>
  <c r="W90" i="29"/>
  <c r="W92" i="29"/>
  <c r="W94" i="29"/>
  <c r="W96" i="29"/>
  <c r="W98" i="29"/>
  <c r="W100" i="29"/>
  <c r="W102" i="29"/>
  <c r="W104" i="29"/>
  <c r="W106" i="29"/>
  <c r="W108" i="29"/>
  <c r="W110" i="29"/>
  <c r="W112" i="29"/>
  <c r="W114" i="29"/>
  <c r="W116" i="29"/>
  <c r="W118" i="29"/>
  <c r="W120" i="29"/>
  <c r="W122" i="29"/>
  <c r="W124" i="29"/>
  <c r="W126" i="29"/>
  <c r="W128" i="29"/>
  <c r="W130" i="29"/>
  <c r="W132" i="29"/>
  <c r="W134" i="29"/>
  <c r="W11" i="29"/>
  <c r="W21" i="29"/>
  <c r="W29" i="29"/>
  <c r="W33" i="29"/>
  <c r="W41" i="29"/>
  <c r="W51" i="29"/>
  <c r="W57" i="29"/>
  <c r="W67" i="29"/>
  <c r="W75" i="29"/>
  <c r="W83" i="29"/>
  <c r="W95" i="29"/>
  <c r="W105" i="29"/>
  <c r="W117" i="29"/>
  <c r="W129" i="29"/>
  <c r="W13" i="29"/>
  <c r="W23" i="29"/>
  <c r="W31" i="29"/>
  <c r="W39" i="29"/>
  <c r="W49" i="29"/>
  <c r="W59" i="29"/>
  <c r="W71" i="29"/>
  <c r="W81" i="29"/>
  <c r="W89" i="29"/>
  <c r="W101" i="29"/>
  <c r="W113" i="29"/>
  <c r="W127" i="29"/>
  <c r="W9" i="29"/>
  <c r="W61" i="29"/>
  <c r="W93" i="29"/>
  <c r="W107" i="29"/>
  <c r="W121" i="29"/>
  <c r="W133" i="29"/>
  <c r="W7" i="29"/>
  <c r="W27" i="29"/>
  <c r="W35" i="29"/>
  <c r="W43" i="29"/>
  <c r="W53" i="29"/>
  <c r="W69" i="29"/>
  <c r="W79" i="29"/>
  <c r="W91" i="29"/>
  <c r="W103" i="29"/>
  <c r="W115" i="29"/>
  <c r="W125" i="29"/>
  <c r="W134" i="39"/>
  <c r="W131" i="39"/>
  <c r="W128" i="39"/>
  <c r="W119" i="39"/>
  <c r="W116" i="39"/>
  <c r="W107" i="39"/>
  <c r="W104" i="39"/>
  <c r="W92" i="39"/>
  <c r="W89" i="39"/>
  <c r="W82" i="39"/>
  <c r="W72" i="39"/>
  <c r="W59" i="39"/>
  <c r="W49" i="39"/>
  <c r="W46" i="39"/>
  <c r="W39" i="39"/>
  <c r="W19" i="39"/>
  <c r="W6" i="39"/>
  <c r="W124" i="38"/>
  <c r="W121" i="38"/>
  <c r="W118" i="38"/>
  <c r="W115" i="38"/>
  <c r="W112" i="38"/>
  <c r="W109" i="38"/>
  <c r="W106" i="38"/>
  <c r="W100" i="38"/>
  <c r="W97" i="38"/>
  <c r="W94" i="38"/>
  <c r="W82" i="38"/>
  <c r="W79" i="38"/>
  <c r="W76" i="38"/>
  <c r="W73" i="38"/>
  <c r="W70" i="38"/>
  <c r="W67" i="38"/>
  <c r="W64" i="38"/>
  <c r="W61" i="38"/>
  <c r="W58" i="38"/>
  <c r="W52" i="38"/>
  <c r="W49" i="38"/>
  <c r="W46" i="38"/>
  <c r="W43" i="38"/>
  <c r="W40" i="38"/>
  <c r="W37" i="38"/>
  <c r="W31" i="38"/>
  <c r="W125" i="37"/>
  <c r="W114" i="37"/>
  <c r="W112" i="37"/>
  <c r="W105" i="37"/>
  <c r="W102" i="37"/>
  <c r="W95" i="37"/>
  <c r="W93" i="37"/>
  <c r="W84" i="37"/>
  <c r="W82" i="37"/>
  <c r="W68" i="37"/>
  <c r="W66" i="37"/>
  <c r="W57" i="37"/>
  <c r="W43" i="37"/>
  <c r="W36" i="37"/>
  <c r="W27" i="37"/>
  <c r="W11" i="37"/>
  <c r="W133" i="36"/>
  <c r="W130" i="36"/>
  <c r="W123" i="36"/>
  <c r="W120" i="36"/>
  <c r="W111" i="36"/>
  <c r="W109" i="36"/>
  <c r="W101" i="36"/>
  <c r="W90" i="36"/>
  <c r="W74" i="36"/>
  <c r="W65" i="36"/>
  <c r="W63" i="36"/>
  <c r="W54" i="36"/>
  <c r="W52" i="36"/>
  <c r="W50" i="36"/>
  <c r="W41" i="36"/>
  <c r="W39" i="36"/>
  <c r="W34" i="36"/>
  <c r="W27" i="36"/>
  <c r="W16" i="36"/>
  <c r="W122" i="35"/>
  <c r="W119" i="35"/>
  <c r="W106" i="35"/>
  <c r="W100" i="35"/>
  <c r="W97" i="35"/>
  <c r="W91" i="35"/>
  <c r="W88" i="35"/>
  <c r="W72" i="35"/>
  <c r="W54" i="35"/>
  <c r="W51" i="35"/>
  <c r="W48" i="35"/>
  <c r="W45" i="35"/>
  <c r="W22" i="35"/>
  <c r="W19" i="35"/>
  <c r="W16" i="35"/>
  <c r="W13" i="35"/>
  <c r="W133" i="34"/>
  <c r="W130" i="34"/>
  <c r="W107" i="34"/>
  <c r="W104" i="34"/>
  <c r="W101" i="34"/>
  <c r="W98" i="34"/>
  <c r="W75" i="34"/>
  <c r="W72" i="34"/>
  <c r="W69" i="34"/>
  <c r="W66" i="34"/>
  <c r="W43" i="34"/>
  <c r="W40" i="34"/>
  <c r="W37" i="34"/>
  <c r="W34" i="34"/>
  <c r="W11" i="34"/>
  <c r="W8" i="34"/>
  <c r="W86" i="39"/>
  <c r="W79" i="39"/>
  <c r="W69" i="39"/>
  <c r="W66" i="39"/>
  <c r="W56" i="39"/>
  <c r="W53" i="39"/>
  <c r="W43" i="39"/>
  <c r="W36" i="39"/>
  <c r="W33" i="39"/>
  <c r="W30" i="39"/>
  <c r="W23" i="39"/>
  <c r="W16" i="39"/>
  <c r="W13" i="39"/>
  <c r="W10" i="39"/>
  <c r="W2" i="39"/>
  <c r="W134" i="38"/>
  <c r="W131" i="38"/>
  <c r="W34" i="38"/>
  <c r="W28" i="38"/>
  <c r="W25" i="38"/>
  <c r="W22" i="38"/>
  <c r="W19" i="38"/>
  <c r="W16" i="38"/>
  <c r="W13" i="38"/>
  <c r="W7" i="38"/>
  <c r="W132" i="37"/>
  <c r="W129" i="37"/>
  <c r="W100" i="37"/>
  <c r="W91" i="37"/>
  <c r="W75" i="37"/>
  <c r="W64" i="37"/>
  <c r="W48" i="37"/>
  <c r="W41" i="37"/>
  <c r="W34" i="37"/>
  <c r="W25" i="37"/>
  <c r="W16" i="37"/>
  <c r="W9" i="37"/>
  <c r="W127" i="36"/>
  <c r="W118" i="36"/>
  <c r="W99" i="36"/>
  <c r="W88" i="36"/>
  <c r="W81" i="36"/>
  <c r="W79" i="36"/>
  <c r="W72" i="36"/>
  <c r="W48" i="36"/>
  <c r="W32" i="36"/>
  <c r="W25" i="36"/>
  <c r="W23" i="36"/>
  <c r="W14" i="36"/>
  <c r="W12" i="36"/>
  <c r="W132" i="35"/>
  <c r="W129" i="35"/>
  <c r="W116" i="35"/>
  <c r="W85" i="35"/>
  <c r="W82" i="35"/>
  <c r="W79" i="35"/>
  <c r="W69" i="35"/>
  <c r="W66" i="35"/>
  <c r="W63" i="35"/>
  <c r="W60" i="35"/>
  <c r="W57" i="35"/>
  <c r="W34" i="35"/>
  <c r="W31" i="35"/>
  <c r="W28" i="35"/>
  <c r="W25" i="35"/>
  <c r="W119" i="34"/>
  <c r="W116" i="34"/>
  <c r="W113" i="34"/>
  <c r="W110" i="34"/>
  <c r="W87" i="34"/>
  <c r="W84" i="34"/>
  <c r="W81" i="34"/>
  <c r="W78" i="34"/>
  <c r="W55" i="34"/>
  <c r="W52" i="34"/>
  <c r="W49" i="34"/>
  <c r="W46" i="34"/>
  <c r="W23" i="34"/>
  <c r="W20" i="34"/>
  <c r="W17" i="34"/>
  <c r="W14" i="34"/>
  <c r="W134" i="33"/>
  <c r="W124" i="33"/>
  <c r="W121" i="33"/>
  <c r="W118" i="33"/>
  <c r="W108" i="33"/>
  <c r="W105" i="33"/>
  <c r="W102" i="33"/>
  <c r="W92" i="33"/>
  <c r="W89" i="33"/>
  <c r="W86" i="33"/>
  <c r="W76" i="33"/>
  <c r="W73" i="33"/>
  <c r="W70" i="33"/>
  <c r="W60" i="33"/>
  <c r="W57" i="33"/>
  <c r="W54" i="33"/>
  <c r="W44" i="33"/>
  <c r="W41" i="33"/>
  <c r="W38" i="33"/>
  <c r="W28" i="33"/>
  <c r="W25" i="33"/>
  <c r="W22" i="33"/>
  <c r="W12" i="33"/>
  <c r="W9" i="33"/>
  <c r="W6" i="33"/>
  <c r="W129" i="39"/>
  <c r="W126" i="39"/>
  <c r="W123" i="39"/>
  <c r="W120" i="39"/>
  <c r="W117" i="39"/>
  <c r="W114" i="39"/>
  <c r="W111" i="39"/>
  <c r="W108" i="39"/>
  <c r="W105" i="39"/>
  <c r="W102" i="39"/>
  <c r="W99" i="39"/>
  <c r="W96" i="39"/>
  <c r="W93" i="39"/>
  <c r="W90" i="39"/>
  <c r="W76" i="39"/>
  <c r="W73" i="39"/>
  <c r="W63" i="39"/>
  <c r="W50" i="39"/>
  <c r="W40" i="39"/>
  <c r="W27" i="39"/>
  <c r="W20" i="39"/>
  <c r="W128" i="38"/>
  <c r="W125" i="38"/>
  <c r="W119" i="38"/>
  <c r="W107" i="38"/>
  <c r="W104" i="38"/>
  <c r="W101" i="38"/>
  <c r="W95" i="38"/>
  <c r="W92" i="38"/>
  <c r="W89" i="38"/>
  <c r="W86" i="38"/>
  <c r="W83" i="38"/>
  <c r="W71" i="38"/>
  <c r="W59" i="38"/>
  <c r="W56" i="38"/>
  <c r="W53" i="38"/>
  <c r="W47" i="38"/>
  <c r="W10" i="38"/>
  <c r="W4" i="38"/>
  <c r="W122" i="37"/>
  <c r="W119" i="37"/>
  <c r="W110" i="37"/>
  <c r="W103" i="37"/>
  <c r="W98" i="37"/>
  <c r="W89" i="37"/>
  <c r="W80" i="37"/>
  <c r="W73" i="37"/>
  <c r="W62" i="37"/>
  <c r="W55" i="37"/>
  <c r="W53" i="37"/>
  <c r="W46" i="37"/>
  <c r="W32" i="37"/>
  <c r="W23" i="37"/>
  <c r="W21" i="37"/>
  <c r="W14" i="37"/>
  <c r="W7" i="37"/>
  <c r="W5" i="37"/>
  <c r="W134" i="36"/>
  <c r="W124" i="36"/>
  <c r="W116" i="36"/>
  <c r="W114" i="36"/>
  <c r="W107" i="36"/>
  <c r="W97" i="36"/>
  <c r="W95" i="36"/>
  <c r="W86" i="36"/>
  <c r="W77" i="36"/>
  <c r="W70" i="36"/>
  <c r="W68" i="36"/>
  <c r="W61" i="36"/>
  <c r="W59" i="36"/>
  <c r="W46" i="36"/>
  <c r="W44" i="36"/>
  <c r="W37" i="36"/>
  <c r="W30" i="36"/>
  <c r="W21" i="36"/>
  <c r="W19" i="36"/>
  <c r="W10" i="36"/>
  <c r="W126" i="35"/>
  <c r="W123" i="35"/>
  <c r="W113" i="35"/>
  <c r="W110" i="35"/>
  <c r="W107" i="35"/>
  <c r="W104" i="35"/>
  <c r="W101" i="35"/>
  <c r="W95" i="35"/>
  <c r="W89" i="35"/>
  <c r="W76" i="35"/>
  <c r="W46" i="35"/>
  <c r="W43" i="35"/>
  <c r="W40" i="35"/>
  <c r="W37" i="35"/>
  <c r="W14" i="35"/>
  <c r="W11" i="35"/>
  <c r="W8" i="35"/>
  <c r="W5" i="35"/>
  <c r="W131" i="34"/>
  <c r="W128" i="34"/>
  <c r="W125" i="34"/>
  <c r="W122" i="34"/>
  <c r="W99" i="34"/>
  <c r="W96" i="34"/>
  <c r="W93" i="34"/>
  <c r="W90" i="34"/>
  <c r="W67" i="34"/>
  <c r="W64" i="34"/>
  <c r="W61" i="34"/>
  <c r="W58" i="34"/>
  <c r="W35" i="34"/>
  <c r="W32" i="34"/>
  <c r="W29" i="34"/>
  <c r="W26" i="34"/>
  <c r="W132" i="39"/>
  <c r="W83" i="39"/>
  <c r="W70" i="39"/>
  <c r="W60" i="39"/>
  <c r="W57" i="39"/>
  <c r="W54" i="39"/>
  <c r="W47" i="39"/>
  <c r="W37" i="39"/>
  <c r="W34" i="39"/>
  <c r="W24" i="39"/>
  <c r="W17" i="39"/>
  <c r="W14" i="39"/>
  <c r="W7" i="39"/>
  <c r="W122" i="38"/>
  <c r="W116" i="38"/>
  <c r="W113" i="38"/>
  <c r="W110" i="38"/>
  <c r="W98" i="38"/>
  <c r="W80" i="38"/>
  <c r="W77" i="38"/>
  <c r="W74" i="38"/>
  <c r="W68" i="38"/>
  <c r="W65" i="38"/>
  <c r="W62" i="38"/>
  <c r="W50" i="38"/>
  <c r="W44" i="38"/>
  <c r="W41" i="38"/>
  <c r="W38" i="38"/>
  <c r="W35" i="38"/>
  <c r="W32" i="38"/>
  <c r="W29" i="38"/>
  <c r="W23" i="38"/>
  <c r="W133" i="37"/>
  <c r="W126" i="37"/>
  <c r="W117" i="37"/>
  <c r="W115" i="37"/>
  <c r="W108" i="37"/>
  <c r="W96" i="37"/>
  <c r="W87" i="37"/>
  <c r="W85" i="37"/>
  <c r="W78" i="37"/>
  <c r="W71" i="37"/>
  <c r="W69" i="37"/>
  <c r="W60" i="37"/>
  <c r="W58" i="37"/>
  <c r="W51" i="37"/>
  <c r="W44" i="37"/>
  <c r="W39" i="37"/>
  <c r="W37" i="37"/>
  <c r="W30" i="37"/>
  <c r="W19" i="37"/>
  <c r="W12" i="37"/>
  <c r="W2" i="37"/>
  <c r="W131" i="36"/>
  <c r="W128" i="36"/>
  <c r="W121" i="36"/>
  <c r="W112" i="36"/>
  <c r="W105" i="36"/>
  <c r="W102" i="36"/>
  <c r="W93" i="36"/>
  <c r="W91" i="36"/>
  <c r="W84" i="36"/>
  <c r="W75" i="36"/>
  <c r="W66" i="36"/>
  <c r="W57" i="36"/>
  <c r="W55" i="36"/>
  <c r="W42" i="36"/>
  <c r="W35" i="36"/>
  <c r="W28" i="36"/>
  <c r="W8" i="36"/>
  <c r="W6" i="36"/>
  <c r="W4" i="36"/>
  <c r="W133" i="35"/>
  <c r="W120" i="35"/>
  <c r="W98" i="35"/>
  <c r="W92" i="35"/>
  <c r="W86" i="35"/>
  <c r="W83" i="35"/>
  <c r="W73" i="35"/>
  <c r="W70" i="35"/>
  <c r="W67" i="35"/>
  <c r="W58" i="35"/>
  <c r="W55" i="35"/>
  <c r="W52" i="35"/>
  <c r="W49" i="35"/>
  <c r="W26" i="35"/>
  <c r="W23" i="35"/>
  <c r="W20" i="35"/>
  <c r="W17" i="35"/>
  <c r="W134" i="34"/>
  <c r="W111" i="34"/>
  <c r="W108" i="34"/>
  <c r="W105" i="34"/>
  <c r="W102" i="34"/>
  <c r="W79" i="34"/>
  <c r="W76" i="34"/>
  <c r="W73" i="34"/>
  <c r="W70" i="34"/>
  <c r="W47" i="34"/>
  <c r="W44" i="34"/>
  <c r="W41" i="34"/>
  <c r="W38" i="34"/>
  <c r="W15" i="34"/>
  <c r="W12" i="34"/>
  <c r="W9" i="34"/>
  <c r="W6" i="34"/>
  <c r="W128" i="33"/>
  <c r="W125" i="33"/>
  <c r="W122" i="33"/>
  <c r="W112" i="33"/>
  <c r="W109" i="33"/>
  <c r="W106" i="33"/>
  <c r="W96" i="33"/>
  <c r="W93" i="33"/>
  <c r="W90" i="33"/>
  <c r="W80" i="33"/>
  <c r="W77" i="33"/>
  <c r="W74" i="33"/>
  <c r="W64" i="33"/>
  <c r="W61" i="33"/>
  <c r="W58" i="33"/>
  <c r="W48" i="33"/>
  <c r="W45" i="33"/>
  <c r="W42" i="33"/>
  <c r="W32" i="33"/>
  <c r="W29" i="33"/>
  <c r="W26" i="33"/>
  <c r="W121" i="39"/>
  <c r="W109" i="39"/>
  <c r="W97" i="39"/>
  <c r="W94" i="39"/>
  <c r="W87" i="39"/>
  <c r="W80" i="39"/>
  <c r="W77" i="39"/>
  <c r="W74" i="39"/>
  <c r="W67" i="39"/>
  <c r="W44" i="39"/>
  <c r="W41" i="39"/>
  <c r="W31" i="39"/>
  <c r="W21" i="39"/>
  <c r="W11" i="39"/>
  <c r="W4" i="39"/>
  <c r="W132" i="38"/>
  <c r="W129" i="38"/>
  <c r="W87" i="38"/>
  <c r="W26" i="38"/>
  <c r="W20" i="38"/>
  <c r="W17" i="38"/>
  <c r="W14" i="38"/>
  <c r="W11" i="38"/>
  <c r="W8" i="38"/>
  <c r="W5" i="38"/>
  <c r="W130" i="37"/>
  <c r="W123" i="37"/>
  <c r="W113" i="37"/>
  <c r="W106" i="37"/>
  <c r="W104" i="37"/>
  <c r="W101" i="37"/>
  <c r="W94" i="37"/>
  <c r="W83" i="37"/>
  <c r="W76" i="37"/>
  <c r="W67" i="37"/>
  <c r="W49" i="37"/>
  <c r="W42" i="37"/>
  <c r="W28" i="37"/>
  <c r="W26" i="37"/>
  <c r="W17" i="37"/>
  <c r="W10" i="37"/>
  <c r="W110" i="36"/>
  <c r="W100" i="36"/>
  <c r="W82" i="36"/>
  <c r="W64" i="36"/>
  <c r="W53" i="36"/>
  <c r="W51" i="36"/>
  <c r="W40" i="36"/>
  <c r="W26" i="36"/>
  <c r="W17" i="36"/>
  <c r="W15" i="36"/>
  <c r="W130" i="35"/>
  <c r="W127" i="35"/>
  <c r="W117" i="35"/>
  <c r="W114" i="35"/>
  <c r="W111" i="35"/>
  <c r="W80" i="35"/>
  <c r="W64" i="35"/>
  <c r="W61" i="35"/>
  <c r="W38" i="35"/>
  <c r="W35" i="35"/>
  <c r="W32" i="35"/>
  <c r="W29" i="35"/>
  <c r="W6" i="35"/>
  <c r="W2" i="35"/>
  <c r="W123" i="34"/>
  <c r="W120" i="34"/>
  <c r="W117" i="34"/>
  <c r="W114" i="34"/>
  <c r="W91" i="34"/>
  <c r="W88" i="34"/>
  <c r="W85" i="34"/>
  <c r="W82" i="34"/>
  <c r="W59" i="34"/>
  <c r="W56" i="34"/>
  <c r="W53" i="34"/>
  <c r="W50" i="34"/>
  <c r="W27" i="34"/>
  <c r="W24" i="34"/>
  <c r="W21" i="34"/>
  <c r="W18" i="34"/>
  <c r="W119" i="33"/>
  <c r="W103" i="33"/>
  <c r="W87" i="33"/>
  <c r="W71" i="33"/>
  <c r="W55" i="33"/>
  <c r="W39" i="33"/>
  <c r="W23" i="33"/>
  <c r="W7" i="33"/>
  <c r="W88" i="39"/>
  <c r="W81" i="39"/>
  <c r="W78" i="39"/>
  <c r="W71" i="39"/>
  <c r="W55" i="39"/>
  <c r="W48" i="39"/>
  <c r="W45" i="39"/>
  <c r="W42" i="39"/>
  <c r="W35" i="39"/>
  <c r="W22" i="39"/>
  <c r="W15" i="39"/>
  <c r="W5" i="39"/>
  <c r="W133" i="38"/>
  <c r="W114" i="38"/>
  <c r="W78" i="38"/>
  <c r="W66" i="38"/>
  <c r="W42" i="38"/>
  <c r="W36" i="38"/>
  <c r="W33" i="38"/>
  <c r="W30" i="38"/>
  <c r="W27" i="38"/>
  <c r="W24" i="38"/>
  <c r="W21" i="38"/>
  <c r="W15" i="38"/>
  <c r="W134" i="37"/>
  <c r="W124" i="37"/>
  <c r="W118" i="37"/>
  <c r="W99" i="37"/>
  <c r="W88" i="37"/>
  <c r="W72" i="37"/>
  <c r="W63" i="37"/>
  <c r="W61" i="37"/>
  <c r="W54" i="37"/>
  <c r="W47" i="37"/>
  <c r="W45" i="37"/>
  <c r="W40" i="37"/>
  <c r="W33" i="37"/>
  <c r="W22" i="37"/>
  <c r="W15" i="37"/>
  <c r="W13" i="37"/>
  <c r="W6" i="37"/>
  <c r="W129" i="36"/>
  <c r="W122" i="36"/>
  <c r="W115" i="36"/>
  <c r="W113" i="36"/>
  <c r="W106" i="36"/>
  <c r="W96" i="36"/>
  <c r="W78" i="36"/>
  <c r="W76" i="36"/>
  <c r="W69" i="36"/>
  <c r="W67" i="36"/>
  <c r="W60" i="36"/>
  <c r="W58" i="36"/>
  <c r="W45" i="36"/>
  <c r="W43" i="36"/>
  <c r="W36" i="36"/>
  <c r="W22" i="36"/>
  <c r="W20" i="36"/>
  <c r="W11" i="36"/>
  <c r="W134" i="35"/>
  <c r="W131" i="35"/>
  <c r="W118" i="35"/>
  <c r="W115" i="35"/>
  <c r="W84" i="35"/>
  <c r="W68" i="35"/>
  <c r="W62" i="35"/>
  <c r="W59" i="35"/>
  <c r="W56" i="35"/>
  <c r="W53" i="35"/>
  <c r="W30" i="35"/>
  <c r="W27" i="35"/>
  <c r="W24" i="35"/>
  <c r="W21" i="35"/>
  <c r="W115" i="34"/>
  <c r="W112" i="34"/>
  <c r="W109" i="34"/>
  <c r="W106" i="34"/>
  <c r="W83" i="34"/>
  <c r="W80" i="34"/>
  <c r="W77" i="34"/>
  <c r="W74" i="34"/>
  <c r="W51" i="34"/>
  <c r="W48" i="34"/>
  <c r="W45" i="34"/>
  <c r="W42" i="34"/>
  <c r="W19" i="34"/>
  <c r="W16" i="34"/>
  <c r="W13" i="34"/>
  <c r="W10" i="34"/>
  <c r="W123" i="33"/>
  <c r="W107" i="33"/>
  <c r="W91" i="33"/>
  <c r="W75" i="33"/>
  <c r="W59" i="33"/>
  <c r="W43" i="33"/>
  <c r="W27" i="33"/>
  <c r="W11" i="33"/>
  <c r="W133" i="39"/>
  <c r="W106" i="39"/>
  <c r="W26" i="39"/>
  <c r="W18" i="39"/>
  <c r="W127" i="38"/>
  <c r="W117" i="38"/>
  <c r="W103" i="38"/>
  <c r="W93" i="38"/>
  <c r="W88" i="38"/>
  <c r="W57" i="38"/>
  <c r="W127" i="37"/>
  <c r="W70" i="37"/>
  <c r="W29" i="37"/>
  <c r="W18" i="37"/>
  <c r="W56" i="36"/>
  <c r="W49" i="36"/>
  <c r="W2" i="36"/>
  <c r="W125" i="35"/>
  <c r="W105" i="35"/>
  <c r="W90" i="35"/>
  <c r="W75" i="35"/>
  <c r="W118" i="34"/>
  <c r="W103" i="34"/>
  <c r="W86" i="34"/>
  <c r="W71" i="34"/>
  <c r="W54" i="34"/>
  <c r="W39" i="34"/>
  <c r="W22" i="34"/>
  <c r="W7" i="34"/>
  <c r="W133" i="33"/>
  <c r="W130" i="33"/>
  <c r="W127" i="33"/>
  <c r="W117" i="33"/>
  <c r="W114" i="33"/>
  <c r="W111" i="33"/>
  <c r="W101" i="33"/>
  <c r="W98" i="33"/>
  <c r="W95" i="33"/>
  <c r="W85" i="33"/>
  <c r="W82" i="33"/>
  <c r="W79" i="33"/>
  <c r="W69" i="33"/>
  <c r="W66" i="33"/>
  <c r="W63" i="33"/>
  <c r="W53" i="33"/>
  <c r="W50" i="33"/>
  <c r="W47" i="33"/>
  <c r="W37" i="33"/>
  <c r="W34" i="33"/>
  <c r="W31" i="33"/>
  <c r="W21" i="33"/>
  <c r="W18" i="33"/>
  <c r="W5" i="25"/>
  <c r="W133" i="32"/>
  <c r="W126" i="32"/>
  <c r="W119" i="32"/>
  <c r="W116" i="32"/>
  <c r="W103" i="32"/>
  <c r="W100" i="32"/>
  <c r="W87" i="32"/>
  <c r="W84" i="32"/>
  <c r="W71" i="32"/>
  <c r="W68" i="32"/>
  <c r="W65" i="32"/>
  <c r="W62" i="32"/>
  <c r="W59" i="32"/>
  <c r="W36" i="32"/>
  <c r="W33" i="32"/>
  <c r="W30" i="32"/>
  <c r="W27" i="32"/>
  <c r="W4" i="32"/>
  <c r="W153" i="31"/>
  <c r="W150" i="31"/>
  <c r="W137" i="31"/>
  <c r="W134" i="31"/>
  <c r="W121" i="31"/>
  <c r="W118" i="31"/>
  <c r="W105" i="31"/>
  <c r="W102" i="31"/>
  <c r="W89" i="31"/>
  <c r="W86" i="31"/>
  <c r="W73" i="31"/>
  <c r="W70" i="31"/>
  <c r="W57" i="31"/>
  <c r="W54" i="31"/>
  <c r="W41" i="31"/>
  <c r="W38" i="31"/>
  <c r="W25" i="31"/>
  <c r="W22" i="31"/>
  <c r="W9" i="31"/>
  <c r="W6" i="31"/>
  <c r="W127" i="30"/>
  <c r="W111" i="30"/>
  <c r="W95" i="30"/>
  <c r="W79" i="30"/>
  <c r="W63" i="30"/>
  <c r="W47" i="30"/>
  <c r="W31" i="30"/>
  <c r="W15" i="30"/>
  <c r="W61" i="39"/>
  <c r="W29" i="39"/>
  <c r="W8" i="39"/>
  <c r="W108" i="38"/>
  <c r="W91" i="38"/>
  <c r="W69" i="38"/>
  <c r="W55" i="38"/>
  <c r="W45" i="38"/>
  <c r="W6" i="38"/>
  <c r="W74" i="37"/>
  <c r="W50" i="37"/>
  <c r="W31" i="37"/>
  <c r="W20" i="37"/>
  <c r="W103" i="36"/>
  <c r="W5" i="36"/>
  <c r="W103" i="35"/>
  <c r="W78" i="35"/>
  <c r="W65" i="35"/>
  <c r="W50" i="35"/>
  <c r="W33" i="35"/>
  <c r="W18" i="35"/>
  <c r="W15" i="33"/>
  <c r="W4" i="33"/>
  <c r="W130" i="32"/>
  <c r="W123" i="32"/>
  <c r="W113" i="32"/>
  <c r="W110" i="32"/>
  <c r="W97" i="32"/>
  <c r="W94" i="32"/>
  <c r="W81" i="32"/>
  <c r="W78" i="32"/>
  <c r="W48" i="32"/>
  <c r="W45" i="32"/>
  <c r="W42" i="32"/>
  <c r="W39" i="32"/>
  <c r="W16" i="32"/>
  <c r="W13" i="32"/>
  <c r="W10" i="32"/>
  <c r="W7" i="32"/>
  <c r="W163" i="31"/>
  <c r="W160" i="31"/>
  <c r="W147" i="31"/>
  <c r="W144" i="31"/>
  <c r="W131" i="31"/>
  <c r="W128" i="31"/>
  <c r="W115" i="31"/>
  <c r="W112" i="31"/>
  <c r="W99" i="31"/>
  <c r="W96" i="31"/>
  <c r="W83" i="31"/>
  <c r="W80" i="31"/>
  <c r="W67" i="31"/>
  <c r="W64" i="31"/>
  <c r="W51" i="31"/>
  <c r="W48" i="31"/>
  <c r="W35" i="31"/>
  <c r="W32" i="31"/>
  <c r="W19" i="31"/>
  <c r="W16" i="31"/>
  <c r="W2" i="31"/>
  <c r="W134" i="30"/>
  <c r="W124" i="30"/>
  <c r="W121" i="30"/>
  <c r="W118" i="30"/>
  <c r="W108" i="30"/>
  <c r="W105" i="30"/>
  <c r="W102" i="30"/>
  <c r="W92" i="30"/>
  <c r="W89" i="30"/>
  <c r="W86" i="30"/>
  <c r="W76" i="30"/>
  <c r="W73" i="30"/>
  <c r="W70" i="30"/>
  <c r="W60" i="30"/>
  <c r="W57" i="30"/>
  <c r="W54" i="30"/>
  <c r="W44" i="30"/>
  <c r="W41" i="30"/>
  <c r="W38" i="30"/>
  <c r="W28" i="30"/>
  <c r="W25" i="30"/>
  <c r="W22" i="30"/>
  <c r="W12" i="30"/>
  <c r="W9" i="30"/>
  <c r="W6" i="30"/>
  <c r="W84" i="39"/>
  <c r="W64" i="39"/>
  <c r="W51" i="39"/>
  <c r="W130" i="38"/>
  <c r="W120" i="38"/>
  <c r="W96" i="38"/>
  <c r="W81" i="38"/>
  <c r="W60" i="38"/>
  <c r="W18" i="38"/>
  <c r="W128" i="37"/>
  <c r="W116" i="37"/>
  <c r="W65" i="37"/>
  <c r="W52" i="37"/>
  <c r="W35" i="37"/>
  <c r="W24" i="37"/>
  <c r="W125" i="36"/>
  <c r="W80" i="36"/>
  <c r="W31" i="36"/>
  <c r="W18" i="36"/>
  <c r="W7" i="36"/>
  <c r="W128" i="35"/>
  <c r="W108" i="35"/>
  <c r="W93" i="35"/>
  <c r="W121" i="34"/>
  <c r="W89" i="34"/>
  <c r="W57" i="34"/>
  <c r="W25" i="34"/>
  <c r="W5" i="34"/>
  <c r="W120" i="33"/>
  <c r="W104" i="33"/>
  <c r="W88" i="33"/>
  <c r="W72" i="33"/>
  <c r="W56" i="33"/>
  <c r="W40" i="33"/>
  <c r="W24" i="33"/>
  <c r="W10" i="33"/>
  <c r="W134" i="32"/>
  <c r="W127" i="32"/>
  <c r="W120" i="32"/>
  <c r="W107" i="32"/>
  <c r="W104" i="32"/>
  <c r="W91" i="32"/>
  <c r="W88" i="32"/>
  <c r="W75" i="32"/>
  <c r="W72" i="32"/>
  <c r="W60" i="32"/>
  <c r="W57" i="32"/>
  <c r="W54" i="32"/>
  <c r="W51" i="32"/>
  <c r="W28" i="32"/>
  <c r="W25" i="32"/>
  <c r="W22" i="32"/>
  <c r="W19" i="32"/>
  <c r="W157" i="31"/>
  <c r="W154" i="31"/>
  <c r="W141" i="31"/>
  <c r="W138" i="31"/>
  <c r="W125" i="31"/>
  <c r="W122" i="31"/>
  <c r="W109" i="31"/>
  <c r="W106" i="31"/>
  <c r="W93" i="31"/>
  <c r="W90" i="31"/>
  <c r="W77" i="31"/>
  <c r="W74" i="31"/>
  <c r="W61" i="31"/>
  <c r="W58" i="31"/>
  <c r="W45" i="31"/>
  <c r="W42" i="31"/>
  <c r="W29" i="31"/>
  <c r="W26" i="31"/>
  <c r="W13" i="31"/>
  <c r="W10" i="31"/>
  <c r="W131" i="30"/>
  <c r="W115" i="30"/>
  <c r="W99" i="30"/>
  <c r="W83" i="30"/>
  <c r="W67" i="30"/>
  <c r="W51" i="30"/>
  <c r="W35" i="30"/>
  <c r="W19" i="30"/>
  <c r="W2" i="30"/>
  <c r="W124" i="39"/>
  <c r="W62" i="39"/>
  <c r="W32" i="39"/>
  <c r="W9" i="39"/>
  <c r="W111" i="38"/>
  <c r="W72" i="38"/>
  <c r="W48" i="38"/>
  <c r="W9" i="38"/>
  <c r="W120" i="37"/>
  <c r="W97" i="37"/>
  <c r="W86" i="37"/>
  <c r="W56" i="37"/>
  <c r="W104" i="36"/>
  <c r="W92" i="36"/>
  <c r="W71" i="36"/>
  <c r="W62" i="36"/>
  <c r="W33" i="36"/>
  <c r="W29" i="36"/>
  <c r="W9" i="36"/>
  <c r="W96" i="35"/>
  <c r="W81" i="35"/>
  <c r="W36" i="35"/>
  <c r="W4" i="35"/>
  <c r="W126" i="34"/>
  <c r="W94" i="34"/>
  <c r="W62" i="34"/>
  <c r="W30" i="34"/>
  <c r="W131" i="33"/>
  <c r="W115" i="33"/>
  <c r="W99" i="33"/>
  <c r="W83" i="33"/>
  <c r="W67" i="33"/>
  <c r="W51" i="33"/>
  <c r="W35" i="33"/>
  <c r="W19" i="33"/>
  <c r="W5" i="33"/>
  <c r="W131" i="32"/>
  <c r="W124" i="32"/>
  <c r="W117" i="32"/>
  <c r="W114" i="32"/>
  <c r="W101" i="32"/>
  <c r="W98" i="32"/>
  <c r="W85" i="32"/>
  <c r="W82" i="32"/>
  <c r="W69" i="32"/>
  <c r="W66" i="32"/>
  <c r="W63" i="32"/>
  <c r="W40" i="32"/>
  <c r="W37" i="32"/>
  <c r="W34" i="32"/>
  <c r="W31" i="32"/>
  <c r="W8" i="32"/>
  <c r="W5" i="32"/>
  <c r="W164" i="31"/>
  <c r="W151" i="31"/>
  <c r="W148" i="31"/>
  <c r="W135" i="31"/>
  <c r="W132" i="31"/>
  <c r="W119" i="31"/>
  <c r="W116" i="31"/>
  <c r="W103" i="31"/>
  <c r="W100" i="31"/>
  <c r="W87" i="31"/>
  <c r="W84" i="31"/>
  <c r="W71" i="31"/>
  <c r="W68" i="31"/>
  <c r="W55" i="31"/>
  <c r="W52" i="31"/>
  <c r="W39" i="31"/>
  <c r="W36" i="31"/>
  <c r="W23" i="31"/>
  <c r="W20" i="31"/>
  <c r="W7" i="31"/>
  <c r="W4" i="31"/>
  <c r="W128" i="30"/>
  <c r="W125" i="30"/>
  <c r="W122" i="30"/>
  <c r="W112" i="30"/>
  <c r="W109" i="30"/>
  <c r="W106" i="30"/>
  <c r="W96" i="30"/>
  <c r="W93" i="30"/>
  <c r="W90" i="30"/>
  <c r="W80" i="30"/>
  <c r="W77" i="30"/>
  <c r="W74" i="30"/>
  <c r="W64" i="30"/>
  <c r="W61" i="30"/>
  <c r="W58" i="30"/>
  <c r="W48" i="30"/>
  <c r="W45" i="30"/>
  <c r="W42" i="30"/>
  <c r="W32" i="30"/>
  <c r="W29" i="30"/>
  <c r="W26" i="30"/>
  <c r="W16" i="30"/>
  <c r="W13" i="30"/>
  <c r="W10" i="30"/>
  <c r="W127" i="39"/>
  <c r="W122" i="39"/>
  <c r="W112" i="39"/>
  <c r="W95" i="39"/>
  <c r="W85" i="39"/>
  <c r="W75" i="39"/>
  <c r="W65" i="39"/>
  <c r="W52" i="39"/>
  <c r="W123" i="38"/>
  <c r="W99" i="38"/>
  <c r="W84" i="38"/>
  <c r="W63" i="38"/>
  <c r="W39" i="38"/>
  <c r="W131" i="37"/>
  <c r="W111" i="37"/>
  <c r="W107" i="37"/>
  <c r="W90" i="37"/>
  <c r="W4" i="37"/>
  <c r="W126" i="36"/>
  <c r="W117" i="36"/>
  <c r="W108" i="36"/>
  <c r="W94" i="36"/>
  <c r="W73" i="36"/>
  <c r="W13" i="36"/>
  <c r="W121" i="35"/>
  <c r="W109" i="35"/>
  <c r="W94" i="35"/>
  <c r="W71" i="35"/>
  <c r="W41" i="35"/>
  <c r="W9" i="35"/>
  <c r="W129" i="34"/>
  <c r="W124" i="34"/>
  <c r="W97" i="34"/>
  <c r="W92" i="34"/>
  <c r="W65" i="34"/>
  <c r="W60" i="34"/>
  <c r="W33" i="34"/>
  <c r="W28" i="34"/>
  <c r="W2" i="34"/>
  <c r="W16" i="33"/>
  <c r="W13" i="33"/>
  <c r="W128" i="32"/>
  <c r="W111" i="32"/>
  <c r="W108" i="32"/>
  <c r="W95" i="32"/>
  <c r="W92" i="32"/>
  <c r="W79" i="32"/>
  <c r="W76" i="32"/>
  <c r="W52" i="32"/>
  <c r="W49" i="32"/>
  <c r="W46" i="32"/>
  <c r="W43" i="32"/>
  <c r="W20" i="32"/>
  <c r="W17" i="32"/>
  <c r="W14" i="32"/>
  <c r="W11" i="32"/>
  <c r="W161" i="31"/>
  <c r="W158" i="31"/>
  <c r="W145" i="31"/>
  <c r="W142" i="31"/>
  <c r="W129" i="31"/>
  <c r="W126" i="31"/>
  <c r="W113" i="31"/>
  <c r="W110" i="31"/>
  <c r="W97" i="31"/>
  <c r="W94" i="31"/>
  <c r="W81" i="31"/>
  <c r="W78" i="31"/>
  <c r="W65" i="31"/>
  <c r="W62" i="31"/>
  <c r="W49" i="31"/>
  <c r="W46" i="31"/>
  <c r="W33" i="31"/>
  <c r="W30" i="31"/>
  <c r="W17" i="31"/>
  <c r="W14" i="31"/>
  <c r="W119" i="30"/>
  <c r="W103" i="30"/>
  <c r="W87" i="30"/>
  <c r="W71" i="30"/>
  <c r="W55" i="30"/>
  <c r="W39" i="30"/>
  <c r="W23" i="30"/>
  <c r="W7" i="30"/>
  <c r="W130" i="39"/>
  <c r="W113" i="39"/>
  <c r="W103" i="39"/>
  <c r="W98" i="39"/>
  <c r="W68" i="39"/>
  <c r="W38" i="39"/>
  <c r="W25" i="39"/>
  <c r="W126" i="38"/>
  <c r="W102" i="38"/>
  <c r="W85" i="38"/>
  <c r="W79" i="37"/>
  <c r="W38" i="37"/>
  <c r="W87" i="36"/>
  <c r="W83" i="36"/>
  <c r="W124" i="35"/>
  <c r="W112" i="35"/>
  <c r="W87" i="35"/>
  <c r="W74" i="35"/>
  <c r="W42" i="35"/>
  <c r="W10" i="35"/>
  <c r="W132" i="34"/>
  <c r="W100" i="34"/>
  <c r="W68" i="34"/>
  <c r="W36" i="34"/>
  <c r="W132" i="33"/>
  <c r="W129" i="33"/>
  <c r="W116" i="33"/>
  <c r="W113" i="33"/>
  <c r="W100" i="33"/>
  <c r="W97" i="33"/>
  <c r="W84" i="33"/>
  <c r="W81" i="33"/>
  <c r="W68" i="33"/>
  <c r="W65" i="33"/>
  <c r="W52" i="33"/>
  <c r="W49" i="33"/>
  <c r="W36" i="33"/>
  <c r="W33" i="33"/>
  <c r="W20" i="33"/>
  <c r="W17" i="33"/>
  <c r="W14" i="33"/>
  <c r="W2" i="33"/>
  <c r="W125" i="32"/>
  <c r="W115" i="32"/>
  <c r="W112" i="32"/>
  <c r="W99" i="32"/>
  <c r="W96" i="32"/>
  <c r="W83" i="32"/>
  <c r="W80" i="32"/>
  <c r="W67" i="32"/>
  <c r="W44" i="32"/>
  <c r="W41" i="32"/>
  <c r="W38" i="32"/>
  <c r="W35" i="32"/>
  <c r="W12" i="32"/>
  <c r="W9" i="32"/>
  <c r="W6" i="32"/>
  <c r="W2" i="32"/>
  <c r="W165" i="31"/>
  <c r="W162" i="31"/>
  <c r="W149" i="31"/>
  <c r="W146" i="31"/>
  <c r="W133" i="31"/>
  <c r="W130" i="31"/>
  <c r="W117" i="31"/>
  <c r="W114" i="31"/>
  <c r="W101" i="31"/>
  <c r="W98" i="31"/>
  <c r="W85" i="31"/>
  <c r="W82" i="31"/>
  <c r="W69" i="31"/>
  <c r="W66" i="31"/>
  <c r="W53" i="31"/>
  <c r="W50" i="31"/>
  <c r="W37" i="31"/>
  <c r="W34" i="31"/>
  <c r="W21" i="31"/>
  <c r="W18" i="31"/>
  <c r="W5" i="31"/>
  <c r="W123" i="30"/>
  <c r="W107" i="30"/>
  <c r="W91" i="30"/>
  <c r="W75" i="30"/>
  <c r="W59" i="30"/>
  <c r="W43" i="30"/>
  <c r="W27" i="30"/>
  <c r="W11" i="30"/>
  <c r="W100" i="39"/>
  <c r="W91" i="39"/>
  <c r="W58" i="39"/>
  <c r="W90" i="38"/>
  <c r="W12" i="38"/>
  <c r="W2" i="38"/>
  <c r="W109" i="37"/>
  <c r="W7" i="35"/>
  <c r="W31" i="34"/>
  <c r="W46" i="33"/>
  <c r="W64" i="32"/>
  <c r="W47" i="32"/>
  <c r="W32" i="32"/>
  <c r="W15" i="32"/>
  <c r="W152" i="31"/>
  <c r="W140" i="31"/>
  <c r="W120" i="31"/>
  <c r="W108" i="31"/>
  <c r="W88" i="31"/>
  <c r="W76" i="31"/>
  <c r="W56" i="31"/>
  <c r="W44" i="31"/>
  <c r="W24" i="31"/>
  <c r="W12" i="31"/>
  <c r="W133" i="30"/>
  <c r="W120" i="30"/>
  <c r="W84" i="30"/>
  <c r="W69" i="30"/>
  <c r="W56" i="30"/>
  <c r="W20" i="30"/>
  <c r="W5" i="30"/>
  <c r="W131" i="28"/>
  <c r="W128" i="28"/>
  <c r="W125" i="28"/>
  <c r="W122" i="28"/>
  <c r="W119" i="28"/>
  <c r="W116" i="28"/>
  <c r="W113" i="28"/>
  <c r="W110" i="28"/>
  <c r="W104" i="28"/>
  <c r="W101" i="28"/>
  <c r="W98" i="28"/>
  <c r="W89" i="28"/>
  <c r="W86" i="28"/>
  <c r="W27" i="28"/>
  <c r="W15" i="28"/>
  <c r="W12" i="28"/>
  <c r="W2" i="28"/>
  <c r="W131" i="27"/>
  <c r="W115" i="27"/>
  <c r="W99" i="27"/>
  <c r="W83" i="27"/>
  <c r="W67" i="27"/>
  <c r="W51" i="27"/>
  <c r="W35" i="27"/>
  <c r="W19" i="27"/>
  <c r="W146" i="26"/>
  <c r="W143" i="26"/>
  <c r="W140" i="26"/>
  <c r="W137" i="26"/>
  <c r="W114" i="26"/>
  <c r="W111" i="26"/>
  <c r="W108" i="26"/>
  <c r="W105" i="26"/>
  <c r="W82" i="26"/>
  <c r="W79" i="26"/>
  <c r="W71" i="26"/>
  <c r="W68" i="26"/>
  <c r="W65" i="26"/>
  <c r="W57" i="26"/>
  <c r="W43" i="26"/>
  <c r="W29" i="26"/>
  <c r="W18" i="26"/>
  <c r="W15" i="26"/>
  <c r="W7" i="26"/>
  <c r="W4" i="26"/>
  <c r="W132" i="3"/>
  <c r="W129" i="3"/>
  <c r="W117" i="3"/>
  <c r="W114" i="3"/>
  <c r="W111" i="3"/>
  <c r="W108" i="3"/>
  <c r="W105" i="3"/>
  <c r="W102" i="3"/>
  <c r="W84" i="3"/>
  <c r="W81" i="3"/>
  <c r="W58" i="3"/>
  <c r="W55" i="3"/>
  <c r="W52" i="3"/>
  <c r="W49" i="3"/>
  <c r="W26" i="3"/>
  <c r="W23" i="3"/>
  <c r="W20" i="3"/>
  <c r="W17" i="3"/>
  <c r="P53" i="24"/>
  <c r="P45" i="24"/>
  <c r="Q40" i="24"/>
  <c r="Q36" i="24"/>
  <c r="Q32" i="24"/>
  <c r="Q28" i="24"/>
  <c r="Q24" i="24"/>
  <c r="Q20" i="24"/>
  <c r="Q16" i="24"/>
  <c r="Q12" i="24"/>
  <c r="L9" i="24"/>
  <c r="Q5" i="24"/>
  <c r="W94" i="33"/>
  <c r="W102" i="32"/>
  <c r="W129" i="30"/>
  <c r="W50" i="30"/>
  <c r="W47" i="35"/>
  <c r="W30" i="33"/>
  <c r="W118" i="32"/>
  <c r="W106" i="32"/>
  <c r="W86" i="32"/>
  <c r="W74" i="32"/>
  <c r="W110" i="30"/>
  <c r="W97" i="30"/>
  <c r="W82" i="30"/>
  <c r="W46" i="30"/>
  <c r="W33" i="30"/>
  <c r="W18" i="30"/>
  <c r="W75" i="28"/>
  <c r="W63" i="28"/>
  <c r="W60" i="28"/>
  <c r="W51" i="28"/>
  <c r="W48" i="28"/>
  <c r="W45" i="28"/>
  <c r="W42" i="28"/>
  <c r="W39" i="28"/>
  <c r="W36" i="28"/>
  <c r="W33" i="28"/>
  <c r="W30" i="28"/>
  <c r="W24" i="28"/>
  <c r="W21" i="28"/>
  <c r="W18" i="28"/>
  <c r="W9" i="28"/>
  <c r="W6" i="28"/>
  <c r="W128" i="27"/>
  <c r="W125" i="27"/>
  <c r="W122" i="27"/>
  <c r="W112" i="27"/>
  <c r="W109" i="27"/>
  <c r="W106" i="27"/>
  <c r="W96" i="27"/>
  <c r="W93" i="27"/>
  <c r="W90" i="27"/>
  <c r="W80" i="27"/>
  <c r="W77" i="27"/>
  <c r="W74" i="27"/>
  <c r="W64" i="27"/>
  <c r="W61" i="27"/>
  <c r="W58" i="27"/>
  <c r="W48" i="27"/>
  <c r="W45" i="27"/>
  <c r="W42" i="27"/>
  <c r="W32" i="27"/>
  <c r="W29" i="27"/>
  <c r="W26" i="27"/>
  <c r="W16" i="27"/>
  <c r="W13" i="27"/>
  <c r="W10" i="27"/>
  <c r="W2" i="27"/>
  <c r="W149" i="26"/>
  <c r="W126" i="26"/>
  <c r="W123" i="26"/>
  <c r="W120" i="26"/>
  <c r="W117" i="26"/>
  <c r="W94" i="26"/>
  <c r="W91" i="26"/>
  <c r="W88" i="26"/>
  <c r="W85" i="26"/>
  <c r="W74" i="26"/>
  <c r="W60" i="26"/>
  <c r="W46" i="26"/>
  <c r="W38" i="26"/>
  <c r="W35" i="26"/>
  <c r="W32" i="26"/>
  <c r="W24" i="26"/>
  <c r="W21" i="26"/>
  <c r="W10" i="26"/>
  <c r="W126" i="3"/>
  <c r="W123" i="3"/>
  <c r="W120" i="3"/>
  <c r="W99" i="3"/>
  <c r="W96" i="3"/>
  <c r="W93" i="3"/>
  <c r="W90" i="3"/>
  <c r="W87" i="3"/>
  <c r="W70" i="3"/>
  <c r="W67" i="3"/>
  <c r="W64" i="3"/>
  <c r="W61" i="3"/>
  <c r="W38" i="3"/>
  <c r="W35" i="3"/>
  <c r="W32" i="3"/>
  <c r="W29" i="3"/>
  <c r="W6" i="3"/>
  <c r="W2" i="3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P4" i="24"/>
  <c r="W122" i="32"/>
  <c r="W24" i="32"/>
  <c r="W114" i="30"/>
  <c r="W110" i="39"/>
  <c r="W101" i="39"/>
  <c r="W75" i="38"/>
  <c r="W59" i="37"/>
  <c r="W24" i="36"/>
  <c r="W12" i="35"/>
  <c r="W50" i="32"/>
  <c r="W18" i="32"/>
  <c r="W155" i="31"/>
  <c r="W143" i="31"/>
  <c r="W123" i="31"/>
  <c r="W111" i="31"/>
  <c r="W91" i="31"/>
  <c r="W79" i="31"/>
  <c r="W59" i="31"/>
  <c r="W47" i="31"/>
  <c r="W27" i="31"/>
  <c r="W15" i="31"/>
  <c r="W100" i="30"/>
  <c r="W85" i="30"/>
  <c r="W72" i="30"/>
  <c r="W36" i="30"/>
  <c r="W21" i="30"/>
  <c r="W8" i="30"/>
  <c r="W4" i="29"/>
  <c r="W123" i="28"/>
  <c r="W111" i="28"/>
  <c r="W108" i="28"/>
  <c r="W99" i="28"/>
  <c r="W96" i="28"/>
  <c r="W93" i="28"/>
  <c r="W90" i="28"/>
  <c r="W87" i="28"/>
  <c r="W84" i="28"/>
  <c r="W81" i="28"/>
  <c r="W78" i="28"/>
  <c r="W72" i="28"/>
  <c r="W69" i="28"/>
  <c r="W66" i="28"/>
  <c r="W57" i="28"/>
  <c r="W54" i="28"/>
  <c r="W119" i="27"/>
  <c r="W103" i="27"/>
  <c r="W87" i="27"/>
  <c r="W71" i="27"/>
  <c r="W55" i="27"/>
  <c r="W39" i="27"/>
  <c r="W23" i="27"/>
  <c r="W7" i="27"/>
  <c r="W138" i="26"/>
  <c r="W135" i="26"/>
  <c r="W132" i="26"/>
  <c r="W129" i="26"/>
  <c r="W106" i="26"/>
  <c r="W103" i="26"/>
  <c r="W100" i="26"/>
  <c r="W97" i="26"/>
  <c r="W77" i="26"/>
  <c r="W66" i="26"/>
  <c r="W63" i="26"/>
  <c r="W55" i="26"/>
  <c r="W52" i="26"/>
  <c r="W49" i="26"/>
  <c r="W41" i="26"/>
  <c r="W27" i="26"/>
  <c r="W13" i="26"/>
  <c r="W133" i="3"/>
  <c r="W109" i="3"/>
  <c r="W82" i="3"/>
  <c r="W79" i="3"/>
  <c r="W76" i="3"/>
  <c r="W73" i="3"/>
  <c r="W50" i="3"/>
  <c r="W47" i="3"/>
  <c r="W44" i="3"/>
  <c r="W41" i="3"/>
  <c r="W18" i="3"/>
  <c r="W15" i="3"/>
  <c r="W12" i="3"/>
  <c r="W9" i="3"/>
  <c r="P59" i="24"/>
  <c r="P51" i="24"/>
  <c r="Q43" i="24"/>
  <c r="Q39" i="24"/>
  <c r="Q35" i="24"/>
  <c r="Q31" i="24"/>
  <c r="Q27" i="24"/>
  <c r="Q23" i="24"/>
  <c r="Q19" i="24"/>
  <c r="Q15" i="24"/>
  <c r="Q11" i="24"/>
  <c r="P8" i="24"/>
  <c r="Q4" i="24"/>
  <c r="P15" i="24"/>
  <c r="Q7" i="24"/>
  <c r="W102" i="35"/>
  <c r="W127" i="34"/>
  <c r="W70" i="32"/>
  <c r="W65" i="30"/>
  <c r="W28" i="39"/>
  <c r="W121" i="37"/>
  <c r="W77" i="37"/>
  <c r="W119" i="36"/>
  <c r="W99" i="35"/>
  <c r="W126" i="33"/>
  <c r="W132" i="32"/>
  <c r="W129" i="32"/>
  <c r="W121" i="32"/>
  <c r="W109" i="32"/>
  <c r="W89" i="32"/>
  <c r="W77" i="32"/>
  <c r="W55" i="32"/>
  <c r="W23" i="32"/>
  <c r="W126" i="30"/>
  <c r="W113" i="30"/>
  <c r="W98" i="30"/>
  <c r="W62" i="30"/>
  <c r="W49" i="30"/>
  <c r="W34" i="30"/>
  <c r="W132" i="28"/>
  <c r="W129" i="28"/>
  <c r="W126" i="28"/>
  <c r="W120" i="28"/>
  <c r="W117" i="28"/>
  <c r="W114" i="28"/>
  <c r="W105" i="28"/>
  <c r="W102" i="28"/>
  <c r="W43" i="28"/>
  <c r="W31" i="28"/>
  <c r="W28" i="28"/>
  <c r="W19" i="28"/>
  <c r="W16" i="28"/>
  <c r="W13" i="28"/>
  <c r="W10" i="28"/>
  <c r="W7" i="28"/>
  <c r="W4" i="28"/>
  <c r="W132" i="27"/>
  <c r="W129" i="27"/>
  <c r="W126" i="27"/>
  <c r="W116" i="27"/>
  <c r="W113" i="27"/>
  <c r="W110" i="27"/>
  <c r="W100" i="27"/>
  <c r="W97" i="27"/>
  <c r="W94" i="27"/>
  <c r="W84" i="27"/>
  <c r="W81" i="27"/>
  <c r="W78" i="27"/>
  <c r="W68" i="27"/>
  <c r="W65" i="27"/>
  <c r="W62" i="27"/>
  <c r="W52" i="27"/>
  <c r="W49" i="27"/>
  <c r="W46" i="27"/>
  <c r="W36" i="27"/>
  <c r="W33" i="27"/>
  <c r="W30" i="27"/>
  <c r="W20" i="27"/>
  <c r="W17" i="27"/>
  <c r="W14" i="27"/>
  <c r="W4" i="27"/>
  <c r="W150" i="26"/>
  <c r="W147" i="26"/>
  <c r="W144" i="26"/>
  <c r="W141" i="26"/>
  <c r="W118" i="26"/>
  <c r="W115" i="26"/>
  <c r="W112" i="26"/>
  <c r="W109" i="26"/>
  <c r="W86" i="26"/>
  <c r="W83" i="26"/>
  <c r="W80" i="26"/>
  <c r="W72" i="26"/>
  <c r="W69" i="26"/>
  <c r="W58" i="26"/>
  <c r="W44" i="26"/>
  <c r="W30" i="26"/>
  <c r="W22" i="26"/>
  <c r="W19" i="26"/>
  <c r="W16" i="26"/>
  <c r="W8" i="26"/>
  <c r="W5" i="26"/>
  <c r="W130" i="3"/>
  <c r="W121" i="3"/>
  <c r="W118" i="3"/>
  <c r="W115" i="3"/>
  <c r="W112" i="3"/>
  <c r="W106" i="3"/>
  <c r="W103" i="3"/>
  <c r="W100" i="3"/>
  <c r="W97" i="3"/>
  <c r="W85" i="3"/>
  <c r="W62" i="3"/>
  <c r="W59" i="3"/>
  <c r="W56" i="3"/>
  <c r="W53" i="3"/>
  <c r="W30" i="3"/>
  <c r="W27" i="3"/>
  <c r="W24" i="3"/>
  <c r="W21" i="3"/>
  <c r="P58" i="24"/>
  <c r="P50" i="24"/>
  <c r="P43" i="24"/>
  <c r="P39" i="24"/>
  <c r="P35" i="24"/>
  <c r="P31" i="24"/>
  <c r="P27" i="24"/>
  <c r="P23" i="24"/>
  <c r="P19" i="24"/>
  <c r="P11" i="24"/>
  <c r="W39" i="35"/>
  <c r="W90" i="32"/>
  <c r="W56" i="32"/>
  <c r="W78" i="30"/>
  <c r="W115" i="39"/>
  <c r="W51" i="38"/>
  <c r="W81" i="37"/>
  <c r="W15" i="35"/>
  <c r="W4" i="34"/>
  <c r="W110" i="33"/>
  <c r="W58" i="32"/>
  <c r="W53" i="32"/>
  <c r="W26" i="32"/>
  <c r="W21" i="32"/>
  <c r="W156" i="31"/>
  <c r="W136" i="31"/>
  <c r="W124" i="31"/>
  <c r="W104" i="31"/>
  <c r="W92" i="31"/>
  <c r="W72" i="31"/>
  <c r="W60" i="31"/>
  <c r="W40" i="31"/>
  <c r="W28" i="31"/>
  <c r="W8" i="31"/>
  <c r="W116" i="30"/>
  <c r="W101" i="30"/>
  <c r="W88" i="30"/>
  <c r="W52" i="30"/>
  <c r="W37" i="30"/>
  <c r="W24" i="30"/>
  <c r="W91" i="28"/>
  <c r="W79" i="28"/>
  <c r="W76" i="28"/>
  <c r="W67" i="28"/>
  <c r="W64" i="28"/>
  <c r="W61" i="28"/>
  <c r="W58" i="28"/>
  <c r="W55" i="28"/>
  <c r="W52" i="28"/>
  <c r="W49" i="28"/>
  <c r="W46" i="28"/>
  <c r="W40" i="28"/>
  <c r="W37" i="28"/>
  <c r="W34" i="28"/>
  <c r="W25" i="28"/>
  <c r="W22" i="28"/>
  <c r="W123" i="27"/>
  <c r="W107" i="27"/>
  <c r="W91" i="27"/>
  <c r="W75" i="27"/>
  <c r="W59" i="27"/>
  <c r="W43" i="27"/>
  <c r="W27" i="27"/>
  <c r="W11" i="27"/>
  <c r="W130" i="26"/>
  <c r="W127" i="26"/>
  <c r="W124" i="26"/>
  <c r="W121" i="26"/>
  <c r="W98" i="26"/>
  <c r="W95" i="26"/>
  <c r="W92" i="26"/>
  <c r="W89" i="26"/>
  <c r="W75" i="26"/>
  <c r="W61" i="26"/>
  <c r="W50" i="26"/>
  <c r="W47" i="26"/>
  <c r="W39" i="26"/>
  <c r="W36" i="26"/>
  <c r="W33" i="26"/>
  <c r="W25" i="26"/>
  <c r="W11" i="26"/>
  <c r="W127" i="3"/>
  <c r="W124" i="3"/>
  <c r="W94" i="3"/>
  <c r="W91" i="3"/>
  <c r="W88" i="3"/>
  <c r="W74" i="3"/>
  <c r="W71" i="3"/>
  <c r="W68" i="3"/>
  <c r="W65" i="3"/>
  <c r="W42" i="3"/>
  <c r="W39" i="3"/>
  <c r="W36" i="3"/>
  <c r="W33" i="3"/>
  <c r="W10" i="3"/>
  <c r="W7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125" i="39"/>
  <c r="W118" i="39"/>
  <c r="W12" i="39"/>
  <c r="W105" i="38"/>
  <c r="W54" i="38"/>
  <c r="W92" i="37"/>
  <c r="W8" i="37"/>
  <c r="W85" i="36"/>
  <c r="W77" i="35"/>
  <c r="W95" i="34"/>
  <c r="W78" i="33"/>
  <c r="W8" i="33"/>
  <c r="W4" i="25"/>
  <c r="W61" i="32"/>
  <c r="W29" i="32"/>
  <c r="W159" i="31"/>
  <c r="W139" i="31"/>
  <c r="W127" i="31"/>
  <c r="W107" i="31"/>
  <c r="W95" i="31"/>
  <c r="W75" i="31"/>
  <c r="W63" i="31"/>
  <c r="W43" i="31"/>
  <c r="W31" i="31"/>
  <c r="W11" i="31"/>
  <c r="W132" i="30"/>
  <c r="W117" i="30"/>
  <c r="W104" i="30"/>
  <c r="W68" i="30"/>
  <c r="W53" i="30"/>
  <c r="W40" i="30"/>
  <c r="W4" i="30"/>
  <c r="W133" i="28"/>
  <c r="W130" i="28"/>
  <c r="W121" i="28"/>
  <c r="W118" i="28"/>
  <c r="W59" i="28"/>
  <c r="W47" i="28"/>
  <c r="W44" i="28"/>
  <c r="W35" i="28"/>
  <c r="W32" i="28"/>
  <c r="W29" i="28"/>
  <c r="W26" i="28"/>
  <c r="W23" i="28"/>
  <c r="W20" i="28"/>
  <c r="W17" i="28"/>
  <c r="W14" i="28"/>
  <c r="W8" i="28"/>
  <c r="W5" i="28"/>
  <c r="W127" i="27"/>
  <c r="W111" i="27"/>
  <c r="W95" i="27"/>
  <c r="W79" i="27"/>
  <c r="W63" i="27"/>
  <c r="W47" i="27"/>
  <c r="W31" i="27"/>
  <c r="W15" i="27"/>
  <c r="W148" i="26"/>
  <c r="W145" i="26"/>
  <c r="W122" i="26"/>
  <c r="W119" i="26"/>
  <c r="W116" i="26"/>
  <c r="W113" i="26"/>
  <c r="W90" i="26"/>
  <c r="W87" i="26"/>
  <c r="W84" i="26"/>
  <c r="W81" i="26"/>
  <c r="W73" i="26"/>
  <c r="W59" i="26"/>
  <c r="W45" i="26"/>
  <c r="W34" i="26"/>
  <c r="W31" i="26"/>
  <c r="W23" i="26"/>
  <c r="W20" i="26"/>
  <c r="W17" i="26"/>
  <c r="W9" i="26"/>
  <c r="W131" i="3"/>
  <c r="W128" i="3"/>
  <c r="W125" i="3"/>
  <c r="W122" i="3"/>
  <c r="W119" i="3"/>
  <c r="W116" i="3"/>
  <c r="W104" i="3"/>
  <c r="W98" i="3"/>
  <c r="W89" i="3"/>
  <c r="W86" i="3"/>
  <c r="W66" i="3"/>
  <c r="W63" i="3"/>
  <c r="W60" i="3"/>
  <c r="W57" i="3"/>
  <c r="W34" i="3"/>
  <c r="W31" i="3"/>
  <c r="W28" i="3"/>
  <c r="W25" i="3"/>
  <c r="P55" i="24"/>
  <c r="P47" i="24"/>
  <c r="Q41" i="24"/>
  <c r="Q37" i="24"/>
  <c r="Q33" i="24"/>
  <c r="Q29" i="24"/>
  <c r="Q25" i="24"/>
  <c r="Q21" i="24"/>
  <c r="Q17" i="24"/>
  <c r="Q13" i="24"/>
  <c r="Q9" i="24"/>
  <c r="P6" i="24"/>
  <c r="W132" i="36"/>
  <c r="W98" i="36"/>
  <c r="W89" i="36"/>
  <c r="W47" i="36"/>
  <c r="W38" i="36"/>
  <c r="W44" i="35"/>
  <c r="W63" i="34"/>
  <c r="W17" i="30"/>
  <c r="W124" i="28"/>
  <c r="W115" i="28"/>
  <c r="W88" i="28"/>
  <c r="W73" i="28"/>
  <c r="W68" i="28"/>
  <c r="W124" i="27"/>
  <c r="W88" i="27"/>
  <c r="W73" i="27"/>
  <c r="W60" i="27"/>
  <c r="W24" i="27"/>
  <c r="W9" i="27"/>
  <c r="W134" i="26"/>
  <c r="W102" i="26"/>
  <c r="W26" i="26"/>
  <c r="P37" i="24"/>
  <c r="P21" i="24"/>
  <c r="L6" i="24"/>
  <c r="P56" i="24"/>
  <c r="P34" i="24"/>
  <c r="P33" i="24"/>
  <c r="W40" i="3"/>
  <c r="P14" i="24"/>
  <c r="W13" i="3"/>
  <c r="W97" i="28"/>
  <c r="W53" i="28"/>
  <c r="W118" i="27"/>
  <c r="W70" i="26"/>
  <c r="W110" i="3"/>
  <c r="P26" i="24"/>
  <c r="W99" i="26"/>
  <c r="W19" i="3"/>
  <c r="W73" i="32"/>
  <c r="W94" i="30"/>
  <c r="W66" i="30"/>
  <c r="W5" i="29"/>
  <c r="W103" i="28"/>
  <c r="W71" i="28"/>
  <c r="W38" i="28"/>
  <c r="W114" i="27"/>
  <c r="W101" i="27"/>
  <c r="W86" i="27"/>
  <c r="W50" i="27"/>
  <c r="W37" i="27"/>
  <c r="W22" i="27"/>
  <c r="W139" i="26"/>
  <c r="W107" i="26"/>
  <c r="W64" i="26"/>
  <c r="W48" i="26"/>
  <c r="W37" i="26"/>
  <c r="W92" i="3"/>
  <c r="W69" i="3"/>
  <c r="W54" i="3"/>
  <c r="W37" i="3"/>
  <c r="W22" i="3"/>
  <c r="W5" i="3"/>
  <c r="P18" i="24"/>
  <c r="P54" i="24"/>
  <c r="W8" i="3"/>
  <c r="P46" i="24"/>
  <c r="W133" i="27"/>
  <c r="W69" i="27"/>
  <c r="W18" i="27"/>
  <c r="W128" i="26"/>
  <c r="W96" i="26"/>
  <c r="W80" i="3"/>
  <c r="W16" i="3"/>
  <c r="P10" i="24"/>
  <c r="W104" i="26"/>
  <c r="W83" i="3"/>
  <c r="W51" i="3"/>
  <c r="Q6" i="24"/>
  <c r="W62" i="33"/>
  <c r="W127" i="28"/>
  <c r="W74" i="28"/>
  <c r="W104" i="27"/>
  <c r="W89" i="27"/>
  <c r="W76" i="27"/>
  <c r="W40" i="27"/>
  <c r="W25" i="27"/>
  <c r="W12" i="27"/>
  <c r="W62" i="26"/>
  <c r="W53" i="26"/>
  <c r="W42" i="26"/>
  <c r="P17" i="24"/>
  <c r="P30" i="24"/>
  <c r="W45" i="3"/>
  <c r="P29" i="24"/>
  <c r="W81" i="30"/>
  <c r="W107" i="28"/>
  <c r="W82" i="28"/>
  <c r="W11" i="28"/>
  <c r="W82" i="27"/>
  <c r="W54" i="27"/>
  <c r="W6" i="26"/>
  <c r="W75" i="3"/>
  <c r="W43" i="3"/>
  <c r="P42" i="24"/>
  <c r="W6" i="27"/>
  <c r="P38" i="24"/>
  <c r="W106" i="28"/>
  <c r="W50" i="28"/>
  <c r="W41" i="28"/>
  <c r="W130" i="27"/>
  <c r="W117" i="27"/>
  <c r="W102" i="27"/>
  <c r="W66" i="27"/>
  <c r="W53" i="27"/>
  <c r="W38" i="27"/>
  <c r="W142" i="26"/>
  <c r="W125" i="26"/>
  <c r="W110" i="26"/>
  <c r="W93" i="26"/>
  <c r="W78" i="26"/>
  <c r="W67" i="26"/>
  <c r="W56" i="26"/>
  <c r="W51" i="26"/>
  <c r="W40" i="26"/>
  <c r="W14" i="26"/>
  <c r="W2" i="26"/>
  <c r="W134" i="3"/>
  <c r="W107" i="3"/>
  <c r="W95" i="3"/>
  <c r="W72" i="3"/>
  <c r="P48" i="24"/>
  <c r="W92" i="28"/>
  <c r="W5" i="27"/>
  <c r="W48" i="3"/>
  <c r="W11" i="3"/>
  <c r="W34" i="27"/>
  <c r="W131" i="26"/>
  <c r="W113" i="3"/>
  <c r="P22" i="24"/>
  <c r="W30" i="30"/>
  <c r="W109" i="28"/>
  <c r="W94" i="28"/>
  <c r="W77" i="28"/>
  <c r="W62" i="28"/>
  <c r="W120" i="27"/>
  <c r="W105" i="27"/>
  <c r="W92" i="27"/>
  <c r="W56" i="27"/>
  <c r="W41" i="27"/>
  <c r="W28" i="27"/>
  <c r="W76" i="26"/>
  <c r="W54" i="26"/>
  <c r="W12" i="26"/>
  <c r="W77" i="3"/>
  <c r="P13" i="24"/>
  <c r="W21" i="27"/>
  <c r="W28" i="26"/>
  <c r="W93" i="32"/>
  <c r="W130" i="30"/>
  <c r="W14" i="30"/>
  <c r="W112" i="28"/>
  <c r="W95" i="28"/>
  <c r="W85" i="28"/>
  <c r="W80" i="28"/>
  <c r="W65" i="28"/>
  <c r="W121" i="27"/>
  <c r="W108" i="27"/>
  <c r="W72" i="27"/>
  <c r="W57" i="27"/>
  <c r="W44" i="27"/>
  <c r="W8" i="27"/>
  <c r="W133" i="26"/>
  <c r="W101" i="26"/>
  <c r="W101" i="3"/>
  <c r="W78" i="3"/>
  <c r="W46" i="3"/>
  <c r="W14" i="3"/>
  <c r="P41" i="24"/>
  <c r="P25" i="24"/>
  <c r="P9" i="24"/>
  <c r="W105" i="32"/>
  <c r="W100" i="28"/>
  <c r="W83" i="28"/>
  <c r="W70" i="28"/>
  <c r="W56" i="28"/>
  <c r="W134" i="27"/>
  <c r="W98" i="27"/>
  <c r="W85" i="27"/>
  <c r="W70" i="27"/>
  <c r="W136" i="26"/>
  <c r="N106" i="3" l="1"/>
  <c r="N4" i="30"/>
  <c r="K2" i="30"/>
  <c r="K2" i="3"/>
  <c r="K2" i="28"/>
  <c r="N5" i="28"/>
  <c r="K2" i="31"/>
  <c r="N5" i="31"/>
  <c r="N94" i="3"/>
  <c r="N126" i="3"/>
  <c r="N11" i="27"/>
  <c r="N27" i="27"/>
  <c r="N43" i="27"/>
  <c r="K2" i="29"/>
  <c r="M2" i="28"/>
  <c r="N2" i="28" s="1"/>
  <c r="N86" i="3"/>
  <c r="N118" i="3"/>
  <c r="N23" i="27"/>
  <c r="N39" i="27"/>
  <c r="N55" i="27"/>
  <c r="N71" i="27"/>
  <c r="N87" i="27"/>
  <c r="N103" i="27"/>
  <c r="N119" i="27"/>
  <c r="N4" i="26"/>
  <c r="K2" i="26"/>
  <c r="N114" i="3"/>
  <c r="N2" i="26"/>
  <c r="M2" i="29"/>
  <c r="N2" i="29" s="1"/>
  <c r="E2" i="29"/>
  <c r="N7" i="30"/>
  <c r="N23" i="30"/>
  <c r="N39" i="30"/>
  <c r="N55" i="30"/>
  <c r="N71" i="30"/>
  <c r="N87" i="30"/>
  <c r="N103" i="30"/>
  <c r="N119" i="30"/>
  <c r="N2" i="31"/>
  <c r="N11" i="31"/>
  <c r="N27" i="31"/>
  <c r="N43" i="31"/>
  <c r="N59" i="31"/>
  <c r="N75" i="31"/>
  <c r="N91" i="31"/>
  <c r="N107" i="31"/>
  <c r="N123" i="31"/>
  <c r="N29" i="32"/>
  <c r="N61" i="32"/>
  <c r="N73" i="32"/>
  <c r="N89" i="32"/>
  <c r="N105" i="32"/>
  <c r="N121" i="32"/>
  <c r="K2" i="25"/>
  <c r="N5" i="29"/>
  <c r="N19" i="30"/>
  <c r="N35" i="30"/>
  <c r="N51" i="30"/>
  <c r="N67" i="30"/>
  <c r="N83" i="30"/>
  <c r="N99" i="30"/>
  <c r="N115" i="30"/>
  <c r="N131" i="30"/>
  <c r="N7" i="31"/>
  <c r="N23" i="31"/>
  <c r="N39" i="31"/>
  <c r="N55" i="31"/>
  <c r="N71" i="31"/>
  <c r="N87" i="31"/>
  <c r="N103" i="31"/>
  <c r="N119" i="31"/>
  <c r="N135" i="31"/>
  <c r="N37" i="32"/>
  <c r="N69" i="32"/>
  <c r="N85" i="32"/>
  <c r="N101" i="32"/>
  <c r="N117" i="32"/>
  <c r="N25" i="32"/>
  <c r="N57" i="32"/>
  <c r="N15" i="30"/>
  <c r="N31" i="30"/>
  <c r="N47" i="30"/>
  <c r="N63" i="30"/>
  <c r="N79" i="30"/>
  <c r="N2" i="32"/>
  <c r="N33" i="32"/>
  <c r="N65" i="32"/>
  <c r="N133" i="32"/>
  <c r="E2" i="28"/>
  <c r="N2" i="30"/>
  <c r="N11" i="30"/>
  <c r="N27" i="30"/>
  <c r="N43" i="30"/>
  <c r="N59" i="30"/>
  <c r="N75" i="30"/>
  <c r="N91" i="30"/>
  <c r="N107" i="30"/>
  <c r="N123" i="30"/>
  <c r="N15" i="31"/>
  <c r="N31" i="31"/>
  <c r="N47" i="31"/>
  <c r="N63" i="31"/>
  <c r="N79" i="31"/>
  <c r="N95" i="31"/>
  <c r="N111" i="31"/>
  <c r="N127" i="31"/>
  <c r="N21" i="32"/>
  <c r="N53" i="32"/>
  <c r="N77" i="32"/>
  <c r="N93" i="32"/>
  <c r="N109" i="32"/>
  <c r="N129" i="32"/>
  <c r="N5" i="32"/>
  <c r="E2" i="25"/>
  <c r="M2" i="25"/>
  <c r="N2" i="25" s="1"/>
  <c r="N16" i="33"/>
  <c r="N32" i="33"/>
  <c r="N48" i="33"/>
  <c r="N64" i="33"/>
  <c r="N80" i="33"/>
  <c r="N96" i="33"/>
  <c r="N112" i="33"/>
  <c r="N128" i="33"/>
  <c r="N29" i="35"/>
  <c r="N61" i="35"/>
  <c r="N12" i="33"/>
  <c r="N28" i="33"/>
  <c r="N44" i="33"/>
  <c r="N60" i="33"/>
  <c r="N76" i="33"/>
  <c r="N92" i="33"/>
  <c r="N108" i="33"/>
  <c r="N124" i="33"/>
  <c r="N37" i="35"/>
  <c r="N8" i="33"/>
  <c r="N24" i="33"/>
  <c r="N40" i="33"/>
  <c r="N56" i="33"/>
  <c r="N72" i="33"/>
  <c r="N88" i="33"/>
  <c r="N104" i="33"/>
  <c r="N120" i="33"/>
  <c r="K2" i="34"/>
  <c r="N13" i="35"/>
  <c r="N45" i="35"/>
  <c r="M2" i="34"/>
  <c r="N2" i="34" s="1"/>
  <c r="E2" i="34"/>
  <c r="K2" i="37"/>
  <c r="N4" i="33"/>
  <c r="N20" i="33"/>
  <c r="N36" i="33"/>
  <c r="N52" i="33"/>
  <c r="N68" i="33"/>
  <c r="N84" i="33"/>
  <c r="N100" i="33"/>
  <c r="N116" i="33"/>
  <c r="N132" i="33"/>
  <c r="N2" i="35"/>
  <c r="N21" i="35"/>
  <c r="N53" i="35"/>
  <c r="N5" i="35"/>
  <c r="N88" i="35"/>
  <c r="N120" i="35"/>
  <c r="N16" i="36"/>
  <c r="N49" i="36"/>
  <c r="M2" i="38"/>
  <c r="N2" i="38" s="1"/>
  <c r="E2" i="38"/>
  <c r="N4" i="38"/>
  <c r="K2" i="38"/>
  <c r="N2" i="39"/>
  <c r="N19" i="39"/>
  <c r="N51" i="39"/>
  <c r="N83" i="39"/>
  <c r="N89" i="36"/>
  <c r="N121" i="36"/>
  <c r="N30" i="37"/>
  <c r="N63" i="37"/>
  <c r="N94" i="37"/>
  <c r="N116" i="37"/>
  <c r="N106" i="38"/>
  <c r="K2" i="39"/>
  <c r="K2" i="36"/>
  <c r="N4" i="37"/>
  <c r="N6" i="37"/>
  <c r="N39" i="37"/>
  <c r="N5" i="34"/>
  <c r="N108" i="35"/>
  <c r="N70" i="38"/>
  <c r="N86" i="38"/>
  <c r="N102" i="38"/>
  <c r="N118" i="38"/>
  <c r="N134" i="38"/>
  <c r="N4" i="39"/>
  <c r="E2" i="36"/>
  <c r="N48" i="36"/>
  <c r="N81" i="36"/>
  <c r="N22" i="37"/>
  <c r="N55" i="37"/>
  <c r="N86" i="37"/>
  <c r="N108" i="37"/>
  <c r="N134" i="37"/>
  <c r="N100" i="35"/>
  <c r="N132" i="35"/>
  <c r="N24" i="36"/>
  <c r="N57" i="36"/>
  <c r="N88" i="36"/>
  <c r="N31" i="37"/>
  <c r="N62" i="37"/>
  <c r="N95" i="37"/>
  <c r="N117" i="37"/>
  <c r="N130" i="37"/>
  <c r="N18" i="38"/>
  <c r="N34" i="38"/>
  <c r="N50" i="38"/>
  <c r="N66" i="38"/>
  <c r="N82" i="38"/>
  <c r="N98" i="38"/>
  <c r="N114" i="38"/>
  <c r="N130" i="38"/>
  <c r="N96" i="35"/>
  <c r="N128" i="35"/>
  <c r="N33" i="36"/>
  <c r="N64" i="36"/>
  <c r="N97" i="36"/>
  <c r="N110" i="36"/>
  <c r="N133" i="36"/>
  <c r="N7" i="37"/>
  <c r="N38" i="37"/>
  <c r="N71" i="37"/>
  <c r="N102" i="37"/>
  <c r="N126" i="37"/>
  <c r="N27" i="39"/>
  <c r="N59" i="39"/>
  <c r="N91" i="39"/>
  <c r="E2" i="37"/>
  <c r="M2" i="37"/>
  <c r="N2" i="37" s="1"/>
  <c r="W2" i="25"/>
  <c r="W2" i="29"/>
</calcChain>
</file>

<file path=xl/sharedStrings.xml><?xml version="1.0" encoding="utf-8"?>
<sst xmlns="http://schemas.openxmlformats.org/spreadsheetml/2006/main" count="3536" uniqueCount="2054">
  <si>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</si>
  <si>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</si>
  <si>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</si>
  <si>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</si>
  <si>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</si>
  <si>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</si>
  <si>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</si>
  <si>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</si>
  <si>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</si>
  <si>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</si>
  <si>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</si>
  <si>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</si>
  <si>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</si>
  <si>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</si>
  <si>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</si>
  <si>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</si>
  <si>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</si>
  <si>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</si>
  <si>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</si>
  <si>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</si>
  <si>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</si>
  <si>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</si>
  <si>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</si>
  <si>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</si>
  <si>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</si>
  <si>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</si>
  <si>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</si>
  <si>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</si>
  <si>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</si>
  <si>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</si>
  <si>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</si>
  <si>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</si>
  <si>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</si>
  <si>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</si>
  <si>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</si>
  <si>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</si>
  <si>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</si>
  <si>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</si>
  <si>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</si>
  <si>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</si>
  <si>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</si>
  <si>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</si>
  <si>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</si>
  <si>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</si>
  <si>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</si>
  <si>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</si>
  <si>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</si>
  <si>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</si>
  <si>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</si>
  <si>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</si>
  <si>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</si>
  <si>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</si>
  <si>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</si>
  <si>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</si>
  <si>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</si>
  <si>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</si>
  <si>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</si>
  <si>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</si>
  <si>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</si>
  <si>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</si>
  <si>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</si>
  <si>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</si>
  <si>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</si>
  <si>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</si>
  <si>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</si>
  <si>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</si>
  <si>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</si>
  <si>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</si>
  <si>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</si>
  <si>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</si>
  <si>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</si>
  <si>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</si>
  <si>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</si>
  <si>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</si>
  <si>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</si>
  <si>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</si>
  <si>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</si>
  <si>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</si>
  <si>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</si>
  <si>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</si>
  <si>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</si>
  <si>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</si>
  <si>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</si>
  <si>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</si>
  <si>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</si>
  <si>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</si>
  <si>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</si>
  <si>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</si>
  <si>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</si>
  <si>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</si>
  <si>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</si>
  <si>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</si>
  <si>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</si>
  <si>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</si>
  <si>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</si>
  <si>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</si>
  <si>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</si>
  <si>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</si>
  <si>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</si>
  <si>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</si>
  <si>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</si>
  <si>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</si>
  <si>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</si>
  <si>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</si>
  <si>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</si>
  <si>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</si>
  <si>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</si>
  <si>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</si>
  <si>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</si>
  <si>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</si>
  <si>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</si>
  <si>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</si>
  <si>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</si>
  <si>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</si>
  <si>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</si>
  <si>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</si>
  <si>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</si>
  <si>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</si>
  <si>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</si>
  <si>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</si>
  <si>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</si>
  <si>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</si>
  <si>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</si>
  <si>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</si>
  <si>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</si>
  <si>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</si>
  <si>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</si>
  <si>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</si>
  <si>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</si>
  <si>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</si>
  <si>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</si>
  <si>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</si>
  <si>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</si>
  <si>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</si>
  <si>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</si>
  <si>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</si>
  <si>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</si>
  <si>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</si>
  <si>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</si>
  <si>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</si>
  <si>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</si>
  <si>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</si>
  <si>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</si>
  <si>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</si>
  <si>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</si>
  <si>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</si>
  <si>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</si>
  <si>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</si>
  <si>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</si>
  <si>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</si>
  <si>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</si>
  <si>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</si>
  <si>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</si>
  <si>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</si>
  <si>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</si>
  <si>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</si>
  <si>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</si>
  <si>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</si>
  <si>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</si>
  <si>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</si>
  <si>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</si>
  <si>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</si>
  <si>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</si>
  <si>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</si>
  <si>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</si>
  <si>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</si>
  <si>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</si>
  <si>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</si>
  <si>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</si>
  <si>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</si>
  <si>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</si>
  <si>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</si>
  <si>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</si>
  <si>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</si>
  <si>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</si>
  <si>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</si>
  <si>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</si>
  <si>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</si>
  <si>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</si>
  <si>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</si>
  <si>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</si>
  <si>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</si>
  <si>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</si>
  <si>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</si>
  <si>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</si>
  <si>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</si>
  <si>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</si>
  <si>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</si>
  <si>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</si>
  <si>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</si>
  <si>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</si>
  <si>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</si>
  <si>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</si>
  <si>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</si>
  <si>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</si>
  <si>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</si>
  <si>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</si>
  <si>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</si>
  <si>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</si>
  <si>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</si>
  <si>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</si>
  <si>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</si>
  <si>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</si>
  <si>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</si>
  <si>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</si>
  <si>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</si>
  <si>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</si>
  <si>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</si>
  <si>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</si>
  <si>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</si>
  <si>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</si>
  <si>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</si>
  <si>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</si>
  <si>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</si>
  <si>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</si>
  <si>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</si>
  <si>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</si>
  <si>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</si>
  <si>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</si>
  <si>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</si>
  <si>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</si>
  <si>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</si>
  <si>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</si>
  <si>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</si>
  <si>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</si>
  <si>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</si>
  <si>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</si>
  <si>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</si>
  <si>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</si>
  <si>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</si>
  <si>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</si>
  <si>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</si>
  <si>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</si>
  <si>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</si>
  <si>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</si>
  <si>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</si>
  <si>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</si>
  <si>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</si>
  <si>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</si>
  <si>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</si>
  <si>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</si>
  <si>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</si>
  <si>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</si>
  <si>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</si>
  <si>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</si>
  <si>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</si>
  <si>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</si>
  <si>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</si>
  <si>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</si>
  <si>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</si>
  <si>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</si>
  <si>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</si>
  <si>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</si>
  <si>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</si>
  <si>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</si>
  <si>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</si>
  <si>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</si>
  <si>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</si>
  <si>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</si>
  <si>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</si>
  <si>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</si>
  <si>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</si>
  <si>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</si>
  <si>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</si>
  <si>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</si>
  <si>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</si>
  <si>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</si>
  <si>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</si>
  <si>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</si>
  <si>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</si>
  <si>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</si>
  <si>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</si>
  <si>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</si>
  <si>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</si>
  <si>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</si>
  <si>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</si>
  <si>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</si>
  <si>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</si>
  <si>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</si>
  <si>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</si>
  <si>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</si>
  <si>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</si>
  <si>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</si>
  <si>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</si>
  <si>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</si>
  <si>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</si>
  <si>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</si>
  <si>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</si>
  <si>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</si>
  <si>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</si>
  <si>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</si>
  <si>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</si>
  <si>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</si>
  <si>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</si>
  <si>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</si>
  <si>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</si>
  <si>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</si>
  <si>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</si>
  <si>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</si>
  <si>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</si>
  <si>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</si>
  <si>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</si>
  <si>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</si>
  <si>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</si>
  <si>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</si>
  <si>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</si>
  <si>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</si>
  <si>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</si>
  <si>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</si>
  <si>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</si>
  <si>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</si>
  <si>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</si>
  <si>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</si>
  <si>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</si>
  <si>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</si>
  <si>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</si>
  <si>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</si>
  <si>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</si>
  <si>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</si>
  <si>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</si>
  <si>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</si>
  <si>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</si>
  <si>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</si>
  <si>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</si>
  <si>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</si>
  <si>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</si>
  <si>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</si>
  <si>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</si>
  <si>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</si>
  <si>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</si>
  <si>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</si>
  <si>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</si>
  <si>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</si>
  <si>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</si>
  <si>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</si>
  <si>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</si>
  <si>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</si>
  <si>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</si>
  <si>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</si>
  <si>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</si>
  <si>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</si>
  <si>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</si>
  <si>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</si>
  <si>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</si>
  <si>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</si>
  <si>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</si>
  <si>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</si>
  <si>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</si>
  <si>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</si>
  <si>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</si>
  <si>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</si>
  <si>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</si>
  <si>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</si>
  <si>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</si>
  <si>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</si>
  <si>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</si>
  <si>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</si>
  <si>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</si>
  <si>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</si>
  <si>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</si>
  <si>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</si>
  <si>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</si>
  <si>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</si>
  <si>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</si>
  <si>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</si>
  <si>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</si>
  <si>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</si>
  <si>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</si>
  <si>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</si>
  <si>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</si>
  <si>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</si>
  <si>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</si>
  <si>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</si>
  <si>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</si>
  <si>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</si>
  <si>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</si>
  <si>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</si>
  <si>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</si>
  <si>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</si>
  <si>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</si>
  <si>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</si>
  <si>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</si>
  <si>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</si>
  <si>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渡辺 佳明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</si>
  <si>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</si>
  <si>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</si>
  <si>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</si>
  <si>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</si>
  <si>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</si>
  <si>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</si>
  <si>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</si>
  <si>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</si>
  <si>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</si>
  <si>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</si>
  <si>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</si>
  <si>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</si>
  <si>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</si>
  <si>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</si>
  <si>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</si>
  <si>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</si>
  <si>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</si>
  <si>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</si>
  <si>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</si>
  <si>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</si>
  <si>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</si>
  <si>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</si>
  <si>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</si>
  <si>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</si>
  <si>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</si>
  <si>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</si>
  <si>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</si>
  <si>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</si>
  <si>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</si>
  <si>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</si>
  <si>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</si>
  <si>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</si>
  <si>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</si>
  <si>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</si>
  <si>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</si>
  <si>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</si>
  <si>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</si>
  <si>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</si>
  <si>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</si>
  <si>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</si>
  <si>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</si>
  <si>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</si>
  <si>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</si>
  <si>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</si>
  <si>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</si>
  <si>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</si>
  <si>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</si>
  <si>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</si>
  <si>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</si>
  <si>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</si>
  <si>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</si>
  <si>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</si>
  <si>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</si>
  <si>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</si>
  <si>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</si>
  <si>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</si>
  <si>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</si>
  <si>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</si>
  <si>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</si>
  <si>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</si>
  <si>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</si>
  <si>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</si>
  <si>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</si>
  <si>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</si>
  <si>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</si>
  <si>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</si>
  <si>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</si>
  <si>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</si>
  <si>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</si>
  <si>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</si>
  <si>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</si>
  <si>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</si>
  <si>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</si>
  <si>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</si>
  <si>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</si>
  <si>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</si>
  <si>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</si>
  <si>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</si>
  <si>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</si>
  <si>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</si>
  <si>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</si>
  <si>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</si>
  <si>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</si>
  <si>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</si>
  <si>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</si>
  <si>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</si>
  <si>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</si>
  <si>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</si>
  <si>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</si>
  <si>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</si>
  <si>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</si>
  <si>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</si>
  <si>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</si>
  <si>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</si>
  <si>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</si>
  <si>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</si>
  <si>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</si>
  <si>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</si>
  <si>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</si>
  <si>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</si>
  <si>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</si>
  <si>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</si>
  <si>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</si>
  <si>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</si>
  <si>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</si>
  <si>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</si>
  <si>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</si>
  <si>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</si>
  <si>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</si>
  <si>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</si>
  <si>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</si>
  <si>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</si>
  <si>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</si>
  <si>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</si>
  <si>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</si>
  <si>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</si>
  <si>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</si>
  <si>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</si>
  <si>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</si>
  <si>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</si>
  <si>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</si>
  <si>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</si>
  <si>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</si>
  <si>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</si>
  <si>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</si>
  <si>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</si>
  <si>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</si>
  <si>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</si>
  <si>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</si>
  <si>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</si>
  <si>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</si>
  <si>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</si>
  <si>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</si>
  <si>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</si>
  <si>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</si>
  <si>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</si>
  <si>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</si>
  <si>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</si>
  <si>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</si>
  <si>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</si>
  <si>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</si>
  <si>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</si>
  <si>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</si>
  <si>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</si>
  <si>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</si>
  <si>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</si>
  <si>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</si>
  <si>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</si>
  <si>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</si>
  <si>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</si>
  <si>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</si>
  <si>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</si>
  <si>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</si>
  <si>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</si>
  <si>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</si>
  <si>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</si>
  <si>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</si>
  <si>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</si>
  <si>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</si>
  <si>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</si>
  <si>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</si>
  <si>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</si>
  <si>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</si>
  <si>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</si>
  <si>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</si>
  <si>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</si>
  <si>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</si>
  <si>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</si>
  <si>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</si>
  <si>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</si>
  <si>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</si>
  <si>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</si>
  <si>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</si>
  <si>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</si>
  <si>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</si>
  <si>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</si>
  <si>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</si>
  <si>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</si>
  <si>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</si>
  <si>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</si>
  <si>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</si>
  <si>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</si>
  <si>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</si>
  <si>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</si>
  <si>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</si>
  <si>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</si>
  <si>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</si>
  <si>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</si>
  <si>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</si>
  <si>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</si>
  <si>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</si>
  <si>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</si>
  <si>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</si>
  <si>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</si>
  <si>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</si>
  <si>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</si>
  <si>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</si>
  <si>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</si>
  <si>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</si>
  <si>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</si>
  <si>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</si>
  <si>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</si>
  <si>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</si>
  <si>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</si>
  <si>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</si>
  <si>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</si>
  <si>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</si>
  <si>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</si>
  <si>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</si>
  <si>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</si>
  <si>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</si>
  <si>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</si>
  <si>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</si>
  <si>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</si>
  <si>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</si>
  <si>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</si>
  <si>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</si>
  <si>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</si>
  <si>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</si>
  <si>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</si>
  <si>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</si>
  <si>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</si>
  <si>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</si>
  <si>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</si>
  <si>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</si>
  <si>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</si>
  <si>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</si>
  <si>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</si>
  <si>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</si>
  <si>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</si>
  <si>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</si>
  <si>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</si>
  <si>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</si>
  <si>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</si>
  <si>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</si>
  <si>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</si>
  <si>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</si>
  <si>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</si>
  <si>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</si>
  <si>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</si>
  <si>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</si>
  <si>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</si>
  <si>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</si>
  <si>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</si>
  <si>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</si>
  <si>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</si>
  <si>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</si>
  <si>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</si>
  <si>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</si>
  <si>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</si>
  <si>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</si>
  <si>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</si>
  <si>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</si>
  <si>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</si>
  <si>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</si>
  <si>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</si>
  <si>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</si>
  <si>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</si>
  <si>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</si>
  <si>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</si>
  <si>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</si>
  <si>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</si>
  <si>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</si>
  <si>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</si>
  <si>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</si>
  <si>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</si>
  <si>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</si>
  <si>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</si>
  <si>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</si>
  <si>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</si>
  <si>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</si>
  <si>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</si>
  <si>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</si>
  <si>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</si>
  <si>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</si>
  <si>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</si>
  <si>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</si>
  <si>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</si>
  <si>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</si>
  <si>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</si>
  <si>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</si>
  <si>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</si>
  <si>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</si>
  <si>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</si>
  <si>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</si>
  <si>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</si>
  <si>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</si>
  <si>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</si>
  <si>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</si>
  <si>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</si>
  <si>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</si>
  <si>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</si>
  <si>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</si>
  <si>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</si>
  <si>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</si>
  <si>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</si>
  <si>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</si>
  <si>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</si>
  <si>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</si>
  <si>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</si>
  <si>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</si>
  <si>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</si>
  <si>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</si>
  <si>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</si>
  <si>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</si>
  <si>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</si>
  <si>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</si>
  <si>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</si>
  <si>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</si>
  <si>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</si>
  <si>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</si>
  <si>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</si>
  <si>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</si>
  <si>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</si>
  <si>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</si>
  <si>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</si>
  <si>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</si>
  <si>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</si>
  <si>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</si>
  <si>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</si>
  <si>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</si>
  <si>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</si>
  <si>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</si>
  <si>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</si>
  <si>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</si>
  <si>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</si>
  <si>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</si>
  <si>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</si>
  <si>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</si>
  <si>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</si>
  <si>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</si>
  <si>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</si>
  <si>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</si>
  <si>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</si>
  <si>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</si>
  <si>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</si>
  <si>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</si>
  <si>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</si>
  <si>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</si>
  <si>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</si>
  <si>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</si>
  <si>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</si>
  <si>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</si>
  <si>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</si>
  <si>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</si>
  <si>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</si>
  <si>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</si>
  <si>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</si>
  <si>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</si>
  <si>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</si>
  <si>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</si>
  <si>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</si>
  <si>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</si>
  <si>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</si>
  <si>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</si>
  <si>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</si>
  <si>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</si>
  <si>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</si>
  <si>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</si>
  <si>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</si>
  <si>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</si>
  <si>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</si>
  <si>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</si>
  <si>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</si>
  <si>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</si>
  <si>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</si>
  <si>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</si>
  <si>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</si>
  <si>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</si>
  <si>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</si>
  <si>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</si>
  <si>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</si>
  <si>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</si>
  <si>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</si>
  <si>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</si>
  <si>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</si>
  <si>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</si>
  <si>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</si>
  <si>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</si>
  <si>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</si>
  <si>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</si>
  <si>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</si>
  <si>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</si>
  <si>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</si>
  <si>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</si>
  <si>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</si>
  <si>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</si>
  <si>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</si>
  <si>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</si>
  <si>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</si>
  <si>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</si>
  <si>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</si>
  <si>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</si>
  <si>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</si>
  <si>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</si>
  <si>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</si>
  <si>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</si>
  <si>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</si>
  <si>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</si>
  <si>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</si>
  <si>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</si>
  <si>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</si>
  <si>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</si>
  <si>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</si>
  <si>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</si>
  <si>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</si>
  <si>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</si>
  <si>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</si>
  <si>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</si>
  <si>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</si>
  <si>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</si>
  <si>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</si>
  <si>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</si>
  <si>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</si>
  <si>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</si>
  <si>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</si>
  <si>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</si>
  <si>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</si>
  <si>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</si>
  <si>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</si>
  <si>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</si>
  <si>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</si>
  <si>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</si>
  <si>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</si>
  <si>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</si>
  <si>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</si>
  <si>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</si>
  <si>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</si>
  <si>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</si>
  <si>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</si>
  <si>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</si>
  <si>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</si>
  <si>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</si>
  <si>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</si>
  <si>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</si>
  <si>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</si>
  <si>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</si>
  <si>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</si>
  <si>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</si>
  <si>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</si>
  <si>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</si>
  <si>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</si>
  <si>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</si>
  <si>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</si>
  <si>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吉野 創士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</si>
  <si>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</si>
  <si>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</si>
  <si>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</si>
  <si>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</si>
  <si>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</si>
  <si>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</si>
  <si>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</si>
  <si>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</si>
  <si>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</si>
  <si>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</si>
  <si>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</si>
  <si>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</si>
  <si>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</si>
  <si>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</si>
  <si>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</si>
  <si>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</si>
  <si>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</si>
  <si>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</si>
  <si>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</si>
  <si>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</si>
  <si>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</si>
  <si>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</si>
  <si>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</si>
  <si>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</si>
  <si>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</si>
  <si>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</si>
  <si>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</si>
  <si>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</si>
  <si>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</si>
  <si>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</si>
  <si>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</si>
  <si>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</si>
  <si>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</si>
  <si>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</si>
  <si>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</si>
  <si>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</si>
  <si>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</si>
  <si>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</si>
  <si>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</si>
  <si>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</si>
  <si>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</si>
  <si>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</si>
  <si>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</si>
  <si>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</si>
  <si>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</si>
  <si>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</si>
  <si>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</si>
  <si>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</si>
  <si>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</si>
  <si>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</si>
  <si>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</si>
  <si>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</si>
  <si>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</si>
  <si>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</si>
  <si>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</si>
  <si>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</si>
  <si>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</si>
  <si>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</si>
  <si>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</si>
  <si>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</si>
  <si>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</si>
  <si>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</si>
  <si>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</si>
  <si>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</si>
  <si>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</si>
  <si>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</si>
  <si>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</si>
  <si>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</si>
  <si>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</si>
  <si>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</si>
  <si>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</si>
  <si>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</si>
  <si>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</si>
  <si>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</si>
  <si>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</si>
  <si>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</si>
  <si>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</si>
  <si>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</si>
  <si>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</si>
  <si>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</si>
  <si>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</si>
  <si>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</si>
  <si>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</si>
  <si>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</si>
  <si>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</si>
  <si>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</si>
  <si>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</si>
  <si>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</si>
  <si>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</si>
  <si>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</si>
  <si>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</si>
  <si>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</si>
  <si>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</si>
  <si>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</si>
  <si>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</si>
  <si>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</si>
  <si>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</si>
  <si>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</si>
  <si>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</si>
  <si>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</si>
  <si>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</si>
  <si>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</si>
  <si>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</si>
  <si>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</si>
  <si>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</si>
  <si>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</si>
  <si>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</si>
  <si>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</si>
  <si>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</si>
  <si>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</si>
  <si>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</si>
  <si>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</si>
  <si>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</si>
  <si>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</si>
  <si>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</si>
  <si>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</si>
  <si>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</si>
  <si>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</si>
  <si>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</si>
  <si>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</si>
  <si>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</si>
  <si>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</si>
  <si>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</si>
  <si>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</si>
  <si>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</si>
  <si>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</si>
  <si>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</si>
  <si>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</si>
  <si>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</si>
  <si>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</si>
  <si>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</si>
  <si>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</si>
  <si>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</si>
  <si>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</si>
  <si>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</si>
  <si>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</si>
  <si>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</si>
  <si>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</si>
  <si>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</si>
  <si>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</si>
  <si>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</si>
  <si>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</si>
  <si>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</si>
  <si>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</si>
  <si>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</si>
  <si>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</si>
  <si>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</si>
  <si>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</si>
  <si>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</si>
  <si>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</si>
  <si>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</si>
  <si>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</si>
  <si>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</si>
  <si>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</si>
  <si>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</si>
  <si>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</si>
  <si>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</si>
  <si>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</si>
  <si>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</si>
  <si>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</si>
  <si>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</si>
  <si>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</si>
  <si>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</si>
  <si>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</si>
  <si>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</si>
  <si>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</si>
  <si>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</si>
  <si>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</si>
  <si>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</si>
  <si>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</si>
  <si>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</si>
  <si>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</si>
  <si>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</si>
  <si>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</si>
  <si>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</si>
  <si>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</si>
  <si>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</si>
  <si>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</si>
  <si>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</si>
  <si>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</si>
  <si>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</si>
  <si>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</si>
  <si>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</si>
  <si>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</si>
  <si>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</si>
  <si>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</si>
  <si>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</si>
  <si>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</si>
  <si>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</si>
  <si>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</si>
  <si>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</si>
  <si>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</si>
  <si>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</si>
  <si>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</si>
  <si>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</si>
  <si>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</si>
  <si>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</si>
  <si>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</si>
  <si>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</si>
  <si>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</si>
  <si>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</si>
  <si>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</si>
  <si>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</si>
  <si>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</si>
  <si>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</si>
  <si>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</si>
  <si>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</si>
  <si>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</si>
  <si>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</si>
  <si>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</si>
  <si>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</si>
  <si>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</si>
  <si>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</si>
  <si>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</si>
  <si>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</si>
  <si>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</si>
  <si>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</si>
  <si>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</si>
  <si>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</si>
  <si>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</si>
  <si>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</si>
  <si>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</si>
  <si>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</si>
  <si>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</si>
  <si>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</si>
  <si>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</si>
  <si>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</si>
  <si>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</si>
  <si>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</si>
  <si>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</si>
  <si>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</si>
  <si>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</si>
  <si>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</si>
  <si>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</si>
  <si>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</si>
  <si>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</si>
  <si>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</si>
  <si>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</si>
  <si>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</si>
  <si>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</si>
  <si>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</si>
  <si>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</si>
  <si>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</si>
  <si>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</si>
  <si>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</si>
  <si>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</si>
  <si>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</si>
  <si>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</si>
  <si>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</si>
  <si>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</si>
  <si>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</si>
  <si>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</si>
  <si>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</si>
  <si>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</si>
  <si>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</si>
  <si>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</si>
  <si>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</si>
  <si>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</si>
  <si>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</si>
  <si>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</si>
  <si>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</si>
  <si>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</si>
  <si>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</si>
  <si>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</si>
  <si>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</si>
  <si>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</si>
  <si>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</si>
  <si>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</si>
  <si>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</si>
  <si>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</si>
  <si>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</si>
  <si>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</si>
  <si>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</si>
  <si>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</si>
  <si>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</si>
  <si>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</si>
  <si>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</si>
  <si>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</si>
  <si>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</si>
  <si>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</si>
  <si>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</si>
  <si>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</si>
  <si>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</si>
  <si>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</si>
  <si>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</si>
  <si>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</si>
  <si>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</si>
  <si>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</si>
  <si>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</si>
  <si>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</si>
  <si>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</si>
  <si>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</si>
  <si>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</si>
  <si>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</si>
  <si>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</si>
  <si>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</si>
  <si>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</si>
  <si>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</si>
  <si>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</si>
  <si>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</si>
  <si>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</si>
  <si>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</si>
  <si>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</si>
  <si>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</si>
  <si>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</si>
  <si>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</si>
  <si>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</si>
  <si>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</si>
  <si>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</si>
  <si>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</si>
  <si>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</si>
  <si>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</si>
  <si>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</si>
  <si>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</si>
  <si>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</si>
  <si>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</si>
  <si>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</si>
  <si>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</si>
  <si>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</si>
  <si>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</si>
  <si>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</si>
  <si>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</si>
  <si>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</si>
  <si>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</si>
  <si>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</si>
  <si>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</si>
  <si>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</si>
  <si>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</si>
  <si>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</si>
  <si>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</si>
  <si>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</si>
  <si>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</si>
  <si>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</si>
  <si>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</si>
  <si>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</si>
  <si>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</si>
  <si>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</si>
  <si>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</si>
  <si>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</si>
  <si>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</si>
  <si>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</si>
  <si>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</si>
  <si>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</si>
  <si>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</si>
  <si>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</si>
  <si>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</si>
  <si>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</si>
  <si>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</si>
  <si>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</si>
  <si>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</si>
  <si>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</si>
  <si>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</si>
  <si>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</si>
  <si>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</si>
  <si>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</si>
  <si>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</si>
  <si>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</si>
  <si>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</si>
  <si>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</si>
  <si>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</si>
  <si>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</si>
  <si>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</si>
  <si>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</si>
  <si>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</si>
  <si>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</si>
  <si>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</si>
  <si>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</si>
  <si>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</si>
  <si>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</si>
  <si>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</si>
  <si>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</si>
  <si>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</si>
  <si>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</si>
  <si>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</si>
  <si>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</si>
  <si>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</si>
  <si>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</si>
  <si>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</si>
  <si>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</si>
  <si>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</si>
  <si>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</si>
  <si>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</si>
  <si>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</si>
  <si>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</si>
  <si>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</si>
  <si>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</si>
  <si>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</si>
  <si>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</si>
  <si>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</si>
  <si>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</si>
  <si>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</si>
  <si>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</si>
  <si>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</si>
  <si>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</si>
  <si>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</si>
  <si>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</si>
  <si>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</si>
  <si>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</si>
  <si>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</si>
  <si>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</si>
  <si>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</si>
  <si>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</si>
  <si>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</si>
  <si>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</si>
  <si>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</si>
  <si>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</si>
  <si>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</si>
  <si>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</si>
  <si>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</si>
  <si>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</si>
  <si>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</si>
  <si>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</si>
  <si>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</si>
  <si>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</si>
  <si>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</si>
  <si>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</si>
  <si>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</si>
  <si>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</si>
  <si>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</si>
  <si>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</si>
  <si>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</si>
  <si>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</si>
  <si>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</si>
  <si>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</si>
  <si>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</si>
  <si>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</si>
  <si>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</si>
  <si>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</si>
  <si>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</si>
  <si>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</si>
  <si>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</si>
  <si>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</si>
  <si>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</si>
  <si>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</si>
  <si>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</si>
  <si>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</si>
  <si>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</si>
  <si>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</si>
  <si>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</si>
  <si>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</si>
  <si>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</si>
  <si>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</si>
  <si>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</si>
  <si>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</si>
  <si>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</si>
  <si>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</si>
  <si>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</si>
  <si>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</si>
  <si>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</si>
  <si>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</si>
  <si>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</si>
  <si>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</si>
  <si>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</si>
  <si>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</si>
  <si>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</si>
  <si>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</si>
  <si>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</si>
  <si>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</si>
  <si>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</si>
  <si>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</si>
  <si>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</si>
  <si>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</si>
  <si>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</si>
  <si>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</si>
  <si>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</si>
  <si>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</si>
  <si>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</si>
  <si>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</si>
  <si>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</si>
  <si>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</si>
  <si>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</si>
  <si>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</si>
  <si>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</si>
  <si>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</si>
  <si>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</si>
  <si>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</si>
  <si>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</si>
  <si>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</si>
  <si>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</si>
  <si>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</si>
  <si>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</si>
  <si>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</si>
  <si>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</si>
  <si>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</si>
  <si>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</si>
  <si>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</si>
  <si>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</si>
  <si>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</si>
  <si>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</si>
  <si>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</si>
  <si>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</si>
  <si>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</si>
  <si>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</si>
  <si>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</si>
  <si>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</si>
  <si>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</si>
  <si>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</si>
  <si>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</si>
  <si>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</si>
  <si>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</si>
  <si>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</si>
  <si>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</si>
  <si>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</si>
  <si>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</si>
  <si>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</si>
  <si>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</si>
  <si>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</si>
  <si>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</si>
  <si>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</si>
  <si>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</si>
  <si>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</si>
  <si>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</si>
  <si>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</si>
  <si>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</si>
  <si>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</si>
  <si>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</si>
  <si>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</si>
  <si>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</si>
  <si>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</si>
  <si>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</si>
  <si>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</si>
  <si>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</si>
  <si>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</si>
  <si>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</si>
  <si>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</si>
  <si>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</si>
  <si>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</si>
  <si>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</si>
  <si>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</si>
  <si>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</si>
  <si>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</si>
  <si>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</si>
  <si>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</si>
  <si>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</si>
  <si>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</si>
  <si>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</si>
  <si>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</si>
  <si>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</si>
  <si>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</si>
  <si>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</si>
  <si>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</si>
  <si>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</si>
  <si>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</si>
  <si>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</si>
  <si>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</si>
  <si>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</si>
  <si>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</si>
  <si>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</si>
  <si>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</si>
  <si>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</si>
  <si>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</si>
  <si>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</si>
  <si>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</si>
  <si>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</si>
  <si>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</si>
  <si>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</si>
  <si>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</si>
  <si>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</si>
  <si>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</si>
  <si>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</si>
  <si>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</si>
  <si>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</si>
  <si>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</si>
  <si>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</si>
  <si>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</si>
  <si>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</si>
  <si>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</si>
  <si>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</si>
  <si>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</si>
  <si>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</si>
  <si>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</si>
  <si>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</si>
  <si>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</si>
  <si>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</si>
  <si>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</si>
  <si>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</si>
  <si>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</si>
  <si>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</si>
  <si>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</si>
  <si>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</si>
  <si>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</si>
  <si>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</si>
  <si>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</si>
  <si>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</si>
  <si>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</si>
  <si>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</si>
  <si>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</si>
  <si>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</si>
  <si>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</si>
  <si>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</si>
  <si>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</si>
  <si>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</si>
  <si>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</si>
  <si>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</si>
  <si>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</si>
  <si>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</si>
  <si>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</si>
  <si>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</si>
  <si>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</si>
  <si>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</si>
  <si>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</si>
  <si>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</si>
  <si>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</si>
  <si>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</si>
  <si>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</si>
  <si>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</si>
  <si>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</si>
  <si>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</si>
  <si>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</si>
  <si>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</si>
  <si>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</si>
  <si>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</si>
  <si>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</si>
  <si>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</si>
  <si>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</si>
  <si>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</si>
  <si>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</si>
  <si>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</si>
  <si>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</si>
  <si>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</si>
  <si>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</si>
  <si>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</si>
  <si>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</si>
  <si>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</si>
  <si>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</si>
  <si>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</si>
  <si>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</si>
  <si>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</si>
  <si>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</si>
  <si>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</si>
  <si>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</si>
  <si>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</si>
  <si>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</si>
  <si>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</si>
  <si>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</si>
  <si>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</si>
  <si>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</si>
  <si>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</si>
  <si>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</si>
  <si>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</si>
  <si>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</si>
  <si>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</si>
  <si>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</si>
  <si>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</si>
  <si>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</si>
  <si>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</si>
  <si>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</si>
  <si>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</si>
  <si>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</si>
  <si>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</si>
  <si>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</si>
  <si>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</si>
  <si>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</si>
  <si>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</si>
  <si>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</si>
  <si>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</si>
  <si>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</si>
  <si>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</si>
  <si>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</si>
  <si>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</si>
  <si>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</si>
  <si>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</si>
  <si>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</si>
  <si>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</si>
  <si>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</si>
  <si>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</si>
  <si>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</si>
  <si>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</si>
  <si>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</si>
  <si>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</si>
  <si>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</si>
  <si>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</si>
  <si>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</si>
  <si>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</si>
  <si>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</si>
  <si>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</si>
  <si>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</si>
  <si>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</si>
  <si>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</si>
  <si>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</si>
  <si>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</si>
  <si>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</si>
  <si>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</si>
  <si>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</si>
  <si>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</si>
  <si>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</si>
  <si>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</si>
  <si>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</si>
  <si>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</si>
  <si>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</si>
  <si>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</si>
  <si>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</si>
  <si>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</si>
  <si>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</si>
  <si>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</si>
  <si>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</si>
  <si>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</si>
  <si>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</si>
  <si>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</si>
  <si>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</si>
  <si>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</si>
  <si>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</si>
  <si>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</si>
  <si>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</si>
  <si>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</si>
  <si>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</si>
  <si>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</si>
  <si>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</si>
  <si>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</si>
  <si>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</si>
  <si>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</si>
  <si>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</si>
  <si>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</si>
  <si>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</si>
  <si>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</si>
  <si>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</si>
  <si>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</si>
  <si>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</si>
  <si>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</si>
  <si>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</si>
  <si>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</si>
  <si>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</si>
  <si>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</si>
  <si>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</si>
  <si>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</si>
  <si>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</si>
  <si>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</si>
  <si>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</si>
  <si>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</si>
  <si>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</si>
  <si>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</si>
  <si>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</si>
  <si>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</si>
  <si>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</si>
  <si>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</si>
  <si>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</si>
  <si>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</si>
  <si>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</si>
  <si>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</si>
  <si>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</si>
  <si>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</si>
  <si>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</si>
  <si>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</si>
  <si>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</si>
  <si>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</si>
  <si>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</si>
  <si>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</si>
  <si>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</si>
  <si>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</si>
  <si>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</si>
  <si>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</si>
  <si>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</si>
  <si>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</si>
  <si>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</si>
  <si>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</si>
  <si>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</si>
  <si>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</si>
  <si>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</si>
  <si>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</si>
  <si>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</si>
  <si>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</si>
  <si>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</si>
  <si>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</si>
  <si>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</si>
  <si>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</si>
  <si>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</si>
  <si>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</si>
  <si>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</si>
  <si>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</si>
  <si>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</si>
  <si>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</si>
  <si>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</si>
  <si>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</si>
  <si>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</si>
  <si>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</si>
  <si>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</si>
  <si>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</si>
  <si>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</si>
  <si>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</si>
  <si>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</si>
  <si>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</si>
  <si>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</si>
  <si>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</si>
  <si>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</si>
  <si>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</si>
  <si>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</si>
  <si>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</si>
  <si>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</si>
  <si>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</si>
  <si>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</si>
  <si>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</si>
  <si>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</si>
  <si>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</si>
  <si>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</si>
  <si>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</si>
  <si>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</si>
  <si>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</si>
  <si>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</si>
  <si>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</si>
  <si>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</si>
  <si>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</si>
  <si>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</si>
  <si>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</si>
  <si>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</si>
  <si>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</si>
  <si>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</si>
  <si>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</si>
  <si>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</si>
  <si>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</si>
  <si>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</si>
  <si>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</si>
  <si>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</si>
  <si>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</si>
  <si>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</si>
  <si>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</si>
  <si>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</si>
  <si>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</si>
  <si>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</si>
  <si>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</si>
  <si>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</si>
  <si>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</si>
  <si>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</si>
  <si>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</si>
  <si>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</si>
  <si>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</si>
  <si>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</si>
  <si>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</si>
  <si>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</si>
  <si>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</si>
  <si>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</si>
  <si>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</si>
  <si>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</si>
  <si>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</si>
  <si>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</si>
  <si>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</si>
  <si>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</si>
  <si>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</si>
  <si>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</si>
  <si>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</si>
  <si>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</si>
  <si>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</si>
  <si>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</si>
  <si>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</si>
  <si>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</si>
  <si>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</si>
  <si>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</si>
  <si>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</si>
  <si>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</si>
  <si>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</si>
  <si>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</si>
  <si>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</si>
  <si>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</si>
  <si>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</si>
  <si>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</si>
  <si>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</si>
  <si>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</si>
  <si>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</si>
  <si>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</si>
  <si>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</si>
  <si>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</si>
  <si>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</si>
  <si>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</si>
  <si>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</si>
  <si>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</si>
  <si>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</si>
  <si>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</si>
  <si>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</si>
  <si>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</si>
  <si>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</si>
  <si>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</si>
  <si>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</si>
  <si>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</si>
  <si>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</si>
  <si>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</si>
  <si>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</si>
  <si>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</si>
  <si>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</si>
  <si>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</si>
  <si>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</si>
  <si>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</si>
  <si>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</si>
  <si>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</si>
  <si>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</si>
  <si>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</si>
  <si>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</si>
  <si>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</si>
  <si>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</si>
  <si>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</si>
  <si>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</si>
  <si>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</si>
  <si>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</si>
  <si>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</si>
  <si>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</si>
  <si>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</si>
  <si>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</si>
  <si>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</si>
  <si>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</si>
  <si>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</si>
  <si>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</si>
  <si>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</si>
  <si>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</si>
  <si>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</si>
  <si>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</si>
  <si>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</si>
  <si>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</si>
  <si>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</si>
  <si>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</si>
  <si>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</si>
  <si>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</si>
  <si>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</si>
  <si>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</si>
  <si>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</si>
  <si>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</si>
  <si>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</si>
  <si>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</si>
  <si>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</si>
  <si>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</si>
  <si>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</si>
  <si>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</si>
  <si>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</si>
  <si>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</si>
  <si>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</si>
  <si>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</si>
  <si>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</si>
  <si>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</si>
  <si>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</si>
  <si>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</si>
  <si>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</si>
  <si>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</si>
  <si>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</si>
  <si>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</si>
  <si>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</si>
  <si>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</si>
  <si>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</si>
  <si>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</si>
  <si>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</si>
  <si>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</si>
  <si>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</si>
  <si>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</si>
  <si>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</si>
  <si>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</si>
  <si>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</si>
  <si>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</si>
  <si>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</si>
  <si>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</si>
  <si>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</si>
  <si>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</si>
  <si>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</si>
  <si>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</si>
  <si>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</si>
  <si>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</si>
  <si>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</si>
  <si>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</si>
  <si>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</si>
  <si>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</si>
  <si>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</si>
  <si>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</si>
  <si>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</si>
  <si>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</si>
  <si>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</si>
  <si>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</si>
  <si>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</si>
  <si>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</si>
  <si>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</si>
  <si>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</si>
  <si>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</si>
  <si>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</si>
  <si>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</si>
  <si>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</si>
  <si>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</si>
  <si>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</si>
  <si>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</si>
  <si>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</si>
  <si>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</si>
  <si>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</si>
  <si>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</si>
  <si>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</si>
  <si>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</si>
  <si>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</si>
  <si>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</si>
  <si>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</si>
  <si>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</si>
  <si>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</si>
  <si>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</si>
  <si>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</si>
  <si>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</si>
  <si>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</si>
  <si>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</si>
  <si>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</si>
  <si>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</si>
  <si>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</si>
  <si>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</si>
  <si>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</si>
  <si>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</si>
  <si>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</si>
  <si>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</si>
  <si>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</si>
  <si>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</si>
  <si>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</si>
  <si>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</si>
  <si>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</si>
  <si>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</si>
  <si>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</si>
  <si>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</si>
  <si>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</si>
  <si>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</si>
  <si>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</si>
  <si>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</si>
  <si>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</si>
  <si>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</si>
  <si>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</si>
  <si>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</si>
  <si>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</si>
  <si>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</si>
  <si>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</si>
  <si>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</si>
  <si>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</si>
  <si>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</si>
  <si>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</si>
  <si>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</si>
  <si>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</si>
  <si>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</si>
  <si>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</si>
  <si>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</si>
  <si>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</si>
  <si>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</si>
  <si>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</si>
  <si>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</si>
  <si>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</si>
  <si>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</si>
  <si>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</si>
  <si>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</si>
  <si>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</si>
  <si>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</si>
  <si>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</si>
  <si>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</si>
  <si>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</si>
  <si>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</si>
  <si>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</si>
  <si>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</si>
  <si>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</si>
  <si>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</si>
  <si>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</si>
  <si>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</si>
  <si>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</si>
  <si>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</si>
  <si>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</si>
  <si>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</si>
  <si>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</si>
  <si>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</si>
  <si>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</si>
  <si>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</si>
  <si>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</si>
  <si>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</si>
  <si>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</si>
  <si>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</si>
  <si>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</si>
  <si>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</si>
  <si>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</si>
  <si>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</si>
  <si>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</si>
  <si>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</si>
  <si>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</si>
  <si>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</si>
  <si>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</si>
  <si>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</si>
  <si>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</si>
  <si>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</si>
  <si>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</si>
  <si>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</si>
  <si>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</si>
  <si>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</si>
  <si>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</si>
  <si>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</si>
  <si>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</si>
  <si>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</si>
  <si>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</si>
  <si>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</si>
  <si>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</si>
  <si>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</si>
  <si>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</si>
  <si>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</si>
  <si>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</si>
  <si>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</si>
  <si>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</si>
  <si>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辰見 鴻之介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</si>
  <si>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</si>
  <si>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</si>
  <si>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</si>
  <si>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</si>
  <si>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</si>
  <si>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</si>
  <si>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</si>
  <si>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</si>
  <si>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</si>
  <si>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</si>
  <si>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</si>
  <si>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</si>
  <si>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</si>
  <si>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</si>
  <si>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</si>
  <si>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</si>
  <si>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</si>
  <si>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</si>
  <si>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</si>
  <si>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</si>
  <si>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</si>
  <si>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</si>
  <si>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</si>
  <si>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</si>
  <si>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</si>
  <si>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</si>
  <si>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</si>
  <si>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</si>
  <si>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</si>
  <si>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</si>
  <si>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</si>
  <si>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</si>
  <si>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</si>
  <si>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</si>
  <si>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</si>
  <si>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</si>
  <si>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</si>
  <si>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</si>
  <si>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</si>
  <si>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</si>
  <si>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</si>
  <si>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</si>
  <si>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</si>
  <si>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</si>
  <si>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</si>
  <si>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</si>
  <si>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</si>
  <si>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</si>
  <si>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</si>
  <si>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</si>
  <si>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</si>
  <si>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</si>
  <si>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</si>
  <si>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</si>
  <si>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</si>
  <si>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</si>
  <si>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</si>
  <si>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</si>
  <si>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</si>
  <si>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</si>
  <si>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</si>
  <si>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</si>
  <si>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</si>
  <si>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</si>
  <si>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</si>
  <si>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</si>
  <si>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</si>
  <si>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</si>
  <si>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</si>
  <si>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</si>
  <si>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</si>
  <si>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</si>
  <si>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</si>
  <si>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</si>
  <si>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</si>
  <si>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</si>
  <si>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</si>
  <si>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</si>
  <si>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</si>
  <si>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</si>
  <si>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</si>
  <si>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</si>
  <si>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</si>
  <si>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</si>
  <si>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</si>
  <si>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</si>
  <si>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</si>
  <si>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</si>
  <si>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</si>
  <si>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</si>
  <si>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</si>
  <si>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</si>
  <si>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</si>
  <si>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</si>
  <si>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</si>
  <si>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</si>
  <si>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</si>
  <si>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楽天</t>
    <rPh sb="0" eb="2">
      <t>ラクテン</t>
    </rPh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</si>
  <si>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</si>
  <si>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</si>
  <si>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</si>
  <si>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</si>
  <si>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山﨑 剛</t>
    <rPh sb="1" eb="2">
      <t>サキ</t>
    </rPh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</si>
  <si>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</si>
  <si>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</si>
  <si>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</si>
  <si>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</si>
  <si>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</si>
  <si>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</si>
  <si>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</si>
  <si>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</si>
  <si>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</si>
  <si>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</si>
  <si>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</si>
  <si>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</si>
  <si>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</si>
  <si>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</si>
  <si>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</si>
  <si>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</si>
  <si>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</si>
  <si>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</si>
  <si>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</si>
  <si>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</si>
  <si>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</si>
  <si>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</si>
  <si>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</si>
  <si>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</si>
  <si>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</si>
  <si>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</si>
  <si>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</si>
  <si>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</si>
  <si>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</si>
  <si>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</si>
  <si>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</si>
  <si>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</si>
  <si>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</si>
  <si>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TIGERS</t>
    <phoneticPr fontId="1"/>
  </si>
  <si>
    <t>FIGHTERS</t>
    <phoneticPr fontId="1"/>
  </si>
  <si>
    <t>三塁側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</si>
</sst>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789E22"/>
      <color rgb="FFE6E6E6"/>
      <color rgb="FFFF71FF"/>
      <color rgb="FFF6AB00"/>
      <color rgb="FF870011"/>
      <color rgb="FF60000B"/>
      <color rgb="FFB8A536"/>
      <color rgb="FF00037A"/>
      <color rgb="FF000121"/>
      <color rgb="FF004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15" sqref="L15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875</v>
      </c>
      <c r="E3" s="2" t="s">
        <v>876</v>
      </c>
      <c r="P3" s="2" t="s">
        <v>875</v>
      </c>
      <c r="Q3" s="2" t="s">
        <v>876</v>
      </c>
    </row>
    <row r="4" spans="2:18" ht="13.2" customHeight="1" x14ac:dyDescent="0.2">
      <c r="B4" s="129" t="s">
        <v>844</v>
      </c>
      <c r="C4" s="2" t="s">
        <v>846</v>
      </c>
      <c r="D4" s="79" t="s">
        <v>850</v>
      </c>
      <c r="E4" s="66" t="s">
        <v>850</v>
      </c>
      <c r="G4" s="133" t="s">
        <v>864</v>
      </c>
      <c r="H4" s="2" t="s">
        <v>846</v>
      </c>
      <c r="I4" s="40" t="s">
        <v>865</v>
      </c>
      <c r="K4" s="3" t="s">
        <v>870</v>
      </c>
      <c r="L4" s="3" t="s">
        <v>2006</v>
      </c>
      <c r="N4" s="121" t="s">
        <v>844</v>
      </c>
      <c r="O4" s="43" t="s">
        <v>877</v>
      </c>
      <c r="P4" s="3" t="str">
        <f>textcolor(D4)</f>
        <v>#261C1A</v>
      </c>
      <c r="Q4" s="3" t="str">
        <f>textcolor(E4)</f>
        <v>#FFFFFF</v>
      </c>
      <c r="R4" t="s">
        <v>890</v>
      </c>
    </row>
    <row r="5" spans="2:18" x14ac:dyDescent="0.2">
      <c r="B5" s="130"/>
      <c r="C5" s="2" t="s">
        <v>847</v>
      </c>
      <c r="D5" s="80"/>
      <c r="E5" s="65"/>
      <c r="G5" s="134"/>
      <c r="H5" s="2" t="s">
        <v>847</v>
      </c>
      <c r="I5" s="37"/>
      <c r="K5" s="3" t="s">
        <v>888</v>
      </c>
      <c r="L5" s="3" t="s">
        <v>2051</v>
      </c>
      <c r="N5" s="122"/>
      <c r="O5" s="43" t="s">
        <v>884</v>
      </c>
      <c r="P5" s="3" t="str">
        <f>BackGroundColor(D4,D5,D6,D7,D8,FALSE)</f>
        <v>linear-gradient(to bottom, #FEE101 0%, #FEE101 40%, #D5BC01 60%, #D5BC01 100%)</v>
      </c>
      <c r="Q5" s="3" t="str">
        <f>BackGroundColor(E4,E5,E6,E7,E8,FALSE)</f>
        <v>linear-gradient(to bottom, #006298 0%, #006298 40%, #004468 60%, #004468 100%)</v>
      </c>
      <c r="R5" t="s">
        <v>890</v>
      </c>
    </row>
    <row r="6" spans="2:18" x14ac:dyDescent="0.2">
      <c r="B6" s="130"/>
      <c r="C6" s="2" t="s">
        <v>842</v>
      </c>
      <c r="D6" s="2" t="s">
        <v>843</v>
      </c>
      <c r="E6" s="2" t="s">
        <v>843</v>
      </c>
      <c r="G6" s="134"/>
      <c r="H6" s="2" t="s">
        <v>842</v>
      </c>
      <c r="I6" s="2"/>
      <c r="K6" s="3" t="s">
        <v>902</v>
      </c>
      <c r="L6" s="42">
        <f>GetLastRow(L4)</f>
        <v>111</v>
      </c>
      <c r="N6" s="135" t="s">
        <v>861</v>
      </c>
      <c r="O6" s="43" t="s">
        <v>877</v>
      </c>
      <c r="P6" s="3" t="str">
        <f>textcolor(D9)</f>
        <v>#FFFFFF</v>
      </c>
      <c r="Q6" s="3" t="str">
        <f>textcolor(E9)</f>
        <v>#FFFFFF</v>
      </c>
      <c r="R6" t="s">
        <v>890</v>
      </c>
    </row>
    <row r="7" spans="2:18" x14ac:dyDescent="0.2">
      <c r="B7" s="130"/>
      <c r="C7" s="2" t="s">
        <v>851</v>
      </c>
      <c r="D7" s="34">
        <v>0.4</v>
      </c>
      <c r="E7" s="34">
        <v>0.4</v>
      </c>
      <c r="G7" s="134"/>
      <c r="H7" s="2" t="s">
        <v>851</v>
      </c>
      <c r="I7" s="34"/>
      <c r="K7" s="3" t="s">
        <v>871</v>
      </c>
      <c r="L7" s="3" t="s">
        <v>872</v>
      </c>
      <c r="N7" s="136"/>
      <c r="O7" s="43" t="s">
        <v>884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890</v>
      </c>
    </row>
    <row r="8" spans="2:18" x14ac:dyDescent="0.2">
      <c r="B8" s="131"/>
      <c r="C8" s="2" t="s">
        <v>852</v>
      </c>
      <c r="D8" s="34">
        <v>0.6</v>
      </c>
      <c r="E8" s="34">
        <v>0.6</v>
      </c>
      <c r="G8" s="134"/>
      <c r="H8" s="2" t="s">
        <v>852</v>
      </c>
      <c r="I8" s="34"/>
      <c r="K8" s="3" t="s">
        <v>889</v>
      </c>
      <c r="L8" s="3" t="s">
        <v>2052</v>
      </c>
      <c r="N8" s="47" t="s">
        <v>845</v>
      </c>
      <c r="O8" s="43" t="s">
        <v>887</v>
      </c>
      <c r="P8" s="3" t="str">
        <f t="shared" ref="P8:Q10" si="0">BackGroundColorSingle(D14)</f>
        <v>#FEE101</v>
      </c>
      <c r="Q8" s="3" t="str">
        <f t="shared" si="0"/>
        <v>#B4A169</v>
      </c>
      <c r="R8" t="s">
        <v>890</v>
      </c>
    </row>
    <row r="9" spans="2:18" x14ac:dyDescent="0.2">
      <c r="B9" s="129" t="s">
        <v>861</v>
      </c>
      <c r="C9" s="2" t="s">
        <v>846</v>
      </c>
      <c r="D9" s="29" t="s">
        <v>850</v>
      </c>
      <c r="E9" s="29" t="s">
        <v>850</v>
      </c>
      <c r="G9" s="133" t="s">
        <v>866</v>
      </c>
      <c r="H9" s="2" t="s">
        <v>846</v>
      </c>
      <c r="I9" s="119" t="s">
        <v>865</v>
      </c>
      <c r="K9" s="3" t="s">
        <v>903</v>
      </c>
      <c r="L9" s="42">
        <f>GetLastRow(L7)</f>
        <v>122</v>
      </c>
      <c r="N9" s="47" t="s">
        <v>895</v>
      </c>
      <c r="O9" s="43" t="s">
        <v>887</v>
      </c>
      <c r="P9" s="3" t="str">
        <f t="shared" si="0"/>
        <v>#7F7F7F</v>
      </c>
      <c r="Q9" s="3" t="str">
        <f t="shared" si="0"/>
        <v>#7F7F7F</v>
      </c>
      <c r="R9" t="s">
        <v>890</v>
      </c>
    </row>
    <row r="10" spans="2:18" x14ac:dyDescent="0.2">
      <c r="B10" s="130"/>
      <c r="C10" s="2" t="s">
        <v>847</v>
      </c>
      <c r="D10" s="37"/>
      <c r="E10" s="37"/>
      <c r="G10" s="134"/>
      <c r="H10" s="2" t="s">
        <v>847</v>
      </c>
      <c r="I10" s="37"/>
      <c r="K10" s="3" t="s">
        <v>873</v>
      </c>
      <c r="L10" s="42">
        <v>9</v>
      </c>
      <c r="N10" s="47" t="s">
        <v>894</v>
      </c>
      <c r="O10" s="43" t="s">
        <v>887</v>
      </c>
      <c r="P10" s="3" t="str">
        <f t="shared" si="0"/>
        <v>#FFFFFF</v>
      </c>
      <c r="Q10" s="3" t="str">
        <f t="shared" si="0"/>
        <v>#FFFFFF</v>
      </c>
      <c r="R10" t="s">
        <v>890</v>
      </c>
    </row>
    <row r="11" spans="2:18" x14ac:dyDescent="0.2">
      <c r="B11" s="130"/>
      <c r="C11" s="2" t="s">
        <v>842</v>
      </c>
      <c r="D11" s="2"/>
      <c r="E11" s="2"/>
      <c r="G11" s="134"/>
      <c r="H11" s="2" t="s">
        <v>842</v>
      </c>
      <c r="I11" s="2"/>
      <c r="K11" s="3" t="s">
        <v>874</v>
      </c>
      <c r="L11" s="3" t="s">
        <v>2040</v>
      </c>
      <c r="N11" s="121" t="s">
        <v>848</v>
      </c>
      <c r="O11" s="43" t="s">
        <v>877</v>
      </c>
      <c r="P11" s="3" t="str">
        <f>textcolor(D17)</f>
        <v>#FFFFFF</v>
      </c>
      <c r="Q11" s="3" t="str">
        <f>textcolor(E16)</f>
        <v>#FFFFFF</v>
      </c>
      <c r="R11" t="s">
        <v>890</v>
      </c>
    </row>
    <row r="12" spans="2:18" x14ac:dyDescent="0.2">
      <c r="B12" s="130"/>
      <c r="C12" s="2" t="s">
        <v>851</v>
      </c>
      <c r="D12" s="34"/>
      <c r="E12" s="34"/>
      <c r="G12" s="134"/>
      <c r="H12" s="2" t="s">
        <v>851</v>
      </c>
      <c r="I12" s="34"/>
      <c r="K12" s="3" t="s">
        <v>901</v>
      </c>
      <c r="L12" s="3" t="s">
        <v>2053</v>
      </c>
      <c r="N12" s="122"/>
      <c r="O12" s="43" t="s">
        <v>884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890</v>
      </c>
    </row>
    <row r="13" spans="2:18" x14ac:dyDescent="0.2">
      <c r="B13" s="131"/>
      <c r="C13" s="2" t="s">
        <v>852</v>
      </c>
      <c r="D13" s="34"/>
      <c r="E13" s="34"/>
      <c r="G13" s="134"/>
      <c r="H13" s="2" t="s">
        <v>852</v>
      </c>
      <c r="I13" s="34"/>
      <c r="N13" s="121" t="s">
        <v>849</v>
      </c>
      <c r="O13" s="43" t="s">
        <v>877</v>
      </c>
      <c r="P13" s="3" t="str">
        <f>textcolor(D22)</f>
        <v>#FFFFFF</v>
      </c>
      <c r="Q13" s="3" t="str">
        <f>textcolor(E22)</f>
        <v>#FFFFFF</v>
      </c>
      <c r="R13" t="s">
        <v>890</v>
      </c>
    </row>
    <row r="14" spans="2:18" ht="13.2" customHeight="1" x14ac:dyDescent="0.2">
      <c r="B14" s="28" t="s">
        <v>845</v>
      </c>
      <c r="C14" s="2" t="s">
        <v>887</v>
      </c>
      <c r="D14" s="78"/>
      <c r="E14" s="36"/>
      <c r="G14" s="133" t="s">
        <v>867</v>
      </c>
      <c r="H14" s="2" t="s">
        <v>846</v>
      </c>
      <c r="I14" s="38" t="s">
        <v>865</v>
      </c>
      <c r="N14" s="132"/>
      <c r="O14" s="43" t="s">
        <v>884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890</v>
      </c>
    </row>
    <row r="15" spans="2:18" ht="13.2" customHeight="1" x14ac:dyDescent="0.2">
      <c r="B15" s="28" t="s">
        <v>895</v>
      </c>
      <c r="C15" s="2" t="s">
        <v>887</v>
      </c>
      <c r="D15" s="51"/>
      <c r="E15" s="51"/>
      <c r="G15" s="134"/>
      <c r="H15" s="2" t="s">
        <v>847</v>
      </c>
      <c r="I15" s="37"/>
      <c r="N15" s="122"/>
      <c r="O15" s="43" t="s">
        <v>2041</v>
      </c>
      <c r="P15" s="3" t="str">
        <f>BackGroundColorSingle(D27)</f>
        <v/>
      </c>
      <c r="Q15" s="3" t="str">
        <f>BackGroundColorSingle(E27)</f>
        <v/>
      </c>
      <c r="R15" t="s">
        <v>890</v>
      </c>
    </row>
    <row r="16" spans="2:18" x14ac:dyDescent="0.2">
      <c r="B16" s="28" t="s">
        <v>894</v>
      </c>
      <c r="C16" s="2" t="s">
        <v>887</v>
      </c>
      <c r="D16" s="50"/>
      <c r="E16" s="50"/>
      <c r="G16" s="134"/>
      <c r="H16" s="2" t="s">
        <v>842</v>
      </c>
      <c r="I16" s="2"/>
      <c r="N16" s="121" t="s">
        <v>854</v>
      </c>
      <c r="O16" s="43" t="s">
        <v>877</v>
      </c>
      <c r="P16" s="3" t="str">
        <f>textcolor(D28)</f>
        <v>#261C1A</v>
      </c>
      <c r="Q16" s="3" t="str">
        <f>textcolor(E28)</f>
        <v>#006298</v>
      </c>
      <c r="R16" t="s">
        <v>890</v>
      </c>
    </row>
    <row r="17" spans="2:18" x14ac:dyDescent="0.2">
      <c r="B17" s="129" t="s">
        <v>848</v>
      </c>
      <c r="C17" s="2" t="s">
        <v>846</v>
      </c>
      <c r="D17" s="29" t="s">
        <v>856</v>
      </c>
      <c r="E17" s="29" t="s">
        <v>856</v>
      </c>
      <c r="G17" s="134"/>
      <c r="H17" s="2" t="s">
        <v>851</v>
      </c>
      <c r="I17" s="34"/>
      <c r="N17" s="122"/>
      <c r="O17" s="43" t="s">
        <v>884</v>
      </c>
      <c r="P17" s="3" t="str">
        <f>BackGroundColor(D28,D29,D30,D31,D32,FALSE)</f>
        <v>linear-gradient(to bottom, #FEE101 0%, #FEE101 40%, #D5BC01 60%, #D5BC01 100%)</v>
      </c>
      <c r="Q17" s="3" t="str">
        <f>BackGroundColor(E28,E29,E30,E31,E32,FALSE)</f>
        <v>linear-gradient(to bottom, #FFFFFF 0%, #FFFFFF 40%, #E6E6E6 60%, #E6E6E6 100%)</v>
      </c>
      <c r="R17" t="s">
        <v>890</v>
      </c>
    </row>
    <row r="18" spans="2:18" x14ac:dyDescent="0.2">
      <c r="B18" s="130"/>
      <c r="C18" s="2" t="s">
        <v>847</v>
      </c>
      <c r="D18" s="30"/>
      <c r="E18" s="30"/>
      <c r="G18" s="134"/>
      <c r="H18" s="2" t="s">
        <v>852</v>
      </c>
      <c r="I18" s="34"/>
      <c r="N18" s="121" t="s">
        <v>855</v>
      </c>
      <c r="O18" s="43" t="s">
        <v>877</v>
      </c>
      <c r="P18" s="3" t="str">
        <f>textcolor(D33)</f>
        <v>#261C1A</v>
      </c>
      <c r="Q18" s="3" t="str">
        <f>textcolor(E33)</f>
        <v>#006298</v>
      </c>
      <c r="R18" t="s">
        <v>890</v>
      </c>
    </row>
    <row r="19" spans="2:18" x14ac:dyDescent="0.2">
      <c r="B19" s="130"/>
      <c r="C19" s="2" t="s">
        <v>842</v>
      </c>
      <c r="D19" s="2" t="s">
        <v>843</v>
      </c>
      <c r="E19" s="2" t="s">
        <v>843</v>
      </c>
      <c r="G19" s="133" t="s">
        <v>885</v>
      </c>
      <c r="H19" s="2" t="s">
        <v>846</v>
      </c>
      <c r="I19" s="63">
        <v>1</v>
      </c>
      <c r="N19" s="132"/>
      <c r="O19" s="43" t="s">
        <v>884</v>
      </c>
      <c r="P19" s="3" t="str">
        <f>BackGroundColor(D28,D29,D30,D31,D32,FALSE)</f>
        <v>linear-gradient(to bottom, #FEE101 0%, #FEE101 40%, #D5BC01 60%, #D5BC01 100%)</v>
      </c>
      <c r="Q19" s="3" t="str">
        <f>BackGroundColor(E28,E29,E30,E31,E32,FALSE)</f>
        <v>linear-gradient(to bottom, #FFFFFF 0%, #FFFFFF 40%, #E6E6E6 60%, #E6E6E6 100%)</v>
      </c>
      <c r="R19" t="s">
        <v>890</v>
      </c>
    </row>
    <row r="20" spans="2:18" ht="13.2" customHeight="1" x14ac:dyDescent="0.2">
      <c r="B20" s="130"/>
      <c r="C20" s="2" t="s">
        <v>851</v>
      </c>
      <c r="D20" s="34">
        <v>0.4</v>
      </c>
      <c r="E20" s="34">
        <v>0.4</v>
      </c>
      <c r="G20" s="134"/>
      <c r="H20" s="2" t="s">
        <v>847</v>
      </c>
      <c r="I20" s="37"/>
      <c r="N20" s="122"/>
      <c r="O20" s="43" t="s">
        <v>2041</v>
      </c>
      <c r="P20" s="3" t="str">
        <f>BackGroundColorSingle(D38)</f>
        <v>#FEE101</v>
      </c>
      <c r="Q20" s="3" t="str">
        <f>BackGroundColorSingle(E38)</f>
        <v>#FFFFFF</v>
      </c>
      <c r="R20" t="s">
        <v>890</v>
      </c>
    </row>
    <row r="21" spans="2:18" x14ac:dyDescent="0.2">
      <c r="B21" s="131"/>
      <c r="C21" s="2" t="s">
        <v>852</v>
      </c>
      <c r="D21" s="34">
        <v>0.6</v>
      </c>
      <c r="E21" s="34">
        <v>0.6</v>
      </c>
      <c r="G21" s="134"/>
      <c r="H21" s="2" t="s">
        <v>842</v>
      </c>
      <c r="I21" s="2"/>
      <c r="N21" s="121" t="s">
        <v>857</v>
      </c>
      <c r="O21" s="43" t="s">
        <v>877</v>
      </c>
      <c r="P21" s="3" t="str">
        <f>textcolor(D39)</f>
        <v>#FFFFFF</v>
      </c>
      <c r="Q21" s="3" t="str">
        <f>textcolor(E39)</f>
        <v>#FFFFFF</v>
      </c>
      <c r="R21" t="s">
        <v>890</v>
      </c>
    </row>
    <row r="22" spans="2:18" ht="13.2" customHeight="1" x14ac:dyDescent="0.2">
      <c r="B22" s="129" t="s">
        <v>849</v>
      </c>
      <c r="C22" s="2" t="s">
        <v>846</v>
      </c>
      <c r="D22" s="52" t="s">
        <v>853</v>
      </c>
      <c r="E22" s="52" t="s">
        <v>853</v>
      </c>
      <c r="G22" s="134"/>
      <c r="H22" s="2" t="s">
        <v>851</v>
      </c>
      <c r="I22" s="34"/>
      <c r="N22" s="122"/>
      <c r="O22" s="43" t="s">
        <v>884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890</v>
      </c>
    </row>
    <row r="23" spans="2:18" x14ac:dyDescent="0.2">
      <c r="B23" s="130"/>
      <c r="C23" s="2" t="s">
        <v>847</v>
      </c>
      <c r="D23" s="35" t="s">
        <v>853</v>
      </c>
      <c r="E23" s="35" t="s">
        <v>853</v>
      </c>
      <c r="G23" s="134"/>
      <c r="H23" s="2" t="s">
        <v>852</v>
      </c>
      <c r="I23" s="34"/>
      <c r="N23" s="121" t="s">
        <v>858</v>
      </c>
      <c r="O23" s="43" t="s">
        <v>877</v>
      </c>
      <c r="P23" s="3" t="str">
        <f>textcolor(D44)</f>
        <v>#00FF00</v>
      </c>
      <c r="Q23" s="3" t="str">
        <f>textcolor(E44)</f>
        <v>#00FF00</v>
      </c>
      <c r="R23" t="s">
        <v>890</v>
      </c>
    </row>
    <row r="24" spans="2:18" x14ac:dyDescent="0.2">
      <c r="B24" s="130"/>
      <c r="C24" s="2" t="s">
        <v>842</v>
      </c>
      <c r="D24" s="2"/>
      <c r="E24" s="2"/>
      <c r="G24" s="133" t="s">
        <v>868</v>
      </c>
      <c r="H24" s="2" t="s">
        <v>846</v>
      </c>
      <c r="I24" s="39" t="s">
        <v>869</v>
      </c>
      <c r="N24" s="132"/>
      <c r="O24" s="43" t="s">
        <v>884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890</v>
      </c>
    </row>
    <row r="25" spans="2:18" ht="13.2" customHeight="1" x14ac:dyDescent="0.2">
      <c r="B25" s="130"/>
      <c r="C25" s="2" t="s">
        <v>851</v>
      </c>
      <c r="D25" s="34"/>
      <c r="E25" s="34"/>
      <c r="G25" s="134"/>
      <c r="H25" s="2" t="s">
        <v>847</v>
      </c>
      <c r="I25" s="37"/>
      <c r="N25" s="122"/>
      <c r="O25" s="43" t="s">
        <v>2041</v>
      </c>
      <c r="P25" s="3" t="str">
        <f>BackGroundColorSingle(D49)</f>
        <v/>
      </c>
      <c r="Q25" s="3" t="str">
        <f>BackGroundColorSingle(E49)</f>
        <v/>
      </c>
      <c r="R25" t="s">
        <v>890</v>
      </c>
    </row>
    <row r="26" spans="2:18" x14ac:dyDescent="0.2">
      <c r="B26" s="130"/>
      <c r="C26" s="2" t="s">
        <v>852</v>
      </c>
      <c r="D26" s="34"/>
      <c r="E26" s="34"/>
      <c r="G26" s="134"/>
      <c r="H26" s="2" t="s">
        <v>842</v>
      </c>
      <c r="I26" s="2"/>
      <c r="N26" s="121" t="s">
        <v>893</v>
      </c>
      <c r="O26" s="43" t="s">
        <v>877</v>
      </c>
      <c r="P26" s="3" t="str">
        <f>textcolor(D50)</f>
        <v>#261C1A</v>
      </c>
      <c r="Q26" s="3" t="str">
        <f>textcolor(E50)</f>
        <v>#006298</v>
      </c>
      <c r="R26" t="s">
        <v>890</v>
      </c>
    </row>
    <row r="27" spans="2:18" x14ac:dyDescent="0.2">
      <c r="B27" s="131"/>
      <c r="C27" s="2" t="s">
        <v>2041</v>
      </c>
      <c r="D27" s="34"/>
      <c r="E27" s="34"/>
      <c r="G27" s="134"/>
      <c r="H27" s="2" t="s">
        <v>851</v>
      </c>
      <c r="I27" s="34"/>
      <c r="N27" s="122"/>
      <c r="O27" s="43" t="s">
        <v>884</v>
      </c>
      <c r="P27" s="3" t="str">
        <f>BackGroundColor(D50,D51,D52,D53,D54,FALSE)</f>
        <v>linear-gradient(to bottom, #FEE101 0%, #FEE101 40%, #D5BC01 60%, #D5BC01 100%)</v>
      </c>
      <c r="Q27" s="3" t="str">
        <f>BackGroundColor(E50,E51,E52,E53,E54,FALSE)</f>
        <v>linear-gradient(to bottom, #FFFFFF 0%, #FFFFFF 40%, #E6E6E6 60%, #E6E6E6 100%)</v>
      </c>
      <c r="R27" t="s">
        <v>890</v>
      </c>
    </row>
    <row r="28" spans="2:18" x14ac:dyDescent="0.2">
      <c r="B28" s="129" t="s">
        <v>854</v>
      </c>
      <c r="C28" s="2" t="s">
        <v>846</v>
      </c>
      <c r="D28" s="109" t="s">
        <v>856</v>
      </c>
      <c r="E28" s="112" t="s">
        <v>856</v>
      </c>
      <c r="G28" s="134"/>
      <c r="H28" s="2" t="s">
        <v>852</v>
      </c>
      <c r="I28" s="34"/>
      <c r="N28" s="121" t="s">
        <v>892</v>
      </c>
      <c r="O28" s="43" t="s">
        <v>877</v>
      </c>
      <c r="P28" s="3" t="str">
        <f>textcolor(D55)</f>
        <v>#FFFFFF</v>
      </c>
      <c r="Q28" s="3" t="str">
        <f>textcolor(E55)</f>
        <v>#FFFFFF</v>
      </c>
      <c r="R28" t="s">
        <v>890</v>
      </c>
    </row>
    <row r="29" spans="2:18" x14ac:dyDescent="0.2">
      <c r="B29" s="130"/>
      <c r="C29" s="2" t="s">
        <v>847</v>
      </c>
      <c r="D29" s="80"/>
      <c r="E29" s="103"/>
      <c r="G29" s="129" t="s">
        <v>884</v>
      </c>
      <c r="H29" s="2" t="s">
        <v>846</v>
      </c>
      <c r="I29" s="41"/>
      <c r="N29" s="132"/>
      <c r="O29" s="43" t="s">
        <v>884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890</v>
      </c>
    </row>
    <row r="30" spans="2:18" x14ac:dyDescent="0.2">
      <c r="B30" s="130"/>
      <c r="C30" s="2" t="s">
        <v>842</v>
      </c>
      <c r="D30" s="2" t="s">
        <v>843</v>
      </c>
      <c r="E30" s="2" t="s">
        <v>843</v>
      </c>
      <c r="G30" s="130"/>
      <c r="H30" s="2" t="s">
        <v>847</v>
      </c>
      <c r="I30" s="37"/>
      <c r="N30" s="122"/>
      <c r="O30" s="43" t="s">
        <v>2041</v>
      </c>
      <c r="P30" s="3" t="str">
        <f>BackGroundColorSingle(D60)</f>
        <v/>
      </c>
      <c r="Q30" s="3" t="str">
        <f>BackGroundColorSingle(E60)</f>
        <v/>
      </c>
      <c r="R30" t="s">
        <v>890</v>
      </c>
    </row>
    <row r="31" spans="2:18" ht="13.2" customHeight="1" x14ac:dyDescent="0.2">
      <c r="B31" s="130"/>
      <c r="C31" s="2" t="s">
        <v>851</v>
      </c>
      <c r="D31" s="34">
        <v>0.4</v>
      </c>
      <c r="E31" s="34">
        <v>0.4</v>
      </c>
      <c r="G31" s="130"/>
      <c r="H31" s="2" t="s">
        <v>842</v>
      </c>
      <c r="I31" s="2"/>
      <c r="N31" s="123" t="s">
        <v>859</v>
      </c>
      <c r="O31" s="43" t="s">
        <v>877</v>
      </c>
      <c r="P31" s="3" t="str">
        <f>textcolor(D61)</f>
        <v>#261C1A</v>
      </c>
      <c r="Q31" s="3" t="str">
        <f>textcolor(E61)</f>
        <v>#FFFFFF</v>
      </c>
      <c r="R31" t="s">
        <v>890</v>
      </c>
    </row>
    <row r="32" spans="2:18" x14ac:dyDescent="0.2">
      <c r="B32" s="131"/>
      <c r="C32" s="2" t="s">
        <v>852</v>
      </c>
      <c r="D32" s="34">
        <v>0.6</v>
      </c>
      <c r="E32" s="34">
        <v>0.6</v>
      </c>
      <c r="G32" s="130"/>
      <c r="H32" s="2" t="s">
        <v>851</v>
      </c>
      <c r="I32" s="34"/>
      <c r="N32" s="124"/>
      <c r="O32" s="43" t="s">
        <v>884</v>
      </c>
      <c r="P32" s="3" t="str">
        <f>BackGroundColor(D61,D62,D63,D64,D65,TRUE)</f>
        <v>linear-gradient(to bottom, #FEE101 0%, #FEE101 40%, #D5BC01 60%, #D5BC01 100%)</v>
      </c>
      <c r="Q32" s="3" t="str">
        <f>BackGroundColor(E61,E62,E63,E64,E65,TRUE)</f>
        <v>linear-gradient(to bottom, #006298 0%, #006298 40%, #004468 60%, #004468 100%)</v>
      </c>
      <c r="R32" t="s">
        <v>890</v>
      </c>
    </row>
    <row r="33" spans="2:18" ht="13.2" customHeight="1" x14ac:dyDescent="0.2">
      <c r="B33" s="129" t="s">
        <v>855</v>
      </c>
      <c r="C33" s="2" t="s">
        <v>846</v>
      </c>
      <c r="D33" s="79" t="s">
        <v>853</v>
      </c>
      <c r="E33" s="64" t="s">
        <v>853</v>
      </c>
      <c r="G33" s="131"/>
      <c r="H33" s="2" t="s">
        <v>852</v>
      </c>
      <c r="I33" s="34"/>
      <c r="N33" s="125"/>
      <c r="O33" s="43" t="s">
        <v>2041</v>
      </c>
      <c r="P33" s="3" t="str">
        <f>BackGroundColorSingle(D66)</f>
        <v>#FEE101</v>
      </c>
      <c r="Q33" s="3" t="str">
        <f>BackGroundColorSingle(E66)</f>
        <v/>
      </c>
      <c r="R33" t="s">
        <v>890</v>
      </c>
    </row>
    <row r="34" spans="2:18" x14ac:dyDescent="0.2">
      <c r="B34" s="130"/>
      <c r="C34" s="2" t="s">
        <v>847</v>
      </c>
      <c r="D34" s="80"/>
      <c r="E34" s="103"/>
      <c r="G34" s="2" t="s">
        <v>886</v>
      </c>
      <c r="H34" s="2" t="s">
        <v>887</v>
      </c>
      <c r="I34" s="46"/>
      <c r="N34" s="126" t="s">
        <v>862</v>
      </c>
      <c r="O34" s="43" t="s">
        <v>877</v>
      </c>
      <c r="P34" s="3" t="str">
        <f>textcolor(D67)</f>
        <v>#261C1A</v>
      </c>
      <c r="Q34" s="3" t="str">
        <f>textcolor(E67)</f>
        <v>#FFFFFF</v>
      </c>
      <c r="R34" t="s">
        <v>890</v>
      </c>
    </row>
    <row r="35" spans="2:18" x14ac:dyDescent="0.2">
      <c r="B35" s="130"/>
      <c r="C35" s="2" t="s">
        <v>842</v>
      </c>
      <c r="D35" s="2" t="s">
        <v>843</v>
      </c>
      <c r="E35" s="2" t="s">
        <v>843</v>
      </c>
      <c r="G35" s="2" t="s">
        <v>896</v>
      </c>
      <c r="H35" s="2" t="s">
        <v>887</v>
      </c>
      <c r="I35" s="51"/>
      <c r="N35" s="127"/>
      <c r="O35" s="43" t="s">
        <v>884</v>
      </c>
      <c r="P35" s="3" t="str">
        <f>BackGroundColor(D67,D68,D69,D70,D71,FALSE)</f>
        <v>linear-gradient(to bottom, #FEE101 0%, #FEE101 40%, #D5BC01 60%, #D5BC01 100%)</v>
      </c>
      <c r="Q35" s="3" t="str">
        <f>BackGroundColor(E67,E68,E69,E70,E71,FALSE)</f>
        <v>linear-gradient(to bottom, #006298 0%, #006298 40%, #004468 60%, #004468 100%)</v>
      </c>
      <c r="R35" t="s">
        <v>890</v>
      </c>
    </row>
    <row r="36" spans="2:18" ht="13.2" customHeight="1" x14ac:dyDescent="0.2">
      <c r="B36" s="130"/>
      <c r="C36" s="2" t="s">
        <v>851</v>
      </c>
      <c r="D36" s="34">
        <v>0.4</v>
      </c>
      <c r="E36" s="34">
        <v>0.4</v>
      </c>
      <c r="G36" s="129" t="s">
        <v>897</v>
      </c>
      <c r="H36" s="2" t="s">
        <v>846</v>
      </c>
      <c r="I36" s="39" t="s">
        <v>856</v>
      </c>
      <c r="N36" s="128"/>
      <c r="O36" s="43" t="s">
        <v>2041</v>
      </c>
      <c r="P36" s="3" t="str">
        <f>BackGroundColorSingle(D72)</f>
        <v>#FEE101</v>
      </c>
      <c r="Q36" s="3" t="str">
        <f>BackGroundColorSingle(E72)</f>
        <v/>
      </c>
      <c r="R36" t="s">
        <v>890</v>
      </c>
    </row>
    <row r="37" spans="2:18" x14ac:dyDescent="0.2">
      <c r="B37" s="130"/>
      <c r="C37" s="2" t="s">
        <v>852</v>
      </c>
      <c r="D37" s="34">
        <v>0.6</v>
      </c>
      <c r="E37" s="34">
        <v>0.6</v>
      </c>
      <c r="G37" s="130"/>
      <c r="H37" s="2" t="s">
        <v>847</v>
      </c>
      <c r="I37" s="37"/>
      <c r="N37" s="126" t="s">
        <v>863</v>
      </c>
      <c r="O37" s="43" t="s">
        <v>877</v>
      </c>
      <c r="P37" s="3" t="str">
        <f>textcolor(D73)</f>
        <v>#00FF00</v>
      </c>
      <c r="Q37" s="3" t="str">
        <f>textcolor(E73)</f>
        <v>#00FF00</v>
      </c>
      <c r="R37" t="s">
        <v>890</v>
      </c>
    </row>
    <row r="38" spans="2:18" x14ac:dyDescent="0.2">
      <c r="B38" s="131"/>
      <c r="C38" s="2" t="s">
        <v>2041</v>
      </c>
      <c r="D38" s="79"/>
      <c r="E38" s="64"/>
      <c r="G38" s="130"/>
      <c r="H38" s="2" t="s">
        <v>842</v>
      </c>
      <c r="I38" s="2"/>
      <c r="N38" s="127"/>
      <c r="O38" s="43" t="s">
        <v>884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890</v>
      </c>
    </row>
    <row r="39" spans="2:18" x14ac:dyDescent="0.2">
      <c r="B39" s="129" t="s">
        <v>857</v>
      </c>
      <c r="C39" s="2" t="s">
        <v>846</v>
      </c>
      <c r="D39" s="29" t="s">
        <v>856</v>
      </c>
      <c r="E39" s="29" t="s">
        <v>856</v>
      </c>
      <c r="G39" s="130"/>
      <c r="H39" s="2" t="s">
        <v>851</v>
      </c>
      <c r="I39" s="34"/>
      <c r="N39" s="128"/>
      <c r="O39" s="43" t="s">
        <v>2041</v>
      </c>
      <c r="P39" s="3" t="str">
        <f>BackGroundColorSingle(D78)</f>
        <v/>
      </c>
      <c r="Q39" s="3" t="str">
        <f>BackGroundColorSingle(E78)</f>
        <v/>
      </c>
      <c r="R39" t="s">
        <v>890</v>
      </c>
    </row>
    <row r="40" spans="2:18" x14ac:dyDescent="0.2">
      <c r="B40" s="130"/>
      <c r="C40" s="2" t="s">
        <v>847</v>
      </c>
      <c r="D40" s="30"/>
      <c r="E40" s="30"/>
      <c r="G40" s="131"/>
      <c r="H40" s="2" t="s">
        <v>852</v>
      </c>
      <c r="I40" s="34"/>
      <c r="N40" s="137" t="s">
        <v>860</v>
      </c>
      <c r="O40" s="43" t="s">
        <v>877</v>
      </c>
      <c r="P40" s="3" t="str">
        <f>textcolor(D79)</f>
        <v>#261C1A</v>
      </c>
      <c r="Q40" s="3" t="str">
        <f>textcolor(E79)</f>
        <v>#FFFFFF</v>
      </c>
      <c r="R40" t="s">
        <v>890</v>
      </c>
    </row>
    <row r="41" spans="2:18" x14ac:dyDescent="0.2">
      <c r="B41" s="130"/>
      <c r="C41" s="2" t="s">
        <v>842</v>
      </c>
      <c r="D41" s="2" t="s">
        <v>843</v>
      </c>
      <c r="E41" s="2" t="s">
        <v>843</v>
      </c>
      <c r="G41" s="133" t="s">
        <v>898</v>
      </c>
      <c r="H41" s="2" t="s">
        <v>846</v>
      </c>
      <c r="I41" s="52" t="s">
        <v>853</v>
      </c>
      <c r="N41" s="138"/>
      <c r="O41" s="43" t="s">
        <v>884</v>
      </c>
      <c r="P41" s="3" t="str">
        <f>BackGroundColor(D79,D80,D81,D82,D83,TRUE)</f>
        <v>linear-gradient(to bottom, #FEE101 0%, #FEE101 40%, #D5BC01 60%, #D5BC01 100%)</v>
      </c>
      <c r="Q41" s="3" t="str">
        <f>BackGroundColor(E79,E80,E81,E82,E83,TRUE)</f>
        <v>linear-gradient(to bottom, #006298 0%, #006298 40%, #004468 60%, #004468 100%)</v>
      </c>
      <c r="R41" t="s">
        <v>890</v>
      </c>
    </row>
    <row r="42" spans="2:18" ht="13.2" customHeight="1" x14ac:dyDescent="0.2">
      <c r="B42" s="130"/>
      <c r="C42" s="2" t="s">
        <v>851</v>
      </c>
      <c r="D42" s="34">
        <v>0.4</v>
      </c>
      <c r="E42" s="34">
        <v>0.4</v>
      </c>
      <c r="G42" s="133"/>
      <c r="H42" s="2" t="s">
        <v>847</v>
      </c>
      <c r="I42" s="37"/>
      <c r="N42" s="139"/>
      <c r="O42" s="43" t="s">
        <v>2041</v>
      </c>
      <c r="P42" s="3" t="str">
        <f>BackGroundColorSingle(D84)</f>
        <v>#FEE101</v>
      </c>
      <c r="Q42" s="3" t="str">
        <f>BackGroundColorSingle(E84)</f>
        <v/>
      </c>
      <c r="R42" t="s">
        <v>890</v>
      </c>
    </row>
    <row r="43" spans="2:18" x14ac:dyDescent="0.2">
      <c r="B43" s="131"/>
      <c r="C43" s="2" t="s">
        <v>852</v>
      </c>
      <c r="D43" s="34">
        <v>0.6</v>
      </c>
      <c r="E43" s="34">
        <v>0.6</v>
      </c>
      <c r="G43" s="133"/>
      <c r="H43" s="2" t="s">
        <v>842</v>
      </c>
      <c r="I43" s="2"/>
      <c r="N43" s="47" t="s">
        <v>878</v>
      </c>
      <c r="O43" s="43" t="s">
        <v>877</v>
      </c>
      <c r="P43" s="3" t="str">
        <f>textcolor(D85)</f>
        <v>#FF71FF</v>
      </c>
      <c r="Q43" s="3" t="str">
        <f>textcolor(E85)</f>
        <v>#FFFF00</v>
      </c>
      <c r="R43" t="s">
        <v>890</v>
      </c>
    </row>
    <row r="44" spans="2:18" ht="13.2" customHeight="1" x14ac:dyDescent="0.2">
      <c r="B44" s="129" t="s">
        <v>858</v>
      </c>
      <c r="C44" s="2" t="s">
        <v>846</v>
      </c>
      <c r="D44" s="53" t="s">
        <v>853</v>
      </c>
      <c r="E44" s="53" t="s">
        <v>853</v>
      </c>
      <c r="G44" s="133"/>
      <c r="H44" s="2" t="s">
        <v>851</v>
      </c>
      <c r="I44" s="34"/>
      <c r="N44" s="135" t="s">
        <v>880</v>
      </c>
      <c r="O44" s="43" t="s">
        <v>877</v>
      </c>
      <c r="P44" s="3" t="str">
        <f>textcolor(I4)</f>
        <v>#000000</v>
      </c>
      <c r="Q44" t="s">
        <v>890</v>
      </c>
      <c r="R44" t="s">
        <v>890</v>
      </c>
    </row>
    <row r="45" spans="2:18" x14ac:dyDescent="0.2">
      <c r="B45" s="130"/>
      <c r="C45" s="2" t="s">
        <v>847</v>
      </c>
      <c r="D45" s="31" t="s">
        <v>853</v>
      </c>
      <c r="E45" s="31" t="s">
        <v>853</v>
      </c>
      <c r="G45" s="133"/>
      <c r="H45" s="2" t="s">
        <v>852</v>
      </c>
      <c r="I45" s="34"/>
      <c r="N45" s="136"/>
      <c r="O45" s="43" t="s">
        <v>884</v>
      </c>
      <c r="P45" s="3" t="str">
        <f>BackGroundColor(I4,I5,I6,I7,I8,TRUE)</f>
        <v>#FFFFFF</v>
      </c>
      <c r="Q45" t="s">
        <v>890</v>
      </c>
      <c r="R45" t="s">
        <v>890</v>
      </c>
    </row>
    <row r="46" spans="2:18" x14ac:dyDescent="0.2">
      <c r="B46" s="130"/>
      <c r="C46" s="2" t="s">
        <v>842</v>
      </c>
      <c r="D46" s="2"/>
      <c r="E46" s="2"/>
      <c r="N46" s="135" t="s">
        <v>881</v>
      </c>
      <c r="O46" s="43" t="s">
        <v>877</v>
      </c>
      <c r="P46" s="3" t="str">
        <f>textcolor(I9)</f>
        <v>#000000</v>
      </c>
      <c r="Q46" t="s">
        <v>890</v>
      </c>
      <c r="R46" t="s">
        <v>890</v>
      </c>
    </row>
    <row r="47" spans="2:18" ht="13.2" customHeight="1" x14ac:dyDescent="0.2">
      <c r="B47" s="130"/>
      <c r="C47" s="2" t="s">
        <v>851</v>
      </c>
      <c r="D47" s="34"/>
      <c r="E47" s="34"/>
      <c r="N47" s="136"/>
      <c r="O47" s="43" t="s">
        <v>884</v>
      </c>
      <c r="P47" s="3" t="str">
        <f>BackGroundColor(I9,I10,I11,I12,I13,TRUE)</f>
        <v>#E6E6E6</v>
      </c>
      <c r="Q47" t="s">
        <v>890</v>
      </c>
      <c r="R47" t="s">
        <v>890</v>
      </c>
    </row>
    <row r="48" spans="2:18" x14ac:dyDescent="0.2">
      <c r="B48" s="130"/>
      <c r="C48" s="2" t="s">
        <v>852</v>
      </c>
      <c r="D48" s="34"/>
      <c r="E48" s="34"/>
      <c r="N48" s="135" t="s">
        <v>882</v>
      </c>
      <c r="O48" s="43" t="s">
        <v>877</v>
      </c>
      <c r="P48" s="3" t="str">
        <f>textcolor(I14)</f>
        <v>#FFFF00</v>
      </c>
      <c r="Q48" t="s">
        <v>890</v>
      </c>
      <c r="R48" t="s">
        <v>890</v>
      </c>
    </row>
    <row r="49" spans="2:18" x14ac:dyDescent="0.2">
      <c r="B49" s="131"/>
      <c r="C49" s="2" t="s">
        <v>2041</v>
      </c>
      <c r="D49" s="3"/>
      <c r="E49" s="3"/>
      <c r="N49" s="136"/>
      <c r="O49" s="43" t="s">
        <v>884</v>
      </c>
      <c r="P49" s="3" t="str">
        <f>BackGroundColor(I14,I15,I16,I17,I18,TRUE)</f>
        <v>#000000</v>
      </c>
      <c r="Q49" t="s">
        <v>890</v>
      </c>
      <c r="R49" t="s">
        <v>890</v>
      </c>
    </row>
    <row r="50" spans="2:18" x14ac:dyDescent="0.2">
      <c r="B50" s="129" t="s">
        <v>893</v>
      </c>
      <c r="C50" s="2" t="s">
        <v>846</v>
      </c>
      <c r="D50" s="79" t="s">
        <v>856</v>
      </c>
      <c r="E50" s="64" t="s">
        <v>856</v>
      </c>
      <c r="N50" s="135" t="s">
        <v>891</v>
      </c>
      <c r="O50" s="43" t="s">
        <v>877</v>
      </c>
      <c r="P50" s="3" t="str">
        <f>textcolor(I19)</f>
        <v>#FFFFFF</v>
      </c>
      <c r="Q50" t="s">
        <v>890</v>
      </c>
      <c r="R50" t="s">
        <v>890</v>
      </c>
    </row>
    <row r="51" spans="2:18" x14ac:dyDescent="0.2">
      <c r="B51" s="130"/>
      <c r="C51" s="2" t="s">
        <v>847</v>
      </c>
      <c r="D51" s="80"/>
      <c r="E51" s="103"/>
      <c r="N51" s="136"/>
      <c r="O51" s="43" t="s">
        <v>884</v>
      </c>
      <c r="P51" s="3" t="str">
        <f>BackGroundColor(I19,I20,I21,I22,I23,FALSE)</f>
        <v>#595959</v>
      </c>
      <c r="Q51" t="s">
        <v>890</v>
      </c>
      <c r="R51" t="s">
        <v>890</v>
      </c>
    </row>
    <row r="52" spans="2:18" x14ac:dyDescent="0.2">
      <c r="B52" s="130"/>
      <c r="C52" s="2" t="s">
        <v>842</v>
      </c>
      <c r="D52" s="2" t="s">
        <v>843</v>
      </c>
      <c r="E52" s="2" t="s">
        <v>843</v>
      </c>
      <c r="N52" s="135" t="s">
        <v>883</v>
      </c>
      <c r="O52" s="43" t="s">
        <v>877</v>
      </c>
      <c r="P52" s="3" t="str">
        <f>textcolor(I24)</f>
        <v>#000000</v>
      </c>
      <c r="Q52" t="s">
        <v>890</v>
      </c>
      <c r="R52" t="s">
        <v>890</v>
      </c>
    </row>
    <row r="53" spans="2:18" x14ac:dyDescent="0.2">
      <c r="B53" s="130"/>
      <c r="C53" s="2" t="s">
        <v>851</v>
      </c>
      <c r="D53" s="34">
        <v>0.4</v>
      </c>
      <c r="E53" s="34">
        <v>0.4</v>
      </c>
      <c r="N53" s="136"/>
      <c r="O53" s="43" t="s">
        <v>884</v>
      </c>
      <c r="P53" s="3" t="str">
        <f>BackGroundColor(I24,I25,I26,I27,I28,FALSE)</f>
        <v>#FFFFFF</v>
      </c>
      <c r="Q53" t="s">
        <v>890</v>
      </c>
      <c r="R53" t="s">
        <v>890</v>
      </c>
    </row>
    <row r="54" spans="2:18" x14ac:dyDescent="0.2">
      <c r="B54" s="131"/>
      <c r="C54" s="2" t="s">
        <v>852</v>
      </c>
      <c r="D54" s="34">
        <v>0.6</v>
      </c>
      <c r="E54" s="34">
        <v>0.6</v>
      </c>
      <c r="N54" s="49" t="s">
        <v>884</v>
      </c>
      <c r="O54" s="43" t="s">
        <v>887</v>
      </c>
      <c r="P54" s="3" t="str">
        <f>BackGroundColor(I29,I30,I31,I32,I33,FALSE)</f>
        <v>#000000</v>
      </c>
      <c r="Q54" t="s">
        <v>890</v>
      </c>
      <c r="R54" t="s">
        <v>890</v>
      </c>
    </row>
    <row r="55" spans="2:18" ht="13.2" customHeight="1" x14ac:dyDescent="0.2">
      <c r="B55" s="129" t="s">
        <v>892</v>
      </c>
      <c r="C55" s="2" t="s">
        <v>846</v>
      </c>
      <c r="D55" s="52" t="s">
        <v>853</v>
      </c>
      <c r="E55" s="52" t="s">
        <v>853</v>
      </c>
      <c r="N55" s="48" t="s">
        <v>886</v>
      </c>
      <c r="O55" s="43" t="s">
        <v>887</v>
      </c>
      <c r="P55" s="3" t="str">
        <f>BackGroundColorSingle(I34)</f>
        <v>#FF0000</v>
      </c>
      <c r="Q55" t="s">
        <v>890</v>
      </c>
      <c r="R55" t="s">
        <v>890</v>
      </c>
    </row>
    <row r="56" spans="2:18" x14ac:dyDescent="0.2">
      <c r="B56" s="130"/>
      <c r="C56" s="2" t="s">
        <v>847</v>
      </c>
      <c r="D56" s="31" t="s">
        <v>853</v>
      </c>
      <c r="E56" s="31" t="s">
        <v>853</v>
      </c>
      <c r="N56" s="48" t="s">
        <v>896</v>
      </c>
      <c r="O56" s="43" t="s">
        <v>887</v>
      </c>
      <c r="P56" s="3" t="str">
        <f>BackGroundColorSingle(I35)</f>
        <v>#7F7F7F</v>
      </c>
      <c r="Q56" t="s">
        <v>890</v>
      </c>
      <c r="R56" t="s">
        <v>890</v>
      </c>
    </row>
    <row r="57" spans="2:18" x14ac:dyDescent="0.2">
      <c r="B57" s="130"/>
      <c r="C57" s="2" t="s">
        <v>842</v>
      </c>
      <c r="D57" s="2"/>
      <c r="E57" s="2"/>
      <c r="N57" s="135" t="s">
        <v>899</v>
      </c>
      <c r="O57" s="43" t="s">
        <v>877</v>
      </c>
      <c r="P57" s="3" t="str">
        <f>textcolor(I36)</f>
        <v>#000000</v>
      </c>
      <c r="Q57" t="s">
        <v>890</v>
      </c>
      <c r="R57" t="s">
        <v>890</v>
      </c>
    </row>
    <row r="58" spans="2:18" x14ac:dyDescent="0.2">
      <c r="B58" s="130"/>
      <c r="C58" s="2" t="s">
        <v>851</v>
      </c>
      <c r="D58" s="34"/>
      <c r="E58" s="34"/>
      <c r="N58" s="136"/>
      <c r="O58" s="43" t="s">
        <v>884</v>
      </c>
      <c r="P58" s="3" t="str">
        <f>BackGroundColor(I36,I37,I38,I39,I40,FALSE)</f>
        <v>#FFFFFF</v>
      </c>
      <c r="Q58" t="s">
        <v>890</v>
      </c>
      <c r="R58" t="s">
        <v>890</v>
      </c>
    </row>
    <row r="59" spans="2:18" x14ac:dyDescent="0.2">
      <c r="B59" s="130"/>
      <c r="C59" s="2" t="s">
        <v>852</v>
      </c>
      <c r="D59" s="34"/>
      <c r="E59" s="34"/>
      <c r="N59" s="135" t="s">
        <v>900</v>
      </c>
      <c r="O59" s="43" t="s">
        <v>877</v>
      </c>
      <c r="P59" s="3" t="str">
        <f>textcolor(I41)</f>
        <v>#FFFFFF</v>
      </c>
      <c r="Q59" t="s">
        <v>890</v>
      </c>
      <c r="R59" t="s">
        <v>890</v>
      </c>
    </row>
    <row r="60" spans="2:18" x14ac:dyDescent="0.2">
      <c r="B60" s="131"/>
      <c r="C60" s="2" t="s">
        <v>2041</v>
      </c>
      <c r="D60" s="3"/>
      <c r="E60" s="3"/>
      <c r="N60" s="136"/>
      <c r="O60" s="43" t="s">
        <v>884</v>
      </c>
      <c r="P60" s="3" t="str">
        <f>BackGroundColor(I41,I42,I43,I44,I45,FALSE)</f>
        <v>#404040</v>
      </c>
      <c r="Q60" t="s">
        <v>890</v>
      </c>
    </row>
    <row r="61" spans="2:18" x14ac:dyDescent="0.2">
      <c r="B61" s="129" t="s">
        <v>859</v>
      </c>
      <c r="C61" s="2" t="s">
        <v>846</v>
      </c>
      <c r="D61" s="79" t="s">
        <v>853</v>
      </c>
      <c r="E61" s="66" t="s">
        <v>853</v>
      </c>
    </row>
    <row r="62" spans="2:18" x14ac:dyDescent="0.2">
      <c r="B62" s="130"/>
      <c r="C62" s="2" t="s">
        <v>847</v>
      </c>
      <c r="D62" s="80"/>
      <c r="E62" s="65"/>
    </row>
    <row r="63" spans="2:18" x14ac:dyDescent="0.2">
      <c r="B63" s="130"/>
      <c r="C63" s="2" t="s">
        <v>842</v>
      </c>
      <c r="D63" s="2" t="s">
        <v>843</v>
      </c>
      <c r="E63" s="2" t="s">
        <v>843</v>
      </c>
    </row>
    <row r="64" spans="2:18" x14ac:dyDescent="0.2">
      <c r="B64" s="130"/>
      <c r="C64" s="2" t="s">
        <v>851</v>
      </c>
      <c r="D64" s="34">
        <v>0.4</v>
      </c>
      <c r="E64" s="34">
        <v>0.4</v>
      </c>
    </row>
    <row r="65" spans="2:5" x14ac:dyDescent="0.2">
      <c r="B65" s="130"/>
      <c r="C65" s="2" t="s">
        <v>852</v>
      </c>
      <c r="D65" s="34">
        <v>0.6</v>
      </c>
      <c r="E65" s="34">
        <v>0.6</v>
      </c>
    </row>
    <row r="66" spans="2:5" x14ac:dyDescent="0.2">
      <c r="B66" s="131"/>
      <c r="C66" s="2" t="s">
        <v>2041</v>
      </c>
      <c r="D66" s="79"/>
      <c r="E66" s="116"/>
    </row>
    <row r="67" spans="2:5" ht="13.2" customHeight="1" x14ac:dyDescent="0.2">
      <c r="B67" s="129" t="s">
        <v>862</v>
      </c>
      <c r="C67" s="2" t="s">
        <v>846</v>
      </c>
      <c r="D67" s="79" t="s">
        <v>853</v>
      </c>
      <c r="E67" s="66" t="s">
        <v>853</v>
      </c>
    </row>
    <row r="68" spans="2:5" x14ac:dyDescent="0.2">
      <c r="B68" s="130"/>
      <c r="C68" s="2" t="s">
        <v>847</v>
      </c>
      <c r="D68" s="80"/>
      <c r="E68" s="65"/>
    </row>
    <row r="69" spans="2:5" x14ac:dyDescent="0.2">
      <c r="B69" s="130"/>
      <c r="C69" s="2" t="s">
        <v>842</v>
      </c>
      <c r="D69" s="2" t="s">
        <v>843</v>
      </c>
      <c r="E69" s="2" t="s">
        <v>843</v>
      </c>
    </row>
    <row r="70" spans="2:5" x14ac:dyDescent="0.2">
      <c r="B70" s="130"/>
      <c r="C70" s="2" t="s">
        <v>851</v>
      </c>
      <c r="D70" s="34">
        <v>0.4</v>
      </c>
      <c r="E70" s="34">
        <v>0.4</v>
      </c>
    </row>
    <row r="71" spans="2:5" x14ac:dyDescent="0.2">
      <c r="B71" s="130"/>
      <c r="C71" s="2" t="s">
        <v>852</v>
      </c>
      <c r="D71" s="34">
        <v>0.6</v>
      </c>
      <c r="E71" s="34">
        <v>0.6</v>
      </c>
    </row>
    <row r="72" spans="2:5" x14ac:dyDescent="0.2">
      <c r="B72" s="131"/>
      <c r="C72" s="2" t="s">
        <v>2041</v>
      </c>
      <c r="D72" s="79"/>
      <c r="E72" s="3"/>
    </row>
    <row r="73" spans="2:5" ht="13.2" customHeight="1" x14ac:dyDescent="0.2">
      <c r="B73" s="129" t="s">
        <v>863</v>
      </c>
      <c r="C73" s="2" t="s">
        <v>846</v>
      </c>
      <c r="D73" s="105" t="s">
        <v>853</v>
      </c>
      <c r="E73" s="105" t="s">
        <v>853</v>
      </c>
    </row>
    <row r="74" spans="2:5" x14ac:dyDescent="0.2">
      <c r="B74" s="130"/>
      <c r="C74" s="2" t="s">
        <v>847</v>
      </c>
      <c r="D74" s="31" t="s">
        <v>853</v>
      </c>
      <c r="E74" s="31" t="s">
        <v>853</v>
      </c>
    </row>
    <row r="75" spans="2:5" x14ac:dyDescent="0.2">
      <c r="B75" s="130"/>
      <c r="C75" s="2" t="s">
        <v>842</v>
      </c>
      <c r="D75" s="2"/>
      <c r="E75" s="2"/>
    </row>
    <row r="76" spans="2:5" x14ac:dyDescent="0.2">
      <c r="B76" s="130"/>
      <c r="C76" s="2" t="s">
        <v>851</v>
      </c>
      <c r="D76" s="34"/>
      <c r="E76" s="34"/>
    </row>
    <row r="77" spans="2:5" x14ac:dyDescent="0.2">
      <c r="B77" s="130"/>
      <c r="C77" s="2" t="s">
        <v>852</v>
      </c>
      <c r="D77" s="34"/>
      <c r="E77" s="34"/>
    </row>
    <row r="78" spans="2:5" x14ac:dyDescent="0.2">
      <c r="B78" s="131"/>
      <c r="C78" s="2" t="s">
        <v>2041</v>
      </c>
      <c r="D78" s="3"/>
      <c r="E78" s="3"/>
    </row>
    <row r="79" spans="2:5" x14ac:dyDescent="0.2">
      <c r="B79" s="129" t="s">
        <v>860</v>
      </c>
      <c r="C79" s="2" t="s">
        <v>846</v>
      </c>
      <c r="D79" s="79" t="s">
        <v>853</v>
      </c>
      <c r="E79" s="66" t="s">
        <v>853</v>
      </c>
    </row>
    <row r="80" spans="2:5" x14ac:dyDescent="0.2">
      <c r="B80" s="130"/>
      <c r="C80" s="2" t="s">
        <v>847</v>
      </c>
      <c r="D80" s="80"/>
      <c r="E80" s="65"/>
    </row>
    <row r="81" spans="2:5" x14ac:dyDescent="0.2">
      <c r="B81" s="130"/>
      <c r="C81" s="2" t="s">
        <v>842</v>
      </c>
      <c r="D81" s="2" t="s">
        <v>843</v>
      </c>
      <c r="E81" s="2" t="s">
        <v>843</v>
      </c>
    </row>
    <row r="82" spans="2:5" x14ac:dyDescent="0.2">
      <c r="B82" s="130"/>
      <c r="C82" s="2" t="s">
        <v>851</v>
      </c>
      <c r="D82" s="34">
        <v>0.4</v>
      </c>
      <c r="E82" s="34">
        <v>0.4</v>
      </c>
    </row>
    <row r="83" spans="2:5" x14ac:dyDescent="0.2">
      <c r="B83" s="130"/>
      <c r="C83" s="2" t="s">
        <v>852</v>
      </c>
      <c r="D83" s="34">
        <v>0.6</v>
      </c>
      <c r="E83" s="34">
        <v>0.6</v>
      </c>
    </row>
    <row r="84" spans="2:5" x14ac:dyDescent="0.2">
      <c r="B84" s="131"/>
      <c r="C84" s="2" t="s">
        <v>2041</v>
      </c>
      <c r="D84" s="79"/>
      <c r="E84" s="3"/>
    </row>
    <row r="85" spans="2:5" x14ac:dyDescent="0.2">
      <c r="B85" s="28" t="s">
        <v>878</v>
      </c>
      <c r="C85" s="2" t="s">
        <v>879</v>
      </c>
      <c r="D85" s="104" t="s">
        <v>877</v>
      </c>
      <c r="E85" s="45" t="s">
        <v>877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3">
    <dataValidation type="list" allowBlank="1" showInputMessage="1" showErrorMessage="1" sqref="D11:E11 D57:E57 D52:E52 D24:E24 D30:E30 D6:E6 I38 D46:E46 D35:E35 D41:E41 D19:E19 D63:E63 I6 I11 I16 I21 I26 I31 D69:E69 D81:E81 I43 D75:E75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O84"/>
  <sheetViews>
    <sheetView topLeftCell="A28" zoomScaleNormal="100" workbookViewId="0">
      <selection activeCell="E9" sqref="E9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5" x14ac:dyDescent="0.2">
      <c r="D2" s="67" t="s">
        <v>1285</v>
      </c>
      <c r="E2" s="68" t="s">
        <v>2003</v>
      </c>
      <c r="F2" s="68" t="s">
        <v>2004</v>
      </c>
      <c r="G2" s="68" t="s">
        <v>2005</v>
      </c>
      <c r="H2" s="68" t="s">
        <v>2006</v>
      </c>
      <c r="I2" s="68" t="s">
        <v>2007</v>
      </c>
      <c r="J2" s="68" t="s">
        <v>2008</v>
      </c>
      <c r="K2" s="68" t="s">
        <v>2009</v>
      </c>
      <c r="L2" s="68" t="s">
        <v>872</v>
      </c>
      <c r="M2" s="68" t="s">
        <v>2010</v>
      </c>
      <c r="N2" s="68" t="s">
        <v>2011</v>
      </c>
      <c r="O2" s="68" t="s">
        <v>2012</v>
      </c>
    </row>
    <row r="3" spans="2:15" x14ac:dyDescent="0.2">
      <c r="B3" s="129" t="s">
        <v>844</v>
      </c>
      <c r="C3" s="2" t="s">
        <v>846</v>
      </c>
      <c r="D3" s="33" t="s">
        <v>850</v>
      </c>
      <c r="E3" s="69" t="s">
        <v>850</v>
      </c>
      <c r="F3" s="73" t="s">
        <v>850</v>
      </c>
      <c r="G3" s="81" t="s">
        <v>850</v>
      </c>
      <c r="H3" s="79" t="s">
        <v>850</v>
      </c>
      <c r="I3" s="87" t="s">
        <v>850</v>
      </c>
      <c r="J3" s="84" t="s">
        <v>850</v>
      </c>
      <c r="K3" s="92" t="s">
        <v>850</v>
      </c>
      <c r="L3" s="66" t="s">
        <v>850</v>
      </c>
      <c r="M3" s="89" t="s">
        <v>850</v>
      </c>
      <c r="N3" s="99" t="s">
        <v>850</v>
      </c>
      <c r="O3" s="102" t="s">
        <v>850</v>
      </c>
    </row>
    <row r="4" spans="2:15" x14ac:dyDescent="0.2">
      <c r="B4" s="130"/>
      <c r="C4" s="2" t="s">
        <v>847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</row>
    <row r="5" spans="2:15" x14ac:dyDescent="0.2">
      <c r="B5" s="130"/>
      <c r="C5" s="2" t="s">
        <v>842</v>
      </c>
      <c r="D5" s="2" t="s">
        <v>843</v>
      </c>
      <c r="E5" s="2" t="s">
        <v>843</v>
      </c>
      <c r="F5" s="2" t="s">
        <v>843</v>
      </c>
      <c r="G5" s="2" t="s">
        <v>843</v>
      </c>
      <c r="H5" s="2" t="s">
        <v>843</v>
      </c>
      <c r="I5" s="2" t="s">
        <v>843</v>
      </c>
      <c r="J5" s="2" t="s">
        <v>843</v>
      </c>
      <c r="K5" s="2" t="s">
        <v>843</v>
      </c>
      <c r="L5" s="2" t="s">
        <v>843</v>
      </c>
      <c r="M5" s="2" t="s">
        <v>843</v>
      </c>
      <c r="N5" s="2" t="s">
        <v>843</v>
      </c>
      <c r="O5" s="2" t="s">
        <v>843</v>
      </c>
    </row>
    <row r="6" spans="2:15" x14ac:dyDescent="0.2">
      <c r="B6" s="130"/>
      <c r="C6" s="2" t="s">
        <v>851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</row>
    <row r="7" spans="2:15" x14ac:dyDescent="0.2">
      <c r="B7" s="131"/>
      <c r="C7" s="2" t="s">
        <v>852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</row>
    <row r="8" spans="2:15" x14ac:dyDescent="0.2">
      <c r="B8" s="129" t="s">
        <v>861</v>
      </c>
      <c r="C8" s="2" t="s">
        <v>846</v>
      </c>
      <c r="D8" s="29" t="s">
        <v>850</v>
      </c>
      <c r="E8" s="29" t="s">
        <v>850</v>
      </c>
      <c r="F8" s="29" t="s">
        <v>850</v>
      </c>
      <c r="G8" s="29" t="s">
        <v>850</v>
      </c>
      <c r="H8" s="29" t="s">
        <v>850</v>
      </c>
      <c r="I8" s="29" t="s">
        <v>850</v>
      </c>
      <c r="J8" s="29" t="s">
        <v>850</v>
      </c>
      <c r="K8" s="29" t="s">
        <v>850</v>
      </c>
      <c r="L8" s="29" t="s">
        <v>850</v>
      </c>
      <c r="M8" s="29" t="s">
        <v>850</v>
      </c>
      <c r="N8" s="29" t="s">
        <v>850</v>
      </c>
      <c r="O8" s="29" t="s">
        <v>850</v>
      </c>
    </row>
    <row r="9" spans="2:15" x14ac:dyDescent="0.2">
      <c r="B9" s="130"/>
      <c r="C9" s="2" t="s">
        <v>847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2:15" x14ac:dyDescent="0.2">
      <c r="B10" s="130"/>
      <c r="C10" s="2" t="s">
        <v>842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x14ac:dyDescent="0.2">
      <c r="B11" s="130"/>
      <c r="C11" s="2" t="s">
        <v>851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2:15" x14ac:dyDescent="0.2">
      <c r="B12" s="131"/>
      <c r="C12" s="2" t="s">
        <v>852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2:15" x14ac:dyDescent="0.2">
      <c r="B13" s="28" t="s">
        <v>845</v>
      </c>
      <c r="C13" s="2" t="s">
        <v>887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</row>
    <row r="14" spans="2:15" x14ac:dyDescent="0.2">
      <c r="B14" s="28" t="s">
        <v>895</v>
      </c>
      <c r="C14" s="2" t="s">
        <v>887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</row>
    <row r="15" spans="2:15" x14ac:dyDescent="0.2">
      <c r="B15" s="28" t="s">
        <v>894</v>
      </c>
      <c r="C15" s="2" t="s">
        <v>887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2:15" x14ac:dyDescent="0.2">
      <c r="B16" s="129" t="s">
        <v>848</v>
      </c>
      <c r="C16" s="2" t="s">
        <v>846</v>
      </c>
      <c r="D16" s="29" t="s">
        <v>856</v>
      </c>
      <c r="E16" s="29" t="s">
        <v>856</v>
      </c>
      <c r="F16" s="29" t="s">
        <v>856</v>
      </c>
      <c r="G16" s="29" t="s">
        <v>856</v>
      </c>
      <c r="H16" s="29" t="s">
        <v>856</v>
      </c>
      <c r="I16" s="29" t="s">
        <v>856</v>
      </c>
      <c r="J16" s="29" t="s">
        <v>856</v>
      </c>
      <c r="K16" s="29" t="s">
        <v>856</v>
      </c>
      <c r="L16" s="29" t="s">
        <v>856</v>
      </c>
      <c r="M16" s="29" t="s">
        <v>856</v>
      </c>
      <c r="N16" s="29" t="s">
        <v>856</v>
      </c>
      <c r="O16" s="29" t="s">
        <v>856</v>
      </c>
    </row>
    <row r="17" spans="2:15" x14ac:dyDescent="0.2">
      <c r="B17" s="130"/>
      <c r="C17" s="2" t="s">
        <v>847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2:15" x14ac:dyDescent="0.2">
      <c r="B18" s="130"/>
      <c r="C18" s="2" t="s">
        <v>842</v>
      </c>
      <c r="D18" s="2" t="s">
        <v>843</v>
      </c>
      <c r="E18" s="2" t="s">
        <v>843</v>
      </c>
      <c r="F18" s="2" t="s">
        <v>843</v>
      </c>
      <c r="G18" s="2" t="s">
        <v>843</v>
      </c>
      <c r="H18" s="2" t="s">
        <v>843</v>
      </c>
      <c r="I18" s="2" t="s">
        <v>843</v>
      </c>
      <c r="J18" s="2" t="s">
        <v>843</v>
      </c>
      <c r="K18" s="2" t="s">
        <v>843</v>
      </c>
      <c r="L18" s="2" t="s">
        <v>843</v>
      </c>
      <c r="M18" s="2" t="s">
        <v>843</v>
      </c>
      <c r="N18" s="2" t="s">
        <v>843</v>
      </c>
      <c r="O18" s="2" t="s">
        <v>843</v>
      </c>
    </row>
    <row r="19" spans="2:15" x14ac:dyDescent="0.2">
      <c r="B19" s="130"/>
      <c r="C19" s="2" t="s">
        <v>851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</row>
    <row r="20" spans="2:15" x14ac:dyDescent="0.2">
      <c r="B20" s="131"/>
      <c r="C20" s="2" t="s">
        <v>852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</row>
    <row r="21" spans="2:15" x14ac:dyDescent="0.2">
      <c r="B21" s="129" t="s">
        <v>849</v>
      </c>
      <c r="C21" s="2" t="s">
        <v>846</v>
      </c>
      <c r="D21" s="52" t="s">
        <v>853</v>
      </c>
      <c r="E21" s="52" t="s">
        <v>853</v>
      </c>
      <c r="F21" s="52" t="s">
        <v>853</v>
      </c>
      <c r="G21" s="52" t="s">
        <v>853</v>
      </c>
      <c r="H21" s="52" t="s">
        <v>853</v>
      </c>
      <c r="I21" s="52" t="s">
        <v>853</v>
      </c>
      <c r="J21" s="52" t="s">
        <v>853</v>
      </c>
      <c r="K21" s="52" t="s">
        <v>853</v>
      </c>
      <c r="L21" s="52" t="s">
        <v>853</v>
      </c>
      <c r="M21" s="52" t="s">
        <v>853</v>
      </c>
      <c r="N21" s="52" t="s">
        <v>853</v>
      </c>
      <c r="O21" s="52" t="s">
        <v>853</v>
      </c>
    </row>
    <row r="22" spans="2:15" x14ac:dyDescent="0.2">
      <c r="B22" s="130"/>
      <c r="C22" s="2" t="s">
        <v>847</v>
      </c>
      <c r="D22" s="35" t="s">
        <v>853</v>
      </c>
      <c r="E22" s="35" t="s">
        <v>853</v>
      </c>
      <c r="F22" s="35" t="s">
        <v>853</v>
      </c>
      <c r="G22" s="35" t="s">
        <v>853</v>
      </c>
      <c r="H22" s="35" t="s">
        <v>853</v>
      </c>
      <c r="I22" s="35" t="s">
        <v>853</v>
      </c>
      <c r="J22" s="35" t="s">
        <v>853</v>
      </c>
      <c r="K22" s="35" t="s">
        <v>853</v>
      </c>
      <c r="L22" s="35" t="s">
        <v>853</v>
      </c>
      <c r="M22" s="35" t="s">
        <v>853</v>
      </c>
      <c r="N22" s="35" t="s">
        <v>853</v>
      </c>
      <c r="O22" s="35" t="s">
        <v>853</v>
      </c>
    </row>
    <row r="23" spans="2:15" x14ac:dyDescent="0.2">
      <c r="B23" s="130"/>
      <c r="C23" s="2" t="s">
        <v>842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x14ac:dyDescent="0.2">
      <c r="B24" s="130"/>
      <c r="C24" s="2" t="s">
        <v>851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2:15" x14ac:dyDescent="0.2">
      <c r="B25" s="130"/>
      <c r="C25" s="2" t="s">
        <v>852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2:15" x14ac:dyDescent="0.2">
      <c r="B26" s="131"/>
      <c r="C26" s="2" t="s">
        <v>2041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2:15" x14ac:dyDescent="0.2">
      <c r="B27" s="129" t="s">
        <v>854</v>
      </c>
      <c r="C27" s="2" t="s">
        <v>846</v>
      </c>
      <c r="D27" s="27" t="s">
        <v>856</v>
      </c>
      <c r="E27" s="106" t="s">
        <v>856</v>
      </c>
      <c r="F27" s="107" t="s">
        <v>856</v>
      </c>
      <c r="G27" s="108" t="s">
        <v>856</v>
      </c>
      <c r="H27" s="109" t="s">
        <v>856</v>
      </c>
      <c r="I27" s="88" t="s">
        <v>856</v>
      </c>
      <c r="J27" s="110" t="s">
        <v>856</v>
      </c>
      <c r="K27" s="111" t="s">
        <v>856</v>
      </c>
      <c r="L27" s="112" t="s">
        <v>856</v>
      </c>
      <c r="M27" s="113" t="s">
        <v>856</v>
      </c>
      <c r="N27" s="114" t="s">
        <v>856</v>
      </c>
      <c r="O27" s="115" t="s">
        <v>856</v>
      </c>
    </row>
    <row r="28" spans="2:15" x14ac:dyDescent="0.2">
      <c r="B28" s="130"/>
      <c r="C28" s="2" t="s">
        <v>847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</row>
    <row r="29" spans="2:15" x14ac:dyDescent="0.2">
      <c r="B29" s="130"/>
      <c r="C29" s="2" t="s">
        <v>842</v>
      </c>
      <c r="D29" s="2" t="s">
        <v>843</v>
      </c>
      <c r="E29" s="2" t="s">
        <v>843</v>
      </c>
      <c r="F29" s="2" t="s">
        <v>843</v>
      </c>
      <c r="G29" s="2" t="s">
        <v>843</v>
      </c>
      <c r="H29" s="2" t="s">
        <v>843</v>
      </c>
      <c r="I29" s="2" t="s">
        <v>843</v>
      </c>
      <c r="J29" s="2" t="s">
        <v>843</v>
      </c>
      <c r="K29" s="2" t="s">
        <v>843</v>
      </c>
      <c r="L29" s="2" t="s">
        <v>843</v>
      </c>
      <c r="M29" s="2" t="s">
        <v>843</v>
      </c>
      <c r="N29" s="2" t="s">
        <v>843</v>
      </c>
      <c r="O29" s="2" t="s">
        <v>843</v>
      </c>
    </row>
    <row r="30" spans="2:15" x14ac:dyDescent="0.2">
      <c r="B30" s="130"/>
      <c r="C30" s="2" t="s">
        <v>851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</row>
    <row r="31" spans="2:15" x14ac:dyDescent="0.2">
      <c r="B31" s="131"/>
      <c r="C31" s="2" t="s">
        <v>852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</row>
    <row r="32" spans="2:15" x14ac:dyDescent="0.2">
      <c r="B32" s="129" t="s">
        <v>855</v>
      </c>
      <c r="C32" s="2" t="s">
        <v>846</v>
      </c>
      <c r="D32" s="33" t="s">
        <v>853</v>
      </c>
      <c r="E32" s="69" t="s">
        <v>853</v>
      </c>
      <c r="F32" s="75" t="s">
        <v>853</v>
      </c>
      <c r="G32" s="81" t="s">
        <v>853</v>
      </c>
      <c r="H32" s="79" t="s">
        <v>853</v>
      </c>
      <c r="I32" s="87" t="s">
        <v>853</v>
      </c>
      <c r="J32" s="84" t="s">
        <v>853</v>
      </c>
      <c r="K32" s="95" t="s">
        <v>853</v>
      </c>
      <c r="L32" s="64" t="s">
        <v>853</v>
      </c>
      <c r="M32" s="89" t="s">
        <v>853</v>
      </c>
      <c r="N32" s="98" t="s">
        <v>853</v>
      </c>
      <c r="O32" s="102" t="s">
        <v>853</v>
      </c>
    </row>
    <row r="33" spans="2:15" x14ac:dyDescent="0.2">
      <c r="B33" s="130"/>
      <c r="C33" s="2" t="s">
        <v>847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</row>
    <row r="34" spans="2:15" x14ac:dyDescent="0.2">
      <c r="B34" s="130"/>
      <c r="C34" s="2" t="s">
        <v>842</v>
      </c>
      <c r="D34" s="2" t="s">
        <v>843</v>
      </c>
      <c r="E34" s="2" t="s">
        <v>843</v>
      </c>
      <c r="F34" s="2" t="s">
        <v>843</v>
      </c>
      <c r="G34" s="2" t="s">
        <v>843</v>
      </c>
      <c r="H34" s="2" t="s">
        <v>843</v>
      </c>
      <c r="I34" s="2" t="s">
        <v>843</v>
      </c>
      <c r="J34" s="2" t="s">
        <v>843</v>
      </c>
      <c r="K34" s="2" t="s">
        <v>843</v>
      </c>
      <c r="L34" s="2" t="s">
        <v>843</v>
      </c>
      <c r="M34" s="2" t="s">
        <v>843</v>
      </c>
      <c r="N34" s="2" t="s">
        <v>843</v>
      </c>
      <c r="O34" s="2" t="s">
        <v>843</v>
      </c>
    </row>
    <row r="35" spans="2:15" x14ac:dyDescent="0.2">
      <c r="B35" s="130"/>
      <c r="C35" s="2" t="s">
        <v>851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</row>
    <row r="36" spans="2:15" x14ac:dyDescent="0.2">
      <c r="B36" s="130"/>
      <c r="C36" s="2" t="s">
        <v>852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</row>
    <row r="37" spans="2:15" x14ac:dyDescent="0.2">
      <c r="B37" s="131"/>
      <c r="C37" s="2" t="s">
        <v>2041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</row>
    <row r="38" spans="2:15" x14ac:dyDescent="0.2">
      <c r="B38" s="129" t="s">
        <v>857</v>
      </c>
      <c r="C38" s="2" t="s">
        <v>846</v>
      </c>
      <c r="D38" s="29" t="s">
        <v>856</v>
      </c>
      <c r="E38" s="29" t="s">
        <v>856</v>
      </c>
      <c r="F38" s="29" t="s">
        <v>856</v>
      </c>
      <c r="G38" s="29" t="s">
        <v>856</v>
      </c>
      <c r="H38" s="29" t="s">
        <v>856</v>
      </c>
      <c r="I38" s="29" t="s">
        <v>856</v>
      </c>
      <c r="J38" s="29" t="s">
        <v>856</v>
      </c>
      <c r="K38" s="29" t="s">
        <v>856</v>
      </c>
      <c r="L38" s="29" t="s">
        <v>856</v>
      </c>
      <c r="M38" s="29" t="s">
        <v>856</v>
      </c>
      <c r="N38" s="29" t="s">
        <v>856</v>
      </c>
      <c r="O38" s="29" t="s">
        <v>856</v>
      </c>
    </row>
    <row r="39" spans="2:15" x14ac:dyDescent="0.2">
      <c r="B39" s="130"/>
      <c r="C39" s="2" t="s">
        <v>847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</row>
    <row r="40" spans="2:15" x14ac:dyDescent="0.2">
      <c r="B40" s="130"/>
      <c r="C40" s="2" t="s">
        <v>842</v>
      </c>
      <c r="D40" s="2" t="s">
        <v>843</v>
      </c>
      <c r="E40" s="2" t="s">
        <v>843</v>
      </c>
      <c r="F40" s="2" t="s">
        <v>843</v>
      </c>
      <c r="G40" s="2" t="s">
        <v>843</v>
      </c>
      <c r="H40" s="2" t="s">
        <v>843</v>
      </c>
      <c r="I40" s="2" t="s">
        <v>843</v>
      </c>
      <c r="J40" s="2" t="s">
        <v>843</v>
      </c>
      <c r="K40" s="2" t="s">
        <v>843</v>
      </c>
      <c r="L40" s="2" t="s">
        <v>843</v>
      </c>
      <c r="M40" s="2" t="s">
        <v>843</v>
      </c>
      <c r="N40" s="2" t="s">
        <v>843</v>
      </c>
      <c r="O40" s="2" t="s">
        <v>843</v>
      </c>
    </row>
    <row r="41" spans="2:15" x14ac:dyDescent="0.2">
      <c r="B41" s="130"/>
      <c r="C41" s="2" t="s">
        <v>851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</row>
    <row r="42" spans="2:15" x14ac:dyDescent="0.2">
      <c r="B42" s="131"/>
      <c r="C42" s="2" t="s">
        <v>852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</row>
    <row r="43" spans="2:15" x14ac:dyDescent="0.2">
      <c r="B43" s="129" t="s">
        <v>858</v>
      </c>
      <c r="C43" s="2" t="s">
        <v>846</v>
      </c>
      <c r="D43" s="53" t="s">
        <v>853</v>
      </c>
      <c r="E43" s="53" t="s">
        <v>853</v>
      </c>
      <c r="F43" s="53" t="s">
        <v>853</v>
      </c>
      <c r="G43" s="53" t="s">
        <v>853</v>
      </c>
      <c r="H43" s="53" t="s">
        <v>853</v>
      </c>
      <c r="I43" s="53" t="s">
        <v>853</v>
      </c>
      <c r="J43" s="53" t="s">
        <v>853</v>
      </c>
      <c r="K43" s="53" t="s">
        <v>853</v>
      </c>
      <c r="L43" s="53" t="s">
        <v>853</v>
      </c>
      <c r="M43" s="53" t="s">
        <v>853</v>
      </c>
      <c r="N43" s="53" t="s">
        <v>853</v>
      </c>
      <c r="O43" s="53" t="s">
        <v>853</v>
      </c>
    </row>
    <row r="44" spans="2:15" x14ac:dyDescent="0.2">
      <c r="B44" s="130"/>
      <c r="C44" s="2" t="s">
        <v>847</v>
      </c>
      <c r="D44" s="31" t="s">
        <v>853</v>
      </c>
      <c r="E44" s="31" t="s">
        <v>853</v>
      </c>
      <c r="F44" s="31" t="s">
        <v>853</v>
      </c>
      <c r="G44" s="31" t="s">
        <v>853</v>
      </c>
      <c r="H44" s="31" t="s">
        <v>853</v>
      </c>
      <c r="I44" s="31" t="s">
        <v>853</v>
      </c>
      <c r="J44" s="31" t="s">
        <v>853</v>
      </c>
      <c r="K44" s="31" t="s">
        <v>853</v>
      </c>
      <c r="L44" s="31" t="s">
        <v>853</v>
      </c>
      <c r="M44" s="31" t="s">
        <v>853</v>
      </c>
      <c r="N44" s="31" t="s">
        <v>853</v>
      </c>
      <c r="O44" s="31" t="s">
        <v>853</v>
      </c>
    </row>
    <row r="45" spans="2:15" x14ac:dyDescent="0.2">
      <c r="B45" s="130"/>
      <c r="C45" s="2" t="s">
        <v>842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2:15" x14ac:dyDescent="0.2">
      <c r="B46" s="130"/>
      <c r="C46" s="2" t="s">
        <v>851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2:15" x14ac:dyDescent="0.2">
      <c r="B47" s="130"/>
      <c r="C47" s="2" t="s">
        <v>852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2:15" x14ac:dyDescent="0.2">
      <c r="B48" s="131"/>
      <c r="C48" s="2" t="s">
        <v>2041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2:15" x14ac:dyDescent="0.2">
      <c r="B49" s="129" t="s">
        <v>893</v>
      </c>
      <c r="C49" s="2" t="s">
        <v>846</v>
      </c>
      <c r="D49" s="33" t="s">
        <v>856</v>
      </c>
      <c r="E49" s="69" t="s">
        <v>856</v>
      </c>
      <c r="F49" s="75" t="s">
        <v>856</v>
      </c>
      <c r="G49" s="81" t="s">
        <v>856</v>
      </c>
      <c r="H49" s="79" t="s">
        <v>856</v>
      </c>
      <c r="I49" s="87" t="s">
        <v>856</v>
      </c>
      <c r="J49" s="84" t="s">
        <v>856</v>
      </c>
      <c r="K49" s="95" t="s">
        <v>856</v>
      </c>
      <c r="L49" s="64" t="s">
        <v>856</v>
      </c>
      <c r="M49" s="89" t="s">
        <v>856</v>
      </c>
      <c r="N49" s="98" t="s">
        <v>856</v>
      </c>
      <c r="O49" s="102" t="s">
        <v>856</v>
      </c>
    </row>
    <row r="50" spans="2:15" x14ac:dyDescent="0.2">
      <c r="B50" s="130"/>
      <c r="C50" s="2" t="s">
        <v>847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</row>
    <row r="51" spans="2:15" x14ac:dyDescent="0.2">
      <c r="B51" s="130"/>
      <c r="C51" s="2" t="s">
        <v>842</v>
      </c>
      <c r="D51" s="2" t="s">
        <v>843</v>
      </c>
      <c r="E51" s="2" t="s">
        <v>843</v>
      </c>
      <c r="F51" s="2" t="s">
        <v>843</v>
      </c>
      <c r="G51" s="2" t="s">
        <v>843</v>
      </c>
      <c r="H51" s="2" t="s">
        <v>843</v>
      </c>
      <c r="I51" s="2" t="s">
        <v>843</v>
      </c>
      <c r="J51" s="2" t="s">
        <v>843</v>
      </c>
      <c r="K51" s="2" t="s">
        <v>843</v>
      </c>
      <c r="L51" s="2" t="s">
        <v>843</v>
      </c>
      <c r="M51" s="2" t="s">
        <v>843</v>
      </c>
      <c r="N51" s="2" t="s">
        <v>843</v>
      </c>
      <c r="O51" s="2" t="s">
        <v>843</v>
      </c>
    </row>
    <row r="52" spans="2:15" x14ac:dyDescent="0.2">
      <c r="B52" s="130"/>
      <c r="C52" s="2" t="s">
        <v>851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</row>
    <row r="53" spans="2:15" x14ac:dyDescent="0.2">
      <c r="B53" s="131"/>
      <c r="C53" s="2" t="s">
        <v>852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</row>
    <row r="54" spans="2:15" x14ac:dyDescent="0.2">
      <c r="B54" s="129" t="s">
        <v>892</v>
      </c>
      <c r="C54" s="2" t="s">
        <v>846</v>
      </c>
      <c r="D54" s="52" t="s">
        <v>853</v>
      </c>
      <c r="E54" s="52" t="s">
        <v>853</v>
      </c>
      <c r="F54" s="52" t="s">
        <v>853</v>
      </c>
      <c r="G54" s="52" t="s">
        <v>853</v>
      </c>
      <c r="H54" s="52" t="s">
        <v>853</v>
      </c>
      <c r="I54" s="52" t="s">
        <v>853</v>
      </c>
      <c r="J54" s="52" t="s">
        <v>853</v>
      </c>
      <c r="K54" s="52" t="s">
        <v>853</v>
      </c>
      <c r="L54" s="52" t="s">
        <v>853</v>
      </c>
      <c r="M54" s="52" t="s">
        <v>853</v>
      </c>
      <c r="N54" s="52" t="s">
        <v>853</v>
      </c>
      <c r="O54" s="52" t="s">
        <v>853</v>
      </c>
    </row>
    <row r="55" spans="2:15" x14ac:dyDescent="0.2">
      <c r="B55" s="130"/>
      <c r="C55" s="2" t="s">
        <v>847</v>
      </c>
      <c r="D55" s="31" t="s">
        <v>853</v>
      </c>
      <c r="E55" s="31" t="s">
        <v>853</v>
      </c>
      <c r="F55" s="31" t="s">
        <v>853</v>
      </c>
      <c r="G55" s="31" t="s">
        <v>853</v>
      </c>
      <c r="H55" s="31" t="s">
        <v>853</v>
      </c>
      <c r="I55" s="31" t="s">
        <v>853</v>
      </c>
      <c r="J55" s="31" t="s">
        <v>853</v>
      </c>
      <c r="K55" s="31" t="s">
        <v>853</v>
      </c>
      <c r="L55" s="31" t="s">
        <v>853</v>
      </c>
      <c r="M55" s="31" t="s">
        <v>853</v>
      </c>
      <c r="N55" s="31" t="s">
        <v>853</v>
      </c>
      <c r="O55" s="31" t="s">
        <v>853</v>
      </c>
    </row>
    <row r="56" spans="2:15" x14ac:dyDescent="0.2">
      <c r="B56" s="130"/>
      <c r="C56" s="2" t="s">
        <v>842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2:15" x14ac:dyDescent="0.2">
      <c r="B57" s="130"/>
      <c r="C57" s="2" t="s">
        <v>851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2:15" x14ac:dyDescent="0.2">
      <c r="B58" s="130"/>
      <c r="C58" s="2" t="s">
        <v>852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2:15" x14ac:dyDescent="0.2">
      <c r="B59" s="131"/>
      <c r="C59" s="2" t="s">
        <v>2041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2:15" x14ac:dyDescent="0.2">
      <c r="B60" s="129" t="s">
        <v>859</v>
      </c>
      <c r="C60" s="2" t="s">
        <v>846</v>
      </c>
      <c r="D60" s="33" t="s">
        <v>853</v>
      </c>
      <c r="E60" s="76" t="s">
        <v>853</v>
      </c>
      <c r="F60" s="75" t="s">
        <v>853</v>
      </c>
      <c r="G60" s="81" t="s">
        <v>853</v>
      </c>
      <c r="H60" s="79" t="s">
        <v>853</v>
      </c>
      <c r="I60" s="87" t="s">
        <v>853</v>
      </c>
      <c r="J60" s="84" t="s">
        <v>853</v>
      </c>
      <c r="K60" s="92" t="s">
        <v>853</v>
      </c>
      <c r="L60" s="66" t="s">
        <v>853</v>
      </c>
      <c r="M60" s="90" t="s">
        <v>853</v>
      </c>
      <c r="N60" s="99" t="s">
        <v>853</v>
      </c>
      <c r="O60" s="102" t="s">
        <v>853</v>
      </c>
    </row>
    <row r="61" spans="2:15" x14ac:dyDescent="0.2">
      <c r="B61" s="130"/>
      <c r="C61" s="2" t="s">
        <v>847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</row>
    <row r="62" spans="2:15" x14ac:dyDescent="0.2">
      <c r="B62" s="130"/>
      <c r="C62" s="2" t="s">
        <v>842</v>
      </c>
      <c r="D62" s="2" t="s">
        <v>843</v>
      </c>
      <c r="E62" s="2" t="s">
        <v>843</v>
      </c>
      <c r="F62" s="2" t="s">
        <v>843</v>
      </c>
      <c r="G62" s="2" t="s">
        <v>843</v>
      </c>
      <c r="H62" s="2" t="s">
        <v>843</v>
      </c>
      <c r="I62" s="2" t="s">
        <v>843</v>
      </c>
      <c r="J62" s="2" t="s">
        <v>843</v>
      </c>
      <c r="K62" s="2" t="s">
        <v>843</v>
      </c>
      <c r="L62" s="2" t="s">
        <v>843</v>
      </c>
      <c r="M62" s="2" t="s">
        <v>843</v>
      </c>
      <c r="N62" s="2" t="s">
        <v>843</v>
      </c>
      <c r="O62" s="2" t="s">
        <v>843</v>
      </c>
    </row>
    <row r="63" spans="2:15" x14ac:dyDescent="0.2">
      <c r="B63" s="130"/>
      <c r="C63" s="2" t="s">
        <v>851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</row>
    <row r="64" spans="2:15" x14ac:dyDescent="0.2">
      <c r="B64" s="130"/>
      <c r="C64" s="2" t="s">
        <v>852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</row>
    <row r="65" spans="2:15" x14ac:dyDescent="0.2">
      <c r="B65" s="131"/>
      <c r="C65" s="2" t="s">
        <v>2041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</row>
    <row r="66" spans="2:15" x14ac:dyDescent="0.2">
      <c r="B66" s="129" t="s">
        <v>862</v>
      </c>
      <c r="C66" s="2" t="s">
        <v>846</v>
      </c>
      <c r="D66" s="33" t="s">
        <v>853</v>
      </c>
      <c r="E66" s="76" t="s">
        <v>853</v>
      </c>
      <c r="F66" s="75" t="s">
        <v>853</v>
      </c>
      <c r="G66" s="81" t="s">
        <v>853</v>
      </c>
      <c r="H66" s="79" t="s">
        <v>853</v>
      </c>
      <c r="I66" s="87" t="s">
        <v>853</v>
      </c>
      <c r="J66" s="84" t="s">
        <v>853</v>
      </c>
      <c r="K66" s="92" t="s">
        <v>853</v>
      </c>
      <c r="L66" s="66" t="s">
        <v>853</v>
      </c>
      <c r="M66" s="90" t="s">
        <v>853</v>
      </c>
      <c r="N66" s="99" t="s">
        <v>853</v>
      </c>
      <c r="O66" s="102" t="s">
        <v>853</v>
      </c>
    </row>
    <row r="67" spans="2:15" x14ac:dyDescent="0.2">
      <c r="B67" s="130"/>
      <c r="C67" s="2" t="s">
        <v>847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</row>
    <row r="68" spans="2:15" x14ac:dyDescent="0.2">
      <c r="B68" s="130"/>
      <c r="C68" s="2" t="s">
        <v>842</v>
      </c>
      <c r="D68" s="2" t="s">
        <v>843</v>
      </c>
      <c r="E68" s="2" t="s">
        <v>843</v>
      </c>
      <c r="F68" s="2" t="s">
        <v>843</v>
      </c>
      <c r="G68" s="2" t="s">
        <v>843</v>
      </c>
      <c r="H68" s="2" t="s">
        <v>843</v>
      </c>
      <c r="I68" s="2" t="s">
        <v>843</v>
      </c>
      <c r="J68" s="2" t="s">
        <v>843</v>
      </c>
      <c r="K68" s="2" t="s">
        <v>843</v>
      </c>
      <c r="L68" s="2" t="s">
        <v>843</v>
      </c>
      <c r="M68" s="2" t="s">
        <v>843</v>
      </c>
      <c r="N68" s="2" t="s">
        <v>843</v>
      </c>
      <c r="O68" s="2" t="s">
        <v>843</v>
      </c>
    </row>
    <row r="69" spans="2:15" x14ac:dyDescent="0.2">
      <c r="B69" s="130"/>
      <c r="C69" s="2" t="s">
        <v>851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</row>
    <row r="70" spans="2:15" x14ac:dyDescent="0.2">
      <c r="B70" s="130"/>
      <c r="C70" s="2" t="s">
        <v>852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</row>
    <row r="71" spans="2:15" x14ac:dyDescent="0.2">
      <c r="B71" s="131"/>
      <c r="C71" s="2" t="s">
        <v>2041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</row>
    <row r="72" spans="2:15" x14ac:dyDescent="0.2">
      <c r="B72" s="129" t="s">
        <v>863</v>
      </c>
      <c r="C72" s="2" t="s">
        <v>846</v>
      </c>
      <c r="D72" s="105" t="s">
        <v>853</v>
      </c>
      <c r="E72" s="105" t="s">
        <v>853</v>
      </c>
      <c r="F72" s="105" t="s">
        <v>853</v>
      </c>
      <c r="G72" s="105" t="s">
        <v>853</v>
      </c>
      <c r="H72" s="105" t="s">
        <v>853</v>
      </c>
      <c r="I72" s="105" t="s">
        <v>853</v>
      </c>
      <c r="J72" s="105" t="s">
        <v>853</v>
      </c>
      <c r="K72" s="105" t="s">
        <v>853</v>
      </c>
      <c r="L72" s="105" t="s">
        <v>853</v>
      </c>
      <c r="M72" s="105" t="s">
        <v>853</v>
      </c>
      <c r="N72" s="105" t="s">
        <v>853</v>
      </c>
      <c r="O72" s="105" t="s">
        <v>853</v>
      </c>
    </row>
    <row r="73" spans="2:15" x14ac:dyDescent="0.2">
      <c r="B73" s="130"/>
      <c r="C73" s="2" t="s">
        <v>847</v>
      </c>
      <c r="D73" s="31" t="s">
        <v>853</v>
      </c>
      <c r="E73" s="31" t="s">
        <v>853</v>
      </c>
      <c r="F73" s="31" t="s">
        <v>853</v>
      </c>
      <c r="G73" s="31" t="s">
        <v>853</v>
      </c>
      <c r="H73" s="31" t="s">
        <v>853</v>
      </c>
      <c r="I73" s="31" t="s">
        <v>853</v>
      </c>
      <c r="J73" s="31" t="s">
        <v>853</v>
      </c>
      <c r="K73" s="31" t="s">
        <v>853</v>
      </c>
      <c r="L73" s="31" t="s">
        <v>853</v>
      </c>
      <c r="M73" s="31" t="s">
        <v>853</v>
      </c>
      <c r="N73" s="31" t="s">
        <v>853</v>
      </c>
      <c r="O73" s="31" t="s">
        <v>853</v>
      </c>
    </row>
    <row r="74" spans="2:15" x14ac:dyDescent="0.2">
      <c r="B74" s="130"/>
      <c r="C74" s="2" t="s">
        <v>842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2:15" x14ac:dyDescent="0.2">
      <c r="B75" s="130"/>
      <c r="C75" s="2" t="s">
        <v>851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2:15" x14ac:dyDescent="0.2">
      <c r="B76" s="130"/>
      <c r="C76" s="2" t="s">
        <v>852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2:15" x14ac:dyDescent="0.2">
      <c r="B77" s="131"/>
      <c r="C77" s="2" t="s">
        <v>2041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2:15" x14ac:dyDescent="0.2">
      <c r="B78" s="129" t="s">
        <v>860</v>
      </c>
      <c r="C78" s="2" t="s">
        <v>846</v>
      </c>
      <c r="D78" s="33" t="s">
        <v>853</v>
      </c>
      <c r="E78" s="76" t="s">
        <v>853</v>
      </c>
      <c r="F78" s="75" t="s">
        <v>853</v>
      </c>
      <c r="G78" s="81" t="s">
        <v>853</v>
      </c>
      <c r="H78" s="79" t="s">
        <v>853</v>
      </c>
      <c r="I78" s="87" t="s">
        <v>853</v>
      </c>
      <c r="J78" s="84" t="s">
        <v>853</v>
      </c>
      <c r="K78" s="92" t="s">
        <v>853</v>
      </c>
      <c r="L78" s="66" t="s">
        <v>853</v>
      </c>
      <c r="M78" s="90" t="s">
        <v>853</v>
      </c>
      <c r="N78" s="99" t="s">
        <v>853</v>
      </c>
      <c r="O78" s="102" t="s">
        <v>853</v>
      </c>
    </row>
    <row r="79" spans="2:15" x14ac:dyDescent="0.2">
      <c r="B79" s="130"/>
      <c r="C79" s="2" t="s">
        <v>847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</row>
    <row r="80" spans="2:15" x14ac:dyDescent="0.2">
      <c r="B80" s="130"/>
      <c r="C80" s="2" t="s">
        <v>842</v>
      </c>
      <c r="D80" s="2" t="s">
        <v>843</v>
      </c>
      <c r="E80" s="2" t="s">
        <v>843</v>
      </c>
      <c r="F80" s="2" t="s">
        <v>843</v>
      </c>
      <c r="G80" s="2" t="s">
        <v>843</v>
      </c>
      <c r="H80" s="2" t="s">
        <v>843</v>
      </c>
      <c r="I80" s="2" t="s">
        <v>843</v>
      </c>
      <c r="J80" s="2" t="s">
        <v>843</v>
      </c>
      <c r="K80" s="2" t="s">
        <v>843</v>
      </c>
      <c r="L80" s="2" t="s">
        <v>843</v>
      </c>
      <c r="M80" s="2" t="s">
        <v>843</v>
      </c>
      <c r="N80" s="2" t="s">
        <v>843</v>
      </c>
      <c r="O80" s="2" t="s">
        <v>843</v>
      </c>
    </row>
    <row r="81" spans="2:15" x14ac:dyDescent="0.2">
      <c r="B81" s="130"/>
      <c r="C81" s="2" t="s">
        <v>851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</row>
    <row r="82" spans="2:15" x14ac:dyDescent="0.2">
      <c r="B82" s="130"/>
      <c r="C82" s="2" t="s">
        <v>852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</row>
    <row r="83" spans="2:15" x14ac:dyDescent="0.2">
      <c r="B83" s="131"/>
      <c r="C83" s="2" t="s">
        <v>2041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</row>
    <row r="84" spans="2:15" x14ac:dyDescent="0.2">
      <c r="B84" s="28" t="s">
        <v>878</v>
      </c>
      <c r="C84" s="2" t="s">
        <v>879</v>
      </c>
      <c r="D84" s="44" t="s">
        <v>877</v>
      </c>
      <c r="E84" s="44" t="s">
        <v>877</v>
      </c>
      <c r="F84" s="45" t="s">
        <v>877</v>
      </c>
      <c r="G84" s="104" t="s">
        <v>877</v>
      </c>
      <c r="H84" s="104" t="s">
        <v>877</v>
      </c>
      <c r="I84" s="44" t="s">
        <v>877</v>
      </c>
      <c r="J84" s="104" t="s">
        <v>877</v>
      </c>
      <c r="K84" s="44" t="s">
        <v>877</v>
      </c>
      <c r="L84" s="45" t="s">
        <v>877</v>
      </c>
      <c r="M84" s="45" t="s">
        <v>877</v>
      </c>
      <c r="N84" s="44" t="s">
        <v>877</v>
      </c>
      <c r="O84" s="45" t="s">
        <v>877</v>
      </c>
    </row>
  </sheetData>
  <mergeCells count="14"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O56 D10:O10 D74:O74 D80:O80 D68:O68 D62:O62 D18:O18 D40:O40 D34:O34 D45:O45 D29:O29 D5:O5 D23:O23 D51:O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983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984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7">((G5-H5-I5-J5)+(H5*2)+(I5*3)+(J5*4))</f>
        <v>0</v>
      </c>
      <c r="L5" s="7">
        <v>0</v>
      </c>
      <c r="M5" s="11">
        <f t="shared" ref="M5:M6" si="8">IFERROR(IF((G5+P5+Q5)/(F5+P5+Q5+S5)=1,"1.00",(G5+P5+Q5)/(F5+P5+Q5+S5)),0)</f>
        <v>0</v>
      </c>
      <c r="N5" s="11">
        <f t="shared" ref="N5:N6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293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6"/>
        <v>2</v>
      </c>
      <c r="C7" s="10">
        <v>2</v>
      </c>
      <c r="D7" s="13" t="s">
        <v>1741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295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ref="E10" si="13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985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296</v>
      </c>
    </row>
    <row r="13" spans="2:24" ht="13.8" x14ac:dyDescent="0.2">
      <c r="B13" s="8">
        <f t="shared" si="6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6"/>
        <v>9</v>
      </c>
      <c r="C14" s="10">
        <v>9</v>
      </c>
      <c r="D14" s="13" t="s">
        <v>818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913</v>
      </c>
    </row>
    <row r="15" spans="2:24" ht="13.8" x14ac:dyDescent="0.2">
      <c r="B15" s="8">
        <f t="shared" si="6"/>
        <v>10</v>
      </c>
      <c r="C15" s="10">
        <v>10</v>
      </c>
      <c r="D15" s="13" t="s">
        <v>986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1021</v>
      </c>
    </row>
    <row r="16" spans="2:24" ht="13.8" x14ac:dyDescent="0.2">
      <c r="B16" s="8">
        <f t="shared" si="6"/>
        <v>11</v>
      </c>
      <c r="C16" s="10">
        <v>11</v>
      </c>
      <c r="D16" s="13" t="s">
        <v>987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313</v>
      </c>
    </row>
    <row r="17" spans="2:24" ht="13.8" x14ac:dyDescent="0.2">
      <c r="B17" s="8">
        <f t="shared" si="6"/>
        <v>12</v>
      </c>
      <c r="C17" s="10">
        <v>12</v>
      </c>
      <c r="D17" s="13" t="s">
        <v>988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314</v>
      </c>
    </row>
    <row r="18" spans="2:24" ht="13.8" x14ac:dyDescent="0.2">
      <c r="B18" s="8">
        <f t="shared" si="6"/>
        <v>13</v>
      </c>
      <c r="C18" s="10">
        <v>13</v>
      </c>
      <c r="D18" s="13" t="s">
        <v>989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315</v>
      </c>
    </row>
    <row r="19" spans="2:24" ht="13.8" x14ac:dyDescent="0.2">
      <c r="B19" s="8">
        <f t="shared" si="6"/>
        <v>14</v>
      </c>
      <c r="C19" s="10">
        <v>14</v>
      </c>
      <c r="D19" s="13" t="s">
        <v>990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268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 t="s">
        <v>1436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675</v>
      </c>
    </row>
    <row r="22" spans="2:24" ht="13.8" x14ac:dyDescent="0.2">
      <c r="B22" s="8">
        <f t="shared" si="6"/>
        <v>17</v>
      </c>
      <c r="C22" s="10">
        <v>17</v>
      </c>
      <c r="D22" s="13" t="s">
        <v>991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1022</v>
      </c>
    </row>
    <row r="23" spans="2:24" ht="13.8" x14ac:dyDescent="0.2">
      <c r="B23" s="8">
        <f t="shared" si="6"/>
        <v>18</v>
      </c>
      <c r="C23" s="10">
        <v>18</v>
      </c>
      <c r="D23" s="13" t="s">
        <v>1318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317</v>
      </c>
    </row>
    <row r="24" spans="2:24" ht="13.8" x14ac:dyDescent="0.2">
      <c r="B24" s="8">
        <f t="shared" si="6"/>
        <v>19</v>
      </c>
      <c r="C24" s="10">
        <v>19</v>
      </c>
      <c r="D24" s="13" t="s">
        <v>1682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318</v>
      </c>
    </row>
    <row r="25" spans="2:24" ht="13.8" x14ac:dyDescent="0.2">
      <c r="B25" s="8">
        <f t="shared" si="6"/>
        <v>20</v>
      </c>
      <c r="C25" s="10">
        <v>20</v>
      </c>
      <c r="D25" s="13" t="s">
        <v>992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319</v>
      </c>
    </row>
    <row r="26" spans="2:24" ht="13.8" x14ac:dyDescent="0.2">
      <c r="B26" s="8">
        <f t="shared" si="6"/>
        <v>21</v>
      </c>
      <c r="C26" s="10">
        <v>21</v>
      </c>
      <c r="D26" s="13" t="s">
        <v>993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1023</v>
      </c>
    </row>
    <row r="27" spans="2:24" ht="13.8" x14ac:dyDescent="0.2">
      <c r="B27" s="8">
        <f t="shared" si="6"/>
        <v>22</v>
      </c>
      <c r="C27" s="10">
        <v>22</v>
      </c>
      <c r="D27" s="13" t="s">
        <v>994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1024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664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676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6"/>
        <v>26</v>
      </c>
      <c r="C31" s="10">
        <v>26</v>
      </c>
      <c r="D31" s="13" t="s">
        <v>904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914</v>
      </c>
    </row>
    <row r="32" spans="2:24" ht="13.8" x14ac:dyDescent="0.2">
      <c r="B32" s="8">
        <f t="shared" si="6"/>
        <v>27</v>
      </c>
      <c r="C32" s="10">
        <v>27</v>
      </c>
      <c r="D32" s="13" t="s">
        <v>995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298</v>
      </c>
    </row>
    <row r="33" spans="2:24" ht="13.8" x14ac:dyDescent="0.2">
      <c r="B33" s="8">
        <f t="shared" si="6"/>
        <v>28</v>
      </c>
      <c r="C33" s="10">
        <v>28</v>
      </c>
      <c r="D33" s="13" t="s">
        <v>996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320</v>
      </c>
    </row>
    <row r="34" spans="2:24" ht="13.8" x14ac:dyDescent="0.2">
      <c r="B34" s="8">
        <f t="shared" si="6"/>
        <v>29</v>
      </c>
      <c r="C34" s="10">
        <v>29</v>
      </c>
      <c r="D34" s="13" t="s">
        <v>665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321</v>
      </c>
    </row>
    <row r="35" spans="2:24" ht="13.8" x14ac:dyDescent="0.2">
      <c r="B35" s="8">
        <f t="shared" si="6"/>
        <v>30</v>
      </c>
      <c r="C35" s="10">
        <v>30</v>
      </c>
      <c r="D35" s="13" t="s">
        <v>997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1025</v>
      </c>
    </row>
    <row r="36" spans="2:24" ht="13.8" x14ac:dyDescent="0.2">
      <c r="B36" s="8">
        <f t="shared" si="6"/>
        <v>31</v>
      </c>
      <c r="C36" s="10">
        <v>31</v>
      </c>
      <c r="D36" s="13" t="s">
        <v>998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299</v>
      </c>
    </row>
    <row r="37" spans="2:24" ht="13.8" x14ac:dyDescent="0.2">
      <c r="B37" s="8">
        <f t="shared" si="6"/>
        <v>32</v>
      </c>
      <c r="C37" s="10">
        <v>32</v>
      </c>
      <c r="D37" s="13" t="s">
        <v>1188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310</v>
      </c>
    </row>
    <row r="38" spans="2:24" ht="13.8" x14ac:dyDescent="0.2">
      <c r="B38" s="8">
        <f t="shared" si="6"/>
        <v>33</v>
      </c>
      <c r="C38" s="10">
        <v>33</v>
      </c>
      <c r="D38" s="13" t="s">
        <v>999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300</v>
      </c>
    </row>
    <row r="39" spans="2:24" ht="13.8" x14ac:dyDescent="0.2">
      <c r="B39" s="8">
        <f t="shared" si="6"/>
        <v>34</v>
      </c>
      <c r="C39" s="10">
        <v>34</v>
      </c>
      <c r="D39" s="13" t="s">
        <v>1000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322</v>
      </c>
    </row>
    <row r="40" spans="2:24" ht="13.8" x14ac:dyDescent="0.2">
      <c r="B40" s="8">
        <f t="shared" si="6"/>
        <v>35</v>
      </c>
      <c r="C40" s="10">
        <v>35</v>
      </c>
      <c r="D40" s="13" t="s">
        <v>1001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1026</v>
      </c>
    </row>
    <row r="41" spans="2:24" ht="13.8" x14ac:dyDescent="0.2">
      <c r="B41" s="8">
        <f t="shared" si="6"/>
        <v>36</v>
      </c>
      <c r="C41" s="10">
        <v>36</v>
      </c>
      <c r="D41" s="13" t="s">
        <v>1002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323</v>
      </c>
    </row>
    <row r="42" spans="2:24" ht="13.8" x14ac:dyDescent="0.2">
      <c r="B42" s="8">
        <f t="shared" si="6"/>
        <v>37</v>
      </c>
      <c r="C42" s="10">
        <v>37</v>
      </c>
      <c r="D42" s="13" t="s">
        <v>1003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301</v>
      </c>
    </row>
    <row r="43" spans="2:24" ht="13.8" x14ac:dyDescent="0.2">
      <c r="B43" s="8">
        <f t="shared" si="6"/>
        <v>38</v>
      </c>
      <c r="C43" s="10">
        <v>38</v>
      </c>
      <c r="D43" s="13" t="s">
        <v>1004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302</v>
      </c>
    </row>
    <row r="44" spans="2:24" ht="13.8" x14ac:dyDescent="0.2">
      <c r="B44" s="8">
        <f t="shared" si="6"/>
        <v>39</v>
      </c>
      <c r="C44" s="10">
        <v>39</v>
      </c>
      <c r="D44" s="13" t="s">
        <v>905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915</v>
      </c>
    </row>
    <row r="45" spans="2:24" ht="13.8" x14ac:dyDescent="0.2">
      <c r="B45" s="8">
        <f t="shared" si="6"/>
        <v>40</v>
      </c>
      <c r="C45" s="10">
        <v>40</v>
      </c>
      <c r="D45" s="13" t="s">
        <v>1005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303</v>
      </c>
    </row>
    <row r="46" spans="2:24" ht="13.8" x14ac:dyDescent="0.2">
      <c r="B46" s="8">
        <f t="shared" si="6"/>
        <v>41</v>
      </c>
      <c r="C46" s="10">
        <v>41</v>
      </c>
      <c r="D46" s="13" t="s">
        <v>1006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324</v>
      </c>
    </row>
    <row r="47" spans="2:24" ht="13.8" x14ac:dyDescent="0.2">
      <c r="B47" s="8">
        <f t="shared" si="6"/>
        <v>42</v>
      </c>
      <c r="C47" s="10">
        <v>42</v>
      </c>
      <c r="D47" s="13" t="s">
        <v>1007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1027</v>
      </c>
    </row>
    <row r="48" spans="2:24" ht="13.8" x14ac:dyDescent="0.2">
      <c r="B48" s="8">
        <f t="shared" si="6"/>
        <v>43</v>
      </c>
      <c r="C48" s="10">
        <v>43</v>
      </c>
      <c r="D48" s="13" t="s">
        <v>1008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269</v>
      </c>
    </row>
    <row r="49" spans="2:24" ht="13.8" x14ac:dyDescent="0.2">
      <c r="B49" s="8">
        <f t="shared" si="6"/>
        <v>44</v>
      </c>
      <c r="C49" s="10">
        <v>44</v>
      </c>
      <c r="D49" s="13" t="s">
        <v>1308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304</v>
      </c>
    </row>
    <row r="50" spans="2:24" ht="13.8" x14ac:dyDescent="0.2">
      <c r="B50" s="8">
        <f t="shared" si="6"/>
        <v>45</v>
      </c>
      <c r="C50" s="10">
        <v>45</v>
      </c>
      <c r="D50" s="13" t="s">
        <v>1317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677</v>
      </c>
    </row>
    <row r="51" spans="2:24" ht="13.8" x14ac:dyDescent="0.2">
      <c r="B51" s="8">
        <f t="shared" si="6"/>
        <v>46</v>
      </c>
      <c r="C51" s="10">
        <v>46</v>
      </c>
      <c r="D51" s="13" t="s">
        <v>1837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916</v>
      </c>
    </row>
    <row r="52" spans="2:24" ht="13.8" x14ac:dyDescent="0.2">
      <c r="B52" s="8">
        <f t="shared" si="6"/>
        <v>47</v>
      </c>
      <c r="C52" s="10">
        <v>47</v>
      </c>
      <c r="D52" s="13" t="s">
        <v>906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917</v>
      </c>
    </row>
    <row r="53" spans="2:24" ht="13.8" x14ac:dyDescent="0.2">
      <c r="B53" s="8">
        <f t="shared" si="6"/>
        <v>48</v>
      </c>
      <c r="C53" s="10">
        <v>48</v>
      </c>
      <c r="D53" s="13" t="s">
        <v>666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270</v>
      </c>
    </row>
    <row r="54" spans="2:24" ht="13.8" x14ac:dyDescent="0.2">
      <c r="B54" s="8">
        <f t="shared" si="6"/>
        <v>49</v>
      </c>
      <c r="C54" s="10">
        <v>49</v>
      </c>
      <c r="D54" s="13" t="s">
        <v>907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918</v>
      </c>
    </row>
    <row r="55" spans="2:24" ht="13.8" x14ac:dyDescent="0.2">
      <c r="B55" s="8">
        <f t="shared" si="6"/>
        <v>50</v>
      </c>
      <c r="C55" s="10">
        <v>50</v>
      </c>
      <c r="D55" s="13" t="s">
        <v>667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678</v>
      </c>
    </row>
    <row r="56" spans="2:24" ht="13.8" x14ac:dyDescent="0.2">
      <c r="B56" s="8">
        <f t="shared" si="6"/>
        <v>51</v>
      </c>
      <c r="C56" s="10">
        <v>51</v>
      </c>
      <c r="D56" s="13" t="s">
        <v>1009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305</v>
      </c>
    </row>
    <row r="57" spans="2:24" ht="13.8" x14ac:dyDescent="0.2">
      <c r="B57" s="8">
        <f t="shared" si="6"/>
        <v>52</v>
      </c>
      <c r="C57" s="10">
        <v>52</v>
      </c>
      <c r="D57" s="13" t="s">
        <v>668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679</v>
      </c>
    </row>
    <row r="58" spans="2:24" ht="13.8" x14ac:dyDescent="0.2">
      <c r="B58" s="8">
        <f t="shared" si="6"/>
        <v>53</v>
      </c>
      <c r="C58" s="10">
        <v>53</v>
      </c>
      <c r="D58" s="13" t="s">
        <v>1568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325</v>
      </c>
    </row>
    <row r="59" spans="2:24" ht="13.8" x14ac:dyDescent="0.2">
      <c r="B59" s="8">
        <f t="shared" si="6"/>
        <v>54</v>
      </c>
      <c r="C59" s="10">
        <v>54</v>
      </c>
      <c r="D59" s="13" t="s">
        <v>1010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306</v>
      </c>
    </row>
    <row r="60" spans="2:24" ht="13.8" x14ac:dyDescent="0.2">
      <c r="B60" s="8">
        <f t="shared" si="6"/>
        <v>55</v>
      </c>
      <c r="C60" s="10">
        <v>55</v>
      </c>
      <c r="D60" s="13" t="s">
        <v>1957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307</v>
      </c>
    </row>
    <row r="61" spans="2:24" ht="13.8" x14ac:dyDescent="0.2">
      <c r="B61" s="8">
        <f t="shared" si="6"/>
        <v>56</v>
      </c>
      <c r="C61" s="10">
        <v>56</v>
      </c>
      <c r="D61" s="13" t="s">
        <v>908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919</v>
      </c>
    </row>
    <row r="62" spans="2:24" ht="13.8" x14ac:dyDescent="0.2">
      <c r="B62" s="8">
        <f t="shared" si="6"/>
        <v>57</v>
      </c>
      <c r="C62" s="10">
        <v>57</v>
      </c>
      <c r="D62" s="13" t="s">
        <v>673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312</v>
      </c>
    </row>
    <row r="63" spans="2:24" ht="13.8" x14ac:dyDescent="0.2">
      <c r="B63" s="8">
        <f t="shared" si="6"/>
        <v>58</v>
      </c>
      <c r="C63" s="10">
        <v>58</v>
      </c>
      <c r="D63" s="13" t="s">
        <v>1567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1028</v>
      </c>
    </row>
    <row r="64" spans="2:24" ht="13.8" x14ac:dyDescent="0.2">
      <c r="B64" s="8">
        <f t="shared" si="6"/>
        <v>59</v>
      </c>
      <c r="C64" s="10">
        <v>59</v>
      </c>
      <c r="D64" s="13" t="s">
        <v>1011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308</v>
      </c>
    </row>
    <row r="65" spans="2:24" ht="13.8" x14ac:dyDescent="0.2">
      <c r="B65" s="8">
        <f t="shared" si="6"/>
        <v>60</v>
      </c>
      <c r="C65" s="10">
        <v>60</v>
      </c>
      <c r="D65" s="13" t="s">
        <v>1654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680</v>
      </c>
    </row>
    <row r="66" spans="2:24" ht="13.8" x14ac:dyDescent="0.2">
      <c r="B66" s="8">
        <f t="shared" si="6"/>
        <v>61</v>
      </c>
      <c r="C66" s="10">
        <v>61</v>
      </c>
      <c r="D66" s="13" t="s">
        <v>1012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309</v>
      </c>
    </row>
    <row r="67" spans="2:24" ht="13.8" x14ac:dyDescent="0.2">
      <c r="B67" s="8">
        <f t="shared" si="6"/>
        <v>62</v>
      </c>
      <c r="C67" s="10">
        <v>62</v>
      </c>
      <c r="D67" s="13" t="s">
        <v>1180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920</v>
      </c>
    </row>
    <row r="68" spans="2:24" ht="13.8" x14ac:dyDescent="0.2">
      <c r="B68" s="8">
        <f t="shared" si="6"/>
        <v>63</v>
      </c>
      <c r="C68" s="10">
        <v>63</v>
      </c>
      <c r="D68" s="13" t="s">
        <v>909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1029</v>
      </c>
    </row>
    <row r="69" spans="2:24" ht="13.8" x14ac:dyDescent="0.2">
      <c r="B69" s="8">
        <f t="shared" ref="B69:B132" si="14">IF(C69="","",C69)</f>
        <v>64</v>
      </c>
      <c r="C69" s="10">
        <v>64</v>
      </c>
      <c r="D69" s="13" t="s">
        <v>669</v>
      </c>
      <c r="E69" s="11" t="str">
        <f t="shared" ref="E69:E132" si="15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681</v>
      </c>
    </row>
    <row r="70" spans="2:24" ht="13.8" x14ac:dyDescent="0.2">
      <c r="B70" s="8">
        <f t="shared" si="14"/>
        <v>65</v>
      </c>
      <c r="C70" s="10">
        <v>65</v>
      </c>
      <c r="D70" s="13" t="s">
        <v>1283</v>
      </c>
      <c r="E70" s="11" t="str">
        <f t="shared" si="15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326</v>
      </c>
    </row>
    <row r="71" spans="2:24" ht="13.8" x14ac:dyDescent="0.2">
      <c r="B71" s="8">
        <f t="shared" si="14"/>
        <v>66</v>
      </c>
      <c r="C71" s="10">
        <v>66</v>
      </c>
      <c r="D71" s="13" t="s">
        <v>1013</v>
      </c>
      <c r="E71" s="11" t="str">
        <f t="shared" si="15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6">((G71-H71-I71-J71)+(H71*2)+(I71*3)+(J71*4))</f>
        <v>0</v>
      </c>
      <c r="L71" s="7">
        <v>0</v>
      </c>
      <c r="M71" s="11">
        <f t="shared" ref="M71:M134" si="17">IFERROR(IF((G71+P71+Q71)/(F71+P71+Q71+S71)=1,"1.00",(G71+P71+Q71)/(F71+P71+Q71+S71)),0)</f>
        <v>0</v>
      </c>
      <c r="N71" s="11">
        <f t="shared" ref="N71:N134" si="18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327</v>
      </c>
    </row>
    <row r="72" spans="2:24" ht="13.8" x14ac:dyDescent="0.2">
      <c r="B72" s="8">
        <f t="shared" si="14"/>
        <v>67</v>
      </c>
      <c r="C72" s="10">
        <v>67</v>
      </c>
      <c r="D72" s="13" t="s">
        <v>1217</v>
      </c>
      <c r="E72" s="11" t="str">
        <f t="shared" si="15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6"/>
        <v>0</v>
      </c>
      <c r="L72" s="7">
        <v>0</v>
      </c>
      <c r="M72" s="11">
        <f t="shared" si="17"/>
        <v>0</v>
      </c>
      <c r="N72" s="11">
        <f t="shared" si="1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1218</v>
      </c>
    </row>
    <row r="73" spans="2:24" ht="13.8" x14ac:dyDescent="0.2">
      <c r="B73" s="8">
        <f t="shared" si="14"/>
        <v>68</v>
      </c>
      <c r="C73" s="10">
        <v>68</v>
      </c>
      <c r="D73" s="13" t="s">
        <v>1014</v>
      </c>
      <c r="E73" s="11" t="str">
        <f t="shared" si="15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6"/>
        <v>0</v>
      </c>
      <c r="L73" s="7">
        <v>0</v>
      </c>
      <c r="M73" s="11">
        <f t="shared" si="17"/>
        <v>0</v>
      </c>
      <c r="N73" s="11">
        <f t="shared" si="1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1030</v>
      </c>
    </row>
    <row r="74" spans="2:24" ht="13.8" x14ac:dyDescent="0.2">
      <c r="B74" s="8">
        <f t="shared" si="14"/>
        <v>69</v>
      </c>
      <c r="C74" s="10">
        <v>69</v>
      </c>
      <c r="D74" s="13" t="s">
        <v>1015</v>
      </c>
      <c r="E74" s="11" t="str">
        <f t="shared" si="15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6"/>
        <v>0</v>
      </c>
      <c r="L74" s="7">
        <v>0</v>
      </c>
      <c r="M74" s="11">
        <f t="shared" si="17"/>
        <v>0</v>
      </c>
      <c r="N74" s="11">
        <f t="shared" si="1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271</v>
      </c>
    </row>
    <row r="75" spans="2:24" ht="13.8" x14ac:dyDescent="0.2">
      <c r="B75" s="8">
        <f t="shared" si="14"/>
        <v>70</v>
      </c>
      <c r="C75" s="10">
        <v>70</v>
      </c>
      <c r="D75" s="13" t="s">
        <v>1284</v>
      </c>
      <c r="E75" s="11" t="str">
        <f t="shared" si="15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6"/>
        <v>0</v>
      </c>
      <c r="L75" s="7">
        <v>0</v>
      </c>
      <c r="M75" s="11">
        <f t="shared" si="17"/>
        <v>0</v>
      </c>
      <c r="N75" s="11">
        <f t="shared" si="1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2042</v>
      </c>
    </row>
    <row r="76" spans="2:24" ht="13.8" x14ac:dyDescent="0.2">
      <c r="B76" s="8">
        <f t="shared" si="14"/>
        <v>71</v>
      </c>
      <c r="C76" s="10">
        <v>71</v>
      </c>
      <c r="D76" s="13"/>
      <c r="E76" s="11" t="str">
        <f t="shared" si="15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6"/>
        <v>0</v>
      </c>
      <c r="L76" s="7">
        <v>0</v>
      </c>
      <c r="M76" s="11">
        <f t="shared" si="17"/>
        <v>0</v>
      </c>
      <c r="N76" s="11">
        <f t="shared" si="1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4"/>
        <v>72</v>
      </c>
      <c r="C77" s="10">
        <v>72</v>
      </c>
      <c r="D77" s="13"/>
      <c r="E77" s="11" t="str">
        <f t="shared" si="15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6"/>
        <v>0</v>
      </c>
      <c r="L77" s="7">
        <v>0</v>
      </c>
      <c r="M77" s="11">
        <f t="shared" si="17"/>
        <v>0</v>
      </c>
      <c r="N77" s="11">
        <f t="shared" si="1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4"/>
        <v>73</v>
      </c>
      <c r="C78" s="10">
        <v>73</v>
      </c>
      <c r="D78" s="13"/>
      <c r="E78" s="11" t="str">
        <f t="shared" si="15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6"/>
        <v>0</v>
      </c>
      <c r="L78" s="7">
        <v>0</v>
      </c>
      <c r="M78" s="11">
        <f t="shared" si="17"/>
        <v>0</v>
      </c>
      <c r="N78" s="11">
        <f t="shared" si="1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4"/>
        <v>74</v>
      </c>
      <c r="C79" s="10">
        <v>74</v>
      </c>
      <c r="D79" s="13"/>
      <c r="E79" s="11" t="str">
        <f t="shared" si="15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6"/>
        <v>0</v>
      </c>
      <c r="L79" s="7">
        <v>0</v>
      </c>
      <c r="M79" s="11">
        <f t="shared" si="17"/>
        <v>0</v>
      </c>
      <c r="N79" s="11">
        <f t="shared" si="1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4"/>
        <v>75</v>
      </c>
      <c r="C80" s="10">
        <v>75</v>
      </c>
      <c r="D80" s="13"/>
      <c r="E80" s="11" t="str">
        <f t="shared" si="15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6"/>
        <v>0</v>
      </c>
      <c r="L80" s="7">
        <v>0</v>
      </c>
      <c r="M80" s="11">
        <f t="shared" si="17"/>
        <v>0</v>
      </c>
      <c r="N80" s="11">
        <f t="shared" si="1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4"/>
        <v>76</v>
      </c>
      <c r="C81" s="10">
        <v>76</v>
      </c>
      <c r="D81" s="13"/>
      <c r="E81" s="11" t="str">
        <f t="shared" si="15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6"/>
        <v>0</v>
      </c>
      <c r="L81" s="7">
        <v>0</v>
      </c>
      <c r="M81" s="11">
        <f t="shared" si="17"/>
        <v>0</v>
      </c>
      <c r="N81" s="11">
        <f t="shared" si="1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4"/>
        <v>77</v>
      </c>
      <c r="C82" s="10">
        <v>77</v>
      </c>
      <c r="D82" s="13"/>
      <c r="E82" s="11" t="str">
        <f t="shared" si="15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6"/>
        <v>0</v>
      </c>
      <c r="L82" s="7">
        <v>0</v>
      </c>
      <c r="M82" s="11">
        <f t="shared" si="17"/>
        <v>0</v>
      </c>
      <c r="N82" s="11">
        <f t="shared" si="1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4"/>
        <v>78</v>
      </c>
      <c r="C83" s="10">
        <v>78</v>
      </c>
      <c r="D83" s="13"/>
      <c r="E83" s="11" t="str">
        <f t="shared" si="15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6"/>
        <v>0</v>
      </c>
      <c r="L83" s="7">
        <v>0</v>
      </c>
      <c r="M83" s="11">
        <f t="shared" si="17"/>
        <v>0</v>
      </c>
      <c r="N83" s="11">
        <f t="shared" si="1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4"/>
        <v>79</v>
      </c>
      <c r="C84" s="10">
        <v>79</v>
      </c>
      <c r="D84" s="13"/>
      <c r="E84" s="11" t="str">
        <f t="shared" si="15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6"/>
        <v>0</v>
      </c>
      <c r="L84" s="7">
        <v>0</v>
      </c>
      <c r="M84" s="11">
        <f t="shared" si="17"/>
        <v>0</v>
      </c>
      <c r="N84" s="11">
        <f t="shared" si="1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4"/>
        <v>80</v>
      </c>
      <c r="C85" s="10">
        <v>80</v>
      </c>
      <c r="D85" s="13"/>
      <c r="E85" s="11" t="str">
        <f t="shared" si="15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6"/>
        <v>0</v>
      </c>
      <c r="L85" s="7">
        <v>0</v>
      </c>
      <c r="M85" s="11">
        <f t="shared" si="17"/>
        <v>0</v>
      </c>
      <c r="N85" s="11">
        <f t="shared" si="1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4"/>
        <v>81</v>
      </c>
      <c r="C86" s="10">
        <v>81</v>
      </c>
      <c r="D86" s="13"/>
      <c r="E86" s="11" t="str">
        <f t="shared" si="15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6"/>
        <v>0</v>
      </c>
      <c r="L86" s="7">
        <v>0</v>
      </c>
      <c r="M86" s="11">
        <f t="shared" si="17"/>
        <v>0</v>
      </c>
      <c r="N86" s="11">
        <f t="shared" si="1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4"/>
        <v>82</v>
      </c>
      <c r="C87" s="10">
        <v>82</v>
      </c>
      <c r="D87" s="13"/>
      <c r="E87" s="11" t="str">
        <f t="shared" si="15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6"/>
        <v>0</v>
      </c>
      <c r="L87" s="7">
        <v>0</v>
      </c>
      <c r="M87" s="11">
        <f t="shared" si="17"/>
        <v>0</v>
      </c>
      <c r="N87" s="11">
        <f t="shared" si="1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4"/>
        <v>83</v>
      </c>
      <c r="C88" s="10">
        <v>83</v>
      </c>
      <c r="D88" s="13"/>
      <c r="E88" s="11" t="str">
        <f t="shared" si="15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6"/>
        <v>0</v>
      </c>
      <c r="L88" s="7">
        <v>0</v>
      </c>
      <c r="M88" s="11">
        <f t="shared" si="17"/>
        <v>0</v>
      </c>
      <c r="N88" s="11">
        <f t="shared" si="1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4"/>
        <v>84</v>
      </c>
      <c r="C89" s="10">
        <v>84</v>
      </c>
      <c r="D89" s="13"/>
      <c r="E89" s="11" t="str">
        <f t="shared" si="15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6"/>
        <v>0</v>
      </c>
      <c r="L89" s="7">
        <v>0</v>
      </c>
      <c r="M89" s="11">
        <f t="shared" si="17"/>
        <v>0</v>
      </c>
      <c r="N89" s="11">
        <f t="shared" si="1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4"/>
        <v>85</v>
      </c>
      <c r="C90" s="10">
        <v>85</v>
      </c>
      <c r="D90" s="13"/>
      <c r="E90" s="11" t="str">
        <f t="shared" si="15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6"/>
        <v>0</v>
      </c>
      <c r="L90" s="7">
        <v>0</v>
      </c>
      <c r="M90" s="11">
        <f t="shared" si="17"/>
        <v>0</v>
      </c>
      <c r="N90" s="11">
        <f t="shared" si="1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4"/>
        <v>86</v>
      </c>
      <c r="C91" s="10">
        <v>86</v>
      </c>
      <c r="D91" s="13"/>
      <c r="E91" s="11" t="str">
        <f t="shared" si="15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6"/>
        <v>0</v>
      </c>
      <c r="L91" s="7">
        <v>0</v>
      </c>
      <c r="M91" s="11">
        <f t="shared" si="17"/>
        <v>0</v>
      </c>
      <c r="N91" s="11">
        <f t="shared" si="1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4"/>
        <v>87</v>
      </c>
      <c r="C92" s="10">
        <v>87</v>
      </c>
      <c r="D92" s="13"/>
      <c r="E92" s="11" t="str">
        <f t="shared" si="15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6"/>
        <v>0</v>
      </c>
      <c r="L92" s="7">
        <v>0</v>
      </c>
      <c r="M92" s="11">
        <f t="shared" si="17"/>
        <v>0</v>
      </c>
      <c r="N92" s="11">
        <f t="shared" si="1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4"/>
        <v>88</v>
      </c>
      <c r="C93" s="10">
        <v>88</v>
      </c>
      <c r="D93" s="13"/>
      <c r="E93" s="11" t="str">
        <f t="shared" si="15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6"/>
        <v>0</v>
      </c>
      <c r="L93" s="7">
        <v>0</v>
      </c>
      <c r="M93" s="11">
        <f t="shared" si="17"/>
        <v>0</v>
      </c>
      <c r="N93" s="11">
        <f t="shared" si="1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4"/>
        <v>89</v>
      </c>
      <c r="C94" s="10">
        <v>89</v>
      </c>
      <c r="D94" s="13"/>
      <c r="E94" s="11" t="str">
        <f t="shared" si="15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6"/>
        <v>0</v>
      </c>
      <c r="L94" s="7">
        <v>0</v>
      </c>
      <c r="M94" s="11">
        <f t="shared" si="17"/>
        <v>0</v>
      </c>
      <c r="N94" s="11">
        <f t="shared" si="1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4"/>
        <v>90</v>
      </c>
      <c r="C95" s="10">
        <v>90</v>
      </c>
      <c r="D95" s="13"/>
      <c r="E95" s="11" t="str">
        <f t="shared" si="15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6"/>
        <v>0</v>
      </c>
      <c r="L95" s="7">
        <v>0</v>
      </c>
      <c r="M95" s="11">
        <f t="shared" si="17"/>
        <v>0</v>
      </c>
      <c r="N95" s="11">
        <f t="shared" si="1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4"/>
        <v>91</v>
      </c>
      <c r="C96" s="10">
        <v>91</v>
      </c>
      <c r="D96" s="13"/>
      <c r="E96" s="11" t="str">
        <f t="shared" si="15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6"/>
        <v>0</v>
      </c>
      <c r="L96" s="7">
        <v>0</v>
      </c>
      <c r="M96" s="11">
        <f t="shared" si="17"/>
        <v>0</v>
      </c>
      <c r="N96" s="11">
        <f t="shared" si="1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4"/>
        <v>92</v>
      </c>
      <c r="C97" s="10">
        <v>92</v>
      </c>
      <c r="D97" s="13"/>
      <c r="E97" s="11" t="str">
        <f t="shared" si="15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6"/>
        <v>0</v>
      </c>
      <c r="L97" s="7">
        <v>0</v>
      </c>
      <c r="M97" s="11">
        <f t="shared" si="17"/>
        <v>0</v>
      </c>
      <c r="N97" s="11">
        <f t="shared" si="1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4"/>
        <v>93</v>
      </c>
      <c r="C98" s="10">
        <v>93</v>
      </c>
      <c r="D98" s="13"/>
      <c r="E98" s="11" t="str">
        <f t="shared" si="15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6"/>
        <v>0</v>
      </c>
      <c r="L98" s="7">
        <v>0</v>
      </c>
      <c r="M98" s="11">
        <f t="shared" si="17"/>
        <v>0</v>
      </c>
      <c r="N98" s="11">
        <f t="shared" si="1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4"/>
        <v>94</v>
      </c>
      <c r="C99" s="10">
        <v>94</v>
      </c>
      <c r="D99" s="13"/>
      <c r="E99" s="11" t="str">
        <f t="shared" si="15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6"/>
        <v>0</v>
      </c>
      <c r="L99" s="7">
        <v>0</v>
      </c>
      <c r="M99" s="11">
        <f t="shared" si="17"/>
        <v>0</v>
      </c>
      <c r="N99" s="11">
        <f t="shared" si="1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4"/>
        <v>95</v>
      </c>
      <c r="C100" s="10">
        <v>95</v>
      </c>
      <c r="D100" s="13" t="s">
        <v>1016</v>
      </c>
      <c r="E100" s="11" t="str">
        <f t="shared" si="15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6"/>
        <v>0</v>
      </c>
      <c r="L100" s="7">
        <v>0</v>
      </c>
      <c r="M100" s="11">
        <f t="shared" si="17"/>
        <v>0</v>
      </c>
      <c r="N100" s="11">
        <f t="shared" si="1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1031</v>
      </c>
    </row>
    <row r="101" spans="2:24" ht="13.8" x14ac:dyDescent="0.2">
      <c r="B101" s="8">
        <f t="shared" si="14"/>
        <v>96</v>
      </c>
      <c r="C101" s="10">
        <v>96</v>
      </c>
      <c r="D101" s="13" t="s">
        <v>1017</v>
      </c>
      <c r="E101" s="11" t="str">
        <f t="shared" si="15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6"/>
        <v>0</v>
      </c>
      <c r="L101" s="7">
        <v>0</v>
      </c>
      <c r="M101" s="11">
        <f t="shared" si="17"/>
        <v>0</v>
      </c>
      <c r="N101" s="11">
        <f t="shared" si="1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297</v>
      </c>
    </row>
    <row r="102" spans="2:24" ht="13.8" x14ac:dyDescent="0.2">
      <c r="B102" s="8">
        <f t="shared" si="14"/>
        <v>97</v>
      </c>
      <c r="C102" s="10">
        <v>97</v>
      </c>
      <c r="D102" s="13" t="s">
        <v>910</v>
      </c>
      <c r="E102" s="11" t="str">
        <f t="shared" si="15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6"/>
        <v>0</v>
      </c>
      <c r="L102" s="7">
        <v>0</v>
      </c>
      <c r="M102" s="11">
        <f t="shared" si="17"/>
        <v>0</v>
      </c>
      <c r="N102" s="11">
        <f t="shared" si="1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921</v>
      </c>
    </row>
    <row r="103" spans="2:24" ht="13.8" x14ac:dyDescent="0.2">
      <c r="B103" s="8">
        <f t="shared" si="14"/>
        <v>98</v>
      </c>
      <c r="C103" s="10">
        <v>98</v>
      </c>
      <c r="D103" s="13" t="s">
        <v>670</v>
      </c>
      <c r="E103" s="11" t="str">
        <f t="shared" si="15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6"/>
        <v>0</v>
      </c>
      <c r="L103" s="7">
        <v>0</v>
      </c>
      <c r="M103" s="11">
        <f t="shared" si="17"/>
        <v>0</v>
      </c>
      <c r="N103" s="11">
        <f t="shared" si="1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1032</v>
      </c>
    </row>
    <row r="104" spans="2:24" ht="13.8" x14ac:dyDescent="0.2">
      <c r="B104" s="8">
        <f t="shared" si="14"/>
        <v>99</v>
      </c>
      <c r="C104" s="10">
        <v>99</v>
      </c>
      <c r="D104" s="13" t="s">
        <v>671</v>
      </c>
      <c r="E104" s="11" t="str">
        <f t="shared" si="15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6"/>
        <v>0</v>
      </c>
      <c r="L104" s="7">
        <v>0</v>
      </c>
      <c r="M104" s="11">
        <f t="shared" si="17"/>
        <v>0</v>
      </c>
      <c r="N104" s="11">
        <f t="shared" si="1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311</v>
      </c>
    </row>
    <row r="105" spans="2:24" ht="13.8" x14ac:dyDescent="0.2">
      <c r="B105" s="8">
        <f t="shared" si="14"/>
        <v>120</v>
      </c>
      <c r="C105" s="10">
        <v>120</v>
      </c>
      <c r="D105" s="23" t="s">
        <v>1018</v>
      </c>
      <c r="E105" s="11" t="str">
        <f t="shared" si="15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6"/>
        <v>0</v>
      </c>
      <c r="L105" s="7">
        <v>0</v>
      </c>
      <c r="M105" s="11">
        <f t="shared" si="17"/>
        <v>0</v>
      </c>
      <c r="N105" s="11">
        <f t="shared" si="1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1033</v>
      </c>
    </row>
    <row r="106" spans="2:24" ht="13.8" x14ac:dyDescent="0.2">
      <c r="B106" s="8">
        <f t="shared" si="14"/>
        <v>121</v>
      </c>
      <c r="C106" s="10">
        <v>121</v>
      </c>
      <c r="D106" s="13" t="s">
        <v>911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6"/>
        <v>0</v>
      </c>
      <c r="L106" s="7">
        <v>0</v>
      </c>
      <c r="M106" s="11">
        <f t="shared" si="17"/>
        <v>0</v>
      </c>
      <c r="N106" s="11">
        <f t="shared" si="1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922</v>
      </c>
    </row>
    <row r="107" spans="2:24" ht="13.8" x14ac:dyDescent="0.2">
      <c r="B107" s="8">
        <f t="shared" si="14"/>
        <v>122</v>
      </c>
      <c r="C107" s="10">
        <v>122</v>
      </c>
      <c r="D107" s="13" t="s">
        <v>672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6"/>
        <v>0</v>
      </c>
      <c r="L107" s="7">
        <v>0</v>
      </c>
      <c r="M107" s="11">
        <f t="shared" si="17"/>
        <v>0</v>
      </c>
      <c r="N107" s="11">
        <f t="shared" si="1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682</v>
      </c>
    </row>
    <row r="108" spans="2:24" ht="13.8" x14ac:dyDescent="0.2">
      <c r="B108" s="8">
        <f t="shared" si="14"/>
        <v>123</v>
      </c>
      <c r="C108" s="10">
        <v>123</v>
      </c>
      <c r="D108" s="13" t="s">
        <v>1466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6"/>
        <v>0</v>
      </c>
      <c r="L108" s="7">
        <v>0</v>
      </c>
      <c r="M108" s="11">
        <f t="shared" si="17"/>
        <v>0</v>
      </c>
      <c r="N108" s="11">
        <f t="shared" si="1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316</v>
      </c>
    </row>
    <row r="109" spans="2:24" ht="13.8" x14ac:dyDescent="0.2">
      <c r="B109" s="8">
        <f t="shared" si="14"/>
        <v>124</v>
      </c>
      <c r="C109" s="10">
        <v>124</v>
      </c>
      <c r="D109" s="13" t="s">
        <v>1019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6"/>
        <v>0</v>
      </c>
      <c r="L109" s="7">
        <v>0</v>
      </c>
      <c r="M109" s="11">
        <f t="shared" si="17"/>
        <v>0</v>
      </c>
      <c r="N109" s="11">
        <f t="shared" si="1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1034</v>
      </c>
    </row>
    <row r="110" spans="2:24" ht="13.8" x14ac:dyDescent="0.2">
      <c r="B110" s="8">
        <f t="shared" si="14"/>
        <v>125</v>
      </c>
      <c r="C110" s="10">
        <v>125</v>
      </c>
      <c r="D110" s="13" t="s">
        <v>912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6"/>
        <v>0</v>
      </c>
      <c r="L110" s="7">
        <v>0</v>
      </c>
      <c r="M110" s="11">
        <f t="shared" si="17"/>
        <v>0</v>
      </c>
      <c r="N110" s="11">
        <f t="shared" si="1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923</v>
      </c>
    </row>
    <row r="111" spans="2:24" ht="13.8" x14ac:dyDescent="0.2">
      <c r="B111" s="8">
        <f t="shared" si="14"/>
        <v>126</v>
      </c>
      <c r="C111" s="10">
        <v>126</v>
      </c>
      <c r="D111" s="13" t="s">
        <v>674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6"/>
        <v>0</v>
      </c>
      <c r="L111" s="7">
        <v>0</v>
      </c>
      <c r="M111" s="11">
        <f t="shared" si="17"/>
        <v>0</v>
      </c>
      <c r="N111" s="11">
        <f t="shared" si="1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683</v>
      </c>
    </row>
    <row r="112" spans="2:24" ht="13.8" x14ac:dyDescent="0.2">
      <c r="B112" s="8">
        <f t="shared" si="14"/>
        <v>127</v>
      </c>
      <c r="C112" s="10">
        <v>127</v>
      </c>
      <c r="D112" s="13" t="s">
        <v>653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6"/>
        <v>0</v>
      </c>
      <c r="L112" s="7">
        <v>0</v>
      </c>
      <c r="M112" s="11">
        <f t="shared" si="17"/>
        <v>0</v>
      </c>
      <c r="N112" s="11">
        <f t="shared" si="1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684</v>
      </c>
    </row>
    <row r="113" spans="2:24" ht="13.8" x14ac:dyDescent="0.2">
      <c r="B113" s="8">
        <f t="shared" si="14"/>
        <v>128</v>
      </c>
      <c r="C113" s="10">
        <v>128</v>
      </c>
      <c r="D113" s="13" t="s">
        <v>1020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6"/>
        <v>0</v>
      </c>
      <c r="L113" s="7">
        <v>0</v>
      </c>
      <c r="M113" s="11">
        <f t="shared" si="17"/>
        <v>0</v>
      </c>
      <c r="N113" s="11">
        <f t="shared" si="1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1035</v>
      </c>
    </row>
    <row r="114" spans="2:24" ht="13.8" x14ac:dyDescent="0.2">
      <c r="B114" s="8">
        <f t="shared" si="14"/>
        <v>129</v>
      </c>
      <c r="C114" s="10">
        <v>129</v>
      </c>
      <c r="D114" s="9" t="s">
        <v>2043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6"/>
        <v>0</v>
      </c>
      <c r="L114" s="7">
        <v>0</v>
      </c>
      <c r="M114" s="11">
        <f t="shared" si="17"/>
        <v>0</v>
      </c>
      <c r="N114" s="11">
        <f t="shared" si="1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2044</v>
      </c>
    </row>
    <row r="115" spans="2:24" ht="13.8" x14ac:dyDescent="0.2">
      <c r="B115" s="8">
        <f t="shared" si="14"/>
        <v>130</v>
      </c>
      <c r="C115" s="10">
        <v>130</v>
      </c>
      <c r="D115" s="9" t="s">
        <v>2045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6"/>
        <v>0</v>
      </c>
      <c r="L115" s="7">
        <v>0</v>
      </c>
      <c r="M115" s="11">
        <f t="shared" si="17"/>
        <v>0</v>
      </c>
      <c r="N115" s="11">
        <f t="shared" si="1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2047</v>
      </c>
    </row>
    <row r="116" spans="2:24" ht="13.8" x14ac:dyDescent="0.2">
      <c r="B116" s="8">
        <f t="shared" si="14"/>
        <v>131</v>
      </c>
      <c r="C116" s="10">
        <v>131</v>
      </c>
      <c r="D116" s="9" t="s">
        <v>2046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6"/>
        <v>0</v>
      </c>
      <c r="L116" s="7">
        <v>0</v>
      </c>
      <c r="M116" s="11">
        <f t="shared" si="17"/>
        <v>0</v>
      </c>
      <c r="N116" s="11">
        <f t="shared" si="1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2048</v>
      </c>
    </row>
    <row r="117" spans="2:24" ht="13.8" x14ac:dyDescent="0.2">
      <c r="B117" s="8" t="str">
        <f t="shared" si="14"/>
        <v/>
      </c>
      <c r="C117" s="10"/>
      <c r="D117" s="8"/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6"/>
        <v>0</v>
      </c>
      <c r="L117" s="7">
        <v>0</v>
      </c>
      <c r="M117" s="11">
        <f t="shared" si="17"/>
        <v>0</v>
      </c>
      <c r="N117" s="11">
        <f t="shared" si="1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4"/>
        <v/>
      </c>
      <c r="C118" s="10"/>
      <c r="D118" s="8"/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6"/>
        <v>0</v>
      </c>
      <c r="L118" s="7">
        <v>0</v>
      </c>
      <c r="M118" s="11">
        <f t="shared" si="17"/>
        <v>0</v>
      </c>
      <c r="N118" s="11">
        <f t="shared" si="1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4"/>
        <v/>
      </c>
      <c r="C119" s="10"/>
      <c r="D119" s="8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6"/>
        <v>0</v>
      </c>
      <c r="L119" s="7">
        <v>0</v>
      </c>
      <c r="M119" s="11">
        <f t="shared" si="17"/>
        <v>0</v>
      </c>
      <c r="N119" s="11">
        <f t="shared" si="1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4"/>
        <v/>
      </c>
      <c r="C120" s="10"/>
      <c r="D120" s="8"/>
      <c r="E120" s="11" t="str">
        <f t="shared" si="15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6"/>
        <v>0</v>
      </c>
      <c r="L120" s="7">
        <v>0</v>
      </c>
      <c r="M120" s="11">
        <f t="shared" si="17"/>
        <v>0</v>
      </c>
      <c r="N120" s="11">
        <f t="shared" si="1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4"/>
        <v/>
      </c>
      <c r="C121" s="10"/>
      <c r="D121" s="8"/>
      <c r="E121" s="11" t="str">
        <f t="shared" si="15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6"/>
        <v>0</v>
      </c>
      <c r="L121" s="7">
        <v>0</v>
      </c>
      <c r="M121" s="11">
        <f t="shared" si="17"/>
        <v>0</v>
      </c>
      <c r="N121" s="11">
        <f t="shared" si="1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4"/>
        <v/>
      </c>
      <c r="C122" s="10"/>
      <c r="D122" s="8"/>
      <c r="E122" s="11" t="str">
        <f t="shared" si="15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6"/>
        <v>0</v>
      </c>
      <c r="L122" s="7">
        <v>0</v>
      </c>
      <c r="M122" s="11">
        <f t="shared" si="17"/>
        <v>0</v>
      </c>
      <c r="N122" s="11">
        <f t="shared" si="1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4"/>
        <v/>
      </c>
      <c r="C123" s="10"/>
      <c r="D123" s="8"/>
      <c r="E123" s="11" t="str">
        <f t="shared" si="15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6"/>
        <v>0</v>
      </c>
      <c r="L123" s="7">
        <v>0</v>
      </c>
      <c r="M123" s="11">
        <f t="shared" si="17"/>
        <v>0</v>
      </c>
      <c r="N123" s="11">
        <f t="shared" si="1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4"/>
        <v/>
      </c>
      <c r="C124" s="10"/>
      <c r="D124" s="8"/>
      <c r="E124" s="11" t="str">
        <f t="shared" si="15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6"/>
        <v>0</v>
      </c>
      <c r="L124" s="7">
        <v>0</v>
      </c>
      <c r="M124" s="11">
        <f t="shared" si="17"/>
        <v>0</v>
      </c>
      <c r="N124" s="11">
        <f t="shared" si="1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4"/>
        <v/>
      </c>
      <c r="C125" s="10"/>
      <c r="D125" s="8"/>
      <c r="E125" s="11" t="str">
        <f t="shared" si="15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6"/>
        <v>0</v>
      </c>
      <c r="L125" s="7">
        <v>0</v>
      </c>
      <c r="M125" s="11">
        <f t="shared" si="17"/>
        <v>0</v>
      </c>
      <c r="N125" s="11">
        <f t="shared" si="1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4"/>
        <v/>
      </c>
      <c r="C126" s="10"/>
      <c r="D126" s="8"/>
      <c r="E126" s="11" t="str">
        <f t="shared" si="15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6"/>
        <v>0</v>
      </c>
      <c r="L126" s="7">
        <v>0</v>
      </c>
      <c r="M126" s="11">
        <f t="shared" si="17"/>
        <v>0</v>
      </c>
      <c r="N126" s="11">
        <f t="shared" si="1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4"/>
        <v/>
      </c>
      <c r="C127" s="10"/>
      <c r="D127" s="8"/>
      <c r="E127" s="11" t="str">
        <f t="shared" si="15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6"/>
        <v>0</v>
      </c>
      <c r="L127" s="7">
        <v>0</v>
      </c>
      <c r="M127" s="11">
        <f t="shared" si="17"/>
        <v>0</v>
      </c>
      <c r="N127" s="11">
        <f t="shared" si="1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4"/>
        <v/>
      </c>
      <c r="C128" s="10"/>
      <c r="D128" s="8"/>
      <c r="E128" s="11" t="str">
        <f t="shared" si="15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6"/>
        <v>0</v>
      </c>
      <c r="L128" s="7">
        <v>0</v>
      </c>
      <c r="M128" s="11">
        <f t="shared" si="17"/>
        <v>0</v>
      </c>
      <c r="N128" s="11">
        <f t="shared" si="1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4"/>
        <v/>
      </c>
      <c r="C129" s="10"/>
      <c r="D129" s="8"/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6"/>
        <v>0</v>
      </c>
      <c r="L129" s="7">
        <v>0</v>
      </c>
      <c r="M129" s="11">
        <f t="shared" si="17"/>
        <v>0</v>
      </c>
      <c r="N129" s="11">
        <f t="shared" si="1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4"/>
        <v/>
      </c>
      <c r="C130" s="10"/>
      <c r="D130" s="8"/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6"/>
        <v>0</v>
      </c>
      <c r="L130" s="7">
        <v>0</v>
      </c>
      <c r="M130" s="11">
        <f t="shared" si="17"/>
        <v>0</v>
      </c>
      <c r="N130" s="11">
        <f t="shared" si="1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4"/>
        <v/>
      </c>
      <c r="C131" s="10"/>
      <c r="D131" s="8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6"/>
        <v>0</v>
      </c>
      <c r="L131" s="7">
        <v>0</v>
      </c>
      <c r="M131" s="11">
        <f t="shared" si="17"/>
        <v>0</v>
      </c>
      <c r="N131" s="11">
        <f t="shared" si="1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4"/>
        <v/>
      </c>
      <c r="C132" s="10"/>
      <c r="D132" s="8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6"/>
        <v>0</v>
      </c>
      <c r="L132" s="7">
        <v>0</v>
      </c>
      <c r="M132" s="11">
        <f t="shared" si="17"/>
        <v>0</v>
      </c>
      <c r="N132" s="11">
        <f t="shared" si="18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9">IF(C133="","",C133)</f>
        <v/>
      </c>
      <c r="C133" s="10"/>
      <c r="D133" s="8"/>
      <c r="E133" s="11" t="str">
        <f t="shared" ref="E133:E134" si="2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6"/>
        <v>0</v>
      </c>
      <c r="L133" s="7">
        <v>0</v>
      </c>
      <c r="M133" s="11">
        <f t="shared" si="17"/>
        <v>0</v>
      </c>
      <c r="N133" s="11">
        <f t="shared" si="18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9"/>
        <v/>
      </c>
      <c r="C134" s="10"/>
      <c r="D134" s="8"/>
      <c r="E134" s="11" t="str">
        <f t="shared" si="2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6"/>
        <v>0</v>
      </c>
      <c r="L134" s="7">
        <v>0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1041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41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1042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1043</v>
      </c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1044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1045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1046</v>
      </c>
    </row>
    <row r="11" spans="2:24" ht="13.8" x14ac:dyDescent="0.2">
      <c r="B11" s="8">
        <f t="shared" si="5"/>
        <v>6</v>
      </c>
      <c r="C11" s="10">
        <v>6</v>
      </c>
      <c r="D11" s="13" t="s">
        <v>1742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1047</v>
      </c>
    </row>
    <row r="12" spans="2:24" ht="13.8" x14ac:dyDescent="0.2">
      <c r="B12" s="8">
        <f t="shared" si="5"/>
        <v>7</v>
      </c>
      <c r="C12" s="10">
        <v>7</v>
      </c>
      <c r="D12" s="13" t="s">
        <v>1048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1049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1050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177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1051</v>
      </c>
    </row>
    <row r="17" spans="2:24" ht="13.8" x14ac:dyDescent="0.2">
      <c r="B17" s="8">
        <f t="shared" si="5"/>
        <v>12</v>
      </c>
      <c r="C17" s="10">
        <v>12</v>
      </c>
      <c r="D17" s="13" t="s">
        <v>1052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1053</v>
      </c>
    </row>
    <row r="18" spans="2:24" ht="13.8" x14ac:dyDescent="0.2">
      <c r="B18" s="8">
        <f t="shared" si="5"/>
        <v>13</v>
      </c>
      <c r="C18" s="10">
        <v>13</v>
      </c>
      <c r="D18" s="13" t="s">
        <v>174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1054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1055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1055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1178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1056</v>
      </c>
    </row>
    <row r="23" spans="2:24" ht="13.8" x14ac:dyDescent="0.2">
      <c r="B23" s="8">
        <f t="shared" si="5"/>
        <v>18</v>
      </c>
      <c r="C23" s="10">
        <v>18</v>
      </c>
      <c r="D23" s="13" t="s">
        <v>1769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1057</v>
      </c>
    </row>
    <row r="24" spans="2:24" ht="13.8" x14ac:dyDescent="0.2">
      <c r="B24" s="8">
        <f t="shared" si="5"/>
        <v>19</v>
      </c>
      <c r="C24" s="10">
        <v>19</v>
      </c>
      <c r="D24" s="13" t="s">
        <v>2049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2050</v>
      </c>
    </row>
    <row r="25" spans="2:24" ht="13.8" x14ac:dyDescent="0.2">
      <c r="B25" s="8">
        <f t="shared" si="5"/>
        <v>20</v>
      </c>
      <c r="C25" s="10">
        <v>20</v>
      </c>
      <c r="D25" s="13" t="s">
        <v>175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1058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1568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1059</v>
      </c>
    </row>
    <row r="28" spans="2:24" ht="13.8" x14ac:dyDescent="0.2">
      <c r="B28" s="8">
        <f t="shared" si="5"/>
        <v>23</v>
      </c>
      <c r="C28" s="10">
        <v>23</v>
      </c>
      <c r="D28" s="13" t="s">
        <v>2015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2016</v>
      </c>
    </row>
    <row r="29" spans="2:24" ht="13.8" x14ac:dyDescent="0.2">
      <c r="B29" s="8">
        <f t="shared" si="5"/>
        <v>24</v>
      </c>
      <c r="C29" s="10">
        <v>24</v>
      </c>
      <c r="D29" s="13" t="s">
        <v>1553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1060</v>
      </c>
    </row>
    <row r="30" spans="2:24" ht="13.8" x14ac:dyDescent="0.2">
      <c r="B30" s="8">
        <f t="shared" si="5"/>
        <v>25</v>
      </c>
      <c r="C30" s="10">
        <v>25</v>
      </c>
      <c r="D30" s="13" t="s">
        <v>1061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1062</v>
      </c>
    </row>
    <row r="31" spans="2:24" ht="13.8" x14ac:dyDescent="0.2">
      <c r="B31" s="8">
        <f t="shared" si="5"/>
        <v>26</v>
      </c>
      <c r="C31" s="10">
        <v>26</v>
      </c>
      <c r="D31" s="13" t="s">
        <v>176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1063</v>
      </c>
    </row>
    <row r="32" spans="2:24" ht="13.8" x14ac:dyDescent="0.2">
      <c r="B32" s="8">
        <f t="shared" si="5"/>
        <v>27</v>
      </c>
      <c r="C32" s="10">
        <v>27</v>
      </c>
      <c r="D32" s="13" t="s">
        <v>1064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1065</v>
      </c>
    </row>
    <row r="33" spans="2:24" ht="13.8" x14ac:dyDescent="0.2">
      <c r="B33" s="8">
        <f t="shared" si="5"/>
        <v>28</v>
      </c>
      <c r="C33" s="10">
        <v>28</v>
      </c>
      <c r="D33" s="13" t="s">
        <v>1066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1067</v>
      </c>
    </row>
    <row r="34" spans="2:24" ht="13.8" x14ac:dyDescent="0.2">
      <c r="B34" s="8">
        <f t="shared" si="5"/>
        <v>29</v>
      </c>
      <c r="C34" s="10">
        <v>29</v>
      </c>
      <c r="D34" s="13" t="s">
        <v>1068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1925</v>
      </c>
    </row>
    <row r="35" spans="2:24" ht="13.8" x14ac:dyDescent="0.2">
      <c r="B35" s="8">
        <f t="shared" si="5"/>
        <v>30</v>
      </c>
      <c r="C35" s="10">
        <v>30</v>
      </c>
      <c r="D35" s="13" t="s">
        <v>1298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1256</v>
      </c>
    </row>
    <row r="36" spans="2:24" ht="13.8" x14ac:dyDescent="0.2">
      <c r="B36" s="8">
        <f t="shared" si="5"/>
        <v>31</v>
      </c>
      <c r="C36" s="10">
        <v>31</v>
      </c>
      <c r="D36" s="13" t="s">
        <v>1069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1070</v>
      </c>
    </row>
    <row r="37" spans="2:24" ht="13.8" x14ac:dyDescent="0.2">
      <c r="B37" s="8">
        <f t="shared" si="5"/>
        <v>32</v>
      </c>
      <c r="C37" s="10">
        <v>32</v>
      </c>
      <c r="D37" s="13" t="s">
        <v>1295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1071</v>
      </c>
    </row>
    <row r="38" spans="2:24" ht="13.8" x14ac:dyDescent="0.2">
      <c r="B38" s="8">
        <f t="shared" si="5"/>
        <v>33</v>
      </c>
      <c r="C38" s="10">
        <v>33</v>
      </c>
      <c r="D38" s="13" t="s">
        <v>1219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1926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1072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1073</v>
      </c>
    </row>
    <row r="41" spans="2:24" ht="13.8" x14ac:dyDescent="0.2">
      <c r="B41" s="8">
        <f t="shared" si="5"/>
        <v>36</v>
      </c>
      <c r="C41" s="10">
        <v>36</v>
      </c>
      <c r="D41" s="13" t="s">
        <v>1074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575</v>
      </c>
    </row>
    <row r="42" spans="2:24" ht="13.8" x14ac:dyDescent="0.2">
      <c r="B42" s="8">
        <f t="shared" si="5"/>
        <v>37</v>
      </c>
      <c r="C42" s="10">
        <v>37</v>
      </c>
      <c r="D42" s="13" t="s">
        <v>1075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1076</v>
      </c>
    </row>
    <row r="43" spans="2:24" ht="13.8" x14ac:dyDescent="0.2">
      <c r="B43" s="8">
        <f t="shared" si="5"/>
        <v>38</v>
      </c>
      <c r="C43" s="10">
        <v>38</v>
      </c>
      <c r="D43" s="13" t="s">
        <v>1466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1077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2024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1078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1079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1080</v>
      </c>
    </row>
    <row r="49" spans="2:24" ht="13.8" x14ac:dyDescent="0.2">
      <c r="B49" s="8">
        <f t="shared" si="5"/>
        <v>44</v>
      </c>
      <c r="C49" s="10">
        <v>44</v>
      </c>
      <c r="D49" s="13" t="s">
        <v>1321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1081</v>
      </c>
    </row>
    <row r="50" spans="2:24" ht="13.8" x14ac:dyDescent="0.2">
      <c r="B50" s="8">
        <f t="shared" si="5"/>
        <v>45</v>
      </c>
      <c r="C50" s="10">
        <v>45</v>
      </c>
      <c r="D50" s="13" t="s">
        <v>37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688</v>
      </c>
    </row>
    <row r="51" spans="2:24" ht="13.8" x14ac:dyDescent="0.2">
      <c r="B51" s="8">
        <f t="shared" si="5"/>
        <v>46</v>
      </c>
      <c r="C51" s="10">
        <v>46</v>
      </c>
      <c r="D51" s="13" t="s">
        <v>1082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1083</v>
      </c>
    </row>
    <row r="52" spans="2:24" ht="13.8" x14ac:dyDescent="0.2">
      <c r="B52" s="8">
        <f t="shared" si="5"/>
        <v>47</v>
      </c>
      <c r="C52" s="10">
        <v>47</v>
      </c>
      <c r="D52" s="13" t="s">
        <v>1084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1085</v>
      </c>
    </row>
    <row r="53" spans="2:24" ht="13.8" x14ac:dyDescent="0.2">
      <c r="B53" s="8">
        <f t="shared" si="5"/>
        <v>48</v>
      </c>
      <c r="C53" s="10">
        <v>48</v>
      </c>
      <c r="D53" s="13" t="s">
        <v>1086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1087</v>
      </c>
    </row>
    <row r="54" spans="2:24" ht="13.8" x14ac:dyDescent="0.2">
      <c r="B54" s="8">
        <f t="shared" si="5"/>
        <v>49</v>
      </c>
      <c r="C54" s="10">
        <v>49</v>
      </c>
      <c r="D54" s="13" t="s">
        <v>1088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1927</v>
      </c>
    </row>
    <row r="55" spans="2:24" ht="13.8" x14ac:dyDescent="0.2">
      <c r="B55" s="8">
        <f t="shared" si="5"/>
        <v>50</v>
      </c>
      <c r="C55" s="10">
        <v>50</v>
      </c>
      <c r="D55" s="13" t="s">
        <v>219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5"/>
        <v>51</v>
      </c>
      <c r="C56" s="10">
        <v>51</v>
      </c>
      <c r="D56" s="13" t="s">
        <v>1089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1090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43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1091</v>
      </c>
    </row>
    <row r="59" spans="2:24" ht="13.8" x14ac:dyDescent="0.2">
      <c r="B59" s="8">
        <f t="shared" si="5"/>
        <v>54</v>
      </c>
      <c r="C59" s="10">
        <v>54</v>
      </c>
      <c r="D59" s="13" t="s">
        <v>1092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1093</v>
      </c>
    </row>
    <row r="60" spans="2:24" ht="13.8" x14ac:dyDescent="0.2">
      <c r="B60" s="8">
        <f t="shared" si="5"/>
        <v>55</v>
      </c>
      <c r="C60" s="10">
        <v>55</v>
      </c>
      <c r="D60" s="13" t="s">
        <v>1094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1095</v>
      </c>
    </row>
    <row r="61" spans="2:24" ht="13.8" x14ac:dyDescent="0.2">
      <c r="B61" s="8">
        <f t="shared" si="5"/>
        <v>56</v>
      </c>
      <c r="C61" s="10">
        <v>56</v>
      </c>
      <c r="D61" s="13" t="s">
        <v>1096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1097</v>
      </c>
    </row>
    <row r="62" spans="2:24" ht="13.8" x14ac:dyDescent="0.2">
      <c r="B62" s="8">
        <f t="shared" si="5"/>
        <v>57</v>
      </c>
      <c r="C62" s="10">
        <v>57</v>
      </c>
      <c r="D62" s="13" t="s">
        <v>1098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1099</v>
      </c>
    </row>
    <row r="63" spans="2:24" ht="13.8" x14ac:dyDescent="0.2">
      <c r="B63" s="8">
        <f t="shared" si="5"/>
        <v>58</v>
      </c>
      <c r="C63" s="10">
        <v>58</v>
      </c>
      <c r="D63" s="13" t="s">
        <v>1100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1101</v>
      </c>
    </row>
    <row r="64" spans="2:24" ht="13.8" x14ac:dyDescent="0.2">
      <c r="B64" s="8">
        <f t="shared" si="5"/>
        <v>59</v>
      </c>
      <c r="C64" s="10">
        <v>59</v>
      </c>
      <c r="D64" s="13" t="s">
        <v>1405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1102</v>
      </c>
    </row>
    <row r="65" spans="2:24" ht="13.8" x14ac:dyDescent="0.2">
      <c r="B65" s="8">
        <f t="shared" si="5"/>
        <v>60</v>
      </c>
      <c r="C65" s="10">
        <v>60</v>
      </c>
      <c r="D65" s="13" t="s">
        <v>1471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1103</v>
      </c>
    </row>
    <row r="66" spans="2:24" ht="13.8" x14ac:dyDescent="0.2">
      <c r="B66" s="8">
        <f t="shared" si="5"/>
        <v>61</v>
      </c>
      <c r="C66" s="10">
        <v>61</v>
      </c>
      <c r="D66" s="13" t="s">
        <v>40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1104</v>
      </c>
    </row>
    <row r="67" spans="2:24" ht="13.8" x14ac:dyDescent="0.2">
      <c r="B67" s="8">
        <f t="shared" si="5"/>
        <v>62</v>
      </c>
      <c r="C67" s="10">
        <v>62</v>
      </c>
      <c r="D67" s="13" t="s">
        <v>39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1105</v>
      </c>
    </row>
    <row r="68" spans="2:24" ht="13.8" x14ac:dyDescent="0.2">
      <c r="B68" s="8">
        <f t="shared" si="5"/>
        <v>63</v>
      </c>
      <c r="C68" s="10">
        <v>63</v>
      </c>
      <c r="D68" s="13" t="s">
        <v>73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1832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1106</v>
      </c>
    </row>
    <row r="70" spans="2:24" ht="13.8" x14ac:dyDescent="0.2">
      <c r="B70" s="8">
        <f t="shared" si="10"/>
        <v>65</v>
      </c>
      <c r="C70" s="10">
        <v>65</v>
      </c>
      <c r="D70" s="13" t="s">
        <v>1107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1928</v>
      </c>
    </row>
    <row r="71" spans="2:24" ht="13.8" x14ac:dyDescent="0.2">
      <c r="B71" s="8">
        <f t="shared" si="10"/>
        <v>66</v>
      </c>
      <c r="C71" s="10">
        <v>66</v>
      </c>
      <c r="D71" s="13" t="s">
        <v>177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1051</v>
      </c>
    </row>
    <row r="72" spans="2:24" ht="13.8" x14ac:dyDescent="0.2">
      <c r="B72" s="8">
        <f t="shared" si="10"/>
        <v>67</v>
      </c>
      <c r="C72" s="10">
        <v>67</v>
      </c>
      <c r="D72" s="13" t="s">
        <v>1108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1109</v>
      </c>
    </row>
    <row r="73" spans="2:24" ht="13.8" x14ac:dyDescent="0.2">
      <c r="B73" s="8">
        <f t="shared" si="10"/>
        <v>68</v>
      </c>
      <c r="C73" s="10">
        <v>68</v>
      </c>
      <c r="D73" s="13" t="s">
        <v>1110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1111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1287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1112</v>
      </c>
    </row>
    <row r="96" spans="2:24" ht="13.8" x14ac:dyDescent="0.2">
      <c r="B96" s="8">
        <f t="shared" si="10"/>
        <v>91</v>
      </c>
      <c r="C96" s="10">
        <v>91</v>
      </c>
      <c r="D96" s="13" t="s">
        <v>1113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1114</v>
      </c>
    </row>
    <row r="97" spans="2:24" ht="13.8" x14ac:dyDescent="0.2">
      <c r="B97" s="8">
        <f t="shared" si="10"/>
        <v>92</v>
      </c>
      <c r="C97" s="10">
        <v>92</v>
      </c>
      <c r="D97" s="13" t="s">
        <v>1115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1116</v>
      </c>
    </row>
    <row r="98" spans="2:24" ht="13.8" x14ac:dyDescent="0.2">
      <c r="B98" s="8">
        <f t="shared" si="10"/>
        <v>93</v>
      </c>
      <c r="C98" s="10">
        <v>93</v>
      </c>
      <c r="D98" s="13" t="s">
        <v>1117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1118</v>
      </c>
    </row>
    <row r="99" spans="2:24" ht="13.8" x14ac:dyDescent="0.2">
      <c r="B99" s="8">
        <f t="shared" si="10"/>
        <v>94</v>
      </c>
      <c r="C99" s="10">
        <v>94</v>
      </c>
      <c r="D99" s="13" t="s">
        <v>719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1119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1738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1120</v>
      </c>
    </row>
    <row r="102" spans="2:24" ht="13.8" x14ac:dyDescent="0.2">
      <c r="B102" s="8">
        <f t="shared" si="10"/>
        <v>97</v>
      </c>
      <c r="C102" s="10">
        <v>97</v>
      </c>
      <c r="D102" s="13" t="s">
        <v>1328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1121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1122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1929</v>
      </c>
    </row>
    <row r="105" spans="2:24" ht="13.8" x14ac:dyDescent="0.2">
      <c r="B105" s="8" t="str">
        <f t="shared" si="10"/>
        <v>001</v>
      </c>
      <c r="C105" s="10" t="s">
        <v>1227</v>
      </c>
      <c r="D105" s="23" t="s">
        <v>1447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692</v>
      </c>
    </row>
    <row r="106" spans="2:24" ht="13.8" x14ac:dyDescent="0.2">
      <c r="B106" s="8" t="str">
        <f t="shared" si="10"/>
        <v>002</v>
      </c>
      <c r="C106" s="10" t="s">
        <v>1228</v>
      </c>
      <c r="D106" s="13" t="s">
        <v>1431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1123</v>
      </c>
    </row>
    <row r="107" spans="2:24" ht="13.8" x14ac:dyDescent="0.2">
      <c r="B107" s="8" t="str">
        <f t="shared" si="10"/>
        <v>003</v>
      </c>
      <c r="C107" s="10" t="s">
        <v>1229</v>
      </c>
      <c r="D107" s="13" t="s">
        <v>1295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693</v>
      </c>
    </row>
    <row r="108" spans="2:24" ht="13.8" x14ac:dyDescent="0.2">
      <c r="B108" s="8" t="str">
        <f t="shared" si="10"/>
        <v>004</v>
      </c>
      <c r="C108" s="10" t="s">
        <v>1230</v>
      </c>
      <c r="D108" s="13" t="s">
        <v>1765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1124</v>
      </c>
    </row>
    <row r="109" spans="2:24" ht="13.8" x14ac:dyDescent="0.2">
      <c r="B109" s="8" t="str">
        <f t="shared" si="10"/>
        <v>005</v>
      </c>
      <c r="C109" s="10" t="s">
        <v>1231</v>
      </c>
      <c r="D109" s="13" t="s">
        <v>1125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1126</v>
      </c>
    </row>
    <row r="110" spans="2:24" ht="13.8" x14ac:dyDescent="0.2">
      <c r="B110" s="8" t="str">
        <f t="shared" si="10"/>
        <v>006</v>
      </c>
      <c r="C110" s="10" t="s">
        <v>1127</v>
      </c>
      <c r="D110" s="13" t="s">
        <v>706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1047</v>
      </c>
    </row>
    <row r="111" spans="2:24" ht="13.8" x14ac:dyDescent="0.2">
      <c r="B111" s="8" t="str">
        <f t="shared" si="10"/>
        <v>007</v>
      </c>
      <c r="C111" s="10" t="s">
        <v>1258</v>
      </c>
      <c r="D111" s="13" t="s">
        <v>1128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1129</v>
      </c>
    </row>
    <row r="112" spans="2:24" ht="13.8" x14ac:dyDescent="0.2">
      <c r="B112" s="8" t="str">
        <f t="shared" si="10"/>
        <v>008</v>
      </c>
      <c r="C112" s="10" t="s">
        <v>1232</v>
      </c>
      <c r="D112" s="13" t="s">
        <v>1130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1131</v>
      </c>
    </row>
    <row r="113" spans="2:24" ht="13.8" x14ac:dyDescent="0.2">
      <c r="B113" s="8" t="str">
        <f t="shared" si="10"/>
        <v>009</v>
      </c>
      <c r="C113" s="10" t="s">
        <v>1132</v>
      </c>
      <c r="D113" s="13" t="s">
        <v>707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694</v>
      </c>
    </row>
    <row r="114" spans="2:24" ht="13.8" x14ac:dyDescent="0.2">
      <c r="B114" s="8" t="str">
        <f t="shared" si="10"/>
        <v>010</v>
      </c>
      <c r="C114" s="10" t="s">
        <v>1133</v>
      </c>
      <c r="D114" s="26" t="s">
        <v>708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695</v>
      </c>
    </row>
    <row r="115" spans="2:24" ht="13.8" x14ac:dyDescent="0.2">
      <c r="B115" s="8" t="str">
        <f t="shared" si="10"/>
        <v>011</v>
      </c>
      <c r="C115" s="10" t="s">
        <v>1233</v>
      </c>
      <c r="D115" s="26" t="s">
        <v>709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696</v>
      </c>
    </row>
    <row r="116" spans="2:24" ht="13.8" x14ac:dyDescent="0.2">
      <c r="B116" s="8" t="str">
        <f t="shared" si="10"/>
        <v>012</v>
      </c>
      <c r="C116" s="10" t="s">
        <v>1234</v>
      </c>
      <c r="D116" s="26" t="s">
        <v>1134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1135</v>
      </c>
    </row>
    <row r="117" spans="2:24" ht="13.8" x14ac:dyDescent="0.2">
      <c r="B117" s="8" t="str">
        <f t="shared" si="10"/>
        <v>013</v>
      </c>
      <c r="C117" s="10" t="s">
        <v>1235</v>
      </c>
      <c r="D117" s="8" t="s">
        <v>686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1930</v>
      </c>
    </row>
    <row r="118" spans="2:24" ht="13.8" x14ac:dyDescent="0.2">
      <c r="B118" s="8" t="str">
        <f t="shared" si="10"/>
        <v>014</v>
      </c>
      <c r="C118" s="10" t="s">
        <v>1236</v>
      </c>
      <c r="D118" s="26" t="s">
        <v>710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1136</v>
      </c>
    </row>
    <row r="119" spans="2:24" ht="13.8" x14ac:dyDescent="0.2">
      <c r="B119" s="8" t="str">
        <f t="shared" si="10"/>
        <v>015</v>
      </c>
      <c r="C119" s="10" t="s">
        <v>1299</v>
      </c>
      <c r="D119" s="26" t="s">
        <v>711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697</v>
      </c>
    </row>
    <row r="120" spans="2:24" ht="13.8" x14ac:dyDescent="0.2">
      <c r="B120" s="8" t="str">
        <f t="shared" si="10"/>
        <v>016</v>
      </c>
      <c r="C120" s="10" t="s">
        <v>1259</v>
      </c>
      <c r="D120" s="26" t="s">
        <v>1137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1138</v>
      </c>
    </row>
    <row r="121" spans="2:24" ht="13.8" x14ac:dyDescent="0.2">
      <c r="B121" s="8" t="str">
        <f t="shared" si="10"/>
        <v>018</v>
      </c>
      <c r="C121" s="10" t="s">
        <v>1139</v>
      </c>
      <c r="D121" s="26" t="s">
        <v>713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698</v>
      </c>
    </row>
    <row r="122" spans="2:24" ht="13.8" x14ac:dyDescent="0.2">
      <c r="B122" s="8" t="str">
        <f t="shared" si="10"/>
        <v>019</v>
      </c>
      <c r="C122" s="10" t="s">
        <v>1300</v>
      </c>
      <c r="D122" s="26" t="s">
        <v>1140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1141</v>
      </c>
    </row>
    <row r="123" spans="2:24" ht="13.8" x14ac:dyDescent="0.2">
      <c r="B123" s="8" t="str">
        <f t="shared" si="10"/>
        <v>020</v>
      </c>
      <c r="C123" s="10" t="s">
        <v>1237</v>
      </c>
      <c r="D123" s="26" t="s">
        <v>1142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691</v>
      </c>
    </row>
    <row r="124" spans="2:24" ht="13.8" x14ac:dyDescent="0.2">
      <c r="B124" s="8" t="str">
        <f t="shared" si="10"/>
        <v>021</v>
      </c>
      <c r="C124" s="10" t="s">
        <v>1238</v>
      </c>
      <c r="D124" s="26" t="s">
        <v>1224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812</v>
      </c>
    </row>
    <row r="125" spans="2:24" ht="13.8" x14ac:dyDescent="0.2">
      <c r="B125" s="8" t="str">
        <f t="shared" si="10"/>
        <v>022</v>
      </c>
      <c r="C125" s="10" t="s">
        <v>1239</v>
      </c>
      <c r="D125" s="26" t="s">
        <v>714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699</v>
      </c>
    </row>
    <row r="126" spans="2:24" ht="13.8" x14ac:dyDescent="0.2">
      <c r="B126" s="8" t="str">
        <f t="shared" si="10"/>
        <v>023</v>
      </c>
      <c r="C126" s="10" t="s">
        <v>1301</v>
      </c>
      <c r="D126" s="26" t="s">
        <v>1654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1143</v>
      </c>
    </row>
    <row r="127" spans="2:24" ht="13.8" x14ac:dyDescent="0.2">
      <c r="B127" s="8" t="str">
        <f t="shared" si="10"/>
        <v>024</v>
      </c>
      <c r="C127" s="10" t="s">
        <v>1303</v>
      </c>
      <c r="D127" s="26" t="s">
        <v>1529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700</v>
      </c>
    </row>
    <row r="128" spans="2:24" ht="13.8" x14ac:dyDescent="0.2">
      <c r="B128" s="8" t="str">
        <f t="shared" si="10"/>
        <v>025</v>
      </c>
      <c r="C128" s="10" t="s">
        <v>1305</v>
      </c>
      <c r="D128" s="26" t="s">
        <v>715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701</v>
      </c>
    </row>
    <row r="129" spans="2:24" ht="13.8" x14ac:dyDescent="0.2">
      <c r="B129" s="8" t="str">
        <f t="shared" si="10"/>
        <v>026</v>
      </c>
      <c r="C129" s="10" t="s">
        <v>1306</v>
      </c>
      <c r="D129" s="26" t="s">
        <v>1181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1144</v>
      </c>
    </row>
    <row r="130" spans="2:24" ht="13.8" x14ac:dyDescent="0.2">
      <c r="B130" s="8" t="str">
        <f t="shared" si="10"/>
        <v>027</v>
      </c>
      <c r="C130" s="10" t="s">
        <v>1145</v>
      </c>
      <c r="D130" s="26" t="s">
        <v>1146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1147</v>
      </c>
    </row>
    <row r="131" spans="2:24" ht="13.8" x14ac:dyDescent="0.2">
      <c r="B131" s="8" t="str">
        <f t="shared" si="10"/>
        <v>028</v>
      </c>
      <c r="C131" s="10" t="s">
        <v>1148</v>
      </c>
      <c r="D131" s="26" t="s">
        <v>716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702</v>
      </c>
    </row>
    <row r="132" spans="2:24" ht="13.8" x14ac:dyDescent="0.2">
      <c r="B132" s="8" t="str">
        <f t="shared" si="10"/>
        <v>030</v>
      </c>
      <c r="C132" s="10" t="s">
        <v>1149</v>
      </c>
      <c r="D132" s="26" t="s">
        <v>717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703</v>
      </c>
    </row>
    <row r="133" spans="2:24" ht="13.8" x14ac:dyDescent="0.2">
      <c r="B133" s="8" t="str">
        <f t="shared" ref="B133:B150" si="15">IF(C133="","",C133)</f>
        <v>031</v>
      </c>
      <c r="C133" s="10" t="s">
        <v>1825</v>
      </c>
      <c r="D133" s="26" t="s">
        <v>1150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50" si="17">((G133-H133-I133-J133)+(H133*2)+(I133*3)+(J133*4))</f>
        <v>0</v>
      </c>
      <c r="L133" s="7">
        <v>0</v>
      </c>
      <c r="M133" s="11">
        <f t="shared" ref="M133:M150" si="18">IFERROR(IF((G133+P133+Q133)/(F133+P133+Q133+S133)=1,"1.00",(G133+P133+Q133)/(F133+P133+Q133+S133)),0)</f>
        <v>0</v>
      </c>
      <c r="N133" s="11">
        <f t="shared" ref="N133:N150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1151</v>
      </c>
    </row>
    <row r="134" spans="2:24" ht="13.8" x14ac:dyDescent="0.2">
      <c r="B134" s="8" t="str">
        <f t="shared" si="15"/>
        <v>033</v>
      </c>
      <c r="C134" s="10" t="s">
        <v>1152</v>
      </c>
      <c r="D134" s="26" t="s">
        <v>1153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1154</v>
      </c>
    </row>
    <row r="135" spans="2:24" ht="13.8" x14ac:dyDescent="0.2">
      <c r="B135" s="8" t="str">
        <f t="shared" si="15"/>
        <v>034</v>
      </c>
      <c r="C135" s="10" t="s">
        <v>1828</v>
      </c>
      <c r="D135" s="26" t="s">
        <v>1155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7"/>
        <v>0</v>
      </c>
      <c r="L135" s="7">
        <v>0</v>
      </c>
      <c r="M135" s="11">
        <f t="shared" si="18"/>
        <v>0</v>
      </c>
      <c r="N135" s="11">
        <f t="shared" si="19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1156</v>
      </c>
    </row>
    <row r="136" spans="2:24" ht="13.8" x14ac:dyDescent="0.2">
      <c r="B136" s="8" t="str">
        <f t="shared" si="15"/>
        <v>035</v>
      </c>
      <c r="C136" s="10" t="s">
        <v>1157</v>
      </c>
      <c r="D136" s="8" t="s">
        <v>1158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7"/>
        <v>0</v>
      </c>
      <c r="L136" s="7">
        <v>0</v>
      </c>
      <c r="M136" s="11">
        <f t="shared" si="18"/>
        <v>0</v>
      </c>
      <c r="N136" s="11">
        <f t="shared" si="19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1931</v>
      </c>
    </row>
    <row r="137" spans="2:24" ht="13.8" x14ac:dyDescent="0.2">
      <c r="B137" s="8" t="str">
        <f t="shared" si="15"/>
        <v>039</v>
      </c>
      <c r="C137" s="10" t="s">
        <v>1159</v>
      </c>
      <c r="D137" s="26" t="s">
        <v>1160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7"/>
        <v>0</v>
      </c>
      <c r="L137" s="7">
        <v>0</v>
      </c>
      <c r="M137" s="11">
        <f t="shared" si="18"/>
        <v>0</v>
      </c>
      <c r="N137" s="11">
        <f t="shared" si="19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687</v>
      </c>
    </row>
    <row r="138" spans="2:24" ht="13.8" x14ac:dyDescent="0.2">
      <c r="B138" s="8" t="str">
        <f t="shared" si="15"/>
        <v>044</v>
      </c>
      <c r="C138" s="10" t="s">
        <v>1834</v>
      </c>
      <c r="D138" s="26" t="s">
        <v>1161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7"/>
        <v>0</v>
      </c>
      <c r="L138" s="7">
        <v>0</v>
      </c>
      <c r="M138" s="11">
        <f t="shared" si="18"/>
        <v>0</v>
      </c>
      <c r="N138" s="11">
        <f t="shared" si="19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1162</v>
      </c>
    </row>
    <row r="139" spans="2:24" ht="13.8" x14ac:dyDescent="0.2">
      <c r="B139" s="8" t="str">
        <f t="shared" si="15"/>
        <v>047</v>
      </c>
      <c r="C139" s="10" t="s">
        <v>1163</v>
      </c>
      <c r="D139" s="26" t="s">
        <v>718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7"/>
        <v>0</v>
      </c>
      <c r="L139" s="7">
        <v>0</v>
      </c>
      <c r="M139" s="11">
        <f t="shared" si="18"/>
        <v>0</v>
      </c>
      <c r="N139" s="11">
        <f t="shared" si="19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704</v>
      </c>
    </row>
    <row r="140" spans="2:24" ht="13.8" x14ac:dyDescent="0.2">
      <c r="B140" s="8" t="str">
        <f t="shared" si="15"/>
        <v>051</v>
      </c>
      <c r="C140" s="10" t="s">
        <v>1164</v>
      </c>
      <c r="D140" s="26" t="s">
        <v>1165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7"/>
        <v>0</v>
      </c>
      <c r="L140" s="7">
        <v>0</v>
      </c>
      <c r="M140" s="11">
        <f t="shared" si="18"/>
        <v>0</v>
      </c>
      <c r="N140" s="11">
        <f t="shared" si="19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779</v>
      </c>
    </row>
    <row r="141" spans="2:24" ht="13.8" x14ac:dyDescent="0.2">
      <c r="B141" s="8" t="str">
        <f t="shared" si="15"/>
        <v>056</v>
      </c>
      <c r="C141" s="10" t="s">
        <v>1166</v>
      </c>
      <c r="D141" s="26" t="s">
        <v>1548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7"/>
        <v>0</v>
      </c>
      <c r="L141" s="7">
        <v>0</v>
      </c>
      <c r="M141" s="11">
        <f t="shared" si="18"/>
        <v>0</v>
      </c>
      <c r="N141" s="11">
        <f t="shared" si="19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705</v>
      </c>
    </row>
    <row r="142" spans="2:24" ht="13.8" x14ac:dyDescent="0.2">
      <c r="B142" s="8" t="str">
        <f t="shared" si="15"/>
        <v>057</v>
      </c>
      <c r="C142" s="10" t="s">
        <v>1167</v>
      </c>
      <c r="D142" s="8" t="s">
        <v>1168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7"/>
        <v>0</v>
      </c>
      <c r="L142" s="7">
        <v>0</v>
      </c>
      <c r="M142" s="11">
        <f t="shared" si="18"/>
        <v>0</v>
      </c>
      <c r="N142" s="11">
        <f t="shared" si="19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1932</v>
      </c>
    </row>
    <row r="143" spans="2:24" ht="13.8" x14ac:dyDescent="0.2">
      <c r="B143" s="8" t="str">
        <f t="shared" si="15"/>
        <v>063</v>
      </c>
      <c r="C143" s="10" t="s">
        <v>1169</v>
      </c>
      <c r="D143" s="26" t="s">
        <v>1170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7"/>
        <v>0</v>
      </c>
      <c r="L143" s="7">
        <v>0</v>
      </c>
      <c r="M143" s="11">
        <f t="shared" si="18"/>
        <v>0</v>
      </c>
      <c r="N143" s="11">
        <f t="shared" si="19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689</v>
      </c>
    </row>
    <row r="144" spans="2:24" ht="13.8" x14ac:dyDescent="0.2">
      <c r="B144" s="8" t="str">
        <f t="shared" si="15"/>
        <v>069</v>
      </c>
      <c r="C144" s="10" t="s">
        <v>1171</v>
      </c>
      <c r="D144" s="26" t="s">
        <v>1172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7"/>
        <v>0</v>
      </c>
      <c r="L144" s="7">
        <v>0</v>
      </c>
      <c r="M144" s="11">
        <f t="shared" si="18"/>
        <v>0</v>
      </c>
      <c r="N144" s="11">
        <f t="shared" si="19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690</v>
      </c>
    </row>
    <row r="145" spans="2:24" ht="13.8" x14ac:dyDescent="0.2">
      <c r="B145" s="8" t="str">
        <f t="shared" si="15"/>
        <v>098</v>
      </c>
      <c r="C145" s="10" t="s">
        <v>1173</v>
      </c>
      <c r="D145" s="8" t="s">
        <v>179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7"/>
        <v>0</v>
      </c>
      <c r="L145" s="7">
        <v>0</v>
      </c>
      <c r="M145" s="11">
        <f t="shared" si="18"/>
        <v>0</v>
      </c>
      <c r="N145" s="11">
        <f t="shared" si="19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1933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7"/>
        <v>0</v>
      </c>
      <c r="L146" s="7">
        <v>0</v>
      </c>
      <c r="M146" s="11">
        <f t="shared" si="18"/>
        <v>0</v>
      </c>
      <c r="N146" s="11">
        <f t="shared" si="19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7"/>
        <v>0</v>
      </c>
      <c r="L147" s="7">
        <v>0</v>
      </c>
      <c r="M147" s="11">
        <f t="shared" si="18"/>
        <v>0</v>
      </c>
      <c r="N147" s="11">
        <f t="shared" si="19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7"/>
        <v>0</v>
      </c>
      <c r="L148" s="7">
        <v>0</v>
      </c>
      <c r="M148" s="11">
        <f t="shared" si="18"/>
        <v>0</v>
      </c>
      <c r="N148" s="11">
        <f t="shared" si="19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7"/>
        <v>0</v>
      </c>
      <c r="L149" s="7">
        <v>0</v>
      </c>
      <c r="M149" s="11">
        <f t="shared" si="18"/>
        <v>0</v>
      </c>
      <c r="N149" s="11">
        <f t="shared" si="19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7"/>
        <v>0</v>
      </c>
      <c r="L150" s="7">
        <v>0</v>
      </c>
      <c r="M150" s="11">
        <f t="shared" si="18"/>
        <v>0</v>
      </c>
      <c r="N150" s="11">
        <f t="shared" si="19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1286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1307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180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7">((G5-H5-I5-J5)+(H5*2)+(I5*3)+(J5*4))</f>
        <v>0</v>
      </c>
      <c r="L5" s="7">
        <v>0</v>
      </c>
      <c r="M5" s="11">
        <f t="shared" ref="M5:M6" si="8">IFERROR(IF((G5+P5+Q5)/(F5+P5+Q5+S5)=1,"1.00",(G5+P5+Q5)/(F5+P5+Q5+S5)),0)</f>
        <v>0</v>
      </c>
      <c r="N5" s="11">
        <f t="shared" ref="N5:N6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720</v>
      </c>
    </row>
    <row r="6" spans="2:24" ht="13.8" x14ac:dyDescent="0.2">
      <c r="B6" s="8">
        <f t="shared" si="5"/>
        <v>1</v>
      </c>
      <c r="C6" s="10">
        <v>1</v>
      </c>
      <c r="D6" s="13" t="s">
        <v>1287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721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1288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1174</v>
      </c>
    </row>
    <row r="9" spans="2:24" ht="13.8" x14ac:dyDescent="0.2">
      <c r="B9" s="8">
        <f t="shared" si="5"/>
        <v>4</v>
      </c>
      <c r="C9" s="10">
        <v>4</v>
      </c>
      <c r="D9" s="13" t="s">
        <v>763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722</v>
      </c>
    </row>
    <row r="10" spans="2:24" ht="13.8" x14ac:dyDescent="0.2">
      <c r="B10" s="8">
        <f t="shared" si="5"/>
        <v>5</v>
      </c>
      <c r="C10" s="10">
        <v>5</v>
      </c>
      <c r="D10" s="13" t="s">
        <v>12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723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85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753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1175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724</v>
      </c>
    </row>
    <row r="15" spans="2:24" ht="13.8" x14ac:dyDescent="0.2">
      <c r="B15" s="8">
        <f t="shared" si="5"/>
        <v>10</v>
      </c>
      <c r="C15" s="10">
        <v>10</v>
      </c>
      <c r="D15" s="13" t="s">
        <v>1176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742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726</v>
      </c>
    </row>
    <row r="18" spans="2:24" ht="13.8" x14ac:dyDescent="0.2">
      <c r="B18" s="8">
        <f t="shared" si="5"/>
        <v>13</v>
      </c>
      <c r="C18" s="10">
        <v>13</v>
      </c>
      <c r="D18" s="13" t="s">
        <v>1177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1934</v>
      </c>
    </row>
    <row r="19" spans="2:24" ht="13.8" x14ac:dyDescent="0.2">
      <c r="B19" s="8">
        <f t="shared" si="5"/>
        <v>14</v>
      </c>
      <c r="C19" s="10">
        <v>14</v>
      </c>
      <c r="D19" s="13" t="s">
        <v>1178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1179</v>
      </c>
    </row>
    <row r="20" spans="2:24" ht="13.8" x14ac:dyDescent="0.2">
      <c r="B20" s="8">
        <f t="shared" si="5"/>
        <v>15</v>
      </c>
      <c r="C20" s="10">
        <v>15</v>
      </c>
      <c r="D20" s="2" t="s">
        <v>1289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728</v>
      </c>
    </row>
    <row r="21" spans="2:24" ht="13.8" x14ac:dyDescent="0.2">
      <c r="B21" s="8">
        <f t="shared" si="5"/>
        <v>16</v>
      </c>
      <c r="C21" s="10">
        <v>16</v>
      </c>
      <c r="D21" s="13" t="s">
        <v>9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729</v>
      </c>
    </row>
    <row r="22" spans="2:24" ht="13.8" x14ac:dyDescent="0.2">
      <c r="B22" s="8">
        <f t="shared" si="5"/>
        <v>17</v>
      </c>
      <c r="C22" s="10">
        <v>17</v>
      </c>
      <c r="D22" s="13" t="s">
        <v>1180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730</v>
      </c>
    </row>
    <row r="23" spans="2:24" ht="13.8" x14ac:dyDescent="0.2">
      <c r="B23" s="8">
        <f t="shared" si="5"/>
        <v>18</v>
      </c>
      <c r="C23" s="10">
        <v>18</v>
      </c>
      <c r="D23" s="13" t="s">
        <v>83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725</v>
      </c>
    </row>
    <row r="24" spans="2:24" ht="13.8" x14ac:dyDescent="0.2">
      <c r="B24" s="8">
        <f t="shared" si="5"/>
        <v>19</v>
      </c>
      <c r="C24" s="10">
        <v>19</v>
      </c>
      <c r="D24" s="13" t="s">
        <v>1290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731</v>
      </c>
    </row>
    <row r="25" spans="2:24" ht="13.8" x14ac:dyDescent="0.2">
      <c r="B25" s="8">
        <f t="shared" si="5"/>
        <v>20</v>
      </c>
      <c r="C25" s="10">
        <v>20</v>
      </c>
      <c r="D25" s="13" t="s">
        <v>181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732</v>
      </c>
    </row>
    <row r="26" spans="2:24" ht="13.8" x14ac:dyDescent="0.2">
      <c r="B26" s="8">
        <f t="shared" si="5"/>
        <v>21</v>
      </c>
      <c r="C26" s="10">
        <v>21</v>
      </c>
      <c r="D26" s="13" t="s">
        <v>1181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1182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13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733</v>
      </c>
    </row>
    <row r="29" spans="2:24" ht="13.8" x14ac:dyDescent="0.2">
      <c r="B29" s="8">
        <f t="shared" si="5"/>
        <v>24</v>
      </c>
      <c r="C29" s="10">
        <v>24</v>
      </c>
      <c r="D29" s="13" t="s">
        <v>10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734</v>
      </c>
    </row>
    <row r="30" spans="2:24" ht="13.8" x14ac:dyDescent="0.2">
      <c r="B30" s="8">
        <f t="shared" si="5"/>
        <v>25</v>
      </c>
      <c r="C30" s="10">
        <v>25</v>
      </c>
      <c r="D30" s="13" t="s">
        <v>1183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1935</v>
      </c>
    </row>
    <row r="31" spans="2:24" ht="13.8" x14ac:dyDescent="0.2">
      <c r="B31" s="8">
        <f t="shared" si="5"/>
        <v>26</v>
      </c>
      <c r="C31" s="10">
        <v>26</v>
      </c>
      <c r="D31" s="13" t="s">
        <v>182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1184</v>
      </c>
    </row>
    <row r="32" spans="2:24" ht="13.8" x14ac:dyDescent="0.2">
      <c r="B32" s="8">
        <f t="shared" si="5"/>
        <v>27</v>
      </c>
      <c r="C32" s="10">
        <v>27</v>
      </c>
      <c r="D32" s="9" t="s">
        <v>1674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735</v>
      </c>
    </row>
    <row r="33" spans="2:24" ht="13.8" x14ac:dyDescent="0.2">
      <c r="B33" s="8">
        <f t="shared" si="5"/>
        <v>28</v>
      </c>
      <c r="C33" s="10">
        <v>28</v>
      </c>
      <c r="D33" s="13" t="s">
        <v>1185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1186</v>
      </c>
    </row>
    <row r="34" spans="2:24" ht="13.8" x14ac:dyDescent="0.2">
      <c r="B34" s="8">
        <f t="shared" si="5"/>
        <v>29</v>
      </c>
      <c r="C34" s="10">
        <v>29</v>
      </c>
      <c r="D34" s="13" t="s">
        <v>1291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736</v>
      </c>
    </row>
    <row r="35" spans="2:24" ht="13.8" x14ac:dyDescent="0.2">
      <c r="B35" s="8">
        <f t="shared" si="5"/>
        <v>30</v>
      </c>
      <c r="C35" s="10">
        <v>30</v>
      </c>
      <c r="D35" s="13" t="s">
        <v>15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737</v>
      </c>
    </row>
    <row r="36" spans="2:24" ht="13.8" x14ac:dyDescent="0.2">
      <c r="B36" s="8">
        <f t="shared" si="5"/>
        <v>31</v>
      </c>
      <c r="C36" s="10">
        <v>31</v>
      </c>
      <c r="D36" s="13" t="s">
        <v>1187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738</v>
      </c>
    </row>
    <row r="37" spans="2:24" ht="13.8" x14ac:dyDescent="0.2">
      <c r="B37" s="8">
        <f t="shared" si="5"/>
        <v>32</v>
      </c>
      <c r="C37" s="10">
        <v>32</v>
      </c>
      <c r="D37" s="13" t="s">
        <v>183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739</v>
      </c>
    </row>
    <row r="38" spans="2:24" ht="13.8" x14ac:dyDescent="0.2">
      <c r="B38" s="8">
        <f t="shared" si="5"/>
        <v>33</v>
      </c>
      <c r="C38" s="10">
        <v>33</v>
      </c>
      <c r="D38" s="13" t="s">
        <v>46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740</v>
      </c>
    </row>
    <row r="39" spans="2:24" ht="13.8" x14ac:dyDescent="0.2">
      <c r="B39" s="8">
        <f t="shared" si="5"/>
        <v>34</v>
      </c>
      <c r="C39" s="10">
        <v>34</v>
      </c>
      <c r="D39" s="13" t="s">
        <v>36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741</v>
      </c>
    </row>
    <row r="40" spans="2:24" ht="13.8" x14ac:dyDescent="0.2">
      <c r="B40" s="8">
        <f t="shared" si="5"/>
        <v>35</v>
      </c>
      <c r="C40" s="10">
        <v>35</v>
      </c>
      <c r="D40" s="13" t="s">
        <v>1188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1189</v>
      </c>
    </row>
    <row r="41" spans="2:24" ht="13.8" x14ac:dyDescent="0.2">
      <c r="B41" s="8">
        <f t="shared" si="5"/>
        <v>36</v>
      </c>
      <c r="C41" s="10">
        <v>36</v>
      </c>
      <c r="D41" s="13" t="s">
        <v>1745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1190</v>
      </c>
    </row>
    <row r="42" spans="2:24" ht="13.8" x14ac:dyDescent="0.2">
      <c r="B42" s="8">
        <f t="shared" si="5"/>
        <v>37</v>
      </c>
      <c r="C42" s="10">
        <v>37</v>
      </c>
      <c r="D42" s="13" t="s">
        <v>1220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1936</v>
      </c>
    </row>
    <row r="43" spans="2:24" ht="13.8" x14ac:dyDescent="0.2">
      <c r="B43" s="8">
        <f t="shared" si="5"/>
        <v>38</v>
      </c>
      <c r="C43" s="10">
        <v>38</v>
      </c>
      <c r="D43" s="13" t="s">
        <v>1191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1192</v>
      </c>
    </row>
    <row r="44" spans="2:24" ht="13.8" x14ac:dyDescent="0.2">
      <c r="B44" s="8">
        <f t="shared" si="5"/>
        <v>39</v>
      </c>
      <c r="C44" s="10">
        <v>39</v>
      </c>
      <c r="D44" s="13" t="s">
        <v>1292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1937</v>
      </c>
    </row>
    <row r="45" spans="2:24" ht="13.8" x14ac:dyDescent="0.2">
      <c r="B45" s="8">
        <f t="shared" si="5"/>
        <v>40</v>
      </c>
      <c r="C45" s="10">
        <v>40</v>
      </c>
      <c r="D45" s="13" t="s">
        <v>43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727</v>
      </c>
    </row>
    <row r="46" spans="2:24" ht="13.8" x14ac:dyDescent="0.2">
      <c r="B46" s="8">
        <f t="shared" si="5"/>
        <v>41</v>
      </c>
      <c r="C46" s="10">
        <v>41</v>
      </c>
      <c r="D46" s="13" t="s">
        <v>764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743</v>
      </c>
    </row>
    <row r="47" spans="2:24" ht="13.8" x14ac:dyDescent="0.2">
      <c r="B47" s="8">
        <f t="shared" si="5"/>
        <v>42</v>
      </c>
      <c r="C47" s="10">
        <v>42</v>
      </c>
      <c r="D47" s="13" t="s">
        <v>1193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1194</v>
      </c>
    </row>
    <row r="48" spans="2:24" ht="13.8" x14ac:dyDescent="0.2">
      <c r="B48" s="8">
        <f t="shared" si="5"/>
        <v>43</v>
      </c>
      <c r="C48" s="10">
        <v>43</v>
      </c>
      <c r="D48" s="13" t="s">
        <v>1293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1195</v>
      </c>
    </row>
    <row r="49" spans="2:24" ht="13.8" x14ac:dyDescent="0.2">
      <c r="B49" s="8">
        <f t="shared" si="5"/>
        <v>44</v>
      </c>
      <c r="C49" s="10">
        <v>44</v>
      </c>
      <c r="D49" s="13" t="s">
        <v>84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744</v>
      </c>
    </row>
    <row r="50" spans="2:24" ht="13.8" x14ac:dyDescent="0.2">
      <c r="B50" s="8">
        <f t="shared" si="5"/>
        <v>45</v>
      </c>
      <c r="C50" s="10">
        <v>45</v>
      </c>
      <c r="D50" s="13" t="s">
        <v>1196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759</v>
      </c>
    </row>
    <row r="51" spans="2:24" ht="13.8" x14ac:dyDescent="0.2">
      <c r="B51" s="8">
        <f t="shared" si="5"/>
        <v>46</v>
      </c>
      <c r="C51" s="10">
        <v>46</v>
      </c>
      <c r="D51" s="13" t="s">
        <v>44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745</v>
      </c>
    </row>
    <row r="52" spans="2:24" ht="13.8" x14ac:dyDescent="0.2">
      <c r="B52" s="8">
        <f t="shared" si="5"/>
        <v>47</v>
      </c>
      <c r="C52" s="10">
        <v>47</v>
      </c>
      <c r="D52" s="13" t="s">
        <v>1197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746</v>
      </c>
    </row>
    <row r="53" spans="2:24" ht="13.8" x14ac:dyDescent="0.2">
      <c r="B53" s="8">
        <f t="shared" si="5"/>
        <v>48</v>
      </c>
      <c r="C53" s="10">
        <v>48</v>
      </c>
      <c r="D53" s="13" t="s">
        <v>11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747</v>
      </c>
    </row>
    <row r="54" spans="2:24" ht="13.8" x14ac:dyDescent="0.2">
      <c r="B54" s="8">
        <f t="shared" si="5"/>
        <v>49</v>
      </c>
      <c r="C54" s="10">
        <v>49</v>
      </c>
      <c r="D54" s="13" t="s">
        <v>59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1198</v>
      </c>
    </row>
    <row r="55" spans="2:24" ht="13.8" x14ac:dyDescent="0.2">
      <c r="B55" s="8">
        <f t="shared" si="5"/>
        <v>50</v>
      </c>
      <c r="C55" s="10">
        <v>50</v>
      </c>
      <c r="D55" s="13" t="s">
        <v>1199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1200</v>
      </c>
    </row>
    <row r="56" spans="2:24" ht="13.8" x14ac:dyDescent="0.2">
      <c r="B56" s="8">
        <f t="shared" si="5"/>
        <v>51</v>
      </c>
      <c r="C56" s="10">
        <v>51</v>
      </c>
      <c r="D56" s="13" t="s">
        <v>45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748</v>
      </c>
    </row>
    <row r="57" spans="2:24" ht="13.8" x14ac:dyDescent="0.2">
      <c r="B57" s="8">
        <f t="shared" si="5"/>
        <v>52</v>
      </c>
      <c r="C57" s="10">
        <v>52</v>
      </c>
      <c r="D57" s="13" t="s">
        <v>1201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1202</v>
      </c>
    </row>
    <row r="58" spans="2:24" ht="13.8" x14ac:dyDescent="0.2">
      <c r="B58" s="8">
        <f t="shared" si="5"/>
        <v>53</v>
      </c>
      <c r="C58" s="10">
        <v>53</v>
      </c>
      <c r="D58" s="13" t="s">
        <v>1533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750</v>
      </c>
    </row>
    <row r="59" spans="2:24" ht="13.8" x14ac:dyDescent="0.2">
      <c r="B59" s="8">
        <f t="shared" si="5"/>
        <v>54</v>
      </c>
      <c r="C59" s="10">
        <v>54</v>
      </c>
      <c r="D59" s="13" t="s">
        <v>1203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1203</v>
      </c>
    </row>
    <row r="60" spans="2:24" ht="13.8" x14ac:dyDescent="0.2">
      <c r="B60" s="8">
        <f t="shared" si="5"/>
        <v>55</v>
      </c>
      <c r="C60" s="10">
        <v>55</v>
      </c>
      <c r="D60" s="13" t="s">
        <v>1294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751</v>
      </c>
    </row>
    <row r="61" spans="2:24" ht="13.8" x14ac:dyDescent="0.2">
      <c r="B61" s="8">
        <f t="shared" si="5"/>
        <v>56</v>
      </c>
      <c r="C61" s="10">
        <v>56</v>
      </c>
      <c r="D61" s="13" t="s">
        <v>1742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1204</v>
      </c>
    </row>
    <row r="62" spans="2:24" ht="13.8" x14ac:dyDescent="0.2">
      <c r="B62" s="8">
        <f t="shared" si="5"/>
        <v>57</v>
      </c>
      <c r="C62" s="10">
        <v>57</v>
      </c>
      <c r="D62" s="13" t="s">
        <v>1891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752</v>
      </c>
    </row>
    <row r="63" spans="2:24" ht="13.8" x14ac:dyDescent="0.2">
      <c r="B63" s="8">
        <f t="shared" si="5"/>
        <v>58</v>
      </c>
      <c r="C63" s="10">
        <v>58</v>
      </c>
      <c r="D63" s="13" t="s">
        <v>1205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1206</v>
      </c>
    </row>
    <row r="64" spans="2:24" ht="13.8" x14ac:dyDescent="0.2">
      <c r="B64" s="8">
        <f t="shared" si="5"/>
        <v>59</v>
      </c>
      <c r="C64" s="10">
        <v>59</v>
      </c>
      <c r="D64" s="13" t="s">
        <v>765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754</v>
      </c>
    </row>
    <row r="65" spans="2:24" ht="13.8" x14ac:dyDescent="0.2">
      <c r="B65" s="8">
        <f t="shared" si="5"/>
        <v>60</v>
      </c>
      <c r="C65" s="10">
        <v>60</v>
      </c>
      <c r="D65" s="13" t="s">
        <v>86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755</v>
      </c>
    </row>
    <row r="66" spans="2:24" ht="13.8" x14ac:dyDescent="0.2">
      <c r="B66" s="8">
        <f t="shared" si="5"/>
        <v>61</v>
      </c>
      <c r="C66" s="10">
        <v>61</v>
      </c>
      <c r="D66" s="13" t="s">
        <v>122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1207</v>
      </c>
    </row>
    <row r="67" spans="2:24" ht="13.8" x14ac:dyDescent="0.2">
      <c r="B67" s="8">
        <f t="shared" si="5"/>
        <v>62</v>
      </c>
      <c r="C67" s="10">
        <v>62</v>
      </c>
      <c r="D67" s="13" t="s">
        <v>766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756</v>
      </c>
    </row>
    <row r="68" spans="2:24" ht="13.8" x14ac:dyDescent="0.2">
      <c r="B68" s="8">
        <f t="shared" si="5"/>
        <v>63</v>
      </c>
      <c r="C68" s="10">
        <v>63</v>
      </c>
      <c r="D68" s="9" t="s">
        <v>1208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1209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/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3"/>
        <v>65</v>
      </c>
      <c r="C70" s="10">
        <v>65</v>
      </c>
      <c r="D70" s="9" t="s">
        <v>1295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1210</v>
      </c>
    </row>
    <row r="71" spans="2:24" ht="13.8" x14ac:dyDescent="0.2">
      <c r="B71" s="8">
        <f t="shared" si="13"/>
        <v>66</v>
      </c>
      <c r="C71" s="10">
        <v>66</v>
      </c>
      <c r="D71" s="13" t="s">
        <v>29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1211</v>
      </c>
    </row>
    <row r="72" spans="2:24" ht="13.8" x14ac:dyDescent="0.2">
      <c r="B72" s="8">
        <f t="shared" si="13"/>
        <v>67</v>
      </c>
      <c r="C72" s="10">
        <v>67</v>
      </c>
      <c r="D72" s="13" t="s">
        <v>1548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1212</v>
      </c>
    </row>
    <row r="73" spans="2:24" ht="13.8" x14ac:dyDescent="0.2">
      <c r="B73" s="8">
        <f t="shared" si="13"/>
        <v>68</v>
      </c>
      <c r="C73" s="10">
        <v>68</v>
      </c>
      <c r="D73" s="13" t="s">
        <v>767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760</v>
      </c>
    </row>
    <row r="74" spans="2:24" ht="13.8" x14ac:dyDescent="0.2">
      <c r="B74" s="8">
        <f t="shared" si="13"/>
        <v>69</v>
      </c>
      <c r="C74" s="10">
        <v>69</v>
      </c>
      <c r="D74" s="13" t="s">
        <v>1296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758</v>
      </c>
    </row>
    <row r="75" spans="2:24" ht="13.8" x14ac:dyDescent="0.2">
      <c r="B75" s="8">
        <f t="shared" si="13"/>
        <v>70</v>
      </c>
      <c r="C75" s="10">
        <v>70</v>
      </c>
      <c r="D75" s="13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8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8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8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8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13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3"/>
        <v>93</v>
      </c>
      <c r="C98" s="10">
        <v>93</v>
      </c>
      <c r="D98" s="8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8"/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9" t="s">
        <v>1297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1938</v>
      </c>
    </row>
    <row r="105" spans="2:24" ht="13.8" x14ac:dyDescent="0.2">
      <c r="B105" s="8" t="str">
        <f t="shared" si="13"/>
        <v>012</v>
      </c>
      <c r="C105" s="10" t="s">
        <v>1234</v>
      </c>
      <c r="D105" s="14" t="s">
        <v>1298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749</v>
      </c>
    </row>
    <row r="106" spans="2:24" ht="13.8" x14ac:dyDescent="0.2">
      <c r="B106" s="8" t="str">
        <f t="shared" si="13"/>
        <v>013</v>
      </c>
      <c r="C106" s="10" t="s">
        <v>1235</v>
      </c>
      <c r="D106" s="9" t="s">
        <v>1213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757</v>
      </c>
    </row>
    <row r="107" spans="2:24" ht="13.8" x14ac:dyDescent="0.2">
      <c r="B107" s="8" t="str">
        <f t="shared" si="13"/>
        <v>015</v>
      </c>
      <c r="C107" s="10" t="s">
        <v>1299</v>
      </c>
      <c r="D107" s="9" t="s">
        <v>1115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1116</v>
      </c>
    </row>
    <row r="108" spans="2:24" ht="13.8" x14ac:dyDescent="0.2">
      <c r="B108" s="8" t="str">
        <f t="shared" si="13"/>
        <v>019</v>
      </c>
      <c r="C108" s="10" t="s">
        <v>1300</v>
      </c>
      <c r="D108" s="9" t="s">
        <v>768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761</v>
      </c>
    </row>
    <row r="109" spans="2:24" ht="13.8" x14ac:dyDescent="0.2">
      <c r="B109" s="8" t="str">
        <f t="shared" si="13"/>
        <v>023</v>
      </c>
      <c r="C109" s="10" t="s">
        <v>1301</v>
      </c>
      <c r="D109" s="9" t="s">
        <v>1302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1214</v>
      </c>
    </row>
    <row r="110" spans="2:24" ht="13.8" x14ac:dyDescent="0.2">
      <c r="B110" s="8" t="str">
        <f t="shared" si="13"/>
        <v>024</v>
      </c>
      <c r="C110" s="10" t="s">
        <v>1303</v>
      </c>
      <c r="D110" s="9" t="s">
        <v>1304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762</v>
      </c>
    </row>
    <row r="111" spans="2:24" ht="13.8" x14ac:dyDescent="0.2">
      <c r="B111" s="8" t="str">
        <f t="shared" si="13"/>
        <v>025</v>
      </c>
      <c r="C111" s="10" t="s">
        <v>1305</v>
      </c>
      <c r="D111" s="9" t="s">
        <v>1215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1215</v>
      </c>
    </row>
    <row r="112" spans="2:24" ht="13.8" x14ac:dyDescent="0.2">
      <c r="B112" s="8" t="str">
        <f t="shared" si="13"/>
        <v>026</v>
      </c>
      <c r="C112" s="10" t="s">
        <v>1306</v>
      </c>
      <c r="D112" s="13" t="s">
        <v>1740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1216</v>
      </c>
    </row>
    <row r="113" spans="2:24" ht="13.8" x14ac:dyDescent="0.2">
      <c r="B113" s="8" t="str">
        <f t="shared" si="13"/>
        <v/>
      </c>
      <c r="C113" s="10"/>
      <c r="D113" s="13"/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3"/>
        <v/>
      </c>
      <c r="C114" s="10"/>
      <c r="D114" s="8"/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3"/>
        <v/>
      </c>
      <c r="C115" s="10"/>
      <c r="D115" s="8"/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3"/>
        <v/>
      </c>
      <c r="C116" s="10"/>
      <c r="D116" s="8"/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3"/>
        <v/>
      </c>
      <c r="C117" s="10"/>
      <c r="D117" s="8"/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3"/>
        <v/>
      </c>
      <c r="C118" s="10"/>
      <c r="D118" s="8"/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3"/>
        <v/>
      </c>
      <c r="C119" s="10"/>
      <c r="D119" s="8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3"/>
        <v/>
      </c>
      <c r="C120" s="10"/>
      <c r="D120" s="8"/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3"/>
        <v/>
      </c>
      <c r="C121" s="10"/>
      <c r="D121" s="8"/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3"/>
        <v/>
      </c>
      <c r="C122" s="10"/>
      <c r="D122" s="8"/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3"/>
        <v/>
      </c>
      <c r="C123" s="10"/>
      <c r="D123" s="8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3"/>
        <v/>
      </c>
      <c r="C124" s="10"/>
      <c r="D124" s="8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3"/>
        <v/>
      </c>
      <c r="C125" s="10"/>
      <c r="D125" s="8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3"/>
        <v/>
      </c>
      <c r="C126" s="10"/>
      <c r="D126" s="8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3"/>
        <v/>
      </c>
      <c r="C127" s="10"/>
      <c r="D127" s="8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3"/>
        <v/>
      </c>
      <c r="C128" s="10"/>
      <c r="D128" s="8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3"/>
        <v/>
      </c>
      <c r="C129" s="10"/>
      <c r="D129" s="8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3"/>
        <v/>
      </c>
      <c r="C130" s="10"/>
      <c r="D130" s="8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3"/>
        <v/>
      </c>
      <c r="C131" s="10"/>
      <c r="D131" s="8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3"/>
        <v/>
      </c>
      <c r="C132" s="10"/>
      <c r="D132" s="8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8">IF(C133="","",C133)</f>
        <v/>
      </c>
      <c r="C133" s="10"/>
      <c r="D133" s="8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8"/>
        <v/>
      </c>
      <c r="C134" s="10"/>
      <c r="D134" s="8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1308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1349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1309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1350</v>
      </c>
    </row>
    <row r="6" spans="2:24" ht="13.8" x14ac:dyDescent="0.2">
      <c r="B6" s="8">
        <f t="shared" si="6"/>
        <v>1</v>
      </c>
      <c r="C6" s="10">
        <v>1</v>
      </c>
      <c r="D6" s="13" t="s">
        <v>1544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609</v>
      </c>
    </row>
    <row r="7" spans="2:24" ht="13.8" x14ac:dyDescent="0.2">
      <c r="B7" s="8">
        <f t="shared" si="6"/>
        <v>2</v>
      </c>
      <c r="C7" s="10">
        <v>2</v>
      </c>
      <c r="D7" s="13" t="s">
        <v>187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610</v>
      </c>
    </row>
    <row r="8" spans="2:24" ht="13.8" x14ac:dyDescent="0.2">
      <c r="B8" s="8">
        <f t="shared" si="6"/>
        <v>3</v>
      </c>
      <c r="C8" s="10">
        <v>3</v>
      </c>
      <c r="D8" s="9" t="s">
        <v>184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1939</v>
      </c>
    </row>
    <row r="9" spans="2:24" ht="13.8" x14ac:dyDescent="0.2">
      <c r="B9" s="8">
        <f t="shared" si="6"/>
        <v>4</v>
      </c>
      <c r="C9" s="10">
        <v>4</v>
      </c>
      <c r="D9" s="13" t="s">
        <v>1310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1351</v>
      </c>
    </row>
    <row r="10" spans="2:24" ht="13.8" x14ac:dyDescent="0.2">
      <c r="B10" s="8">
        <f t="shared" si="6"/>
        <v>5</v>
      </c>
      <c r="C10" s="10">
        <v>5</v>
      </c>
      <c r="D10" s="13" t="s">
        <v>1311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1352</v>
      </c>
    </row>
    <row r="11" spans="2:24" ht="13.8" x14ac:dyDescent="0.2">
      <c r="B11" s="8">
        <f t="shared" si="6"/>
        <v>6</v>
      </c>
      <c r="C11" s="10">
        <v>6</v>
      </c>
      <c r="D11" s="13" t="s">
        <v>1312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611</v>
      </c>
    </row>
    <row r="12" spans="2:24" ht="13.8" x14ac:dyDescent="0.2">
      <c r="B12" s="8">
        <f t="shared" si="6"/>
        <v>7</v>
      </c>
      <c r="C12" s="10">
        <v>7</v>
      </c>
      <c r="D12" s="13" t="s">
        <v>188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612</v>
      </c>
    </row>
    <row r="13" spans="2:24" ht="13.8" x14ac:dyDescent="0.2">
      <c r="B13" s="8">
        <f t="shared" si="6"/>
        <v>8</v>
      </c>
      <c r="C13" s="10">
        <v>8</v>
      </c>
      <c r="D13" s="13" t="s">
        <v>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613</v>
      </c>
    </row>
    <row r="14" spans="2:24" ht="13.8" x14ac:dyDescent="0.2">
      <c r="B14" s="8">
        <f t="shared" si="6"/>
        <v>9</v>
      </c>
      <c r="C14" s="10">
        <v>9</v>
      </c>
      <c r="D14" s="13" t="s">
        <v>64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6"/>
        <v>10</v>
      </c>
      <c r="C15" s="10">
        <v>10</v>
      </c>
      <c r="D15" s="13" t="s">
        <v>19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614</v>
      </c>
    </row>
    <row r="16" spans="2:24" ht="13.8" x14ac:dyDescent="0.2">
      <c r="B16" s="8">
        <f t="shared" si="6"/>
        <v>11</v>
      </c>
      <c r="C16" s="10">
        <v>11</v>
      </c>
      <c r="D16" s="13" t="s">
        <v>1313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615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616</v>
      </c>
    </row>
    <row r="19" spans="2:24" ht="13.8" x14ac:dyDescent="0.2">
      <c r="B19" s="8">
        <f t="shared" si="6"/>
        <v>14</v>
      </c>
      <c r="C19" s="10">
        <v>14</v>
      </c>
      <c r="D19" s="13" t="s">
        <v>1314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617</v>
      </c>
    </row>
    <row r="20" spans="2:24" ht="13.8" x14ac:dyDescent="0.2">
      <c r="B20" s="8">
        <f t="shared" si="6"/>
        <v>15</v>
      </c>
      <c r="C20" s="10">
        <v>15</v>
      </c>
      <c r="D20" s="2" t="s">
        <v>772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1353</v>
      </c>
    </row>
    <row r="21" spans="2:24" ht="13.8" x14ac:dyDescent="0.2">
      <c r="B21" s="8">
        <f t="shared" si="6"/>
        <v>16</v>
      </c>
      <c r="C21" s="10">
        <v>16</v>
      </c>
      <c r="D21" s="13" t="s">
        <v>47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618</v>
      </c>
    </row>
    <row r="22" spans="2:24" ht="13.8" x14ac:dyDescent="0.2">
      <c r="B22" s="8">
        <f t="shared" si="6"/>
        <v>17</v>
      </c>
      <c r="C22" s="10">
        <v>17</v>
      </c>
      <c r="D22" s="13" t="s">
        <v>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619</v>
      </c>
    </row>
    <row r="23" spans="2:24" ht="13.8" x14ac:dyDescent="0.2">
      <c r="B23" s="8">
        <f t="shared" si="6"/>
        <v>18</v>
      </c>
      <c r="C23" s="10">
        <v>18</v>
      </c>
      <c r="D23" s="9" t="s">
        <v>1009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1354</v>
      </c>
    </row>
    <row r="24" spans="2:24" ht="13.8" x14ac:dyDescent="0.2">
      <c r="B24" s="8">
        <f t="shared" si="6"/>
        <v>19</v>
      </c>
      <c r="C24" s="10">
        <v>19</v>
      </c>
      <c r="D24" s="13" t="s">
        <v>17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620</v>
      </c>
    </row>
    <row r="25" spans="2:24" ht="13.8" x14ac:dyDescent="0.2">
      <c r="B25" s="8">
        <f t="shared" si="6"/>
        <v>20</v>
      </c>
      <c r="C25" s="10">
        <v>20</v>
      </c>
      <c r="D25" s="13" t="s">
        <v>1742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621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189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622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24</v>
      </c>
      <c r="C29" s="10">
        <v>24</v>
      </c>
      <c r="D29" s="13" t="s">
        <v>1315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1355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623</v>
      </c>
    </row>
    <row r="32" spans="2:24" ht="13.8" x14ac:dyDescent="0.2">
      <c r="B32" s="8">
        <f t="shared" si="6"/>
        <v>27</v>
      </c>
      <c r="C32" s="10">
        <v>27</v>
      </c>
      <c r="D32" s="13" t="s">
        <v>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6"/>
        <v>28</v>
      </c>
      <c r="C33" s="10">
        <v>28</v>
      </c>
      <c r="D33" s="13" t="s">
        <v>770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1356</v>
      </c>
    </row>
    <row r="34" spans="2:24" ht="13.8" x14ac:dyDescent="0.2">
      <c r="B34" s="8">
        <f t="shared" si="6"/>
        <v>29</v>
      </c>
      <c r="C34" s="10">
        <v>29</v>
      </c>
      <c r="D34" s="13" t="s">
        <v>25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624</v>
      </c>
    </row>
    <row r="35" spans="2:24" ht="13.8" x14ac:dyDescent="0.2">
      <c r="B35" s="8">
        <f t="shared" si="6"/>
        <v>30</v>
      </c>
      <c r="C35" s="10">
        <v>30</v>
      </c>
      <c r="D35" s="13" t="s">
        <v>1134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1357</v>
      </c>
    </row>
    <row r="36" spans="2:24" ht="13.8" x14ac:dyDescent="0.2">
      <c r="B36" s="8">
        <f t="shared" si="6"/>
        <v>31</v>
      </c>
      <c r="C36" s="10">
        <v>31</v>
      </c>
      <c r="D36" s="13" t="s">
        <v>764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625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626</v>
      </c>
    </row>
    <row r="38" spans="2:24" ht="13.8" x14ac:dyDescent="0.2">
      <c r="B38" s="8">
        <f t="shared" si="6"/>
        <v>33</v>
      </c>
      <c r="C38" s="10">
        <v>33</v>
      </c>
      <c r="D38" s="13" t="s">
        <v>1316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1358</v>
      </c>
    </row>
    <row r="39" spans="2:24" ht="13.8" x14ac:dyDescent="0.2">
      <c r="B39" s="8">
        <f t="shared" si="6"/>
        <v>34</v>
      </c>
      <c r="C39" s="10">
        <v>34</v>
      </c>
      <c r="D39" s="13" t="s">
        <v>1317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1359</v>
      </c>
    </row>
    <row r="40" spans="2:24" ht="13.8" x14ac:dyDescent="0.2">
      <c r="B40" s="8">
        <f t="shared" si="6"/>
        <v>35</v>
      </c>
      <c r="C40" s="10">
        <v>35</v>
      </c>
      <c r="D40" s="13" t="s">
        <v>1302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1360</v>
      </c>
    </row>
    <row r="41" spans="2:24" ht="13.8" x14ac:dyDescent="0.2">
      <c r="B41" s="8">
        <f t="shared" si="6"/>
        <v>36</v>
      </c>
      <c r="C41" s="10">
        <v>36</v>
      </c>
      <c r="D41" s="13" t="s">
        <v>1318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1361</v>
      </c>
    </row>
    <row r="42" spans="2:24" ht="13.8" x14ac:dyDescent="0.2">
      <c r="B42" s="8">
        <f t="shared" si="6"/>
        <v>37</v>
      </c>
      <c r="C42" s="10">
        <v>37</v>
      </c>
      <c r="D42" s="13" t="s">
        <v>22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627</v>
      </c>
    </row>
    <row r="43" spans="2:24" ht="13.8" x14ac:dyDescent="0.2">
      <c r="B43" s="8">
        <f t="shared" si="6"/>
        <v>38</v>
      </c>
      <c r="C43" s="10">
        <v>38</v>
      </c>
      <c r="D43" s="13" t="s">
        <v>1319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518</v>
      </c>
    </row>
    <row r="44" spans="2:24" ht="13.8" x14ac:dyDescent="0.2">
      <c r="B44" s="8">
        <f t="shared" si="6"/>
        <v>39</v>
      </c>
      <c r="C44" s="10">
        <v>39</v>
      </c>
      <c r="D44" s="13" t="s">
        <v>1320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1362</v>
      </c>
    </row>
    <row r="45" spans="2:24" ht="13.8" x14ac:dyDescent="0.2">
      <c r="B45" s="8">
        <f t="shared" si="6"/>
        <v>40</v>
      </c>
      <c r="C45" s="10">
        <v>40</v>
      </c>
      <c r="D45" s="13" t="s">
        <v>1317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190</v>
      </c>
    </row>
    <row r="46" spans="2:24" ht="13.8" x14ac:dyDescent="0.2">
      <c r="B46" s="8">
        <f t="shared" si="6"/>
        <v>41</v>
      </c>
      <c r="C46" s="10">
        <v>41</v>
      </c>
      <c r="D46" s="13" t="s">
        <v>1321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154</v>
      </c>
    </row>
    <row r="47" spans="2:24" ht="13.8" x14ac:dyDescent="0.2">
      <c r="B47" s="8">
        <f t="shared" si="6"/>
        <v>42</v>
      </c>
      <c r="C47" s="10">
        <v>42</v>
      </c>
      <c r="D47" s="13" t="s">
        <v>1322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1940</v>
      </c>
    </row>
    <row r="48" spans="2:24" ht="13.8" x14ac:dyDescent="0.2">
      <c r="B48" s="8">
        <f t="shared" si="6"/>
        <v>43</v>
      </c>
      <c r="C48" s="10">
        <v>43</v>
      </c>
      <c r="D48" s="13" t="s">
        <v>773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1363</v>
      </c>
    </row>
    <row r="49" spans="2:24" ht="13.8" x14ac:dyDescent="0.2">
      <c r="B49" s="8">
        <f t="shared" si="6"/>
        <v>44</v>
      </c>
      <c r="C49" s="10">
        <v>44</v>
      </c>
      <c r="D49" s="13" t="s">
        <v>1323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1364</v>
      </c>
    </row>
    <row r="50" spans="2:24" ht="13.8" x14ac:dyDescent="0.2">
      <c r="B50" s="8">
        <f t="shared" si="6"/>
        <v>45</v>
      </c>
      <c r="C50" s="10">
        <v>45</v>
      </c>
      <c r="D50" s="13" t="s">
        <v>1324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369</v>
      </c>
    </row>
    <row r="51" spans="2:24" ht="13.8" x14ac:dyDescent="0.2">
      <c r="B51" s="8">
        <f t="shared" si="6"/>
        <v>46</v>
      </c>
      <c r="C51" s="10">
        <v>46</v>
      </c>
      <c r="D51" s="13" t="s">
        <v>1324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1365</v>
      </c>
    </row>
    <row r="52" spans="2:24" ht="13.8" x14ac:dyDescent="0.2">
      <c r="B52" s="8">
        <f t="shared" si="6"/>
        <v>47</v>
      </c>
      <c r="C52" s="10">
        <v>47</v>
      </c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6"/>
        <v>48</v>
      </c>
      <c r="C53" s="10">
        <v>48</v>
      </c>
      <c r="D53" s="13" t="s">
        <v>23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631</v>
      </c>
    </row>
    <row r="54" spans="2:24" ht="13.8" x14ac:dyDescent="0.2">
      <c r="B54" s="8">
        <f t="shared" si="6"/>
        <v>49</v>
      </c>
      <c r="C54" s="10">
        <v>49</v>
      </c>
      <c r="D54" s="9" t="s">
        <v>1325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1941</v>
      </c>
    </row>
    <row r="55" spans="2:24" ht="13.8" x14ac:dyDescent="0.2">
      <c r="B55" s="8">
        <f t="shared" si="6"/>
        <v>50</v>
      </c>
      <c r="C55" s="10">
        <v>50</v>
      </c>
      <c r="D55" s="13" t="s">
        <v>1293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632</v>
      </c>
    </row>
    <row r="56" spans="2:24" ht="13.8" x14ac:dyDescent="0.2">
      <c r="B56" s="8">
        <f t="shared" si="6"/>
        <v>51</v>
      </c>
      <c r="C56" s="10">
        <v>51</v>
      </c>
      <c r="D56" s="13" t="s">
        <v>1573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633</v>
      </c>
    </row>
    <row r="57" spans="2:24" ht="13.8" x14ac:dyDescent="0.2">
      <c r="B57" s="8">
        <f t="shared" si="6"/>
        <v>52</v>
      </c>
      <c r="C57" s="10">
        <v>52</v>
      </c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6"/>
        <v>53</v>
      </c>
      <c r="C58" s="10">
        <v>53</v>
      </c>
      <c r="D58" s="13" t="s">
        <v>1326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413</v>
      </c>
    </row>
    <row r="59" spans="2:24" ht="13.8" x14ac:dyDescent="0.2">
      <c r="B59" s="8">
        <f t="shared" si="6"/>
        <v>54</v>
      </c>
      <c r="C59" s="10">
        <v>54</v>
      </c>
      <c r="D59" s="13" t="s">
        <v>1327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1366</v>
      </c>
    </row>
    <row r="60" spans="2:24" ht="13.8" x14ac:dyDescent="0.2">
      <c r="B60" s="8">
        <f t="shared" si="6"/>
        <v>55</v>
      </c>
      <c r="C60" s="10">
        <v>55</v>
      </c>
      <c r="D60" s="13" t="s">
        <v>1328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1367</v>
      </c>
    </row>
    <row r="61" spans="2:24" ht="13.8" x14ac:dyDescent="0.2">
      <c r="B61" s="8">
        <f t="shared" si="6"/>
        <v>56</v>
      </c>
      <c r="C61" s="10">
        <v>56</v>
      </c>
      <c r="D61" s="13" t="s">
        <v>712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635</v>
      </c>
    </row>
    <row r="62" spans="2:24" ht="13.8" x14ac:dyDescent="0.2">
      <c r="B62" s="8">
        <f t="shared" si="6"/>
        <v>57</v>
      </c>
      <c r="C62" s="10">
        <v>57</v>
      </c>
      <c r="D62" s="13" t="s">
        <v>166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636</v>
      </c>
    </row>
    <row r="63" spans="2:24" ht="13.8" x14ac:dyDescent="0.2">
      <c r="B63" s="8">
        <f t="shared" si="6"/>
        <v>58</v>
      </c>
      <c r="C63" s="10">
        <v>58</v>
      </c>
      <c r="D63" s="13" t="s">
        <v>774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1368</v>
      </c>
    </row>
    <row r="64" spans="2:24" ht="13.8" x14ac:dyDescent="0.2">
      <c r="B64" s="8">
        <f t="shared" si="6"/>
        <v>59</v>
      </c>
      <c r="C64" s="10">
        <v>59</v>
      </c>
      <c r="D64" s="13" t="s">
        <v>1329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1369</v>
      </c>
    </row>
    <row r="65" spans="2:24" ht="13.8" x14ac:dyDescent="0.2">
      <c r="B65" s="8">
        <f t="shared" si="6"/>
        <v>60</v>
      </c>
      <c r="C65" s="10">
        <v>60</v>
      </c>
      <c r="D65" s="13" t="s">
        <v>50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637</v>
      </c>
    </row>
    <row r="66" spans="2:24" ht="13.8" x14ac:dyDescent="0.2">
      <c r="B66" s="8">
        <f t="shared" si="6"/>
        <v>61</v>
      </c>
      <c r="C66" s="10">
        <v>61</v>
      </c>
      <c r="D66" s="13" t="s">
        <v>172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638</v>
      </c>
    </row>
    <row r="67" spans="2:24" ht="13.8" x14ac:dyDescent="0.2">
      <c r="B67" s="8">
        <f t="shared" si="6"/>
        <v>62</v>
      </c>
      <c r="C67" s="10">
        <v>62</v>
      </c>
      <c r="D67" s="13" t="s">
        <v>1330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1942</v>
      </c>
    </row>
    <row r="68" spans="2:24" ht="13.8" x14ac:dyDescent="0.2">
      <c r="B68" s="8">
        <f t="shared" si="6"/>
        <v>63</v>
      </c>
      <c r="C68" s="10">
        <v>63</v>
      </c>
      <c r="D68" s="9" t="s">
        <v>24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775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1370</v>
      </c>
    </row>
    <row r="70" spans="2:24" ht="13.8" x14ac:dyDescent="0.2">
      <c r="B70" s="8">
        <f t="shared" si="10"/>
        <v>65</v>
      </c>
      <c r="C70" s="10">
        <v>65</v>
      </c>
      <c r="D70" s="9" t="s">
        <v>1331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771</v>
      </c>
    </row>
    <row r="71" spans="2:24" ht="13.8" x14ac:dyDescent="0.2">
      <c r="B71" s="8">
        <f t="shared" si="10"/>
        <v>66</v>
      </c>
      <c r="C71" s="10">
        <v>66</v>
      </c>
      <c r="D71" s="13" t="s">
        <v>1332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1371</v>
      </c>
    </row>
    <row r="72" spans="2:24" ht="13.8" x14ac:dyDescent="0.2">
      <c r="B72" s="8">
        <f t="shared" si="10"/>
        <v>67</v>
      </c>
      <c r="C72" s="10">
        <v>67</v>
      </c>
      <c r="D72" s="13" t="s">
        <v>1333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462</v>
      </c>
    </row>
    <row r="73" spans="2:24" ht="13.8" x14ac:dyDescent="0.2">
      <c r="B73" s="8">
        <f t="shared" si="10"/>
        <v>68</v>
      </c>
      <c r="C73" s="10">
        <v>68</v>
      </c>
      <c r="D73" s="13" t="s">
        <v>1334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1943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1335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537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1336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1336</v>
      </c>
    </row>
    <row r="106" spans="2:24" ht="13.8" x14ac:dyDescent="0.2">
      <c r="B106" s="8">
        <f t="shared" si="10"/>
        <v>101</v>
      </c>
      <c r="C106" s="10">
        <v>101</v>
      </c>
      <c r="D106" s="9" t="s">
        <v>1337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1372</v>
      </c>
    </row>
    <row r="107" spans="2:24" ht="13.8" x14ac:dyDescent="0.2">
      <c r="B107" s="8">
        <f t="shared" si="10"/>
        <v>102</v>
      </c>
      <c r="C107" s="10">
        <v>102</v>
      </c>
      <c r="D107" s="9" t="s">
        <v>1338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1373</v>
      </c>
    </row>
    <row r="108" spans="2:24" ht="13.8" x14ac:dyDescent="0.2">
      <c r="B108" s="8">
        <f t="shared" si="10"/>
        <v>103</v>
      </c>
      <c r="C108" s="10">
        <v>103</v>
      </c>
      <c r="D108" s="9" t="s">
        <v>1339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1374</v>
      </c>
    </row>
    <row r="109" spans="2:24" ht="13.8" x14ac:dyDescent="0.2">
      <c r="B109" s="8">
        <f t="shared" si="10"/>
        <v>105</v>
      </c>
      <c r="C109" s="10">
        <v>105</v>
      </c>
      <c r="D109" s="9" t="s">
        <v>1340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1944</v>
      </c>
    </row>
    <row r="110" spans="2:24" ht="13.8" x14ac:dyDescent="0.2">
      <c r="B110" s="8">
        <f t="shared" si="10"/>
        <v>106</v>
      </c>
      <c r="C110" s="10">
        <v>106</v>
      </c>
      <c r="D110" s="9" t="s">
        <v>1341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1375</v>
      </c>
    </row>
    <row r="111" spans="2:24" ht="13.8" x14ac:dyDescent="0.2">
      <c r="B111" s="8">
        <f t="shared" si="10"/>
        <v>107</v>
      </c>
      <c r="C111" s="10">
        <v>107</v>
      </c>
      <c r="D111" s="9" t="s">
        <v>1342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1945</v>
      </c>
    </row>
    <row r="112" spans="2:24" ht="13.8" x14ac:dyDescent="0.2">
      <c r="B112" s="8">
        <f t="shared" si="10"/>
        <v>108</v>
      </c>
      <c r="C112" s="10">
        <v>108</v>
      </c>
      <c r="D112" s="9" t="s">
        <v>1296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1376</v>
      </c>
    </row>
    <row r="113" spans="2:24" ht="13.8" x14ac:dyDescent="0.2">
      <c r="B113" s="8">
        <f t="shared" si="10"/>
        <v>109</v>
      </c>
      <c r="C113" s="10">
        <v>109</v>
      </c>
      <c r="D113" s="9" t="s">
        <v>186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1946</v>
      </c>
    </row>
    <row r="114" spans="2:24" ht="13.8" x14ac:dyDescent="0.2">
      <c r="B114" s="8">
        <f t="shared" si="10"/>
        <v>110</v>
      </c>
      <c r="C114" s="10">
        <v>110</v>
      </c>
      <c r="D114" s="8" t="s">
        <v>924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1947</v>
      </c>
    </row>
    <row r="115" spans="2:24" ht="13.8" x14ac:dyDescent="0.2">
      <c r="B115" s="8">
        <f t="shared" si="10"/>
        <v>111</v>
      </c>
      <c r="C115" s="10">
        <v>111</v>
      </c>
      <c r="D115" s="26" t="s">
        <v>1343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1377</v>
      </c>
    </row>
    <row r="116" spans="2:24" ht="13.8" x14ac:dyDescent="0.2">
      <c r="B116" s="8">
        <f t="shared" si="10"/>
        <v>116</v>
      </c>
      <c r="C116" s="10">
        <v>116</v>
      </c>
      <c r="D116" s="26" t="s">
        <v>1344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530</v>
      </c>
    </row>
    <row r="117" spans="2:24" ht="13.8" x14ac:dyDescent="0.2">
      <c r="B117" s="8">
        <f t="shared" si="10"/>
        <v>122</v>
      </c>
      <c r="C117" s="10">
        <v>122</v>
      </c>
      <c r="D117" s="26" t="s">
        <v>1345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1378</v>
      </c>
    </row>
    <row r="118" spans="2:24" ht="13.8" x14ac:dyDescent="0.2">
      <c r="B118" s="8">
        <f t="shared" si="10"/>
        <v>125</v>
      </c>
      <c r="C118" s="10">
        <v>125</v>
      </c>
      <c r="D118" s="26" t="s">
        <v>1346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1379</v>
      </c>
    </row>
    <row r="119" spans="2:24" ht="13.8" x14ac:dyDescent="0.2">
      <c r="B119" s="8">
        <f t="shared" si="10"/>
        <v>130</v>
      </c>
      <c r="C119" s="10">
        <v>130</v>
      </c>
      <c r="D119" s="26" t="s">
        <v>1298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1380</v>
      </c>
    </row>
    <row r="120" spans="2:24" ht="13.8" x14ac:dyDescent="0.2">
      <c r="B120" s="8">
        <f t="shared" si="10"/>
        <v>133</v>
      </c>
      <c r="C120" s="10">
        <v>133</v>
      </c>
      <c r="D120" s="26" t="s">
        <v>1347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1381</v>
      </c>
    </row>
    <row r="121" spans="2:24" ht="13.8" x14ac:dyDescent="0.2">
      <c r="B121" s="8">
        <f t="shared" si="10"/>
        <v>144</v>
      </c>
      <c r="C121" s="10">
        <v>144</v>
      </c>
      <c r="D121" s="26" t="s">
        <v>1348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191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5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6">IF(C133="","",C133)</f>
        <v/>
      </c>
      <c r="C133" s="10"/>
      <c r="D133" s="8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1382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1949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566</v>
      </c>
    </row>
    <row r="6" spans="2:24" ht="13.8" x14ac:dyDescent="0.2">
      <c r="B6" s="8">
        <f t="shared" si="6"/>
        <v>1</v>
      </c>
      <c r="C6" s="10">
        <v>1</v>
      </c>
      <c r="D6" s="13" t="s">
        <v>1318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1411</v>
      </c>
    </row>
    <row r="7" spans="2:24" ht="13.8" x14ac:dyDescent="0.2">
      <c r="B7" s="8">
        <f t="shared" si="6"/>
        <v>2</v>
      </c>
      <c r="C7" s="10">
        <v>2</v>
      </c>
      <c r="D7" s="13" t="s">
        <v>239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236</v>
      </c>
    </row>
    <row r="8" spans="2:24" ht="13.8" x14ac:dyDescent="0.2">
      <c r="B8" s="8">
        <f t="shared" si="6"/>
        <v>3</v>
      </c>
      <c r="C8" s="10">
        <v>3</v>
      </c>
      <c r="D8" s="13" t="s">
        <v>240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567</v>
      </c>
    </row>
    <row r="9" spans="2:24" ht="13.8" x14ac:dyDescent="0.2">
      <c r="B9" s="8">
        <f t="shared" si="6"/>
        <v>4</v>
      </c>
      <c r="C9" s="10">
        <v>4</v>
      </c>
      <c r="D9" s="13" t="s">
        <v>241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568</v>
      </c>
    </row>
    <row r="10" spans="2:24" ht="13.8" x14ac:dyDescent="0.2">
      <c r="B10" s="8">
        <f t="shared" si="6"/>
        <v>5</v>
      </c>
      <c r="C10" s="10">
        <v>5</v>
      </c>
      <c r="D10" s="13" t="s">
        <v>242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1383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1948</v>
      </c>
    </row>
    <row r="13" spans="2:24" ht="13.8" x14ac:dyDescent="0.2">
      <c r="B13" s="8">
        <f t="shared" si="6"/>
        <v>8</v>
      </c>
      <c r="C13" s="10">
        <v>8</v>
      </c>
      <c r="D13" s="13" t="s">
        <v>243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570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244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6"/>
        <v>13</v>
      </c>
      <c r="C18" s="10">
        <v>13</v>
      </c>
      <c r="D18" s="13" t="s">
        <v>650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571</v>
      </c>
    </row>
    <row r="19" spans="2:24" ht="13.8" x14ac:dyDescent="0.2">
      <c r="B19" s="8">
        <f t="shared" si="6"/>
        <v>14</v>
      </c>
      <c r="C19" s="10">
        <v>14</v>
      </c>
      <c r="D19" s="13" t="s">
        <v>1384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574</v>
      </c>
    </row>
    <row r="20" spans="2:24" ht="13.8" x14ac:dyDescent="0.2">
      <c r="B20" s="8">
        <f t="shared" si="6"/>
        <v>15</v>
      </c>
      <c r="C20" s="10">
        <v>15</v>
      </c>
      <c r="D20" s="13" t="s">
        <v>245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572</v>
      </c>
    </row>
    <row r="21" spans="2:24" ht="13.8" x14ac:dyDescent="0.2">
      <c r="B21" s="8">
        <f t="shared" si="6"/>
        <v>16</v>
      </c>
      <c r="C21" s="10">
        <v>16</v>
      </c>
      <c r="D21" s="13" t="s">
        <v>246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573</v>
      </c>
    </row>
    <row r="22" spans="2:24" ht="13.8" x14ac:dyDescent="0.2">
      <c r="B22" s="8">
        <f t="shared" si="6"/>
        <v>17</v>
      </c>
      <c r="C22" s="10">
        <v>17</v>
      </c>
      <c r="D22" s="13" t="s">
        <v>1385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591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6"/>
        <v>19</v>
      </c>
      <c r="C24" s="10">
        <v>19</v>
      </c>
      <c r="D24" s="13" t="s">
        <v>1386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1412</v>
      </c>
    </row>
    <row r="25" spans="2:24" ht="13.8" x14ac:dyDescent="0.2">
      <c r="B25" s="8">
        <f t="shared" si="6"/>
        <v>20</v>
      </c>
      <c r="C25" s="10">
        <v>20</v>
      </c>
      <c r="D25" s="13" t="s">
        <v>651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656</v>
      </c>
    </row>
    <row r="26" spans="2:24" ht="13.8" x14ac:dyDescent="0.2">
      <c r="B26" s="8">
        <f t="shared" si="6"/>
        <v>21</v>
      </c>
      <c r="C26" s="10">
        <v>21</v>
      </c>
      <c r="D26" s="13" t="s">
        <v>818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589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6"/>
        <v>25</v>
      </c>
      <c r="C30" s="10">
        <v>25</v>
      </c>
      <c r="D30" s="13" t="s">
        <v>1387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1413</v>
      </c>
    </row>
    <row r="31" spans="2:24" ht="13.8" x14ac:dyDescent="0.2">
      <c r="B31" s="8">
        <f t="shared" si="6"/>
        <v>26</v>
      </c>
      <c r="C31" s="10">
        <v>26</v>
      </c>
      <c r="D31" s="13" t="s">
        <v>1388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1414</v>
      </c>
    </row>
    <row r="32" spans="2:24" ht="13.8" x14ac:dyDescent="0.2">
      <c r="B32" s="8">
        <f t="shared" si="6"/>
        <v>27</v>
      </c>
      <c r="C32" s="10">
        <v>27</v>
      </c>
      <c r="D32" s="13" t="s">
        <v>247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577</v>
      </c>
    </row>
    <row r="33" spans="2:24" ht="13.8" x14ac:dyDescent="0.2">
      <c r="B33" s="8">
        <f t="shared" si="6"/>
        <v>28</v>
      </c>
      <c r="C33" s="10">
        <v>28</v>
      </c>
      <c r="D33" s="13" t="s">
        <v>1295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657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6"/>
        <v>30</v>
      </c>
      <c r="C35" s="10">
        <v>30</v>
      </c>
      <c r="D35" s="13" t="s">
        <v>1389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1415</v>
      </c>
    </row>
    <row r="36" spans="2:24" ht="13.8" x14ac:dyDescent="0.2">
      <c r="B36" s="8">
        <f t="shared" si="6"/>
        <v>31</v>
      </c>
      <c r="C36" s="10">
        <v>31</v>
      </c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6"/>
        <v>32</v>
      </c>
      <c r="C37" s="10">
        <v>32</v>
      </c>
      <c r="D37" s="13" t="s">
        <v>248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581</v>
      </c>
    </row>
    <row r="38" spans="2:24" ht="13.8" x14ac:dyDescent="0.2">
      <c r="B38" s="8">
        <f t="shared" si="6"/>
        <v>33</v>
      </c>
      <c r="C38" s="10">
        <v>33</v>
      </c>
      <c r="D38" s="13" t="s">
        <v>249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582</v>
      </c>
    </row>
    <row r="39" spans="2:24" ht="13.8" x14ac:dyDescent="0.2">
      <c r="B39" s="8">
        <f t="shared" si="6"/>
        <v>34</v>
      </c>
      <c r="C39" s="10">
        <v>34</v>
      </c>
      <c r="D39" s="13" t="s">
        <v>1390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426</v>
      </c>
    </row>
    <row r="40" spans="2:24" ht="13.8" x14ac:dyDescent="0.2">
      <c r="B40" s="8">
        <f t="shared" si="6"/>
        <v>35</v>
      </c>
      <c r="C40" s="10">
        <v>35</v>
      </c>
      <c r="D40" s="13" t="s">
        <v>1391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606</v>
      </c>
    </row>
    <row r="41" spans="2:24" ht="13.8" x14ac:dyDescent="0.2">
      <c r="B41" s="8">
        <f t="shared" si="6"/>
        <v>36</v>
      </c>
      <c r="C41" s="10">
        <v>36</v>
      </c>
      <c r="D41" s="13" t="s">
        <v>250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583</v>
      </c>
    </row>
    <row r="42" spans="2:24" ht="13.8" x14ac:dyDescent="0.2">
      <c r="B42" s="8">
        <f t="shared" si="6"/>
        <v>37</v>
      </c>
      <c r="C42" s="10">
        <v>37</v>
      </c>
      <c r="D42" s="13" t="s">
        <v>251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584</v>
      </c>
    </row>
    <row r="43" spans="2:24" ht="13.8" x14ac:dyDescent="0.2">
      <c r="B43" s="8">
        <f t="shared" si="6"/>
        <v>38</v>
      </c>
      <c r="C43" s="10">
        <v>38</v>
      </c>
      <c r="D43" s="13" t="s">
        <v>252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585</v>
      </c>
    </row>
    <row r="44" spans="2:24" ht="13.8" x14ac:dyDescent="0.2">
      <c r="B44" s="8">
        <f t="shared" si="6"/>
        <v>39</v>
      </c>
      <c r="C44" s="10">
        <v>39</v>
      </c>
      <c r="D44" s="13" t="s">
        <v>253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586</v>
      </c>
    </row>
    <row r="45" spans="2:24" ht="13.8" x14ac:dyDescent="0.2">
      <c r="B45" s="8">
        <f t="shared" si="6"/>
        <v>40</v>
      </c>
      <c r="C45" s="10">
        <v>40</v>
      </c>
      <c r="D45" s="13" t="s">
        <v>1392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1416</v>
      </c>
    </row>
    <row r="46" spans="2:24" ht="13.8" x14ac:dyDescent="0.2">
      <c r="B46" s="8">
        <f t="shared" si="6"/>
        <v>41</v>
      </c>
      <c r="C46" s="10">
        <v>41</v>
      </c>
      <c r="D46" s="13" t="s">
        <v>254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6"/>
        <v>43</v>
      </c>
      <c r="C48" s="10">
        <v>43</v>
      </c>
      <c r="D48" s="13" t="s">
        <v>1393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1417</v>
      </c>
    </row>
    <row r="49" spans="2:24" ht="13.8" x14ac:dyDescent="0.2">
      <c r="B49" s="8">
        <f t="shared" si="6"/>
        <v>44</v>
      </c>
      <c r="C49" s="10">
        <v>44</v>
      </c>
      <c r="D49" s="13" t="s">
        <v>1394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1418</v>
      </c>
    </row>
    <row r="50" spans="2:24" ht="13.8" x14ac:dyDescent="0.2">
      <c r="B50" s="8">
        <f t="shared" si="6"/>
        <v>45</v>
      </c>
      <c r="C50" s="10">
        <v>45</v>
      </c>
      <c r="D50" s="13" t="s">
        <v>255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588</v>
      </c>
    </row>
    <row r="51" spans="2:24" ht="13.8" x14ac:dyDescent="0.2">
      <c r="B51" s="8">
        <f t="shared" si="6"/>
        <v>46</v>
      </c>
      <c r="C51" s="10">
        <v>46</v>
      </c>
      <c r="D51" s="13" t="s">
        <v>1395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605</v>
      </c>
    </row>
    <row r="52" spans="2:24" ht="13.8" x14ac:dyDescent="0.2">
      <c r="B52" s="8">
        <f t="shared" si="6"/>
        <v>47</v>
      </c>
      <c r="C52" s="10">
        <v>47</v>
      </c>
      <c r="D52" s="13" t="s">
        <v>652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658</v>
      </c>
    </row>
    <row r="53" spans="2:24" ht="13.8" x14ac:dyDescent="0.2">
      <c r="B53" s="8">
        <f t="shared" si="6"/>
        <v>48</v>
      </c>
      <c r="C53" s="10">
        <v>48</v>
      </c>
      <c r="D53" s="13" t="s">
        <v>1396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1419</v>
      </c>
    </row>
    <row r="54" spans="2:24" ht="13.8" x14ac:dyDescent="0.2">
      <c r="B54" s="8">
        <f t="shared" si="6"/>
        <v>49</v>
      </c>
      <c r="C54" s="10">
        <v>49</v>
      </c>
      <c r="D54" s="13" t="s">
        <v>1397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6"/>
        <v>50</v>
      </c>
      <c r="C55" s="10">
        <v>50</v>
      </c>
      <c r="D55" s="13" t="s">
        <v>716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1420</v>
      </c>
    </row>
    <row r="56" spans="2:24" ht="13.8" x14ac:dyDescent="0.2">
      <c r="B56" s="8">
        <f t="shared" si="6"/>
        <v>51</v>
      </c>
      <c r="C56" s="10">
        <v>51</v>
      </c>
      <c r="D56" s="13" t="s">
        <v>257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592</v>
      </c>
    </row>
    <row r="57" spans="2:24" ht="13.8" x14ac:dyDescent="0.2">
      <c r="B57" s="8">
        <f t="shared" si="6"/>
        <v>52</v>
      </c>
      <c r="C57" s="10">
        <v>52</v>
      </c>
      <c r="D57" s="13" t="s">
        <v>1287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1421</v>
      </c>
    </row>
    <row r="58" spans="2:24" ht="13.8" x14ac:dyDescent="0.2">
      <c r="B58" s="8">
        <f t="shared" si="6"/>
        <v>53</v>
      </c>
      <c r="C58" s="10">
        <v>53</v>
      </c>
      <c r="D58" s="13" t="s">
        <v>258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593</v>
      </c>
    </row>
    <row r="59" spans="2:24" ht="13.8" x14ac:dyDescent="0.2">
      <c r="B59" s="8">
        <f t="shared" si="6"/>
        <v>54</v>
      </c>
      <c r="C59" s="10">
        <v>54</v>
      </c>
      <c r="D59" s="13" t="s">
        <v>259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594</v>
      </c>
    </row>
    <row r="60" spans="2:24" ht="13.8" x14ac:dyDescent="0.2">
      <c r="B60" s="8">
        <f t="shared" si="6"/>
        <v>55</v>
      </c>
      <c r="C60" s="10">
        <v>55</v>
      </c>
      <c r="D60" s="13" t="s">
        <v>1398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1950</v>
      </c>
    </row>
    <row r="61" spans="2:24" ht="13.8" x14ac:dyDescent="0.2">
      <c r="B61" s="8">
        <f t="shared" si="6"/>
        <v>56</v>
      </c>
      <c r="C61" s="10">
        <v>56</v>
      </c>
      <c r="D61" s="13" t="s">
        <v>1399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1422</v>
      </c>
    </row>
    <row r="62" spans="2:24" ht="13.8" x14ac:dyDescent="0.2">
      <c r="B62" s="8">
        <f t="shared" si="6"/>
        <v>57</v>
      </c>
      <c r="C62" s="10">
        <v>57</v>
      </c>
      <c r="D62" s="13" t="s">
        <v>260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596</v>
      </c>
    </row>
    <row r="63" spans="2:24" ht="13.8" x14ac:dyDescent="0.2">
      <c r="B63" s="8">
        <f t="shared" si="6"/>
        <v>58</v>
      </c>
      <c r="C63" s="10">
        <v>58</v>
      </c>
      <c r="D63" s="13" t="s">
        <v>653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659</v>
      </c>
    </row>
    <row r="64" spans="2:24" ht="13.8" x14ac:dyDescent="0.2">
      <c r="B64" s="8">
        <f t="shared" si="6"/>
        <v>59</v>
      </c>
      <c r="C64" s="10">
        <v>59</v>
      </c>
      <c r="D64" s="13" t="s">
        <v>261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597</v>
      </c>
    </row>
    <row r="65" spans="2:24" ht="13.8" x14ac:dyDescent="0.2">
      <c r="B65" s="8">
        <f t="shared" si="6"/>
        <v>60</v>
      </c>
      <c r="C65" s="10">
        <v>60</v>
      </c>
      <c r="D65" s="13" t="s">
        <v>1400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608</v>
      </c>
    </row>
    <row r="66" spans="2:24" ht="13.8" x14ac:dyDescent="0.2">
      <c r="B66" s="8">
        <f t="shared" si="6"/>
        <v>61</v>
      </c>
      <c r="C66" s="10">
        <v>61</v>
      </c>
      <c r="D66" s="13" t="s">
        <v>654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660</v>
      </c>
    </row>
    <row r="67" spans="2:24" ht="13.8" x14ac:dyDescent="0.2">
      <c r="B67" s="8">
        <f t="shared" si="6"/>
        <v>62</v>
      </c>
      <c r="C67" s="10">
        <v>62</v>
      </c>
      <c r="D67" s="13" t="s">
        <v>262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598</v>
      </c>
    </row>
    <row r="68" spans="2:24" ht="13.8" x14ac:dyDescent="0.2">
      <c r="B68" s="8">
        <f t="shared" si="6"/>
        <v>63</v>
      </c>
      <c r="C68" s="10">
        <v>63</v>
      </c>
      <c r="D68" s="13" t="s">
        <v>1401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1423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655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661</v>
      </c>
    </row>
    <row r="70" spans="2:24" ht="13.8" x14ac:dyDescent="0.2">
      <c r="B70" s="8">
        <f t="shared" si="13"/>
        <v>65</v>
      </c>
      <c r="C70" s="10">
        <v>65</v>
      </c>
      <c r="D70" s="13" t="s">
        <v>263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599</v>
      </c>
    </row>
    <row r="71" spans="2:24" ht="13.8" x14ac:dyDescent="0.2">
      <c r="B71" s="8">
        <f t="shared" si="13"/>
        <v>66</v>
      </c>
      <c r="C71" s="10">
        <v>66</v>
      </c>
      <c r="D71" s="13" t="s">
        <v>1402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1424</v>
      </c>
    </row>
    <row r="72" spans="2:24" ht="13.8" x14ac:dyDescent="0.2">
      <c r="B72" s="8">
        <f t="shared" si="13"/>
        <v>67</v>
      </c>
      <c r="C72" s="10">
        <v>67</v>
      </c>
      <c r="D72" s="13" t="s">
        <v>264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601</v>
      </c>
    </row>
    <row r="73" spans="2:24" ht="13.8" x14ac:dyDescent="0.2">
      <c r="B73" s="8">
        <f t="shared" si="13"/>
        <v>68</v>
      </c>
      <c r="C73" s="10">
        <v>68</v>
      </c>
      <c r="D73" s="13" t="s">
        <v>1326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662</v>
      </c>
    </row>
    <row r="74" spans="2:24" ht="13.8" x14ac:dyDescent="0.2">
      <c r="B74" s="8">
        <f t="shared" si="13"/>
        <v>69</v>
      </c>
      <c r="C74" s="10">
        <v>69</v>
      </c>
      <c r="D74" s="13" t="s">
        <v>265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602</v>
      </c>
    </row>
    <row r="75" spans="2:24" ht="13.8" x14ac:dyDescent="0.2">
      <c r="B75" s="8">
        <f t="shared" si="13"/>
        <v>70</v>
      </c>
      <c r="C75" s="10">
        <v>70</v>
      </c>
      <c r="D75" s="13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3"/>
        <v>72</v>
      </c>
      <c r="C77" s="10">
        <v>72</v>
      </c>
      <c r="D77" s="13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3"/>
        <v>73</v>
      </c>
      <c r="C78" s="10">
        <v>73</v>
      </c>
      <c r="D78" s="13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3"/>
        <v>74</v>
      </c>
      <c r="C79" s="10">
        <v>74</v>
      </c>
      <c r="D79" s="13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3"/>
        <v>75</v>
      </c>
      <c r="C80" s="10">
        <v>75</v>
      </c>
      <c r="D80" s="13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3"/>
        <v>76</v>
      </c>
      <c r="C81" s="10">
        <v>76</v>
      </c>
      <c r="D81" s="13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3"/>
        <v>77</v>
      </c>
      <c r="C82" s="10">
        <v>77</v>
      </c>
      <c r="D82" s="13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3"/>
        <v>78</v>
      </c>
      <c r="C83" s="10">
        <v>78</v>
      </c>
      <c r="D83" s="13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3"/>
        <v>79</v>
      </c>
      <c r="C84" s="10">
        <v>79</v>
      </c>
      <c r="D84" s="13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3"/>
        <v>80</v>
      </c>
      <c r="C85" s="10">
        <v>80</v>
      </c>
      <c r="D85" s="13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3"/>
        <v>81</v>
      </c>
      <c r="C86" s="10">
        <v>81</v>
      </c>
      <c r="D86" s="13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3"/>
        <v>82</v>
      </c>
      <c r="C87" s="10">
        <v>82</v>
      </c>
      <c r="D87" s="13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3"/>
        <v>83</v>
      </c>
      <c r="C88" s="10">
        <v>83</v>
      </c>
      <c r="D88" s="13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3"/>
        <v>84</v>
      </c>
      <c r="C89" s="10">
        <v>84</v>
      </c>
      <c r="D89" s="13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3"/>
        <v>85</v>
      </c>
      <c r="C90" s="10">
        <v>85</v>
      </c>
      <c r="D90" s="13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3"/>
        <v>86</v>
      </c>
      <c r="C91" s="10">
        <v>86</v>
      </c>
      <c r="D91" s="13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3"/>
        <v>87</v>
      </c>
      <c r="C92" s="10">
        <v>87</v>
      </c>
      <c r="D92" s="13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3"/>
        <v>88</v>
      </c>
      <c r="C93" s="10">
        <v>88</v>
      </c>
      <c r="D93" s="13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3"/>
        <v>89</v>
      </c>
      <c r="C94" s="10">
        <v>89</v>
      </c>
      <c r="D94" s="13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3"/>
        <v>91</v>
      </c>
      <c r="C96" s="10">
        <v>91</v>
      </c>
      <c r="D96" s="13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3"/>
        <v>92</v>
      </c>
      <c r="C97" s="10">
        <v>92</v>
      </c>
      <c r="D97" s="13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3"/>
        <v>93</v>
      </c>
      <c r="C98" s="10">
        <v>93</v>
      </c>
      <c r="D98" s="13" t="s">
        <v>1304</v>
      </c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607</v>
      </c>
    </row>
    <row r="99" spans="2:24" ht="13.8" x14ac:dyDescent="0.2">
      <c r="B99" s="8">
        <f t="shared" si="13"/>
        <v>94</v>
      </c>
      <c r="C99" s="10">
        <v>94</v>
      </c>
      <c r="D99" s="13" t="s">
        <v>266</v>
      </c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603</v>
      </c>
    </row>
    <row r="100" spans="2:24" ht="13.8" x14ac:dyDescent="0.2">
      <c r="B100" s="8">
        <f t="shared" si="13"/>
        <v>95</v>
      </c>
      <c r="C100" s="10">
        <v>95</v>
      </c>
      <c r="D100" s="13" t="s">
        <v>267</v>
      </c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604</v>
      </c>
    </row>
    <row r="101" spans="2:24" ht="13.8" x14ac:dyDescent="0.2">
      <c r="B101" s="8">
        <f t="shared" si="13"/>
        <v>96</v>
      </c>
      <c r="C101" s="10">
        <v>96</v>
      </c>
      <c r="D101" s="13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3"/>
        <v>97</v>
      </c>
      <c r="C102" s="10">
        <v>97</v>
      </c>
      <c r="D102" s="13" t="s">
        <v>1403</v>
      </c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1425</v>
      </c>
    </row>
    <row r="103" spans="2:24" ht="13.8" x14ac:dyDescent="0.2">
      <c r="B103" s="8">
        <f t="shared" si="13"/>
        <v>98</v>
      </c>
      <c r="C103" s="10">
        <v>98</v>
      </c>
      <c r="D103" s="13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3"/>
        <v>99</v>
      </c>
      <c r="C104" s="10">
        <v>99</v>
      </c>
      <c r="D104" s="13" t="s">
        <v>1404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1951</v>
      </c>
    </row>
    <row r="105" spans="2:24" ht="13.8" x14ac:dyDescent="0.2">
      <c r="B105" s="8">
        <f t="shared" si="13"/>
        <v>122</v>
      </c>
      <c r="C105" s="10">
        <v>122</v>
      </c>
      <c r="D105" s="13" t="s">
        <v>1291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600</v>
      </c>
    </row>
    <row r="106" spans="2:24" ht="13.8" x14ac:dyDescent="0.2">
      <c r="B106" s="8">
        <f t="shared" si="13"/>
        <v>123</v>
      </c>
      <c r="C106" s="10">
        <v>123</v>
      </c>
      <c r="D106" s="13" t="s">
        <v>1405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1426</v>
      </c>
    </row>
    <row r="107" spans="2:24" ht="13.8" x14ac:dyDescent="0.2">
      <c r="B107" s="8">
        <f t="shared" si="13"/>
        <v>125</v>
      </c>
      <c r="C107" s="10">
        <v>125</v>
      </c>
      <c r="D107" s="13" t="s">
        <v>1406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663</v>
      </c>
    </row>
    <row r="108" spans="2:24" ht="13.8" x14ac:dyDescent="0.2">
      <c r="B108" s="8">
        <f t="shared" si="13"/>
        <v>126</v>
      </c>
      <c r="C108" s="10">
        <v>126</v>
      </c>
      <c r="D108" s="13" t="s">
        <v>1407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1427</v>
      </c>
    </row>
    <row r="109" spans="2:24" ht="13.8" x14ac:dyDescent="0.2">
      <c r="B109" s="8">
        <f t="shared" si="13"/>
        <v>127</v>
      </c>
      <c r="C109" s="10">
        <v>127</v>
      </c>
      <c r="D109" s="13" t="s">
        <v>1408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590</v>
      </c>
    </row>
    <row r="110" spans="2:24" ht="13.8" x14ac:dyDescent="0.2">
      <c r="B110" s="8">
        <f t="shared" si="13"/>
        <v>128</v>
      </c>
      <c r="C110" s="10">
        <v>128</v>
      </c>
      <c r="D110" s="13" t="s">
        <v>1409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579</v>
      </c>
    </row>
    <row r="111" spans="2:24" ht="13.8" x14ac:dyDescent="0.2">
      <c r="B111" s="8">
        <f t="shared" si="13"/>
        <v>130</v>
      </c>
      <c r="C111" s="10">
        <v>130</v>
      </c>
      <c r="D111" s="26" t="s">
        <v>1410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580</v>
      </c>
    </row>
    <row r="112" spans="2:24" ht="13.8" x14ac:dyDescent="0.2">
      <c r="B112" s="8" t="str">
        <f t="shared" si="13"/>
        <v/>
      </c>
      <c r="C112" s="10"/>
      <c r="D112" s="13"/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3"/>
        <v/>
      </c>
      <c r="C113" s="10"/>
      <c r="D113" s="13"/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3"/>
        <v/>
      </c>
      <c r="C114" s="10"/>
      <c r="D114" s="8"/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3"/>
        <v/>
      </c>
      <c r="C115" s="10"/>
      <c r="D115" s="26"/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3"/>
        <v/>
      </c>
      <c r="C116" s="10"/>
      <c r="D116" s="8"/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3"/>
        <v/>
      </c>
      <c r="C117" s="10"/>
      <c r="D117" s="8"/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3"/>
        <v/>
      </c>
      <c r="C118" s="10"/>
      <c r="D118" s="8"/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3"/>
        <v/>
      </c>
      <c r="C119" s="10"/>
      <c r="D119" s="8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3"/>
        <v/>
      </c>
      <c r="C120" s="10"/>
      <c r="D120" s="8"/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3"/>
        <v/>
      </c>
      <c r="C121" s="10"/>
      <c r="D121" s="8"/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3"/>
        <v/>
      </c>
      <c r="C122" s="10"/>
      <c r="D122" s="8"/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3"/>
        <v/>
      </c>
      <c r="C123" s="10"/>
      <c r="D123" s="8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3"/>
        <v/>
      </c>
      <c r="C124" s="10"/>
      <c r="D124" s="8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3"/>
        <v/>
      </c>
      <c r="C125" s="10"/>
      <c r="D125" s="8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3"/>
        <v/>
      </c>
      <c r="C126" s="10"/>
      <c r="D126" s="8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3"/>
        <v/>
      </c>
      <c r="C127" s="10"/>
      <c r="D127" s="8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3"/>
        <v/>
      </c>
      <c r="C128" s="10"/>
      <c r="D128" s="8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3"/>
        <v/>
      </c>
      <c r="C129" s="10"/>
      <c r="D129" s="8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3"/>
        <v/>
      </c>
      <c r="C130" s="10"/>
      <c r="D130" s="8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3"/>
        <v/>
      </c>
      <c r="C131" s="10"/>
      <c r="D131" s="8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3"/>
        <v/>
      </c>
      <c r="C132" s="10"/>
      <c r="D132" s="8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8">IF(C133="","",C133)</f>
        <v/>
      </c>
      <c r="C133" s="10"/>
      <c r="D133" s="8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8"/>
        <v/>
      </c>
      <c r="C134" s="10"/>
      <c r="D134" s="8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6"/>
        <v>1</v>
      </c>
      <c r="C6" s="10">
        <v>1</v>
      </c>
      <c r="D6" s="13" t="s">
        <v>1428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563</v>
      </c>
    </row>
    <row r="7" spans="2:24" ht="13.8" x14ac:dyDescent="0.2">
      <c r="B7" s="8">
        <f t="shared" si="6"/>
        <v>2</v>
      </c>
      <c r="C7" s="10">
        <v>2</v>
      </c>
      <c r="D7" s="13" t="s">
        <v>1429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1476</v>
      </c>
    </row>
    <row r="8" spans="2:24" ht="13.8" x14ac:dyDescent="0.2">
      <c r="B8" s="8">
        <f t="shared" si="6"/>
        <v>3</v>
      </c>
      <c r="C8" s="10">
        <v>3</v>
      </c>
      <c r="D8" s="13" t="s">
        <v>1197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539</v>
      </c>
    </row>
    <row r="9" spans="2:24" ht="13.8" x14ac:dyDescent="0.2">
      <c r="B9" s="8">
        <f t="shared" si="6"/>
        <v>4</v>
      </c>
      <c r="C9" s="10">
        <v>4</v>
      </c>
      <c r="D9" s="13" t="s">
        <v>776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1477</v>
      </c>
    </row>
    <row r="10" spans="2:24" ht="13.8" x14ac:dyDescent="0.2">
      <c r="B10" s="8">
        <f t="shared" si="6"/>
        <v>5</v>
      </c>
      <c r="C10" s="10">
        <v>5</v>
      </c>
      <c r="D10" s="13" t="s">
        <v>1430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1478</v>
      </c>
    </row>
    <row r="11" spans="2:24" ht="13.8" x14ac:dyDescent="0.2">
      <c r="B11" s="8">
        <f t="shared" si="6"/>
        <v>6</v>
      </c>
      <c r="C11" s="10">
        <v>6</v>
      </c>
      <c r="D11" s="13" t="s">
        <v>1431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1479</v>
      </c>
    </row>
    <row r="12" spans="2:24" ht="13.8" x14ac:dyDescent="0.2">
      <c r="B12" s="8">
        <f t="shared" si="6"/>
        <v>7</v>
      </c>
      <c r="C12" s="10">
        <v>7</v>
      </c>
      <c r="D12" s="13" t="s">
        <v>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541</v>
      </c>
    </row>
    <row r="13" spans="2:24" ht="13.8" x14ac:dyDescent="0.2">
      <c r="B13" s="8">
        <f t="shared" si="6"/>
        <v>8</v>
      </c>
      <c r="C13" s="10">
        <v>8</v>
      </c>
      <c r="D13" s="13" t="s">
        <v>30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542</v>
      </c>
    </row>
    <row r="14" spans="2:24" ht="13.8" x14ac:dyDescent="0.2">
      <c r="B14" s="8">
        <f t="shared" si="6"/>
        <v>9</v>
      </c>
      <c r="C14" s="10">
        <v>9</v>
      </c>
      <c r="D14" s="13" t="s">
        <v>1432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1480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1346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6"/>
        <v>12</v>
      </c>
      <c r="C17" s="10">
        <v>12</v>
      </c>
      <c r="D17" s="13" t="s">
        <v>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543</v>
      </c>
    </row>
    <row r="18" spans="2:24" ht="13.8" x14ac:dyDescent="0.2">
      <c r="B18" s="8">
        <f t="shared" si="6"/>
        <v>13</v>
      </c>
      <c r="C18" s="10">
        <v>13</v>
      </c>
      <c r="D18" s="13" t="s">
        <v>1302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544</v>
      </c>
    </row>
    <row r="19" spans="2:24" ht="13.8" x14ac:dyDescent="0.2">
      <c r="B19" s="8">
        <f t="shared" si="6"/>
        <v>14</v>
      </c>
      <c r="C19" s="10">
        <v>14</v>
      </c>
      <c r="D19" s="13" t="s">
        <v>1433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1481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6"/>
        <v>17</v>
      </c>
      <c r="C22" s="10">
        <v>17</v>
      </c>
      <c r="D22" s="13" t="s">
        <v>26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545</v>
      </c>
    </row>
    <row r="23" spans="2:24" ht="13.8" x14ac:dyDescent="0.2">
      <c r="B23" s="8">
        <f t="shared" si="6"/>
        <v>18</v>
      </c>
      <c r="C23" s="10">
        <v>18</v>
      </c>
      <c r="D23" s="13" t="s">
        <v>192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546</v>
      </c>
    </row>
    <row r="24" spans="2:24" ht="13.8" x14ac:dyDescent="0.2">
      <c r="B24" s="8">
        <f t="shared" si="6"/>
        <v>19</v>
      </c>
      <c r="C24" s="10">
        <v>19</v>
      </c>
      <c r="D24" s="13" t="s">
        <v>1197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547</v>
      </c>
    </row>
    <row r="25" spans="2:24" ht="13.8" x14ac:dyDescent="0.2">
      <c r="B25" s="8">
        <f t="shared" si="6"/>
        <v>20</v>
      </c>
      <c r="C25" s="10">
        <v>20</v>
      </c>
      <c r="D25" s="13" t="s">
        <v>1434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6"/>
        <v>22</v>
      </c>
      <c r="C27" s="10">
        <v>22</v>
      </c>
      <c r="D27" s="13" t="s">
        <v>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1482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31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549</v>
      </c>
    </row>
    <row r="30" spans="2:24" ht="13.8" x14ac:dyDescent="0.2">
      <c r="B30" s="8">
        <f t="shared" si="6"/>
        <v>25</v>
      </c>
      <c r="C30" s="10">
        <v>25</v>
      </c>
      <c r="D30" s="13" t="s">
        <v>1435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538</v>
      </c>
    </row>
    <row r="31" spans="2:24" ht="13.8" x14ac:dyDescent="0.2">
      <c r="B31" s="8">
        <f t="shared" si="6"/>
        <v>26</v>
      </c>
      <c r="C31" s="10">
        <v>26</v>
      </c>
      <c r="D31" s="13" t="s">
        <v>777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1483</v>
      </c>
    </row>
    <row r="32" spans="2:24" ht="13.8" x14ac:dyDescent="0.2">
      <c r="B32" s="8">
        <f t="shared" si="6"/>
        <v>27</v>
      </c>
      <c r="C32" s="10">
        <v>27</v>
      </c>
      <c r="D32" s="13" t="s">
        <v>1402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1484</v>
      </c>
    </row>
    <row r="33" spans="2:24" ht="13.8" x14ac:dyDescent="0.2">
      <c r="B33" s="8">
        <f t="shared" si="6"/>
        <v>28</v>
      </c>
      <c r="C33" s="10">
        <v>28</v>
      </c>
      <c r="D33" s="13" t="s">
        <v>1436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550</v>
      </c>
    </row>
    <row r="34" spans="2:24" ht="13.8" x14ac:dyDescent="0.2">
      <c r="B34" s="8">
        <f t="shared" si="6"/>
        <v>29</v>
      </c>
      <c r="C34" s="10">
        <v>29</v>
      </c>
      <c r="D34" s="13" t="s">
        <v>1437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1485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551</v>
      </c>
    </row>
    <row r="36" spans="2:24" ht="13.8" x14ac:dyDescent="0.2">
      <c r="B36" s="8">
        <f t="shared" si="6"/>
        <v>31</v>
      </c>
      <c r="C36" s="10">
        <v>31</v>
      </c>
      <c r="D36" s="13" t="s">
        <v>1438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1486</v>
      </c>
    </row>
    <row r="37" spans="2:24" ht="13.8" x14ac:dyDescent="0.2">
      <c r="B37" s="8">
        <f t="shared" si="6"/>
        <v>32</v>
      </c>
      <c r="C37" s="10">
        <v>32</v>
      </c>
      <c r="D37" s="13" t="s">
        <v>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552</v>
      </c>
    </row>
    <row r="38" spans="2:24" ht="13.8" x14ac:dyDescent="0.2">
      <c r="B38" s="8">
        <f t="shared" si="6"/>
        <v>33</v>
      </c>
      <c r="C38" s="10">
        <v>33</v>
      </c>
      <c r="D38" s="13" t="s">
        <v>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6"/>
        <v>34</v>
      </c>
      <c r="C39" s="10">
        <v>34</v>
      </c>
      <c r="D39" s="13" t="s">
        <v>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553</v>
      </c>
    </row>
    <row r="40" spans="2:24" ht="13.8" x14ac:dyDescent="0.2">
      <c r="B40" s="8">
        <f t="shared" si="6"/>
        <v>35</v>
      </c>
      <c r="C40" s="10">
        <v>35</v>
      </c>
      <c r="D40" s="13" t="s">
        <v>28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554</v>
      </c>
    </row>
    <row r="41" spans="2:24" ht="13.8" x14ac:dyDescent="0.2">
      <c r="B41" s="8">
        <f t="shared" si="6"/>
        <v>36</v>
      </c>
      <c r="C41" s="10">
        <v>36</v>
      </c>
      <c r="D41" s="13" t="s">
        <v>1439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1487</v>
      </c>
    </row>
    <row r="42" spans="2:24" ht="13.8" x14ac:dyDescent="0.2">
      <c r="B42" s="8">
        <f t="shared" si="6"/>
        <v>37</v>
      </c>
      <c r="C42" s="10">
        <v>37</v>
      </c>
      <c r="D42" s="13" t="s">
        <v>1440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1488</v>
      </c>
    </row>
    <row r="43" spans="2:24" ht="13.8" x14ac:dyDescent="0.2">
      <c r="B43" s="8">
        <f t="shared" si="6"/>
        <v>38</v>
      </c>
      <c r="C43" s="10">
        <v>38</v>
      </c>
      <c r="D43" s="13" t="s">
        <v>53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555</v>
      </c>
    </row>
    <row r="44" spans="2:24" ht="13.8" x14ac:dyDescent="0.2">
      <c r="B44" s="8">
        <f t="shared" si="6"/>
        <v>39</v>
      </c>
      <c r="C44" s="10">
        <v>39</v>
      </c>
      <c r="D44" s="13" t="s">
        <v>1441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1489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556</v>
      </c>
    </row>
    <row r="47" spans="2:24" ht="13.8" x14ac:dyDescent="0.2">
      <c r="B47" s="8">
        <f t="shared" si="6"/>
        <v>42</v>
      </c>
      <c r="C47" s="10">
        <v>42</v>
      </c>
      <c r="D47" s="13" t="s">
        <v>1221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1490</v>
      </c>
    </row>
    <row r="48" spans="2:24" ht="13.8" x14ac:dyDescent="0.2">
      <c r="B48" s="8">
        <f t="shared" si="6"/>
        <v>43</v>
      </c>
      <c r="C48" s="10">
        <v>43</v>
      </c>
      <c r="D48" s="13" t="s">
        <v>778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1491</v>
      </c>
    </row>
    <row r="49" spans="2:24" ht="13.8" x14ac:dyDescent="0.2">
      <c r="B49" s="8">
        <f t="shared" si="6"/>
        <v>44</v>
      </c>
      <c r="C49" s="10">
        <v>44</v>
      </c>
      <c r="D49" s="13" t="s">
        <v>1442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497</v>
      </c>
    </row>
    <row r="50" spans="2:24" ht="13.8" x14ac:dyDescent="0.2">
      <c r="B50" s="8">
        <f t="shared" si="6"/>
        <v>45</v>
      </c>
      <c r="C50" s="10">
        <v>45</v>
      </c>
      <c r="D50" s="13" t="s">
        <v>1443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1443</v>
      </c>
    </row>
    <row r="51" spans="2:24" ht="13.8" x14ac:dyDescent="0.2">
      <c r="B51" s="8">
        <f t="shared" si="6"/>
        <v>46</v>
      </c>
      <c r="C51" s="10">
        <v>46</v>
      </c>
      <c r="D51" s="13" t="s">
        <v>1444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1492</v>
      </c>
    </row>
    <row r="52" spans="2:24" ht="13.8" x14ac:dyDescent="0.2">
      <c r="B52" s="8">
        <f t="shared" si="6"/>
        <v>47</v>
      </c>
      <c r="C52" s="10">
        <v>47</v>
      </c>
      <c r="D52" s="13" t="s">
        <v>1445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630</v>
      </c>
    </row>
    <row r="53" spans="2:24" ht="13.8" x14ac:dyDescent="0.2">
      <c r="B53" s="8">
        <f t="shared" si="6"/>
        <v>48</v>
      </c>
      <c r="C53" s="10">
        <v>48</v>
      </c>
      <c r="D53" s="13" t="s">
        <v>1446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1493</v>
      </c>
    </row>
    <row r="54" spans="2:24" ht="13.8" x14ac:dyDescent="0.2">
      <c r="B54" s="8">
        <f t="shared" si="6"/>
        <v>49</v>
      </c>
      <c r="C54" s="10">
        <v>49</v>
      </c>
      <c r="D54" s="13" t="s">
        <v>1447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645</v>
      </c>
    </row>
    <row r="55" spans="2:24" ht="13.8" x14ac:dyDescent="0.2">
      <c r="B55" s="8">
        <f t="shared" si="6"/>
        <v>50</v>
      </c>
      <c r="C55" s="10">
        <v>50</v>
      </c>
      <c r="D55" s="13" t="s">
        <v>1180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559</v>
      </c>
    </row>
    <row r="56" spans="2:24" ht="13.8" x14ac:dyDescent="0.2">
      <c r="B56" s="8">
        <f t="shared" si="6"/>
        <v>51</v>
      </c>
      <c r="C56" s="10">
        <v>51</v>
      </c>
      <c r="D56" s="13" t="s">
        <v>1448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641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1494</v>
      </c>
    </row>
    <row r="58" spans="2:24" ht="13.8" x14ac:dyDescent="0.2">
      <c r="B58" s="8">
        <f t="shared" si="6"/>
        <v>53</v>
      </c>
      <c r="C58" s="10">
        <v>53</v>
      </c>
      <c r="D58" s="13" t="s">
        <v>1449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400</v>
      </c>
    </row>
    <row r="59" spans="2:24" ht="13.8" x14ac:dyDescent="0.2">
      <c r="B59" s="8">
        <f t="shared" si="6"/>
        <v>54</v>
      </c>
      <c r="C59" s="10">
        <v>54</v>
      </c>
      <c r="D59" s="13" t="s">
        <v>33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560</v>
      </c>
    </row>
    <row r="60" spans="2:24" ht="13.8" x14ac:dyDescent="0.2">
      <c r="B60" s="8">
        <f t="shared" si="6"/>
        <v>55</v>
      </c>
      <c r="C60" s="10">
        <v>55</v>
      </c>
      <c r="D60" s="13" t="s">
        <v>1475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634</v>
      </c>
    </row>
    <row r="61" spans="2:24" ht="13.8" x14ac:dyDescent="0.2">
      <c r="B61" s="8">
        <f t="shared" si="6"/>
        <v>56</v>
      </c>
      <c r="C61" s="10">
        <v>56</v>
      </c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6"/>
        <v>57</v>
      </c>
      <c r="C62" s="10">
        <v>57</v>
      </c>
      <c r="D62" s="13" t="s">
        <v>1450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1495</v>
      </c>
    </row>
    <row r="63" spans="2:24" ht="13.8" x14ac:dyDescent="0.2">
      <c r="B63" s="8">
        <f t="shared" si="6"/>
        <v>58</v>
      </c>
      <c r="C63" s="10">
        <v>58</v>
      </c>
      <c r="D63" s="13" t="s">
        <v>55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561</v>
      </c>
    </row>
    <row r="64" spans="2:24" ht="13.8" x14ac:dyDescent="0.2">
      <c r="B64" s="8">
        <f t="shared" si="6"/>
        <v>59</v>
      </c>
      <c r="C64" s="10">
        <v>59</v>
      </c>
      <c r="D64" s="13" t="s">
        <v>1451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421</v>
      </c>
    </row>
    <row r="65" spans="2:24" ht="13.8" x14ac:dyDescent="0.2">
      <c r="B65" s="8">
        <f t="shared" si="6"/>
        <v>60</v>
      </c>
      <c r="C65" s="10">
        <v>60</v>
      </c>
      <c r="D65" s="13" t="s">
        <v>1293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565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1407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1496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1952</v>
      </c>
    </row>
    <row r="72" spans="2:24" ht="13.8" x14ac:dyDescent="0.2">
      <c r="B72" s="8">
        <f t="shared" si="10"/>
        <v>67</v>
      </c>
      <c r="C72" s="10">
        <v>67</v>
      </c>
      <c r="D72" s="13" t="s">
        <v>1452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1497</v>
      </c>
    </row>
    <row r="73" spans="2:24" ht="13.8" x14ac:dyDescent="0.2">
      <c r="B73" s="8">
        <f t="shared" si="10"/>
        <v>68</v>
      </c>
      <c r="C73" s="10">
        <v>68</v>
      </c>
      <c r="D73" s="13" t="s">
        <v>1453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1498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1957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1499</v>
      </c>
    </row>
    <row r="96" spans="2:24" ht="13.8" x14ac:dyDescent="0.2">
      <c r="B96" s="8">
        <f t="shared" si="10"/>
        <v>91</v>
      </c>
      <c r="C96" s="10">
        <v>91</v>
      </c>
      <c r="D96" s="13" t="s">
        <v>1958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1953</v>
      </c>
    </row>
    <row r="97" spans="2:24" ht="13.8" x14ac:dyDescent="0.2">
      <c r="B97" s="8">
        <f t="shared" si="10"/>
        <v>92</v>
      </c>
      <c r="C97" s="10">
        <v>92</v>
      </c>
      <c r="D97" s="13" t="s">
        <v>1454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1954</v>
      </c>
    </row>
    <row r="98" spans="2:24" ht="13.8" x14ac:dyDescent="0.2">
      <c r="B98" s="8">
        <f t="shared" si="10"/>
        <v>93</v>
      </c>
      <c r="C98" s="10">
        <v>93</v>
      </c>
      <c r="D98" s="13" t="s">
        <v>1959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1955</v>
      </c>
    </row>
    <row r="99" spans="2:24" ht="13.8" x14ac:dyDescent="0.2">
      <c r="B99" s="8">
        <f t="shared" si="10"/>
        <v>94</v>
      </c>
      <c r="C99" s="10">
        <v>94</v>
      </c>
      <c r="D99" s="13" t="s">
        <v>1960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1956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1455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1500</v>
      </c>
    </row>
    <row r="102" spans="2:24" ht="13.8" x14ac:dyDescent="0.2">
      <c r="B102" s="8">
        <f t="shared" si="10"/>
        <v>97</v>
      </c>
      <c r="C102" s="10">
        <v>97</v>
      </c>
      <c r="D102" s="13" t="s">
        <v>1456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1501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1457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1961</v>
      </c>
    </row>
    <row r="105" spans="2:24" ht="13.8" x14ac:dyDescent="0.2">
      <c r="B105" s="8">
        <f t="shared" si="10"/>
        <v>201</v>
      </c>
      <c r="C105" s="10">
        <v>201</v>
      </c>
      <c r="D105" s="23" t="s">
        <v>1458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1502</v>
      </c>
    </row>
    <row r="106" spans="2:24" ht="13.8" x14ac:dyDescent="0.2">
      <c r="B106" s="8">
        <f t="shared" si="10"/>
        <v>202</v>
      </c>
      <c r="C106" s="10">
        <v>202</v>
      </c>
      <c r="D106" s="13" t="s">
        <v>1222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1962</v>
      </c>
    </row>
    <row r="107" spans="2:24" ht="13.8" x14ac:dyDescent="0.2">
      <c r="B107" s="8">
        <f t="shared" si="10"/>
        <v>203</v>
      </c>
      <c r="C107" s="10">
        <v>203</v>
      </c>
      <c r="D107" s="13" t="s">
        <v>1459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1503</v>
      </c>
    </row>
    <row r="108" spans="2:24" ht="13.8" x14ac:dyDescent="0.2">
      <c r="B108" s="8">
        <f t="shared" si="10"/>
        <v>204</v>
      </c>
      <c r="C108" s="10">
        <v>204</v>
      </c>
      <c r="D108" s="13" t="s">
        <v>1460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564</v>
      </c>
    </row>
    <row r="109" spans="2:24" ht="13.8" x14ac:dyDescent="0.2">
      <c r="B109" s="8">
        <f t="shared" si="10"/>
        <v>205</v>
      </c>
      <c r="C109" s="10">
        <v>205</v>
      </c>
      <c r="D109" s="13" t="s">
        <v>1461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1504</v>
      </c>
    </row>
    <row r="110" spans="2:24" ht="13.8" x14ac:dyDescent="0.2">
      <c r="B110" s="8">
        <f t="shared" si="10"/>
        <v>206</v>
      </c>
      <c r="C110" s="10">
        <v>206</v>
      </c>
      <c r="D110" s="13" t="s">
        <v>1462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1505</v>
      </c>
    </row>
    <row r="111" spans="2:24" ht="13.8" x14ac:dyDescent="0.2">
      <c r="B111" s="8">
        <f t="shared" si="10"/>
        <v>207</v>
      </c>
      <c r="C111" s="10">
        <v>207</v>
      </c>
      <c r="D111" s="13" t="s">
        <v>1463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1506</v>
      </c>
    </row>
    <row r="112" spans="2:24" ht="13.8" x14ac:dyDescent="0.2">
      <c r="B112" s="8">
        <f t="shared" si="10"/>
        <v>208</v>
      </c>
      <c r="C112" s="10">
        <v>208</v>
      </c>
      <c r="D112" s="13" t="s">
        <v>1464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1507</v>
      </c>
    </row>
    <row r="113" spans="2:24" ht="13.8" x14ac:dyDescent="0.2">
      <c r="B113" s="8">
        <f t="shared" si="10"/>
        <v>209</v>
      </c>
      <c r="C113" s="10">
        <v>209</v>
      </c>
      <c r="D113" s="13" t="s">
        <v>1465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1508</v>
      </c>
    </row>
    <row r="114" spans="2:24" ht="13.8" x14ac:dyDescent="0.2">
      <c r="B114" s="8">
        <f t="shared" si="10"/>
        <v>210</v>
      </c>
      <c r="C114" s="10">
        <v>210</v>
      </c>
      <c r="D114" s="26" t="s">
        <v>1466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548</v>
      </c>
    </row>
    <row r="115" spans="2:24" ht="13.8" x14ac:dyDescent="0.2">
      <c r="B115" s="8">
        <f t="shared" si="10"/>
        <v>211</v>
      </c>
      <c r="C115" s="10">
        <v>211</v>
      </c>
      <c r="D115" s="26" t="s">
        <v>1467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1468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1509</v>
      </c>
    </row>
    <row r="117" spans="2:24" ht="13.8" x14ac:dyDescent="0.2">
      <c r="B117" s="8">
        <f t="shared" si="10"/>
        <v>213</v>
      </c>
      <c r="C117" s="10">
        <v>213</v>
      </c>
      <c r="D117" s="26" t="s">
        <v>1469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1510</v>
      </c>
    </row>
    <row r="118" spans="2:24" ht="13.8" x14ac:dyDescent="0.2">
      <c r="B118" s="8">
        <f t="shared" si="10"/>
        <v>214</v>
      </c>
      <c r="C118" s="10">
        <v>214</v>
      </c>
      <c r="D118" s="26" t="s">
        <v>1298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1511</v>
      </c>
    </row>
    <row r="119" spans="2:24" ht="13.8" x14ac:dyDescent="0.2">
      <c r="B119" s="8">
        <f t="shared" si="10"/>
        <v>215</v>
      </c>
      <c r="C119" s="10">
        <v>215</v>
      </c>
      <c r="D119" s="26" t="s">
        <v>1470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1512</v>
      </c>
    </row>
    <row r="120" spans="2:24" ht="13.8" x14ac:dyDescent="0.2">
      <c r="B120" s="8">
        <f t="shared" si="10"/>
        <v>216</v>
      </c>
      <c r="C120" s="10">
        <v>216</v>
      </c>
      <c r="D120" s="26" t="s">
        <v>1471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1513</v>
      </c>
    </row>
    <row r="121" spans="2:24" ht="13.8" x14ac:dyDescent="0.2">
      <c r="B121" s="8">
        <f t="shared" si="10"/>
        <v>217</v>
      </c>
      <c r="C121" s="10">
        <v>217</v>
      </c>
      <c r="D121" s="26" t="s">
        <v>1472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1514</v>
      </c>
    </row>
    <row r="122" spans="2:24" ht="13.8" x14ac:dyDescent="0.2">
      <c r="B122" s="8">
        <f t="shared" si="10"/>
        <v>218</v>
      </c>
      <c r="C122" s="10">
        <v>218</v>
      </c>
      <c r="D122" s="26" t="s">
        <v>1473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1515</v>
      </c>
    </row>
    <row r="123" spans="2:24" ht="13.8" x14ac:dyDescent="0.2">
      <c r="B123" s="8">
        <f t="shared" si="10"/>
        <v>219</v>
      </c>
      <c r="C123" s="10">
        <v>219</v>
      </c>
      <c r="D123" s="8" t="s">
        <v>1220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1964</v>
      </c>
    </row>
    <row r="124" spans="2:24" ht="13.8" x14ac:dyDescent="0.2">
      <c r="B124" s="8">
        <f t="shared" si="10"/>
        <v>220</v>
      </c>
      <c r="C124" s="10">
        <v>220</v>
      </c>
      <c r="D124" s="8" t="s">
        <v>1474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1963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" si="17">((G134-H134-I134-J134)+(H134*2)+(I134*3)+(J134*4))</f>
        <v>0</v>
      </c>
      <c r="L134" s="7">
        <v>0</v>
      </c>
      <c r="M134" s="11">
        <f t="shared" ref="M134" si="18">IFERROR(IF((G134+P134+Q134)/(F134+P134+Q134+S134)=1,"1.00",(G134+P134+Q134)/(F134+P134+Q134+S134)),0)</f>
        <v>0</v>
      </c>
      <c r="N134" s="11">
        <f t="shared" ref="N134" si="19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1516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500</v>
      </c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786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1585</v>
      </c>
    </row>
    <row r="7" spans="2:24" ht="13.8" x14ac:dyDescent="0.2">
      <c r="B7" s="8">
        <f t="shared" si="6"/>
        <v>2</v>
      </c>
      <c r="C7" s="10">
        <v>2</v>
      </c>
      <c r="D7" s="13" t="s">
        <v>1649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1965</v>
      </c>
    </row>
    <row r="8" spans="2:24" ht="13.8" x14ac:dyDescent="0.2">
      <c r="B8" s="8">
        <f t="shared" si="6"/>
        <v>3</v>
      </c>
      <c r="C8" s="10">
        <v>3</v>
      </c>
      <c r="D8" s="13" t="s">
        <v>1298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329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6</v>
      </c>
      <c r="C11" s="10">
        <v>6</v>
      </c>
      <c r="D11" s="13" t="s">
        <v>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502</v>
      </c>
    </row>
    <row r="12" spans="2:24" ht="13.8" x14ac:dyDescent="0.2">
      <c r="B12" s="8">
        <f t="shared" si="6"/>
        <v>7</v>
      </c>
      <c r="C12" s="10">
        <v>7</v>
      </c>
      <c r="D12" s="13" t="s">
        <v>57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503</v>
      </c>
    </row>
    <row r="13" spans="2:24" ht="13.8" x14ac:dyDescent="0.2">
      <c r="B13" s="8">
        <f t="shared" si="6"/>
        <v>8</v>
      </c>
      <c r="C13" s="10">
        <v>8</v>
      </c>
      <c r="D13" s="13" t="s">
        <v>1517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517</v>
      </c>
    </row>
    <row r="14" spans="2:24" ht="13.8" x14ac:dyDescent="0.2">
      <c r="B14" s="8">
        <f t="shared" si="6"/>
        <v>9</v>
      </c>
      <c r="C14" s="10">
        <v>9</v>
      </c>
      <c r="D14" s="13" t="s">
        <v>69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505</v>
      </c>
    </row>
    <row r="17" spans="2:24" ht="13.8" x14ac:dyDescent="0.2">
      <c r="B17" s="8">
        <f t="shared" si="6"/>
        <v>12</v>
      </c>
      <c r="C17" s="10">
        <v>12</v>
      </c>
      <c r="D17" s="13" t="s">
        <v>1518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628</v>
      </c>
    </row>
    <row r="18" spans="2:24" ht="13.8" x14ac:dyDescent="0.2">
      <c r="B18" s="8">
        <f t="shared" si="6"/>
        <v>13</v>
      </c>
      <c r="C18" s="10">
        <v>13</v>
      </c>
      <c r="D18" s="13" t="s">
        <v>1519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533</v>
      </c>
    </row>
    <row r="19" spans="2:24" ht="13.8" x14ac:dyDescent="0.2">
      <c r="B19" s="8">
        <f t="shared" si="6"/>
        <v>14</v>
      </c>
      <c r="C19" s="10">
        <v>14</v>
      </c>
      <c r="D19" s="13" t="s">
        <v>787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781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70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507</v>
      </c>
    </row>
    <row r="22" spans="2:24" ht="13.8" x14ac:dyDescent="0.2">
      <c r="B22" s="8">
        <f t="shared" si="6"/>
        <v>17</v>
      </c>
      <c r="C22" s="10">
        <v>17</v>
      </c>
      <c r="D22" s="13" t="s">
        <v>1520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1586</v>
      </c>
    </row>
    <row r="23" spans="2:24" ht="13.8" x14ac:dyDescent="0.2">
      <c r="B23" s="8">
        <f t="shared" si="6"/>
        <v>18</v>
      </c>
      <c r="C23" s="10">
        <v>18</v>
      </c>
      <c r="D23" s="13" t="s">
        <v>1316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508</v>
      </c>
    </row>
    <row r="24" spans="2:24" ht="13.8" x14ac:dyDescent="0.2">
      <c r="B24" s="8">
        <f t="shared" si="6"/>
        <v>19</v>
      </c>
      <c r="C24" s="10">
        <v>19</v>
      </c>
      <c r="D24" s="13" t="s">
        <v>93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509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209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511</v>
      </c>
    </row>
    <row r="27" spans="2:24" ht="13.8" x14ac:dyDescent="0.2">
      <c r="B27" s="8">
        <f t="shared" si="6"/>
        <v>22</v>
      </c>
      <c r="C27" s="10">
        <v>22</v>
      </c>
      <c r="D27" s="13" t="s">
        <v>193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512</v>
      </c>
    </row>
    <row r="28" spans="2:24" ht="13.8" x14ac:dyDescent="0.2">
      <c r="B28" s="8">
        <f t="shared" si="6"/>
        <v>23</v>
      </c>
      <c r="C28" s="10">
        <v>23</v>
      </c>
      <c r="D28" s="13" t="s">
        <v>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513</v>
      </c>
    </row>
    <row r="29" spans="2:24" ht="13.8" x14ac:dyDescent="0.2">
      <c r="B29" s="8">
        <f t="shared" si="6"/>
        <v>24</v>
      </c>
      <c r="C29" s="10">
        <v>24</v>
      </c>
      <c r="D29" s="13" t="s">
        <v>788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782</v>
      </c>
    </row>
    <row r="30" spans="2:24" ht="13.8" x14ac:dyDescent="0.2">
      <c r="B30" s="8">
        <f t="shared" si="6"/>
        <v>25</v>
      </c>
      <c r="C30" s="10">
        <v>25</v>
      </c>
      <c r="D30" s="13" t="s">
        <v>1521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467</v>
      </c>
    </row>
    <row r="31" spans="2:24" ht="13.8" x14ac:dyDescent="0.2">
      <c r="B31" s="8">
        <f t="shared" si="6"/>
        <v>26</v>
      </c>
      <c r="C31" s="10">
        <v>26</v>
      </c>
      <c r="D31" s="13" t="s">
        <v>708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1587</v>
      </c>
    </row>
    <row r="32" spans="2:24" ht="13.8" x14ac:dyDescent="0.2">
      <c r="B32" s="8">
        <f t="shared" si="6"/>
        <v>27</v>
      </c>
      <c r="C32" s="10">
        <v>27</v>
      </c>
      <c r="D32" s="13" t="s">
        <v>1522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1588</v>
      </c>
    </row>
    <row r="33" spans="2:24" ht="13.8" x14ac:dyDescent="0.2">
      <c r="B33" s="8">
        <f t="shared" si="6"/>
        <v>28</v>
      </c>
      <c r="C33" s="10">
        <v>28</v>
      </c>
      <c r="D33" s="13" t="s">
        <v>1523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1966</v>
      </c>
    </row>
    <row r="34" spans="2:24" ht="13.8" x14ac:dyDescent="0.2">
      <c r="B34" s="8">
        <f t="shared" si="6"/>
        <v>29</v>
      </c>
      <c r="C34" s="10">
        <v>29</v>
      </c>
      <c r="D34" s="13" t="s">
        <v>1290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514</v>
      </c>
    </row>
    <row r="35" spans="2:24" ht="13.8" x14ac:dyDescent="0.2">
      <c r="B35" s="8">
        <f t="shared" si="6"/>
        <v>30</v>
      </c>
      <c r="C35" s="10">
        <v>30</v>
      </c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31</v>
      </c>
      <c r="C36" s="10">
        <v>31</v>
      </c>
      <c r="D36" s="13" t="s">
        <v>789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783</v>
      </c>
    </row>
    <row r="37" spans="2:24" ht="13.8" x14ac:dyDescent="0.2">
      <c r="B37" s="8">
        <f t="shared" si="6"/>
        <v>32</v>
      </c>
      <c r="C37" s="10">
        <v>32</v>
      </c>
      <c r="D37" s="13" t="s">
        <v>94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516</v>
      </c>
    </row>
    <row r="38" spans="2:24" ht="13.8" x14ac:dyDescent="0.2">
      <c r="B38" s="8">
        <f t="shared" si="6"/>
        <v>33</v>
      </c>
      <c r="C38" s="10">
        <v>33</v>
      </c>
      <c r="D38" s="13" t="s">
        <v>1524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1589</v>
      </c>
    </row>
    <row r="39" spans="2:24" ht="13.8" x14ac:dyDescent="0.2">
      <c r="B39" s="8">
        <f t="shared" si="6"/>
        <v>34</v>
      </c>
      <c r="C39" s="10">
        <v>34</v>
      </c>
      <c r="D39" s="13" t="s">
        <v>1525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1590</v>
      </c>
    </row>
    <row r="40" spans="2:24" ht="13.8" x14ac:dyDescent="0.2">
      <c r="B40" s="8">
        <f t="shared" si="6"/>
        <v>35</v>
      </c>
      <c r="C40" s="10">
        <v>35</v>
      </c>
      <c r="D40" s="13" t="s">
        <v>194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1967</v>
      </c>
    </row>
    <row r="41" spans="2:24" ht="13.8" x14ac:dyDescent="0.2">
      <c r="B41" s="8">
        <f t="shared" si="6"/>
        <v>36</v>
      </c>
      <c r="C41" s="10">
        <v>36</v>
      </c>
      <c r="D41" s="13" t="s">
        <v>1526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1591</v>
      </c>
    </row>
    <row r="42" spans="2:24" ht="13.8" x14ac:dyDescent="0.2">
      <c r="B42" s="8">
        <f t="shared" si="6"/>
        <v>37</v>
      </c>
      <c r="C42" s="10">
        <v>37</v>
      </c>
      <c r="D42" s="13" t="s">
        <v>1527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1527</v>
      </c>
    </row>
    <row r="43" spans="2:24" ht="13.8" x14ac:dyDescent="0.2">
      <c r="B43" s="8">
        <f t="shared" si="6"/>
        <v>38</v>
      </c>
      <c r="C43" s="10">
        <v>38</v>
      </c>
      <c r="D43" s="13" t="s">
        <v>1528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1592</v>
      </c>
    </row>
    <row r="44" spans="2:24" ht="13.8" x14ac:dyDescent="0.2">
      <c r="B44" s="8">
        <f t="shared" si="6"/>
        <v>39</v>
      </c>
      <c r="C44" s="10">
        <v>39</v>
      </c>
      <c r="D44" s="13" t="s">
        <v>195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519</v>
      </c>
    </row>
    <row r="45" spans="2:24" ht="13.8" x14ac:dyDescent="0.2">
      <c r="B45" s="8">
        <f t="shared" si="6"/>
        <v>40</v>
      </c>
      <c r="C45" s="10">
        <v>40</v>
      </c>
      <c r="D45" s="13" t="s">
        <v>1667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520</v>
      </c>
    </row>
    <row r="46" spans="2:24" ht="13.8" x14ac:dyDescent="0.2">
      <c r="B46" s="8">
        <f t="shared" si="6"/>
        <v>41</v>
      </c>
      <c r="C46" s="10">
        <v>41</v>
      </c>
      <c r="D46" s="13" t="s">
        <v>1529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1593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1328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521</v>
      </c>
    </row>
    <row r="49" spans="2:24" ht="13.8" x14ac:dyDescent="0.2">
      <c r="B49" s="8">
        <f t="shared" si="6"/>
        <v>44</v>
      </c>
      <c r="C49" s="10">
        <v>44</v>
      </c>
      <c r="D49" s="13" t="s">
        <v>196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522</v>
      </c>
    </row>
    <row r="50" spans="2:24" ht="13.8" x14ac:dyDescent="0.2">
      <c r="B50" s="8">
        <f t="shared" si="6"/>
        <v>45</v>
      </c>
      <c r="C50" s="10">
        <v>45</v>
      </c>
      <c r="D50" s="13" t="s">
        <v>58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6"/>
        <v>46</v>
      </c>
      <c r="C51" s="10">
        <v>46</v>
      </c>
      <c r="D51" s="13" t="s">
        <v>197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198</v>
      </c>
    </row>
    <row r="52" spans="2:24" ht="13.8" x14ac:dyDescent="0.2">
      <c r="B52" s="8">
        <f t="shared" si="6"/>
        <v>47</v>
      </c>
      <c r="C52" s="10">
        <v>47</v>
      </c>
      <c r="D52" s="13" t="s">
        <v>1530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1594</v>
      </c>
    </row>
    <row r="53" spans="2:24" ht="13.8" x14ac:dyDescent="0.2">
      <c r="B53" s="8">
        <f t="shared" si="6"/>
        <v>48</v>
      </c>
      <c r="C53" s="10">
        <v>48</v>
      </c>
      <c r="D53" s="13" t="s">
        <v>2043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784</v>
      </c>
    </row>
    <row r="54" spans="2:24" ht="13.8" x14ac:dyDescent="0.2">
      <c r="B54" s="8">
        <f t="shared" si="6"/>
        <v>49</v>
      </c>
      <c r="C54" s="10">
        <v>49</v>
      </c>
      <c r="D54" s="13" t="s">
        <v>1531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1595</v>
      </c>
    </row>
    <row r="55" spans="2:24" ht="13.8" x14ac:dyDescent="0.2">
      <c r="B55" s="8">
        <f t="shared" si="6"/>
        <v>50</v>
      </c>
      <c r="C55" s="10">
        <v>50</v>
      </c>
      <c r="D55" s="13" t="s">
        <v>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523</v>
      </c>
    </row>
    <row r="56" spans="2:24" ht="13.8" x14ac:dyDescent="0.2">
      <c r="B56" s="8">
        <f t="shared" si="6"/>
        <v>51</v>
      </c>
      <c r="C56" s="10">
        <v>51</v>
      </c>
      <c r="D56" s="13" t="s">
        <v>1448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524</v>
      </c>
    </row>
    <row r="57" spans="2:24" ht="13.8" x14ac:dyDescent="0.2">
      <c r="B57" s="8">
        <f t="shared" si="6"/>
        <v>52</v>
      </c>
      <c r="C57" s="10">
        <v>52</v>
      </c>
      <c r="D57" s="13" t="s">
        <v>96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6"/>
        <v>53</v>
      </c>
      <c r="C58" s="10">
        <v>53</v>
      </c>
      <c r="D58" s="13" t="s">
        <v>1532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1596</v>
      </c>
    </row>
    <row r="59" spans="2:24" ht="13.8" x14ac:dyDescent="0.2">
      <c r="B59" s="8">
        <f t="shared" si="6"/>
        <v>54</v>
      </c>
      <c r="C59" s="10">
        <v>54</v>
      </c>
      <c r="D59" s="13" t="s">
        <v>1177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1968</v>
      </c>
    </row>
    <row r="60" spans="2:24" ht="13.8" x14ac:dyDescent="0.2">
      <c r="B60" s="8">
        <f t="shared" si="6"/>
        <v>55</v>
      </c>
      <c r="C60" s="10">
        <v>55</v>
      </c>
      <c r="D60" s="13" t="s">
        <v>1682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526</v>
      </c>
    </row>
    <row r="61" spans="2:24" ht="13.8" x14ac:dyDescent="0.2">
      <c r="B61" s="8">
        <f t="shared" si="6"/>
        <v>56</v>
      </c>
      <c r="C61" s="10">
        <v>56</v>
      </c>
      <c r="D61" s="13" t="s">
        <v>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527</v>
      </c>
    </row>
    <row r="62" spans="2:24" ht="13.8" x14ac:dyDescent="0.2">
      <c r="B62" s="8">
        <f t="shared" si="6"/>
        <v>57</v>
      </c>
      <c r="C62" s="10">
        <v>57</v>
      </c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6"/>
        <v>58</v>
      </c>
      <c r="C63" s="10">
        <v>58</v>
      </c>
      <c r="D63" s="13" t="s">
        <v>1538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785</v>
      </c>
    </row>
    <row r="64" spans="2:24" ht="13.8" x14ac:dyDescent="0.2">
      <c r="B64" s="8">
        <f t="shared" si="6"/>
        <v>59</v>
      </c>
      <c r="C64" s="10">
        <v>59</v>
      </c>
      <c r="D64" s="13" t="s">
        <v>1533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1597</v>
      </c>
    </row>
    <row r="65" spans="2:24" ht="13.8" x14ac:dyDescent="0.2">
      <c r="B65" s="8">
        <f t="shared" si="6"/>
        <v>60</v>
      </c>
      <c r="C65" s="10">
        <v>60</v>
      </c>
      <c r="D65" s="13" t="s">
        <v>1534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1598</v>
      </c>
    </row>
    <row r="66" spans="2:24" ht="13.8" x14ac:dyDescent="0.2">
      <c r="B66" s="8">
        <f t="shared" si="6"/>
        <v>61</v>
      </c>
      <c r="C66" s="10">
        <v>61</v>
      </c>
      <c r="D66" s="13" t="s">
        <v>1692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528</v>
      </c>
    </row>
    <row r="67" spans="2:24" ht="13.8" x14ac:dyDescent="0.2">
      <c r="B67" s="8">
        <f t="shared" si="6"/>
        <v>62</v>
      </c>
      <c r="C67" s="10">
        <v>62</v>
      </c>
      <c r="D67" s="13" t="s">
        <v>95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529</v>
      </c>
    </row>
    <row r="68" spans="2:24" ht="13.8" x14ac:dyDescent="0.2">
      <c r="B68" s="8">
        <f t="shared" si="6"/>
        <v>63</v>
      </c>
      <c r="C68" s="10">
        <v>63</v>
      </c>
      <c r="D68" s="9" t="s">
        <v>1535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1969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1536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1599</v>
      </c>
    </row>
    <row r="70" spans="2:24" ht="13.8" x14ac:dyDescent="0.2">
      <c r="B70" s="8">
        <f t="shared" si="10"/>
        <v>65</v>
      </c>
      <c r="C70" s="10">
        <v>65</v>
      </c>
      <c r="D70" s="9" t="s">
        <v>1537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1600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531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532</v>
      </c>
    </row>
    <row r="73" spans="2:24" ht="13.8" x14ac:dyDescent="0.2">
      <c r="B73" s="8">
        <f t="shared" si="10"/>
        <v>68</v>
      </c>
      <c r="C73" s="10">
        <v>68</v>
      </c>
      <c r="D73" s="13" t="s">
        <v>1538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1601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1125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535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1387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780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1970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1539</v>
      </c>
    </row>
    <row r="105" spans="2:24" ht="13.8" x14ac:dyDescent="0.2">
      <c r="B105" s="8">
        <f t="shared" si="10"/>
        <v>120</v>
      </c>
      <c r="C105" s="10">
        <v>120</v>
      </c>
      <c r="D105" s="14" t="s">
        <v>1540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1602</v>
      </c>
    </row>
    <row r="106" spans="2:24" ht="13.8" x14ac:dyDescent="0.2">
      <c r="B106" s="8">
        <f t="shared" si="10"/>
        <v>121</v>
      </c>
      <c r="C106" s="10">
        <v>121</v>
      </c>
      <c r="D106" s="9" t="s">
        <v>1541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1603</v>
      </c>
    </row>
    <row r="107" spans="2:24" ht="13.8" x14ac:dyDescent="0.2">
      <c r="B107" s="8">
        <f t="shared" si="10"/>
        <v>122</v>
      </c>
      <c r="C107" s="10">
        <v>122</v>
      </c>
      <c r="D107" s="9" t="s">
        <v>1542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1604</v>
      </c>
    </row>
    <row r="108" spans="2:24" ht="13.8" x14ac:dyDescent="0.2">
      <c r="B108" s="8">
        <f t="shared" si="10"/>
        <v>123</v>
      </c>
      <c r="C108" s="10">
        <v>123</v>
      </c>
      <c r="D108" s="9" t="s">
        <v>1543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1605</v>
      </c>
    </row>
    <row r="109" spans="2:24" ht="13.8" x14ac:dyDescent="0.2">
      <c r="B109" s="8">
        <f t="shared" si="10"/>
        <v>124</v>
      </c>
      <c r="C109" s="10">
        <v>124</v>
      </c>
      <c r="D109" s="9" t="s">
        <v>1544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1606</v>
      </c>
    </row>
    <row r="110" spans="2:24" ht="13.8" x14ac:dyDescent="0.2">
      <c r="B110" s="8">
        <f t="shared" si="10"/>
        <v>125</v>
      </c>
      <c r="C110" s="10">
        <v>125</v>
      </c>
      <c r="D110" s="9" t="s">
        <v>1545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1607</v>
      </c>
    </row>
    <row r="111" spans="2:24" ht="13.8" x14ac:dyDescent="0.2">
      <c r="B111" s="8">
        <f t="shared" si="10"/>
        <v>126</v>
      </c>
      <c r="C111" s="10">
        <v>126</v>
      </c>
      <c r="D111" s="9" t="s">
        <v>1546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1608</v>
      </c>
    </row>
    <row r="112" spans="2:24" ht="13.8" x14ac:dyDescent="0.2">
      <c r="B112" s="8">
        <f t="shared" si="10"/>
        <v>127</v>
      </c>
      <c r="C112" s="10">
        <v>127</v>
      </c>
      <c r="D112" s="9" t="s">
        <v>1547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1609</v>
      </c>
    </row>
    <row r="113" spans="2:24" ht="13.8" x14ac:dyDescent="0.2">
      <c r="B113" s="8">
        <f t="shared" si="10"/>
        <v>128</v>
      </c>
      <c r="C113" s="10">
        <v>128</v>
      </c>
      <c r="D113" s="9" t="s">
        <v>1548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1610</v>
      </c>
    </row>
    <row r="114" spans="2:24" ht="13.8" x14ac:dyDescent="0.2">
      <c r="B114" s="8">
        <f t="shared" si="10"/>
        <v>129</v>
      </c>
      <c r="C114" s="10">
        <v>129</v>
      </c>
      <c r="D114" s="9" t="s">
        <v>1549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1611</v>
      </c>
    </row>
    <row r="115" spans="2:24" ht="13.8" x14ac:dyDescent="0.2">
      <c r="B115" s="8">
        <f t="shared" si="10"/>
        <v>130</v>
      </c>
      <c r="C115" s="10">
        <v>130</v>
      </c>
      <c r="D115" s="9" t="s">
        <v>1550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1612</v>
      </c>
    </row>
    <row r="116" spans="2:24" ht="13.8" x14ac:dyDescent="0.2">
      <c r="B116" s="8">
        <f t="shared" si="10"/>
        <v>131</v>
      </c>
      <c r="C116" s="10">
        <v>131</v>
      </c>
      <c r="D116" s="9" t="s">
        <v>1551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1613</v>
      </c>
    </row>
    <row r="117" spans="2:24" ht="13.8" x14ac:dyDescent="0.2">
      <c r="B117" s="8">
        <f t="shared" si="10"/>
        <v>132</v>
      </c>
      <c r="C117" s="10">
        <v>132</v>
      </c>
      <c r="D117" s="9" t="s">
        <v>1552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1614</v>
      </c>
    </row>
    <row r="118" spans="2:24" ht="13.8" x14ac:dyDescent="0.2">
      <c r="B118" s="8">
        <f t="shared" si="10"/>
        <v>133</v>
      </c>
      <c r="C118" s="10">
        <v>133</v>
      </c>
      <c r="D118" s="9" t="s">
        <v>1463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1615</v>
      </c>
    </row>
    <row r="119" spans="2:24" ht="13.8" x14ac:dyDescent="0.2">
      <c r="B119" s="8">
        <f t="shared" si="10"/>
        <v>134</v>
      </c>
      <c r="C119" s="10">
        <v>134</v>
      </c>
      <c r="D119" s="9" t="s">
        <v>1553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1616</v>
      </c>
    </row>
    <row r="120" spans="2:24" ht="13.8" x14ac:dyDescent="0.2">
      <c r="B120" s="8">
        <f t="shared" si="10"/>
        <v>135</v>
      </c>
      <c r="C120" s="10">
        <v>135</v>
      </c>
      <c r="D120" s="9" t="s">
        <v>790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1971</v>
      </c>
    </row>
    <row r="121" spans="2:24" ht="13.8" x14ac:dyDescent="0.2">
      <c r="B121" s="8">
        <f t="shared" si="10"/>
        <v>136</v>
      </c>
      <c r="C121" s="10">
        <v>136</v>
      </c>
      <c r="D121" s="9" t="s">
        <v>1397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1617</v>
      </c>
    </row>
    <row r="122" spans="2:24" ht="13.8" x14ac:dyDescent="0.2">
      <c r="B122" s="8">
        <f t="shared" si="10"/>
        <v>137</v>
      </c>
      <c r="C122" s="10">
        <v>137</v>
      </c>
      <c r="D122" s="9" t="s">
        <v>1554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1618</v>
      </c>
    </row>
    <row r="123" spans="2:24" ht="13.8" x14ac:dyDescent="0.2">
      <c r="B123" s="8">
        <f t="shared" si="10"/>
        <v>138</v>
      </c>
      <c r="C123" s="10">
        <v>138</v>
      </c>
      <c r="D123" s="9" t="s">
        <v>1555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515</v>
      </c>
    </row>
    <row r="124" spans="2:24" ht="13.8" x14ac:dyDescent="0.2">
      <c r="B124" s="8">
        <f t="shared" si="10"/>
        <v>139</v>
      </c>
      <c r="C124" s="10">
        <v>139</v>
      </c>
      <c r="D124" s="9" t="s">
        <v>1556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1619</v>
      </c>
    </row>
    <row r="125" spans="2:24" ht="13.8" x14ac:dyDescent="0.2">
      <c r="B125" s="8">
        <f t="shared" si="10"/>
        <v>140</v>
      </c>
      <c r="C125" s="10">
        <v>140</v>
      </c>
      <c r="D125" s="9" t="s">
        <v>1134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1620</v>
      </c>
    </row>
    <row r="126" spans="2:24" ht="13.8" x14ac:dyDescent="0.2">
      <c r="B126" s="8">
        <f t="shared" si="10"/>
        <v>141</v>
      </c>
      <c r="C126" s="10">
        <v>141</v>
      </c>
      <c r="D126" s="9" t="s">
        <v>1557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1972</v>
      </c>
    </row>
    <row r="127" spans="2:24" ht="13.8" x14ac:dyDescent="0.2">
      <c r="B127" s="8">
        <f t="shared" si="10"/>
        <v>142</v>
      </c>
      <c r="C127" s="10">
        <v>142</v>
      </c>
      <c r="D127" s="9" t="s">
        <v>1558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1621</v>
      </c>
    </row>
    <row r="128" spans="2:24" ht="13.8" x14ac:dyDescent="0.2">
      <c r="B128" s="8">
        <f t="shared" si="10"/>
        <v>143</v>
      </c>
      <c r="C128" s="10">
        <v>143</v>
      </c>
      <c r="D128" s="9" t="s">
        <v>1294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1622</v>
      </c>
    </row>
    <row r="129" spans="2:24" ht="13.8" x14ac:dyDescent="0.2">
      <c r="B129" s="8">
        <f t="shared" si="10"/>
        <v>144</v>
      </c>
      <c r="C129" s="10">
        <v>144</v>
      </c>
      <c r="D129" s="9" t="s">
        <v>1559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1973</v>
      </c>
    </row>
    <row r="130" spans="2:24" ht="13.8" x14ac:dyDescent="0.2">
      <c r="B130" s="8">
        <f t="shared" si="10"/>
        <v>145</v>
      </c>
      <c r="C130" s="10">
        <v>145</v>
      </c>
      <c r="D130" s="9" t="s">
        <v>1560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1560</v>
      </c>
    </row>
    <row r="131" spans="2:24" ht="13.8" x14ac:dyDescent="0.2">
      <c r="B131" s="8">
        <f t="shared" si="10"/>
        <v>146</v>
      </c>
      <c r="C131" s="10">
        <v>146</v>
      </c>
      <c r="D131" s="9" t="s">
        <v>1537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1623</v>
      </c>
    </row>
    <row r="132" spans="2:24" ht="13.8" x14ac:dyDescent="0.2">
      <c r="B132" s="8">
        <f t="shared" si="10"/>
        <v>147</v>
      </c>
      <c r="C132" s="10">
        <v>147</v>
      </c>
      <c r="D132" s="9" t="s">
        <v>791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1624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1561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1625</v>
      </c>
    </row>
    <row r="134" spans="2:24" ht="13.8" x14ac:dyDescent="0.2">
      <c r="B134" s="8">
        <f t="shared" si="15"/>
        <v>149</v>
      </c>
      <c r="C134" s="10">
        <v>149</v>
      </c>
      <c r="D134" s="9" t="s">
        <v>1562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1626</v>
      </c>
    </row>
    <row r="135" spans="2:24" ht="13.8" x14ac:dyDescent="0.2">
      <c r="B135" s="8">
        <f t="shared" si="15"/>
        <v>150</v>
      </c>
      <c r="C135" s="10">
        <v>150</v>
      </c>
      <c r="D135" s="9" t="s">
        <v>1563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  <v>0</v>
      </c>
      <c r="L135" s="7">
        <v>1</v>
      </c>
      <c r="M135" s="11">
        <f t="shared" ref="M135:M140" si="19">IFERROR(IF((G135+P135+Q135)/(F135+P135+Q135+S135)=1,"1.00",(G135+P135+Q135)/(F135+P135+Q135+S135)),0)</f>
        <v>0</v>
      </c>
      <c r="N135" s="11">
        <f t="shared" ref="N135:N140" si="20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1627</v>
      </c>
    </row>
    <row r="136" spans="2:24" ht="13.8" x14ac:dyDescent="0.2">
      <c r="B136" s="8">
        <f t="shared" si="15"/>
        <v>151</v>
      </c>
      <c r="C136" s="10">
        <v>151</v>
      </c>
      <c r="D136" s="9" t="s">
        <v>792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  <v>0</v>
      </c>
      <c r="L136" s="7">
        <v>2</v>
      </c>
      <c r="M136" s="11">
        <f t="shared" si="19"/>
        <v>0</v>
      </c>
      <c r="N136" s="11">
        <f t="shared" si="20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1628</v>
      </c>
    </row>
    <row r="137" spans="2:24" ht="13.8" x14ac:dyDescent="0.2">
      <c r="B137" s="8">
        <f t="shared" si="15"/>
        <v>152</v>
      </c>
      <c r="C137" s="10">
        <v>152</v>
      </c>
      <c r="D137" s="9" t="s">
        <v>1564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  <v>0</v>
      </c>
      <c r="L137" s="7">
        <v>3</v>
      </c>
      <c r="M137" s="11">
        <f t="shared" si="19"/>
        <v>0</v>
      </c>
      <c r="N137" s="11">
        <f t="shared" si="20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1629</v>
      </c>
    </row>
    <row r="138" spans="2:24" ht="13.8" x14ac:dyDescent="0.2">
      <c r="B138" s="8">
        <f t="shared" si="15"/>
        <v>153</v>
      </c>
      <c r="C138" s="10">
        <v>153</v>
      </c>
      <c r="D138" s="9" t="s">
        <v>1565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  <v>0</v>
      </c>
      <c r="L138" s="7">
        <v>4</v>
      </c>
      <c r="M138" s="11">
        <f t="shared" si="19"/>
        <v>0</v>
      </c>
      <c r="N138" s="11">
        <f t="shared" si="20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1630</v>
      </c>
    </row>
    <row r="139" spans="2:24" ht="13.8" x14ac:dyDescent="0.2">
      <c r="B139" s="8">
        <f t="shared" si="15"/>
        <v>154</v>
      </c>
      <c r="C139" s="10">
        <v>154</v>
      </c>
      <c r="D139" s="9" t="s">
        <v>1566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  <v>0</v>
      </c>
      <c r="L139" s="7">
        <v>5</v>
      </c>
      <c r="M139" s="11">
        <f t="shared" si="19"/>
        <v>0</v>
      </c>
      <c r="N139" s="11">
        <f t="shared" si="20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1631</v>
      </c>
    </row>
    <row r="140" spans="2:24" ht="13.8" x14ac:dyDescent="0.2">
      <c r="B140" s="8">
        <f t="shared" si="15"/>
        <v>155</v>
      </c>
      <c r="C140" s="10">
        <v>155</v>
      </c>
      <c r="D140" s="9" t="s">
        <v>1567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  <v>0</v>
      </c>
      <c r="L140" s="7">
        <v>6</v>
      </c>
      <c r="M140" s="11">
        <f t="shared" si="19"/>
        <v>0</v>
      </c>
      <c r="N140" s="11">
        <f t="shared" si="20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1632</v>
      </c>
    </row>
    <row r="141" spans="2:24" ht="13.8" x14ac:dyDescent="0.2">
      <c r="B141" s="8">
        <f t="shared" si="15"/>
        <v>156</v>
      </c>
      <c r="C141" s="10">
        <v>156</v>
      </c>
      <c r="D141" s="9" t="s">
        <v>1220</v>
      </c>
      <c r="E141" s="11" t="str">
        <f t="shared" ref="E141:E165" si="21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  <v>0</v>
      </c>
      <c r="L141" s="7">
        <v>7</v>
      </c>
      <c r="M141" s="11">
        <f t="shared" ref="M141:M165" si="23">IFERROR(IF((G141+P141+Q141)/(F141+P141+Q141+S141)=1,"1.00",(G141+P141+Q141)/(F141+P141+Q141+S141)),0)</f>
        <v>0</v>
      </c>
      <c r="N141" s="11">
        <f t="shared" ref="N141:N165" si="24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1974</v>
      </c>
    </row>
    <row r="142" spans="2:24" ht="13.8" x14ac:dyDescent="0.2">
      <c r="B142" s="8">
        <f t="shared" si="15"/>
        <v>157</v>
      </c>
      <c r="C142" s="10">
        <v>157</v>
      </c>
      <c r="D142" s="9" t="s">
        <v>1568</v>
      </c>
      <c r="E142" s="11" t="str">
        <f t="shared" si="21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  <v>0</v>
      </c>
      <c r="L142" s="7">
        <v>8</v>
      </c>
      <c r="M142" s="11">
        <f t="shared" si="23"/>
        <v>0</v>
      </c>
      <c r="N142" s="11">
        <f t="shared" si="2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534</v>
      </c>
    </row>
    <row r="143" spans="2:24" ht="13.8" x14ac:dyDescent="0.2">
      <c r="B143" s="8">
        <f t="shared" si="15"/>
        <v>158</v>
      </c>
      <c r="C143" s="10">
        <v>158</v>
      </c>
      <c r="D143" s="9" t="s">
        <v>1286</v>
      </c>
      <c r="E143" s="11" t="str">
        <f t="shared" si="21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  <v>0</v>
      </c>
      <c r="L143" s="7">
        <v>9</v>
      </c>
      <c r="M143" s="11">
        <f t="shared" si="23"/>
        <v>0</v>
      </c>
      <c r="N143" s="11">
        <f t="shared" si="2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1633</v>
      </c>
    </row>
    <row r="144" spans="2:24" ht="13.8" x14ac:dyDescent="0.2">
      <c r="B144" s="8">
        <f t="shared" si="15"/>
        <v>159</v>
      </c>
      <c r="C144" s="10">
        <v>159</v>
      </c>
      <c r="D144" s="9" t="s">
        <v>1289</v>
      </c>
      <c r="E144" s="11" t="str">
        <f t="shared" si="21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  <v>0</v>
      </c>
      <c r="L144" s="7">
        <v>10</v>
      </c>
      <c r="M144" s="11">
        <f t="shared" si="23"/>
        <v>0</v>
      </c>
      <c r="N144" s="11">
        <f t="shared" si="2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1634</v>
      </c>
    </row>
    <row r="145" spans="2:24" ht="13.8" x14ac:dyDescent="0.2">
      <c r="B145" s="8">
        <f t="shared" si="15"/>
        <v>160</v>
      </c>
      <c r="C145" s="10">
        <v>160</v>
      </c>
      <c r="D145" s="9" t="s">
        <v>1569</v>
      </c>
      <c r="E145" s="11" t="str">
        <f t="shared" si="21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  <v>0</v>
      </c>
      <c r="L145" s="7">
        <v>11</v>
      </c>
      <c r="M145" s="11">
        <f t="shared" si="23"/>
        <v>0</v>
      </c>
      <c r="N145" s="11">
        <f t="shared" si="2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1635</v>
      </c>
    </row>
    <row r="146" spans="2:24" ht="13.8" x14ac:dyDescent="0.2">
      <c r="B146" s="8">
        <f t="shared" si="15"/>
        <v>161</v>
      </c>
      <c r="C146" s="10">
        <v>161</v>
      </c>
      <c r="D146" s="9" t="s">
        <v>1570</v>
      </c>
      <c r="E146" s="11" t="str">
        <f t="shared" si="21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  <v>0</v>
      </c>
      <c r="L146" s="7">
        <v>12</v>
      </c>
      <c r="M146" s="11">
        <f t="shared" si="23"/>
        <v>0</v>
      </c>
      <c r="N146" s="11">
        <f t="shared" si="2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1636</v>
      </c>
    </row>
    <row r="147" spans="2:24" ht="13.8" x14ac:dyDescent="0.2">
      <c r="B147" s="8">
        <f t="shared" si="15"/>
        <v>162</v>
      </c>
      <c r="C147" s="10">
        <v>162</v>
      </c>
      <c r="D147" s="9" t="s">
        <v>1571</v>
      </c>
      <c r="E147" s="11" t="str">
        <f t="shared" si="21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  <v>0</v>
      </c>
      <c r="L147" s="7">
        <v>13</v>
      </c>
      <c r="M147" s="11">
        <f t="shared" si="23"/>
        <v>0</v>
      </c>
      <c r="N147" s="11">
        <f t="shared" si="2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1637</v>
      </c>
    </row>
    <row r="148" spans="2:24" ht="13.8" x14ac:dyDescent="0.2">
      <c r="B148" s="8">
        <f t="shared" si="15"/>
        <v>163</v>
      </c>
      <c r="C148" s="10">
        <v>163</v>
      </c>
      <c r="D148" s="9" t="s">
        <v>1321</v>
      </c>
      <c r="E148" s="11" t="str">
        <f t="shared" si="21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  <v>0</v>
      </c>
      <c r="L148" s="7">
        <v>14</v>
      </c>
      <c r="M148" s="11">
        <f t="shared" si="23"/>
        <v>0</v>
      </c>
      <c r="N148" s="11">
        <f t="shared" si="2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1638</v>
      </c>
    </row>
    <row r="149" spans="2:24" ht="13.8" x14ac:dyDescent="0.2">
      <c r="B149" s="8">
        <f t="shared" si="15"/>
        <v>164</v>
      </c>
      <c r="C149" s="10">
        <v>164</v>
      </c>
      <c r="D149" s="9" t="s">
        <v>1572</v>
      </c>
      <c r="E149" s="11" t="str">
        <f t="shared" si="21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  <v>0</v>
      </c>
      <c r="L149" s="7">
        <v>15</v>
      </c>
      <c r="M149" s="11">
        <f t="shared" si="23"/>
        <v>0</v>
      </c>
      <c r="N149" s="11">
        <f t="shared" si="2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1639</v>
      </c>
    </row>
    <row r="150" spans="2:24" ht="13.8" x14ac:dyDescent="0.2">
      <c r="B150" s="8">
        <f t="shared" si="15"/>
        <v>165</v>
      </c>
      <c r="C150" s="10">
        <v>165</v>
      </c>
      <c r="D150" s="9" t="s">
        <v>1573</v>
      </c>
      <c r="E150" s="11" t="str">
        <f t="shared" si="21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  <v>0</v>
      </c>
      <c r="L150" s="7">
        <v>16</v>
      </c>
      <c r="M150" s="11">
        <f t="shared" si="23"/>
        <v>0</v>
      </c>
      <c r="N150" s="11">
        <f t="shared" si="2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1640</v>
      </c>
    </row>
    <row r="151" spans="2:24" ht="13.8" x14ac:dyDescent="0.2">
      <c r="B151" s="8">
        <f t="shared" si="15"/>
        <v>166</v>
      </c>
      <c r="C151" s="10">
        <v>166</v>
      </c>
      <c r="D151" s="9" t="s">
        <v>1574</v>
      </c>
      <c r="E151" s="11" t="str">
        <f t="shared" si="21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  <v>0</v>
      </c>
      <c r="L151" s="7">
        <v>17</v>
      </c>
      <c r="M151" s="11">
        <f t="shared" si="23"/>
        <v>0</v>
      </c>
      <c r="N151" s="11">
        <f t="shared" si="24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1641</v>
      </c>
    </row>
    <row r="152" spans="2:24" ht="13.8" x14ac:dyDescent="0.2">
      <c r="B152" s="8">
        <f t="shared" si="15"/>
        <v>167</v>
      </c>
      <c r="C152" s="10">
        <v>167</v>
      </c>
      <c r="D152" s="9" t="s">
        <v>1575</v>
      </c>
      <c r="E152" s="11" t="str">
        <f t="shared" si="21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  <v>0</v>
      </c>
      <c r="L152" s="7">
        <v>18</v>
      </c>
      <c r="M152" s="11">
        <f t="shared" si="23"/>
        <v>0</v>
      </c>
      <c r="N152" s="11">
        <f t="shared" si="24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1642</v>
      </c>
    </row>
    <row r="153" spans="2:24" ht="13.8" x14ac:dyDescent="0.2">
      <c r="B153" s="8">
        <f t="shared" si="15"/>
        <v>168</v>
      </c>
      <c r="C153" s="10">
        <v>168</v>
      </c>
      <c r="D153" s="9" t="s">
        <v>1576</v>
      </c>
      <c r="E153" s="11" t="str">
        <f t="shared" si="21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  <v>0</v>
      </c>
      <c r="L153" s="7">
        <v>19</v>
      </c>
      <c r="M153" s="11">
        <f t="shared" si="23"/>
        <v>0</v>
      </c>
      <c r="N153" s="11">
        <f t="shared" si="24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1643</v>
      </c>
    </row>
    <row r="154" spans="2:24" ht="13.8" x14ac:dyDescent="0.2">
      <c r="B154" s="8">
        <f t="shared" si="15"/>
        <v>169</v>
      </c>
      <c r="C154" s="10">
        <v>169</v>
      </c>
      <c r="D154" s="9" t="s">
        <v>1577</v>
      </c>
      <c r="E154" s="11" t="str">
        <f t="shared" si="21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  <v>0</v>
      </c>
      <c r="L154" s="7">
        <v>20</v>
      </c>
      <c r="M154" s="11">
        <f t="shared" si="23"/>
        <v>0</v>
      </c>
      <c r="N154" s="11">
        <f t="shared" si="24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1644</v>
      </c>
    </row>
    <row r="155" spans="2:24" ht="13.8" x14ac:dyDescent="0.2">
      <c r="B155" s="8">
        <f t="shared" si="15"/>
        <v>170</v>
      </c>
      <c r="C155" s="10">
        <v>170</v>
      </c>
      <c r="D155" s="9" t="s">
        <v>1578</v>
      </c>
      <c r="E155" s="11" t="str">
        <f t="shared" si="21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  <v>0</v>
      </c>
      <c r="L155" s="7">
        <v>21</v>
      </c>
      <c r="M155" s="11">
        <f t="shared" si="23"/>
        <v>0</v>
      </c>
      <c r="N155" s="11">
        <f t="shared" si="24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1645</v>
      </c>
    </row>
    <row r="156" spans="2:24" ht="13.8" x14ac:dyDescent="0.2">
      <c r="B156" s="8">
        <f t="shared" si="15"/>
        <v>171</v>
      </c>
      <c r="C156" s="10">
        <v>171</v>
      </c>
      <c r="D156" s="9" t="s">
        <v>1579</v>
      </c>
      <c r="E156" s="11" t="str">
        <f t="shared" si="21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  <v>0</v>
      </c>
      <c r="L156" s="7">
        <v>22</v>
      </c>
      <c r="M156" s="11">
        <f t="shared" si="23"/>
        <v>0</v>
      </c>
      <c r="N156" s="11">
        <f t="shared" si="24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1646</v>
      </c>
    </row>
    <row r="157" spans="2:24" ht="13.8" x14ac:dyDescent="0.2">
      <c r="B157" s="8">
        <f t="shared" si="15"/>
        <v>172</v>
      </c>
      <c r="C157" s="10">
        <v>172</v>
      </c>
      <c r="D157" s="9" t="s">
        <v>1580</v>
      </c>
      <c r="E157" s="11" t="str">
        <f t="shared" si="21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  <v>0</v>
      </c>
      <c r="L157" s="7">
        <v>23</v>
      </c>
      <c r="M157" s="11">
        <f t="shared" si="23"/>
        <v>0</v>
      </c>
      <c r="N157" s="11">
        <f t="shared" si="24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1647</v>
      </c>
    </row>
    <row r="158" spans="2:24" ht="13.8" x14ac:dyDescent="0.2">
      <c r="B158" s="8">
        <f t="shared" si="15"/>
        <v>173</v>
      </c>
      <c r="C158" s="10">
        <v>173</v>
      </c>
      <c r="D158" s="9" t="s">
        <v>1581</v>
      </c>
      <c r="E158" s="11" t="str">
        <f t="shared" si="21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  <v>0</v>
      </c>
      <c r="L158" s="7">
        <v>24</v>
      </c>
      <c r="M158" s="11">
        <f t="shared" si="23"/>
        <v>0</v>
      </c>
      <c r="N158" s="11">
        <f t="shared" si="24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1975</v>
      </c>
    </row>
    <row r="159" spans="2:24" ht="13.8" x14ac:dyDescent="0.2">
      <c r="B159" s="8">
        <f t="shared" si="15"/>
        <v>174</v>
      </c>
      <c r="C159" s="10">
        <v>174</v>
      </c>
      <c r="D159" s="9" t="s">
        <v>1582</v>
      </c>
      <c r="E159" s="11" t="str">
        <f t="shared" si="21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  <v>0</v>
      </c>
      <c r="L159" s="7">
        <v>25</v>
      </c>
      <c r="M159" s="11">
        <f t="shared" si="23"/>
        <v>0</v>
      </c>
      <c r="N159" s="11">
        <f t="shared" si="24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1648</v>
      </c>
    </row>
    <row r="160" spans="2:24" ht="13.8" x14ac:dyDescent="0.2">
      <c r="B160" s="8">
        <f t="shared" si="15"/>
        <v>175</v>
      </c>
      <c r="C160" s="10">
        <v>175</v>
      </c>
      <c r="D160" s="9" t="s">
        <v>1583</v>
      </c>
      <c r="E160" s="11" t="str">
        <f t="shared" si="21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  <v>0</v>
      </c>
      <c r="L160" s="7">
        <v>26</v>
      </c>
      <c r="M160" s="11">
        <f t="shared" si="23"/>
        <v>0</v>
      </c>
      <c r="N160" s="11">
        <f t="shared" si="24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1976</v>
      </c>
    </row>
    <row r="161" spans="2:24" ht="13.8" x14ac:dyDescent="0.2">
      <c r="B161" s="8">
        <f t="shared" si="15"/>
        <v>176</v>
      </c>
      <c r="C161" s="10">
        <v>176</v>
      </c>
      <c r="D161" s="9" t="s">
        <v>1584</v>
      </c>
      <c r="E161" s="11" t="str">
        <f t="shared" si="21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  <v>0</v>
      </c>
      <c r="L161" s="7">
        <v>27</v>
      </c>
      <c r="M161" s="11">
        <f t="shared" si="23"/>
        <v>0</v>
      </c>
      <c r="N161" s="11">
        <f t="shared" si="24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1977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1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  <v>0</v>
      </c>
      <c r="L162" s="7">
        <v>28</v>
      </c>
      <c r="M162" s="11">
        <f t="shared" si="23"/>
        <v>0</v>
      </c>
      <c r="N162" s="11">
        <f t="shared" si="24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1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  <v>0</v>
      </c>
      <c r="L163" s="7">
        <v>29</v>
      </c>
      <c r="M163" s="11">
        <f t="shared" si="23"/>
        <v>0</v>
      </c>
      <c r="N163" s="11">
        <f t="shared" si="24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1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  <v>0</v>
      </c>
      <c r="L164" s="7">
        <v>30</v>
      </c>
      <c r="M164" s="11">
        <f t="shared" si="23"/>
        <v>0</v>
      </c>
      <c r="N164" s="11">
        <f t="shared" si="24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1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  <v>0</v>
      </c>
      <c r="L165" s="7">
        <v>31</v>
      </c>
      <c r="M165" s="11">
        <f t="shared" si="23"/>
        <v>0</v>
      </c>
      <c r="N165" s="11">
        <f t="shared" si="24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1731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1978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1732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1696</v>
      </c>
    </row>
    <row r="6" spans="2:24" ht="13.8" x14ac:dyDescent="0.2">
      <c r="B6" s="8">
        <f t="shared" si="6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465</v>
      </c>
    </row>
    <row r="7" spans="2:24" ht="13.8" x14ac:dyDescent="0.2">
      <c r="B7" s="8">
        <f t="shared" si="6"/>
        <v>2</v>
      </c>
      <c r="C7" s="10">
        <v>2</v>
      </c>
      <c r="D7" s="13" t="s">
        <v>1466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466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468</v>
      </c>
    </row>
    <row r="10" spans="2:24" ht="13.8" x14ac:dyDescent="0.2">
      <c r="B10" s="8">
        <f t="shared" si="6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469</v>
      </c>
    </row>
    <row r="11" spans="2:24" ht="13.8" x14ac:dyDescent="0.2">
      <c r="B11" s="8">
        <f t="shared" si="6"/>
        <v>6</v>
      </c>
      <c r="C11" s="10">
        <v>6</v>
      </c>
      <c r="D11" s="13" t="s">
        <v>76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470</v>
      </c>
    </row>
    <row r="12" spans="2:24" ht="13.8" x14ac:dyDescent="0.2">
      <c r="B12" s="8">
        <f t="shared" si="6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471</v>
      </c>
    </row>
    <row r="13" spans="2:24" ht="13.8" x14ac:dyDescent="0.2">
      <c r="B13" s="8">
        <f t="shared" si="6"/>
        <v>8</v>
      </c>
      <c r="C13" s="10">
        <v>8</v>
      </c>
      <c r="D13" s="13" t="s">
        <v>840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472</v>
      </c>
    </row>
    <row r="14" spans="2:24" ht="13.8" x14ac:dyDescent="0.2">
      <c r="B14" s="8">
        <f t="shared" si="6"/>
        <v>9</v>
      </c>
      <c r="C14" s="10">
        <v>9</v>
      </c>
      <c r="D14" s="13" t="s">
        <v>1650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1697</v>
      </c>
    </row>
    <row r="15" spans="2:24" ht="13.8" x14ac:dyDescent="0.2">
      <c r="B15" s="8">
        <f t="shared" si="6"/>
        <v>10</v>
      </c>
      <c r="C15" s="10">
        <v>10</v>
      </c>
      <c r="D15" s="13" t="s">
        <v>1651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1698</v>
      </c>
    </row>
    <row r="16" spans="2:24" ht="13.8" x14ac:dyDescent="0.2">
      <c r="B16" s="8">
        <f t="shared" si="6"/>
        <v>11</v>
      </c>
      <c r="C16" s="10">
        <v>11</v>
      </c>
      <c r="D16" s="13" t="s">
        <v>1452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1699</v>
      </c>
    </row>
    <row r="17" spans="2:24" ht="13.8" x14ac:dyDescent="0.2">
      <c r="B17" s="8">
        <f t="shared" si="6"/>
        <v>12</v>
      </c>
      <c r="C17" s="10">
        <v>12</v>
      </c>
      <c r="D17" s="13" t="s">
        <v>1387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6"/>
        <v>13</v>
      </c>
      <c r="C18" s="10">
        <v>13</v>
      </c>
      <c r="D18" s="13" t="s">
        <v>793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475</v>
      </c>
    </row>
    <row r="19" spans="2:24" ht="13.8" x14ac:dyDescent="0.2">
      <c r="B19" s="8">
        <f t="shared" si="6"/>
        <v>14</v>
      </c>
      <c r="C19" s="10">
        <v>14</v>
      </c>
      <c r="D19" s="13" t="s">
        <v>1208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476</v>
      </c>
    </row>
    <row r="20" spans="2:24" ht="13.8" x14ac:dyDescent="0.2">
      <c r="B20" s="8">
        <f t="shared" si="6"/>
        <v>15</v>
      </c>
      <c r="C20" s="10">
        <v>15</v>
      </c>
      <c r="D20" s="26" t="s">
        <v>1652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487</v>
      </c>
    </row>
    <row r="21" spans="2:24" ht="13.8" x14ac:dyDescent="0.2">
      <c r="B21" s="8">
        <f t="shared" si="6"/>
        <v>16</v>
      </c>
      <c r="C21" s="10">
        <v>16</v>
      </c>
      <c r="D21" s="13" t="s">
        <v>800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794</v>
      </c>
    </row>
    <row r="22" spans="2:24" ht="13.8" x14ac:dyDescent="0.2">
      <c r="B22" s="8">
        <f t="shared" si="6"/>
        <v>17</v>
      </c>
      <c r="C22" s="10">
        <v>17</v>
      </c>
      <c r="D22" s="13" t="s">
        <v>1317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477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1653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795</v>
      </c>
    </row>
    <row r="25" spans="2:24" ht="13.8" x14ac:dyDescent="0.2">
      <c r="B25" s="8">
        <f t="shared" si="6"/>
        <v>20</v>
      </c>
      <c r="C25" s="10">
        <v>20</v>
      </c>
      <c r="D25" s="13" t="s">
        <v>1654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6"/>
        <v>21</v>
      </c>
      <c r="C26" s="10">
        <v>21</v>
      </c>
      <c r="D26" s="13" t="s">
        <v>1655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1700</v>
      </c>
    </row>
    <row r="27" spans="2:24" ht="13.8" x14ac:dyDescent="0.2">
      <c r="B27" s="8">
        <f t="shared" si="6"/>
        <v>22</v>
      </c>
      <c r="C27" s="10">
        <v>22</v>
      </c>
      <c r="D27" s="13" t="s">
        <v>1891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796</v>
      </c>
    </row>
    <row r="28" spans="2:24" ht="13.8" x14ac:dyDescent="0.2">
      <c r="B28" s="8">
        <f t="shared" si="6"/>
        <v>23</v>
      </c>
      <c r="C28" s="10">
        <v>23</v>
      </c>
      <c r="D28" s="13" t="s">
        <v>1656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1701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479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1657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1702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1658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1703</v>
      </c>
    </row>
    <row r="35" spans="2:24" ht="13.8" x14ac:dyDescent="0.2">
      <c r="B35" s="8">
        <f t="shared" si="6"/>
        <v>30</v>
      </c>
      <c r="C35" s="10">
        <v>30</v>
      </c>
      <c r="D35" s="13" t="s">
        <v>1659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1704</v>
      </c>
    </row>
    <row r="36" spans="2:24" ht="13.8" x14ac:dyDescent="0.2">
      <c r="B36" s="8">
        <f t="shared" si="6"/>
        <v>31</v>
      </c>
      <c r="C36" s="10">
        <v>31</v>
      </c>
      <c r="D36" s="13" t="s">
        <v>801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797</v>
      </c>
    </row>
    <row r="37" spans="2:24" ht="13.8" x14ac:dyDescent="0.2">
      <c r="B37" s="8">
        <f t="shared" si="6"/>
        <v>32</v>
      </c>
      <c r="C37" s="10">
        <v>32</v>
      </c>
      <c r="D37" s="13" t="s">
        <v>199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481</v>
      </c>
    </row>
    <row r="38" spans="2:24" ht="13.8" x14ac:dyDescent="0.2">
      <c r="B38" s="8">
        <f t="shared" si="6"/>
        <v>33</v>
      </c>
      <c r="C38" s="10">
        <v>33</v>
      </c>
      <c r="D38" s="13" t="s">
        <v>1545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1705</v>
      </c>
    </row>
    <row r="39" spans="2:24" ht="13.8" x14ac:dyDescent="0.2">
      <c r="B39" s="8">
        <f t="shared" si="6"/>
        <v>34</v>
      </c>
      <c r="C39" s="10">
        <v>34</v>
      </c>
      <c r="D39" s="13" t="s">
        <v>1660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510</v>
      </c>
    </row>
    <row r="40" spans="2:24" ht="13.8" x14ac:dyDescent="0.2">
      <c r="B40" s="8">
        <f t="shared" si="6"/>
        <v>35</v>
      </c>
      <c r="C40" s="10">
        <v>35</v>
      </c>
      <c r="D40" s="13" t="s">
        <v>1075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482</v>
      </c>
    </row>
    <row r="41" spans="2:24" ht="13.8" x14ac:dyDescent="0.2">
      <c r="B41" s="8">
        <f t="shared" si="6"/>
        <v>36</v>
      </c>
      <c r="C41" s="10">
        <v>36</v>
      </c>
      <c r="D41" s="13" t="s">
        <v>1661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1706</v>
      </c>
    </row>
    <row r="42" spans="2:24" ht="13.8" x14ac:dyDescent="0.2">
      <c r="B42" s="8">
        <f t="shared" si="6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483</v>
      </c>
    </row>
    <row r="43" spans="2:24" ht="13.8" x14ac:dyDescent="0.2">
      <c r="B43" s="8">
        <f t="shared" si="6"/>
        <v>38</v>
      </c>
      <c r="C43" s="10">
        <v>38</v>
      </c>
      <c r="D43" s="13" t="s">
        <v>1662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1707</v>
      </c>
    </row>
    <row r="44" spans="2:24" ht="13.8" x14ac:dyDescent="0.2">
      <c r="B44" s="8">
        <f t="shared" si="6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485</v>
      </c>
    </row>
    <row r="45" spans="2:24" ht="13.8" x14ac:dyDescent="0.2">
      <c r="B45" s="8">
        <f t="shared" si="6"/>
        <v>40</v>
      </c>
      <c r="C45" s="10">
        <v>40</v>
      </c>
      <c r="D45" s="13" t="s">
        <v>1663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478</v>
      </c>
    </row>
    <row r="46" spans="2:24" ht="13.8" x14ac:dyDescent="0.2">
      <c r="B46" s="8">
        <f t="shared" si="6"/>
        <v>41</v>
      </c>
      <c r="C46" s="10">
        <v>41</v>
      </c>
      <c r="D46" s="13" t="s">
        <v>1664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1708</v>
      </c>
    </row>
    <row r="47" spans="2:24" ht="13.8" x14ac:dyDescent="0.2">
      <c r="B47" s="8">
        <f t="shared" si="6"/>
        <v>42</v>
      </c>
      <c r="C47" s="10">
        <v>42</v>
      </c>
      <c r="D47" s="13" t="s">
        <v>1665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1709</v>
      </c>
    </row>
    <row r="48" spans="2:24" ht="13.8" x14ac:dyDescent="0.2">
      <c r="B48" s="8">
        <f t="shared" si="6"/>
        <v>43</v>
      </c>
      <c r="C48" s="10">
        <v>43</v>
      </c>
      <c r="D48" s="13" t="s">
        <v>802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798</v>
      </c>
    </row>
    <row r="49" spans="2:24" ht="13.8" x14ac:dyDescent="0.2">
      <c r="B49" s="8">
        <f t="shared" si="6"/>
        <v>44</v>
      </c>
      <c r="C49" s="10">
        <v>44</v>
      </c>
      <c r="D49" s="13" t="s">
        <v>1666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1979</v>
      </c>
    </row>
    <row r="50" spans="2:24" ht="13.8" x14ac:dyDescent="0.2">
      <c r="B50" s="8">
        <f t="shared" si="6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488</v>
      </c>
    </row>
    <row r="51" spans="2:24" ht="13.8" x14ac:dyDescent="0.2">
      <c r="B51" s="8">
        <f t="shared" si="6"/>
        <v>46</v>
      </c>
      <c r="C51" s="10">
        <v>46</v>
      </c>
      <c r="D51" s="13" t="s">
        <v>1295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489</v>
      </c>
    </row>
    <row r="52" spans="2:24" ht="13.8" x14ac:dyDescent="0.2">
      <c r="B52" s="8">
        <f t="shared" si="6"/>
        <v>47</v>
      </c>
      <c r="C52" s="10">
        <v>47</v>
      </c>
      <c r="D52" s="13" t="s">
        <v>1667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1710</v>
      </c>
    </row>
    <row r="53" spans="2:24" ht="13.8" x14ac:dyDescent="0.2">
      <c r="B53" s="8">
        <f t="shared" si="6"/>
        <v>48</v>
      </c>
      <c r="C53" s="10">
        <v>48</v>
      </c>
      <c r="D53" s="13" t="s">
        <v>1668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474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1669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536</v>
      </c>
    </row>
    <row r="56" spans="2:24" ht="13.8" x14ac:dyDescent="0.2">
      <c r="B56" s="8">
        <f t="shared" si="6"/>
        <v>51</v>
      </c>
      <c r="C56" s="10">
        <v>51</v>
      </c>
      <c r="D56" s="13" t="s">
        <v>1288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490</v>
      </c>
    </row>
    <row r="57" spans="2:24" ht="13.8" x14ac:dyDescent="0.2">
      <c r="B57" s="8">
        <f t="shared" si="6"/>
        <v>52</v>
      </c>
      <c r="C57" s="10">
        <v>52</v>
      </c>
      <c r="D57" s="13" t="s">
        <v>1670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595</v>
      </c>
    </row>
    <row r="58" spans="2:24" ht="13.8" x14ac:dyDescent="0.2">
      <c r="B58" s="8">
        <f t="shared" si="6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6"/>
        <v>54</v>
      </c>
      <c r="C59" s="10">
        <v>54</v>
      </c>
      <c r="D59" s="13" t="s">
        <v>1671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1980</v>
      </c>
    </row>
    <row r="60" spans="2:24" ht="13.8" x14ac:dyDescent="0.2">
      <c r="B60" s="8">
        <f t="shared" si="6"/>
        <v>55</v>
      </c>
      <c r="C60" s="10">
        <v>55</v>
      </c>
      <c r="D60" s="13" t="s">
        <v>1672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1981</v>
      </c>
    </row>
    <row r="61" spans="2:24" ht="13.8" x14ac:dyDescent="0.2">
      <c r="B61" s="8">
        <f t="shared" si="6"/>
        <v>56</v>
      </c>
      <c r="C61" s="10">
        <v>56</v>
      </c>
      <c r="D61" s="13" t="s">
        <v>1673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1711</v>
      </c>
    </row>
    <row r="62" spans="2:24" ht="13.8" x14ac:dyDescent="0.2">
      <c r="B62" s="8">
        <f t="shared" si="6"/>
        <v>57</v>
      </c>
      <c r="C62" s="10">
        <v>57</v>
      </c>
      <c r="D62" s="13" t="s">
        <v>803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799</v>
      </c>
    </row>
    <row r="63" spans="2:24" ht="13.8" x14ac:dyDescent="0.2">
      <c r="B63" s="8">
        <f t="shared" si="6"/>
        <v>58</v>
      </c>
      <c r="C63" s="10">
        <v>58</v>
      </c>
      <c r="D63" s="13" t="s">
        <v>1674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1218</v>
      </c>
    </row>
    <row r="64" spans="2:24" ht="13.8" x14ac:dyDescent="0.2">
      <c r="B64" s="8">
        <f t="shared" si="6"/>
        <v>59</v>
      </c>
      <c r="C64" s="10">
        <v>59</v>
      </c>
      <c r="D64" s="13" t="s">
        <v>201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493</v>
      </c>
    </row>
    <row r="65" spans="2:24" ht="13.8" x14ac:dyDescent="0.2">
      <c r="B65" s="8">
        <f t="shared" si="6"/>
        <v>60</v>
      </c>
      <c r="C65" s="10">
        <v>60</v>
      </c>
      <c r="D65" s="13" t="s">
        <v>1674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494</v>
      </c>
    </row>
    <row r="66" spans="2:24" ht="13.8" x14ac:dyDescent="0.2">
      <c r="B66" s="8">
        <f t="shared" si="6"/>
        <v>61</v>
      </c>
      <c r="C66" s="10">
        <v>61</v>
      </c>
      <c r="D66" s="13" t="s">
        <v>1329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495</v>
      </c>
    </row>
    <row r="67" spans="2:24" ht="13.8" x14ac:dyDescent="0.2">
      <c r="B67" s="8">
        <f t="shared" si="6"/>
        <v>62</v>
      </c>
      <c r="C67" s="10">
        <v>62</v>
      </c>
      <c r="D67" s="13" t="s">
        <v>1675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1712</v>
      </c>
    </row>
    <row r="68" spans="2:24" ht="13.8" x14ac:dyDescent="0.2">
      <c r="B68" s="8">
        <f t="shared" si="6"/>
        <v>63</v>
      </c>
      <c r="C68" s="10">
        <v>63</v>
      </c>
      <c r="D68" s="9" t="s">
        <v>1533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1713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1676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1714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496</v>
      </c>
    </row>
    <row r="74" spans="2:24" ht="13.8" x14ac:dyDescent="0.2">
      <c r="B74" s="8">
        <f t="shared" si="10"/>
        <v>69</v>
      </c>
      <c r="C74" s="10">
        <v>69</v>
      </c>
      <c r="D74" s="13" t="s">
        <v>1888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643</v>
      </c>
    </row>
    <row r="75" spans="2:24" ht="13.8" x14ac:dyDescent="0.2">
      <c r="B75" s="8">
        <f t="shared" si="10"/>
        <v>70</v>
      </c>
      <c r="C75" s="10">
        <v>70</v>
      </c>
      <c r="D75" s="26" t="s">
        <v>1677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1715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498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203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499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1525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1716</v>
      </c>
    </row>
    <row r="105" spans="2:24" ht="13.8" x14ac:dyDescent="0.2">
      <c r="B105" s="8">
        <f t="shared" si="10"/>
        <v>111</v>
      </c>
      <c r="C105" s="10">
        <v>111</v>
      </c>
      <c r="D105" s="14" t="s">
        <v>1678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1717</v>
      </c>
    </row>
    <row r="106" spans="2:24" ht="13.8" x14ac:dyDescent="0.2">
      <c r="B106" s="8">
        <f t="shared" si="10"/>
        <v>112</v>
      </c>
      <c r="C106" s="10">
        <v>112</v>
      </c>
      <c r="D106" s="9" t="s">
        <v>1679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1718</v>
      </c>
    </row>
    <row r="107" spans="2:24" ht="13.8" x14ac:dyDescent="0.2">
      <c r="B107" s="8">
        <f t="shared" si="10"/>
        <v>113</v>
      </c>
      <c r="C107" s="10">
        <v>113</v>
      </c>
      <c r="D107" s="9" t="s">
        <v>1548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1719</v>
      </c>
    </row>
    <row r="108" spans="2:24" ht="13.8" x14ac:dyDescent="0.2">
      <c r="B108" s="8">
        <f t="shared" si="10"/>
        <v>114</v>
      </c>
      <c r="C108" s="10">
        <v>114</v>
      </c>
      <c r="D108" s="9" t="s">
        <v>1680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1720</v>
      </c>
    </row>
    <row r="109" spans="2:24" ht="13.8" x14ac:dyDescent="0.2">
      <c r="B109" s="8">
        <f t="shared" si="10"/>
        <v>115</v>
      </c>
      <c r="C109" s="10">
        <v>115</v>
      </c>
      <c r="D109" s="9" t="s">
        <v>1321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328</v>
      </c>
    </row>
    <row r="110" spans="2:24" ht="13.8" x14ac:dyDescent="0.2">
      <c r="B110" s="8">
        <f t="shared" si="10"/>
        <v>116</v>
      </c>
      <c r="C110" s="10">
        <v>116</v>
      </c>
      <c r="D110" s="9" t="s">
        <v>1122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1982</v>
      </c>
    </row>
    <row r="111" spans="2:24" ht="13.8" x14ac:dyDescent="0.2">
      <c r="B111" s="8">
        <f t="shared" si="10"/>
        <v>117</v>
      </c>
      <c r="C111" s="10">
        <v>117</v>
      </c>
      <c r="D111" s="9" t="s">
        <v>1681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484</v>
      </c>
    </row>
    <row r="112" spans="2:24" ht="13.8" x14ac:dyDescent="0.2">
      <c r="B112" s="8">
        <f t="shared" si="10"/>
        <v>118</v>
      </c>
      <c r="C112" s="10">
        <v>118</v>
      </c>
      <c r="D112" s="9" t="s">
        <v>1682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1721</v>
      </c>
    </row>
    <row r="113" spans="2:24" ht="13.8" x14ac:dyDescent="0.2">
      <c r="B113" s="8">
        <f t="shared" si="10"/>
        <v>119</v>
      </c>
      <c r="C113" s="10">
        <v>119</v>
      </c>
      <c r="D113" s="9" t="s">
        <v>1983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1983</v>
      </c>
    </row>
    <row r="114" spans="2:24" ht="13.8" x14ac:dyDescent="0.2">
      <c r="B114" s="8">
        <f t="shared" si="10"/>
        <v>120</v>
      </c>
      <c r="C114" s="10">
        <v>120</v>
      </c>
      <c r="D114" s="9" t="s">
        <v>1328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486</v>
      </c>
    </row>
    <row r="115" spans="2:24" ht="13.8" x14ac:dyDescent="0.2">
      <c r="B115" s="8">
        <f t="shared" si="10"/>
        <v>121</v>
      </c>
      <c r="C115" s="10">
        <v>121</v>
      </c>
      <c r="D115" s="9" t="s">
        <v>1683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1722</v>
      </c>
    </row>
    <row r="116" spans="2:24" ht="13.8" x14ac:dyDescent="0.2">
      <c r="B116" s="8">
        <f t="shared" si="10"/>
        <v>122</v>
      </c>
      <c r="C116" s="10">
        <v>122</v>
      </c>
      <c r="D116" s="9" t="s">
        <v>1684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1723</v>
      </c>
    </row>
    <row r="117" spans="2:24" ht="13.8" x14ac:dyDescent="0.2">
      <c r="B117" s="8">
        <f t="shared" si="10"/>
        <v>123</v>
      </c>
      <c r="C117" s="10">
        <v>123</v>
      </c>
      <c r="D117" s="9" t="s">
        <v>1984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1984</v>
      </c>
    </row>
    <row r="118" spans="2:24" ht="13.8" x14ac:dyDescent="0.2">
      <c r="B118" s="8">
        <f t="shared" si="10"/>
        <v>124</v>
      </c>
      <c r="C118" s="10">
        <v>124</v>
      </c>
      <c r="D118" s="9" t="s">
        <v>1223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1985</v>
      </c>
    </row>
    <row r="119" spans="2:24" ht="13.8" x14ac:dyDescent="0.2">
      <c r="B119" s="8">
        <f t="shared" si="10"/>
        <v>125</v>
      </c>
      <c r="C119" s="10">
        <v>125</v>
      </c>
      <c r="D119" s="9" t="s">
        <v>1685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1685</v>
      </c>
    </row>
    <row r="120" spans="2:24" ht="13.8" x14ac:dyDescent="0.2">
      <c r="B120" s="8">
        <f t="shared" si="10"/>
        <v>126</v>
      </c>
      <c r="C120" s="10">
        <v>126</v>
      </c>
      <c r="D120" s="9" t="s">
        <v>1686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1724</v>
      </c>
    </row>
    <row r="121" spans="2:24" ht="13.8" x14ac:dyDescent="0.2">
      <c r="B121" s="8">
        <f t="shared" si="10"/>
        <v>127</v>
      </c>
      <c r="C121" s="10">
        <v>127</v>
      </c>
      <c r="D121" s="9" t="s">
        <v>1687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480</v>
      </c>
    </row>
    <row r="122" spans="2:24" ht="13.8" x14ac:dyDescent="0.2">
      <c r="B122" s="8">
        <f t="shared" si="10"/>
        <v>128</v>
      </c>
      <c r="C122" s="10">
        <v>128</v>
      </c>
      <c r="D122" s="9" t="s">
        <v>1688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1725</v>
      </c>
    </row>
    <row r="123" spans="2:24" ht="13.8" x14ac:dyDescent="0.2">
      <c r="B123" s="8">
        <f t="shared" si="10"/>
        <v>129</v>
      </c>
      <c r="C123" s="10">
        <v>129</v>
      </c>
      <c r="D123" s="9" t="s">
        <v>1689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1726</v>
      </c>
    </row>
    <row r="124" spans="2:24" ht="13.8" x14ac:dyDescent="0.2">
      <c r="B124" s="8">
        <f t="shared" si="10"/>
        <v>130</v>
      </c>
      <c r="C124" s="10">
        <v>130</v>
      </c>
      <c r="D124" s="9" t="s">
        <v>1690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1727</v>
      </c>
    </row>
    <row r="125" spans="2:24" ht="13.8" x14ac:dyDescent="0.2">
      <c r="B125" s="8">
        <f t="shared" si="10"/>
        <v>131</v>
      </c>
      <c r="C125" s="10">
        <v>131</v>
      </c>
      <c r="D125" s="9" t="s">
        <v>1691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1728</v>
      </c>
    </row>
    <row r="126" spans="2:24" ht="13.8" x14ac:dyDescent="0.2">
      <c r="B126" s="8">
        <f t="shared" si="10"/>
        <v>132</v>
      </c>
      <c r="C126" s="10">
        <v>132</v>
      </c>
      <c r="D126" s="9" t="s">
        <v>1692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1729</v>
      </c>
    </row>
    <row r="127" spans="2:24" ht="13.8" x14ac:dyDescent="0.2">
      <c r="B127" s="8">
        <f t="shared" si="10"/>
        <v>133</v>
      </c>
      <c r="C127" s="10">
        <v>133</v>
      </c>
      <c r="D127" s="9" t="s">
        <v>200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200</v>
      </c>
    </row>
    <row r="128" spans="2:24" ht="13.8" x14ac:dyDescent="0.2">
      <c r="B128" s="8">
        <f t="shared" si="10"/>
        <v>134</v>
      </c>
      <c r="C128" s="10">
        <v>134</v>
      </c>
      <c r="D128" s="9" t="s">
        <v>1693</v>
      </c>
      <c r="E128" s="11" t="str">
        <f t="shared" ref="E128:E134" si="15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492</v>
      </c>
    </row>
    <row r="129" spans="2:24" ht="13.8" x14ac:dyDescent="0.2">
      <c r="B129" s="8">
        <f t="shared" si="10"/>
        <v>135</v>
      </c>
      <c r="C129" s="10">
        <v>135</v>
      </c>
      <c r="D129" s="9" t="s">
        <v>1694</v>
      </c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202</v>
      </c>
    </row>
    <row r="130" spans="2:24" ht="13.8" x14ac:dyDescent="0.2">
      <c r="B130" s="8">
        <f t="shared" si="10"/>
        <v>136</v>
      </c>
      <c r="C130" s="10">
        <v>136</v>
      </c>
      <c r="D130" s="9" t="s">
        <v>1695</v>
      </c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1730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" si="17">((G134-H134-I134-J134)+(H134*2)+(I134*3)+(J134*4))</f>
        <v>0</v>
      </c>
      <c r="L134" s="7">
        <v>0</v>
      </c>
      <c r="M134" s="11">
        <f t="shared" ref="M134" si="18">IFERROR(IF((G134+P134+Q134)/(F134+P134+Q134+S134)=1,"1.00",(G134+P134+Q134)/(F134+P134+Q134+S134)),0)</f>
        <v>0</v>
      </c>
      <c r="N134" s="11">
        <f t="shared" ref="N134" si="19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" si="2">IFERROR(IF((G4+P4+Q4)/(F4+P4+Q4+S4)=1,"1.00",(G4+P4+Q4)/(F4+P4+Q4+S4)),0)</f>
        <v>0</v>
      </c>
      <c r="N4" s="11">
        <f t="shared" ref="N4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924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9">((G7-H7-I7-J7)+(H7*2)+(I7*3)+(J7*4))</f>
        <v>0</v>
      </c>
      <c r="L7" s="7">
        <v>0</v>
      </c>
      <c r="M7" s="11">
        <f t="shared" ref="M7:M70" si="10">IFERROR(IF((G7+P7+Q7)/(F7+P7+Q7+S7)=1,"1.00",(G7+P7+Q7)/(F7+P7+Q7+S7)),0)</f>
        <v>0</v>
      </c>
      <c r="N7" s="11">
        <f t="shared" ref="N7:N70" si="11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971</v>
      </c>
    </row>
    <row r="8" spans="2:24" ht="13.8" x14ac:dyDescent="0.2">
      <c r="B8" s="8">
        <f t="shared" si="4"/>
        <v>3</v>
      </c>
      <c r="C8" s="10">
        <v>3</v>
      </c>
      <c r="D8" s="13" t="s">
        <v>925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9"/>
        <v>0</v>
      </c>
      <c r="L8" s="7">
        <v>0</v>
      </c>
      <c r="M8" s="11">
        <f t="shared" si="10"/>
        <v>0</v>
      </c>
      <c r="N8" s="11">
        <f t="shared" si="11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946</v>
      </c>
    </row>
    <row r="9" spans="2:24" ht="13.8" x14ac:dyDescent="0.2">
      <c r="B9" s="8">
        <f t="shared" si="4"/>
        <v>4</v>
      </c>
      <c r="C9" s="10">
        <v>4</v>
      </c>
      <c r="D9" s="9" t="s">
        <v>926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9"/>
        <v>0</v>
      </c>
      <c r="L9" s="7">
        <v>0</v>
      </c>
      <c r="M9" s="11">
        <f t="shared" si="10"/>
        <v>0</v>
      </c>
      <c r="N9" s="11">
        <f t="shared" si="11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947</v>
      </c>
    </row>
    <row r="10" spans="2:24" ht="13.8" x14ac:dyDescent="0.2">
      <c r="B10" s="8">
        <f t="shared" si="4"/>
        <v>5</v>
      </c>
      <c r="C10" s="10">
        <v>5</v>
      </c>
      <c r="D10" s="13" t="s">
        <v>1682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9"/>
        <v>0</v>
      </c>
      <c r="L10" s="7">
        <v>0</v>
      </c>
      <c r="M10" s="11">
        <f t="shared" si="10"/>
        <v>0</v>
      </c>
      <c r="N10" s="11">
        <f t="shared" si="11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338</v>
      </c>
    </row>
    <row r="11" spans="2:24" ht="13.8" x14ac:dyDescent="0.2">
      <c r="B11" s="8">
        <f t="shared" si="4"/>
        <v>6</v>
      </c>
      <c r="C11" s="10">
        <v>6</v>
      </c>
      <c r="D11" s="13" t="s">
        <v>1036</v>
      </c>
      <c r="E11" s="11" t="str">
        <f t="shared" ref="E11" si="12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9"/>
        <v>0</v>
      </c>
      <c r="L11" s="7">
        <v>0</v>
      </c>
      <c r="M11" s="11">
        <f t="shared" si="10"/>
        <v>0</v>
      </c>
      <c r="N11" s="11">
        <f t="shared" si="11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1037</v>
      </c>
    </row>
    <row r="12" spans="2:24" ht="13.8" x14ac:dyDescent="0.2">
      <c r="B12" s="8">
        <f t="shared" si="4"/>
        <v>7</v>
      </c>
      <c r="C12" s="10">
        <v>7</v>
      </c>
      <c r="D12" s="13" t="s">
        <v>927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9"/>
        <v>0</v>
      </c>
      <c r="L12" s="7">
        <v>0</v>
      </c>
      <c r="M12" s="11">
        <f t="shared" si="10"/>
        <v>0</v>
      </c>
      <c r="N12" s="11">
        <f t="shared" si="11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332</v>
      </c>
    </row>
    <row r="13" spans="2:24" ht="13.8" x14ac:dyDescent="0.2">
      <c r="B13" s="8">
        <f t="shared" si="4"/>
        <v>8</v>
      </c>
      <c r="C13" s="10">
        <v>8</v>
      </c>
      <c r="D13" s="13" t="s">
        <v>928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9"/>
        <v>0</v>
      </c>
      <c r="L13" s="7">
        <v>0</v>
      </c>
      <c r="M13" s="11">
        <f t="shared" si="10"/>
        <v>0</v>
      </c>
      <c r="N13" s="11">
        <f t="shared" si="11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340</v>
      </c>
    </row>
    <row r="14" spans="2:24" ht="13.8" x14ac:dyDescent="0.2">
      <c r="B14" s="8">
        <f t="shared" si="4"/>
        <v>9</v>
      </c>
      <c r="C14" s="10">
        <v>9</v>
      </c>
      <c r="D14" s="13" t="s">
        <v>126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9"/>
        <v>0</v>
      </c>
      <c r="L14" s="7">
        <v>0</v>
      </c>
      <c r="M14" s="11">
        <f t="shared" si="10"/>
        <v>0</v>
      </c>
      <c r="N14" s="11">
        <f t="shared" si="11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330</v>
      </c>
    </row>
    <row r="15" spans="2:24" ht="13.8" x14ac:dyDescent="0.2">
      <c r="B15" s="8">
        <f t="shared" si="4"/>
        <v>10</v>
      </c>
      <c r="C15" s="10">
        <v>10</v>
      </c>
      <c r="D15" s="13" t="s">
        <v>1180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9"/>
        <v>0</v>
      </c>
      <c r="L15" s="7">
        <v>0</v>
      </c>
      <c r="M15" s="11">
        <f t="shared" si="10"/>
        <v>0</v>
      </c>
      <c r="N15" s="11">
        <f t="shared" si="11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331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9"/>
        <v>0</v>
      </c>
      <c r="L16" s="7">
        <v>0</v>
      </c>
      <c r="M16" s="11">
        <f t="shared" si="10"/>
        <v>0</v>
      </c>
      <c r="N16" s="11">
        <f t="shared" si="11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929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9"/>
        <v>0</v>
      </c>
      <c r="L17" s="7">
        <v>0</v>
      </c>
      <c r="M17" s="11">
        <f t="shared" si="10"/>
        <v>0</v>
      </c>
      <c r="N17" s="11">
        <f t="shared" si="11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948</v>
      </c>
    </row>
    <row r="18" spans="2:24" ht="13.8" x14ac:dyDescent="0.2">
      <c r="B18" s="8">
        <f t="shared" si="4"/>
        <v>13</v>
      </c>
      <c r="C18" s="10">
        <v>13</v>
      </c>
      <c r="D18" s="9" t="s">
        <v>127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9"/>
        <v>0</v>
      </c>
      <c r="L18" s="7">
        <v>0</v>
      </c>
      <c r="M18" s="11">
        <f t="shared" si="10"/>
        <v>0</v>
      </c>
      <c r="N18" s="11">
        <f t="shared" si="11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333</v>
      </c>
    </row>
    <row r="19" spans="2:24" ht="13.8" x14ac:dyDescent="0.2">
      <c r="B19" s="8">
        <f t="shared" si="4"/>
        <v>14</v>
      </c>
      <c r="C19" s="10">
        <v>14</v>
      </c>
      <c r="D19" s="13" t="s">
        <v>1447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9"/>
        <v>0</v>
      </c>
      <c r="L19" s="7">
        <v>0</v>
      </c>
      <c r="M19" s="11">
        <f t="shared" si="10"/>
        <v>0</v>
      </c>
      <c r="N19" s="11">
        <f t="shared" si="11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334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9"/>
        <v>0</v>
      </c>
      <c r="L20" s="7">
        <v>0</v>
      </c>
      <c r="M20" s="11">
        <f t="shared" si="10"/>
        <v>0</v>
      </c>
      <c r="N20" s="11">
        <f t="shared" si="11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930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9"/>
        <v>0</v>
      </c>
      <c r="L21" s="7">
        <v>0</v>
      </c>
      <c r="M21" s="11">
        <f t="shared" si="10"/>
        <v>0</v>
      </c>
      <c r="N21" s="11">
        <f t="shared" si="11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949</v>
      </c>
    </row>
    <row r="22" spans="2:24" ht="13.8" x14ac:dyDescent="0.2">
      <c r="B22" s="8">
        <f t="shared" si="4"/>
        <v>17</v>
      </c>
      <c r="C22" s="10">
        <v>17</v>
      </c>
      <c r="D22" s="13" t="s">
        <v>1548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9"/>
        <v>0</v>
      </c>
      <c r="L22" s="7">
        <v>0</v>
      </c>
      <c r="M22" s="11">
        <f t="shared" si="10"/>
        <v>0</v>
      </c>
      <c r="N22" s="11">
        <f t="shared" si="11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336</v>
      </c>
    </row>
    <row r="23" spans="2:24" ht="13.8" x14ac:dyDescent="0.2">
      <c r="B23" s="8">
        <f t="shared" si="4"/>
        <v>18</v>
      </c>
      <c r="C23" s="10">
        <v>18</v>
      </c>
      <c r="D23" s="13" t="s">
        <v>103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9"/>
        <v>0</v>
      </c>
      <c r="L23" s="7">
        <v>0</v>
      </c>
      <c r="M23" s="11">
        <f t="shared" si="10"/>
        <v>0</v>
      </c>
      <c r="N23" s="11">
        <f t="shared" si="11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1261</v>
      </c>
    </row>
    <row r="24" spans="2:24" ht="13.8" x14ac:dyDescent="0.2">
      <c r="B24" s="8">
        <f t="shared" si="4"/>
        <v>19</v>
      </c>
      <c r="C24" s="10">
        <v>19</v>
      </c>
      <c r="D24" s="13" t="s">
        <v>931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9"/>
        <v>0</v>
      </c>
      <c r="L24" s="7">
        <v>0</v>
      </c>
      <c r="M24" s="11">
        <f t="shared" si="10"/>
        <v>0</v>
      </c>
      <c r="N24" s="11">
        <f t="shared" si="11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351</v>
      </c>
    </row>
    <row r="25" spans="2:24" ht="13.8" x14ac:dyDescent="0.2">
      <c r="B25" s="8">
        <f t="shared" si="4"/>
        <v>20</v>
      </c>
      <c r="C25" s="10">
        <v>20</v>
      </c>
      <c r="D25" s="13" t="s">
        <v>129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9"/>
        <v>0</v>
      </c>
      <c r="L25" s="7">
        <v>0</v>
      </c>
      <c r="M25" s="11">
        <f t="shared" si="10"/>
        <v>0</v>
      </c>
      <c r="N25" s="11">
        <f t="shared" si="11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337</v>
      </c>
    </row>
    <row r="26" spans="2:24" ht="13.8" x14ac:dyDescent="0.2">
      <c r="B26" s="8">
        <f t="shared" si="4"/>
        <v>21</v>
      </c>
      <c r="C26" s="10">
        <v>21</v>
      </c>
      <c r="D26" s="13" t="s">
        <v>1893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9"/>
        <v>0</v>
      </c>
      <c r="L26" s="7">
        <v>0</v>
      </c>
      <c r="M26" s="11">
        <f t="shared" si="10"/>
        <v>0</v>
      </c>
      <c r="N26" s="11">
        <f t="shared" si="11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4"/>
        <v>22</v>
      </c>
      <c r="C27" s="10">
        <v>22</v>
      </c>
      <c r="D27" s="13" t="s">
        <v>932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9"/>
        <v>0</v>
      </c>
      <c r="L27" s="7">
        <v>0</v>
      </c>
      <c r="M27" s="11">
        <f t="shared" si="10"/>
        <v>0</v>
      </c>
      <c r="N27" s="11">
        <f t="shared" si="11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950</v>
      </c>
    </row>
    <row r="28" spans="2:24" ht="13.8" x14ac:dyDescent="0.2">
      <c r="B28" s="8">
        <f t="shared" si="4"/>
        <v>23</v>
      </c>
      <c r="C28" s="10">
        <v>23</v>
      </c>
      <c r="D28" s="13" t="s">
        <v>106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9"/>
        <v>0</v>
      </c>
      <c r="L28" s="7">
        <v>0</v>
      </c>
      <c r="M28" s="11">
        <f t="shared" si="10"/>
        <v>0</v>
      </c>
      <c r="N28" s="11">
        <f t="shared" si="11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406</v>
      </c>
    </row>
    <row r="29" spans="2:24" ht="13.8" x14ac:dyDescent="0.2">
      <c r="B29" s="8">
        <f t="shared" si="4"/>
        <v>24</v>
      </c>
      <c r="C29" s="10">
        <v>24</v>
      </c>
      <c r="D29" s="2" t="s">
        <v>933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9"/>
        <v>0</v>
      </c>
      <c r="L29" s="7">
        <v>0</v>
      </c>
      <c r="M29" s="11">
        <f t="shared" si="10"/>
        <v>0</v>
      </c>
      <c r="N29" s="11">
        <f t="shared" si="11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951</v>
      </c>
    </row>
    <row r="30" spans="2:24" ht="13.8" x14ac:dyDescent="0.2">
      <c r="B30" s="8">
        <f t="shared" si="4"/>
        <v>25</v>
      </c>
      <c r="C30" s="10">
        <v>25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9"/>
        <v>0</v>
      </c>
      <c r="L30" s="7">
        <v>0</v>
      </c>
      <c r="M30" s="11">
        <f t="shared" si="10"/>
        <v>0</v>
      </c>
      <c r="N30" s="11">
        <f t="shared" si="11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339</v>
      </c>
    </row>
    <row r="31" spans="2:24" ht="13.8" x14ac:dyDescent="0.2">
      <c r="B31" s="8">
        <f t="shared" si="4"/>
        <v>26</v>
      </c>
      <c r="C31" s="10">
        <v>26</v>
      </c>
      <c r="D31" s="13" t="s">
        <v>934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9"/>
        <v>0</v>
      </c>
      <c r="L31" s="7">
        <v>0</v>
      </c>
      <c r="M31" s="11">
        <f t="shared" si="10"/>
        <v>0</v>
      </c>
      <c r="N31" s="11">
        <f t="shared" si="11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952</v>
      </c>
    </row>
    <row r="32" spans="2:24" ht="13.8" x14ac:dyDescent="0.2">
      <c r="B32" s="8">
        <f t="shared" si="4"/>
        <v>27</v>
      </c>
      <c r="C32" s="10">
        <v>27</v>
      </c>
      <c r="D32" s="13" t="s">
        <v>935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9"/>
        <v>0</v>
      </c>
      <c r="L32" s="7">
        <v>0</v>
      </c>
      <c r="M32" s="11">
        <f t="shared" si="10"/>
        <v>0</v>
      </c>
      <c r="N32" s="11">
        <f t="shared" si="11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341</v>
      </c>
    </row>
    <row r="33" spans="2:24" ht="13.8" x14ac:dyDescent="0.2">
      <c r="B33" s="8">
        <f t="shared" si="4"/>
        <v>28</v>
      </c>
      <c r="C33" s="10">
        <v>28</v>
      </c>
      <c r="D33" s="13" t="s">
        <v>1837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9"/>
        <v>0</v>
      </c>
      <c r="L33" s="7">
        <v>0</v>
      </c>
      <c r="M33" s="11">
        <f t="shared" si="10"/>
        <v>0</v>
      </c>
      <c r="N33" s="11">
        <f t="shared" si="11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342</v>
      </c>
    </row>
    <row r="34" spans="2:24" ht="13.8" x14ac:dyDescent="0.2">
      <c r="B34" s="8">
        <f t="shared" si="4"/>
        <v>29</v>
      </c>
      <c r="C34" s="10">
        <v>29</v>
      </c>
      <c r="D34" s="13" t="s">
        <v>1272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9"/>
        <v>0</v>
      </c>
      <c r="L34" s="7">
        <v>0</v>
      </c>
      <c r="M34" s="11">
        <f t="shared" si="10"/>
        <v>0</v>
      </c>
      <c r="N34" s="11">
        <f t="shared" si="11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1273</v>
      </c>
    </row>
    <row r="35" spans="2:24" ht="13.8" x14ac:dyDescent="0.2">
      <c r="B35" s="8">
        <f t="shared" si="4"/>
        <v>30</v>
      </c>
      <c r="C35" s="10">
        <v>30</v>
      </c>
      <c r="D35" s="13" t="s">
        <v>91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9"/>
        <v>0</v>
      </c>
      <c r="L35" s="7">
        <v>0</v>
      </c>
      <c r="M35" s="11">
        <f t="shared" si="10"/>
        <v>0</v>
      </c>
      <c r="N35" s="11">
        <f t="shared" si="11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557</v>
      </c>
    </row>
    <row r="36" spans="2:24" ht="13.8" x14ac:dyDescent="0.2">
      <c r="B36" s="8">
        <f t="shared" si="4"/>
        <v>31</v>
      </c>
      <c r="C36" s="10">
        <v>31</v>
      </c>
      <c r="D36" s="13" t="s">
        <v>1262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9"/>
        <v>0</v>
      </c>
      <c r="L36" s="7">
        <v>0</v>
      </c>
      <c r="M36" s="11">
        <f t="shared" si="10"/>
        <v>0</v>
      </c>
      <c r="N36" s="11">
        <f t="shared" si="11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1263</v>
      </c>
    </row>
    <row r="37" spans="2:24" ht="13.8" x14ac:dyDescent="0.2">
      <c r="B37" s="8">
        <f t="shared" si="4"/>
        <v>32</v>
      </c>
      <c r="C37" s="10">
        <v>32</v>
      </c>
      <c r="D37" s="13" t="s">
        <v>1264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9"/>
        <v>0</v>
      </c>
      <c r="L37" s="7">
        <v>0</v>
      </c>
      <c r="M37" s="11">
        <f t="shared" si="10"/>
        <v>0</v>
      </c>
      <c r="N37" s="11">
        <f t="shared" si="11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1265</v>
      </c>
    </row>
    <row r="38" spans="2:24" ht="13.8" x14ac:dyDescent="0.2">
      <c r="B38" s="8">
        <f t="shared" si="4"/>
        <v>33</v>
      </c>
      <c r="C38" s="10">
        <v>33</v>
      </c>
      <c r="D38" s="13" t="s">
        <v>1270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9"/>
        <v>0</v>
      </c>
      <c r="L38" s="7">
        <v>0</v>
      </c>
      <c r="M38" s="11">
        <f t="shared" si="10"/>
        <v>0</v>
      </c>
      <c r="N38" s="11">
        <f t="shared" si="11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1271</v>
      </c>
    </row>
    <row r="39" spans="2:24" ht="13.8" x14ac:dyDescent="0.2">
      <c r="B39" s="8">
        <f t="shared" si="4"/>
        <v>34</v>
      </c>
      <c r="C39" s="10">
        <v>34</v>
      </c>
      <c r="D39" s="13" t="s">
        <v>1817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9"/>
        <v>0</v>
      </c>
      <c r="L39" s="7">
        <v>0</v>
      </c>
      <c r="M39" s="11">
        <f t="shared" si="10"/>
        <v>0</v>
      </c>
      <c r="N39" s="11">
        <f t="shared" si="11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343</v>
      </c>
    </row>
    <row r="40" spans="2:24" ht="13.8" x14ac:dyDescent="0.2">
      <c r="B40" s="8">
        <f t="shared" si="4"/>
        <v>35</v>
      </c>
      <c r="C40" s="10">
        <v>35</v>
      </c>
      <c r="D40" s="13" t="s">
        <v>936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9"/>
        <v>0</v>
      </c>
      <c r="L40" s="7">
        <v>0</v>
      </c>
      <c r="M40" s="11">
        <f t="shared" si="10"/>
        <v>0</v>
      </c>
      <c r="N40" s="11">
        <f t="shared" si="11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953</v>
      </c>
    </row>
    <row r="41" spans="2:24" ht="13.8" x14ac:dyDescent="0.2">
      <c r="B41" s="8">
        <f t="shared" si="4"/>
        <v>36</v>
      </c>
      <c r="C41" s="10">
        <v>36</v>
      </c>
      <c r="D41" s="13" t="s">
        <v>1276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9"/>
        <v>0</v>
      </c>
      <c r="L41" s="7">
        <v>0</v>
      </c>
      <c r="M41" s="11">
        <f t="shared" si="10"/>
        <v>0</v>
      </c>
      <c r="N41" s="11">
        <f t="shared" si="11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1277</v>
      </c>
    </row>
    <row r="42" spans="2:24" ht="13.8" x14ac:dyDescent="0.2">
      <c r="B42" s="8">
        <f t="shared" si="4"/>
        <v>37</v>
      </c>
      <c r="C42" s="10">
        <v>37</v>
      </c>
      <c r="D42" s="13" t="s">
        <v>937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9"/>
        <v>0</v>
      </c>
      <c r="L42" s="7">
        <v>0</v>
      </c>
      <c r="M42" s="11">
        <f t="shared" si="10"/>
        <v>0</v>
      </c>
      <c r="N42" s="11">
        <f t="shared" si="11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576</v>
      </c>
    </row>
    <row r="43" spans="2:24" ht="13.8" x14ac:dyDescent="0.2">
      <c r="B43" s="8">
        <f t="shared" si="4"/>
        <v>38</v>
      </c>
      <c r="C43" s="10">
        <v>38</v>
      </c>
      <c r="D43" s="13" t="s">
        <v>804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9"/>
        <v>0</v>
      </c>
      <c r="L43" s="7">
        <v>0</v>
      </c>
      <c r="M43" s="11">
        <f t="shared" si="10"/>
        <v>0</v>
      </c>
      <c r="N43" s="11">
        <f t="shared" si="11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345</v>
      </c>
    </row>
    <row r="44" spans="2:24" ht="13.8" x14ac:dyDescent="0.2">
      <c r="B44" s="8">
        <f t="shared" si="4"/>
        <v>39</v>
      </c>
      <c r="C44" s="10">
        <v>39</v>
      </c>
      <c r="D44" s="13" t="s">
        <v>938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9"/>
        <v>0</v>
      </c>
      <c r="L44" s="7">
        <v>0</v>
      </c>
      <c r="M44" s="11">
        <f t="shared" si="10"/>
        <v>0</v>
      </c>
      <c r="N44" s="11">
        <f t="shared" si="11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954</v>
      </c>
    </row>
    <row r="45" spans="2:24" ht="13.8" x14ac:dyDescent="0.2">
      <c r="B45" s="8">
        <f t="shared" si="4"/>
        <v>40</v>
      </c>
      <c r="C45" s="10">
        <v>40</v>
      </c>
      <c r="D45" s="13" t="s">
        <v>1439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9"/>
        <v>0</v>
      </c>
      <c r="L45" s="7">
        <v>0</v>
      </c>
      <c r="M45" s="11">
        <f t="shared" si="10"/>
        <v>0</v>
      </c>
      <c r="N45" s="11">
        <f t="shared" si="11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346</v>
      </c>
    </row>
    <row r="46" spans="2:24" ht="13.8" x14ac:dyDescent="0.2">
      <c r="B46" s="8">
        <f t="shared" si="4"/>
        <v>41</v>
      </c>
      <c r="C46" s="10">
        <v>41</v>
      </c>
      <c r="D46" s="13" t="s">
        <v>973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9"/>
        <v>0</v>
      </c>
      <c r="L46" s="7">
        <v>0</v>
      </c>
      <c r="M46" s="11">
        <f t="shared" si="10"/>
        <v>0</v>
      </c>
      <c r="N46" s="11">
        <f t="shared" si="11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972</v>
      </c>
    </row>
    <row r="47" spans="2:24" ht="13.8" x14ac:dyDescent="0.2">
      <c r="B47" s="8">
        <f t="shared" si="4"/>
        <v>42</v>
      </c>
      <c r="C47" s="10">
        <v>42</v>
      </c>
      <c r="D47" s="9" t="s">
        <v>1268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9"/>
        <v>0</v>
      </c>
      <c r="L47" s="7">
        <v>0</v>
      </c>
      <c r="M47" s="11">
        <f t="shared" si="10"/>
        <v>0</v>
      </c>
      <c r="N47" s="11">
        <f t="shared" si="11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1269</v>
      </c>
    </row>
    <row r="48" spans="2:24" ht="13.8" x14ac:dyDescent="0.2">
      <c r="B48" s="8">
        <f t="shared" si="4"/>
        <v>43</v>
      </c>
      <c r="C48" s="10">
        <v>43</v>
      </c>
      <c r="D48" s="13" t="s">
        <v>939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9"/>
        <v>0</v>
      </c>
      <c r="L48" s="7">
        <v>0</v>
      </c>
      <c r="M48" s="11">
        <f t="shared" si="10"/>
        <v>0</v>
      </c>
      <c r="N48" s="11">
        <f t="shared" si="11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955</v>
      </c>
    </row>
    <row r="49" spans="2:24" ht="13.8" x14ac:dyDescent="0.2">
      <c r="B49" s="8">
        <f t="shared" si="4"/>
        <v>44</v>
      </c>
      <c r="C49" s="10">
        <v>44</v>
      </c>
      <c r="D49" s="13" t="s">
        <v>1205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9"/>
        <v>0</v>
      </c>
      <c r="L49" s="7">
        <v>0</v>
      </c>
      <c r="M49" s="11">
        <f t="shared" si="10"/>
        <v>0</v>
      </c>
      <c r="N49" s="11">
        <f t="shared" si="11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956</v>
      </c>
    </row>
    <row r="50" spans="2:24" ht="13.8" x14ac:dyDescent="0.2">
      <c r="B50" s="8">
        <f t="shared" si="4"/>
        <v>45</v>
      </c>
      <c r="C50" s="10">
        <v>45</v>
      </c>
      <c r="D50" s="13" t="s">
        <v>1266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9"/>
        <v>0</v>
      </c>
      <c r="L50" s="7">
        <v>0</v>
      </c>
      <c r="M50" s="11">
        <f t="shared" si="10"/>
        <v>0</v>
      </c>
      <c r="N50" s="11">
        <f t="shared" si="11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1267</v>
      </c>
    </row>
    <row r="51" spans="2:24" ht="13.8" x14ac:dyDescent="0.2">
      <c r="B51" s="8">
        <f t="shared" si="4"/>
        <v>46</v>
      </c>
      <c r="C51" s="10">
        <v>46</v>
      </c>
      <c r="D51" s="13" t="s">
        <v>940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9"/>
        <v>0</v>
      </c>
      <c r="L51" s="7">
        <v>0</v>
      </c>
      <c r="M51" s="11">
        <f t="shared" si="10"/>
        <v>0</v>
      </c>
      <c r="N51" s="11">
        <f t="shared" si="11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957</v>
      </c>
    </row>
    <row r="52" spans="2:24" ht="13.8" x14ac:dyDescent="0.2">
      <c r="B52" s="8">
        <f t="shared" si="4"/>
        <v>47</v>
      </c>
      <c r="C52" s="10">
        <v>47</v>
      </c>
      <c r="D52" s="13" t="s">
        <v>131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9"/>
        <v>0</v>
      </c>
      <c r="L52" s="7">
        <v>0</v>
      </c>
      <c r="M52" s="11">
        <f t="shared" si="10"/>
        <v>0</v>
      </c>
      <c r="N52" s="11">
        <f t="shared" si="11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348</v>
      </c>
    </row>
    <row r="53" spans="2:24" ht="13.8" x14ac:dyDescent="0.2">
      <c r="B53" s="8">
        <f t="shared" si="4"/>
        <v>48</v>
      </c>
      <c r="C53" s="10">
        <v>48</v>
      </c>
      <c r="D53" s="13" t="s">
        <v>51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9"/>
        <v>0</v>
      </c>
      <c r="L53" s="7">
        <v>0</v>
      </c>
      <c r="M53" s="11">
        <f t="shared" si="10"/>
        <v>0</v>
      </c>
      <c r="N53" s="11">
        <f t="shared" si="11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273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9"/>
        <v>0</v>
      </c>
      <c r="L54" s="7">
        <v>0</v>
      </c>
      <c r="M54" s="11">
        <f t="shared" si="10"/>
        <v>0</v>
      </c>
      <c r="N54" s="11">
        <f t="shared" si="11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204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9"/>
        <v>0</v>
      </c>
      <c r="L55" s="7">
        <v>0</v>
      </c>
      <c r="M55" s="11">
        <f t="shared" si="10"/>
        <v>0</v>
      </c>
      <c r="N55" s="11">
        <f t="shared" si="11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205</v>
      </c>
    </row>
    <row r="56" spans="2:24" ht="13.8" x14ac:dyDescent="0.2">
      <c r="B56" s="8">
        <f t="shared" si="4"/>
        <v>51</v>
      </c>
      <c r="C56" s="10">
        <v>51</v>
      </c>
      <c r="D56" s="13" t="s">
        <v>132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9"/>
        <v>0</v>
      </c>
      <c r="L56" s="7">
        <v>0</v>
      </c>
      <c r="M56" s="11">
        <f t="shared" si="10"/>
        <v>0</v>
      </c>
      <c r="N56" s="11">
        <f t="shared" si="11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349</v>
      </c>
    </row>
    <row r="57" spans="2:24" ht="13.8" x14ac:dyDescent="0.2">
      <c r="B57" s="8">
        <f t="shared" si="4"/>
        <v>52</v>
      </c>
      <c r="C57" s="10">
        <v>52</v>
      </c>
      <c r="D57" s="13" t="s">
        <v>838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9"/>
        <v>0</v>
      </c>
      <c r="L57" s="7">
        <v>0</v>
      </c>
      <c r="M57" s="11">
        <f t="shared" si="10"/>
        <v>0</v>
      </c>
      <c r="N57" s="11">
        <f t="shared" si="11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350</v>
      </c>
    </row>
    <row r="58" spans="2:24" ht="13.8" x14ac:dyDescent="0.2">
      <c r="B58" s="8">
        <f t="shared" si="4"/>
        <v>53</v>
      </c>
      <c r="C58" s="10">
        <v>53</v>
      </c>
      <c r="D58" s="13" t="s">
        <v>1278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9"/>
        <v>0</v>
      </c>
      <c r="L58" s="7">
        <v>0</v>
      </c>
      <c r="M58" s="11">
        <f t="shared" si="10"/>
        <v>0</v>
      </c>
      <c r="N58" s="11">
        <f t="shared" si="11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1279</v>
      </c>
    </row>
    <row r="59" spans="2:24" ht="13.8" x14ac:dyDescent="0.2">
      <c r="B59" s="8">
        <f t="shared" si="4"/>
        <v>54</v>
      </c>
      <c r="C59" s="10">
        <v>54</v>
      </c>
      <c r="D59" s="13" t="s">
        <v>974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9"/>
        <v>0</v>
      </c>
      <c r="L59" s="7">
        <v>0</v>
      </c>
      <c r="M59" s="11">
        <f t="shared" si="10"/>
        <v>0</v>
      </c>
      <c r="N59" s="11">
        <f t="shared" si="11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958</v>
      </c>
    </row>
    <row r="60" spans="2:24" ht="13.8" x14ac:dyDescent="0.2">
      <c r="B60" s="8">
        <f t="shared" si="4"/>
        <v>55</v>
      </c>
      <c r="C60" s="10">
        <v>55</v>
      </c>
      <c r="D60" s="13" t="s">
        <v>941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9"/>
        <v>0</v>
      </c>
      <c r="L60" s="7">
        <v>0</v>
      </c>
      <c r="M60" s="11">
        <f t="shared" si="10"/>
        <v>0</v>
      </c>
      <c r="N60" s="11">
        <f t="shared" si="11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959</v>
      </c>
    </row>
    <row r="61" spans="2:24" ht="13.8" x14ac:dyDescent="0.2">
      <c r="B61" s="8">
        <f t="shared" si="4"/>
        <v>56</v>
      </c>
      <c r="C61" s="10">
        <v>56</v>
      </c>
      <c r="D61" s="13" t="s">
        <v>1475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9"/>
        <v>0</v>
      </c>
      <c r="L61" s="7">
        <v>0</v>
      </c>
      <c r="M61" s="11">
        <f t="shared" si="10"/>
        <v>0</v>
      </c>
      <c r="N61" s="11">
        <f t="shared" si="11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352</v>
      </c>
    </row>
    <row r="62" spans="2:24" ht="13.8" x14ac:dyDescent="0.2">
      <c r="B62" s="8">
        <f t="shared" si="4"/>
        <v>57</v>
      </c>
      <c r="C62" s="10">
        <v>57</v>
      </c>
      <c r="D62" s="13" t="s">
        <v>942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9"/>
        <v>0</v>
      </c>
      <c r="L62" s="7">
        <v>0</v>
      </c>
      <c r="M62" s="11">
        <f t="shared" si="10"/>
        <v>0</v>
      </c>
      <c r="N62" s="11">
        <f t="shared" si="11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960</v>
      </c>
    </row>
    <row r="63" spans="2:24" ht="13.8" x14ac:dyDescent="0.2">
      <c r="B63" s="8">
        <f t="shared" si="4"/>
        <v>58</v>
      </c>
      <c r="C63" s="10">
        <v>58</v>
      </c>
      <c r="D63" s="13" t="s">
        <v>943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9"/>
        <v>0</v>
      </c>
      <c r="L63" s="7">
        <v>0</v>
      </c>
      <c r="M63" s="11">
        <f t="shared" si="10"/>
        <v>0</v>
      </c>
      <c r="N63" s="11">
        <f t="shared" si="11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961</v>
      </c>
    </row>
    <row r="64" spans="2:24" ht="13.8" x14ac:dyDescent="0.2">
      <c r="B64" s="8">
        <f t="shared" si="4"/>
        <v>59</v>
      </c>
      <c r="C64" s="10">
        <v>59</v>
      </c>
      <c r="D64" s="13" t="s">
        <v>115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9"/>
        <v>0</v>
      </c>
      <c r="L64" s="7">
        <v>0</v>
      </c>
      <c r="M64" s="11">
        <f t="shared" si="10"/>
        <v>0</v>
      </c>
      <c r="N64" s="11">
        <f t="shared" si="11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353</v>
      </c>
    </row>
    <row r="65" spans="2:24" ht="13.8" x14ac:dyDescent="0.2">
      <c r="B65" s="8">
        <f t="shared" si="4"/>
        <v>60</v>
      </c>
      <c r="C65" s="10">
        <v>60</v>
      </c>
      <c r="D65" s="13" t="s">
        <v>133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9"/>
        <v>0</v>
      </c>
      <c r="L65" s="7">
        <v>0</v>
      </c>
      <c r="M65" s="11">
        <f t="shared" si="10"/>
        <v>0</v>
      </c>
      <c r="N65" s="11">
        <f t="shared" si="11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354</v>
      </c>
    </row>
    <row r="66" spans="2:24" ht="13.8" x14ac:dyDescent="0.2">
      <c r="B66" s="8">
        <f t="shared" si="4"/>
        <v>61</v>
      </c>
      <c r="C66" s="10">
        <v>61</v>
      </c>
      <c r="D66" s="13" t="s">
        <v>206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9"/>
        <v>0</v>
      </c>
      <c r="L66" s="7">
        <v>0</v>
      </c>
      <c r="M66" s="11">
        <f t="shared" si="10"/>
        <v>0</v>
      </c>
      <c r="N66" s="11">
        <f t="shared" si="11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355</v>
      </c>
    </row>
    <row r="67" spans="2:24" ht="13.8" x14ac:dyDescent="0.2">
      <c r="B67" s="8">
        <f t="shared" si="4"/>
        <v>62</v>
      </c>
      <c r="C67" s="10">
        <v>62</v>
      </c>
      <c r="D67" s="13" t="s">
        <v>2028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10"/>
        <v>0</v>
      </c>
      <c r="N67" s="11">
        <f t="shared" si="11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2036</v>
      </c>
    </row>
    <row r="68" spans="2:24" ht="13.8" x14ac:dyDescent="0.2">
      <c r="B68" s="8">
        <f t="shared" si="4"/>
        <v>63</v>
      </c>
      <c r="C68" s="10">
        <v>63</v>
      </c>
      <c r="D68" s="9" t="s">
        <v>134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10"/>
        <v>0</v>
      </c>
      <c r="N68" s="11">
        <f t="shared" si="11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356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135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10"/>
        <v>0</v>
      </c>
      <c r="N69" s="11">
        <f t="shared" si="11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357</v>
      </c>
    </row>
    <row r="70" spans="2:24" ht="13.8" x14ac:dyDescent="0.2">
      <c r="B70" s="8">
        <f t="shared" si="13"/>
        <v>65</v>
      </c>
      <c r="C70" s="10">
        <v>65</v>
      </c>
      <c r="D70" s="9" t="s">
        <v>1274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1275</v>
      </c>
    </row>
    <row r="71" spans="2:24" ht="13.8" x14ac:dyDescent="0.2">
      <c r="B71" s="8">
        <f t="shared" si="13"/>
        <v>66</v>
      </c>
      <c r="C71" s="10">
        <v>66</v>
      </c>
      <c r="D71" s="13" t="s">
        <v>136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358</v>
      </c>
    </row>
    <row r="72" spans="2:24" ht="13.8" x14ac:dyDescent="0.2">
      <c r="B72" s="8">
        <f t="shared" si="13"/>
        <v>67</v>
      </c>
      <c r="C72" s="10">
        <v>67</v>
      </c>
      <c r="D72" s="13" t="s">
        <v>944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562</v>
      </c>
    </row>
    <row r="73" spans="2:24" ht="13.8" x14ac:dyDescent="0.2">
      <c r="B73" s="8">
        <f t="shared" si="13"/>
        <v>68</v>
      </c>
      <c r="C73" s="10">
        <v>68</v>
      </c>
      <c r="D73" s="13" t="s">
        <v>1463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1280</v>
      </c>
    </row>
    <row r="74" spans="2:24" ht="13.8" x14ac:dyDescent="0.2">
      <c r="B74" s="8">
        <f t="shared" si="13"/>
        <v>69</v>
      </c>
      <c r="C74" s="10">
        <v>69</v>
      </c>
      <c r="D74" s="13"/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3"/>
        <v>70</v>
      </c>
      <c r="C75" s="10">
        <v>70</v>
      </c>
      <c r="D75" s="9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8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13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8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13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8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26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3"/>
        <v>93</v>
      </c>
      <c r="C98" s="10">
        <v>93</v>
      </c>
      <c r="D98" s="8" t="s">
        <v>945</v>
      </c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347</v>
      </c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8"/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13" t="s">
        <v>1281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1282</v>
      </c>
    </row>
    <row r="105" spans="2:24" ht="13.8" x14ac:dyDescent="0.2">
      <c r="B105" s="8">
        <f t="shared" si="13"/>
        <v>111</v>
      </c>
      <c r="C105" s="10">
        <v>111</v>
      </c>
      <c r="D105" s="14" t="s">
        <v>2018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2032</v>
      </c>
    </row>
    <row r="106" spans="2:24" ht="13.8" x14ac:dyDescent="0.2">
      <c r="B106" s="8">
        <f t="shared" si="13"/>
        <v>112</v>
      </c>
      <c r="C106" s="10">
        <v>112</v>
      </c>
      <c r="D106" s="9" t="s">
        <v>2019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2033</v>
      </c>
    </row>
    <row r="107" spans="2:24" ht="13.8" x14ac:dyDescent="0.2">
      <c r="B107" s="8">
        <f t="shared" si="13"/>
        <v>113</v>
      </c>
      <c r="C107" s="10">
        <v>113</v>
      </c>
      <c r="D107" s="9" t="s">
        <v>2020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2034</v>
      </c>
    </row>
    <row r="108" spans="2:24" ht="13.8" x14ac:dyDescent="0.2">
      <c r="B108" s="8">
        <f t="shared" si="13"/>
        <v>114</v>
      </c>
      <c r="C108" s="10">
        <v>114</v>
      </c>
      <c r="D108" s="9" t="s">
        <v>2021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962</v>
      </c>
    </row>
    <row r="109" spans="2:24" ht="13.8" x14ac:dyDescent="0.2">
      <c r="B109" s="8">
        <f t="shared" si="13"/>
        <v>115</v>
      </c>
      <c r="C109" s="10">
        <v>115</v>
      </c>
      <c r="D109" s="9" t="s">
        <v>2022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963</v>
      </c>
    </row>
    <row r="110" spans="2:24" ht="13.8" x14ac:dyDescent="0.2">
      <c r="B110" s="8">
        <f t="shared" ref="B110:B122" si="18">IF(C110="","",C110)</f>
        <v>121</v>
      </c>
      <c r="C110" s="10">
        <v>121</v>
      </c>
      <c r="D110" s="9" t="s">
        <v>1407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964</v>
      </c>
    </row>
    <row r="111" spans="2:24" ht="13.8" x14ac:dyDescent="0.2">
      <c r="B111" s="8">
        <f t="shared" si="18"/>
        <v>123</v>
      </c>
      <c r="C111" s="10">
        <v>123</v>
      </c>
      <c r="D111" s="9" t="s">
        <v>2023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965</v>
      </c>
    </row>
    <row r="112" spans="2:24" ht="13.8" x14ac:dyDescent="0.2">
      <c r="B112" s="8">
        <f t="shared" si="18"/>
        <v>124</v>
      </c>
      <c r="C112" s="10">
        <v>124</v>
      </c>
      <c r="D112" s="9" t="s">
        <v>1805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966</v>
      </c>
    </row>
    <row r="113" spans="2:24" ht="13.8" x14ac:dyDescent="0.2">
      <c r="B113" s="8">
        <f t="shared" si="18"/>
        <v>125</v>
      </c>
      <c r="C113" s="10">
        <v>125</v>
      </c>
      <c r="D113" s="9" t="s">
        <v>1537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967</v>
      </c>
    </row>
    <row r="114" spans="2:24" ht="13.8" x14ac:dyDescent="0.2">
      <c r="B114" s="8">
        <f t="shared" si="18"/>
        <v>126</v>
      </c>
      <c r="C114" s="10">
        <v>126</v>
      </c>
      <c r="D114" s="9" t="s">
        <v>2024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968</v>
      </c>
    </row>
    <row r="115" spans="2:24" ht="13.8" x14ac:dyDescent="0.2">
      <c r="B115" s="8">
        <f t="shared" si="18"/>
        <v>127</v>
      </c>
      <c r="C115" s="10">
        <v>127</v>
      </c>
      <c r="D115" s="9" t="s">
        <v>1751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969</v>
      </c>
    </row>
    <row r="116" spans="2:24" ht="13.8" x14ac:dyDescent="0.2">
      <c r="B116" s="8">
        <f t="shared" si="18"/>
        <v>128</v>
      </c>
      <c r="C116" s="10">
        <v>128</v>
      </c>
      <c r="D116" s="9" t="s">
        <v>2025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970</v>
      </c>
    </row>
    <row r="117" spans="2:24" ht="13.8" x14ac:dyDescent="0.2">
      <c r="B117" s="8">
        <f t="shared" si="18"/>
        <v>130</v>
      </c>
      <c r="C117" s="10">
        <v>130</v>
      </c>
      <c r="D117" s="9" t="s">
        <v>2026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2035</v>
      </c>
    </row>
    <row r="118" spans="2:24" ht="13.8" x14ac:dyDescent="0.2">
      <c r="B118" s="8">
        <f t="shared" si="18"/>
        <v>137</v>
      </c>
      <c r="C118" s="10">
        <v>137</v>
      </c>
      <c r="D118" s="9" t="s">
        <v>2027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344</v>
      </c>
    </row>
    <row r="119" spans="2:24" ht="13.8" x14ac:dyDescent="0.2">
      <c r="B119" s="8">
        <f t="shared" si="18"/>
        <v>162</v>
      </c>
      <c r="C119" s="10">
        <v>162</v>
      </c>
      <c r="D119" s="9" t="s">
        <v>2028</v>
      </c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2036</v>
      </c>
    </row>
    <row r="120" spans="2:24" ht="13.8" x14ac:dyDescent="0.2">
      <c r="B120" s="8">
        <f t="shared" si="18"/>
        <v>165</v>
      </c>
      <c r="C120" s="10">
        <v>165</v>
      </c>
      <c r="D120" s="9" t="s">
        <v>2029</v>
      </c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2037</v>
      </c>
    </row>
    <row r="121" spans="2:24" ht="13.8" x14ac:dyDescent="0.2">
      <c r="B121" s="8">
        <f t="shared" si="18"/>
        <v>168</v>
      </c>
      <c r="C121" s="10">
        <v>168</v>
      </c>
      <c r="D121" s="9" t="s">
        <v>2030</v>
      </c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2038</v>
      </c>
    </row>
    <row r="122" spans="2:24" ht="13.8" x14ac:dyDescent="0.2">
      <c r="B122" s="8">
        <f t="shared" si="18"/>
        <v>196</v>
      </c>
      <c r="C122" s="10">
        <v>196</v>
      </c>
      <c r="D122" s="9" t="s">
        <v>2031</v>
      </c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2039</v>
      </c>
    </row>
    <row r="123" spans="2:24" ht="13.8" x14ac:dyDescent="0.2">
      <c r="B123" s="8" t="str">
        <f t="shared" si="13"/>
        <v/>
      </c>
      <c r="C123" s="10"/>
      <c r="D123" s="9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3"/>
        <v/>
      </c>
      <c r="C124" s="10"/>
      <c r="D124" s="9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3"/>
        <v/>
      </c>
      <c r="C125" s="10"/>
      <c r="D125" s="9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3"/>
        <v/>
      </c>
      <c r="C126" s="10"/>
      <c r="D126" s="9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3"/>
        <v/>
      </c>
      <c r="C127" s="10"/>
      <c r="D127" s="9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3"/>
        <v/>
      </c>
      <c r="C128" s="10"/>
      <c r="D128" s="9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3"/>
        <v/>
      </c>
      <c r="C129" s="10"/>
      <c r="D129" s="9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3"/>
        <v/>
      </c>
      <c r="C130" s="10"/>
      <c r="D130" s="9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3"/>
        <v/>
      </c>
      <c r="C131" s="10"/>
      <c r="D131" s="9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3"/>
        <v/>
      </c>
      <c r="C132" s="10"/>
      <c r="D132" s="9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9">IF(C133="","",C133)</f>
        <v/>
      </c>
      <c r="C133" s="10"/>
      <c r="D133" s="9"/>
      <c r="E133" s="11" t="str">
        <f t="shared" ref="E133:E134" si="2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9"/>
        <v/>
      </c>
      <c r="C134" s="10"/>
      <c r="D134" s="9"/>
      <c r="E134" s="11" t="str">
        <f t="shared" si="2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838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805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157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7">((G5-H5-I5-J5)+(H5*2)+(I5*3)+(J5*4))</f>
        <v>0</v>
      </c>
      <c r="L5" s="7">
        <v>0</v>
      </c>
      <c r="M5" s="11">
        <f t="shared" ref="M5:M6" si="8">IFERROR(IF((G5+P5+Q5)/(F5+P5+Q5+S5)=1,"1.00",(G5+P5+Q5)/(F5+P5+Q5+S5)),0)</f>
        <v>0</v>
      </c>
      <c r="N5" s="11">
        <f t="shared" ref="N5:N6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431</v>
      </c>
    </row>
    <row r="6" spans="2:24" ht="13.8" x14ac:dyDescent="0.2">
      <c r="B6" s="8">
        <f t="shared" si="6"/>
        <v>1</v>
      </c>
      <c r="C6" s="10">
        <v>1</v>
      </c>
      <c r="D6" s="13" t="s">
        <v>1558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806</v>
      </c>
    </row>
    <row r="7" spans="2:24" ht="13.8" x14ac:dyDescent="0.2">
      <c r="B7" s="8">
        <f t="shared" si="6"/>
        <v>2</v>
      </c>
      <c r="C7" s="10">
        <v>2</v>
      </c>
      <c r="D7" s="13" t="s">
        <v>814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807</v>
      </c>
    </row>
    <row r="8" spans="2:24" ht="13.8" x14ac:dyDescent="0.2">
      <c r="B8" s="8">
        <f t="shared" si="6"/>
        <v>3</v>
      </c>
      <c r="C8" s="10">
        <v>3</v>
      </c>
      <c r="D8" s="13" t="s">
        <v>158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432</v>
      </c>
    </row>
    <row r="9" spans="2:24" ht="13.8" x14ac:dyDescent="0.2">
      <c r="B9" s="8">
        <f t="shared" si="6"/>
        <v>4</v>
      </c>
      <c r="C9" s="10">
        <v>4</v>
      </c>
      <c r="D9" s="13" t="s">
        <v>1733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1774</v>
      </c>
    </row>
    <row r="10" spans="2:24" ht="13.8" x14ac:dyDescent="0.2">
      <c r="B10" s="8">
        <f t="shared" si="6"/>
        <v>5</v>
      </c>
      <c r="C10" s="10">
        <v>5</v>
      </c>
      <c r="D10" s="13" t="s">
        <v>833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434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1734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433</v>
      </c>
    </row>
    <row r="13" spans="2:24" ht="13.8" x14ac:dyDescent="0.2">
      <c r="B13" s="8">
        <f t="shared" si="6"/>
        <v>8</v>
      </c>
      <c r="C13" s="10">
        <v>8</v>
      </c>
      <c r="D13" s="13" t="s">
        <v>1674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435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1452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1775</v>
      </c>
    </row>
    <row r="16" spans="2:24" ht="13.8" x14ac:dyDescent="0.2">
      <c r="B16" s="8">
        <f t="shared" si="6"/>
        <v>11</v>
      </c>
      <c r="C16" s="10">
        <v>11</v>
      </c>
      <c r="D16" s="13" t="s">
        <v>1735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1776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159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437</v>
      </c>
    </row>
    <row r="19" spans="2:24" ht="13.8" x14ac:dyDescent="0.2">
      <c r="B19" s="8">
        <f t="shared" si="6"/>
        <v>14</v>
      </c>
      <c r="C19" s="10">
        <v>14</v>
      </c>
      <c r="D19" s="13" t="s">
        <v>815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808</v>
      </c>
    </row>
    <row r="20" spans="2:24" ht="13.8" x14ac:dyDescent="0.2">
      <c r="B20" s="8">
        <f t="shared" si="6"/>
        <v>15</v>
      </c>
      <c r="C20" s="10">
        <v>15</v>
      </c>
      <c r="D20" s="8" t="s">
        <v>160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438</v>
      </c>
    </row>
    <row r="21" spans="2:24" ht="13.8" x14ac:dyDescent="0.2">
      <c r="B21" s="8">
        <f t="shared" si="6"/>
        <v>16</v>
      </c>
      <c r="C21" s="10">
        <v>16</v>
      </c>
      <c r="D21" s="13" t="s">
        <v>161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439</v>
      </c>
    </row>
    <row r="22" spans="2:24" ht="13.8" x14ac:dyDescent="0.2">
      <c r="B22" s="8">
        <f t="shared" si="6"/>
        <v>17</v>
      </c>
      <c r="C22" s="10">
        <v>17</v>
      </c>
      <c r="D22" s="13" t="s">
        <v>162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155</v>
      </c>
    </row>
    <row r="23" spans="2:24" ht="13.8" x14ac:dyDescent="0.2">
      <c r="B23" s="8">
        <f t="shared" si="6"/>
        <v>18</v>
      </c>
      <c r="C23" s="10">
        <v>18</v>
      </c>
      <c r="D23" s="13" t="s">
        <v>163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440</v>
      </c>
    </row>
    <row r="24" spans="2:24" ht="13.8" x14ac:dyDescent="0.2">
      <c r="B24" s="8">
        <f t="shared" si="6"/>
        <v>19</v>
      </c>
      <c r="C24" s="10">
        <v>19</v>
      </c>
      <c r="D24" s="13" t="s">
        <v>164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441</v>
      </c>
    </row>
    <row r="25" spans="2:24" ht="13.8" x14ac:dyDescent="0.2">
      <c r="B25" s="8">
        <f t="shared" si="6"/>
        <v>20</v>
      </c>
      <c r="C25" s="10">
        <v>20</v>
      </c>
      <c r="D25" s="13" t="s">
        <v>165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442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1736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1986</v>
      </c>
    </row>
    <row r="28" spans="2:24" ht="13.8" x14ac:dyDescent="0.2">
      <c r="B28" s="8">
        <f t="shared" si="6"/>
        <v>23</v>
      </c>
      <c r="C28" s="10">
        <v>23</v>
      </c>
      <c r="D28" s="13" t="s">
        <v>1737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1777</v>
      </c>
    </row>
    <row r="29" spans="2:24" ht="13.8" x14ac:dyDescent="0.2">
      <c r="B29" s="8">
        <f t="shared" si="6"/>
        <v>24</v>
      </c>
      <c r="C29" s="10">
        <v>24</v>
      </c>
      <c r="D29" s="13" t="s">
        <v>166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444</v>
      </c>
    </row>
    <row r="30" spans="2:24" ht="13.8" x14ac:dyDescent="0.2">
      <c r="B30" s="8">
        <f t="shared" si="6"/>
        <v>25</v>
      </c>
      <c r="C30" s="10">
        <v>25</v>
      </c>
      <c r="D30" s="13" t="s">
        <v>167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445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1654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443</v>
      </c>
    </row>
    <row r="33" spans="2:24" ht="13.8" x14ac:dyDescent="0.2">
      <c r="B33" s="8">
        <f t="shared" si="6"/>
        <v>28</v>
      </c>
      <c r="C33" s="10">
        <v>28</v>
      </c>
      <c r="D33" s="13" t="s">
        <v>1738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1778</v>
      </c>
    </row>
    <row r="34" spans="2:24" ht="13.8" x14ac:dyDescent="0.2">
      <c r="B34" s="8">
        <f t="shared" si="6"/>
        <v>29</v>
      </c>
      <c r="C34" s="10">
        <v>29</v>
      </c>
      <c r="D34" s="13" t="s">
        <v>101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446</v>
      </c>
    </row>
    <row r="35" spans="2:24" ht="13.8" x14ac:dyDescent="0.2">
      <c r="B35" s="8">
        <f t="shared" si="6"/>
        <v>30</v>
      </c>
      <c r="C35" s="10">
        <v>30</v>
      </c>
      <c r="D35" s="13" t="s">
        <v>816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809</v>
      </c>
    </row>
    <row r="36" spans="2:24" ht="13.8" x14ac:dyDescent="0.2">
      <c r="B36" s="8">
        <f t="shared" si="6"/>
        <v>31</v>
      </c>
      <c r="C36" s="10">
        <v>31</v>
      </c>
      <c r="D36" s="13" t="s">
        <v>1739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1779</v>
      </c>
    </row>
    <row r="37" spans="2:24" ht="13.8" x14ac:dyDescent="0.2">
      <c r="B37" s="8">
        <f t="shared" si="6"/>
        <v>32</v>
      </c>
      <c r="C37" s="10">
        <v>32</v>
      </c>
      <c r="D37" s="13" t="s">
        <v>1019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156</v>
      </c>
    </row>
    <row r="38" spans="2:24" ht="13.8" x14ac:dyDescent="0.2">
      <c r="B38" s="8">
        <f t="shared" si="6"/>
        <v>33</v>
      </c>
      <c r="C38" s="10">
        <v>33</v>
      </c>
      <c r="D38" s="13" t="s">
        <v>817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810</v>
      </c>
    </row>
    <row r="39" spans="2:24" ht="13.8" x14ac:dyDescent="0.2">
      <c r="B39" s="8">
        <f t="shared" si="6"/>
        <v>34</v>
      </c>
      <c r="C39" s="10">
        <v>34</v>
      </c>
      <c r="D39" s="13" t="s">
        <v>1740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1780</v>
      </c>
    </row>
    <row r="40" spans="2:24" ht="13.8" x14ac:dyDescent="0.2">
      <c r="B40" s="8">
        <f t="shared" si="6"/>
        <v>35</v>
      </c>
      <c r="C40" s="10">
        <v>35</v>
      </c>
      <c r="D40" s="13" t="s">
        <v>1741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1781</v>
      </c>
    </row>
    <row r="41" spans="2:24" ht="13.8" x14ac:dyDescent="0.2">
      <c r="B41" s="8">
        <f t="shared" si="6"/>
        <v>36</v>
      </c>
      <c r="C41" s="10">
        <v>36</v>
      </c>
      <c r="D41" s="13" t="s">
        <v>1742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1782</v>
      </c>
    </row>
    <row r="42" spans="2:24" ht="13.8" x14ac:dyDescent="0.2">
      <c r="B42" s="8">
        <f t="shared" si="6"/>
        <v>37</v>
      </c>
      <c r="C42" s="10">
        <v>37</v>
      </c>
      <c r="D42" s="13" t="s">
        <v>1743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450</v>
      </c>
    </row>
    <row r="43" spans="2:24" ht="13.8" x14ac:dyDescent="0.2">
      <c r="B43" s="8">
        <f t="shared" si="6"/>
        <v>38</v>
      </c>
      <c r="C43" s="10">
        <v>38</v>
      </c>
      <c r="D43" s="13" t="s">
        <v>642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646</v>
      </c>
    </row>
    <row r="44" spans="2:24" ht="13.8" x14ac:dyDescent="0.2">
      <c r="B44" s="8">
        <f t="shared" si="6"/>
        <v>39</v>
      </c>
      <c r="C44" s="10">
        <v>39</v>
      </c>
      <c r="D44" s="13" t="s">
        <v>1744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217</v>
      </c>
    </row>
    <row r="45" spans="2:24" ht="13.8" x14ac:dyDescent="0.2">
      <c r="B45" s="8">
        <f t="shared" si="6"/>
        <v>40</v>
      </c>
      <c r="C45" s="10">
        <v>40</v>
      </c>
      <c r="D45" s="13" t="s">
        <v>1745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1783</v>
      </c>
    </row>
    <row r="46" spans="2:24" ht="13.8" x14ac:dyDescent="0.2">
      <c r="B46" s="8">
        <f t="shared" si="6"/>
        <v>41</v>
      </c>
      <c r="C46" s="10">
        <v>41</v>
      </c>
      <c r="D46" s="13" t="s">
        <v>1746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1987</v>
      </c>
    </row>
    <row r="47" spans="2:24" ht="13.8" x14ac:dyDescent="0.2">
      <c r="B47" s="8">
        <f t="shared" si="6"/>
        <v>42</v>
      </c>
      <c r="C47" s="10">
        <v>42</v>
      </c>
      <c r="D47" s="13" t="s">
        <v>1747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1988</v>
      </c>
    </row>
    <row r="48" spans="2:24" ht="13.8" x14ac:dyDescent="0.2">
      <c r="B48" s="8">
        <f t="shared" si="6"/>
        <v>43</v>
      </c>
      <c r="C48" s="10">
        <v>43</v>
      </c>
      <c r="D48" s="13" t="s">
        <v>818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811</v>
      </c>
    </row>
    <row r="49" spans="2:24" ht="13.8" x14ac:dyDescent="0.2">
      <c r="B49" s="8">
        <f t="shared" si="6"/>
        <v>44</v>
      </c>
      <c r="C49" s="10">
        <v>44</v>
      </c>
      <c r="D49" s="13" t="s">
        <v>1328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451</v>
      </c>
    </row>
    <row r="50" spans="2:24" ht="13.8" x14ac:dyDescent="0.2">
      <c r="B50" s="8">
        <f t="shared" si="6"/>
        <v>45</v>
      </c>
      <c r="C50" s="10">
        <v>45</v>
      </c>
      <c r="D50" s="13" t="s">
        <v>1748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464</v>
      </c>
    </row>
    <row r="51" spans="2:24" ht="13.8" x14ac:dyDescent="0.2">
      <c r="B51" s="8">
        <f t="shared" si="6"/>
        <v>46</v>
      </c>
      <c r="C51" s="10">
        <v>46</v>
      </c>
      <c r="D51" s="13" t="s">
        <v>168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452</v>
      </c>
    </row>
    <row r="52" spans="2:24" ht="13.8" x14ac:dyDescent="0.2">
      <c r="B52" s="8">
        <f t="shared" si="6"/>
        <v>47</v>
      </c>
      <c r="C52" s="10">
        <v>47</v>
      </c>
      <c r="D52" s="13" t="s">
        <v>1749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449</v>
      </c>
    </row>
    <row r="53" spans="2:24" ht="13.8" x14ac:dyDescent="0.2">
      <c r="B53" s="8">
        <f t="shared" si="6"/>
        <v>48</v>
      </c>
      <c r="C53" s="10">
        <v>48</v>
      </c>
      <c r="D53" s="13" t="s">
        <v>169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453</v>
      </c>
    </row>
    <row r="54" spans="2:24" ht="13.8" x14ac:dyDescent="0.2">
      <c r="B54" s="8">
        <f t="shared" si="6"/>
        <v>49</v>
      </c>
      <c r="C54" s="10">
        <v>49</v>
      </c>
      <c r="D54" s="13" t="s">
        <v>648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649</v>
      </c>
    </row>
    <row r="55" spans="2:24" ht="13.8" x14ac:dyDescent="0.2">
      <c r="B55" s="8">
        <f t="shared" si="6"/>
        <v>50</v>
      </c>
      <c r="C55" s="10">
        <v>50</v>
      </c>
      <c r="D55" s="13" t="s">
        <v>1750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1750</v>
      </c>
    </row>
    <row r="56" spans="2:24" ht="13.8" x14ac:dyDescent="0.2">
      <c r="B56" s="8">
        <f t="shared" si="6"/>
        <v>51</v>
      </c>
      <c r="C56" s="10">
        <v>51</v>
      </c>
      <c r="D56" s="13" t="s">
        <v>1751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454</v>
      </c>
    </row>
    <row r="57" spans="2:24" ht="13.8" x14ac:dyDescent="0.2">
      <c r="B57" s="8">
        <f t="shared" si="6"/>
        <v>52</v>
      </c>
      <c r="C57" s="10">
        <v>52</v>
      </c>
      <c r="D57" s="13" t="s">
        <v>904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455</v>
      </c>
    </row>
    <row r="58" spans="2:24" ht="13.8" x14ac:dyDescent="0.2">
      <c r="B58" s="8">
        <f t="shared" si="6"/>
        <v>53</v>
      </c>
      <c r="C58" s="10">
        <v>53</v>
      </c>
      <c r="D58" s="13" t="s">
        <v>1538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1784</v>
      </c>
    </row>
    <row r="59" spans="2:24" ht="13.8" x14ac:dyDescent="0.2">
      <c r="B59" s="8">
        <f t="shared" si="6"/>
        <v>54</v>
      </c>
      <c r="C59" s="10">
        <v>54</v>
      </c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6"/>
        <v>55</v>
      </c>
      <c r="C60" s="10">
        <v>55</v>
      </c>
      <c r="D60" s="13" t="s">
        <v>1752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463</v>
      </c>
    </row>
    <row r="61" spans="2:24" ht="13.8" x14ac:dyDescent="0.2">
      <c r="B61" s="8">
        <f t="shared" si="6"/>
        <v>56</v>
      </c>
      <c r="C61" s="10">
        <v>56</v>
      </c>
      <c r="D61" s="13" t="s">
        <v>208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456</v>
      </c>
    </row>
    <row r="62" spans="2:24" ht="13.8" x14ac:dyDescent="0.2">
      <c r="B62" s="8">
        <f t="shared" si="6"/>
        <v>57</v>
      </c>
      <c r="C62" s="10">
        <v>57</v>
      </c>
      <c r="D62" s="13" t="s">
        <v>1291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457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1753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1785</v>
      </c>
    </row>
    <row r="65" spans="2:24" ht="13.8" x14ac:dyDescent="0.2">
      <c r="B65" s="8">
        <f t="shared" si="6"/>
        <v>60</v>
      </c>
      <c r="C65" s="10">
        <v>60</v>
      </c>
      <c r="D65" s="13" t="s">
        <v>1754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459</v>
      </c>
    </row>
    <row r="66" spans="2:24" ht="13.8" x14ac:dyDescent="0.2">
      <c r="B66" s="8">
        <f t="shared" si="6"/>
        <v>61</v>
      </c>
      <c r="C66" s="10">
        <v>61</v>
      </c>
      <c r="D66" s="13" t="s">
        <v>1293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1786</v>
      </c>
    </row>
    <row r="67" spans="2:24" ht="13.8" x14ac:dyDescent="0.2">
      <c r="B67" s="8">
        <f t="shared" si="6"/>
        <v>62</v>
      </c>
      <c r="C67" s="10">
        <v>62</v>
      </c>
      <c r="D67" s="13" t="s">
        <v>1436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813</v>
      </c>
    </row>
    <row r="68" spans="2:24" ht="13.8" x14ac:dyDescent="0.2">
      <c r="B68" s="8">
        <f t="shared" si="6"/>
        <v>63</v>
      </c>
      <c r="C68" s="10">
        <v>63</v>
      </c>
      <c r="D68" s="9" t="s">
        <v>209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210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1755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1989</v>
      </c>
    </row>
    <row r="70" spans="2:24" ht="13.8" x14ac:dyDescent="0.2">
      <c r="B70" s="8">
        <f t="shared" si="13"/>
        <v>65</v>
      </c>
      <c r="C70" s="10">
        <v>65</v>
      </c>
      <c r="D70" s="9" t="s">
        <v>1756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1787</v>
      </c>
    </row>
    <row r="71" spans="2:24" ht="13.8" x14ac:dyDescent="0.2">
      <c r="B71" s="8">
        <f t="shared" si="13"/>
        <v>66</v>
      </c>
      <c r="C71" s="10">
        <v>66</v>
      </c>
      <c r="D71" s="13" t="s">
        <v>1757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422</v>
      </c>
    </row>
    <row r="72" spans="2:24" ht="13.8" x14ac:dyDescent="0.2">
      <c r="B72" s="8">
        <f t="shared" si="13"/>
        <v>67</v>
      </c>
      <c r="C72" s="10">
        <v>67</v>
      </c>
      <c r="D72" s="13" t="s">
        <v>170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461</v>
      </c>
    </row>
    <row r="73" spans="2:24" ht="13.8" x14ac:dyDescent="0.2">
      <c r="B73" s="8">
        <f t="shared" si="13"/>
        <v>68</v>
      </c>
      <c r="C73" s="10">
        <v>68</v>
      </c>
      <c r="D73" s="13" t="s">
        <v>1758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1788</v>
      </c>
    </row>
    <row r="74" spans="2:24" ht="13.8" x14ac:dyDescent="0.2">
      <c r="B74" s="8">
        <f t="shared" si="13"/>
        <v>69</v>
      </c>
      <c r="C74" s="10">
        <v>69</v>
      </c>
      <c r="D74" s="13" t="s">
        <v>1672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1990</v>
      </c>
    </row>
    <row r="75" spans="2:24" ht="13.8" x14ac:dyDescent="0.2">
      <c r="B75" s="8">
        <f t="shared" si="13"/>
        <v>70</v>
      </c>
      <c r="C75" s="10">
        <v>70</v>
      </c>
      <c r="D75" s="8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8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13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8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9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8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8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 t="s">
        <v>647</v>
      </c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640</v>
      </c>
    </row>
    <row r="98" spans="2:24" ht="13.8" x14ac:dyDescent="0.2">
      <c r="B98" s="8">
        <f t="shared" si="13"/>
        <v>93</v>
      </c>
      <c r="C98" s="10">
        <v>93</v>
      </c>
      <c r="D98" s="8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13" t="s">
        <v>1748</v>
      </c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464</v>
      </c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9" t="s">
        <v>185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1991</v>
      </c>
    </row>
    <row r="105" spans="2:24" ht="13.8" x14ac:dyDescent="0.2">
      <c r="B105" s="8">
        <f t="shared" si="13"/>
        <v>120</v>
      </c>
      <c r="C105" s="10">
        <v>120</v>
      </c>
      <c r="D105" s="14" t="s">
        <v>1759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1789</v>
      </c>
    </row>
    <row r="106" spans="2:24" ht="13.8" x14ac:dyDescent="0.2">
      <c r="B106" s="8">
        <f t="shared" si="13"/>
        <v>121</v>
      </c>
      <c r="C106" s="10">
        <v>121</v>
      </c>
      <c r="D106" s="9" t="s">
        <v>1760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448</v>
      </c>
    </row>
    <row r="107" spans="2:24" ht="13.8" x14ac:dyDescent="0.2">
      <c r="B107" s="8">
        <f t="shared" si="13"/>
        <v>122</v>
      </c>
      <c r="C107" s="10">
        <v>122</v>
      </c>
      <c r="D107" s="9" t="s">
        <v>1761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436</v>
      </c>
    </row>
    <row r="108" spans="2:24" ht="13.8" x14ac:dyDescent="0.2">
      <c r="B108" s="8">
        <f t="shared" si="13"/>
        <v>123</v>
      </c>
      <c r="C108" s="10">
        <v>123</v>
      </c>
      <c r="D108" s="9" t="s">
        <v>1762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458</v>
      </c>
    </row>
    <row r="109" spans="2:24" ht="13.8" x14ac:dyDescent="0.2">
      <c r="B109" s="8">
        <f t="shared" si="13"/>
        <v>124</v>
      </c>
      <c r="C109" s="10">
        <v>124</v>
      </c>
      <c r="D109" s="9" t="s">
        <v>1763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460</v>
      </c>
    </row>
    <row r="110" spans="2:24" ht="13.8" x14ac:dyDescent="0.2">
      <c r="B110" s="8">
        <f t="shared" si="13"/>
        <v>125</v>
      </c>
      <c r="C110" s="10">
        <v>125</v>
      </c>
      <c r="D110" s="9" t="s">
        <v>1764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1790</v>
      </c>
    </row>
    <row r="111" spans="2:24" ht="13.8" x14ac:dyDescent="0.2">
      <c r="B111" s="8">
        <f t="shared" si="13"/>
        <v>126</v>
      </c>
      <c r="C111" s="10">
        <v>126</v>
      </c>
      <c r="D111" s="9" t="s">
        <v>1765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1791</v>
      </c>
    </row>
    <row r="112" spans="2:24" ht="13.8" x14ac:dyDescent="0.2">
      <c r="B112" s="8">
        <f t="shared" si="13"/>
        <v>127</v>
      </c>
      <c r="C112" s="10">
        <v>127</v>
      </c>
      <c r="D112" s="9" t="s">
        <v>1766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1792</v>
      </c>
    </row>
    <row r="113" spans="2:24" ht="13.8" x14ac:dyDescent="0.2">
      <c r="B113" s="8">
        <f t="shared" si="13"/>
        <v>128</v>
      </c>
      <c r="C113" s="10">
        <v>128</v>
      </c>
      <c r="D113" s="9" t="s">
        <v>1767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1793</v>
      </c>
    </row>
    <row r="114" spans="2:24" ht="13.8" x14ac:dyDescent="0.2">
      <c r="B114" s="8">
        <f t="shared" si="13"/>
        <v>129</v>
      </c>
      <c r="C114" s="10">
        <v>129</v>
      </c>
      <c r="D114" s="9" t="s">
        <v>770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1794</v>
      </c>
    </row>
    <row r="115" spans="2:24" ht="13.8" x14ac:dyDescent="0.2">
      <c r="B115" s="8">
        <f t="shared" si="13"/>
        <v>130</v>
      </c>
      <c r="C115" s="10">
        <v>130</v>
      </c>
      <c r="D115" s="9" t="s">
        <v>1768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1795</v>
      </c>
    </row>
    <row r="116" spans="2:24" ht="13.8" x14ac:dyDescent="0.2">
      <c r="B116" s="8">
        <f t="shared" si="13"/>
        <v>131</v>
      </c>
      <c r="C116" s="10">
        <v>131</v>
      </c>
      <c r="D116" s="9" t="s">
        <v>1769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447</v>
      </c>
    </row>
    <row r="117" spans="2:24" ht="13.8" x14ac:dyDescent="0.2">
      <c r="B117" s="8">
        <f t="shared" si="13"/>
        <v>132</v>
      </c>
      <c r="C117" s="10">
        <v>132</v>
      </c>
      <c r="D117" s="9" t="s">
        <v>1770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506</v>
      </c>
    </row>
    <row r="118" spans="2:24" ht="13.8" x14ac:dyDescent="0.2">
      <c r="B118" s="8">
        <f t="shared" si="13"/>
        <v>133</v>
      </c>
      <c r="C118" s="10">
        <v>133</v>
      </c>
      <c r="D118" s="9" t="s">
        <v>1655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1796</v>
      </c>
    </row>
    <row r="119" spans="2:24" ht="13.8" x14ac:dyDescent="0.2">
      <c r="B119" s="8">
        <f t="shared" si="13"/>
        <v>134</v>
      </c>
      <c r="C119" s="10">
        <v>134</v>
      </c>
      <c r="D119" s="9" t="s">
        <v>1771</v>
      </c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1797</v>
      </c>
    </row>
    <row r="120" spans="2:24" ht="13.8" x14ac:dyDescent="0.2">
      <c r="B120" s="8">
        <f t="shared" si="13"/>
        <v>135</v>
      </c>
      <c r="C120" s="10">
        <v>135</v>
      </c>
      <c r="D120" s="9" t="s">
        <v>1772</v>
      </c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1798</v>
      </c>
    </row>
    <row r="121" spans="2:24" ht="13.8" x14ac:dyDescent="0.2">
      <c r="B121" s="8">
        <f t="shared" si="13"/>
        <v>136</v>
      </c>
      <c r="C121" s="10">
        <v>136</v>
      </c>
      <c r="D121" s="9" t="s">
        <v>1537</v>
      </c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1799</v>
      </c>
    </row>
    <row r="122" spans="2:24" ht="13.8" x14ac:dyDescent="0.2">
      <c r="B122" s="8">
        <f t="shared" si="13"/>
        <v>137</v>
      </c>
      <c r="C122" s="10">
        <v>137</v>
      </c>
      <c r="D122" s="9" t="s">
        <v>1773</v>
      </c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1800</v>
      </c>
    </row>
    <row r="123" spans="2:24" ht="13.8" x14ac:dyDescent="0.2">
      <c r="B123" s="8">
        <f t="shared" si="13"/>
        <v>138</v>
      </c>
      <c r="C123" s="10">
        <v>138</v>
      </c>
      <c r="D123" s="9" t="s">
        <v>1536</v>
      </c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427</v>
      </c>
    </row>
    <row r="124" spans="2:24" ht="13.8" x14ac:dyDescent="0.2">
      <c r="B124" s="8" t="str">
        <f t="shared" si="13"/>
        <v/>
      </c>
      <c r="C124" s="10"/>
      <c r="D124" s="9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3"/>
        <v/>
      </c>
      <c r="C125" s="10"/>
      <c r="D125" s="9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3"/>
        <v/>
      </c>
      <c r="C126" s="10"/>
      <c r="D126" s="9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3"/>
        <v/>
      </c>
      <c r="C127" s="10"/>
      <c r="D127" s="9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3"/>
        <v/>
      </c>
      <c r="C128" s="10"/>
      <c r="D128" s="9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3"/>
        <v/>
      </c>
      <c r="C129" s="10"/>
      <c r="D129" s="9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3"/>
        <v/>
      </c>
      <c r="C130" s="10"/>
      <c r="D130" s="9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3"/>
        <v/>
      </c>
      <c r="C131" s="10"/>
      <c r="D131" s="9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3"/>
        <v/>
      </c>
      <c r="C132" s="10"/>
      <c r="D132" s="9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 t="s">
        <v>1801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1992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840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1240</v>
      </c>
    </row>
    <row r="6" spans="2:24" ht="13.8" x14ac:dyDescent="0.2">
      <c r="B6" s="8">
        <f t="shared" si="6"/>
        <v>1</v>
      </c>
      <c r="C6" s="10">
        <v>1</v>
      </c>
      <c r="D6" s="13" t="s">
        <v>1439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1241</v>
      </c>
    </row>
    <row r="7" spans="2:24" ht="13.8" x14ac:dyDescent="0.2">
      <c r="B7" s="8">
        <f t="shared" si="6"/>
        <v>2</v>
      </c>
      <c r="C7" s="10">
        <v>2</v>
      </c>
      <c r="D7" s="13" t="s">
        <v>212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396</v>
      </c>
    </row>
    <row r="8" spans="2:24" ht="13.8" x14ac:dyDescent="0.2">
      <c r="B8" s="8">
        <f t="shared" si="6"/>
        <v>3</v>
      </c>
      <c r="C8" s="10">
        <v>3</v>
      </c>
      <c r="D8" s="13" t="s">
        <v>100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397</v>
      </c>
    </row>
    <row r="9" spans="2:24" ht="13.8" x14ac:dyDescent="0.2">
      <c r="B9" s="8">
        <f t="shared" si="6"/>
        <v>4</v>
      </c>
      <c r="C9" s="10">
        <v>4</v>
      </c>
      <c r="D9" s="13" t="s">
        <v>1436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473</v>
      </c>
    </row>
    <row r="10" spans="2:24" ht="13.8" x14ac:dyDescent="0.2">
      <c r="B10" s="8">
        <f t="shared" si="6"/>
        <v>5</v>
      </c>
      <c r="C10" s="10">
        <v>5</v>
      </c>
      <c r="D10" s="13" t="s">
        <v>101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398</v>
      </c>
    </row>
    <row r="11" spans="2:24" ht="13.8" x14ac:dyDescent="0.2">
      <c r="B11" s="8">
        <f t="shared" si="6"/>
        <v>6</v>
      </c>
      <c r="C11" s="10">
        <v>6</v>
      </c>
      <c r="D11" s="13" t="s">
        <v>102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399</v>
      </c>
    </row>
    <row r="12" spans="2:24" ht="13.8" x14ac:dyDescent="0.2">
      <c r="B12" s="8">
        <f t="shared" si="6"/>
        <v>7</v>
      </c>
      <c r="C12" s="10">
        <v>7</v>
      </c>
      <c r="D12" s="13" t="s">
        <v>1288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1842</v>
      </c>
    </row>
    <row r="13" spans="2:24" ht="13.8" x14ac:dyDescent="0.2">
      <c r="B13" s="8">
        <f t="shared" si="6"/>
        <v>8</v>
      </c>
      <c r="C13" s="10">
        <v>8</v>
      </c>
      <c r="D13" s="13" t="s">
        <v>1802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1993</v>
      </c>
    </row>
    <row r="14" spans="2:24" ht="13.8" x14ac:dyDescent="0.2">
      <c r="B14" s="8">
        <f t="shared" si="6"/>
        <v>9</v>
      </c>
      <c r="C14" s="10">
        <v>9</v>
      </c>
      <c r="D14" s="13" t="s">
        <v>1403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1243</v>
      </c>
    </row>
    <row r="15" spans="2:24" ht="13.8" x14ac:dyDescent="0.2">
      <c r="B15" s="8">
        <f t="shared" si="6"/>
        <v>10</v>
      </c>
      <c r="C15" s="10">
        <v>10</v>
      </c>
      <c r="D15" s="13" t="s">
        <v>1553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1244</v>
      </c>
    </row>
    <row r="16" spans="2:24" ht="13.8" x14ac:dyDescent="0.2">
      <c r="B16" s="8">
        <f t="shared" si="6"/>
        <v>11</v>
      </c>
      <c r="C16" s="10">
        <v>11</v>
      </c>
      <c r="D16" s="13" t="s">
        <v>1289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213</v>
      </c>
    </row>
    <row r="17" spans="2:24" ht="13.8" x14ac:dyDescent="0.2">
      <c r="B17" s="8">
        <f t="shared" si="6"/>
        <v>12</v>
      </c>
      <c r="C17" s="10">
        <v>12</v>
      </c>
      <c r="D17" s="13" t="s">
        <v>1313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1257</v>
      </c>
    </row>
    <row r="18" spans="2:24" ht="13.8" x14ac:dyDescent="0.2">
      <c r="B18" s="8">
        <f t="shared" si="6"/>
        <v>13</v>
      </c>
      <c r="C18" s="10">
        <v>13</v>
      </c>
      <c r="D18" s="13" t="s">
        <v>1225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401</v>
      </c>
    </row>
    <row r="19" spans="2:24" ht="13.8" x14ac:dyDescent="0.2">
      <c r="B19" s="8">
        <f t="shared" si="6"/>
        <v>14</v>
      </c>
      <c r="C19" s="10">
        <v>14</v>
      </c>
      <c r="D19" s="13" t="s">
        <v>1803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1253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214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402</v>
      </c>
    </row>
    <row r="22" spans="2:24" ht="13.8" x14ac:dyDescent="0.2">
      <c r="B22" s="8">
        <f t="shared" si="6"/>
        <v>17</v>
      </c>
      <c r="C22" s="10">
        <v>17</v>
      </c>
      <c r="D22" s="13" t="s">
        <v>1804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1843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404</v>
      </c>
    </row>
    <row r="25" spans="2:24" ht="13.8" x14ac:dyDescent="0.2">
      <c r="B25" s="8">
        <f t="shared" si="6"/>
        <v>20</v>
      </c>
      <c r="C25" s="10">
        <v>20</v>
      </c>
      <c r="D25" s="13" t="s">
        <v>1805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418</v>
      </c>
    </row>
    <row r="26" spans="2:24" ht="13.8" x14ac:dyDescent="0.2">
      <c r="B26" s="8">
        <f t="shared" si="6"/>
        <v>21</v>
      </c>
      <c r="C26" s="10">
        <v>21</v>
      </c>
      <c r="D26" s="13" t="s">
        <v>1806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218</v>
      </c>
    </row>
    <row r="27" spans="2:24" ht="13.8" x14ac:dyDescent="0.2">
      <c r="B27" s="8">
        <f t="shared" si="6"/>
        <v>22</v>
      </c>
      <c r="C27" s="10">
        <v>22</v>
      </c>
      <c r="D27" s="13" t="s">
        <v>105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405</v>
      </c>
    </row>
    <row r="28" spans="2:24" ht="13.8" x14ac:dyDescent="0.2">
      <c r="B28" s="8">
        <f t="shared" si="6"/>
        <v>23</v>
      </c>
      <c r="C28" s="10">
        <v>23</v>
      </c>
      <c r="D28" s="13" t="s">
        <v>1536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1844</v>
      </c>
    </row>
    <row r="29" spans="2:24" ht="13.8" x14ac:dyDescent="0.2">
      <c r="B29" s="8">
        <f t="shared" si="6"/>
        <v>24</v>
      </c>
      <c r="C29" s="10">
        <v>24</v>
      </c>
      <c r="D29" s="13" t="s">
        <v>107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6"/>
        <v>25</v>
      </c>
      <c r="C30" s="10">
        <v>25</v>
      </c>
      <c r="D30" s="13" t="s">
        <v>1807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1845</v>
      </c>
    </row>
    <row r="31" spans="2:24" ht="13.8" x14ac:dyDescent="0.2">
      <c r="B31" s="8">
        <f t="shared" si="6"/>
        <v>26</v>
      </c>
      <c r="C31" s="10">
        <v>26</v>
      </c>
      <c r="D31" s="13" t="s">
        <v>1808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1846</v>
      </c>
    </row>
    <row r="32" spans="2:24" ht="13.8" x14ac:dyDescent="0.2">
      <c r="B32" s="8">
        <f t="shared" si="6"/>
        <v>27</v>
      </c>
      <c r="C32" s="10">
        <v>27</v>
      </c>
      <c r="D32" s="13" t="s">
        <v>215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407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409</v>
      </c>
    </row>
    <row r="35" spans="2:24" ht="13.8" x14ac:dyDescent="0.2">
      <c r="B35" s="8">
        <f t="shared" si="6"/>
        <v>30</v>
      </c>
      <c r="C35" s="10">
        <v>30</v>
      </c>
      <c r="D35" s="13" t="s">
        <v>1809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1847</v>
      </c>
    </row>
    <row r="36" spans="2:24" ht="13.8" x14ac:dyDescent="0.2">
      <c r="B36" s="8">
        <f t="shared" si="6"/>
        <v>31</v>
      </c>
      <c r="C36" s="10">
        <v>31</v>
      </c>
      <c r="D36" s="13" t="s">
        <v>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410</v>
      </c>
    </row>
    <row r="37" spans="2:24" ht="13.8" x14ac:dyDescent="0.2">
      <c r="B37" s="8">
        <f t="shared" si="6"/>
        <v>32</v>
      </c>
      <c r="C37" s="10">
        <v>32</v>
      </c>
      <c r="D37" s="13" t="s">
        <v>1453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1246</v>
      </c>
    </row>
    <row r="38" spans="2:24" ht="13.8" x14ac:dyDescent="0.2">
      <c r="B38" s="8">
        <f t="shared" si="6"/>
        <v>33</v>
      </c>
      <c r="C38" s="10">
        <v>33</v>
      </c>
      <c r="D38" s="13" t="s">
        <v>1810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1848</v>
      </c>
    </row>
    <row r="39" spans="2:24" ht="13.8" x14ac:dyDescent="0.2">
      <c r="B39" s="8">
        <f t="shared" si="6"/>
        <v>34</v>
      </c>
      <c r="C39" s="10">
        <v>34</v>
      </c>
      <c r="D39" s="13" t="s">
        <v>1754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1849</v>
      </c>
    </row>
    <row r="40" spans="2:24" ht="13.8" x14ac:dyDescent="0.2">
      <c r="B40" s="8">
        <f t="shared" si="6"/>
        <v>35</v>
      </c>
      <c r="C40" s="10">
        <v>35</v>
      </c>
      <c r="D40" s="13" t="s">
        <v>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411</v>
      </c>
    </row>
    <row r="41" spans="2:24" ht="13.8" x14ac:dyDescent="0.2">
      <c r="B41" s="8">
        <f t="shared" si="6"/>
        <v>36</v>
      </c>
      <c r="C41" s="10">
        <v>36</v>
      </c>
      <c r="D41" s="13" t="s">
        <v>109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412</v>
      </c>
    </row>
    <row r="42" spans="2:24" ht="13.8" x14ac:dyDescent="0.2">
      <c r="B42" s="8">
        <f t="shared" si="6"/>
        <v>37</v>
      </c>
      <c r="C42" s="10">
        <v>37</v>
      </c>
      <c r="D42" s="13" t="s">
        <v>1290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1850</v>
      </c>
    </row>
    <row r="43" spans="2:24" ht="13.8" x14ac:dyDescent="0.2">
      <c r="B43" s="8">
        <f t="shared" si="6"/>
        <v>38</v>
      </c>
      <c r="C43" s="10">
        <v>38</v>
      </c>
      <c r="D43" s="13" t="s">
        <v>216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414</v>
      </c>
    </row>
    <row r="44" spans="2:24" ht="13.8" x14ac:dyDescent="0.2">
      <c r="B44" s="8">
        <f t="shared" si="6"/>
        <v>39</v>
      </c>
      <c r="C44" s="10">
        <v>39</v>
      </c>
      <c r="D44" s="13" t="s">
        <v>838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1247</v>
      </c>
    </row>
    <row r="45" spans="2:24" ht="13.8" x14ac:dyDescent="0.2">
      <c r="B45" s="8">
        <f t="shared" si="6"/>
        <v>40</v>
      </c>
      <c r="C45" s="10">
        <v>40</v>
      </c>
      <c r="D45" s="13" t="s">
        <v>1811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1994</v>
      </c>
    </row>
    <row r="46" spans="2:24" ht="13.8" x14ac:dyDescent="0.2">
      <c r="B46" s="8">
        <f t="shared" si="6"/>
        <v>41</v>
      </c>
      <c r="C46" s="10">
        <v>41</v>
      </c>
      <c r="D46" s="13" t="s">
        <v>837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415</v>
      </c>
    </row>
    <row r="47" spans="2:24" ht="13.8" x14ac:dyDescent="0.2">
      <c r="B47" s="8">
        <f t="shared" si="6"/>
        <v>42</v>
      </c>
      <c r="C47" s="10">
        <v>42</v>
      </c>
      <c r="D47" s="13" t="s">
        <v>1812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1995</v>
      </c>
    </row>
    <row r="48" spans="2:24" ht="13.8" x14ac:dyDescent="0.2">
      <c r="B48" s="8">
        <f t="shared" si="6"/>
        <v>43</v>
      </c>
      <c r="C48" s="10">
        <v>43</v>
      </c>
      <c r="D48" s="13" t="s">
        <v>110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416</v>
      </c>
    </row>
    <row r="49" spans="2:24" ht="13.8" x14ac:dyDescent="0.2">
      <c r="B49" s="8">
        <f t="shared" si="6"/>
        <v>44</v>
      </c>
      <c r="C49" s="10">
        <v>44</v>
      </c>
      <c r="D49" s="13" t="s">
        <v>111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417</v>
      </c>
    </row>
    <row r="50" spans="2:24" ht="13.8" x14ac:dyDescent="0.2">
      <c r="B50" s="8">
        <f t="shared" si="6"/>
        <v>45</v>
      </c>
      <c r="C50" s="10">
        <v>45</v>
      </c>
      <c r="D50" s="13" t="s">
        <v>1813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1996</v>
      </c>
    </row>
    <row r="51" spans="2:24" ht="13.8" x14ac:dyDescent="0.2">
      <c r="B51" s="8">
        <f t="shared" si="6"/>
        <v>46</v>
      </c>
      <c r="C51" s="10">
        <v>46</v>
      </c>
      <c r="D51" s="13" t="s">
        <v>118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419</v>
      </c>
    </row>
    <row r="52" spans="2:24" ht="13.8" x14ac:dyDescent="0.2">
      <c r="B52" s="8">
        <f t="shared" si="6"/>
        <v>47</v>
      </c>
      <c r="C52" s="10">
        <v>47</v>
      </c>
      <c r="D52" s="13" t="s">
        <v>112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420</v>
      </c>
    </row>
    <row r="53" spans="2:24" ht="13.8" x14ac:dyDescent="0.2">
      <c r="B53" s="8">
        <f t="shared" si="6"/>
        <v>48</v>
      </c>
      <c r="C53" s="10">
        <v>48</v>
      </c>
      <c r="D53" s="13" t="s">
        <v>1814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1851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113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423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1754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1248</v>
      </c>
    </row>
    <row r="58" spans="2:24" ht="13.8" x14ac:dyDescent="0.2">
      <c r="B58" s="8">
        <f t="shared" si="6"/>
        <v>53</v>
      </c>
      <c r="C58" s="10">
        <v>53</v>
      </c>
      <c r="D58" s="13" t="s">
        <v>114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424</v>
      </c>
    </row>
    <row r="59" spans="2:24" ht="13.8" x14ac:dyDescent="0.2">
      <c r="B59" s="8">
        <f t="shared" si="6"/>
        <v>54</v>
      </c>
      <c r="C59" s="10">
        <v>54</v>
      </c>
      <c r="D59" s="13" t="s">
        <v>1815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1997</v>
      </c>
    </row>
    <row r="60" spans="2:24" ht="13.8" x14ac:dyDescent="0.2">
      <c r="B60" s="8">
        <f t="shared" si="6"/>
        <v>55</v>
      </c>
      <c r="C60" s="10">
        <v>55</v>
      </c>
      <c r="D60" s="13" t="s">
        <v>2014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2014</v>
      </c>
    </row>
    <row r="61" spans="2:24" ht="13.8" x14ac:dyDescent="0.2">
      <c r="B61" s="8">
        <f t="shared" si="6"/>
        <v>56</v>
      </c>
      <c r="C61" s="10">
        <v>56</v>
      </c>
      <c r="D61" s="13" t="s">
        <v>836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1249</v>
      </c>
    </row>
    <row r="62" spans="2:24" ht="13.8" x14ac:dyDescent="0.2">
      <c r="B62" s="8">
        <f t="shared" si="6"/>
        <v>57</v>
      </c>
      <c r="C62" s="10">
        <v>57</v>
      </c>
      <c r="D62" s="13" t="s">
        <v>1287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425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1226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1998</v>
      </c>
    </row>
    <row r="65" spans="2:24" ht="13.8" x14ac:dyDescent="0.2">
      <c r="B65" s="8">
        <f t="shared" si="6"/>
        <v>60</v>
      </c>
      <c r="C65" s="10">
        <v>60</v>
      </c>
      <c r="D65" s="13" t="s">
        <v>835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1250</v>
      </c>
    </row>
    <row r="66" spans="2:24" ht="13.8" x14ac:dyDescent="0.2">
      <c r="B66" s="8">
        <f t="shared" si="6"/>
        <v>61</v>
      </c>
      <c r="C66" s="10">
        <v>61</v>
      </c>
      <c r="D66" s="13" t="s">
        <v>1816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1852</v>
      </c>
    </row>
    <row r="67" spans="2:24" ht="13.8" x14ac:dyDescent="0.2">
      <c r="B67" s="8">
        <f t="shared" si="6"/>
        <v>62</v>
      </c>
      <c r="C67" s="10">
        <v>62</v>
      </c>
      <c r="D67" s="13" t="s">
        <v>1817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1853</v>
      </c>
    </row>
    <row r="68" spans="2:24" ht="13.8" x14ac:dyDescent="0.2">
      <c r="B68" s="8">
        <f t="shared" si="6"/>
        <v>63</v>
      </c>
      <c r="C68" s="10">
        <v>63</v>
      </c>
      <c r="D68" s="9" t="s">
        <v>1999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1818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1819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1255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1295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558</v>
      </c>
    </row>
    <row r="72" spans="2:24" ht="13.8" x14ac:dyDescent="0.2">
      <c r="B72" s="8">
        <f t="shared" si="10"/>
        <v>67</v>
      </c>
      <c r="C72" s="10">
        <v>67</v>
      </c>
      <c r="D72" s="13" t="s">
        <v>2013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428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1820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1854</v>
      </c>
    </row>
    <row r="102" spans="2:24" ht="13.8" x14ac:dyDescent="0.2">
      <c r="B102" s="8">
        <f t="shared" si="10"/>
        <v>97</v>
      </c>
      <c r="C102" s="10">
        <v>97</v>
      </c>
      <c r="D102" s="26" t="s">
        <v>1821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1855</v>
      </c>
    </row>
    <row r="103" spans="2:24" ht="13.8" x14ac:dyDescent="0.2">
      <c r="B103" s="8">
        <f t="shared" si="10"/>
        <v>98</v>
      </c>
      <c r="C103" s="10">
        <v>98</v>
      </c>
      <c r="D103" s="26" t="s">
        <v>1822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1856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1227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429</v>
      </c>
    </row>
    <row r="106" spans="2:24" ht="13.8" x14ac:dyDescent="0.2">
      <c r="B106" s="8" t="str">
        <f t="shared" si="10"/>
        <v>003</v>
      </c>
      <c r="C106" s="10" t="s">
        <v>1229</v>
      </c>
      <c r="D106" s="9" t="s">
        <v>1431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430</v>
      </c>
    </row>
    <row r="107" spans="2:24" ht="13.8" x14ac:dyDescent="0.2">
      <c r="B107" s="8" t="str">
        <f t="shared" si="10"/>
        <v>004</v>
      </c>
      <c r="C107" s="10" t="s">
        <v>1230</v>
      </c>
      <c r="D107" s="9" t="s">
        <v>1823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1251</v>
      </c>
    </row>
    <row r="108" spans="2:24" ht="13.8" x14ac:dyDescent="0.2">
      <c r="B108" s="8" t="str">
        <f t="shared" si="10"/>
        <v>011</v>
      </c>
      <c r="C108" s="10" t="s">
        <v>1233</v>
      </c>
      <c r="D108" s="9" t="s">
        <v>1516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1252</v>
      </c>
    </row>
    <row r="109" spans="2:24" ht="13.8" x14ac:dyDescent="0.2">
      <c r="B109" s="8" t="str">
        <f t="shared" si="10"/>
        <v>020</v>
      </c>
      <c r="C109" s="10" t="s">
        <v>1237</v>
      </c>
      <c r="D109" s="9" t="s">
        <v>1824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1254</v>
      </c>
    </row>
    <row r="110" spans="2:24" ht="13.8" x14ac:dyDescent="0.2">
      <c r="B110" s="8" t="str">
        <f t="shared" si="10"/>
        <v>031</v>
      </c>
      <c r="C110" s="10" t="s">
        <v>1825</v>
      </c>
      <c r="D110" s="9" t="s">
        <v>1391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1857</v>
      </c>
    </row>
    <row r="111" spans="2:24" ht="13.8" x14ac:dyDescent="0.2">
      <c r="B111" s="8" t="str">
        <f t="shared" si="10"/>
        <v>032</v>
      </c>
      <c r="C111" s="10" t="s">
        <v>1826</v>
      </c>
      <c r="D111" s="9" t="s">
        <v>1827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1858</v>
      </c>
    </row>
    <row r="112" spans="2:24" ht="13.8" x14ac:dyDescent="0.2">
      <c r="B112" s="8" t="str">
        <f t="shared" si="10"/>
        <v>034</v>
      </c>
      <c r="C112" s="10" t="s">
        <v>1828</v>
      </c>
      <c r="D112" s="9" t="s">
        <v>1294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1859</v>
      </c>
    </row>
    <row r="113" spans="2:24" ht="13.8" x14ac:dyDescent="0.2">
      <c r="B113" s="8" t="str">
        <f t="shared" si="10"/>
        <v>041</v>
      </c>
      <c r="C113" s="10" t="s">
        <v>1829</v>
      </c>
      <c r="D113" s="9" t="s">
        <v>1830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1860</v>
      </c>
    </row>
    <row r="114" spans="2:24" ht="13.8" x14ac:dyDescent="0.2">
      <c r="B114" s="8" t="str">
        <f t="shared" si="10"/>
        <v>042</v>
      </c>
      <c r="C114" s="10" t="s">
        <v>1831</v>
      </c>
      <c r="D114" s="9" t="s">
        <v>1832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1861</v>
      </c>
    </row>
    <row r="115" spans="2:24" ht="13.8" x14ac:dyDescent="0.2">
      <c r="B115" s="8" t="str">
        <f t="shared" si="10"/>
        <v>043</v>
      </c>
      <c r="C115" s="10" t="s">
        <v>1833</v>
      </c>
      <c r="D115" s="9" t="s">
        <v>1331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1862</v>
      </c>
    </row>
    <row r="116" spans="2:24" ht="13.8" x14ac:dyDescent="0.2">
      <c r="B116" s="8" t="str">
        <f t="shared" si="10"/>
        <v>044</v>
      </c>
      <c r="C116" s="10" t="s">
        <v>1834</v>
      </c>
      <c r="D116" s="9" t="s">
        <v>1835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1863</v>
      </c>
    </row>
    <row r="117" spans="2:24" ht="13.8" x14ac:dyDescent="0.2">
      <c r="B117" s="8" t="str">
        <f t="shared" si="10"/>
        <v>045</v>
      </c>
      <c r="C117" s="10" t="s">
        <v>1836</v>
      </c>
      <c r="D117" s="9" t="s">
        <v>1837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1864</v>
      </c>
    </row>
    <row r="118" spans="2:24" ht="13.8" x14ac:dyDescent="0.2">
      <c r="B118" s="8">
        <f t="shared" si="10"/>
        <v>123</v>
      </c>
      <c r="C118" s="10">
        <v>123</v>
      </c>
      <c r="D118" s="9" t="s">
        <v>713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1865</v>
      </c>
    </row>
    <row r="119" spans="2:24" ht="13.8" x14ac:dyDescent="0.2">
      <c r="B119" s="8">
        <f t="shared" si="10"/>
        <v>124</v>
      </c>
      <c r="C119" s="10">
        <v>124</v>
      </c>
      <c r="D119" s="9" t="s">
        <v>1838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1866</v>
      </c>
    </row>
    <row r="120" spans="2:24" ht="13.8" x14ac:dyDescent="0.2">
      <c r="B120" s="8">
        <f t="shared" si="10"/>
        <v>126</v>
      </c>
      <c r="C120" s="10">
        <v>126</v>
      </c>
      <c r="D120" s="9" t="s">
        <v>1839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1867</v>
      </c>
    </row>
    <row r="121" spans="2:24" ht="13.8" x14ac:dyDescent="0.2">
      <c r="B121" s="8">
        <f t="shared" si="10"/>
        <v>127</v>
      </c>
      <c r="C121" s="10">
        <v>127</v>
      </c>
      <c r="D121" s="9" t="s">
        <v>1840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1245</v>
      </c>
    </row>
    <row r="122" spans="2:24" ht="13.8" x14ac:dyDescent="0.2">
      <c r="B122" s="8">
        <f t="shared" si="10"/>
        <v>128</v>
      </c>
      <c r="C122" s="10">
        <v>128</v>
      </c>
      <c r="D122" s="9" t="s">
        <v>1773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408</v>
      </c>
    </row>
    <row r="123" spans="2:24" ht="13.8" x14ac:dyDescent="0.2">
      <c r="B123" s="8">
        <f t="shared" si="10"/>
        <v>129</v>
      </c>
      <c r="C123" s="10">
        <v>129</v>
      </c>
      <c r="D123" s="9" t="s">
        <v>1841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1868</v>
      </c>
    </row>
    <row r="124" spans="2:24" ht="13.8" x14ac:dyDescent="0.2">
      <c r="B124" s="8">
        <f t="shared" si="10"/>
        <v>130</v>
      </c>
      <c r="C124" s="10">
        <v>130</v>
      </c>
      <c r="D124" s="9" t="s">
        <v>1743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578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>00</v>
      </c>
      <c r="C4" s="10" t="s">
        <v>173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1348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2</v>
      </c>
      <c r="C7" s="10">
        <v>2</v>
      </c>
      <c r="D7" s="13" t="s">
        <v>44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364</v>
      </c>
    </row>
    <row r="8" spans="2:24" ht="13.8" x14ac:dyDescent="0.2">
      <c r="B8" s="8">
        <f t="shared" si="6"/>
        <v>3</v>
      </c>
      <c r="C8" s="10">
        <v>3</v>
      </c>
      <c r="D8" s="13" t="s">
        <v>141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365</v>
      </c>
    </row>
    <row r="9" spans="2:24" ht="13.8" x14ac:dyDescent="0.2">
      <c r="B9" s="8">
        <f t="shared" si="6"/>
        <v>4</v>
      </c>
      <c r="C9" s="10">
        <v>4</v>
      </c>
      <c r="D9" s="13" t="s">
        <v>1805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540</v>
      </c>
    </row>
    <row r="10" spans="2:24" ht="13.8" x14ac:dyDescent="0.2">
      <c r="B10" s="8">
        <f t="shared" si="6"/>
        <v>5</v>
      </c>
      <c r="C10" s="10">
        <v>5</v>
      </c>
      <c r="D10" s="13" t="s">
        <v>142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1295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366</v>
      </c>
    </row>
    <row r="13" spans="2:24" ht="13.8" x14ac:dyDescent="0.2">
      <c r="B13" s="8">
        <f t="shared" si="6"/>
        <v>8</v>
      </c>
      <c r="C13" s="10">
        <v>8</v>
      </c>
      <c r="D13" s="13" t="s">
        <v>143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367</v>
      </c>
    </row>
    <row r="14" spans="2:24" ht="13.8" x14ac:dyDescent="0.2">
      <c r="B14" s="8">
        <f t="shared" si="6"/>
        <v>9</v>
      </c>
      <c r="C14" s="10">
        <v>9</v>
      </c>
      <c r="D14" s="13" t="s">
        <v>1315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828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124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368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1869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2000</v>
      </c>
    </row>
    <row r="19" spans="2:24" ht="13.8" x14ac:dyDescent="0.2">
      <c r="B19" s="8">
        <f t="shared" si="6"/>
        <v>14</v>
      </c>
      <c r="C19" s="10">
        <v>14</v>
      </c>
      <c r="D19" s="13" t="s">
        <v>144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370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17</v>
      </c>
      <c r="C22" s="10">
        <v>17</v>
      </c>
      <c r="D22" s="13" t="s">
        <v>1870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1900</v>
      </c>
    </row>
    <row r="23" spans="2:24" ht="13.8" x14ac:dyDescent="0.2">
      <c r="B23" s="8">
        <f t="shared" si="6"/>
        <v>18</v>
      </c>
      <c r="C23" s="10">
        <v>18</v>
      </c>
      <c r="D23" s="13" t="s">
        <v>1741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372</v>
      </c>
    </row>
    <row r="24" spans="2:24" ht="13.8" x14ac:dyDescent="0.2">
      <c r="B24" s="8">
        <f t="shared" si="6"/>
        <v>19</v>
      </c>
      <c r="C24" s="10">
        <v>19</v>
      </c>
      <c r="D24" s="13" t="s">
        <v>1871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1901</v>
      </c>
    </row>
    <row r="25" spans="2:24" ht="13.8" x14ac:dyDescent="0.2">
      <c r="B25" s="8">
        <f t="shared" si="6"/>
        <v>20</v>
      </c>
      <c r="C25" s="10">
        <v>20</v>
      </c>
      <c r="D25" s="13" t="s">
        <v>1872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2001</v>
      </c>
    </row>
    <row r="26" spans="2:24" ht="13.8" x14ac:dyDescent="0.2">
      <c r="B26" s="8">
        <f t="shared" si="6"/>
        <v>21</v>
      </c>
      <c r="C26" s="10">
        <v>21</v>
      </c>
      <c r="D26" s="13" t="s">
        <v>220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373</v>
      </c>
    </row>
    <row r="27" spans="2:24" ht="13.8" x14ac:dyDescent="0.2">
      <c r="B27" s="8">
        <f t="shared" si="6"/>
        <v>22</v>
      </c>
      <c r="C27" s="10">
        <v>22</v>
      </c>
      <c r="D27" s="13" t="s">
        <v>1873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1902</v>
      </c>
    </row>
    <row r="28" spans="2:24" ht="13.8" x14ac:dyDescent="0.2">
      <c r="B28" s="8">
        <f t="shared" si="6"/>
        <v>23</v>
      </c>
      <c r="C28" s="10">
        <v>23</v>
      </c>
      <c r="D28" s="13" t="s">
        <v>1874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2002</v>
      </c>
    </row>
    <row r="29" spans="2:24" ht="13.8" x14ac:dyDescent="0.2">
      <c r="B29" s="8">
        <f t="shared" si="6"/>
        <v>24</v>
      </c>
      <c r="C29" s="10">
        <v>24</v>
      </c>
      <c r="D29" s="13" t="s">
        <v>1768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375</v>
      </c>
    </row>
    <row r="30" spans="2:24" ht="13.8" x14ac:dyDescent="0.2">
      <c r="B30" s="8">
        <f t="shared" si="6"/>
        <v>25</v>
      </c>
      <c r="C30" s="10">
        <v>25</v>
      </c>
      <c r="D30" s="13" t="s">
        <v>221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376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145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377</v>
      </c>
    </row>
    <row r="33" spans="2:24" ht="13.8" x14ac:dyDescent="0.2">
      <c r="B33" s="8">
        <f t="shared" si="6"/>
        <v>28</v>
      </c>
      <c r="C33" s="10">
        <v>28</v>
      </c>
      <c r="D33" s="13" t="s">
        <v>146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378</v>
      </c>
    </row>
    <row r="34" spans="2:24" ht="13.8" x14ac:dyDescent="0.2">
      <c r="B34" s="8">
        <f t="shared" si="6"/>
        <v>29</v>
      </c>
      <c r="C34" s="10">
        <v>29</v>
      </c>
      <c r="D34" s="13" t="s">
        <v>222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379</v>
      </c>
    </row>
    <row r="35" spans="2:24" ht="13.8" x14ac:dyDescent="0.2">
      <c r="B35" s="8">
        <f t="shared" si="6"/>
        <v>30</v>
      </c>
      <c r="C35" s="10">
        <v>30</v>
      </c>
      <c r="D35" s="13" t="s">
        <v>1329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1903</v>
      </c>
    </row>
    <row r="36" spans="2:24" ht="13.8" x14ac:dyDescent="0.2">
      <c r="B36" s="8">
        <f t="shared" si="6"/>
        <v>31</v>
      </c>
      <c r="C36" s="10">
        <v>31</v>
      </c>
      <c r="D36" s="13" t="s">
        <v>1341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1904</v>
      </c>
    </row>
    <row r="37" spans="2:24" ht="13.8" x14ac:dyDescent="0.2">
      <c r="B37" s="8">
        <f t="shared" si="6"/>
        <v>32</v>
      </c>
      <c r="C37" s="10">
        <v>32</v>
      </c>
      <c r="D37" s="13" t="s">
        <v>1432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1905</v>
      </c>
    </row>
    <row r="38" spans="2:24" ht="13.8" x14ac:dyDescent="0.2">
      <c r="B38" s="8">
        <f t="shared" si="6"/>
        <v>33</v>
      </c>
      <c r="C38" s="10">
        <v>33</v>
      </c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34</v>
      </c>
      <c r="C39" s="10">
        <v>34</v>
      </c>
      <c r="D39" s="13" t="s">
        <v>1806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2017</v>
      </c>
    </row>
    <row r="40" spans="2:24" ht="13.8" x14ac:dyDescent="0.2">
      <c r="B40" s="8">
        <f t="shared" si="6"/>
        <v>35</v>
      </c>
      <c r="C40" s="10">
        <v>35</v>
      </c>
      <c r="D40" s="13" t="s">
        <v>1008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380</v>
      </c>
    </row>
    <row r="41" spans="2:24" ht="13.8" x14ac:dyDescent="0.2">
      <c r="B41" s="8">
        <f t="shared" si="6"/>
        <v>36</v>
      </c>
      <c r="C41" s="10">
        <v>36</v>
      </c>
      <c r="D41" s="13" t="s">
        <v>1529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827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1875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374</v>
      </c>
    </row>
    <row r="44" spans="2:24" ht="13.8" x14ac:dyDescent="0.2">
      <c r="B44" s="8">
        <f t="shared" si="6"/>
        <v>39</v>
      </c>
      <c r="C44" s="10">
        <v>39</v>
      </c>
      <c r="D44" s="13" t="s">
        <v>1876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6"/>
        <v>40</v>
      </c>
      <c r="C45" s="10">
        <v>40</v>
      </c>
      <c r="D45" s="13" t="s">
        <v>1877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629</v>
      </c>
    </row>
    <row r="46" spans="2:24" ht="13.8" x14ac:dyDescent="0.2">
      <c r="B46" s="8">
        <f t="shared" si="6"/>
        <v>41</v>
      </c>
      <c r="C46" s="10">
        <v>41</v>
      </c>
      <c r="D46" s="13" t="s">
        <v>1878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1906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147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381</v>
      </c>
    </row>
    <row r="49" spans="2:24" ht="13.8" x14ac:dyDescent="0.2">
      <c r="B49" s="8">
        <f t="shared" si="6"/>
        <v>44</v>
      </c>
      <c r="C49" s="10">
        <v>44</v>
      </c>
      <c r="D49" s="13" t="s">
        <v>829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826</v>
      </c>
    </row>
    <row r="50" spans="2:24" ht="13.8" x14ac:dyDescent="0.2">
      <c r="B50" s="8">
        <f t="shared" si="6"/>
        <v>45</v>
      </c>
      <c r="C50" s="10">
        <v>45</v>
      </c>
      <c r="D50" s="13" t="s">
        <v>830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825</v>
      </c>
    </row>
    <row r="51" spans="2:24" ht="13.8" x14ac:dyDescent="0.2">
      <c r="B51" s="8">
        <f t="shared" si="6"/>
        <v>46</v>
      </c>
      <c r="C51" s="10">
        <v>46</v>
      </c>
      <c r="D51" s="13" t="s">
        <v>831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824</v>
      </c>
    </row>
    <row r="52" spans="2:24" ht="13.8" x14ac:dyDescent="0.2">
      <c r="B52" s="8">
        <f t="shared" si="6"/>
        <v>47</v>
      </c>
      <c r="C52" s="10">
        <v>47</v>
      </c>
      <c r="D52" s="13" t="s">
        <v>2043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382</v>
      </c>
    </row>
    <row r="53" spans="2:24" ht="13.8" x14ac:dyDescent="0.2">
      <c r="B53" s="8">
        <f t="shared" si="6"/>
        <v>48</v>
      </c>
      <c r="C53" s="10">
        <v>48</v>
      </c>
      <c r="D53" s="13" t="s">
        <v>148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383</v>
      </c>
    </row>
    <row r="54" spans="2:24" ht="13.8" x14ac:dyDescent="0.2">
      <c r="B54" s="8">
        <f t="shared" si="6"/>
        <v>49</v>
      </c>
      <c r="C54" s="10">
        <v>49</v>
      </c>
      <c r="D54" s="13" t="s">
        <v>832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823</v>
      </c>
    </row>
    <row r="55" spans="2:24" ht="13.8" x14ac:dyDescent="0.2">
      <c r="B55" s="8">
        <f t="shared" si="6"/>
        <v>50</v>
      </c>
      <c r="C55" s="10">
        <v>50</v>
      </c>
      <c r="D55" s="13" t="s">
        <v>223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384</v>
      </c>
    </row>
    <row r="56" spans="2:24" ht="13.8" x14ac:dyDescent="0.2">
      <c r="B56" s="8">
        <f t="shared" si="6"/>
        <v>51</v>
      </c>
      <c r="C56" s="10">
        <v>51</v>
      </c>
      <c r="D56" s="13" t="s">
        <v>149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385</v>
      </c>
    </row>
    <row r="57" spans="2:24" ht="13.8" x14ac:dyDescent="0.2">
      <c r="B57" s="8">
        <f t="shared" si="6"/>
        <v>52</v>
      </c>
      <c r="C57" s="10">
        <v>52</v>
      </c>
      <c r="D57" s="13" t="s">
        <v>150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6"/>
        <v>53</v>
      </c>
      <c r="C58" s="10">
        <v>53</v>
      </c>
      <c r="D58" s="13" t="s">
        <v>1879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1907</v>
      </c>
    </row>
    <row r="59" spans="2:24" ht="13.8" x14ac:dyDescent="0.2">
      <c r="B59" s="8">
        <f t="shared" si="6"/>
        <v>54</v>
      </c>
      <c r="C59" s="10">
        <v>54</v>
      </c>
      <c r="D59" s="13" t="s">
        <v>1880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1908</v>
      </c>
    </row>
    <row r="60" spans="2:24" ht="13.8" x14ac:dyDescent="0.2">
      <c r="B60" s="8">
        <f t="shared" si="6"/>
        <v>55</v>
      </c>
      <c r="C60" s="10">
        <v>55</v>
      </c>
      <c r="D60" s="13" t="s">
        <v>833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822</v>
      </c>
    </row>
    <row r="61" spans="2:24" ht="13.8" x14ac:dyDescent="0.2">
      <c r="B61" s="8">
        <f t="shared" si="6"/>
        <v>56</v>
      </c>
      <c r="C61" s="10">
        <v>56</v>
      </c>
      <c r="D61" s="13" t="s">
        <v>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386</v>
      </c>
    </row>
    <row r="62" spans="2:24" ht="13.8" x14ac:dyDescent="0.2">
      <c r="B62" s="8">
        <f t="shared" si="6"/>
        <v>57</v>
      </c>
      <c r="C62" s="10">
        <v>57</v>
      </c>
      <c r="D62" s="13" t="s">
        <v>151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387</v>
      </c>
    </row>
    <row r="63" spans="2:24" ht="13.8" x14ac:dyDescent="0.2">
      <c r="B63" s="8">
        <f t="shared" si="6"/>
        <v>58</v>
      </c>
      <c r="C63" s="10">
        <v>58</v>
      </c>
      <c r="D63" s="13" t="s">
        <v>152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388</v>
      </c>
    </row>
    <row r="64" spans="2:24" ht="13.8" x14ac:dyDescent="0.2">
      <c r="B64" s="8">
        <f t="shared" si="6"/>
        <v>59</v>
      </c>
      <c r="C64" s="10">
        <v>59</v>
      </c>
      <c r="D64" s="13" t="s">
        <v>834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821</v>
      </c>
    </row>
    <row r="65" spans="2:24" ht="13.8" x14ac:dyDescent="0.2">
      <c r="B65" s="8">
        <f t="shared" si="6"/>
        <v>60</v>
      </c>
      <c r="C65" s="10">
        <v>60</v>
      </c>
      <c r="D65" s="13" t="s">
        <v>1881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1881</v>
      </c>
    </row>
    <row r="66" spans="2:24" ht="13.8" x14ac:dyDescent="0.2">
      <c r="B66" s="8">
        <f t="shared" si="6"/>
        <v>61</v>
      </c>
      <c r="C66" s="10">
        <v>61</v>
      </c>
      <c r="D66" s="13" t="s">
        <v>1882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1909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 t="s">
        <v>189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390</v>
      </c>
    </row>
    <row r="69" spans="2:24" ht="13.8" x14ac:dyDescent="0.2">
      <c r="B69" s="8">
        <f t="shared" ref="B69:B117" si="10">IF(C69="","",C69)</f>
        <v>64</v>
      </c>
      <c r="C69" s="10">
        <v>64</v>
      </c>
      <c r="D69" s="13" t="s">
        <v>1308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1910</v>
      </c>
    </row>
    <row r="70" spans="2:24" ht="13.8" x14ac:dyDescent="0.2">
      <c r="B70" s="8">
        <f t="shared" si="10"/>
        <v>65</v>
      </c>
      <c r="C70" s="10">
        <v>65</v>
      </c>
      <c r="D70" s="9" t="s">
        <v>97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391</v>
      </c>
    </row>
    <row r="71" spans="2:24" ht="13.8" x14ac:dyDescent="0.2">
      <c r="B71" s="8">
        <f t="shared" si="10"/>
        <v>66</v>
      </c>
      <c r="C71" s="10">
        <v>66</v>
      </c>
      <c r="D71" s="13" t="s">
        <v>153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392</v>
      </c>
    </row>
    <row r="72" spans="2:24" ht="13.8" x14ac:dyDescent="0.2">
      <c r="B72" s="8">
        <f t="shared" si="10"/>
        <v>67</v>
      </c>
      <c r="C72" s="10">
        <v>67</v>
      </c>
      <c r="D72" s="13" t="s">
        <v>1883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1911</v>
      </c>
    </row>
    <row r="73" spans="2:24" ht="13.8" x14ac:dyDescent="0.2">
      <c r="B73" s="8">
        <f t="shared" si="10"/>
        <v>68</v>
      </c>
      <c r="C73" s="10">
        <v>68</v>
      </c>
      <c r="D73" s="13" t="s">
        <v>1884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1912</v>
      </c>
    </row>
    <row r="74" spans="2:24" ht="13.8" x14ac:dyDescent="0.2">
      <c r="B74" s="8">
        <f t="shared" si="10"/>
        <v>69</v>
      </c>
      <c r="C74" s="10">
        <v>69</v>
      </c>
      <c r="D74" s="13" t="s">
        <v>224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393</v>
      </c>
    </row>
    <row r="75" spans="2:24" ht="13.8" x14ac:dyDescent="0.2">
      <c r="B75" s="8">
        <f t="shared" si="10"/>
        <v>70</v>
      </c>
      <c r="C75" s="10">
        <v>70</v>
      </c>
      <c r="D75" s="8" t="s">
        <v>1188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394</v>
      </c>
    </row>
    <row r="76" spans="2:24" ht="13.8" x14ac:dyDescent="0.2">
      <c r="B76" s="8">
        <f t="shared" si="10"/>
        <v>71</v>
      </c>
      <c r="C76" s="10">
        <v>71</v>
      </c>
      <c r="D76" s="8" t="s">
        <v>1766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820</v>
      </c>
    </row>
    <row r="77" spans="2:24" ht="13.8" x14ac:dyDescent="0.2">
      <c r="B77" s="8">
        <f t="shared" si="10"/>
        <v>72</v>
      </c>
      <c r="C77" s="10">
        <v>72</v>
      </c>
      <c r="D77" s="26" t="s">
        <v>1885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1913</v>
      </c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26" t="s">
        <v>1886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1914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005</v>
      </c>
      <c r="C105" s="10" t="s">
        <v>1231</v>
      </c>
      <c r="D105" s="14" t="s">
        <v>1287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491</v>
      </c>
    </row>
    <row r="106" spans="2:24" ht="13.8" x14ac:dyDescent="0.2">
      <c r="B106" s="8" t="str">
        <f t="shared" si="10"/>
        <v>017</v>
      </c>
      <c r="C106" s="10" t="s">
        <v>685</v>
      </c>
      <c r="D106" s="9" t="s">
        <v>1887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1915</v>
      </c>
    </row>
    <row r="107" spans="2:24" ht="13.8" x14ac:dyDescent="0.2">
      <c r="B107" s="8" t="str">
        <f t="shared" si="10"/>
        <v>022</v>
      </c>
      <c r="C107" s="10" t="s">
        <v>1239</v>
      </c>
      <c r="D107" s="9" t="s">
        <v>1888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395</v>
      </c>
    </row>
    <row r="108" spans="2:24" ht="13.8" x14ac:dyDescent="0.2">
      <c r="B108" s="8" t="str">
        <f t="shared" si="10"/>
        <v>062</v>
      </c>
      <c r="C108" s="10" t="s">
        <v>1889</v>
      </c>
      <c r="D108" s="9" t="s">
        <v>1890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389</v>
      </c>
    </row>
    <row r="109" spans="2:24" ht="13.8" x14ac:dyDescent="0.2">
      <c r="B109" s="8">
        <f t="shared" si="10"/>
        <v>130</v>
      </c>
      <c r="C109" s="10">
        <v>130</v>
      </c>
      <c r="D109" s="9" t="s">
        <v>1891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1916</v>
      </c>
    </row>
    <row r="110" spans="2:24" ht="13.8" x14ac:dyDescent="0.2">
      <c r="B110" s="8">
        <f t="shared" si="10"/>
        <v>131</v>
      </c>
      <c r="C110" s="10">
        <v>131</v>
      </c>
      <c r="D110" s="9" t="s">
        <v>1892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1917</v>
      </c>
    </row>
    <row r="111" spans="2:24" ht="13.8" x14ac:dyDescent="0.2">
      <c r="B111" s="8">
        <f t="shared" si="10"/>
        <v>135</v>
      </c>
      <c r="C111" s="10">
        <v>135</v>
      </c>
      <c r="D111" s="9" t="s">
        <v>1893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1918</v>
      </c>
    </row>
    <row r="112" spans="2:24" ht="13.8" x14ac:dyDescent="0.2">
      <c r="B112" s="8">
        <f t="shared" si="10"/>
        <v>137</v>
      </c>
      <c r="C112" s="10">
        <v>137</v>
      </c>
      <c r="D112" s="9" t="s">
        <v>1894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1919</v>
      </c>
    </row>
    <row r="113" spans="2:24" ht="13.8" x14ac:dyDescent="0.2">
      <c r="B113" s="8">
        <f t="shared" si="10"/>
        <v>138</v>
      </c>
      <c r="C113" s="10">
        <v>138</v>
      </c>
      <c r="D113" s="9" t="s">
        <v>1895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1920</v>
      </c>
    </row>
    <row r="114" spans="2:24" ht="13.8" x14ac:dyDescent="0.2">
      <c r="B114" s="8">
        <f t="shared" si="10"/>
        <v>141</v>
      </c>
      <c r="C114" s="10">
        <v>141</v>
      </c>
      <c r="D114" s="9" t="s">
        <v>1896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1921</v>
      </c>
    </row>
    <row r="115" spans="2:24" ht="13.8" x14ac:dyDescent="0.2">
      <c r="B115" s="8">
        <f t="shared" si="10"/>
        <v>142</v>
      </c>
      <c r="C115" s="10">
        <v>142</v>
      </c>
      <c r="D115" s="9" t="s">
        <v>1897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1922</v>
      </c>
    </row>
    <row r="116" spans="2:24" ht="13.8" x14ac:dyDescent="0.2">
      <c r="B116" s="8">
        <f t="shared" si="10"/>
        <v>144</v>
      </c>
      <c r="C116" s="10">
        <v>144</v>
      </c>
      <c r="D116" s="9" t="s">
        <v>1898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1923</v>
      </c>
    </row>
    <row r="117" spans="2:24" ht="13.8" x14ac:dyDescent="0.2">
      <c r="B117" s="8">
        <f t="shared" si="10"/>
        <v>155</v>
      </c>
      <c r="C117" s="10">
        <v>155</v>
      </c>
      <c r="D117" s="9" t="s">
        <v>1899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1924</v>
      </c>
    </row>
    <row r="118" spans="2:24" ht="13.8" x14ac:dyDescent="0.2">
      <c r="B118" s="8">
        <f t="shared" ref="B118:B134" si="15">IF(C118="","",C118)</f>
        <v>144</v>
      </c>
      <c r="C118" s="10">
        <v>144</v>
      </c>
      <c r="D118" s="9" t="s">
        <v>1898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1923</v>
      </c>
    </row>
    <row r="119" spans="2:24" ht="13.8" x14ac:dyDescent="0.2">
      <c r="B119" s="8">
        <f t="shared" si="15"/>
        <v>152</v>
      </c>
      <c r="C119" s="10">
        <v>152</v>
      </c>
      <c r="D119" s="9" t="s">
        <v>1096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819</v>
      </c>
    </row>
    <row r="120" spans="2:24" ht="13.8" x14ac:dyDescent="0.2">
      <c r="B120" s="8" t="str">
        <f t="shared" si="15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5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5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5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5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5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5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5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5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5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5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5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5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5"/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>
        <v>1</v>
      </c>
      <c r="C4" s="10">
        <v>18</v>
      </c>
      <c r="D4" s="13" t="s">
        <v>231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317</v>
      </c>
    </row>
    <row r="5" spans="2:24" ht="13.8" x14ac:dyDescent="0.2">
      <c r="B5" s="8">
        <v>2</v>
      </c>
      <c r="C5" s="10">
        <v>13</v>
      </c>
      <c r="D5" s="13" t="s">
        <v>650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571</v>
      </c>
    </row>
    <row r="6" spans="2:24" ht="13.8" x14ac:dyDescent="0.2">
      <c r="B6" s="8">
        <v>3</v>
      </c>
      <c r="C6" s="10">
        <v>75</v>
      </c>
      <c r="D6" s="13" t="s">
        <v>1260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1260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545</v>
      </c>
    </row>
    <row r="8" spans="2:24" ht="13.8" x14ac:dyDescent="0.2">
      <c r="B8" s="8">
        <v>5</v>
      </c>
      <c r="C8" s="10">
        <v>20</v>
      </c>
      <c r="D8" s="13" t="s">
        <v>175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1058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1099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1091</v>
      </c>
    </row>
    <row r="12" spans="2:24" ht="13.8" x14ac:dyDescent="0.2">
      <c r="B12" s="8">
        <v>9</v>
      </c>
      <c r="C12" s="10">
        <v>50</v>
      </c>
      <c r="D12" s="13" t="s">
        <v>256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591</v>
      </c>
    </row>
    <row r="13" spans="2:24" ht="13.8" x14ac:dyDescent="0.2">
      <c r="B13" s="8">
        <v>10</v>
      </c>
      <c r="C13" s="10">
        <v>16</v>
      </c>
      <c r="D13" s="13" t="s">
        <v>787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781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619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620</v>
      </c>
    </row>
    <row r="16" spans="2:24" ht="13.8" x14ac:dyDescent="0.2">
      <c r="B16" s="8">
        <v>13</v>
      </c>
      <c r="C16" s="10">
        <v>20</v>
      </c>
      <c r="D16" s="13" t="s">
        <v>232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319</v>
      </c>
    </row>
    <row r="17" spans="2:24" ht="13.8" x14ac:dyDescent="0.2">
      <c r="B17" s="8">
        <v>14</v>
      </c>
      <c r="C17" s="10">
        <v>17</v>
      </c>
      <c r="D17" s="13" t="s">
        <v>1180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730</v>
      </c>
    </row>
    <row r="18" spans="2:24" ht="13.8" x14ac:dyDescent="0.2">
      <c r="B18" s="8">
        <v>15</v>
      </c>
      <c r="C18" s="10">
        <v>37</v>
      </c>
      <c r="D18" s="13" t="s">
        <v>272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272</v>
      </c>
    </row>
    <row r="19" spans="2:24" ht="13.8" x14ac:dyDescent="0.2">
      <c r="B19" s="8">
        <v>16</v>
      </c>
      <c r="C19" s="10">
        <v>2</v>
      </c>
      <c r="D19" s="13" t="s">
        <v>239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236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554</v>
      </c>
    </row>
    <row r="21" spans="2:24" ht="13.8" x14ac:dyDescent="0.2">
      <c r="B21" s="8">
        <v>18</v>
      </c>
      <c r="C21" s="10">
        <v>2</v>
      </c>
      <c r="D21" s="13" t="s">
        <v>1674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735</v>
      </c>
    </row>
    <row r="22" spans="2:24" ht="13.8" x14ac:dyDescent="0.2">
      <c r="B22" s="8">
        <v>19</v>
      </c>
      <c r="C22" s="10">
        <v>31</v>
      </c>
      <c r="D22" s="13" t="s">
        <v>237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237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1287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721</v>
      </c>
    </row>
    <row r="25" spans="2:24" ht="13.8" x14ac:dyDescent="0.2">
      <c r="B25" s="8">
        <v>22</v>
      </c>
      <c r="C25" s="10">
        <v>33</v>
      </c>
      <c r="D25" s="13" t="s">
        <v>233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300</v>
      </c>
    </row>
    <row r="26" spans="2:24" ht="13.8" x14ac:dyDescent="0.2">
      <c r="B26" s="8">
        <v>23</v>
      </c>
      <c r="C26" s="10">
        <v>55</v>
      </c>
      <c r="D26" s="13" t="s">
        <v>1294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751</v>
      </c>
    </row>
    <row r="27" spans="2:24" ht="13.8" x14ac:dyDescent="0.2">
      <c r="B27" s="8">
        <v>24</v>
      </c>
      <c r="C27" s="10">
        <v>25</v>
      </c>
      <c r="D27" s="13" t="s">
        <v>1061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1062</v>
      </c>
    </row>
    <row r="28" spans="2:24" ht="13.8" x14ac:dyDescent="0.2">
      <c r="B28" s="8">
        <v>25</v>
      </c>
      <c r="C28" s="10">
        <v>51</v>
      </c>
      <c r="D28" s="13" t="s">
        <v>257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592</v>
      </c>
    </row>
    <row r="29" spans="2:24" ht="13.8" x14ac:dyDescent="0.2">
      <c r="B29" s="8">
        <v>26</v>
      </c>
      <c r="C29" s="10">
        <v>6</v>
      </c>
      <c r="D29" s="13" t="s">
        <v>1742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1047</v>
      </c>
    </row>
    <row r="30" spans="2:24" ht="13.8" x14ac:dyDescent="0.2">
      <c r="B30" s="8">
        <v>27</v>
      </c>
      <c r="C30" s="10">
        <v>8</v>
      </c>
      <c r="D30" s="13" t="s">
        <v>243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570</v>
      </c>
    </row>
    <row r="31" spans="2:24" ht="13.8" x14ac:dyDescent="0.2">
      <c r="B31" s="8">
        <v>28</v>
      </c>
      <c r="C31" s="10">
        <v>5</v>
      </c>
      <c r="D31" s="13" t="s">
        <v>242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569</v>
      </c>
    </row>
    <row r="32" spans="2:24" ht="13.8" x14ac:dyDescent="0.2">
      <c r="B32" s="8">
        <v>29</v>
      </c>
      <c r="C32" s="10">
        <v>1</v>
      </c>
      <c r="D32" s="13" t="s">
        <v>230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294</v>
      </c>
    </row>
    <row r="33" spans="2:24" ht="13.8" x14ac:dyDescent="0.2">
      <c r="B33" s="8">
        <v>30</v>
      </c>
      <c r="C33" s="10">
        <v>48</v>
      </c>
      <c r="D33" s="13" t="s">
        <v>178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178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542</v>
      </c>
    </row>
    <row r="35" spans="2:24" ht="13.8" x14ac:dyDescent="0.2">
      <c r="B35" s="8">
        <v>32</v>
      </c>
      <c r="C35" s="10">
        <v>7</v>
      </c>
      <c r="D35" s="13" t="s">
        <v>188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612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10">
        <v>1</v>
      </c>
      <c r="C4" s="10">
        <v>13</v>
      </c>
      <c r="D4" s="13" t="s">
        <v>1225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401</v>
      </c>
    </row>
    <row r="5" spans="2:24" ht="13.8" x14ac:dyDescent="0.2">
      <c r="B5" s="10">
        <v>2</v>
      </c>
      <c r="C5" s="10">
        <v>61</v>
      </c>
      <c r="D5" s="13" t="s">
        <v>1329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495</v>
      </c>
    </row>
    <row r="6" spans="2:24" ht="13.8" x14ac:dyDescent="0.2">
      <c r="B6" s="10">
        <v>3</v>
      </c>
      <c r="C6" s="10">
        <v>1</v>
      </c>
      <c r="D6" s="13" t="s">
        <v>769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363</v>
      </c>
    </row>
    <row r="7" spans="2:24" ht="13.8" x14ac:dyDescent="0.2">
      <c r="B7" s="10">
        <v>4</v>
      </c>
      <c r="C7" s="10">
        <v>18</v>
      </c>
      <c r="D7" s="13" t="s">
        <v>1293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403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505</v>
      </c>
    </row>
    <row r="9" spans="2:24" ht="13.8" x14ac:dyDescent="0.2">
      <c r="B9" s="10">
        <v>6</v>
      </c>
      <c r="C9" s="10">
        <v>11</v>
      </c>
      <c r="D9" s="13" t="s">
        <v>1321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154</v>
      </c>
    </row>
    <row r="10" spans="2:24" ht="13.8" x14ac:dyDescent="0.2">
      <c r="B10" s="10">
        <v>7</v>
      </c>
      <c r="C10" s="10">
        <v>52</v>
      </c>
      <c r="D10" s="13" t="s">
        <v>904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455</v>
      </c>
    </row>
    <row r="11" spans="2:24" ht="13.8" x14ac:dyDescent="0.2">
      <c r="B11" s="10">
        <v>8</v>
      </c>
      <c r="C11" s="10">
        <v>11</v>
      </c>
      <c r="D11" s="13" t="s">
        <v>1668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474</v>
      </c>
    </row>
    <row r="12" spans="2:24" ht="13.8" x14ac:dyDescent="0.2">
      <c r="B12" s="10">
        <v>9</v>
      </c>
      <c r="C12" s="10">
        <v>17</v>
      </c>
      <c r="D12" s="13" t="s">
        <v>1317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477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370</v>
      </c>
    </row>
    <row r="14" spans="2:24" ht="13.8" x14ac:dyDescent="0.2">
      <c r="B14" s="10">
        <v>11</v>
      </c>
      <c r="C14" s="10">
        <v>18</v>
      </c>
      <c r="D14" s="13" t="s">
        <v>1741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372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381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335</v>
      </c>
    </row>
    <row r="17" spans="2:24" ht="13.8" x14ac:dyDescent="0.2">
      <c r="B17" s="10">
        <v>14</v>
      </c>
      <c r="C17" s="10">
        <v>10</v>
      </c>
      <c r="D17" s="13" t="s">
        <v>1436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473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509</v>
      </c>
    </row>
    <row r="19" spans="2:24" ht="13.8" x14ac:dyDescent="0.2">
      <c r="B19" s="10">
        <v>16</v>
      </c>
      <c r="C19" s="10">
        <v>31</v>
      </c>
      <c r="D19" s="13" t="s">
        <v>788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782</v>
      </c>
    </row>
    <row r="20" spans="2:24" ht="13.8" x14ac:dyDescent="0.2">
      <c r="B20" s="10">
        <v>17</v>
      </c>
      <c r="C20" s="10">
        <v>3</v>
      </c>
      <c r="D20" s="13" t="s">
        <v>1521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467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365</v>
      </c>
    </row>
    <row r="22" spans="2:24" ht="13.8" x14ac:dyDescent="0.2">
      <c r="B22" s="10">
        <v>19</v>
      </c>
      <c r="C22" s="10">
        <v>60</v>
      </c>
      <c r="D22" s="13" t="s">
        <v>644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494</v>
      </c>
    </row>
    <row r="23" spans="2:24" ht="13.8" x14ac:dyDescent="0.2">
      <c r="B23" s="10">
        <v>20</v>
      </c>
      <c r="C23" s="10">
        <v>5</v>
      </c>
      <c r="D23" s="13" t="s">
        <v>1882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501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470</v>
      </c>
    </row>
    <row r="25" spans="2:24" ht="13.8" x14ac:dyDescent="0.2">
      <c r="B25" s="10">
        <v>22</v>
      </c>
      <c r="C25" s="10">
        <v>8</v>
      </c>
      <c r="D25" s="13" t="s">
        <v>1017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435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485</v>
      </c>
    </row>
    <row r="27" spans="2:24" ht="13.8" x14ac:dyDescent="0.2">
      <c r="B27" s="10">
        <v>24</v>
      </c>
      <c r="C27" s="10">
        <v>0</v>
      </c>
      <c r="D27" s="13" t="s">
        <v>1348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1242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504</v>
      </c>
    </row>
    <row r="30" spans="2:24" ht="13.8" x14ac:dyDescent="0.2">
      <c r="B30" s="10">
        <v>27</v>
      </c>
      <c r="C30" s="10">
        <v>79</v>
      </c>
      <c r="D30" s="13" t="s">
        <v>211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211</v>
      </c>
    </row>
    <row r="31" spans="2:24" ht="13.8" x14ac:dyDescent="0.2">
      <c r="B31" s="10">
        <v>28</v>
      </c>
      <c r="C31" s="10">
        <v>0</v>
      </c>
      <c r="D31" s="13" t="s">
        <v>157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431</v>
      </c>
    </row>
    <row r="32" spans="2:24" ht="13.8" x14ac:dyDescent="0.2">
      <c r="B32" s="10">
        <v>29</v>
      </c>
      <c r="C32" s="10">
        <v>35</v>
      </c>
      <c r="D32" s="13" t="s">
        <v>1008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380</v>
      </c>
    </row>
    <row r="33" spans="2:24" ht="13.8" x14ac:dyDescent="0.2">
      <c r="B33" s="10">
        <v>30</v>
      </c>
      <c r="C33" s="10">
        <v>8</v>
      </c>
      <c r="D33" s="13" t="s">
        <v>1298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329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207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229</v>
      </c>
    </row>
    <row r="3" spans="2:24" x14ac:dyDescent="0.2">
      <c r="B3" s="54" t="s">
        <v>841</v>
      </c>
      <c r="C3" s="55" t="s">
        <v>1038</v>
      </c>
      <c r="D3" s="55" t="s">
        <v>1039</v>
      </c>
      <c r="E3" s="56" t="s">
        <v>56</v>
      </c>
      <c r="F3" s="57" t="s">
        <v>0</v>
      </c>
      <c r="G3" s="54" t="s">
        <v>1</v>
      </c>
      <c r="H3" s="54" t="s">
        <v>360</v>
      </c>
      <c r="I3" s="54" t="s">
        <v>361</v>
      </c>
      <c r="J3" s="58" t="s">
        <v>1040</v>
      </c>
      <c r="K3" s="54" t="s">
        <v>982</v>
      </c>
      <c r="L3" s="59" t="s">
        <v>2</v>
      </c>
      <c r="M3" s="60" t="s">
        <v>359</v>
      </c>
      <c r="N3" s="56" t="s">
        <v>362</v>
      </c>
      <c r="O3" s="61" t="s">
        <v>977</v>
      </c>
      <c r="P3" s="54" t="s">
        <v>234</v>
      </c>
      <c r="Q3" s="54" t="s">
        <v>235</v>
      </c>
      <c r="R3" s="54" t="s">
        <v>975</v>
      </c>
      <c r="S3" s="54" t="s">
        <v>976</v>
      </c>
      <c r="T3" s="54" t="s">
        <v>978</v>
      </c>
      <c r="U3" s="54" t="s">
        <v>979</v>
      </c>
      <c r="V3" s="54" t="s">
        <v>980</v>
      </c>
      <c r="W3" s="54" t="s">
        <v>981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1038</v>
      </c>
      <c r="C1" s="1" t="s">
        <v>1039</v>
      </c>
      <c r="D1" s="1" t="s">
        <v>274</v>
      </c>
      <c r="E1" s="1" t="s">
        <v>275</v>
      </c>
      <c r="F1" s="1" t="s">
        <v>276</v>
      </c>
      <c r="G1" s="1" t="s">
        <v>277</v>
      </c>
      <c r="H1" s="1" t="s">
        <v>278</v>
      </c>
      <c r="I1" s="1" t="s">
        <v>360</v>
      </c>
      <c r="J1" s="1" t="s">
        <v>361</v>
      </c>
      <c r="K1" s="1" t="s">
        <v>1040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979</v>
      </c>
      <c r="V1" s="1" t="s">
        <v>980</v>
      </c>
      <c r="W1" s="1" t="s">
        <v>359</v>
      </c>
      <c r="X1" s="1" t="s">
        <v>288</v>
      </c>
      <c r="Y1" s="1" t="s">
        <v>289</v>
      </c>
      <c r="Z1" s="1" t="s">
        <v>290</v>
      </c>
      <c r="AA1" s="1" t="s">
        <v>291</v>
      </c>
    </row>
    <row r="2" spans="2:27" x14ac:dyDescent="0.2">
      <c r="B2" s="15"/>
      <c r="D2" s="16"/>
      <c r="M2" s="17" t="s">
        <v>225</v>
      </c>
      <c r="N2" s="134" t="s">
        <v>1285</v>
      </c>
      <c r="O2" s="134"/>
      <c r="W2" s="16"/>
      <c r="X2" s="16"/>
      <c r="Y2" s="16"/>
      <c r="Z2" s="16"/>
    </row>
    <row r="3" spans="2:27" x14ac:dyDescent="0.2">
      <c r="B3" s="18" t="s">
        <v>226</v>
      </c>
      <c r="D3" s="16"/>
      <c r="F3" t="s">
        <v>227</v>
      </c>
      <c r="W3" s="16"/>
      <c r="X3" s="16"/>
      <c r="Y3" s="16"/>
      <c r="Z3" s="16"/>
    </row>
    <row r="4" spans="2:27" x14ac:dyDescent="0.2">
      <c r="B4" s="19" t="s">
        <v>228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2024-03-02T02:23:33Z</dcterms:modified>
</cp:coreProperties>
</file>