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C38FCB8B-63D8-48EA-BF14-CA6EAD39A089}" xr6:coauthVersionLast="47" xr6:coauthVersionMax="47" xr10:uidLastSave="{00000000-0000-0000-0000-000000000000}"/>
  <bookViews>
    <workbookView xWindow="-108" yWindow="-108" windowWidth="23256" windowHeight="12576" tabRatio="877" activeTab="1" xr2:uid="{00000000-000D-0000-FFFF-FFFF00000000}"/>
  </bookViews>
  <sheets>
    <sheet name="設定" sheetId="24" r:id="rId1"/>
    <sheet name="広島" sheetId="3" r:id="rId2"/>
    <sheet name="巨人" sheetId="26" r:id="rId3"/>
    <sheet name="ヤクルト" sheetId="27" r:id="rId4"/>
    <sheet name="DeNA" sheetId="28" r:id="rId5"/>
    <sheet name="阪神" sheetId="29" r:id="rId6"/>
    <sheet name="中日" sheetId="30" r:id="rId7"/>
    <sheet name="ソフトバンク" sheetId="31" r:id="rId8"/>
    <sheet name="西武" sheetId="32" r:id="rId9"/>
    <sheet name="日本ハム" sheetId="25" r:id="rId10"/>
    <sheet name="ロッテ" sheetId="33" r:id="rId11"/>
    <sheet name="オリックス" sheetId="34" r:id="rId12"/>
    <sheet name="楽天" sheetId="35" r:id="rId13"/>
    <sheet name="セ" sheetId="36" r:id="rId14"/>
    <sheet name="パ" sheetId="37" r:id="rId15"/>
    <sheet name="A" sheetId="38" r:id="rId16"/>
    <sheet name="B" sheetId="39" r:id="rId17"/>
    <sheet name="成績仮置き場" sheetId="23" r:id="rId18"/>
  </sheets>
  <functionGroups builtInGroupCount="19"/>
  <definedNames>
    <definedName name="Aname1" localSheetId="3">#REF!</definedName>
    <definedName name="Aname1" localSheetId="2">#REF!</definedName>
    <definedName name="Aname1">#REF!</definedName>
    <definedName name="Aname2" localSheetId="3">#REF!</definedName>
    <definedName name="Aname2" localSheetId="2">#REF!</definedName>
    <definedName name="Aname2">#REF!</definedName>
    <definedName name="Aname3" localSheetId="3">#REF!</definedName>
    <definedName name="Aname3" localSheetId="2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K134" i="39"/>
  <c r="N134" i="39" s="1"/>
  <c r="E134" i="39"/>
  <c r="B134" i="39"/>
  <c r="M133" i="39"/>
  <c r="K133" i="39"/>
  <c r="N133" i="39" s="1"/>
  <c r="E133" i="39"/>
  <c r="B133" i="39"/>
  <c r="M132" i="39"/>
  <c r="N132" i="39" s="1"/>
  <c r="K132" i="39"/>
  <c r="E132" i="39"/>
  <c r="B132" i="39"/>
  <c r="M131" i="39"/>
  <c r="K131" i="39"/>
  <c r="N131" i="39" s="1"/>
  <c r="E131" i="39"/>
  <c r="B131" i="39"/>
  <c r="M130" i="39"/>
  <c r="K130" i="39"/>
  <c r="N130" i="39" s="1"/>
  <c r="E130" i="39"/>
  <c r="B130" i="39"/>
  <c r="M129" i="39"/>
  <c r="K129" i="39"/>
  <c r="N129" i="39" s="1"/>
  <c r="E129" i="39"/>
  <c r="B129" i="39"/>
  <c r="M128" i="39"/>
  <c r="N128" i="39" s="1"/>
  <c r="K128" i="39"/>
  <c r="E128" i="39"/>
  <c r="B128" i="39"/>
  <c r="M127" i="39"/>
  <c r="K127" i="39"/>
  <c r="N127" i="39" s="1"/>
  <c r="E127" i="39"/>
  <c r="B127" i="39"/>
  <c r="M126" i="39"/>
  <c r="K126" i="39"/>
  <c r="N126" i="39" s="1"/>
  <c r="E126" i="39"/>
  <c r="B126" i="39"/>
  <c r="M125" i="39"/>
  <c r="K125" i="39"/>
  <c r="N125" i="39" s="1"/>
  <c r="E125" i="39"/>
  <c r="B125" i="39"/>
  <c r="M124" i="39"/>
  <c r="N124" i="39" s="1"/>
  <c r="K124" i="39"/>
  <c r="E124" i="39"/>
  <c r="B124" i="39"/>
  <c r="M123" i="39"/>
  <c r="K123" i="39"/>
  <c r="N123" i="39" s="1"/>
  <c r="E123" i="39"/>
  <c r="B123" i="39"/>
  <c r="M122" i="39"/>
  <c r="K122" i="39"/>
  <c r="N122" i="39" s="1"/>
  <c r="E122" i="39"/>
  <c r="B122" i="39"/>
  <c r="M121" i="39"/>
  <c r="K121" i="39"/>
  <c r="N121" i="39" s="1"/>
  <c r="E121" i="39"/>
  <c r="B121" i="39"/>
  <c r="M120" i="39"/>
  <c r="N120" i="39" s="1"/>
  <c r="K120" i="39"/>
  <c r="E120" i="39"/>
  <c r="B120" i="39"/>
  <c r="M119" i="39"/>
  <c r="K119" i="39"/>
  <c r="N119" i="39" s="1"/>
  <c r="E119" i="39"/>
  <c r="B119" i="39"/>
  <c r="M118" i="39"/>
  <c r="K118" i="39"/>
  <c r="N118" i="39" s="1"/>
  <c r="E118" i="39"/>
  <c r="B118" i="39"/>
  <c r="M117" i="39"/>
  <c r="K117" i="39"/>
  <c r="N117" i="39" s="1"/>
  <c r="E117" i="39"/>
  <c r="B117" i="39"/>
  <c r="M116" i="39"/>
  <c r="N116" i="39" s="1"/>
  <c r="K116" i="39"/>
  <c r="E116" i="39"/>
  <c r="B116" i="39"/>
  <c r="M115" i="39"/>
  <c r="K115" i="39"/>
  <c r="N115" i="39" s="1"/>
  <c r="E115" i="39"/>
  <c r="B115" i="39"/>
  <c r="M114" i="39"/>
  <c r="K114" i="39"/>
  <c r="N114" i="39" s="1"/>
  <c r="E114" i="39"/>
  <c r="B114" i="39"/>
  <c r="M113" i="39"/>
  <c r="K113" i="39"/>
  <c r="N113" i="39" s="1"/>
  <c r="E113" i="39"/>
  <c r="B113" i="39"/>
  <c r="M112" i="39"/>
  <c r="N112" i="39" s="1"/>
  <c r="K112" i="39"/>
  <c r="E112" i="39"/>
  <c r="B112" i="39"/>
  <c r="M111" i="39"/>
  <c r="K111" i="39"/>
  <c r="N111" i="39" s="1"/>
  <c r="E111" i="39"/>
  <c r="B111" i="39"/>
  <c r="M110" i="39"/>
  <c r="K110" i="39"/>
  <c r="N110" i="39" s="1"/>
  <c r="E110" i="39"/>
  <c r="B110" i="39"/>
  <c r="M109" i="39"/>
  <c r="K109" i="39"/>
  <c r="N109" i="39" s="1"/>
  <c r="E109" i="39"/>
  <c r="B109" i="39"/>
  <c r="M108" i="39"/>
  <c r="N108" i="39" s="1"/>
  <c r="K108" i="39"/>
  <c r="E108" i="39"/>
  <c r="B108" i="39"/>
  <c r="M107" i="39"/>
  <c r="K107" i="39"/>
  <c r="N107" i="39" s="1"/>
  <c r="E107" i="39"/>
  <c r="B107" i="39"/>
  <c r="M106" i="39"/>
  <c r="K106" i="39"/>
  <c r="N106" i="39" s="1"/>
  <c r="E106" i="39"/>
  <c r="B106" i="39"/>
  <c r="M105" i="39"/>
  <c r="K105" i="39"/>
  <c r="N105" i="39" s="1"/>
  <c r="E105" i="39"/>
  <c r="B105" i="39"/>
  <c r="M104" i="39"/>
  <c r="N104" i="39" s="1"/>
  <c r="K104" i="39"/>
  <c r="E104" i="39"/>
  <c r="B104" i="39"/>
  <c r="M103" i="39"/>
  <c r="K103" i="39"/>
  <c r="N103" i="39" s="1"/>
  <c r="E103" i="39"/>
  <c r="B103" i="39"/>
  <c r="M102" i="39"/>
  <c r="K102" i="39"/>
  <c r="N102" i="39" s="1"/>
  <c r="E102" i="39"/>
  <c r="B102" i="39"/>
  <c r="M101" i="39"/>
  <c r="K101" i="39"/>
  <c r="N101" i="39" s="1"/>
  <c r="E101" i="39"/>
  <c r="B101" i="39"/>
  <c r="M100" i="39"/>
  <c r="N100" i="39" s="1"/>
  <c r="K100" i="39"/>
  <c r="E100" i="39"/>
  <c r="B100" i="39"/>
  <c r="M99" i="39"/>
  <c r="K99" i="39"/>
  <c r="N99" i="39" s="1"/>
  <c r="E99" i="39"/>
  <c r="B99" i="39"/>
  <c r="M98" i="39"/>
  <c r="K98" i="39"/>
  <c r="N98" i="39" s="1"/>
  <c r="E98" i="39"/>
  <c r="B98" i="39"/>
  <c r="M97" i="39"/>
  <c r="K97" i="39"/>
  <c r="N97" i="39" s="1"/>
  <c r="E97" i="39"/>
  <c r="B97" i="39"/>
  <c r="M96" i="39"/>
  <c r="N96" i="39" s="1"/>
  <c r="K96" i="39"/>
  <c r="E96" i="39"/>
  <c r="B96" i="39"/>
  <c r="M95" i="39"/>
  <c r="K95" i="39"/>
  <c r="N95" i="39" s="1"/>
  <c r="E95" i="39"/>
  <c r="B95" i="39"/>
  <c r="M94" i="39"/>
  <c r="K94" i="39"/>
  <c r="N94" i="39" s="1"/>
  <c r="E94" i="39"/>
  <c r="B94" i="39"/>
  <c r="M93" i="39"/>
  <c r="K93" i="39"/>
  <c r="N93" i="39" s="1"/>
  <c r="E93" i="39"/>
  <c r="B93" i="39"/>
  <c r="M92" i="39"/>
  <c r="N92" i="39" s="1"/>
  <c r="K92" i="39"/>
  <c r="E92" i="39"/>
  <c r="B92" i="39"/>
  <c r="M91" i="39"/>
  <c r="K91" i="39"/>
  <c r="N91" i="39" s="1"/>
  <c r="E91" i="39"/>
  <c r="B91" i="39"/>
  <c r="M90" i="39"/>
  <c r="K90" i="39"/>
  <c r="N90" i="39" s="1"/>
  <c r="E90" i="39"/>
  <c r="B90" i="39"/>
  <c r="M89" i="39"/>
  <c r="K89" i="39"/>
  <c r="N89" i="39" s="1"/>
  <c r="E89" i="39"/>
  <c r="B89" i="39"/>
  <c r="M88" i="39"/>
  <c r="N88" i="39" s="1"/>
  <c r="K88" i="39"/>
  <c r="E88" i="39"/>
  <c r="B88" i="39"/>
  <c r="M87" i="39"/>
  <c r="K87" i="39"/>
  <c r="N87" i="39" s="1"/>
  <c r="E87" i="39"/>
  <c r="B87" i="39"/>
  <c r="M86" i="39"/>
  <c r="K86" i="39"/>
  <c r="N86" i="39" s="1"/>
  <c r="E86" i="39"/>
  <c r="B86" i="39"/>
  <c r="M85" i="39"/>
  <c r="K85" i="39"/>
  <c r="N85" i="39" s="1"/>
  <c r="E85" i="39"/>
  <c r="B85" i="39"/>
  <c r="M84" i="39"/>
  <c r="N84" i="39" s="1"/>
  <c r="K84" i="39"/>
  <c r="E84" i="39"/>
  <c r="B84" i="39"/>
  <c r="M83" i="39"/>
  <c r="K83" i="39"/>
  <c r="N83" i="39" s="1"/>
  <c r="E83" i="39"/>
  <c r="B83" i="39"/>
  <c r="M82" i="39"/>
  <c r="K82" i="39"/>
  <c r="N82" i="39" s="1"/>
  <c r="E82" i="39"/>
  <c r="B82" i="39"/>
  <c r="M81" i="39"/>
  <c r="K81" i="39"/>
  <c r="N81" i="39" s="1"/>
  <c r="E81" i="39"/>
  <c r="B81" i="39"/>
  <c r="M80" i="39"/>
  <c r="N80" i="39" s="1"/>
  <c r="K80" i="39"/>
  <c r="E80" i="39"/>
  <c r="B80" i="39"/>
  <c r="M79" i="39"/>
  <c r="K79" i="39"/>
  <c r="N79" i="39" s="1"/>
  <c r="E79" i="39"/>
  <c r="B79" i="39"/>
  <c r="M78" i="39"/>
  <c r="K78" i="39"/>
  <c r="N78" i="39" s="1"/>
  <c r="E78" i="39"/>
  <c r="B78" i="39"/>
  <c r="M77" i="39"/>
  <c r="K77" i="39"/>
  <c r="N77" i="39" s="1"/>
  <c r="E77" i="39"/>
  <c r="B77" i="39"/>
  <c r="M76" i="39"/>
  <c r="N76" i="39" s="1"/>
  <c r="K76" i="39"/>
  <c r="E76" i="39"/>
  <c r="B76" i="39"/>
  <c r="M75" i="39"/>
  <c r="K75" i="39"/>
  <c r="N75" i="39" s="1"/>
  <c r="E75" i="39"/>
  <c r="B75" i="39"/>
  <c r="M74" i="39"/>
  <c r="K74" i="39"/>
  <c r="N74" i="39" s="1"/>
  <c r="E74" i="39"/>
  <c r="B74" i="39"/>
  <c r="M73" i="39"/>
  <c r="K73" i="39"/>
  <c r="N73" i="39" s="1"/>
  <c r="E73" i="39"/>
  <c r="B73" i="39"/>
  <c r="M72" i="39"/>
  <c r="N72" i="39" s="1"/>
  <c r="K72" i="39"/>
  <c r="E72" i="39"/>
  <c r="B72" i="39"/>
  <c r="M71" i="39"/>
  <c r="K71" i="39"/>
  <c r="N71" i="39" s="1"/>
  <c r="E71" i="39"/>
  <c r="B71" i="39"/>
  <c r="M70" i="39"/>
  <c r="K70" i="39"/>
  <c r="N70" i="39" s="1"/>
  <c r="E70" i="39"/>
  <c r="B70" i="39"/>
  <c r="M69" i="39"/>
  <c r="K69" i="39"/>
  <c r="N69" i="39" s="1"/>
  <c r="E69" i="39"/>
  <c r="B69" i="39"/>
  <c r="M68" i="39"/>
  <c r="N68" i="39" s="1"/>
  <c r="K68" i="39"/>
  <c r="E68" i="39"/>
  <c r="B68" i="39"/>
  <c r="M67" i="39"/>
  <c r="K67" i="39"/>
  <c r="N67" i="39" s="1"/>
  <c r="E67" i="39"/>
  <c r="B67" i="39"/>
  <c r="M66" i="39"/>
  <c r="K66" i="39"/>
  <c r="N66" i="39" s="1"/>
  <c r="E66" i="39"/>
  <c r="B66" i="39"/>
  <c r="M65" i="39"/>
  <c r="K65" i="39"/>
  <c r="N65" i="39" s="1"/>
  <c r="E65" i="39"/>
  <c r="B65" i="39"/>
  <c r="M64" i="39"/>
  <c r="N64" i="39" s="1"/>
  <c r="K64" i="39"/>
  <c r="E64" i="39"/>
  <c r="B64" i="39"/>
  <c r="M63" i="39"/>
  <c r="K63" i="39"/>
  <c r="N63" i="39" s="1"/>
  <c r="E63" i="39"/>
  <c r="B63" i="39"/>
  <c r="M62" i="39"/>
  <c r="K62" i="39"/>
  <c r="N62" i="39" s="1"/>
  <c r="E62" i="39"/>
  <c r="B62" i="39"/>
  <c r="M61" i="39"/>
  <c r="K61" i="39"/>
  <c r="N61" i="39" s="1"/>
  <c r="E61" i="39"/>
  <c r="B61" i="39"/>
  <c r="M60" i="39"/>
  <c r="N60" i="39" s="1"/>
  <c r="K60" i="39"/>
  <c r="E60" i="39"/>
  <c r="B60" i="39"/>
  <c r="M59" i="39"/>
  <c r="K59" i="39"/>
  <c r="N59" i="39" s="1"/>
  <c r="E59" i="39"/>
  <c r="B59" i="39"/>
  <c r="N58" i="39"/>
  <c r="M58" i="39"/>
  <c r="K58" i="39"/>
  <c r="E58" i="39"/>
  <c r="B58" i="39"/>
  <c r="M57" i="39"/>
  <c r="K57" i="39"/>
  <c r="N57" i="39" s="1"/>
  <c r="E57" i="39"/>
  <c r="B57" i="39"/>
  <c r="M56" i="39"/>
  <c r="N56" i="39" s="1"/>
  <c r="K56" i="39"/>
  <c r="E56" i="39"/>
  <c r="B56" i="39"/>
  <c r="M55" i="39"/>
  <c r="K55" i="39"/>
  <c r="N55" i="39" s="1"/>
  <c r="E55" i="39"/>
  <c r="B55" i="39"/>
  <c r="N54" i="39"/>
  <c r="M54" i="39"/>
  <c r="K54" i="39"/>
  <c r="E54" i="39"/>
  <c r="B54" i="39"/>
  <c r="M53" i="39"/>
  <c r="K53" i="39"/>
  <c r="N53" i="39" s="1"/>
  <c r="E53" i="39"/>
  <c r="B53" i="39"/>
  <c r="M52" i="39"/>
  <c r="N52" i="39" s="1"/>
  <c r="K52" i="39"/>
  <c r="E52" i="39"/>
  <c r="B52" i="39"/>
  <c r="M51" i="39"/>
  <c r="K51" i="39"/>
  <c r="N51" i="39" s="1"/>
  <c r="E51" i="39"/>
  <c r="B51" i="39"/>
  <c r="N50" i="39"/>
  <c r="M50" i="39"/>
  <c r="K50" i="39"/>
  <c r="E50" i="39"/>
  <c r="B50" i="39"/>
  <c r="M49" i="39"/>
  <c r="K49" i="39"/>
  <c r="N49" i="39" s="1"/>
  <c r="E49" i="39"/>
  <c r="B49" i="39"/>
  <c r="M48" i="39"/>
  <c r="N48" i="39" s="1"/>
  <c r="K48" i="39"/>
  <c r="E48" i="39"/>
  <c r="B48" i="39"/>
  <c r="M47" i="39"/>
  <c r="K47" i="39"/>
  <c r="N47" i="39" s="1"/>
  <c r="E47" i="39"/>
  <c r="B47" i="39"/>
  <c r="N46" i="39"/>
  <c r="M46" i="39"/>
  <c r="K46" i="39"/>
  <c r="E46" i="39"/>
  <c r="B46" i="39"/>
  <c r="M45" i="39"/>
  <c r="K45" i="39"/>
  <c r="N45" i="39" s="1"/>
  <c r="E45" i="39"/>
  <c r="B45" i="39"/>
  <c r="M44" i="39"/>
  <c r="N44" i="39" s="1"/>
  <c r="K44" i="39"/>
  <c r="E44" i="39"/>
  <c r="B44" i="39"/>
  <c r="M43" i="39"/>
  <c r="K43" i="39"/>
  <c r="N43" i="39" s="1"/>
  <c r="E43" i="39"/>
  <c r="B43" i="39"/>
  <c r="N42" i="39"/>
  <c r="M42" i="39"/>
  <c r="K42" i="39"/>
  <c r="E42" i="39"/>
  <c r="B42" i="39"/>
  <c r="M41" i="39"/>
  <c r="K41" i="39"/>
  <c r="N41" i="39" s="1"/>
  <c r="E41" i="39"/>
  <c r="B41" i="39"/>
  <c r="M40" i="39"/>
  <c r="N40" i="39" s="1"/>
  <c r="K40" i="39"/>
  <c r="E40" i="39"/>
  <c r="B40" i="39"/>
  <c r="M39" i="39"/>
  <c r="K39" i="39"/>
  <c r="N39" i="39" s="1"/>
  <c r="E39" i="39"/>
  <c r="B39" i="39"/>
  <c r="N38" i="39"/>
  <c r="M38" i="39"/>
  <c r="K38" i="39"/>
  <c r="E38" i="39"/>
  <c r="B38" i="39"/>
  <c r="M37" i="39"/>
  <c r="K37" i="39"/>
  <c r="N37" i="39" s="1"/>
  <c r="E37" i="39"/>
  <c r="B37" i="39"/>
  <c r="M36" i="39"/>
  <c r="N36" i="39" s="1"/>
  <c r="K36" i="39"/>
  <c r="E36" i="39"/>
  <c r="B36" i="39"/>
  <c r="M35" i="39"/>
  <c r="K35" i="39"/>
  <c r="N35" i="39" s="1"/>
  <c r="E35" i="39"/>
  <c r="B35" i="39"/>
  <c r="N34" i="39"/>
  <c r="M34" i="39"/>
  <c r="K34" i="39"/>
  <c r="E34" i="39"/>
  <c r="B34" i="39"/>
  <c r="M33" i="39"/>
  <c r="K33" i="39"/>
  <c r="N33" i="39" s="1"/>
  <c r="E33" i="39"/>
  <c r="B33" i="39"/>
  <c r="M32" i="39"/>
  <c r="N32" i="39" s="1"/>
  <c r="K32" i="39"/>
  <c r="E32" i="39"/>
  <c r="B32" i="39"/>
  <c r="M31" i="39"/>
  <c r="K31" i="39"/>
  <c r="N31" i="39" s="1"/>
  <c r="E31" i="39"/>
  <c r="B31" i="39"/>
  <c r="N30" i="39"/>
  <c r="M30" i="39"/>
  <c r="K30" i="39"/>
  <c r="E30" i="39"/>
  <c r="B30" i="39"/>
  <c r="M29" i="39"/>
  <c r="K29" i="39"/>
  <c r="N29" i="39" s="1"/>
  <c r="E29" i="39"/>
  <c r="B29" i="39"/>
  <c r="M28" i="39"/>
  <c r="N28" i="39" s="1"/>
  <c r="K28" i="39"/>
  <c r="E28" i="39"/>
  <c r="B28" i="39"/>
  <c r="M27" i="39"/>
  <c r="K27" i="39"/>
  <c r="N27" i="39" s="1"/>
  <c r="E27" i="39"/>
  <c r="B27" i="39"/>
  <c r="N26" i="39"/>
  <c r="M26" i="39"/>
  <c r="K26" i="39"/>
  <c r="E26" i="39"/>
  <c r="B26" i="39"/>
  <c r="M25" i="39"/>
  <c r="K25" i="39"/>
  <c r="N25" i="39" s="1"/>
  <c r="E25" i="39"/>
  <c r="B25" i="39"/>
  <c r="M24" i="39"/>
  <c r="N24" i="39" s="1"/>
  <c r="K24" i="39"/>
  <c r="E24" i="39"/>
  <c r="B24" i="39"/>
  <c r="M23" i="39"/>
  <c r="K23" i="39"/>
  <c r="N23" i="39" s="1"/>
  <c r="E23" i="39"/>
  <c r="B23" i="39"/>
  <c r="N22" i="39"/>
  <c r="M22" i="39"/>
  <c r="K22" i="39"/>
  <c r="E22" i="39"/>
  <c r="B22" i="39"/>
  <c r="M21" i="39"/>
  <c r="K21" i="39"/>
  <c r="N21" i="39" s="1"/>
  <c r="E21" i="39"/>
  <c r="B21" i="39"/>
  <c r="M20" i="39"/>
  <c r="N20" i="39" s="1"/>
  <c r="K20" i="39"/>
  <c r="E20" i="39"/>
  <c r="B20" i="39"/>
  <c r="M19" i="39"/>
  <c r="K19" i="39"/>
  <c r="N19" i="39" s="1"/>
  <c r="E19" i="39"/>
  <c r="B19" i="39"/>
  <c r="N18" i="39"/>
  <c r="M18" i="39"/>
  <c r="K18" i="39"/>
  <c r="E18" i="39"/>
  <c r="B18" i="39"/>
  <c r="M17" i="39"/>
  <c r="K17" i="39"/>
  <c r="N17" i="39" s="1"/>
  <c r="E17" i="39"/>
  <c r="B17" i="39"/>
  <c r="M16" i="39"/>
  <c r="N16" i="39" s="1"/>
  <c r="K16" i="39"/>
  <c r="E16" i="39"/>
  <c r="B16" i="39"/>
  <c r="M15" i="39"/>
  <c r="K15" i="39"/>
  <c r="N15" i="39" s="1"/>
  <c r="E15" i="39"/>
  <c r="B15" i="39"/>
  <c r="N14" i="39"/>
  <c r="M14" i="39"/>
  <c r="K14" i="39"/>
  <c r="E14" i="39"/>
  <c r="B14" i="39"/>
  <c r="M13" i="39"/>
  <c r="K13" i="39"/>
  <c r="N13" i="39" s="1"/>
  <c r="E13" i="39"/>
  <c r="B13" i="39"/>
  <c r="M12" i="39"/>
  <c r="N12" i="39" s="1"/>
  <c r="K12" i="39"/>
  <c r="E12" i="39"/>
  <c r="B12" i="39"/>
  <c r="M11" i="39"/>
  <c r="K11" i="39"/>
  <c r="N11" i="39" s="1"/>
  <c r="E11" i="39"/>
  <c r="B11" i="39"/>
  <c r="N10" i="39"/>
  <c r="M10" i="39"/>
  <c r="K10" i="39"/>
  <c r="E10" i="39"/>
  <c r="B10" i="39"/>
  <c r="M9" i="39"/>
  <c r="K9" i="39"/>
  <c r="N9" i="39" s="1"/>
  <c r="E9" i="39"/>
  <c r="B9" i="39"/>
  <c r="M8" i="39"/>
  <c r="N8" i="39" s="1"/>
  <c r="K8" i="39"/>
  <c r="E8" i="39"/>
  <c r="B8" i="39"/>
  <c r="M7" i="39"/>
  <c r="K7" i="39"/>
  <c r="N7" i="39" s="1"/>
  <c r="E7" i="39"/>
  <c r="B7" i="39"/>
  <c r="N6" i="39"/>
  <c r="M6" i="39"/>
  <c r="K6" i="39"/>
  <c r="E6" i="39"/>
  <c r="B6" i="39"/>
  <c r="M5" i="39"/>
  <c r="K5" i="39"/>
  <c r="N5" i="39" s="1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M2" i="39" s="1"/>
  <c r="O2" i="39"/>
  <c r="L2" i="39"/>
  <c r="K2" i="39"/>
  <c r="J2" i="39"/>
  <c r="I2" i="39"/>
  <c r="H2" i="39"/>
  <c r="G2" i="39"/>
  <c r="N2" i="39" s="1"/>
  <c r="F2" i="39"/>
  <c r="E2" i="39"/>
  <c r="N134" i="38"/>
  <c r="M134" i="38"/>
  <c r="K134" i="38"/>
  <c r="E134" i="38"/>
  <c r="B134" i="38"/>
  <c r="M133" i="38"/>
  <c r="K133" i="38"/>
  <c r="N133" i="38" s="1"/>
  <c r="E133" i="38"/>
  <c r="B133" i="38"/>
  <c r="M132" i="38"/>
  <c r="K132" i="38"/>
  <c r="N132" i="38" s="1"/>
  <c r="E132" i="38"/>
  <c r="B132" i="38"/>
  <c r="M131" i="38"/>
  <c r="N131" i="38" s="1"/>
  <c r="K131" i="38"/>
  <c r="E131" i="38"/>
  <c r="B131" i="38"/>
  <c r="N130" i="38"/>
  <c r="M130" i="38"/>
  <c r="K130" i="38"/>
  <c r="E130" i="38"/>
  <c r="B130" i="38"/>
  <c r="M129" i="38"/>
  <c r="K129" i="38"/>
  <c r="N129" i="38" s="1"/>
  <c r="E129" i="38"/>
  <c r="B129" i="38"/>
  <c r="M128" i="38"/>
  <c r="K128" i="38"/>
  <c r="N128" i="38" s="1"/>
  <c r="E128" i="38"/>
  <c r="B128" i="38"/>
  <c r="M127" i="38"/>
  <c r="N127" i="38" s="1"/>
  <c r="K127" i="38"/>
  <c r="E127" i="38"/>
  <c r="B127" i="38"/>
  <c r="N126" i="38"/>
  <c r="M126" i="38"/>
  <c r="K126" i="38"/>
  <c r="E126" i="38"/>
  <c r="B126" i="38"/>
  <c r="M125" i="38"/>
  <c r="K125" i="38"/>
  <c r="N125" i="38" s="1"/>
  <c r="E125" i="38"/>
  <c r="B125" i="38"/>
  <c r="M124" i="38"/>
  <c r="K124" i="38"/>
  <c r="N124" i="38" s="1"/>
  <c r="E124" i="38"/>
  <c r="B124" i="38"/>
  <c r="M123" i="38"/>
  <c r="N123" i="38" s="1"/>
  <c r="K123" i="38"/>
  <c r="E123" i="38"/>
  <c r="B123" i="38"/>
  <c r="N122" i="38"/>
  <c r="M122" i="38"/>
  <c r="K122" i="38"/>
  <c r="E122" i="38"/>
  <c r="B122" i="38"/>
  <c r="M121" i="38"/>
  <c r="K121" i="38"/>
  <c r="N121" i="38" s="1"/>
  <c r="E121" i="38"/>
  <c r="B121" i="38"/>
  <c r="M120" i="38"/>
  <c r="K120" i="38"/>
  <c r="N120" i="38" s="1"/>
  <c r="E120" i="38"/>
  <c r="B120" i="38"/>
  <c r="M119" i="38"/>
  <c r="N119" i="38" s="1"/>
  <c r="K119" i="38"/>
  <c r="E119" i="38"/>
  <c r="B119" i="38"/>
  <c r="N118" i="38"/>
  <c r="M118" i="38"/>
  <c r="K118" i="38"/>
  <c r="E118" i="38"/>
  <c r="B118" i="38"/>
  <c r="M117" i="38"/>
  <c r="K117" i="38"/>
  <c r="N117" i="38" s="1"/>
  <c r="E117" i="38"/>
  <c r="B117" i="38"/>
  <c r="M116" i="38"/>
  <c r="K116" i="38"/>
  <c r="N116" i="38" s="1"/>
  <c r="E116" i="38"/>
  <c r="B116" i="38"/>
  <c r="M115" i="38"/>
  <c r="N115" i="38" s="1"/>
  <c r="K115" i="38"/>
  <c r="E115" i="38"/>
  <c r="B115" i="38"/>
  <c r="N114" i="38"/>
  <c r="M114" i="38"/>
  <c r="K114" i="38"/>
  <c r="E114" i="38"/>
  <c r="B114" i="38"/>
  <c r="M113" i="38"/>
  <c r="K113" i="38"/>
  <c r="N113" i="38" s="1"/>
  <c r="E113" i="38"/>
  <c r="B113" i="38"/>
  <c r="M112" i="38"/>
  <c r="K112" i="38"/>
  <c r="N112" i="38" s="1"/>
  <c r="E112" i="38"/>
  <c r="B112" i="38"/>
  <c r="M111" i="38"/>
  <c r="N111" i="38" s="1"/>
  <c r="K111" i="38"/>
  <c r="E111" i="38"/>
  <c r="B111" i="38"/>
  <c r="N110" i="38"/>
  <c r="M110" i="38"/>
  <c r="K110" i="38"/>
  <c r="E110" i="38"/>
  <c r="B110" i="38"/>
  <c r="M109" i="38"/>
  <c r="K109" i="38"/>
  <c r="N109" i="38" s="1"/>
  <c r="E109" i="38"/>
  <c r="B109" i="38"/>
  <c r="M108" i="38"/>
  <c r="K108" i="38"/>
  <c r="N108" i="38" s="1"/>
  <c r="E108" i="38"/>
  <c r="B108" i="38"/>
  <c r="M107" i="38"/>
  <c r="N107" i="38" s="1"/>
  <c r="K107" i="38"/>
  <c r="E107" i="38"/>
  <c r="B107" i="38"/>
  <c r="N106" i="38"/>
  <c r="M106" i="38"/>
  <c r="K106" i="38"/>
  <c r="E106" i="38"/>
  <c r="B106" i="38"/>
  <c r="M105" i="38"/>
  <c r="K105" i="38"/>
  <c r="N105" i="38" s="1"/>
  <c r="E105" i="38"/>
  <c r="B105" i="38"/>
  <c r="M104" i="38"/>
  <c r="K104" i="38"/>
  <c r="N104" i="38" s="1"/>
  <c r="E104" i="38"/>
  <c r="B104" i="38"/>
  <c r="M103" i="38"/>
  <c r="N103" i="38" s="1"/>
  <c r="K103" i="38"/>
  <c r="E103" i="38"/>
  <c r="B103" i="38"/>
  <c r="N102" i="38"/>
  <c r="M102" i="38"/>
  <c r="K102" i="38"/>
  <c r="E102" i="38"/>
  <c r="B102" i="38"/>
  <c r="M101" i="38"/>
  <c r="K101" i="38"/>
  <c r="N101" i="38" s="1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N98" i="38"/>
  <c r="M98" i="38"/>
  <c r="K98" i="38"/>
  <c r="E98" i="38"/>
  <c r="B98" i="38"/>
  <c r="M97" i="38"/>
  <c r="K97" i="38"/>
  <c r="N97" i="38" s="1"/>
  <c r="E97" i="38"/>
  <c r="B97" i="38"/>
  <c r="N96" i="38"/>
  <c r="M96" i="38"/>
  <c r="K96" i="38"/>
  <c r="E96" i="38"/>
  <c r="B96" i="38"/>
  <c r="M95" i="38"/>
  <c r="N95" i="38" s="1"/>
  <c r="K95" i="38"/>
  <c r="E95" i="38"/>
  <c r="B95" i="38"/>
  <c r="N94" i="38"/>
  <c r="M94" i="38"/>
  <c r="K94" i="38"/>
  <c r="E94" i="38"/>
  <c r="B94" i="38"/>
  <c r="M93" i="38"/>
  <c r="K93" i="38"/>
  <c r="N93" i="38" s="1"/>
  <c r="E93" i="38"/>
  <c r="B93" i="38"/>
  <c r="N92" i="38"/>
  <c r="M92" i="38"/>
  <c r="K92" i="38"/>
  <c r="E92" i="38"/>
  <c r="B92" i="38"/>
  <c r="M91" i="38"/>
  <c r="N91" i="38" s="1"/>
  <c r="K91" i="38"/>
  <c r="E91" i="38"/>
  <c r="B91" i="38"/>
  <c r="N90" i="38"/>
  <c r="M90" i="38"/>
  <c r="K90" i="38"/>
  <c r="E90" i="38"/>
  <c r="B90" i="38"/>
  <c r="M89" i="38"/>
  <c r="K89" i="38"/>
  <c r="N89" i="38" s="1"/>
  <c r="E89" i="38"/>
  <c r="B89" i="38"/>
  <c r="N88" i="38"/>
  <c r="M88" i="38"/>
  <c r="K88" i="38"/>
  <c r="E88" i="38"/>
  <c r="B88" i="38"/>
  <c r="M87" i="38"/>
  <c r="N87" i="38" s="1"/>
  <c r="K87" i="38"/>
  <c r="E87" i="38"/>
  <c r="B87" i="38"/>
  <c r="N86" i="38"/>
  <c r="M86" i="38"/>
  <c r="K86" i="38"/>
  <c r="E86" i="38"/>
  <c r="B86" i="38"/>
  <c r="M85" i="38"/>
  <c r="K85" i="38"/>
  <c r="N85" i="38" s="1"/>
  <c r="E85" i="38"/>
  <c r="B85" i="38"/>
  <c r="N84" i="38"/>
  <c r="M84" i="38"/>
  <c r="K84" i="38"/>
  <c r="E84" i="38"/>
  <c r="B84" i="38"/>
  <c r="M83" i="38"/>
  <c r="N83" i="38" s="1"/>
  <c r="K83" i="38"/>
  <c r="E83" i="38"/>
  <c r="B83" i="38"/>
  <c r="N82" i="38"/>
  <c r="M82" i="38"/>
  <c r="K82" i="38"/>
  <c r="E82" i="38"/>
  <c r="B82" i="38"/>
  <c r="M81" i="38"/>
  <c r="K81" i="38"/>
  <c r="N81" i="38" s="1"/>
  <c r="E81" i="38"/>
  <c r="B81" i="38"/>
  <c r="N80" i="38"/>
  <c r="M80" i="38"/>
  <c r="K80" i="38"/>
  <c r="E80" i="38"/>
  <c r="B80" i="38"/>
  <c r="M79" i="38"/>
  <c r="N79" i="38" s="1"/>
  <c r="K79" i="38"/>
  <c r="E79" i="38"/>
  <c r="B79" i="38"/>
  <c r="N78" i="38"/>
  <c r="M78" i="38"/>
  <c r="K78" i="38"/>
  <c r="E78" i="38"/>
  <c r="B78" i="38"/>
  <c r="M77" i="38"/>
  <c r="K77" i="38"/>
  <c r="N77" i="38" s="1"/>
  <c r="E77" i="38"/>
  <c r="B77" i="38"/>
  <c r="N76" i="38"/>
  <c r="M76" i="38"/>
  <c r="K76" i="38"/>
  <c r="E76" i="38"/>
  <c r="B76" i="38"/>
  <c r="M75" i="38"/>
  <c r="N75" i="38" s="1"/>
  <c r="K75" i="38"/>
  <c r="E75" i="38"/>
  <c r="B75" i="38"/>
  <c r="N74" i="38"/>
  <c r="M74" i="38"/>
  <c r="K74" i="38"/>
  <c r="E74" i="38"/>
  <c r="B74" i="38"/>
  <c r="M73" i="38"/>
  <c r="K73" i="38"/>
  <c r="N73" i="38" s="1"/>
  <c r="E73" i="38"/>
  <c r="B73" i="38"/>
  <c r="N72" i="38"/>
  <c r="M72" i="38"/>
  <c r="K72" i="38"/>
  <c r="E72" i="38"/>
  <c r="B72" i="38"/>
  <c r="M71" i="38"/>
  <c r="N71" i="38" s="1"/>
  <c r="K71" i="38"/>
  <c r="E71" i="38"/>
  <c r="B71" i="38"/>
  <c r="N70" i="38"/>
  <c r="M70" i="38"/>
  <c r="K70" i="38"/>
  <c r="E70" i="38"/>
  <c r="B70" i="38"/>
  <c r="M69" i="38"/>
  <c r="K69" i="38"/>
  <c r="N69" i="38" s="1"/>
  <c r="E69" i="38"/>
  <c r="B69" i="38"/>
  <c r="N68" i="38"/>
  <c r="M68" i="38"/>
  <c r="K68" i="38"/>
  <c r="E68" i="38"/>
  <c r="B68" i="38"/>
  <c r="M67" i="38"/>
  <c r="N67" i="38" s="1"/>
  <c r="K67" i="38"/>
  <c r="E67" i="38"/>
  <c r="B67" i="38"/>
  <c r="N66" i="38"/>
  <c r="M66" i="38"/>
  <c r="K66" i="38"/>
  <c r="E66" i="38"/>
  <c r="B66" i="38"/>
  <c r="M65" i="38"/>
  <c r="K65" i="38"/>
  <c r="N65" i="38" s="1"/>
  <c r="E65" i="38"/>
  <c r="B65" i="38"/>
  <c r="N64" i="38"/>
  <c r="M64" i="38"/>
  <c r="K64" i="38"/>
  <c r="E64" i="38"/>
  <c r="B64" i="38"/>
  <c r="M63" i="38"/>
  <c r="N63" i="38" s="1"/>
  <c r="K63" i="38"/>
  <c r="E63" i="38"/>
  <c r="B63" i="38"/>
  <c r="N62" i="38"/>
  <c r="M62" i="38"/>
  <c r="K62" i="38"/>
  <c r="E62" i="38"/>
  <c r="B62" i="38"/>
  <c r="M61" i="38"/>
  <c r="K61" i="38"/>
  <c r="N61" i="38" s="1"/>
  <c r="E61" i="38"/>
  <c r="B61" i="38"/>
  <c r="N60" i="38"/>
  <c r="M60" i="38"/>
  <c r="K60" i="38"/>
  <c r="E60" i="38"/>
  <c r="B60" i="38"/>
  <c r="M59" i="38"/>
  <c r="N59" i="38" s="1"/>
  <c r="K59" i="38"/>
  <c r="E59" i="38"/>
  <c r="B59" i="38"/>
  <c r="N58" i="38"/>
  <c r="M58" i="38"/>
  <c r="K58" i="38"/>
  <c r="E58" i="38"/>
  <c r="B58" i="38"/>
  <c r="M57" i="38"/>
  <c r="K57" i="38"/>
  <c r="N57" i="38" s="1"/>
  <c r="E57" i="38"/>
  <c r="B57" i="38"/>
  <c r="N56" i="38"/>
  <c r="M56" i="38"/>
  <c r="K56" i="38"/>
  <c r="E56" i="38"/>
  <c r="B56" i="38"/>
  <c r="M55" i="38"/>
  <c r="N55" i="38" s="1"/>
  <c r="K55" i="38"/>
  <c r="E55" i="38"/>
  <c r="B55" i="38"/>
  <c r="N54" i="38"/>
  <c r="M54" i="38"/>
  <c r="K54" i="38"/>
  <c r="E54" i="38"/>
  <c r="B54" i="38"/>
  <c r="M53" i="38"/>
  <c r="K53" i="38"/>
  <c r="N53" i="38" s="1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N50" i="38"/>
  <c r="M50" i="38"/>
  <c r="K50" i="38"/>
  <c r="E50" i="38"/>
  <c r="B50" i="38"/>
  <c r="M49" i="38"/>
  <c r="K49" i="38"/>
  <c r="N49" i="38" s="1"/>
  <c r="E49" i="38"/>
  <c r="B49" i="38"/>
  <c r="N48" i="38"/>
  <c r="M48" i="38"/>
  <c r="K48" i="38"/>
  <c r="E48" i="38"/>
  <c r="B48" i="38"/>
  <c r="M47" i="38"/>
  <c r="N47" i="38" s="1"/>
  <c r="K47" i="38"/>
  <c r="E47" i="38"/>
  <c r="B47" i="38"/>
  <c r="N46" i="38"/>
  <c r="M46" i="38"/>
  <c r="K46" i="38"/>
  <c r="E46" i="38"/>
  <c r="B46" i="38"/>
  <c r="M45" i="38"/>
  <c r="K45" i="38"/>
  <c r="N45" i="38" s="1"/>
  <c r="E45" i="38"/>
  <c r="B45" i="38"/>
  <c r="N44" i="38"/>
  <c r="M44" i="38"/>
  <c r="K44" i="38"/>
  <c r="E44" i="38"/>
  <c r="B44" i="38"/>
  <c r="M43" i="38"/>
  <c r="N43" i="38" s="1"/>
  <c r="K43" i="38"/>
  <c r="E43" i="38"/>
  <c r="B43" i="38"/>
  <c r="N42" i="38"/>
  <c r="M42" i="38"/>
  <c r="K42" i="38"/>
  <c r="E42" i="38"/>
  <c r="B42" i="38"/>
  <c r="M41" i="38"/>
  <c r="K41" i="38"/>
  <c r="N41" i="38" s="1"/>
  <c r="E41" i="38"/>
  <c r="B41" i="38"/>
  <c r="N40" i="38"/>
  <c r="M40" i="38"/>
  <c r="K40" i="38"/>
  <c r="E40" i="38"/>
  <c r="B40" i="38"/>
  <c r="M39" i="38"/>
  <c r="N39" i="38" s="1"/>
  <c r="K39" i="38"/>
  <c r="E39" i="38"/>
  <c r="B39" i="38"/>
  <c r="N38" i="38"/>
  <c r="M38" i="38"/>
  <c r="K38" i="38"/>
  <c r="E38" i="38"/>
  <c r="B38" i="38"/>
  <c r="M37" i="38"/>
  <c r="K37" i="38"/>
  <c r="N37" i="38" s="1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N34" i="38"/>
  <c r="M34" i="38"/>
  <c r="K34" i="38"/>
  <c r="E34" i="38"/>
  <c r="B34" i="38"/>
  <c r="M33" i="38"/>
  <c r="K33" i="38"/>
  <c r="N33" i="38" s="1"/>
  <c r="E33" i="38"/>
  <c r="B33" i="38"/>
  <c r="N32" i="38"/>
  <c r="M32" i="38"/>
  <c r="K32" i="38"/>
  <c r="E32" i="38"/>
  <c r="B32" i="38"/>
  <c r="M31" i="38"/>
  <c r="N31" i="38" s="1"/>
  <c r="K31" i="38"/>
  <c r="E31" i="38"/>
  <c r="B31" i="38"/>
  <c r="N30" i="38"/>
  <c r="M30" i="38"/>
  <c r="K30" i="38"/>
  <c r="E30" i="38"/>
  <c r="B30" i="38"/>
  <c r="M29" i="38"/>
  <c r="K29" i="38"/>
  <c r="N29" i="38" s="1"/>
  <c r="E29" i="38"/>
  <c r="B29" i="38"/>
  <c r="N28" i="38"/>
  <c r="M28" i="38"/>
  <c r="K28" i="38"/>
  <c r="E28" i="38"/>
  <c r="B28" i="38"/>
  <c r="M27" i="38"/>
  <c r="N27" i="38" s="1"/>
  <c r="K27" i="38"/>
  <c r="E27" i="38"/>
  <c r="B27" i="38"/>
  <c r="N26" i="38"/>
  <c r="M26" i="38"/>
  <c r="K26" i="38"/>
  <c r="E26" i="38"/>
  <c r="B26" i="38"/>
  <c r="M25" i="38"/>
  <c r="K25" i="38"/>
  <c r="N25" i="38" s="1"/>
  <c r="E25" i="38"/>
  <c r="B25" i="38"/>
  <c r="N24" i="38"/>
  <c r="M24" i="38"/>
  <c r="K24" i="38"/>
  <c r="E24" i="38"/>
  <c r="B24" i="38"/>
  <c r="M23" i="38"/>
  <c r="N23" i="38" s="1"/>
  <c r="K23" i="38"/>
  <c r="E23" i="38"/>
  <c r="B23" i="38"/>
  <c r="N22" i="38"/>
  <c r="M22" i="38"/>
  <c r="K22" i="38"/>
  <c r="E22" i="38"/>
  <c r="B22" i="38"/>
  <c r="M21" i="38"/>
  <c r="K21" i="38"/>
  <c r="N21" i="38" s="1"/>
  <c r="E21" i="38"/>
  <c r="B21" i="38"/>
  <c r="N20" i="38"/>
  <c r="M20" i="38"/>
  <c r="K20" i="38"/>
  <c r="E20" i="38"/>
  <c r="B20" i="38"/>
  <c r="M19" i="38"/>
  <c r="N19" i="38" s="1"/>
  <c r="K19" i="38"/>
  <c r="E19" i="38"/>
  <c r="B19" i="38"/>
  <c r="N18" i="38"/>
  <c r="M18" i="38"/>
  <c r="K18" i="38"/>
  <c r="E18" i="38"/>
  <c r="B18" i="38"/>
  <c r="M17" i="38"/>
  <c r="K17" i="38"/>
  <c r="E17" i="38"/>
  <c r="B17" i="38"/>
  <c r="N16" i="38"/>
  <c r="M16" i="38"/>
  <c r="K16" i="38"/>
  <c r="E16" i="38"/>
  <c r="B16" i="38"/>
  <c r="M15" i="38"/>
  <c r="N15" i="38" s="1"/>
  <c r="K15" i="38"/>
  <c r="E15" i="38"/>
  <c r="B15" i="38"/>
  <c r="N14" i="38"/>
  <c r="M14" i="38"/>
  <c r="K14" i="38"/>
  <c r="E14" i="38"/>
  <c r="B14" i="38"/>
  <c r="M13" i="38"/>
  <c r="K13" i="38"/>
  <c r="N13" i="38" s="1"/>
  <c r="E13" i="38"/>
  <c r="B13" i="38"/>
  <c r="N12" i="38"/>
  <c r="M12" i="38"/>
  <c r="K12" i="38"/>
  <c r="E12" i="38"/>
  <c r="B12" i="38"/>
  <c r="M11" i="38"/>
  <c r="N11" i="38" s="1"/>
  <c r="K11" i="38"/>
  <c r="E11" i="38"/>
  <c r="B11" i="38"/>
  <c r="N10" i="38"/>
  <c r="M10" i="38"/>
  <c r="K10" i="38"/>
  <c r="E10" i="38"/>
  <c r="B10" i="38"/>
  <c r="M9" i="38"/>
  <c r="K9" i="38"/>
  <c r="E9" i="38"/>
  <c r="B9" i="38"/>
  <c r="N8" i="38"/>
  <c r="M8" i="38"/>
  <c r="K8" i="38"/>
  <c r="E8" i="38"/>
  <c r="B8" i="38"/>
  <c r="M7" i="38"/>
  <c r="N7" i="38" s="1"/>
  <c r="K7" i="38"/>
  <c r="E7" i="38"/>
  <c r="B7" i="38"/>
  <c r="N6" i="38"/>
  <c r="M6" i="38"/>
  <c r="K6" i="38"/>
  <c r="E6" i="38"/>
  <c r="B6" i="38"/>
  <c r="M5" i="38"/>
  <c r="K5" i="38"/>
  <c r="N5" i="38" s="1"/>
  <c r="E5" i="38"/>
  <c r="B5" i="38"/>
  <c r="N4" i="38"/>
  <c r="M4" i="38"/>
  <c r="K4" i="38"/>
  <c r="E4" i="38"/>
  <c r="B4" i="38"/>
  <c r="V2" i="38"/>
  <c r="U2" i="38"/>
  <c r="T2" i="38"/>
  <c r="S2" i="38"/>
  <c r="R2" i="38"/>
  <c r="Q2" i="38"/>
  <c r="P2" i="38"/>
  <c r="M2" i="38" s="1"/>
  <c r="O2" i="38"/>
  <c r="L2" i="38"/>
  <c r="J2" i="38"/>
  <c r="I2" i="38"/>
  <c r="H2" i="38"/>
  <c r="N2" i="38" s="1"/>
  <c r="G2" i="38"/>
  <c r="F2" i="38"/>
  <c r="E2" i="38"/>
  <c r="M134" i="37"/>
  <c r="K134" i="37"/>
  <c r="N134" i="37" s="1"/>
  <c r="E134" i="37"/>
  <c r="B134" i="37"/>
  <c r="N133" i="37"/>
  <c r="M133" i="37"/>
  <c r="K133" i="37"/>
  <c r="E133" i="37"/>
  <c r="B133" i="37"/>
  <c r="M132" i="37"/>
  <c r="K132" i="37"/>
  <c r="N132" i="37" s="1"/>
  <c r="E132" i="37"/>
  <c r="B132" i="37"/>
  <c r="M131" i="37"/>
  <c r="N131" i="37" s="1"/>
  <c r="K131" i="37"/>
  <c r="E131" i="37"/>
  <c r="B131" i="37"/>
  <c r="M130" i="37"/>
  <c r="K130" i="37"/>
  <c r="N130" i="37" s="1"/>
  <c r="E130" i="37"/>
  <c r="B130" i="37"/>
  <c r="N129" i="37"/>
  <c r="M129" i="37"/>
  <c r="K129" i="37"/>
  <c r="E129" i="37"/>
  <c r="B129" i="37"/>
  <c r="M128" i="37"/>
  <c r="K128" i="37"/>
  <c r="N128" i="37" s="1"/>
  <c r="E128" i="37"/>
  <c r="B128" i="37"/>
  <c r="M127" i="37"/>
  <c r="N127" i="37" s="1"/>
  <c r="K127" i="37"/>
  <c r="E127" i="37"/>
  <c r="B127" i="37"/>
  <c r="M126" i="37"/>
  <c r="K126" i="37"/>
  <c r="N126" i="37" s="1"/>
  <c r="E126" i="37"/>
  <c r="B126" i="37"/>
  <c r="N125" i="37"/>
  <c r="M125" i="37"/>
  <c r="K125" i="37"/>
  <c r="E125" i="37"/>
  <c r="B125" i="37"/>
  <c r="M124" i="37"/>
  <c r="K124" i="37"/>
  <c r="N124" i="37" s="1"/>
  <c r="E124" i="37"/>
  <c r="B124" i="37"/>
  <c r="M123" i="37"/>
  <c r="N123" i="37" s="1"/>
  <c r="K123" i="37"/>
  <c r="E123" i="37"/>
  <c r="B123" i="37"/>
  <c r="M122" i="37"/>
  <c r="K122" i="37"/>
  <c r="N122" i="37" s="1"/>
  <c r="E122" i="37"/>
  <c r="B122" i="37"/>
  <c r="N121" i="37"/>
  <c r="M121" i="37"/>
  <c r="K121" i="37"/>
  <c r="E121" i="37"/>
  <c r="B121" i="37"/>
  <c r="M120" i="37"/>
  <c r="K120" i="37"/>
  <c r="N120" i="37" s="1"/>
  <c r="E120" i="37"/>
  <c r="M119" i="37"/>
  <c r="K119" i="37"/>
  <c r="N119" i="37" s="1"/>
  <c r="E119" i="37"/>
  <c r="N118" i="37"/>
  <c r="M118" i="37"/>
  <c r="K118" i="37"/>
  <c r="E118" i="37"/>
  <c r="N117" i="37"/>
  <c r="M117" i="37"/>
  <c r="K117" i="37"/>
  <c r="E117" i="37"/>
  <c r="M116" i="37"/>
  <c r="K116" i="37"/>
  <c r="N116" i="37" s="1"/>
  <c r="E116" i="37"/>
  <c r="M115" i="37"/>
  <c r="N115" i="37" s="1"/>
  <c r="K115" i="37"/>
  <c r="E115" i="37"/>
  <c r="N114" i="37"/>
  <c r="M114" i="37"/>
  <c r="K114" i="37"/>
  <c r="E114" i="37"/>
  <c r="N113" i="37"/>
  <c r="M113" i="37"/>
  <c r="K113" i="37"/>
  <c r="E113" i="37"/>
  <c r="M112" i="37"/>
  <c r="K112" i="37"/>
  <c r="N112" i="37" s="1"/>
  <c r="E112" i="37"/>
  <c r="M111" i="37"/>
  <c r="K111" i="37"/>
  <c r="N111" i="37" s="1"/>
  <c r="E111" i="37"/>
  <c r="N110" i="37"/>
  <c r="M110" i="37"/>
  <c r="K110" i="37"/>
  <c r="E110" i="37"/>
  <c r="N109" i="37"/>
  <c r="M109" i="37"/>
  <c r="K109" i="37"/>
  <c r="E109" i="37"/>
  <c r="M108" i="37"/>
  <c r="K108" i="37"/>
  <c r="N108" i="37" s="1"/>
  <c r="E108" i="37"/>
  <c r="M107" i="37"/>
  <c r="N107" i="37" s="1"/>
  <c r="K107" i="37"/>
  <c r="E107" i="37"/>
  <c r="N106" i="37"/>
  <c r="M106" i="37"/>
  <c r="K106" i="37"/>
  <c r="E106" i="37"/>
  <c r="N105" i="37"/>
  <c r="M105" i="37"/>
  <c r="K105" i="37"/>
  <c r="E105" i="37"/>
  <c r="M104" i="37"/>
  <c r="K104" i="37"/>
  <c r="N104" i="37" s="1"/>
  <c r="E104" i="37"/>
  <c r="B104" i="37"/>
  <c r="M103" i="37"/>
  <c r="N103" i="37" s="1"/>
  <c r="K103" i="37"/>
  <c r="E103" i="37"/>
  <c r="B103" i="37"/>
  <c r="M102" i="37"/>
  <c r="K102" i="37"/>
  <c r="N102" i="37" s="1"/>
  <c r="E102" i="37"/>
  <c r="M101" i="37"/>
  <c r="N101" i="37" s="1"/>
  <c r="K101" i="37"/>
  <c r="E101" i="37"/>
  <c r="M100" i="37"/>
  <c r="N100" i="37" s="1"/>
  <c r="K100" i="37"/>
  <c r="E100" i="37"/>
  <c r="N99" i="37"/>
  <c r="M99" i="37"/>
  <c r="K99" i="37"/>
  <c r="E99" i="37"/>
  <c r="M98" i="37"/>
  <c r="K98" i="37"/>
  <c r="N98" i="37" s="1"/>
  <c r="E98" i="37"/>
  <c r="M97" i="37"/>
  <c r="K97" i="37"/>
  <c r="N97" i="37" s="1"/>
  <c r="E97" i="37"/>
  <c r="N96" i="37"/>
  <c r="M96" i="37"/>
  <c r="K96" i="37"/>
  <c r="E96" i="37"/>
  <c r="N95" i="37"/>
  <c r="M95" i="37"/>
  <c r="K95" i="37"/>
  <c r="E95" i="37"/>
  <c r="M94" i="37"/>
  <c r="K94" i="37"/>
  <c r="N94" i="37" s="1"/>
  <c r="E94" i="37"/>
  <c r="M93" i="37"/>
  <c r="N93" i="37" s="1"/>
  <c r="K93" i="37"/>
  <c r="E93" i="37"/>
  <c r="M92" i="37"/>
  <c r="N92" i="37" s="1"/>
  <c r="K92" i="37"/>
  <c r="E92" i="37"/>
  <c r="N91" i="37"/>
  <c r="M91" i="37"/>
  <c r="K91" i="37"/>
  <c r="E91" i="37"/>
  <c r="M90" i="37"/>
  <c r="K90" i="37"/>
  <c r="N90" i="37" s="1"/>
  <c r="E90" i="37"/>
  <c r="M89" i="37"/>
  <c r="K89" i="37"/>
  <c r="N89" i="37" s="1"/>
  <c r="E89" i="37"/>
  <c r="N88" i="37"/>
  <c r="M88" i="37"/>
  <c r="K88" i="37"/>
  <c r="E88" i="37"/>
  <c r="N87" i="37"/>
  <c r="M87" i="37"/>
  <c r="K87" i="37"/>
  <c r="E87" i="37"/>
  <c r="M86" i="37"/>
  <c r="K86" i="37"/>
  <c r="N86" i="37" s="1"/>
  <c r="E86" i="37"/>
  <c r="M85" i="37"/>
  <c r="N85" i="37" s="1"/>
  <c r="K85" i="37"/>
  <c r="E85" i="37"/>
  <c r="M84" i="37"/>
  <c r="N84" i="37" s="1"/>
  <c r="K84" i="37"/>
  <c r="E84" i="37"/>
  <c r="N83" i="37"/>
  <c r="M83" i="37"/>
  <c r="K83" i="37"/>
  <c r="E83" i="37"/>
  <c r="M82" i="37"/>
  <c r="K82" i="37"/>
  <c r="N82" i="37" s="1"/>
  <c r="E82" i="37"/>
  <c r="M81" i="37"/>
  <c r="K81" i="37"/>
  <c r="N81" i="37" s="1"/>
  <c r="E81" i="37"/>
  <c r="N80" i="37"/>
  <c r="M80" i="37"/>
  <c r="K80" i="37"/>
  <c r="E80" i="37"/>
  <c r="N79" i="37"/>
  <c r="M79" i="37"/>
  <c r="K79" i="37"/>
  <c r="E79" i="37"/>
  <c r="M78" i="37"/>
  <c r="K78" i="37"/>
  <c r="N78" i="37" s="1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K74" i="37"/>
  <c r="N74" i="37" s="1"/>
  <c r="E74" i="37"/>
  <c r="M73" i="37"/>
  <c r="K73" i="37"/>
  <c r="N73" i="37" s="1"/>
  <c r="E73" i="37"/>
  <c r="N72" i="37"/>
  <c r="M72" i="37"/>
  <c r="K72" i="37"/>
  <c r="E72" i="37"/>
  <c r="N71" i="37"/>
  <c r="M71" i="37"/>
  <c r="K71" i="37"/>
  <c r="E71" i="37"/>
  <c r="M70" i="37"/>
  <c r="K70" i="37"/>
  <c r="N70" i="37" s="1"/>
  <c r="E70" i="37"/>
  <c r="M69" i="37"/>
  <c r="N69" i="37" s="1"/>
  <c r="K69" i="37"/>
  <c r="E69" i="37"/>
  <c r="M68" i="37"/>
  <c r="N68" i="37" s="1"/>
  <c r="K68" i="37"/>
  <c r="E68" i="37"/>
  <c r="N67" i="37"/>
  <c r="M67" i="37"/>
  <c r="K67" i="37"/>
  <c r="E67" i="37"/>
  <c r="M66" i="37"/>
  <c r="K66" i="37"/>
  <c r="N66" i="37" s="1"/>
  <c r="E66" i="37"/>
  <c r="M65" i="37"/>
  <c r="K65" i="37"/>
  <c r="N65" i="37" s="1"/>
  <c r="E65" i="37"/>
  <c r="N64" i="37"/>
  <c r="M64" i="37"/>
  <c r="K64" i="37"/>
  <c r="E64" i="37"/>
  <c r="N63" i="37"/>
  <c r="M63" i="37"/>
  <c r="K63" i="37"/>
  <c r="E63" i="37"/>
  <c r="M62" i="37"/>
  <c r="K62" i="37"/>
  <c r="N62" i="37" s="1"/>
  <c r="E62" i="37"/>
  <c r="M61" i="37"/>
  <c r="N61" i="37" s="1"/>
  <c r="K61" i="37"/>
  <c r="E61" i="37"/>
  <c r="M60" i="37"/>
  <c r="N60" i="37" s="1"/>
  <c r="K60" i="37"/>
  <c r="E60" i="37"/>
  <c r="N59" i="37"/>
  <c r="M59" i="37"/>
  <c r="K59" i="37"/>
  <c r="E59" i="37"/>
  <c r="M58" i="37"/>
  <c r="K58" i="37"/>
  <c r="N58" i="37" s="1"/>
  <c r="E58" i="37"/>
  <c r="M57" i="37"/>
  <c r="K57" i="37"/>
  <c r="N57" i="37" s="1"/>
  <c r="E57" i="37"/>
  <c r="N56" i="37"/>
  <c r="M56" i="37"/>
  <c r="K56" i="37"/>
  <c r="E56" i="37"/>
  <c r="N55" i="37"/>
  <c r="M55" i="37"/>
  <c r="K55" i="37"/>
  <c r="E55" i="37"/>
  <c r="M54" i="37"/>
  <c r="K54" i="37"/>
  <c r="N54" i="37" s="1"/>
  <c r="E54" i="37"/>
  <c r="M53" i="37"/>
  <c r="N53" i="37" s="1"/>
  <c r="K53" i="37"/>
  <c r="E53" i="37"/>
  <c r="M52" i="37"/>
  <c r="N52" i="37" s="1"/>
  <c r="K52" i="37"/>
  <c r="E52" i="37"/>
  <c r="N51" i="37"/>
  <c r="M51" i="37"/>
  <c r="K51" i="37"/>
  <c r="E51" i="37"/>
  <c r="M50" i="37"/>
  <c r="K50" i="37"/>
  <c r="N50" i="37" s="1"/>
  <c r="E50" i="37"/>
  <c r="M49" i="37"/>
  <c r="K49" i="37"/>
  <c r="N49" i="37" s="1"/>
  <c r="E49" i="37"/>
  <c r="N48" i="37"/>
  <c r="M48" i="37"/>
  <c r="K48" i="37"/>
  <c r="E48" i="37"/>
  <c r="N47" i="37"/>
  <c r="M47" i="37"/>
  <c r="K47" i="37"/>
  <c r="E47" i="37"/>
  <c r="M46" i="37"/>
  <c r="K46" i="37"/>
  <c r="N46" i="37" s="1"/>
  <c r="E46" i="37"/>
  <c r="M45" i="37"/>
  <c r="N45" i="37" s="1"/>
  <c r="K45" i="37"/>
  <c r="E45" i="37"/>
  <c r="M44" i="37"/>
  <c r="N44" i="37" s="1"/>
  <c r="K44" i="37"/>
  <c r="E44" i="37"/>
  <c r="N43" i="37"/>
  <c r="M43" i="37"/>
  <c r="K43" i="37"/>
  <c r="E43" i="37"/>
  <c r="M42" i="37"/>
  <c r="K42" i="37"/>
  <c r="N42" i="37" s="1"/>
  <c r="E42" i="37"/>
  <c r="M41" i="37"/>
  <c r="K41" i="37"/>
  <c r="N41" i="37" s="1"/>
  <c r="E41" i="37"/>
  <c r="N40" i="37"/>
  <c r="M40" i="37"/>
  <c r="K40" i="37"/>
  <c r="E40" i="37"/>
  <c r="N39" i="37"/>
  <c r="M39" i="37"/>
  <c r="K39" i="37"/>
  <c r="E39" i="37"/>
  <c r="M38" i="37"/>
  <c r="K38" i="37"/>
  <c r="N38" i="37" s="1"/>
  <c r="E38" i="37"/>
  <c r="M37" i="37"/>
  <c r="N37" i="37" s="1"/>
  <c r="K37" i="37"/>
  <c r="E37" i="37"/>
  <c r="M36" i="37"/>
  <c r="N36" i="37" s="1"/>
  <c r="K36" i="37"/>
  <c r="E36" i="37"/>
  <c r="N35" i="37"/>
  <c r="M35" i="37"/>
  <c r="K35" i="37"/>
  <c r="E35" i="37"/>
  <c r="M34" i="37"/>
  <c r="K34" i="37"/>
  <c r="N34" i="37" s="1"/>
  <c r="E34" i="37"/>
  <c r="M33" i="37"/>
  <c r="K33" i="37"/>
  <c r="N33" i="37" s="1"/>
  <c r="E33" i="37"/>
  <c r="N32" i="37"/>
  <c r="M32" i="37"/>
  <c r="K32" i="37"/>
  <c r="E32" i="37"/>
  <c r="N31" i="37"/>
  <c r="M31" i="37"/>
  <c r="K31" i="37"/>
  <c r="E31" i="37"/>
  <c r="M30" i="37"/>
  <c r="K30" i="37"/>
  <c r="N30" i="37" s="1"/>
  <c r="E30" i="37"/>
  <c r="M29" i="37"/>
  <c r="N29" i="37" s="1"/>
  <c r="K29" i="37"/>
  <c r="E29" i="37"/>
  <c r="M28" i="37"/>
  <c r="N28" i="37" s="1"/>
  <c r="K28" i="37"/>
  <c r="E28" i="37"/>
  <c r="N27" i="37"/>
  <c r="M27" i="37"/>
  <c r="K27" i="37"/>
  <c r="E27" i="37"/>
  <c r="M26" i="37"/>
  <c r="K26" i="37"/>
  <c r="N26" i="37" s="1"/>
  <c r="E26" i="37"/>
  <c r="M25" i="37"/>
  <c r="K25" i="37"/>
  <c r="N25" i="37" s="1"/>
  <c r="E25" i="37"/>
  <c r="N24" i="37"/>
  <c r="M24" i="37"/>
  <c r="K24" i="37"/>
  <c r="E24" i="37"/>
  <c r="N23" i="37"/>
  <c r="M23" i="37"/>
  <c r="K23" i="37"/>
  <c r="E23" i="37"/>
  <c r="M22" i="37"/>
  <c r="K22" i="37"/>
  <c r="N22" i="37" s="1"/>
  <c r="E22" i="37"/>
  <c r="M21" i="37"/>
  <c r="N21" i="37" s="1"/>
  <c r="K21" i="37"/>
  <c r="E21" i="37"/>
  <c r="M20" i="37"/>
  <c r="N20" i="37" s="1"/>
  <c r="K20" i="37"/>
  <c r="E20" i="37"/>
  <c r="N19" i="37"/>
  <c r="M19" i="37"/>
  <c r="K19" i="37"/>
  <c r="E19" i="37"/>
  <c r="M18" i="37"/>
  <c r="K18" i="37"/>
  <c r="N18" i="37" s="1"/>
  <c r="E18" i="37"/>
  <c r="M17" i="37"/>
  <c r="K17" i="37"/>
  <c r="N17" i="37" s="1"/>
  <c r="E17" i="37"/>
  <c r="N16" i="37"/>
  <c r="M16" i="37"/>
  <c r="K16" i="37"/>
  <c r="E16" i="37"/>
  <c r="N15" i="37"/>
  <c r="M15" i="37"/>
  <c r="K15" i="37"/>
  <c r="E15" i="37"/>
  <c r="M14" i="37"/>
  <c r="K14" i="37"/>
  <c r="N14" i="37" s="1"/>
  <c r="E14" i="37"/>
  <c r="M13" i="37"/>
  <c r="N13" i="37" s="1"/>
  <c r="K13" i="37"/>
  <c r="E13" i="37"/>
  <c r="M12" i="37"/>
  <c r="N12" i="37" s="1"/>
  <c r="K12" i="37"/>
  <c r="E12" i="37"/>
  <c r="N11" i="37"/>
  <c r="M11" i="37"/>
  <c r="K11" i="37"/>
  <c r="E11" i="37"/>
  <c r="M10" i="37"/>
  <c r="K10" i="37"/>
  <c r="N10" i="37" s="1"/>
  <c r="E10" i="37"/>
  <c r="M9" i="37"/>
  <c r="K9" i="37"/>
  <c r="E9" i="37"/>
  <c r="N8" i="37"/>
  <c r="M8" i="37"/>
  <c r="K8" i="37"/>
  <c r="E8" i="37"/>
  <c r="N7" i="37"/>
  <c r="M7" i="37"/>
  <c r="K7" i="37"/>
  <c r="E7" i="37"/>
  <c r="M6" i="37"/>
  <c r="K6" i="37"/>
  <c r="N6" i="37" s="1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K133" i="36"/>
  <c r="N133" i="36" s="1"/>
  <c r="E133" i="36"/>
  <c r="B133" i="36"/>
  <c r="N132" i="36"/>
  <c r="M132" i="36"/>
  <c r="K132" i="36"/>
  <c r="E132" i="36"/>
  <c r="B132" i="36"/>
  <c r="M131" i="36"/>
  <c r="K131" i="36"/>
  <c r="N131" i="36" s="1"/>
  <c r="E131" i="36"/>
  <c r="B131" i="36"/>
  <c r="N130" i="36"/>
  <c r="M130" i="36"/>
  <c r="K130" i="36"/>
  <c r="E130" i="36"/>
  <c r="B130" i="36"/>
  <c r="M129" i="36"/>
  <c r="K129" i="36"/>
  <c r="N129" i="36" s="1"/>
  <c r="E129" i="36"/>
  <c r="B129" i="36"/>
  <c r="N128" i="36"/>
  <c r="M128" i="36"/>
  <c r="K128" i="36"/>
  <c r="E128" i="36"/>
  <c r="B128" i="36"/>
  <c r="M127" i="36"/>
  <c r="K127" i="36"/>
  <c r="N127" i="36" s="1"/>
  <c r="E127" i="36"/>
  <c r="B127" i="36"/>
  <c r="M126" i="36"/>
  <c r="N126" i="36" s="1"/>
  <c r="K126" i="36"/>
  <c r="E126" i="36"/>
  <c r="B126" i="36"/>
  <c r="M125" i="36"/>
  <c r="K125" i="36"/>
  <c r="N125" i="36" s="1"/>
  <c r="E125" i="36"/>
  <c r="B125" i="36"/>
  <c r="N124" i="36"/>
  <c r="M124" i="36"/>
  <c r="K124" i="36"/>
  <c r="E124" i="36"/>
  <c r="B124" i="36"/>
  <c r="M123" i="36"/>
  <c r="K123" i="36"/>
  <c r="N123" i="36" s="1"/>
  <c r="E123" i="36"/>
  <c r="B123" i="36"/>
  <c r="N122" i="36"/>
  <c r="M122" i="36"/>
  <c r="K122" i="36"/>
  <c r="E122" i="36"/>
  <c r="B122" i="36"/>
  <c r="M121" i="36"/>
  <c r="K121" i="36"/>
  <c r="N121" i="36" s="1"/>
  <c r="E121" i="36"/>
  <c r="B121" i="36"/>
  <c r="N120" i="36"/>
  <c r="M120" i="36"/>
  <c r="K120" i="36"/>
  <c r="E120" i="36"/>
  <c r="N119" i="36"/>
  <c r="M119" i="36"/>
  <c r="K119" i="36"/>
  <c r="E119" i="36"/>
  <c r="M118" i="36"/>
  <c r="K118" i="36"/>
  <c r="N118" i="36" s="1"/>
  <c r="E118" i="36"/>
  <c r="M117" i="36"/>
  <c r="N117" i="36" s="1"/>
  <c r="K117" i="36"/>
  <c r="E117" i="36"/>
  <c r="M116" i="36"/>
  <c r="N116" i="36" s="1"/>
  <c r="K116" i="36"/>
  <c r="E116" i="36"/>
  <c r="N115" i="36"/>
  <c r="M115" i="36"/>
  <c r="K115" i="36"/>
  <c r="E115" i="36"/>
  <c r="M114" i="36"/>
  <c r="K114" i="36"/>
  <c r="N114" i="36" s="1"/>
  <c r="E114" i="36"/>
  <c r="M113" i="36"/>
  <c r="K113" i="36"/>
  <c r="N113" i="36" s="1"/>
  <c r="E113" i="36"/>
  <c r="N112" i="36"/>
  <c r="M112" i="36"/>
  <c r="K112" i="36"/>
  <c r="E112" i="36"/>
  <c r="N111" i="36"/>
  <c r="M111" i="36"/>
  <c r="K111" i="36"/>
  <c r="E111" i="36"/>
  <c r="M110" i="36"/>
  <c r="K110" i="36"/>
  <c r="N110" i="36" s="1"/>
  <c r="E110" i="36"/>
  <c r="M109" i="36"/>
  <c r="N109" i="36" s="1"/>
  <c r="K109" i="36"/>
  <c r="E109" i="36"/>
  <c r="M108" i="36"/>
  <c r="N108" i="36" s="1"/>
  <c r="K108" i="36"/>
  <c r="E108" i="36"/>
  <c r="N107" i="36"/>
  <c r="M107" i="36"/>
  <c r="K107" i="36"/>
  <c r="E107" i="36"/>
  <c r="M106" i="36"/>
  <c r="K106" i="36"/>
  <c r="E106" i="36"/>
  <c r="M105" i="36"/>
  <c r="K105" i="36"/>
  <c r="E105" i="36"/>
  <c r="N104" i="36"/>
  <c r="M104" i="36"/>
  <c r="K104" i="36"/>
  <c r="E104" i="36"/>
  <c r="B104" i="36"/>
  <c r="M103" i="36"/>
  <c r="K103" i="36"/>
  <c r="N103" i="36" s="1"/>
  <c r="E103" i="36"/>
  <c r="B103" i="36"/>
  <c r="M102" i="36"/>
  <c r="N102" i="36" s="1"/>
  <c r="K102" i="36"/>
  <c r="E102" i="36"/>
  <c r="N101" i="36"/>
  <c r="M101" i="36"/>
  <c r="K101" i="36"/>
  <c r="E101" i="36"/>
  <c r="M100" i="36"/>
  <c r="K100" i="36"/>
  <c r="N100" i="36" s="1"/>
  <c r="E100" i="36"/>
  <c r="M99" i="36"/>
  <c r="K99" i="36"/>
  <c r="N99" i="36" s="1"/>
  <c r="E99" i="36"/>
  <c r="N98" i="36"/>
  <c r="M98" i="36"/>
  <c r="K98" i="36"/>
  <c r="E98" i="36"/>
  <c r="M97" i="36"/>
  <c r="K97" i="36"/>
  <c r="N97" i="36" s="1"/>
  <c r="E97" i="36"/>
  <c r="M96" i="36"/>
  <c r="K96" i="36"/>
  <c r="N96" i="36" s="1"/>
  <c r="E96" i="36"/>
  <c r="M95" i="36"/>
  <c r="N95" i="36" s="1"/>
  <c r="K95" i="36"/>
  <c r="E95" i="36"/>
  <c r="N94" i="36"/>
  <c r="M94" i="36"/>
  <c r="K94" i="36"/>
  <c r="E94" i="36"/>
  <c r="N93" i="36"/>
  <c r="M93" i="36"/>
  <c r="K93" i="36"/>
  <c r="E93" i="36"/>
  <c r="M92" i="36"/>
  <c r="K92" i="36"/>
  <c r="N92" i="36" s="1"/>
  <c r="E92" i="36"/>
  <c r="M91" i="36"/>
  <c r="K91" i="36"/>
  <c r="N91" i="36" s="1"/>
  <c r="E91" i="36"/>
  <c r="N90" i="36"/>
  <c r="M90" i="36"/>
  <c r="K90" i="36"/>
  <c r="E90" i="36"/>
  <c r="N89" i="36"/>
  <c r="M89" i="36"/>
  <c r="K89" i="36"/>
  <c r="E89" i="36"/>
  <c r="M88" i="36"/>
  <c r="K88" i="36"/>
  <c r="N88" i="36" s="1"/>
  <c r="E88" i="36"/>
  <c r="N87" i="36"/>
  <c r="M87" i="36"/>
  <c r="K87" i="36"/>
  <c r="E87" i="36"/>
  <c r="M86" i="36"/>
  <c r="N86" i="36" s="1"/>
  <c r="K86" i="36"/>
  <c r="E86" i="36"/>
  <c r="N85" i="36"/>
  <c r="M85" i="36"/>
  <c r="K85" i="36"/>
  <c r="E85" i="36"/>
  <c r="M84" i="36"/>
  <c r="K84" i="36"/>
  <c r="N84" i="36" s="1"/>
  <c r="E84" i="36"/>
  <c r="M83" i="36"/>
  <c r="K83" i="36"/>
  <c r="N83" i="36" s="1"/>
  <c r="E83" i="36"/>
  <c r="N82" i="36"/>
  <c r="M82" i="36"/>
  <c r="K82" i="36"/>
  <c r="E82" i="36"/>
  <c r="N81" i="36"/>
  <c r="M81" i="36"/>
  <c r="K81" i="36"/>
  <c r="E81" i="36"/>
  <c r="M80" i="36"/>
  <c r="K80" i="36"/>
  <c r="N80" i="36" s="1"/>
  <c r="E80" i="36"/>
  <c r="M79" i="36"/>
  <c r="N79" i="36" s="1"/>
  <c r="K79" i="36"/>
  <c r="E79" i="36"/>
  <c r="M78" i="36"/>
  <c r="N78" i="36" s="1"/>
  <c r="K78" i="36"/>
  <c r="E78" i="36"/>
  <c r="N77" i="36"/>
  <c r="M77" i="36"/>
  <c r="K77" i="36"/>
  <c r="E77" i="36"/>
  <c r="M76" i="36"/>
  <c r="K76" i="36"/>
  <c r="E76" i="36"/>
  <c r="M75" i="36"/>
  <c r="K75" i="36"/>
  <c r="E75" i="36"/>
  <c r="N74" i="36"/>
  <c r="M74" i="36"/>
  <c r="K74" i="36"/>
  <c r="E74" i="36"/>
  <c r="M73" i="36"/>
  <c r="K73" i="36"/>
  <c r="N73" i="36" s="1"/>
  <c r="E73" i="36"/>
  <c r="M72" i="36"/>
  <c r="K72" i="36"/>
  <c r="N72" i="36" s="1"/>
  <c r="E72" i="36"/>
  <c r="M71" i="36"/>
  <c r="N71" i="36" s="1"/>
  <c r="K71" i="36"/>
  <c r="E71" i="36"/>
  <c r="M70" i="36"/>
  <c r="N70" i="36" s="1"/>
  <c r="K70" i="36"/>
  <c r="E70" i="36"/>
  <c r="N69" i="36"/>
  <c r="M69" i="36"/>
  <c r="K69" i="36"/>
  <c r="E69" i="36"/>
  <c r="M68" i="36"/>
  <c r="K68" i="36"/>
  <c r="N68" i="36" s="1"/>
  <c r="E68" i="36"/>
  <c r="M67" i="36"/>
  <c r="K67" i="36"/>
  <c r="N67" i="36" s="1"/>
  <c r="E67" i="36"/>
  <c r="N66" i="36"/>
  <c r="M66" i="36"/>
  <c r="K66" i="36"/>
  <c r="E66" i="36"/>
  <c r="M65" i="36"/>
  <c r="K65" i="36"/>
  <c r="N65" i="36" s="1"/>
  <c r="E65" i="36"/>
  <c r="M64" i="36"/>
  <c r="K64" i="36"/>
  <c r="N64" i="36" s="1"/>
  <c r="E64" i="36"/>
  <c r="M63" i="36"/>
  <c r="N63" i="36" s="1"/>
  <c r="K63" i="36"/>
  <c r="E63" i="36"/>
  <c r="N62" i="36"/>
  <c r="M62" i="36"/>
  <c r="K62" i="36"/>
  <c r="E62" i="36"/>
  <c r="N61" i="36"/>
  <c r="M61" i="36"/>
  <c r="K61" i="36"/>
  <c r="E61" i="36"/>
  <c r="M60" i="36"/>
  <c r="K60" i="36"/>
  <c r="N60" i="36" s="1"/>
  <c r="E60" i="36"/>
  <c r="M59" i="36"/>
  <c r="K59" i="36"/>
  <c r="N59" i="36" s="1"/>
  <c r="E59" i="36"/>
  <c r="M58" i="36"/>
  <c r="N58" i="36" s="1"/>
  <c r="K58" i="36"/>
  <c r="E58" i="36"/>
  <c r="N57" i="36"/>
  <c r="M57" i="36"/>
  <c r="K57" i="36"/>
  <c r="E57" i="36"/>
  <c r="M56" i="36"/>
  <c r="K56" i="36"/>
  <c r="N56" i="36" s="1"/>
  <c r="E56" i="36"/>
  <c r="N55" i="36"/>
  <c r="M55" i="36"/>
  <c r="K55" i="36"/>
  <c r="E55" i="36"/>
  <c r="N54" i="36"/>
  <c r="M54" i="36"/>
  <c r="K54" i="36"/>
  <c r="E54" i="36"/>
  <c r="N53" i="36"/>
  <c r="M53" i="36"/>
  <c r="K53" i="36"/>
  <c r="E53" i="36"/>
  <c r="M52" i="36"/>
  <c r="K52" i="36"/>
  <c r="N52" i="36" s="1"/>
  <c r="E52" i="36"/>
  <c r="M51" i="36"/>
  <c r="K51" i="36"/>
  <c r="N51" i="36" s="1"/>
  <c r="E51" i="36"/>
  <c r="M50" i="36"/>
  <c r="N50" i="36" s="1"/>
  <c r="K50" i="36"/>
  <c r="E50" i="36"/>
  <c r="N49" i="36"/>
  <c r="M49" i="36"/>
  <c r="K49" i="36"/>
  <c r="E49" i="36"/>
  <c r="M48" i="36"/>
  <c r="K48" i="36"/>
  <c r="N48" i="36" s="1"/>
  <c r="E48" i="36"/>
  <c r="M47" i="36"/>
  <c r="K47" i="36"/>
  <c r="N47" i="36" s="1"/>
  <c r="E47" i="36"/>
  <c r="M46" i="36"/>
  <c r="N46" i="36" s="1"/>
  <c r="K46" i="36"/>
  <c r="E46" i="36"/>
  <c r="N45" i="36"/>
  <c r="M45" i="36"/>
  <c r="K45" i="36"/>
  <c r="E45" i="36"/>
  <c r="M44" i="36"/>
  <c r="K44" i="36"/>
  <c r="E44" i="36"/>
  <c r="M43" i="36"/>
  <c r="K43" i="36"/>
  <c r="E43" i="36"/>
  <c r="N42" i="36"/>
  <c r="M42" i="36"/>
  <c r="K42" i="36"/>
  <c r="E42" i="36"/>
  <c r="M41" i="36"/>
  <c r="K41" i="36"/>
  <c r="N41" i="36" s="1"/>
  <c r="E41" i="36"/>
  <c r="M40" i="36"/>
  <c r="K40" i="36"/>
  <c r="N40" i="36" s="1"/>
  <c r="E40" i="36"/>
  <c r="M39" i="36"/>
  <c r="K39" i="36"/>
  <c r="N39" i="36" s="1"/>
  <c r="E39" i="36"/>
  <c r="M38" i="36"/>
  <c r="N38" i="36" s="1"/>
  <c r="K38" i="36"/>
  <c r="E38" i="36"/>
  <c r="N37" i="36"/>
  <c r="M37" i="36"/>
  <c r="K37" i="36"/>
  <c r="E37" i="36"/>
  <c r="M36" i="36"/>
  <c r="K36" i="36"/>
  <c r="E36" i="36"/>
  <c r="M35" i="36"/>
  <c r="K35" i="36"/>
  <c r="E35" i="36"/>
  <c r="N34" i="36"/>
  <c r="M34" i="36"/>
  <c r="K34" i="36"/>
  <c r="E34" i="36"/>
  <c r="M33" i="36"/>
  <c r="K33" i="36"/>
  <c r="N33" i="36" s="1"/>
  <c r="E33" i="36"/>
  <c r="M32" i="36"/>
  <c r="K32" i="36"/>
  <c r="N32" i="36" s="1"/>
  <c r="E32" i="36"/>
  <c r="M31" i="36"/>
  <c r="N31" i="36" s="1"/>
  <c r="K31" i="36"/>
  <c r="E31" i="36"/>
  <c r="N30" i="36"/>
  <c r="M30" i="36"/>
  <c r="K30" i="36"/>
  <c r="E30" i="36"/>
  <c r="N29" i="36"/>
  <c r="M29" i="36"/>
  <c r="K29" i="36"/>
  <c r="E29" i="36"/>
  <c r="M28" i="36"/>
  <c r="K28" i="36"/>
  <c r="N28" i="36" s="1"/>
  <c r="E28" i="36"/>
  <c r="M27" i="36"/>
  <c r="K27" i="36"/>
  <c r="N27" i="36" s="1"/>
  <c r="E27" i="36"/>
  <c r="M26" i="36"/>
  <c r="N26" i="36" s="1"/>
  <c r="K26" i="36"/>
  <c r="E26" i="36"/>
  <c r="M25" i="36"/>
  <c r="K25" i="36"/>
  <c r="N25" i="36" s="1"/>
  <c r="E25" i="36"/>
  <c r="M24" i="36"/>
  <c r="K24" i="36"/>
  <c r="N24" i="36" s="1"/>
  <c r="E24" i="36"/>
  <c r="N23" i="36"/>
  <c r="M23" i="36"/>
  <c r="K23" i="36"/>
  <c r="E23" i="36"/>
  <c r="N22" i="36"/>
  <c r="M22" i="36"/>
  <c r="K22" i="36"/>
  <c r="E22" i="36"/>
  <c r="N21" i="36"/>
  <c r="M21" i="36"/>
  <c r="K21" i="36"/>
  <c r="E21" i="36"/>
  <c r="M20" i="36"/>
  <c r="K20" i="36"/>
  <c r="N20" i="36" s="1"/>
  <c r="E20" i="36"/>
  <c r="M19" i="36"/>
  <c r="K19" i="36"/>
  <c r="N19" i="36" s="1"/>
  <c r="E19" i="36"/>
  <c r="M18" i="36"/>
  <c r="N18" i="36" s="1"/>
  <c r="K18" i="36"/>
  <c r="E18" i="36"/>
  <c r="N17" i="36"/>
  <c r="M17" i="36"/>
  <c r="K17" i="36"/>
  <c r="E17" i="36"/>
  <c r="M16" i="36"/>
  <c r="K16" i="36"/>
  <c r="N16" i="36" s="1"/>
  <c r="E16" i="36"/>
  <c r="M15" i="36"/>
  <c r="K15" i="36"/>
  <c r="N15" i="36" s="1"/>
  <c r="E15" i="36"/>
  <c r="M14" i="36"/>
  <c r="N14" i="36" s="1"/>
  <c r="K14" i="36"/>
  <c r="E14" i="36"/>
  <c r="M13" i="36"/>
  <c r="K13" i="36"/>
  <c r="N13" i="36" s="1"/>
  <c r="E13" i="36"/>
  <c r="M12" i="36"/>
  <c r="K12" i="36"/>
  <c r="E12" i="36"/>
  <c r="N11" i="36"/>
  <c r="M11" i="36"/>
  <c r="K11" i="36"/>
  <c r="E11" i="36"/>
  <c r="M10" i="36"/>
  <c r="N10" i="36" s="1"/>
  <c r="K10" i="36"/>
  <c r="E10" i="36"/>
  <c r="M9" i="36"/>
  <c r="K9" i="36"/>
  <c r="N9" i="36" s="1"/>
  <c r="E9" i="36"/>
  <c r="M8" i="36"/>
  <c r="K8" i="36"/>
  <c r="N8" i="36" s="1"/>
  <c r="E8" i="36"/>
  <c r="M7" i="36"/>
  <c r="N7" i="36" s="1"/>
  <c r="K7" i="36"/>
  <c r="E7" i="36"/>
  <c r="N6" i="36"/>
  <c r="M6" i="36"/>
  <c r="K6" i="36"/>
  <c r="E6" i="36"/>
  <c r="M5" i="36"/>
  <c r="K5" i="36"/>
  <c r="N5" i="36" s="1"/>
  <c r="E5" i="36"/>
  <c r="M4" i="36"/>
  <c r="K4" i="36"/>
  <c r="E4" i="36"/>
  <c r="V2" i="36"/>
  <c r="U2" i="36"/>
  <c r="T2" i="36"/>
  <c r="S2" i="36"/>
  <c r="R2" i="36"/>
  <c r="Q2" i="36"/>
  <c r="P2" i="36"/>
  <c r="M2" i="36" s="1"/>
  <c r="O2" i="36"/>
  <c r="L2" i="36"/>
  <c r="J2" i="36"/>
  <c r="I2" i="36"/>
  <c r="H2" i="36"/>
  <c r="N2" i="36" s="1"/>
  <c r="G2" i="36"/>
  <c r="F2" i="36"/>
  <c r="E2" i="36"/>
  <c r="M134" i="35"/>
  <c r="K134" i="35"/>
  <c r="E134" i="35"/>
  <c r="B134" i="35"/>
  <c r="M133" i="35"/>
  <c r="N133" i="35" s="1"/>
  <c r="K133" i="35"/>
  <c r="E133" i="35"/>
  <c r="B133" i="35"/>
  <c r="M132" i="35"/>
  <c r="K132" i="35"/>
  <c r="N132" i="35" s="1"/>
  <c r="E132" i="35"/>
  <c r="B132" i="35"/>
  <c r="N131" i="35"/>
  <c r="M131" i="35"/>
  <c r="K131" i="35"/>
  <c r="E131" i="35"/>
  <c r="B131" i="35"/>
  <c r="M130" i="35"/>
  <c r="K130" i="35"/>
  <c r="E130" i="35"/>
  <c r="B130" i="35"/>
  <c r="M129" i="35"/>
  <c r="N129" i="35" s="1"/>
  <c r="K129" i="35"/>
  <c r="E129" i="35"/>
  <c r="B129" i="35"/>
  <c r="M128" i="35"/>
  <c r="K128" i="35"/>
  <c r="N128" i="35" s="1"/>
  <c r="E128" i="35"/>
  <c r="B128" i="35"/>
  <c r="N127" i="35"/>
  <c r="M127" i="35"/>
  <c r="K127" i="35"/>
  <c r="E127" i="35"/>
  <c r="B127" i="35"/>
  <c r="M126" i="35"/>
  <c r="K126" i="35"/>
  <c r="E126" i="35"/>
  <c r="B126" i="35"/>
  <c r="M125" i="35"/>
  <c r="N125" i="35" s="1"/>
  <c r="K125" i="35"/>
  <c r="E125" i="35"/>
  <c r="B125" i="35"/>
  <c r="M124" i="35"/>
  <c r="K124" i="35"/>
  <c r="N124" i="35" s="1"/>
  <c r="E124" i="35"/>
  <c r="B124" i="35"/>
  <c r="N123" i="35"/>
  <c r="M123" i="35"/>
  <c r="K123" i="35"/>
  <c r="E123" i="35"/>
  <c r="B123" i="35"/>
  <c r="M122" i="35"/>
  <c r="K122" i="35"/>
  <c r="N122" i="35" s="1"/>
  <c r="E122" i="35"/>
  <c r="B122" i="35"/>
  <c r="M121" i="35"/>
  <c r="N121" i="35" s="1"/>
  <c r="K121" i="35"/>
  <c r="E121" i="35"/>
  <c r="B121" i="35"/>
  <c r="M120" i="35"/>
  <c r="K120" i="35"/>
  <c r="N120" i="35" s="1"/>
  <c r="E120" i="35"/>
  <c r="B120" i="35"/>
  <c r="M119" i="35"/>
  <c r="N119" i="35" s="1"/>
  <c r="K119" i="35"/>
  <c r="E119" i="35"/>
  <c r="B119" i="35"/>
  <c r="M118" i="35"/>
  <c r="K118" i="35"/>
  <c r="E118" i="35"/>
  <c r="B118" i="35"/>
  <c r="M117" i="35"/>
  <c r="N117" i="35" s="1"/>
  <c r="K117" i="35"/>
  <c r="E117" i="35"/>
  <c r="B117" i="35"/>
  <c r="M116" i="35"/>
  <c r="K116" i="35"/>
  <c r="N116" i="35" s="1"/>
  <c r="E116" i="35"/>
  <c r="B116" i="35"/>
  <c r="N115" i="35"/>
  <c r="M115" i="35"/>
  <c r="K115" i="35"/>
  <c r="E115" i="35"/>
  <c r="B115" i="35"/>
  <c r="M114" i="35"/>
  <c r="K114" i="35"/>
  <c r="E114" i="35"/>
  <c r="B114" i="35"/>
  <c r="M113" i="35"/>
  <c r="N113" i="35" s="1"/>
  <c r="K113" i="35"/>
  <c r="E113" i="35"/>
  <c r="B113" i="35"/>
  <c r="M112" i="35"/>
  <c r="K112" i="35"/>
  <c r="N112" i="35" s="1"/>
  <c r="E112" i="35"/>
  <c r="B112" i="35"/>
  <c r="N111" i="35"/>
  <c r="M111" i="35"/>
  <c r="K111" i="35"/>
  <c r="E111" i="35"/>
  <c r="B111" i="35"/>
  <c r="M110" i="35"/>
  <c r="K110" i="35"/>
  <c r="E110" i="35"/>
  <c r="B110" i="35"/>
  <c r="M109" i="35"/>
  <c r="N109" i="35" s="1"/>
  <c r="K109" i="35"/>
  <c r="E109" i="35"/>
  <c r="B109" i="35"/>
  <c r="M108" i="35"/>
  <c r="K108" i="35"/>
  <c r="N108" i="35" s="1"/>
  <c r="E108" i="35"/>
  <c r="B108" i="35"/>
  <c r="N107" i="35"/>
  <c r="M107" i="35"/>
  <c r="K107" i="35"/>
  <c r="E107" i="35"/>
  <c r="B107" i="35"/>
  <c r="M106" i="35"/>
  <c r="K106" i="35"/>
  <c r="N106" i="35" s="1"/>
  <c r="E106" i="35"/>
  <c r="B106" i="35"/>
  <c r="M105" i="35"/>
  <c r="N105" i="35" s="1"/>
  <c r="K105" i="35"/>
  <c r="E105" i="35"/>
  <c r="B105" i="35"/>
  <c r="M104" i="35"/>
  <c r="K104" i="35"/>
  <c r="N104" i="35" s="1"/>
  <c r="E104" i="35"/>
  <c r="B104" i="35"/>
  <c r="M103" i="35"/>
  <c r="N103" i="35" s="1"/>
  <c r="K103" i="35"/>
  <c r="E103" i="35"/>
  <c r="B103" i="35"/>
  <c r="M102" i="35"/>
  <c r="K102" i="35"/>
  <c r="E102" i="35"/>
  <c r="B102" i="35"/>
  <c r="M101" i="35"/>
  <c r="N101" i="35" s="1"/>
  <c r="K101" i="35"/>
  <c r="E101" i="35"/>
  <c r="B101" i="35"/>
  <c r="M100" i="35"/>
  <c r="K100" i="35"/>
  <c r="N100" i="35" s="1"/>
  <c r="E100" i="35"/>
  <c r="B100" i="35"/>
  <c r="N99" i="35"/>
  <c r="M99" i="35"/>
  <c r="K99" i="35"/>
  <c r="E99" i="35"/>
  <c r="B99" i="35"/>
  <c r="M98" i="35"/>
  <c r="K98" i="35"/>
  <c r="E98" i="35"/>
  <c r="B98" i="35"/>
  <c r="M97" i="35"/>
  <c r="N97" i="35" s="1"/>
  <c r="K97" i="35"/>
  <c r="E97" i="35"/>
  <c r="B97" i="35"/>
  <c r="M96" i="35"/>
  <c r="K96" i="35"/>
  <c r="N96" i="35" s="1"/>
  <c r="E96" i="35"/>
  <c r="B96" i="35"/>
  <c r="N95" i="35"/>
  <c r="M95" i="35"/>
  <c r="K95" i="35"/>
  <c r="E95" i="35"/>
  <c r="B95" i="35"/>
  <c r="M94" i="35"/>
  <c r="K94" i="35"/>
  <c r="E94" i="35"/>
  <c r="B94" i="35"/>
  <c r="M93" i="35"/>
  <c r="N93" i="35" s="1"/>
  <c r="K93" i="35"/>
  <c r="E93" i="35"/>
  <c r="B93" i="35"/>
  <c r="M92" i="35"/>
  <c r="K92" i="35"/>
  <c r="N92" i="35" s="1"/>
  <c r="E92" i="35"/>
  <c r="B92" i="35"/>
  <c r="N91" i="35"/>
  <c r="M91" i="35"/>
  <c r="K91" i="35"/>
  <c r="E91" i="35"/>
  <c r="B91" i="35"/>
  <c r="M90" i="35"/>
  <c r="K90" i="35"/>
  <c r="N90" i="35" s="1"/>
  <c r="E90" i="35"/>
  <c r="B90" i="35"/>
  <c r="M89" i="35"/>
  <c r="N89" i="35" s="1"/>
  <c r="K89" i="35"/>
  <c r="E89" i="35"/>
  <c r="B89" i="35"/>
  <c r="M88" i="35"/>
  <c r="K88" i="35"/>
  <c r="E88" i="35"/>
  <c r="B88" i="35"/>
  <c r="M87" i="35"/>
  <c r="K87" i="35"/>
  <c r="N87" i="35" s="1"/>
  <c r="E87" i="35"/>
  <c r="B87" i="35"/>
  <c r="N86" i="35"/>
  <c r="M86" i="35"/>
  <c r="K86" i="35"/>
  <c r="E86" i="35"/>
  <c r="B86" i="35"/>
  <c r="M85" i="35"/>
  <c r="K85" i="35"/>
  <c r="N85" i="35" s="1"/>
  <c r="E85" i="35"/>
  <c r="B85" i="35"/>
  <c r="N84" i="35"/>
  <c r="M84" i="35"/>
  <c r="K84" i="35"/>
  <c r="E84" i="35"/>
  <c r="B84" i="35"/>
  <c r="M83" i="35"/>
  <c r="K83" i="35"/>
  <c r="N83" i="35" s="1"/>
  <c r="E83" i="35"/>
  <c r="B83" i="35"/>
  <c r="N82" i="35"/>
  <c r="M82" i="35"/>
  <c r="K82" i="35"/>
  <c r="E82" i="35"/>
  <c r="B82" i="35"/>
  <c r="M81" i="35"/>
  <c r="K81" i="35"/>
  <c r="N81" i="35" s="1"/>
  <c r="E81" i="35"/>
  <c r="B81" i="35"/>
  <c r="N80" i="35"/>
  <c r="M80" i="35"/>
  <c r="K80" i="35"/>
  <c r="E80" i="35"/>
  <c r="B80" i="35"/>
  <c r="M79" i="35"/>
  <c r="K79" i="35"/>
  <c r="N79" i="35" s="1"/>
  <c r="E79" i="35"/>
  <c r="B79" i="35"/>
  <c r="N78" i="35"/>
  <c r="M78" i="35"/>
  <c r="K78" i="35"/>
  <c r="E78" i="35"/>
  <c r="B78" i="35"/>
  <c r="M77" i="35"/>
  <c r="K77" i="35"/>
  <c r="N77" i="35" s="1"/>
  <c r="E77" i="35"/>
  <c r="B77" i="35"/>
  <c r="N76" i="35"/>
  <c r="M76" i="35"/>
  <c r="K76" i="35"/>
  <c r="E76" i="35"/>
  <c r="B76" i="35"/>
  <c r="M75" i="35"/>
  <c r="K75" i="35"/>
  <c r="N75" i="35" s="1"/>
  <c r="E75" i="35"/>
  <c r="B75" i="35"/>
  <c r="N74" i="35"/>
  <c r="M74" i="35"/>
  <c r="K74" i="35"/>
  <c r="E74" i="35"/>
  <c r="B74" i="35"/>
  <c r="M73" i="35"/>
  <c r="K73" i="35"/>
  <c r="N73" i="35" s="1"/>
  <c r="E73" i="35"/>
  <c r="B73" i="35"/>
  <c r="N72" i="35"/>
  <c r="M72" i="35"/>
  <c r="K72" i="35"/>
  <c r="E72" i="35"/>
  <c r="B72" i="35"/>
  <c r="M71" i="35"/>
  <c r="K71" i="35"/>
  <c r="N71" i="35" s="1"/>
  <c r="E71" i="35"/>
  <c r="B71" i="35"/>
  <c r="N70" i="35"/>
  <c r="M70" i="35"/>
  <c r="K70" i="35"/>
  <c r="E70" i="35"/>
  <c r="B70" i="35"/>
  <c r="M69" i="35"/>
  <c r="K69" i="35"/>
  <c r="N69" i="35" s="1"/>
  <c r="E69" i="35"/>
  <c r="B69" i="35"/>
  <c r="N68" i="35"/>
  <c r="M68" i="35"/>
  <c r="K68" i="35"/>
  <c r="E68" i="35"/>
  <c r="B68" i="35"/>
  <c r="M67" i="35"/>
  <c r="K67" i="35"/>
  <c r="N67" i="35" s="1"/>
  <c r="E67" i="35"/>
  <c r="B67" i="35"/>
  <c r="N66" i="35"/>
  <c r="M66" i="35"/>
  <c r="K66" i="35"/>
  <c r="E66" i="35"/>
  <c r="B66" i="35"/>
  <c r="M65" i="35"/>
  <c r="K65" i="35"/>
  <c r="N65" i="35" s="1"/>
  <c r="E65" i="35"/>
  <c r="B65" i="35"/>
  <c r="N64" i="35"/>
  <c r="M64" i="35"/>
  <c r="K64" i="35"/>
  <c r="E64" i="35"/>
  <c r="B64" i="35"/>
  <c r="M63" i="35"/>
  <c r="K63" i="35"/>
  <c r="N63" i="35" s="1"/>
  <c r="E63" i="35"/>
  <c r="B63" i="35"/>
  <c r="N62" i="35"/>
  <c r="M62" i="35"/>
  <c r="K62" i="35"/>
  <c r="E62" i="35"/>
  <c r="B62" i="35"/>
  <c r="M61" i="35"/>
  <c r="K61" i="35"/>
  <c r="N61" i="35" s="1"/>
  <c r="E61" i="35"/>
  <c r="B61" i="35"/>
  <c r="N60" i="35"/>
  <c r="M60" i="35"/>
  <c r="K60" i="35"/>
  <c r="E60" i="35"/>
  <c r="B60" i="35"/>
  <c r="M59" i="35"/>
  <c r="K59" i="35"/>
  <c r="N59" i="35" s="1"/>
  <c r="E59" i="35"/>
  <c r="B59" i="35"/>
  <c r="N58" i="35"/>
  <c r="M58" i="35"/>
  <c r="K58" i="35"/>
  <c r="E58" i="35"/>
  <c r="B58" i="35"/>
  <c r="M57" i="35"/>
  <c r="K57" i="35"/>
  <c r="N57" i="35" s="1"/>
  <c r="E57" i="35"/>
  <c r="B57" i="35"/>
  <c r="N56" i="35"/>
  <c r="M56" i="35"/>
  <c r="K56" i="35"/>
  <c r="E56" i="35"/>
  <c r="B56" i="35"/>
  <c r="M55" i="35"/>
  <c r="K55" i="35"/>
  <c r="N55" i="35" s="1"/>
  <c r="E55" i="35"/>
  <c r="B55" i="35"/>
  <c r="N54" i="35"/>
  <c r="M54" i="35"/>
  <c r="K54" i="35"/>
  <c r="E54" i="35"/>
  <c r="B54" i="35"/>
  <c r="M53" i="35"/>
  <c r="K53" i="35"/>
  <c r="N53" i="35" s="1"/>
  <c r="E53" i="35"/>
  <c r="B53" i="35"/>
  <c r="N52" i="35"/>
  <c r="M52" i="35"/>
  <c r="K52" i="35"/>
  <c r="E52" i="35"/>
  <c r="B52" i="35"/>
  <c r="M51" i="35"/>
  <c r="K51" i="35"/>
  <c r="N51" i="35" s="1"/>
  <c r="E51" i="35"/>
  <c r="B51" i="35"/>
  <c r="N50" i="35"/>
  <c r="M50" i="35"/>
  <c r="K50" i="35"/>
  <c r="E50" i="35"/>
  <c r="B50" i="35"/>
  <c r="M49" i="35"/>
  <c r="K49" i="35"/>
  <c r="N49" i="35" s="1"/>
  <c r="E49" i="35"/>
  <c r="B49" i="35"/>
  <c r="N48" i="35"/>
  <c r="M48" i="35"/>
  <c r="K48" i="35"/>
  <c r="E48" i="35"/>
  <c r="B48" i="35"/>
  <c r="M47" i="35"/>
  <c r="K47" i="35"/>
  <c r="N47" i="35" s="1"/>
  <c r="E47" i="35"/>
  <c r="B47" i="35"/>
  <c r="N46" i="35"/>
  <c r="M46" i="35"/>
  <c r="K46" i="35"/>
  <c r="E46" i="35"/>
  <c r="B46" i="35"/>
  <c r="M45" i="35"/>
  <c r="K45" i="35"/>
  <c r="N45" i="35" s="1"/>
  <c r="E45" i="35"/>
  <c r="B45" i="35"/>
  <c r="N44" i="35"/>
  <c r="M44" i="35"/>
  <c r="K44" i="35"/>
  <c r="E44" i="35"/>
  <c r="B44" i="35"/>
  <c r="M43" i="35"/>
  <c r="K43" i="35"/>
  <c r="N43" i="35" s="1"/>
  <c r="E43" i="35"/>
  <c r="B43" i="35"/>
  <c r="N42" i="35"/>
  <c r="M42" i="35"/>
  <c r="K42" i="35"/>
  <c r="E42" i="35"/>
  <c r="B42" i="35"/>
  <c r="M41" i="35"/>
  <c r="K41" i="35"/>
  <c r="N41" i="35" s="1"/>
  <c r="E41" i="35"/>
  <c r="B41" i="35"/>
  <c r="N40" i="35"/>
  <c r="M40" i="35"/>
  <c r="K40" i="35"/>
  <c r="E40" i="35"/>
  <c r="B40" i="35"/>
  <c r="M39" i="35"/>
  <c r="K39" i="35"/>
  <c r="N39" i="35" s="1"/>
  <c r="E39" i="35"/>
  <c r="B39" i="35"/>
  <c r="N38" i="35"/>
  <c r="M38" i="35"/>
  <c r="K38" i="35"/>
  <c r="E38" i="35"/>
  <c r="B38" i="35"/>
  <c r="M37" i="35"/>
  <c r="K37" i="35"/>
  <c r="N37" i="35" s="1"/>
  <c r="E37" i="35"/>
  <c r="B37" i="35"/>
  <c r="N36" i="35"/>
  <c r="M36" i="35"/>
  <c r="K36" i="35"/>
  <c r="E36" i="35"/>
  <c r="B36" i="35"/>
  <c r="M35" i="35"/>
  <c r="K35" i="35"/>
  <c r="N35" i="35" s="1"/>
  <c r="E35" i="35"/>
  <c r="B35" i="35"/>
  <c r="N34" i="35"/>
  <c r="M34" i="35"/>
  <c r="K34" i="35"/>
  <c r="E34" i="35"/>
  <c r="B34" i="35"/>
  <c r="M33" i="35"/>
  <c r="K33" i="35"/>
  <c r="N33" i="35" s="1"/>
  <c r="E33" i="35"/>
  <c r="B33" i="35"/>
  <c r="N32" i="35"/>
  <c r="M32" i="35"/>
  <c r="K32" i="35"/>
  <c r="E32" i="35"/>
  <c r="B32" i="35"/>
  <c r="M31" i="35"/>
  <c r="K31" i="35"/>
  <c r="N31" i="35" s="1"/>
  <c r="E31" i="35"/>
  <c r="B31" i="35"/>
  <c r="N30" i="35"/>
  <c r="M30" i="35"/>
  <c r="K30" i="35"/>
  <c r="E30" i="35"/>
  <c r="B30" i="35"/>
  <c r="M29" i="35"/>
  <c r="K29" i="35"/>
  <c r="N29" i="35" s="1"/>
  <c r="E29" i="35"/>
  <c r="B29" i="35"/>
  <c r="N28" i="35"/>
  <c r="M28" i="35"/>
  <c r="K28" i="35"/>
  <c r="E28" i="35"/>
  <c r="B28" i="35"/>
  <c r="M27" i="35"/>
  <c r="K27" i="35"/>
  <c r="N27" i="35" s="1"/>
  <c r="E27" i="35"/>
  <c r="B27" i="35"/>
  <c r="N26" i="35"/>
  <c r="M26" i="35"/>
  <c r="K26" i="35"/>
  <c r="E26" i="35"/>
  <c r="B26" i="35"/>
  <c r="M25" i="35"/>
  <c r="K25" i="35"/>
  <c r="N25" i="35" s="1"/>
  <c r="E25" i="35"/>
  <c r="B25" i="35"/>
  <c r="N24" i="35"/>
  <c r="M24" i="35"/>
  <c r="K24" i="35"/>
  <c r="E24" i="35"/>
  <c r="B24" i="35"/>
  <c r="M23" i="35"/>
  <c r="K23" i="35"/>
  <c r="N23" i="35" s="1"/>
  <c r="E23" i="35"/>
  <c r="B23" i="35"/>
  <c r="N22" i="35"/>
  <c r="M22" i="35"/>
  <c r="K22" i="35"/>
  <c r="E22" i="35"/>
  <c r="B22" i="35"/>
  <c r="M21" i="35"/>
  <c r="K21" i="35"/>
  <c r="N21" i="35" s="1"/>
  <c r="E21" i="35"/>
  <c r="B21" i="35"/>
  <c r="N20" i="35"/>
  <c r="M20" i="35"/>
  <c r="K20" i="35"/>
  <c r="E20" i="35"/>
  <c r="B20" i="35"/>
  <c r="M19" i="35"/>
  <c r="K19" i="35"/>
  <c r="N19" i="35" s="1"/>
  <c r="E19" i="35"/>
  <c r="B19" i="35"/>
  <c r="N18" i="35"/>
  <c r="M18" i="35"/>
  <c r="K18" i="35"/>
  <c r="E18" i="35"/>
  <c r="B18" i="35"/>
  <c r="M17" i="35"/>
  <c r="K17" i="35"/>
  <c r="N17" i="35" s="1"/>
  <c r="E17" i="35"/>
  <c r="B17" i="35"/>
  <c r="N16" i="35"/>
  <c r="M16" i="35"/>
  <c r="K16" i="35"/>
  <c r="E16" i="35"/>
  <c r="B16" i="35"/>
  <c r="M15" i="35"/>
  <c r="K15" i="35"/>
  <c r="N15" i="35" s="1"/>
  <c r="E15" i="35"/>
  <c r="B15" i="35"/>
  <c r="N14" i="35"/>
  <c r="M14" i="35"/>
  <c r="K14" i="35"/>
  <c r="E14" i="35"/>
  <c r="B14" i="35"/>
  <c r="M13" i="35"/>
  <c r="K13" i="35"/>
  <c r="N13" i="35" s="1"/>
  <c r="E13" i="35"/>
  <c r="B13" i="35"/>
  <c r="N12" i="35"/>
  <c r="M12" i="35"/>
  <c r="K12" i="35"/>
  <c r="E12" i="35"/>
  <c r="B12" i="35"/>
  <c r="M11" i="35"/>
  <c r="K11" i="35"/>
  <c r="N11" i="35" s="1"/>
  <c r="E11" i="35"/>
  <c r="B11" i="35"/>
  <c r="N10" i="35"/>
  <c r="M10" i="35"/>
  <c r="K10" i="35"/>
  <c r="E10" i="35"/>
  <c r="B10" i="35"/>
  <c r="M9" i="35"/>
  <c r="K9" i="35"/>
  <c r="N9" i="35" s="1"/>
  <c r="E9" i="35"/>
  <c r="B9" i="35"/>
  <c r="N8" i="35"/>
  <c r="M8" i="35"/>
  <c r="K8" i="35"/>
  <c r="E8" i="35"/>
  <c r="B8" i="35"/>
  <c r="M7" i="35"/>
  <c r="K7" i="35"/>
  <c r="N7" i="35" s="1"/>
  <c r="E7" i="35"/>
  <c r="B7" i="35"/>
  <c r="N6" i="35"/>
  <c r="M6" i="35"/>
  <c r="K6" i="35"/>
  <c r="E6" i="35"/>
  <c r="B6" i="35"/>
  <c r="M5" i="35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M2" i="35" s="1"/>
  <c r="O2" i="35"/>
  <c r="L2" i="35"/>
  <c r="J2" i="35"/>
  <c r="I2" i="35"/>
  <c r="H2" i="35"/>
  <c r="G2" i="35"/>
  <c r="F2" i="35"/>
  <c r="E2" i="35"/>
  <c r="N134" i="34"/>
  <c r="M134" i="34"/>
  <c r="K134" i="34"/>
  <c r="E134" i="34"/>
  <c r="B134" i="34"/>
  <c r="M133" i="34"/>
  <c r="K133" i="34"/>
  <c r="N133" i="34" s="1"/>
  <c r="E133" i="34"/>
  <c r="B133" i="34"/>
  <c r="M132" i="34"/>
  <c r="K132" i="34"/>
  <c r="N132" i="34" s="1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M129" i="34"/>
  <c r="K129" i="34"/>
  <c r="N129" i="34" s="1"/>
  <c r="E129" i="34"/>
  <c r="B129" i="34"/>
  <c r="M128" i="34"/>
  <c r="K128" i="34"/>
  <c r="N128" i="34" s="1"/>
  <c r="E128" i="34"/>
  <c r="B128" i="34"/>
  <c r="M127" i="34"/>
  <c r="N127" i="34" s="1"/>
  <c r="K127" i="34"/>
  <c r="E127" i="34"/>
  <c r="B127" i="34"/>
  <c r="N126" i="34"/>
  <c r="M126" i="34"/>
  <c r="K126" i="34"/>
  <c r="E126" i="34"/>
  <c r="B126" i="34"/>
  <c r="M125" i="34"/>
  <c r="K125" i="34"/>
  <c r="N125" i="34" s="1"/>
  <c r="E125" i="34"/>
  <c r="B125" i="34"/>
  <c r="M124" i="34"/>
  <c r="K124" i="34"/>
  <c r="N124" i="34" s="1"/>
  <c r="E124" i="34"/>
  <c r="B124" i="34"/>
  <c r="M123" i="34"/>
  <c r="N123" i="34" s="1"/>
  <c r="K123" i="34"/>
  <c r="E123" i="34"/>
  <c r="B123" i="34"/>
  <c r="N122" i="34"/>
  <c r="M122" i="34"/>
  <c r="K122" i="34"/>
  <c r="E122" i="34"/>
  <c r="B122" i="34"/>
  <c r="M121" i="34"/>
  <c r="K121" i="34"/>
  <c r="N121" i="34" s="1"/>
  <c r="E121" i="34"/>
  <c r="B121" i="34"/>
  <c r="M120" i="34"/>
  <c r="K120" i="34"/>
  <c r="N120" i="34" s="1"/>
  <c r="E120" i="34"/>
  <c r="B120" i="34"/>
  <c r="M119" i="34"/>
  <c r="N119" i="34" s="1"/>
  <c r="K119" i="34"/>
  <c r="E119" i="34"/>
  <c r="B119" i="34"/>
  <c r="N118" i="34"/>
  <c r="M118" i="34"/>
  <c r="K118" i="34"/>
  <c r="E118" i="34"/>
  <c r="B118" i="34"/>
  <c r="M117" i="34"/>
  <c r="K117" i="34"/>
  <c r="N117" i="34" s="1"/>
  <c r="E117" i="34"/>
  <c r="B117" i="34"/>
  <c r="M116" i="34"/>
  <c r="K116" i="34"/>
  <c r="N116" i="34" s="1"/>
  <c r="E116" i="34"/>
  <c r="B116" i="34"/>
  <c r="M115" i="34"/>
  <c r="N115" i="34" s="1"/>
  <c r="K115" i="34"/>
  <c r="E115" i="34"/>
  <c r="B115" i="34"/>
  <c r="N114" i="34"/>
  <c r="M114" i="34"/>
  <c r="K114" i="34"/>
  <c r="E114" i="34"/>
  <c r="B114" i="34"/>
  <c r="M113" i="34"/>
  <c r="K113" i="34"/>
  <c r="N113" i="34" s="1"/>
  <c r="E113" i="34"/>
  <c r="B113" i="34"/>
  <c r="M112" i="34"/>
  <c r="K112" i="34"/>
  <c r="N112" i="34" s="1"/>
  <c r="E112" i="34"/>
  <c r="B112" i="34"/>
  <c r="M111" i="34"/>
  <c r="N111" i="34" s="1"/>
  <c r="K111" i="34"/>
  <c r="E111" i="34"/>
  <c r="B111" i="34"/>
  <c r="N110" i="34"/>
  <c r="M110" i="34"/>
  <c r="K110" i="34"/>
  <c r="E110" i="34"/>
  <c r="B110" i="34"/>
  <c r="M109" i="34"/>
  <c r="K109" i="34"/>
  <c r="N109" i="34" s="1"/>
  <c r="E109" i="34"/>
  <c r="B109" i="34"/>
  <c r="M108" i="34"/>
  <c r="K108" i="34"/>
  <c r="N108" i="34" s="1"/>
  <c r="E108" i="34"/>
  <c r="B108" i="34"/>
  <c r="M107" i="34"/>
  <c r="N107" i="34" s="1"/>
  <c r="K107" i="34"/>
  <c r="E107" i="34"/>
  <c r="B107" i="34"/>
  <c r="N106" i="34"/>
  <c r="M106" i="34"/>
  <c r="K106" i="34"/>
  <c r="E106" i="34"/>
  <c r="B106" i="34"/>
  <c r="M105" i="34"/>
  <c r="K105" i="34"/>
  <c r="N105" i="34" s="1"/>
  <c r="E105" i="34"/>
  <c r="B105" i="34"/>
  <c r="M104" i="34"/>
  <c r="K104" i="34"/>
  <c r="N104" i="34" s="1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K101" i="34"/>
  <c r="N101" i="34" s="1"/>
  <c r="E101" i="34"/>
  <c r="B101" i="34"/>
  <c r="M100" i="34"/>
  <c r="K100" i="34"/>
  <c r="N100" i="34" s="1"/>
  <c r="E100" i="34"/>
  <c r="B100" i="34"/>
  <c r="M99" i="34"/>
  <c r="N99" i="34" s="1"/>
  <c r="K99" i="34"/>
  <c r="E99" i="34"/>
  <c r="B99" i="34"/>
  <c r="N98" i="34"/>
  <c r="M98" i="34"/>
  <c r="K98" i="34"/>
  <c r="E98" i="34"/>
  <c r="B98" i="34"/>
  <c r="M97" i="34"/>
  <c r="K97" i="34"/>
  <c r="N97" i="34" s="1"/>
  <c r="E97" i="34"/>
  <c r="B97" i="34"/>
  <c r="M96" i="34"/>
  <c r="K96" i="34"/>
  <c r="N96" i="34" s="1"/>
  <c r="E96" i="34"/>
  <c r="B96" i="34"/>
  <c r="M95" i="34"/>
  <c r="N95" i="34" s="1"/>
  <c r="K95" i="34"/>
  <c r="E95" i="34"/>
  <c r="B95" i="34"/>
  <c r="N94" i="34"/>
  <c r="M94" i="34"/>
  <c r="K94" i="34"/>
  <c r="E94" i="34"/>
  <c r="B94" i="34"/>
  <c r="M93" i="34"/>
  <c r="K93" i="34"/>
  <c r="N93" i="34" s="1"/>
  <c r="E93" i="34"/>
  <c r="B93" i="34"/>
  <c r="M92" i="34"/>
  <c r="K92" i="34"/>
  <c r="N92" i="34" s="1"/>
  <c r="E92" i="34"/>
  <c r="B92" i="34"/>
  <c r="M91" i="34"/>
  <c r="N91" i="34" s="1"/>
  <c r="K91" i="34"/>
  <c r="E91" i="34"/>
  <c r="B91" i="34"/>
  <c r="N90" i="34"/>
  <c r="M90" i="34"/>
  <c r="K90" i="34"/>
  <c r="E90" i="34"/>
  <c r="B90" i="34"/>
  <c r="M89" i="34"/>
  <c r="K89" i="34"/>
  <c r="N89" i="34" s="1"/>
  <c r="E89" i="34"/>
  <c r="B89" i="34"/>
  <c r="M88" i="34"/>
  <c r="K88" i="34"/>
  <c r="N88" i="34" s="1"/>
  <c r="E88" i="34"/>
  <c r="B88" i="34"/>
  <c r="M87" i="34"/>
  <c r="N87" i="34" s="1"/>
  <c r="K87" i="34"/>
  <c r="E87" i="34"/>
  <c r="B87" i="34"/>
  <c r="N86" i="34"/>
  <c r="M86" i="34"/>
  <c r="K86" i="34"/>
  <c r="E86" i="34"/>
  <c r="B86" i="34"/>
  <c r="M85" i="34"/>
  <c r="K85" i="34"/>
  <c r="N85" i="34" s="1"/>
  <c r="E85" i="34"/>
  <c r="B85" i="34"/>
  <c r="M84" i="34"/>
  <c r="K84" i="34"/>
  <c r="N84" i="34" s="1"/>
  <c r="E84" i="34"/>
  <c r="B84" i="34"/>
  <c r="M83" i="34"/>
  <c r="N83" i="34" s="1"/>
  <c r="K83" i="34"/>
  <c r="E83" i="34"/>
  <c r="B83" i="34"/>
  <c r="N82" i="34"/>
  <c r="M82" i="34"/>
  <c r="K82" i="34"/>
  <c r="E82" i="34"/>
  <c r="B82" i="34"/>
  <c r="M81" i="34"/>
  <c r="K81" i="34"/>
  <c r="N81" i="34" s="1"/>
  <c r="E81" i="34"/>
  <c r="B81" i="34"/>
  <c r="M80" i="34"/>
  <c r="K80" i="34"/>
  <c r="N80" i="34" s="1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K77" i="34"/>
  <c r="N77" i="34" s="1"/>
  <c r="E77" i="34"/>
  <c r="B77" i="34"/>
  <c r="M76" i="34"/>
  <c r="K76" i="34"/>
  <c r="N76" i="34" s="1"/>
  <c r="E76" i="34"/>
  <c r="B76" i="34"/>
  <c r="M75" i="34"/>
  <c r="N75" i="34" s="1"/>
  <c r="K75" i="34"/>
  <c r="E75" i="34"/>
  <c r="B75" i="34"/>
  <c r="N74" i="34"/>
  <c r="M74" i="34"/>
  <c r="K74" i="34"/>
  <c r="E74" i="34"/>
  <c r="B74" i="34"/>
  <c r="M73" i="34"/>
  <c r="K73" i="34"/>
  <c r="N73" i="34" s="1"/>
  <c r="E73" i="34"/>
  <c r="B73" i="34"/>
  <c r="M72" i="34"/>
  <c r="K72" i="34"/>
  <c r="N72" i="34" s="1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K69" i="34"/>
  <c r="N69" i="34" s="1"/>
  <c r="E69" i="34"/>
  <c r="B69" i="34"/>
  <c r="M68" i="34"/>
  <c r="K68" i="34"/>
  <c r="N68" i="34" s="1"/>
  <c r="E68" i="34"/>
  <c r="B68" i="34"/>
  <c r="M67" i="34"/>
  <c r="N67" i="34" s="1"/>
  <c r="K67" i="34"/>
  <c r="E67" i="34"/>
  <c r="B67" i="34"/>
  <c r="N66" i="34"/>
  <c r="M66" i="34"/>
  <c r="K66" i="34"/>
  <c r="E66" i="34"/>
  <c r="B66" i="34"/>
  <c r="M65" i="34"/>
  <c r="K65" i="34"/>
  <c r="N65" i="34" s="1"/>
  <c r="E65" i="34"/>
  <c r="B65" i="34"/>
  <c r="M64" i="34"/>
  <c r="K64" i="34"/>
  <c r="N64" i="34" s="1"/>
  <c r="E64" i="34"/>
  <c r="B64" i="34"/>
  <c r="M63" i="34"/>
  <c r="N63" i="34" s="1"/>
  <c r="K63" i="34"/>
  <c r="E63" i="34"/>
  <c r="B63" i="34"/>
  <c r="N62" i="34"/>
  <c r="M62" i="34"/>
  <c r="K62" i="34"/>
  <c r="E62" i="34"/>
  <c r="B62" i="34"/>
  <c r="M61" i="34"/>
  <c r="K61" i="34"/>
  <c r="N61" i="34" s="1"/>
  <c r="E61" i="34"/>
  <c r="B61" i="34"/>
  <c r="M60" i="34"/>
  <c r="K60" i="34"/>
  <c r="N60" i="34" s="1"/>
  <c r="E60" i="34"/>
  <c r="B60" i="34"/>
  <c r="M59" i="34"/>
  <c r="N59" i="34" s="1"/>
  <c r="K59" i="34"/>
  <c r="E59" i="34"/>
  <c r="B59" i="34"/>
  <c r="N58" i="34"/>
  <c r="M58" i="34"/>
  <c r="K58" i="34"/>
  <c r="E58" i="34"/>
  <c r="B58" i="34"/>
  <c r="M57" i="34"/>
  <c r="K57" i="34"/>
  <c r="N57" i="34" s="1"/>
  <c r="E57" i="34"/>
  <c r="B57" i="34"/>
  <c r="M56" i="34"/>
  <c r="K56" i="34"/>
  <c r="N56" i="34" s="1"/>
  <c r="E56" i="34"/>
  <c r="B56" i="34"/>
  <c r="M55" i="34"/>
  <c r="N55" i="34" s="1"/>
  <c r="K55" i="34"/>
  <c r="E55" i="34"/>
  <c r="B55" i="34"/>
  <c r="N54" i="34"/>
  <c r="M54" i="34"/>
  <c r="K54" i="34"/>
  <c r="E54" i="34"/>
  <c r="B54" i="34"/>
  <c r="M53" i="34"/>
  <c r="K53" i="34"/>
  <c r="N53" i="34" s="1"/>
  <c r="E53" i="34"/>
  <c r="B53" i="34"/>
  <c r="M52" i="34"/>
  <c r="K52" i="34"/>
  <c r="N52" i="34" s="1"/>
  <c r="E52" i="34"/>
  <c r="B52" i="34"/>
  <c r="M51" i="34"/>
  <c r="N51" i="34" s="1"/>
  <c r="K51" i="34"/>
  <c r="E51" i="34"/>
  <c r="B51" i="34"/>
  <c r="N50" i="34"/>
  <c r="M50" i="34"/>
  <c r="K50" i="34"/>
  <c r="E50" i="34"/>
  <c r="B50" i="34"/>
  <c r="M49" i="34"/>
  <c r="K49" i="34"/>
  <c r="N49" i="34" s="1"/>
  <c r="E49" i="34"/>
  <c r="B49" i="34"/>
  <c r="M48" i="34"/>
  <c r="K48" i="34"/>
  <c r="N48" i="34" s="1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K45" i="34"/>
  <c r="N45" i="34" s="1"/>
  <c r="E45" i="34"/>
  <c r="B45" i="34"/>
  <c r="M44" i="34"/>
  <c r="K44" i="34"/>
  <c r="N44" i="34" s="1"/>
  <c r="E44" i="34"/>
  <c r="B44" i="34"/>
  <c r="M43" i="34"/>
  <c r="N43" i="34" s="1"/>
  <c r="K43" i="34"/>
  <c r="E43" i="34"/>
  <c r="B43" i="34"/>
  <c r="N42" i="34"/>
  <c r="M42" i="34"/>
  <c r="K42" i="34"/>
  <c r="E42" i="34"/>
  <c r="B42" i="34"/>
  <c r="M41" i="34"/>
  <c r="K41" i="34"/>
  <c r="N41" i="34" s="1"/>
  <c r="E41" i="34"/>
  <c r="B41" i="34"/>
  <c r="M40" i="34"/>
  <c r="K40" i="34"/>
  <c r="N40" i="34" s="1"/>
  <c r="E40" i="34"/>
  <c r="B40" i="34"/>
  <c r="M39" i="34"/>
  <c r="N39" i="34" s="1"/>
  <c r="K39" i="34"/>
  <c r="E39" i="34"/>
  <c r="B39" i="34"/>
  <c r="N38" i="34"/>
  <c r="M38" i="34"/>
  <c r="K38" i="34"/>
  <c r="E38" i="34"/>
  <c r="B38" i="34"/>
  <c r="M37" i="34"/>
  <c r="K37" i="34"/>
  <c r="N37" i="34" s="1"/>
  <c r="E37" i="34"/>
  <c r="B37" i="34"/>
  <c r="M36" i="34"/>
  <c r="K36" i="34"/>
  <c r="N36" i="34" s="1"/>
  <c r="E36" i="34"/>
  <c r="B36" i="34"/>
  <c r="M35" i="34"/>
  <c r="N35" i="34" s="1"/>
  <c r="K35" i="34"/>
  <c r="E35" i="34"/>
  <c r="B35" i="34"/>
  <c r="N34" i="34"/>
  <c r="M34" i="34"/>
  <c r="K34" i="34"/>
  <c r="E34" i="34"/>
  <c r="B34" i="34"/>
  <c r="M33" i="34"/>
  <c r="K33" i="34"/>
  <c r="N33" i="34" s="1"/>
  <c r="E33" i="34"/>
  <c r="B33" i="34"/>
  <c r="M32" i="34"/>
  <c r="K32" i="34"/>
  <c r="N32" i="34" s="1"/>
  <c r="E32" i="34"/>
  <c r="B32" i="34"/>
  <c r="M31" i="34"/>
  <c r="N31" i="34" s="1"/>
  <c r="K31" i="34"/>
  <c r="E31" i="34"/>
  <c r="B31" i="34"/>
  <c r="N30" i="34"/>
  <c r="M30" i="34"/>
  <c r="K30" i="34"/>
  <c r="E30" i="34"/>
  <c r="B30" i="34"/>
  <c r="M29" i="34"/>
  <c r="K29" i="34"/>
  <c r="N29" i="34" s="1"/>
  <c r="E29" i="34"/>
  <c r="B29" i="34"/>
  <c r="M28" i="34"/>
  <c r="K28" i="34"/>
  <c r="N28" i="34" s="1"/>
  <c r="E28" i="34"/>
  <c r="B28" i="34"/>
  <c r="M27" i="34"/>
  <c r="N27" i="34" s="1"/>
  <c r="K27" i="34"/>
  <c r="E27" i="34"/>
  <c r="B27" i="34"/>
  <c r="N26" i="34"/>
  <c r="M26" i="34"/>
  <c r="K26" i="34"/>
  <c r="E26" i="34"/>
  <c r="B26" i="34"/>
  <c r="M25" i="34"/>
  <c r="K25" i="34"/>
  <c r="N25" i="34" s="1"/>
  <c r="E25" i="34"/>
  <c r="B25" i="34"/>
  <c r="M24" i="34"/>
  <c r="K24" i="34"/>
  <c r="N24" i="34" s="1"/>
  <c r="E24" i="34"/>
  <c r="B24" i="34"/>
  <c r="M23" i="34"/>
  <c r="N23" i="34" s="1"/>
  <c r="K23" i="34"/>
  <c r="E23" i="34"/>
  <c r="B23" i="34"/>
  <c r="N22" i="34"/>
  <c r="M22" i="34"/>
  <c r="K22" i="34"/>
  <c r="E22" i="34"/>
  <c r="B22" i="34"/>
  <c r="M21" i="34"/>
  <c r="K21" i="34"/>
  <c r="N21" i="34" s="1"/>
  <c r="E21" i="34"/>
  <c r="B21" i="34"/>
  <c r="M20" i="34"/>
  <c r="K20" i="34"/>
  <c r="N20" i="34" s="1"/>
  <c r="E20" i="34"/>
  <c r="B20" i="34"/>
  <c r="M19" i="34"/>
  <c r="N19" i="34" s="1"/>
  <c r="K19" i="34"/>
  <c r="E19" i="34"/>
  <c r="B19" i="34"/>
  <c r="N18" i="34"/>
  <c r="M18" i="34"/>
  <c r="K18" i="34"/>
  <c r="E18" i="34"/>
  <c r="B18" i="34"/>
  <c r="M17" i="34"/>
  <c r="K17" i="34"/>
  <c r="N17" i="34" s="1"/>
  <c r="E17" i="34"/>
  <c r="B17" i="34"/>
  <c r="M16" i="34"/>
  <c r="K16" i="34"/>
  <c r="N16" i="34" s="1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K13" i="34"/>
  <c r="N13" i="34" s="1"/>
  <c r="E13" i="34"/>
  <c r="B13" i="34"/>
  <c r="M12" i="34"/>
  <c r="K12" i="34"/>
  <c r="N12" i="34" s="1"/>
  <c r="E12" i="34"/>
  <c r="B12" i="34"/>
  <c r="M11" i="34"/>
  <c r="N11" i="34" s="1"/>
  <c r="K11" i="34"/>
  <c r="E11" i="34"/>
  <c r="B11" i="34"/>
  <c r="N10" i="34"/>
  <c r="M10" i="34"/>
  <c r="K10" i="34"/>
  <c r="E10" i="34"/>
  <c r="B10" i="34"/>
  <c r="M9" i="34"/>
  <c r="K9" i="34"/>
  <c r="N9" i="34" s="1"/>
  <c r="E9" i="34"/>
  <c r="B9" i="34"/>
  <c r="M8" i="34"/>
  <c r="K8" i="34"/>
  <c r="N8" i="34" s="1"/>
  <c r="E8" i="34"/>
  <c r="B8" i="34"/>
  <c r="M7" i="34"/>
  <c r="N7" i="34" s="1"/>
  <c r="K7" i="34"/>
  <c r="E7" i="34"/>
  <c r="B7" i="34"/>
  <c r="N6" i="34"/>
  <c r="M6" i="34"/>
  <c r="K6" i="34"/>
  <c r="E6" i="34"/>
  <c r="B6" i="34"/>
  <c r="M5" i="34"/>
  <c r="K5" i="34"/>
  <c r="K2" i="34" s="1"/>
  <c r="E5" i="34"/>
  <c r="B5" i="34"/>
  <c r="M4" i="34"/>
  <c r="K4" i="34"/>
  <c r="N4" i="34" s="1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G2" i="34"/>
  <c r="F2" i="34"/>
  <c r="E2" i="34"/>
  <c r="M134" i="33"/>
  <c r="K134" i="33"/>
  <c r="N134" i="33" s="1"/>
  <c r="E134" i="33"/>
  <c r="B134" i="33"/>
  <c r="N133" i="33"/>
  <c r="M133" i="33"/>
  <c r="K133" i="33"/>
  <c r="E133" i="33"/>
  <c r="B133" i="33"/>
  <c r="M132" i="33"/>
  <c r="K132" i="33"/>
  <c r="N132" i="33" s="1"/>
  <c r="E132" i="33"/>
  <c r="B132" i="33"/>
  <c r="N131" i="33"/>
  <c r="M131" i="33"/>
  <c r="K131" i="33"/>
  <c r="E131" i="33"/>
  <c r="B131" i="33"/>
  <c r="M130" i="33"/>
  <c r="K130" i="33"/>
  <c r="N130" i="33" s="1"/>
  <c r="E130" i="33"/>
  <c r="B130" i="33"/>
  <c r="N129" i="33"/>
  <c r="M129" i="33"/>
  <c r="K129" i="33"/>
  <c r="E129" i="33"/>
  <c r="B129" i="33"/>
  <c r="M128" i="33"/>
  <c r="K128" i="33"/>
  <c r="N128" i="33" s="1"/>
  <c r="E128" i="33"/>
  <c r="B128" i="33"/>
  <c r="N127" i="33"/>
  <c r="M127" i="33"/>
  <c r="K127" i="33"/>
  <c r="E127" i="33"/>
  <c r="B127" i="33"/>
  <c r="M126" i="33"/>
  <c r="K126" i="33"/>
  <c r="N126" i="33" s="1"/>
  <c r="E126" i="33"/>
  <c r="B126" i="33"/>
  <c r="N125" i="33"/>
  <c r="M125" i="33"/>
  <c r="K125" i="33"/>
  <c r="E125" i="33"/>
  <c r="B125" i="33"/>
  <c r="M124" i="33"/>
  <c r="K124" i="33"/>
  <c r="N124" i="33" s="1"/>
  <c r="E124" i="33"/>
  <c r="B124" i="33"/>
  <c r="N123" i="33"/>
  <c r="M123" i="33"/>
  <c r="K123" i="33"/>
  <c r="E123" i="33"/>
  <c r="B123" i="33"/>
  <c r="M122" i="33"/>
  <c r="K122" i="33"/>
  <c r="N122" i="33" s="1"/>
  <c r="E122" i="33"/>
  <c r="B122" i="33"/>
  <c r="N121" i="33"/>
  <c r="M121" i="33"/>
  <c r="K121" i="33"/>
  <c r="E121" i="33"/>
  <c r="B121" i="33"/>
  <c r="M120" i="33"/>
  <c r="K120" i="33"/>
  <c r="N120" i="33" s="1"/>
  <c r="E120" i="33"/>
  <c r="B120" i="33"/>
  <c r="N119" i="33"/>
  <c r="M119" i="33"/>
  <c r="K119" i="33"/>
  <c r="E119" i="33"/>
  <c r="B119" i="33"/>
  <c r="M118" i="33"/>
  <c r="K118" i="33"/>
  <c r="N118" i="33" s="1"/>
  <c r="E118" i="33"/>
  <c r="B118" i="33"/>
  <c r="N117" i="33"/>
  <c r="M117" i="33"/>
  <c r="K117" i="33"/>
  <c r="E117" i="33"/>
  <c r="B117" i="33"/>
  <c r="M116" i="33"/>
  <c r="K116" i="33"/>
  <c r="N116" i="33" s="1"/>
  <c r="E116" i="33"/>
  <c r="B116" i="33"/>
  <c r="N115" i="33"/>
  <c r="M115" i="33"/>
  <c r="K115" i="33"/>
  <c r="E115" i="33"/>
  <c r="B115" i="33"/>
  <c r="M114" i="33"/>
  <c r="K114" i="33"/>
  <c r="N114" i="33" s="1"/>
  <c r="E114" i="33"/>
  <c r="B114" i="33"/>
  <c r="N113" i="33"/>
  <c r="M113" i="33"/>
  <c r="K113" i="33"/>
  <c r="E113" i="33"/>
  <c r="B113" i="33"/>
  <c r="M112" i="33"/>
  <c r="K112" i="33"/>
  <c r="N112" i="33" s="1"/>
  <c r="E112" i="33"/>
  <c r="B112" i="33"/>
  <c r="N111" i="33"/>
  <c r="M111" i="33"/>
  <c r="K111" i="33"/>
  <c r="E111" i="33"/>
  <c r="B111" i="33"/>
  <c r="M110" i="33"/>
  <c r="K110" i="33"/>
  <c r="N110" i="33" s="1"/>
  <c r="E110" i="33"/>
  <c r="B110" i="33"/>
  <c r="N109" i="33"/>
  <c r="M109" i="33"/>
  <c r="K109" i="33"/>
  <c r="E109" i="33"/>
  <c r="B109" i="33"/>
  <c r="M108" i="33"/>
  <c r="K108" i="33"/>
  <c r="N108" i="33" s="1"/>
  <c r="E108" i="33"/>
  <c r="B108" i="33"/>
  <c r="N107" i="33"/>
  <c r="M107" i="33"/>
  <c r="K107" i="33"/>
  <c r="E107" i="33"/>
  <c r="B107" i="33"/>
  <c r="M106" i="33"/>
  <c r="K106" i="33"/>
  <c r="N106" i="33" s="1"/>
  <c r="E106" i="33"/>
  <c r="B106" i="33"/>
  <c r="N105" i="33"/>
  <c r="M105" i="33"/>
  <c r="K105" i="33"/>
  <c r="E105" i="33"/>
  <c r="B105" i="33"/>
  <c r="M104" i="33"/>
  <c r="K104" i="33"/>
  <c r="N104" i="33" s="1"/>
  <c r="E104" i="33"/>
  <c r="B104" i="33"/>
  <c r="N103" i="33"/>
  <c r="M103" i="33"/>
  <c r="K103" i="33"/>
  <c r="E103" i="33"/>
  <c r="B103" i="33"/>
  <c r="M102" i="33"/>
  <c r="K102" i="33"/>
  <c r="N102" i="33" s="1"/>
  <c r="E102" i="33"/>
  <c r="B102" i="33"/>
  <c r="N101" i="33"/>
  <c r="M101" i="33"/>
  <c r="K101" i="33"/>
  <c r="E101" i="33"/>
  <c r="B101" i="33"/>
  <c r="M100" i="33"/>
  <c r="K100" i="33"/>
  <c r="N100" i="33" s="1"/>
  <c r="E100" i="33"/>
  <c r="B100" i="33"/>
  <c r="N99" i="33"/>
  <c r="M99" i="33"/>
  <c r="K99" i="33"/>
  <c r="E99" i="33"/>
  <c r="B99" i="33"/>
  <c r="M98" i="33"/>
  <c r="K98" i="33"/>
  <c r="N98" i="33" s="1"/>
  <c r="E98" i="33"/>
  <c r="B98" i="33"/>
  <c r="N97" i="33"/>
  <c r="M97" i="33"/>
  <c r="K97" i="33"/>
  <c r="E97" i="33"/>
  <c r="B97" i="33"/>
  <c r="M96" i="33"/>
  <c r="K96" i="33"/>
  <c r="N96" i="33" s="1"/>
  <c r="E96" i="33"/>
  <c r="B96" i="33"/>
  <c r="N95" i="33"/>
  <c r="M95" i="33"/>
  <c r="K95" i="33"/>
  <c r="E95" i="33"/>
  <c r="B95" i="33"/>
  <c r="M94" i="33"/>
  <c r="K94" i="33"/>
  <c r="N94" i="33" s="1"/>
  <c r="E94" i="33"/>
  <c r="B94" i="33"/>
  <c r="N93" i="33"/>
  <c r="M93" i="33"/>
  <c r="K93" i="33"/>
  <c r="E93" i="33"/>
  <c r="B93" i="33"/>
  <c r="M92" i="33"/>
  <c r="K92" i="33"/>
  <c r="N92" i="33" s="1"/>
  <c r="E92" i="33"/>
  <c r="B92" i="33"/>
  <c r="N91" i="33"/>
  <c r="M91" i="33"/>
  <c r="K91" i="33"/>
  <c r="E91" i="33"/>
  <c r="B91" i="33"/>
  <c r="M90" i="33"/>
  <c r="K90" i="33"/>
  <c r="N90" i="33" s="1"/>
  <c r="E90" i="33"/>
  <c r="B90" i="33"/>
  <c r="N89" i="33"/>
  <c r="M89" i="33"/>
  <c r="K89" i="33"/>
  <c r="E89" i="33"/>
  <c r="B89" i="33"/>
  <c r="M88" i="33"/>
  <c r="K88" i="33"/>
  <c r="N88" i="33" s="1"/>
  <c r="E88" i="33"/>
  <c r="B88" i="33"/>
  <c r="N87" i="33"/>
  <c r="M87" i="33"/>
  <c r="K87" i="33"/>
  <c r="E87" i="33"/>
  <c r="B87" i="33"/>
  <c r="M86" i="33"/>
  <c r="K86" i="33"/>
  <c r="N86" i="33" s="1"/>
  <c r="E86" i="33"/>
  <c r="B86" i="33"/>
  <c r="N85" i="33"/>
  <c r="M85" i="33"/>
  <c r="K85" i="33"/>
  <c r="E85" i="33"/>
  <c r="B85" i="33"/>
  <c r="M84" i="33"/>
  <c r="K84" i="33"/>
  <c r="N84" i="33" s="1"/>
  <c r="E84" i="33"/>
  <c r="B84" i="33"/>
  <c r="N83" i="33"/>
  <c r="M83" i="33"/>
  <c r="K83" i="33"/>
  <c r="E83" i="33"/>
  <c r="B83" i="33"/>
  <c r="M82" i="33"/>
  <c r="K82" i="33"/>
  <c r="N82" i="33" s="1"/>
  <c r="E82" i="33"/>
  <c r="B82" i="33"/>
  <c r="N81" i="33"/>
  <c r="M81" i="33"/>
  <c r="K81" i="33"/>
  <c r="E81" i="33"/>
  <c r="B81" i="33"/>
  <c r="M80" i="33"/>
  <c r="K80" i="33"/>
  <c r="N80" i="33" s="1"/>
  <c r="E80" i="33"/>
  <c r="B80" i="33"/>
  <c r="N79" i="33"/>
  <c r="M79" i="33"/>
  <c r="K79" i="33"/>
  <c r="E79" i="33"/>
  <c r="B79" i="33"/>
  <c r="M78" i="33"/>
  <c r="K78" i="33"/>
  <c r="N78" i="33" s="1"/>
  <c r="E78" i="33"/>
  <c r="B78" i="33"/>
  <c r="N77" i="33"/>
  <c r="M77" i="33"/>
  <c r="K77" i="33"/>
  <c r="E77" i="33"/>
  <c r="B77" i="33"/>
  <c r="M76" i="33"/>
  <c r="K76" i="33"/>
  <c r="N76" i="33" s="1"/>
  <c r="E76" i="33"/>
  <c r="B76" i="33"/>
  <c r="N75" i="33"/>
  <c r="M75" i="33"/>
  <c r="K75" i="33"/>
  <c r="E75" i="33"/>
  <c r="B75" i="33"/>
  <c r="M74" i="33"/>
  <c r="K74" i="33"/>
  <c r="N74" i="33" s="1"/>
  <c r="E74" i="33"/>
  <c r="B74" i="33"/>
  <c r="N73" i="33"/>
  <c r="M73" i="33"/>
  <c r="K73" i="33"/>
  <c r="E73" i="33"/>
  <c r="B73" i="33"/>
  <c r="M72" i="33"/>
  <c r="K72" i="33"/>
  <c r="N72" i="33" s="1"/>
  <c r="E72" i="33"/>
  <c r="B72" i="33"/>
  <c r="N71" i="33"/>
  <c r="M71" i="33"/>
  <c r="K71" i="33"/>
  <c r="E71" i="33"/>
  <c r="B71" i="33"/>
  <c r="M70" i="33"/>
  <c r="K70" i="33"/>
  <c r="N70" i="33" s="1"/>
  <c r="E70" i="33"/>
  <c r="B70" i="33"/>
  <c r="N69" i="33"/>
  <c r="M69" i="33"/>
  <c r="K69" i="33"/>
  <c r="E69" i="33"/>
  <c r="B69" i="33"/>
  <c r="M68" i="33"/>
  <c r="K68" i="33"/>
  <c r="N68" i="33" s="1"/>
  <c r="E68" i="33"/>
  <c r="B68" i="33"/>
  <c r="N67" i="33"/>
  <c r="M67" i="33"/>
  <c r="K67" i="33"/>
  <c r="E67" i="33"/>
  <c r="B67" i="33"/>
  <c r="M66" i="33"/>
  <c r="K66" i="33"/>
  <c r="N66" i="33" s="1"/>
  <c r="E66" i="33"/>
  <c r="B66" i="33"/>
  <c r="N65" i="33"/>
  <c r="M65" i="33"/>
  <c r="K65" i="33"/>
  <c r="E65" i="33"/>
  <c r="B65" i="33"/>
  <c r="M64" i="33"/>
  <c r="K64" i="33"/>
  <c r="N64" i="33" s="1"/>
  <c r="E64" i="33"/>
  <c r="B64" i="33"/>
  <c r="N63" i="33"/>
  <c r="M63" i="33"/>
  <c r="K63" i="33"/>
  <c r="E63" i="33"/>
  <c r="B63" i="33"/>
  <c r="M62" i="33"/>
  <c r="K62" i="33"/>
  <c r="N62" i="33" s="1"/>
  <c r="E62" i="33"/>
  <c r="B62" i="33"/>
  <c r="N61" i="33"/>
  <c r="M61" i="33"/>
  <c r="K61" i="33"/>
  <c r="E61" i="33"/>
  <c r="B61" i="33"/>
  <c r="M60" i="33"/>
  <c r="K60" i="33"/>
  <c r="N60" i="33" s="1"/>
  <c r="E60" i="33"/>
  <c r="B60" i="33"/>
  <c r="N59" i="33"/>
  <c r="M59" i="33"/>
  <c r="K59" i="33"/>
  <c r="E59" i="33"/>
  <c r="B59" i="33"/>
  <c r="M58" i="33"/>
  <c r="K58" i="33"/>
  <c r="N58" i="33" s="1"/>
  <c r="E58" i="33"/>
  <c r="B58" i="33"/>
  <c r="N57" i="33"/>
  <c r="M57" i="33"/>
  <c r="K57" i="33"/>
  <c r="E57" i="33"/>
  <c r="B57" i="33"/>
  <c r="M56" i="33"/>
  <c r="K56" i="33"/>
  <c r="N56" i="33" s="1"/>
  <c r="E56" i="33"/>
  <c r="B56" i="33"/>
  <c r="N55" i="33"/>
  <c r="M55" i="33"/>
  <c r="K55" i="33"/>
  <c r="E55" i="33"/>
  <c r="B55" i="33"/>
  <c r="M54" i="33"/>
  <c r="K54" i="33"/>
  <c r="N54" i="33" s="1"/>
  <c r="E54" i="33"/>
  <c r="B54" i="33"/>
  <c r="N53" i="33"/>
  <c r="M53" i="33"/>
  <c r="K53" i="33"/>
  <c r="E53" i="33"/>
  <c r="B53" i="33"/>
  <c r="M52" i="33"/>
  <c r="K52" i="33"/>
  <c r="N52" i="33" s="1"/>
  <c r="E52" i="33"/>
  <c r="B52" i="33"/>
  <c r="N51" i="33"/>
  <c r="M51" i="33"/>
  <c r="K51" i="33"/>
  <c r="E51" i="33"/>
  <c r="B51" i="33"/>
  <c r="M50" i="33"/>
  <c r="K50" i="33"/>
  <c r="N50" i="33" s="1"/>
  <c r="E50" i="33"/>
  <c r="B50" i="33"/>
  <c r="N49" i="33"/>
  <c r="M49" i="33"/>
  <c r="K49" i="33"/>
  <c r="E49" i="33"/>
  <c r="B49" i="33"/>
  <c r="M48" i="33"/>
  <c r="K48" i="33"/>
  <c r="N48" i="33" s="1"/>
  <c r="E48" i="33"/>
  <c r="B48" i="33"/>
  <c r="N47" i="33"/>
  <c r="M47" i="33"/>
  <c r="K47" i="33"/>
  <c r="E47" i="33"/>
  <c r="B47" i="33"/>
  <c r="M46" i="33"/>
  <c r="K46" i="33"/>
  <c r="N46" i="33" s="1"/>
  <c r="E46" i="33"/>
  <c r="B46" i="33"/>
  <c r="N45" i="33"/>
  <c r="M45" i="33"/>
  <c r="K45" i="33"/>
  <c r="E45" i="33"/>
  <c r="B45" i="33"/>
  <c r="M44" i="33"/>
  <c r="K44" i="33"/>
  <c r="N44" i="33" s="1"/>
  <c r="E44" i="33"/>
  <c r="B44" i="33"/>
  <c r="N43" i="33"/>
  <c r="M43" i="33"/>
  <c r="K43" i="33"/>
  <c r="E43" i="33"/>
  <c r="B43" i="33"/>
  <c r="M42" i="33"/>
  <c r="K42" i="33"/>
  <c r="N42" i="33" s="1"/>
  <c r="E42" i="33"/>
  <c r="B42" i="33"/>
  <c r="N41" i="33"/>
  <c r="M41" i="33"/>
  <c r="K41" i="33"/>
  <c r="E41" i="33"/>
  <c r="B41" i="33"/>
  <c r="M40" i="33"/>
  <c r="K40" i="33"/>
  <c r="N40" i="33" s="1"/>
  <c r="E40" i="33"/>
  <c r="B40" i="33"/>
  <c r="N39" i="33"/>
  <c r="M39" i="33"/>
  <c r="K39" i="33"/>
  <c r="E39" i="33"/>
  <c r="B39" i="33"/>
  <c r="M38" i="33"/>
  <c r="K38" i="33"/>
  <c r="N38" i="33" s="1"/>
  <c r="E38" i="33"/>
  <c r="B38" i="33"/>
  <c r="N37" i="33"/>
  <c r="M37" i="33"/>
  <c r="K37" i="33"/>
  <c r="E37" i="33"/>
  <c r="B37" i="33"/>
  <c r="M36" i="33"/>
  <c r="K36" i="33"/>
  <c r="N36" i="33" s="1"/>
  <c r="E36" i="33"/>
  <c r="B36" i="33"/>
  <c r="N35" i="33"/>
  <c r="M35" i="33"/>
  <c r="K35" i="33"/>
  <c r="E35" i="33"/>
  <c r="B35" i="33"/>
  <c r="M34" i="33"/>
  <c r="K34" i="33"/>
  <c r="N34" i="33" s="1"/>
  <c r="E34" i="33"/>
  <c r="B34" i="33"/>
  <c r="N33" i="33"/>
  <c r="M33" i="33"/>
  <c r="K33" i="33"/>
  <c r="E33" i="33"/>
  <c r="B33" i="33"/>
  <c r="M32" i="33"/>
  <c r="K32" i="33"/>
  <c r="N32" i="33" s="1"/>
  <c r="E32" i="33"/>
  <c r="B32" i="33"/>
  <c r="N31" i="33"/>
  <c r="M31" i="33"/>
  <c r="K31" i="33"/>
  <c r="E31" i="33"/>
  <c r="B31" i="33"/>
  <c r="M30" i="33"/>
  <c r="K30" i="33"/>
  <c r="N30" i="33" s="1"/>
  <c r="E30" i="33"/>
  <c r="B30" i="33"/>
  <c r="N29" i="33"/>
  <c r="M29" i="33"/>
  <c r="K29" i="33"/>
  <c r="E29" i="33"/>
  <c r="B29" i="33"/>
  <c r="M28" i="33"/>
  <c r="K28" i="33"/>
  <c r="N28" i="33" s="1"/>
  <c r="E28" i="33"/>
  <c r="B28" i="33"/>
  <c r="N27" i="33"/>
  <c r="M27" i="33"/>
  <c r="K27" i="33"/>
  <c r="E27" i="33"/>
  <c r="B27" i="33"/>
  <c r="M26" i="33"/>
  <c r="K26" i="33"/>
  <c r="N26" i="33" s="1"/>
  <c r="E26" i="33"/>
  <c r="B26" i="33"/>
  <c r="N25" i="33"/>
  <c r="M25" i="33"/>
  <c r="K25" i="33"/>
  <c r="E25" i="33"/>
  <c r="B25" i="33"/>
  <c r="M24" i="33"/>
  <c r="K24" i="33"/>
  <c r="N24" i="33" s="1"/>
  <c r="E24" i="33"/>
  <c r="B24" i="33"/>
  <c r="N23" i="33"/>
  <c r="M23" i="33"/>
  <c r="K23" i="33"/>
  <c r="E23" i="33"/>
  <c r="B23" i="33"/>
  <c r="M22" i="33"/>
  <c r="K22" i="33"/>
  <c r="N22" i="33" s="1"/>
  <c r="E22" i="33"/>
  <c r="B22" i="33"/>
  <c r="N21" i="33"/>
  <c r="M21" i="33"/>
  <c r="K21" i="33"/>
  <c r="E21" i="33"/>
  <c r="B21" i="33"/>
  <c r="M20" i="33"/>
  <c r="K20" i="33"/>
  <c r="N20" i="33" s="1"/>
  <c r="E20" i="33"/>
  <c r="B20" i="33"/>
  <c r="N19" i="33"/>
  <c r="M19" i="33"/>
  <c r="K19" i="33"/>
  <c r="E19" i="33"/>
  <c r="B19" i="33"/>
  <c r="M18" i="33"/>
  <c r="K18" i="33"/>
  <c r="N18" i="33" s="1"/>
  <c r="E18" i="33"/>
  <c r="B18" i="33"/>
  <c r="N17" i="33"/>
  <c r="M17" i="33"/>
  <c r="K17" i="33"/>
  <c r="E17" i="33"/>
  <c r="B17" i="33"/>
  <c r="M16" i="33"/>
  <c r="K16" i="33"/>
  <c r="N16" i="33" s="1"/>
  <c r="E16" i="33"/>
  <c r="B16" i="33"/>
  <c r="N15" i="33"/>
  <c r="M15" i="33"/>
  <c r="K15" i="33"/>
  <c r="E15" i="33"/>
  <c r="B15" i="33"/>
  <c r="M14" i="33"/>
  <c r="K14" i="33"/>
  <c r="N14" i="33" s="1"/>
  <c r="E14" i="33"/>
  <c r="B14" i="33"/>
  <c r="N13" i="33"/>
  <c r="M13" i="33"/>
  <c r="K13" i="33"/>
  <c r="E13" i="33"/>
  <c r="B13" i="33"/>
  <c r="M12" i="33"/>
  <c r="K12" i="33"/>
  <c r="N12" i="33" s="1"/>
  <c r="E12" i="33"/>
  <c r="B12" i="33"/>
  <c r="N11" i="33"/>
  <c r="M11" i="33"/>
  <c r="K11" i="33"/>
  <c r="E11" i="33"/>
  <c r="B11" i="33"/>
  <c r="M10" i="33"/>
  <c r="K10" i="33"/>
  <c r="N10" i="33" s="1"/>
  <c r="E10" i="33"/>
  <c r="B10" i="33"/>
  <c r="N9" i="33"/>
  <c r="M9" i="33"/>
  <c r="K9" i="33"/>
  <c r="E9" i="33"/>
  <c r="B9" i="33"/>
  <c r="M8" i="33"/>
  <c r="K8" i="33"/>
  <c r="N8" i="33" s="1"/>
  <c r="E8" i="33"/>
  <c r="B8" i="33"/>
  <c r="N7" i="33"/>
  <c r="M7" i="33"/>
  <c r="K7" i="33"/>
  <c r="E7" i="33"/>
  <c r="B7" i="33"/>
  <c r="M6" i="33"/>
  <c r="K6" i="33"/>
  <c r="N6" i="33" s="1"/>
  <c r="E6" i="33"/>
  <c r="B6" i="33"/>
  <c r="N5" i="33"/>
  <c r="M5" i="33"/>
  <c r="K5" i="33"/>
  <c r="E5" i="33"/>
  <c r="B5" i="33"/>
  <c r="M4" i="33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N133" i="25"/>
  <c r="M133" i="25"/>
  <c r="K133" i="25"/>
  <c r="E133" i="25"/>
  <c r="B133" i="25"/>
  <c r="M132" i="25"/>
  <c r="K132" i="25"/>
  <c r="N132" i="25" s="1"/>
  <c r="E132" i="25"/>
  <c r="B132" i="25"/>
  <c r="M131" i="25"/>
  <c r="K131" i="25"/>
  <c r="N131" i="25" s="1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K128" i="25"/>
  <c r="N128" i="25" s="1"/>
  <c r="E128" i="25"/>
  <c r="B128" i="25"/>
  <c r="M127" i="25"/>
  <c r="K127" i="25"/>
  <c r="N127" i="25" s="1"/>
  <c r="E127" i="25"/>
  <c r="B127" i="25"/>
  <c r="M126" i="25"/>
  <c r="N126" i="25" s="1"/>
  <c r="K126" i="25"/>
  <c r="E126" i="25"/>
  <c r="B126" i="25"/>
  <c r="N125" i="25"/>
  <c r="M125" i="25"/>
  <c r="K125" i="25"/>
  <c r="E125" i="25"/>
  <c r="B125" i="25"/>
  <c r="M124" i="25"/>
  <c r="K124" i="25"/>
  <c r="N124" i="25" s="1"/>
  <c r="E124" i="25"/>
  <c r="B124" i="25"/>
  <c r="M123" i="25"/>
  <c r="K123" i="25"/>
  <c r="N123" i="25" s="1"/>
  <c r="E123" i="25"/>
  <c r="B123" i="25"/>
  <c r="M122" i="25"/>
  <c r="N122" i="25" s="1"/>
  <c r="K122" i="25"/>
  <c r="E122" i="25"/>
  <c r="B122" i="25"/>
  <c r="N121" i="25"/>
  <c r="M121" i="25"/>
  <c r="K121" i="25"/>
  <c r="E121" i="25"/>
  <c r="B121" i="25"/>
  <c r="M120" i="25"/>
  <c r="K120" i="25"/>
  <c r="N120" i="25" s="1"/>
  <c r="E120" i="25"/>
  <c r="B120" i="25"/>
  <c r="M119" i="25"/>
  <c r="K119" i="25"/>
  <c r="N119" i="25" s="1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K116" i="25"/>
  <c r="N116" i="25" s="1"/>
  <c r="E116" i="25"/>
  <c r="B116" i="25"/>
  <c r="M115" i="25"/>
  <c r="K115" i="25"/>
  <c r="N115" i="25" s="1"/>
  <c r="E115" i="25"/>
  <c r="B115" i="25"/>
  <c r="M114" i="25"/>
  <c r="N114" i="25" s="1"/>
  <c r="K114" i="25"/>
  <c r="E114" i="25"/>
  <c r="B114" i="25"/>
  <c r="N113" i="25"/>
  <c r="M113" i="25"/>
  <c r="K113" i="25"/>
  <c r="E113" i="25"/>
  <c r="B113" i="25"/>
  <c r="M112" i="25"/>
  <c r="K112" i="25"/>
  <c r="N112" i="25" s="1"/>
  <c r="E112" i="25"/>
  <c r="B112" i="25"/>
  <c r="M111" i="25"/>
  <c r="K111" i="25"/>
  <c r="N111" i="25" s="1"/>
  <c r="E111" i="25"/>
  <c r="B111" i="25"/>
  <c r="M110" i="25"/>
  <c r="N110" i="25" s="1"/>
  <c r="K110" i="25"/>
  <c r="E110" i="25"/>
  <c r="B110" i="25"/>
  <c r="N109" i="25"/>
  <c r="M109" i="25"/>
  <c r="K109" i="25"/>
  <c r="E109" i="25"/>
  <c r="B109" i="25"/>
  <c r="M108" i="25"/>
  <c r="K108" i="25"/>
  <c r="N108" i="25" s="1"/>
  <c r="E108" i="25"/>
  <c r="B108" i="25"/>
  <c r="M107" i="25"/>
  <c r="K107" i="25"/>
  <c r="N107" i="25" s="1"/>
  <c r="E107" i="25"/>
  <c r="B107" i="25"/>
  <c r="M106" i="25"/>
  <c r="N106" i="25" s="1"/>
  <c r="K106" i="25"/>
  <c r="E106" i="25"/>
  <c r="B106" i="25"/>
  <c r="N105" i="25"/>
  <c r="M105" i="25"/>
  <c r="K105" i="25"/>
  <c r="E105" i="25"/>
  <c r="B105" i="25"/>
  <c r="M104" i="25"/>
  <c r="K104" i="25"/>
  <c r="N104" i="25" s="1"/>
  <c r="E104" i="25"/>
  <c r="B104" i="25"/>
  <c r="M103" i="25"/>
  <c r="K103" i="25"/>
  <c r="N103" i="25" s="1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K100" i="25"/>
  <c r="N100" i="25" s="1"/>
  <c r="E100" i="25"/>
  <c r="B100" i="25"/>
  <c r="M99" i="25"/>
  <c r="K99" i="25"/>
  <c r="N99" i="25" s="1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K96" i="25"/>
  <c r="N96" i="25" s="1"/>
  <c r="E96" i="25"/>
  <c r="B96" i="25"/>
  <c r="M95" i="25"/>
  <c r="K95" i="25"/>
  <c r="N95" i="25" s="1"/>
  <c r="E95" i="25"/>
  <c r="B95" i="25"/>
  <c r="M94" i="25"/>
  <c r="N94" i="25" s="1"/>
  <c r="K94" i="25"/>
  <c r="E94" i="25"/>
  <c r="B94" i="25"/>
  <c r="N93" i="25"/>
  <c r="M93" i="25"/>
  <c r="K93" i="25"/>
  <c r="E93" i="25"/>
  <c r="B93" i="25"/>
  <c r="M92" i="25"/>
  <c r="K92" i="25"/>
  <c r="N92" i="25" s="1"/>
  <c r="E92" i="25"/>
  <c r="B92" i="25"/>
  <c r="M91" i="25"/>
  <c r="K91" i="25"/>
  <c r="N91" i="25" s="1"/>
  <c r="E91" i="25"/>
  <c r="B91" i="25"/>
  <c r="M90" i="25"/>
  <c r="N90" i="25" s="1"/>
  <c r="K90" i="25"/>
  <c r="E90" i="25"/>
  <c r="B90" i="25"/>
  <c r="N89" i="25"/>
  <c r="M89" i="25"/>
  <c r="K89" i="25"/>
  <c r="E89" i="25"/>
  <c r="B89" i="25"/>
  <c r="M88" i="25"/>
  <c r="K88" i="25"/>
  <c r="N88" i="25" s="1"/>
  <c r="E88" i="25"/>
  <c r="B88" i="25"/>
  <c r="M87" i="25"/>
  <c r="K87" i="25"/>
  <c r="N87" i="25" s="1"/>
  <c r="E87" i="25"/>
  <c r="B87" i="25"/>
  <c r="M86" i="25"/>
  <c r="N86" i="25" s="1"/>
  <c r="K86" i="25"/>
  <c r="E86" i="25"/>
  <c r="B86" i="25"/>
  <c r="N85" i="25"/>
  <c r="M85" i="25"/>
  <c r="K85" i="25"/>
  <c r="E85" i="25"/>
  <c r="B85" i="25"/>
  <c r="M84" i="25"/>
  <c r="K84" i="25"/>
  <c r="N84" i="25" s="1"/>
  <c r="E84" i="25"/>
  <c r="B84" i="25"/>
  <c r="M83" i="25"/>
  <c r="K83" i="25"/>
  <c r="N83" i="25" s="1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K80" i="25"/>
  <c r="N80" i="25" s="1"/>
  <c r="E80" i="25"/>
  <c r="B80" i="25"/>
  <c r="M79" i="25"/>
  <c r="K79" i="25"/>
  <c r="N79" i="25" s="1"/>
  <c r="E79" i="25"/>
  <c r="B79" i="25"/>
  <c r="M78" i="25"/>
  <c r="N78" i="25" s="1"/>
  <c r="K78" i="25"/>
  <c r="E78" i="25"/>
  <c r="B78" i="25"/>
  <c r="N77" i="25"/>
  <c r="M77" i="25"/>
  <c r="K77" i="25"/>
  <c r="E77" i="25"/>
  <c r="B77" i="25"/>
  <c r="M76" i="25"/>
  <c r="K76" i="25"/>
  <c r="N76" i="25" s="1"/>
  <c r="E76" i="25"/>
  <c r="B76" i="25"/>
  <c r="M75" i="25"/>
  <c r="K75" i="25"/>
  <c r="N75" i="25" s="1"/>
  <c r="E75" i="25"/>
  <c r="B75" i="25"/>
  <c r="M74" i="25"/>
  <c r="N74" i="25" s="1"/>
  <c r="K74" i="25"/>
  <c r="E74" i="25"/>
  <c r="B74" i="25"/>
  <c r="N73" i="25"/>
  <c r="M73" i="25"/>
  <c r="K73" i="25"/>
  <c r="E73" i="25"/>
  <c r="B73" i="25"/>
  <c r="M72" i="25"/>
  <c r="K72" i="25"/>
  <c r="N72" i="25" s="1"/>
  <c r="E72" i="25"/>
  <c r="B72" i="25"/>
  <c r="M71" i="25"/>
  <c r="K71" i="25"/>
  <c r="N71" i="25" s="1"/>
  <c r="E71" i="25"/>
  <c r="B71" i="25"/>
  <c r="N70" i="25"/>
  <c r="M70" i="25"/>
  <c r="K70" i="25"/>
  <c r="E70" i="25"/>
  <c r="B70" i="25"/>
  <c r="M69" i="25"/>
  <c r="K69" i="25"/>
  <c r="N69" i="25" s="1"/>
  <c r="E69" i="25"/>
  <c r="B69" i="25"/>
  <c r="M68" i="25"/>
  <c r="K68" i="25"/>
  <c r="N68" i="25" s="1"/>
  <c r="E68" i="25"/>
  <c r="B68" i="25"/>
  <c r="M67" i="25"/>
  <c r="K67" i="25"/>
  <c r="N67" i="25" s="1"/>
  <c r="E67" i="25"/>
  <c r="B67" i="25"/>
  <c r="N66" i="25"/>
  <c r="M66" i="25"/>
  <c r="K66" i="25"/>
  <c r="E66" i="25"/>
  <c r="B66" i="25"/>
  <c r="M65" i="25"/>
  <c r="K65" i="25"/>
  <c r="N65" i="25" s="1"/>
  <c r="E65" i="25"/>
  <c r="B65" i="25"/>
  <c r="M64" i="25"/>
  <c r="K64" i="25"/>
  <c r="N64" i="25" s="1"/>
  <c r="E64" i="25"/>
  <c r="B64" i="25"/>
  <c r="N63" i="25"/>
  <c r="M63" i="25"/>
  <c r="K63" i="25"/>
  <c r="E63" i="25"/>
  <c r="B63" i="25"/>
  <c r="M62" i="25"/>
  <c r="K62" i="25"/>
  <c r="N62" i="25" s="1"/>
  <c r="E62" i="25"/>
  <c r="B62" i="25"/>
  <c r="M61" i="25"/>
  <c r="K61" i="25"/>
  <c r="N61" i="25" s="1"/>
  <c r="E61" i="25"/>
  <c r="B61" i="25"/>
  <c r="M60" i="25"/>
  <c r="K60" i="25"/>
  <c r="N60" i="25" s="1"/>
  <c r="E60" i="25"/>
  <c r="B60" i="25"/>
  <c r="N59" i="25"/>
  <c r="M59" i="25"/>
  <c r="K59" i="25"/>
  <c r="E59" i="25"/>
  <c r="B59" i="25"/>
  <c r="N58" i="25"/>
  <c r="M58" i="25"/>
  <c r="K58" i="25"/>
  <c r="E58" i="25"/>
  <c r="B58" i="25"/>
  <c r="M57" i="25"/>
  <c r="K57" i="25"/>
  <c r="N57" i="25" s="1"/>
  <c r="E57" i="25"/>
  <c r="B57" i="25"/>
  <c r="M56" i="25"/>
  <c r="K56" i="25"/>
  <c r="N56" i="25" s="1"/>
  <c r="E56" i="25"/>
  <c r="B56" i="25"/>
  <c r="N55" i="25"/>
  <c r="M55" i="25"/>
  <c r="K55" i="25"/>
  <c r="E55" i="25"/>
  <c r="B55" i="25"/>
  <c r="M54" i="25"/>
  <c r="K54" i="25"/>
  <c r="N54" i="25" s="1"/>
  <c r="E54" i="25"/>
  <c r="B54" i="25"/>
  <c r="M53" i="25"/>
  <c r="K53" i="25"/>
  <c r="N53" i="25" s="1"/>
  <c r="E53" i="25"/>
  <c r="B53" i="25"/>
  <c r="M52" i="25"/>
  <c r="K52" i="25"/>
  <c r="N52" i="25" s="1"/>
  <c r="E52" i="25"/>
  <c r="B52" i="25"/>
  <c r="N51" i="25"/>
  <c r="M51" i="25"/>
  <c r="K51" i="25"/>
  <c r="E51" i="25"/>
  <c r="B51" i="25"/>
  <c r="N50" i="25"/>
  <c r="M50" i="25"/>
  <c r="K50" i="25"/>
  <c r="E50" i="25"/>
  <c r="B50" i="25"/>
  <c r="M49" i="25"/>
  <c r="K49" i="25"/>
  <c r="N49" i="25" s="1"/>
  <c r="E49" i="25"/>
  <c r="B49" i="25"/>
  <c r="M48" i="25"/>
  <c r="K48" i="25"/>
  <c r="N48" i="25" s="1"/>
  <c r="E48" i="25"/>
  <c r="B48" i="25"/>
  <c r="N47" i="25"/>
  <c r="M47" i="25"/>
  <c r="K47" i="25"/>
  <c r="E47" i="25"/>
  <c r="B47" i="25"/>
  <c r="M46" i="25"/>
  <c r="K46" i="25"/>
  <c r="N46" i="25" s="1"/>
  <c r="E46" i="25"/>
  <c r="B46" i="25"/>
  <c r="M45" i="25"/>
  <c r="K45" i="25"/>
  <c r="N45" i="25" s="1"/>
  <c r="E45" i="25"/>
  <c r="B45" i="25"/>
  <c r="M44" i="25"/>
  <c r="K44" i="25"/>
  <c r="N44" i="25" s="1"/>
  <c r="E44" i="25"/>
  <c r="B44" i="25"/>
  <c r="N43" i="25"/>
  <c r="M43" i="25"/>
  <c r="K43" i="25"/>
  <c r="E43" i="25"/>
  <c r="B43" i="25"/>
  <c r="N42" i="25"/>
  <c r="M42" i="25"/>
  <c r="K42" i="25"/>
  <c r="E42" i="25"/>
  <c r="B42" i="25"/>
  <c r="M41" i="25"/>
  <c r="K41" i="25"/>
  <c r="N41" i="25" s="1"/>
  <c r="E41" i="25"/>
  <c r="B41" i="25"/>
  <c r="M40" i="25"/>
  <c r="K40" i="25"/>
  <c r="N40" i="25" s="1"/>
  <c r="E40" i="25"/>
  <c r="B40" i="25"/>
  <c r="N39" i="25"/>
  <c r="M39" i="25"/>
  <c r="K39" i="25"/>
  <c r="E39" i="25"/>
  <c r="B39" i="25"/>
  <c r="M38" i="25"/>
  <c r="K38" i="25"/>
  <c r="N38" i="25" s="1"/>
  <c r="E38" i="25"/>
  <c r="B38" i="25"/>
  <c r="M37" i="25"/>
  <c r="K37" i="25"/>
  <c r="N37" i="25" s="1"/>
  <c r="E37" i="25"/>
  <c r="B37" i="25"/>
  <c r="M36" i="25"/>
  <c r="K36" i="25"/>
  <c r="N36" i="25" s="1"/>
  <c r="E36" i="25"/>
  <c r="B36" i="25"/>
  <c r="N35" i="25"/>
  <c r="M35" i="25"/>
  <c r="K35" i="25"/>
  <c r="E35" i="25"/>
  <c r="B35" i="25"/>
  <c r="N34" i="25"/>
  <c r="M34" i="25"/>
  <c r="K34" i="25"/>
  <c r="E34" i="25"/>
  <c r="B34" i="25"/>
  <c r="M33" i="25"/>
  <c r="K33" i="25"/>
  <c r="N33" i="25" s="1"/>
  <c r="E33" i="25"/>
  <c r="B33" i="25"/>
  <c r="M32" i="25"/>
  <c r="K32" i="25"/>
  <c r="N32" i="25" s="1"/>
  <c r="E32" i="25"/>
  <c r="B32" i="25"/>
  <c r="N31" i="25"/>
  <c r="M31" i="25"/>
  <c r="K31" i="25"/>
  <c r="E31" i="25"/>
  <c r="B31" i="25"/>
  <c r="M30" i="25"/>
  <c r="K30" i="25"/>
  <c r="N30" i="25" s="1"/>
  <c r="E30" i="25"/>
  <c r="B30" i="25"/>
  <c r="M29" i="25"/>
  <c r="K29" i="25"/>
  <c r="N29" i="25" s="1"/>
  <c r="E29" i="25"/>
  <c r="B29" i="25"/>
  <c r="M28" i="25"/>
  <c r="K28" i="25"/>
  <c r="N28" i="25" s="1"/>
  <c r="E28" i="25"/>
  <c r="B28" i="25"/>
  <c r="N27" i="25"/>
  <c r="M27" i="25"/>
  <c r="K27" i="25"/>
  <c r="E27" i="25"/>
  <c r="B27" i="25"/>
  <c r="N26" i="25"/>
  <c r="M26" i="25"/>
  <c r="K26" i="25"/>
  <c r="E26" i="25"/>
  <c r="B26" i="25"/>
  <c r="M25" i="25"/>
  <c r="K25" i="25"/>
  <c r="N25" i="25" s="1"/>
  <c r="E25" i="25"/>
  <c r="B25" i="25"/>
  <c r="M24" i="25"/>
  <c r="K24" i="25"/>
  <c r="N24" i="25" s="1"/>
  <c r="E24" i="25"/>
  <c r="B24" i="25"/>
  <c r="N23" i="25"/>
  <c r="M23" i="25"/>
  <c r="K23" i="25"/>
  <c r="E23" i="25"/>
  <c r="B23" i="25"/>
  <c r="M22" i="25"/>
  <c r="K22" i="25"/>
  <c r="N22" i="25" s="1"/>
  <c r="E22" i="25"/>
  <c r="B22" i="25"/>
  <c r="M21" i="25"/>
  <c r="K21" i="25"/>
  <c r="N21" i="25" s="1"/>
  <c r="E21" i="25"/>
  <c r="B21" i="25"/>
  <c r="M20" i="25"/>
  <c r="K20" i="25"/>
  <c r="N20" i="25" s="1"/>
  <c r="E20" i="25"/>
  <c r="B20" i="25"/>
  <c r="N19" i="25"/>
  <c r="M19" i="25"/>
  <c r="K19" i="25"/>
  <c r="E19" i="25"/>
  <c r="B19" i="25"/>
  <c r="N18" i="25"/>
  <c r="M18" i="25"/>
  <c r="K18" i="25"/>
  <c r="E18" i="25"/>
  <c r="B18" i="25"/>
  <c r="M17" i="25"/>
  <c r="K17" i="25"/>
  <c r="N17" i="25" s="1"/>
  <c r="E17" i="25"/>
  <c r="B17" i="25"/>
  <c r="M16" i="25"/>
  <c r="K16" i="25"/>
  <c r="N16" i="25" s="1"/>
  <c r="E16" i="25"/>
  <c r="B16" i="25"/>
  <c r="N15" i="25"/>
  <c r="M15" i="25"/>
  <c r="K15" i="25"/>
  <c r="E15" i="25"/>
  <c r="B15" i="25"/>
  <c r="M14" i="25"/>
  <c r="K14" i="25"/>
  <c r="N14" i="25" s="1"/>
  <c r="E14" i="25"/>
  <c r="B14" i="25"/>
  <c r="M13" i="25"/>
  <c r="K13" i="25"/>
  <c r="N13" i="25" s="1"/>
  <c r="E13" i="25"/>
  <c r="B13" i="25"/>
  <c r="M12" i="25"/>
  <c r="K12" i="25"/>
  <c r="N12" i="25" s="1"/>
  <c r="E12" i="25"/>
  <c r="B12" i="25"/>
  <c r="N11" i="25"/>
  <c r="M11" i="25"/>
  <c r="K11" i="25"/>
  <c r="E11" i="25"/>
  <c r="B11" i="25"/>
  <c r="N10" i="25"/>
  <c r="M10" i="25"/>
  <c r="K10" i="25"/>
  <c r="E10" i="25"/>
  <c r="B10" i="25"/>
  <c r="M9" i="25"/>
  <c r="K9" i="25"/>
  <c r="N9" i="25" s="1"/>
  <c r="E9" i="25"/>
  <c r="B9" i="25"/>
  <c r="M8" i="25"/>
  <c r="K8" i="25"/>
  <c r="N8" i="25" s="1"/>
  <c r="E8" i="25"/>
  <c r="B8" i="25"/>
  <c r="N7" i="25"/>
  <c r="M7" i="25"/>
  <c r="K7" i="25"/>
  <c r="E7" i="25"/>
  <c r="B7" i="25"/>
  <c r="M6" i="25"/>
  <c r="K6" i="25"/>
  <c r="N6" i="25" s="1"/>
  <c r="E6" i="25"/>
  <c r="B6" i="25"/>
  <c r="M5" i="25"/>
  <c r="K5" i="25"/>
  <c r="N5" i="25" s="1"/>
  <c r="E5" i="25"/>
  <c r="B5" i="25"/>
  <c r="M4" i="25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N2" i="25" s="1"/>
  <c r="F2" i="25"/>
  <c r="N134" i="32"/>
  <c r="M134" i="32"/>
  <c r="K134" i="32"/>
  <c r="E134" i="32"/>
  <c r="B134" i="32"/>
  <c r="M133" i="32"/>
  <c r="K133" i="32"/>
  <c r="N133" i="32" s="1"/>
  <c r="E133" i="32"/>
  <c r="B133" i="32"/>
  <c r="N132" i="32"/>
  <c r="M132" i="32"/>
  <c r="K132" i="32"/>
  <c r="E132" i="32"/>
  <c r="B132" i="32"/>
  <c r="M131" i="32"/>
  <c r="K131" i="32"/>
  <c r="E131" i="32"/>
  <c r="B131" i="32"/>
  <c r="N130" i="32"/>
  <c r="M130" i="32"/>
  <c r="K130" i="32"/>
  <c r="E130" i="32"/>
  <c r="B130" i="32"/>
  <c r="M129" i="32"/>
  <c r="K129" i="32"/>
  <c r="N129" i="32" s="1"/>
  <c r="E129" i="32"/>
  <c r="B129" i="32"/>
  <c r="N128" i="32"/>
  <c r="M128" i="32"/>
  <c r="K128" i="32"/>
  <c r="E128" i="32"/>
  <c r="B128" i="32"/>
  <c r="M127" i="32"/>
  <c r="K127" i="32"/>
  <c r="N127" i="32" s="1"/>
  <c r="E127" i="32"/>
  <c r="B127" i="32"/>
  <c r="N126" i="32"/>
  <c r="M126" i="32"/>
  <c r="K126" i="32"/>
  <c r="E126" i="32"/>
  <c r="B126" i="32"/>
  <c r="M125" i="32"/>
  <c r="K125" i="32"/>
  <c r="N125" i="32" s="1"/>
  <c r="E125" i="32"/>
  <c r="B125" i="32"/>
  <c r="M124" i="32"/>
  <c r="N124" i="32" s="1"/>
  <c r="K124" i="32"/>
  <c r="E124" i="32"/>
  <c r="B124" i="32"/>
  <c r="M123" i="32"/>
  <c r="K123" i="32"/>
  <c r="E123" i="32"/>
  <c r="B123" i="32"/>
  <c r="N122" i="32"/>
  <c r="M122" i="32"/>
  <c r="K122" i="32"/>
  <c r="E122" i="32"/>
  <c r="B122" i="32"/>
  <c r="M121" i="32"/>
  <c r="K121" i="32"/>
  <c r="N121" i="32" s="1"/>
  <c r="E121" i="32"/>
  <c r="B121" i="32"/>
  <c r="N120" i="32"/>
  <c r="M120" i="32"/>
  <c r="K120" i="32"/>
  <c r="E120" i="32"/>
  <c r="B120" i="32"/>
  <c r="M119" i="32"/>
  <c r="K119" i="32"/>
  <c r="E119" i="32"/>
  <c r="B119" i="32"/>
  <c r="N118" i="32"/>
  <c r="M118" i="32"/>
  <c r="K118" i="32"/>
  <c r="E118" i="32"/>
  <c r="B118" i="32"/>
  <c r="M117" i="32"/>
  <c r="K117" i="32"/>
  <c r="N117" i="32" s="1"/>
  <c r="E117" i="32"/>
  <c r="B117" i="32"/>
  <c r="N116" i="32"/>
  <c r="M116" i="32"/>
  <c r="K116" i="32"/>
  <c r="E116" i="32"/>
  <c r="B116" i="32"/>
  <c r="M115" i="32"/>
  <c r="K115" i="32"/>
  <c r="E115" i="32"/>
  <c r="B115" i="32"/>
  <c r="N114" i="32"/>
  <c r="M114" i="32"/>
  <c r="K114" i="32"/>
  <c r="E114" i="32"/>
  <c r="B114" i="32"/>
  <c r="M113" i="32"/>
  <c r="K113" i="32"/>
  <c r="N113" i="32" s="1"/>
  <c r="E113" i="32"/>
  <c r="B113" i="32"/>
  <c r="N112" i="32"/>
  <c r="M112" i="32"/>
  <c r="K112" i="32"/>
  <c r="E112" i="32"/>
  <c r="B112" i="32"/>
  <c r="M111" i="32"/>
  <c r="K111" i="32"/>
  <c r="N111" i="32" s="1"/>
  <c r="E111" i="32"/>
  <c r="B111" i="32"/>
  <c r="N110" i="32"/>
  <c r="M110" i="32"/>
  <c r="K110" i="32"/>
  <c r="E110" i="32"/>
  <c r="B110" i="32"/>
  <c r="M109" i="32"/>
  <c r="K109" i="32"/>
  <c r="N109" i="32" s="1"/>
  <c r="E109" i="32"/>
  <c r="B109" i="32"/>
  <c r="M108" i="32"/>
  <c r="N108" i="32" s="1"/>
  <c r="K108" i="32"/>
  <c r="E108" i="32"/>
  <c r="B108" i="32"/>
  <c r="M107" i="32"/>
  <c r="K107" i="32"/>
  <c r="E107" i="32"/>
  <c r="B107" i="32"/>
  <c r="N106" i="32"/>
  <c r="M106" i="32"/>
  <c r="K106" i="32"/>
  <c r="E106" i="32"/>
  <c r="B106" i="32"/>
  <c r="M105" i="32"/>
  <c r="K105" i="32"/>
  <c r="N105" i="32" s="1"/>
  <c r="E105" i="32"/>
  <c r="B105" i="32"/>
  <c r="N104" i="32"/>
  <c r="M104" i="32"/>
  <c r="K104" i="32"/>
  <c r="E104" i="32"/>
  <c r="B104" i="32"/>
  <c r="M103" i="32"/>
  <c r="K103" i="32"/>
  <c r="E103" i="32"/>
  <c r="B103" i="32"/>
  <c r="N102" i="32"/>
  <c r="M102" i="32"/>
  <c r="K102" i="32"/>
  <c r="E102" i="32"/>
  <c r="B102" i="32"/>
  <c r="M101" i="32"/>
  <c r="K101" i="32"/>
  <c r="N101" i="32" s="1"/>
  <c r="E101" i="32"/>
  <c r="B101" i="32"/>
  <c r="N100" i="32"/>
  <c r="M100" i="32"/>
  <c r="K100" i="32"/>
  <c r="E100" i="32"/>
  <c r="B100" i="32"/>
  <c r="M99" i="32"/>
  <c r="K99" i="32"/>
  <c r="E99" i="32"/>
  <c r="B99" i="32"/>
  <c r="N98" i="32"/>
  <c r="M98" i="32"/>
  <c r="K98" i="32"/>
  <c r="E98" i="32"/>
  <c r="B98" i="32"/>
  <c r="M97" i="32"/>
  <c r="K97" i="32"/>
  <c r="N97" i="32" s="1"/>
  <c r="E97" i="32"/>
  <c r="B97" i="32"/>
  <c r="N96" i="32"/>
  <c r="M96" i="32"/>
  <c r="K96" i="32"/>
  <c r="E96" i="32"/>
  <c r="B96" i="32"/>
  <c r="M95" i="32"/>
  <c r="K95" i="32"/>
  <c r="N95" i="32" s="1"/>
  <c r="E95" i="32"/>
  <c r="B95" i="32"/>
  <c r="M94" i="32"/>
  <c r="N94" i="32" s="1"/>
  <c r="K94" i="32"/>
  <c r="E94" i="32"/>
  <c r="B94" i="32"/>
  <c r="M93" i="32"/>
  <c r="K93" i="32"/>
  <c r="N93" i="32" s="1"/>
  <c r="E93" i="32"/>
  <c r="B93" i="32"/>
  <c r="M92" i="32"/>
  <c r="N92" i="32" s="1"/>
  <c r="K92" i="32"/>
  <c r="E92" i="32"/>
  <c r="B92" i="32"/>
  <c r="M91" i="32"/>
  <c r="K91" i="32"/>
  <c r="E91" i="32"/>
  <c r="B91" i="32"/>
  <c r="M90" i="32"/>
  <c r="N90" i="32" s="1"/>
  <c r="K90" i="32"/>
  <c r="E90" i="32"/>
  <c r="B90" i="32"/>
  <c r="M89" i="32"/>
  <c r="K89" i="32"/>
  <c r="N89" i="32" s="1"/>
  <c r="E89" i="32"/>
  <c r="B89" i="32"/>
  <c r="N88" i="32"/>
  <c r="M88" i="32"/>
  <c r="K88" i="32"/>
  <c r="E88" i="32"/>
  <c r="B88" i="32"/>
  <c r="M87" i="32"/>
  <c r="K87" i="32"/>
  <c r="E87" i="32"/>
  <c r="B87" i="32"/>
  <c r="M86" i="32"/>
  <c r="N86" i="32" s="1"/>
  <c r="K86" i="32"/>
  <c r="E86" i="32"/>
  <c r="B86" i="32"/>
  <c r="M85" i="32"/>
  <c r="K85" i="32"/>
  <c r="N85" i="32" s="1"/>
  <c r="E85" i="32"/>
  <c r="B85" i="32"/>
  <c r="N84" i="32"/>
  <c r="M84" i="32"/>
  <c r="K84" i="32"/>
  <c r="E84" i="32"/>
  <c r="B84" i="32"/>
  <c r="M83" i="32"/>
  <c r="K83" i="32"/>
  <c r="E83" i="32"/>
  <c r="B83" i="32"/>
  <c r="M82" i="32"/>
  <c r="N82" i="32" s="1"/>
  <c r="K82" i="32"/>
  <c r="E82" i="32"/>
  <c r="B82" i="32"/>
  <c r="M81" i="32"/>
  <c r="K81" i="32"/>
  <c r="N81" i="32" s="1"/>
  <c r="E81" i="32"/>
  <c r="B81" i="32"/>
  <c r="N80" i="32"/>
  <c r="M80" i="32"/>
  <c r="K80" i="32"/>
  <c r="E80" i="32"/>
  <c r="B80" i="32"/>
  <c r="M79" i="32"/>
  <c r="K79" i="32"/>
  <c r="N79" i="32" s="1"/>
  <c r="E79" i="32"/>
  <c r="B79" i="32"/>
  <c r="M78" i="32"/>
  <c r="N78" i="32" s="1"/>
  <c r="K78" i="32"/>
  <c r="E78" i="32"/>
  <c r="B78" i="32"/>
  <c r="M77" i="32"/>
  <c r="K77" i="32"/>
  <c r="N77" i="32" s="1"/>
  <c r="E77" i="32"/>
  <c r="B77" i="32"/>
  <c r="M76" i="32"/>
  <c r="N76" i="32" s="1"/>
  <c r="K76" i="32"/>
  <c r="E76" i="32"/>
  <c r="B76" i="32"/>
  <c r="M75" i="32"/>
  <c r="K75" i="32"/>
  <c r="E75" i="32"/>
  <c r="B75" i="32"/>
  <c r="M74" i="32"/>
  <c r="N74" i="32" s="1"/>
  <c r="K74" i="32"/>
  <c r="E74" i="32"/>
  <c r="B74" i="32"/>
  <c r="M73" i="32"/>
  <c r="K73" i="32"/>
  <c r="E73" i="32"/>
  <c r="B73" i="32"/>
  <c r="N72" i="32"/>
  <c r="M72" i="32"/>
  <c r="K72" i="32"/>
  <c r="E72" i="32"/>
  <c r="B72" i="32"/>
  <c r="M71" i="32"/>
  <c r="K71" i="32"/>
  <c r="E71" i="32"/>
  <c r="B71" i="32"/>
  <c r="M70" i="32"/>
  <c r="N70" i="32" s="1"/>
  <c r="K70" i="32"/>
  <c r="E70" i="32"/>
  <c r="B70" i="32"/>
  <c r="M69" i="32"/>
  <c r="K69" i="32"/>
  <c r="N69" i="32" s="1"/>
  <c r="E69" i="32"/>
  <c r="B69" i="32"/>
  <c r="M68" i="32"/>
  <c r="K68" i="32"/>
  <c r="N68" i="32" s="1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K65" i="32"/>
  <c r="N65" i="32" s="1"/>
  <c r="E65" i="32"/>
  <c r="B65" i="32"/>
  <c r="M64" i="32"/>
  <c r="K64" i="32"/>
  <c r="N64" i="32" s="1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K61" i="32"/>
  <c r="N61" i="32" s="1"/>
  <c r="E61" i="32"/>
  <c r="B61" i="32"/>
  <c r="M60" i="32"/>
  <c r="K60" i="32"/>
  <c r="N60" i="32" s="1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K57" i="32"/>
  <c r="N57" i="32" s="1"/>
  <c r="E57" i="32"/>
  <c r="B57" i="32"/>
  <c r="M56" i="32"/>
  <c r="K56" i="32"/>
  <c r="N56" i="32" s="1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K53" i="32"/>
  <c r="N53" i="32" s="1"/>
  <c r="E53" i="32"/>
  <c r="B53" i="32"/>
  <c r="M52" i="32"/>
  <c r="K52" i="32"/>
  <c r="N52" i="32" s="1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K49" i="32"/>
  <c r="N49" i="32" s="1"/>
  <c r="E49" i="32"/>
  <c r="B49" i="32"/>
  <c r="M48" i="32"/>
  <c r="K48" i="32"/>
  <c r="N48" i="32" s="1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K45" i="32"/>
  <c r="N45" i="32" s="1"/>
  <c r="E45" i="32"/>
  <c r="B45" i="32"/>
  <c r="M44" i="32"/>
  <c r="K44" i="32"/>
  <c r="N44" i="32" s="1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K41" i="32"/>
  <c r="N41" i="32" s="1"/>
  <c r="E41" i="32"/>
  <c r="B41" i="32"/>
  <c r="M40" i="32"/>
  <c r="K40" i="32"/>
  <c r="N40" i="32" s="1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K37" i="32"/>
  <c r="N37" i="32" s="1"/>
  <c r="E37" i="32"/>
  <c r="B37" i="32"/>
  <c r="M36" i="32"/>
  <c r="K36" i="32"/>
  <c r="N36" i="32" s="1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K33" i="32"/>
  <c r="N33" i="32" s="1"/>
  <c r="E33" i="32"/>
  <c r="B33" i="32"/>
  <c r="M32" i="32"/>
  <c r="K32" i="32"/>
  <c r="N32" i="32" s="1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K29" i="32"/>
  <c r="N29" i="32" s="1"/>
  <c r="E29" i="32"/>
  <c r="B29" i="32"/>
  <c r="M28" i="32"/>
  <c r="K28" i="32"/>
  <c r="N28" i="32" s="1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K25" i="32"/>
  <c r="N25" i="32" s="1"/>
  <c r="E25" i="32"/>
  <c r="B25" i="32"/>
  <c r="M24" i="32"/>
  <c r="K24" i="32"/>
  <c r="N24" i="32" s="1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K21" i="32"/>
  <c r="N21" i="32" s="1"/>
  <c r="E21" i="32"/>
  <c r="B21" i="32"/>
  <c r="M20" i="32"/>
  <c r="K20" i="32"/>
  <c r="N20" i="32" s="1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K17" i="32"/>
  <c r="N17" i="32" s="1"/>
  <c r="E17" i="32"/>
  <c r="B17" i="32"/>
  <c r="M16" i="32"/>
  <c r="K16" i="32"/>
  <c r="N16" i="32" s="1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K13" i="32"/>
  <c r="N13" i="32" s="1"/>
  <c r="E13" i="32"/>
  <c r="B13" i="32"/>
  <c r="M12" i="32"/>
  <c r="K12" i="32"/>
  <c r="N12" i="32" s="1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K9" i="32"/>
  <c r="N9" i="32" s="1"/>
  <c r="E9" i="32"/>
  <c r="B9" i="32"/>
  <c r="M8" i="32"/>
  <c r="K8" i="32"/>
  <c r="N8" i="32" s="1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K5" i="32"/>
  <c r="N5" i="32" s="1"/>
  <c r="E5" i="32"/>
  <c r="B5" i="32"/>
  <c r="M4" i="32"/>
  <c r="K4" i="32"/>
  <c r="N4" i="32" s="1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N140" i="31"/>
  <c r="M140" i="31"/>
  <c r="K140" i="31"/>
  <c r="E140" i="31"/>
  <c r="B140" i="31"/>
  <c r="M139" i="31"/>
  <c r="K139" i="31"/>
  <c r="N139" i="31" s="1"/>
  <c r="E139" i="31"/>
  <c r="B139" i="31"/>
  <c r="N138" i="31"/>
  <c r="M138" i="31"/>
  <c r="K138" i="31"/>
  <c r="E138" i="31"/>
  <c r="B138" i="31"/>
  <c r="M137" i="31"/>
  <c r="K137" i="31"/>
  <c r="N137" i="31" s="1"/>
  <c r="E137" i="31"/>
  <c r="B137" i="31"/>
  <c r="N136" i="31"/>
  <c r="M136" i="31"/>
  <c r="K136" i="31"/>
  <c r="E136" i="31"/>
  <c r="B136" i="31"/>
  <c r="M135" i="31"/>
  <c r="K135" i="31"/>
  <c r="N135" i="31" s="1"/>
  <c r="E135" i="31"/>
  <c r="B135" i="31"/>
  <c r="N134" i="31"/>
  <c r="M134" i="31"/>
  <c r="K134" i="31"/>
  <c r="E134" i="31"/>
  <c r="B134" i="31"/>
  <c r="M133" i="31"/>
  <c r="K133" i="31"/>
  <c r="N133" i="31" s="1"/>
  <c r="E133" i="31"/>
  <c r="B133" i="31"/>
  <c r="N132" i="31"/>
  <c r="M132" i="31"/>
  <c r="K132" i="31"/>
  <c r="E132" i="31"/>
  <c r="B132" i="31"/>
  <c r="M131" i="31"/>
  <c r="K131" i="31"/>
  <c r="N131" i="31" s="1"/>
  <c r="E131" i="31"/>
  <c r="B131" i="31"/>
  <c r="N130" i="31"/>
  <c r="M130" i="31"/>
  <c r="K130" i="31"/>
  <c r="E130" i="31"/>
  <c r="B130" i="31"/>
  <c r="M129" i="31"/>
  <c r="K129" i="31"/>
  <c r="N129" i="31" s="1"/>
  <c r="E129" i="31"/>
  <c r="B129" i="31"/>
  <c r="N128" i="31"/>
  <c r="M128" i="31"/>
  <c r="K128" i="31"/>
  <c r="E128" i="31"/>
  <c r="B128" i="31"/>
  <c r="M127" i="31"/>
  <c r="K127" i="31"/>
  <c r="N127" i="31" s="1"/>
  <c r="E127" i="31"/>
  <c r="B127" i="31"/>
  <c r="N126" i="31"/>
  <c r="M126" i="31"/>
  <c r="K126" i="31"/>
  <c r="E126" i="31"/>
  <c r="B126" i="31"/>
  <c r="M125" i="31"/>
  <c r="K125" i="31"/>
  <c r="N125" i="31" s="1"/>
  <c r="E125" i="31"/>
  <c r="B125" i="31"/>
  <c r="N124" i="31"/>
  <c r="M124" i="31"/>
  <c r="K124" i="31"/>
  <c r="E124" i="31"/>
  <c r="B124" i="31"/>
  <c r="M123" i="31"/>
  <c r="K123" i="31"/>
  <c r="N123" i="31" s="1"/>
  <c r="E123" i="31"/>
  <c r="B123" i="31"/>
  <c r="N122" i="31"/>
  <c r="M122" i="31"/>
  <c r="K122" i="31"/>
  <c r="E122" i="31"/>
  <c r="B122" i="31"/>
  <c r="M121" i="31"/>
  <c r="K121" i="31"/>
  <c r="N121" i="31" s="1"/>
  <c r="E121" i="31"/>
  <c r="B121" i="31"/>
  <c r="N120" i="31"/>
  <c r="M120" i="31"/>
  <c r="K120" i="31"/>
  <c r="E120" i="31"/>
  <c r="B120" i="31"/>
  <c r="M119" i="31"/>
  <c r="K119" i="31"/>
  <c r="N119" i="31" s="1"/>
  <c r="E119" i="31"/>
  <c r="B119" i="31"/>
  <c r="N118" i="31"/>
  <c r="M118" i="31"/>
  <c r="K118" i="31"/>
  <c r="E118" i="31"/>
  <c r="B118" i="31"/>
  <c r="M117" i="31"/>
  <c r="K117" i="31"/>
  <c r="N117" i="31" s="1"/>
  <c r="E117" i="31"/>
  <c r="B117" i="31"/>
  <c r="N116" i="31"/>
  <c r="M116" i="31"/>
  <c r="K116" i="31"/>
  <c r="E116" i="31"/>
  <c r="B116" i="31"/>
  <c r="M115" i="31"/>
  <c r="K115" i="31"/>
  <c r="N115" i="31" s="1"/>
  <c r="E115" i="31"/>
  <c r="B115" i="31"/>
  <c r="N114" i="31"/>
  <c r="M114" i="31"/>
  <c r="K114" i="31"/>
  <c r="E114" i="31"/>
  <c r="B114" i="31"/>
  <c r="M113" i="31"/>
  <c r="K113" i="31"/>
  <c r="N113" i="31" s="1"/>
  <c r="E113" i="31"/>
  <c r="B113" i="31"/>
  <c r="N112" i="31"/>
  <c r="M112" i="31"/>
  <c r="K112" i="31"/>
  <c r="E112" i="31"/>
  <c r="B112" i="31"/>
  <c r="M111" i="31"/>
  <c r="K111" i="31"/>
  <c r="N111" i="31" s="1"/>
  <c r="E111" i="31"/>
  <c r="B111" i="31"/>
  <c r="N110" i="31"/>
  <c r="M110" i="31"/>
  <c r="K110" i="31"/>
  <c r="E110" i="31"/>
  <c r="B110" i="31"/>
  <c r="M109" i="31"/>
  <c r="K109" i="31"/>
  <c r="N109" i="31" s="1"/>
  <c r="E109" i="31"/>
  <c r="B109" i="31"/>
  <c r="N108" i="31"/>
  <c r="M108" i="31"/>
  <c r="K108" i="31"/>
  <c r="E108" i="31"/>
  <c r="B108" i="31"/>
  <c r="M107" i="31"/>
  <c r="K107" i="31"/>
  <c r="N107" i="31" s="1"/>
  <c r="E107" i="31"/>
  <c r="B107" i="31"/>
  <c r="N106" i="31"/>
  <c r="M106" i="31"/>
  <c r="K106" i="31"/>
  <c r="E106" i="31"/>
  <c r="B106" i="31"/>
  <c r="M105" i="31"/>
  <c r="K105" i="31"/>
  <c r="N105" i="31" s="1"/>
  <c r="E105" i="31"/>
  <c r="B105" i="31"/>
  <c r="N104" i="31"/>
  <c r="M104" i="31"/>
  <c r="K104" i="31"/>
  <c r="E104" i="31"/>
  <c r="B104" i="31"/>
  <c r="M103" i="31"/>
  <c r="K103" i="31"/>
  <c r="N103" i="31" s="1"/>
  <c r="E103" i="31"/>
  <c r="B103" i="31"/>
  <c r="N102" i="31"/>
  <c r="M102" i="31"/>
  <c r="K102" i="31"/>
  <c r="E102" i="31"/>
  <c r="B102" i="31"/>
  <c r="M101" i="31"/>
  <c r="K101" i="31"/>
  <c r="N101" i="31" s="1"/>
  <c r="E101" i="31"/>
  <c r="B101" i="31"/>
  <c r="N100" i="31"/>
  <c r="M100" i="31"/>
  <c r="K100" i="31"/>
  <c r="E100" i="31"/>
  <c r="B100" i="31"/>
  <c r="M99" i="31"/>
  <c r="K99" i="31"/>
  <c r="N99" i="31" s="1"/>
  <c r="E99" i="31"/>
  <c r="B99" i="31"/>
  <c r="N98" i="31"/>
  <c r="M98" i="31"/>
  <c r="K98" i="31"/>
  <c r="E98" i="31"/>
  <c r="B98" i="31"/>
  <c r="M97" i="31"/>
  <c r="K97" i="31"/>
  <c r="N97" i="31" s="1"/>
  <c r="E97" i="31"/>
  <c r="B97" i="31"/>
  <c r="N96" i="31"/>
  <c r="M96" i="31"/>
  <c r="K96" i="31"/>
  <c r="E96" i="31"/>
  <c r="B96" i="31"/>
  <c r="M95" i="31"/>
  <c r="K95" i="31"/>
  <c r="N95" i="31" s="1"/>
  <c r="E95" i="31"/>
  <c r="B95" i="31"/>
  <c r="N94" i="31"/>
  <c r="M94" i="31"/>
  <c r="K94" i="31"/>
  <c r="E94" i="31"/>
  <c r="B94" i="31"/>
  <c r="M93" i="31"/>
  <c r="K93" i="31"/>
  <c r="N93" i="31" s="1"/>
  <c r="E93" i="31"/>
  <c r="B93" i="31"/>
  <c r="N92" i="31"/>
  <c r="M92" i="31"/>
  <c r="K92" i="31"/>
  <c r="E92" i="31"/>
  <c r="B92" i="31"/>
  <c r="M91" i="31"/>
  <c r="K91" i="31"/>
  <c r="N91" i="31" s="1"/>
  <c r="E91" i="31"/>
  <c r="B91" i="31"/>
  <c r="N90" i="31"/>
  <c r="M90" i="31"/>
  <c r="K90" i="31"/>
  <c r="E90" i="31"/>
  <c r="B90" i="31"/>
  <c r="M89" i="31"/>
  <c r="K89" i="31"/>
  <c r="N89" i="31" s="1"/>
  <c r="E89" i="31"/>
  <c r="B89" i="31"/>
  <c r="N88" i="31"/>
  <c r="M88" i="31"/>
  <c r="K88" i="31"/>
  <c r="E88" i="31"/>
  <c r="B88" i="31"/>
  <c r="M87" i="31"/>
  <c r="K87" i="31"/>
  <c r="N87" i="31" s="1"/>
  <c r="E87" i="31"/>
  <c r="B87" i="31"/>
  <c r="N86" i="31"/>
  <c r="M86" i="31"/>
  <c r="K86" i="31"/>
  <c r="E86" i="31"/>
  <c r="B86" i="31"/>
  <c r="M85" i="31"/>
  <c r="K85" i="31"/>
  <c r="N85" i="31" s="1"/>
  <c r="E85" i="31"/>
  <c r="B85" i="31"/>
  <c r="N84" i="31"/>
  <c r="M84" i="31"/>
  <c r="K84" i="31"/>
  <c r="E84" i="31"/>
  <c r="B84" i="31"/>
  <c r="M83" i="31"/>
  <c r="K83" i="31"/>
  <c r="N83" i="31" s="1"/>
  <c r="E83" i="31"/>
  <c r="B83" i="31"/>
  <c r="N82" i="31"/>
  <c r="M82" i="31"/>
  <c r="K82" i="31"/>
  <c r="E82" i="31"/>
  <c r="B82" i="31"/>
  <c r="M81" i="31"/>
  <c r="K81" i="31"/>
  <c r="N81" i="31" s="1"/>
  <c r="E81" i="31"/>
  <c r="B81" i="31"/>
  <c r="N80" i="31"/>
  <c r="M80" i="31"/>
  <c r="K80" i="31"/>
  <c r="E80" i="31"/>
  <c r="B80" i="31"/>
  <c r="M79" i="31"/>
  <c r="K79" i="31"/>
  <c r="N79" i="31" s="1"/>
  <c r="E79" i="31"/>
  <c r="B79" i="31"/>
  <c r="N78" i="31"/>
  <c r="M78" i="31"/>
  <c r="K78" i="31"/>
  <c r="E78" i="31"/>
  <c r="B78" i="31"/>
  <c r="M77" i="31"/>
  <c r="K77" i="31"/>
  <c r="N77" i="31" s="1"/>
  <c r="E77" i="31"/>
  <c r="B77" i="31"/>
  <c r="N76" i="31"/>
  <c r="M76" i="31"/>
  <c r="K76" i="31"/>
  <c r="E76" i="31"/>
  <c r="B76" i="31"/>
  <c r="M75" i="31"/>
  <c r="K75" i="31"/>
  <c r="N75" i="31" s="1"/>
  <c r="E75" i="31"/>
  <c r="B75" i="31"/>
  <c r="N74" i="31"/>
  <c r="M74" i="31"/>
  <c r="K74" i="31"/>
  <c r="E74" i="31"/>
  <c r="B74" i="31"/>
  <c r="M73" i="31"/>
  <c r="K73" i="31"/>
  <c r="N73" i="31" s="1"/>
  <c r="E73" i="31"/>
  <c r="B73" i="31"/>
  <c r="N72" i="31"/>
  <c r="M72" i="31"/>
  <c r="K72" i="31"/>
  <c r="E72" i="31"/>
  <c r="B72" i="31"/>
  <c r="M71" i="31"/>
  <c r="K71" i="31"/>
  <c r="N71" i="31" s="1"/>
  <c r="E71" i="31"/>
  <c r="B71" i="31"/>
  <c r="N70" i="31"/>
  <c r="M70" i="31"/>
  <c r="K70" i="31"/>
  <c r="E70" i="31"/>
  <c r="B70" i="31"/>
  <c r="M69" i="31"/>
  <c r="K69" i="31"/>
  <c r="N69" i="31" s="1"/>
  <c r="E69" i="31"/>
  <c r="B69" i="31"/>
  <c r="N68" i="31"/>
  <c r="M68" i="31"/>
  <c r="K68" i="31"/>
  <c r="E68" i="31"/>
  <c r="B68" i="31"/>
  <c r="M67" i="31"/>
  <c r="K67" i="31"/>
  <c r="N67" i="31" s="1"/>
  <c r="E67" i="31"/>
  <c r="B67" i="31"/>
  <c r="N66" i="31"/>
  <c r="M66" i="31"/>
  <c r="K66" i="31"/>
  <c r="E66" i="31"/>
  <c r="B66" i="31"/>
  <c r="M65" i="31"/>
  <c r="K65" i="31"/>
  <c r="N65" i="31" s="1"/>
  <c r="E65" i="31"/>
  <c r="B65" i="31"/>
  <c r="N64" i="31"/>
  <c r="M64" i="31"/>
  <c r="K64" i="31"/>
  <c r="E64" i="31"/>
  <c r="B64" i="31"/>
  <c r="M63" i="31"/>
  <c r="K63" i="31"/>
  <c r="N63" i="31" s="1"/>
  <c r="E63" i="31"/>
  <c r="B63" i="31"/>
  <c r="N62" i="31"/>
  <c r="M62" i="31"/>
  <c r="K62" i="31"/>
  <c r="E62" i="31"/>
  <c r="B62" i="31"/>
  <c r="M61" i="31"/>
  <c r="K61" i="31"/>
  <c r="N61" i="31" s="1"/>
  <c r="E61" i="31"/>
  <c r="B61" i="31"/>
  <c r="N60" i="31"/>
  <c r="M60" i="31"/>
  <c r="K60" i="31"/>
  <c r="E60" i="31"/>
  <c r="B60" i="31"/>
  <c r="M59" i="31"/>
  <c r="K59" i="31"/>
  <c r="N59" i="31" s="1"/>
  <c r="E59" i="31"/>
  <c r="B59" i="31"/>
  <c r="N58" i="31"/>
  <c r="M58" i="31"/>
  <c r="K58" i="31"/>
  <c r="E58" i="31"/>
  <c r="B58" i="31"/>
  <c r="M57" i="31"/>
  <c r="K57" i="31"/>
  <c r="N57" i="31" s="1"/>
  <c r="E57" i="31"/>
  <c r="B57" i="31"/>
  <c r="N56" i="31"/>
  <c r="M56" i="31"/>
  <c r="K56" i="31"/>
  <c r="E56" i="31"/>
  <c r="B56" i="31"/>
  <c r="M55" i="31"/>
  <c r="K55" i="31"/>
  <c r="N55" i="31" s="1"/>
  <c r="E55" i="31"/>
  <c r="B55" i="31"/>
  <c r="N54" i="31"/>
  <c r="M54" i="31"/>
  <c r="K54" i="31"/>
  <c r="E54" i="31"/>
  <c r="B54" i="31"/>
  <c r="M53" i="31"/>
  <c r="K53" i="31"/>
  <c r="N53" i="31" s="1"/>
  <c r="E53" i="31"/>
  <c r="B53" i="31"/>
  <c r="N52" i="31"/>
  <c r="M52" i="31"/>
  <c r="K52" i="31"/>
  <c r="E52" i="31"/>
  <c r="B52" i="31"/>
  <c r="M51" i="31"/>
  <c r="K51" i="31"/>
  <c r="N51" i="31" s="1"/>
  <c r="E51" i="31"/>
  <c r="B51" i="31"/>
  <c r="N50" i="31"/>
  <c r="M50" i="31"/>
  <c r="K50" i="31"/>
  <c r="E50" i="31"/>
  <c r="B50" i="31"/>
  <c r="M49" i="31"/>
  <c r="K49" i="31"/>
  <c r="N49" i="31" s="1"/>
  <c r="E49" i="31"/>
  <c r="B49" i="31"/>
  <c r="N48" i="31"/>
  <c r="M48" i="31"/>
  <c r="K48" i="31"/>
  <c r="E48" i="31"/>
  <c r="B48" i="31"/>
  <c r="M47" i="31"/>
  <c r="K47" i="31"/>
  <c r="N47" i="31" s="1"/>
  <c r="E47" i="31"/>
  <c r="B47" i="31"/>
  <c r="N46" i="31"/>
  <c r="M46" i="31"/>
  <c r="K46" i="31"/>
  <c r="E46" i="31"/>
  <c r="B46" i="31"/>
  <c r="M45" i="31"/>
  <c r="K45" i="31"/>
  <c r="N45" i="31" s="1"/>
  <c r="E45" i="31"/>
  <c r="B45" i="31"/>
  <c r="N44" i="31"/>
  <c r="M44" i="31"/>
  <c r="K44" i="31"/>
  <c r="E44" i="31"/>
  <c r="B44" i="31"/>
  <c r="M43" i="31"/>
  <c r="K43" i="31"/>
  <c r="N43" i="31" s="1"/>
  <c r="E43" i="31"/>
  <c r="B43" i="31"/>
  <c r="N42" i="31"/>
  <c r="M42" i="31"/>
  <c r="K42" i="31"/>
  <c r="E42" i="31"/>
  <c r="B42" i="31"/>
  <c r="M41" i="31"/>
  <c r="K41" i="31"/>
  <c r="N41" i="31" s="1"/>
  <c r="E41" i="31"/>
  <c r="B41" i="31"/>
  <c r="N40" i="31"/>
  <c r="M40" i="31"/>
  <c r="K40" i="31"/>
  <c r="E40" i="31"/>
  <c r="B40" i="31"/>
  <c r="M39" i="31"/>
  <c r="K39" i="31"/>
  <c r="N39" i="31" s="1"/>
  <c r="E39" i="31"/>
  <c r="B39" i="31"/>
  <c r="N38" i="31"/>
  <c r="M38" i="31"/>
  <c r="K38" i="31"/>
  <c r="E38" i="31"/>
  <c r="B38" i="31"/>
  <c r="M37" i="31"/>
  <c r="K37" i="31"/>
  <c r="N37" i="31" s="1"/>
  <c r="E37" i="31"/>
  <c r="B37" i="31"/>
  <c r="N36" i="31"/>
  <c r="M36" i="31"/>
  <c r="K36" i="31"/>
  <c r="E36" i="31"/>
  <c r="B36" i="31"/>
  <c r="M35" i="31"/>
  <c r="K35" i="31"/>
  <c r="N35" i="31" s="1"/>
  <c r="E35" i="31"/>
  <c r="B35" i="31"/>
  <c r="N34" i="31"/>
  <c r="M34" i="31"/>
  <c r="K34" i="31"/>
  <c r="E34" i="31"/>
  <c r="B34" i="31"/>
  <c r="M33" i="31"/>
  <c r="K33" i="31"/>
  <c r="N33" i="31" s="1"/>
  <c r="E33" i="31"/>
  <c r="B33" i="31"/>
  <c r="N32" i="31"/>
  <c r="M32" i="31"/>
  <c r="K32" i="31"/>
  <c r="E32" i="31"/>
  <c r="B32" i="31"/>
  <c r="M31" i="31"/>
  <c r="K31" i="31"/>
  <c r="N31" i="31" s="1"/>
  <c r="E31" i="31"/>
  <c r="B31" i="31"/>
  <c r="N30" i="31"/>
  <c r="M30" i="31"/>
  <c r="K30" i="31"/>
  <c r="E30" i="31"/>
  <c r="B30" i="31"/>
  <c r="M29" i="31"/>
  <c r="K29" i="31"/>
  <c r="N29" i="31" s="1"/>
  <c r="E29" i="31"/>
  <c r="B29" i="31"/>
  <c r="N28" i="31"/>
  <c r="M28" i="31"/>
  <c r="K28" i="31"/>
  <c r="E28" i="31"/>
  <c r="B28" i="31"/>
  <c r="M27" i="31"/>
  <c r="K27" i="31"/>
  <c r="N27" i="31" s="1"/>
  <c r="E27" i="31"/>
  <c r="B27" i="31"/>
  <c r="N26" i="31"/>
  <c r="M26" i="31"/>
  <c r="K26" i="31"/>
  <c r="E26" i="31"/>
  <c r="B26" i="31"/>
  <c r="M25" i="31"/>
  <c r="K25" i="31"/>
  <c r="N25" i="31" s="1"/>
  <c r="E25" i="31"/>
  <c r="B25" i="31"/>
  <c r="N24" i="31"/>
  <c r="M24" i="31"/>
  <c r="K24" i="31"/>
  <c r="E24" i="31"/>
  <c r="B24" i="31"/>
  <c r="M23" i="31"/>
  <c r="K23" i="31"/>
  <c r="N23" i="31" s="1"/>
  <c r="E23" i="31"/>
  <c r="B23" i="31"/>
  <c r="N22" i="31"/>
  <c r="M22" i="31"/>
  <c r="K22" i="31"/>
  <c r="E22" i="31"/>
  <c r="B22" i="31"/>
  <c r="M21" i="31"/>
  <c r="K21" i="31"/>
  <c r="N21" i="31" s="1"/>
  <c r="E21" i="31"/>
  <c r="B21" i="31"/>
  <c r="N20" i="31"/>
  <c r="M20" i="31"/>
  <c r="K20" i="31"/>
  <c r="E20" i="31"/>
  <c r="B20" i="31"/>
  <c r="M19" i="31"/>
  <c r="K19" i="31"/>
  <c r="N19" i="31" s="1"/>
  <c r="E19" i="31"/>
  <c r="B19" i="31"/>
  <c r="N18" i="31"/>
  <c r="M18" i="31"/>
  <c r="K18" i="31"/>
  <c r="E18" i="31"/>
  <c r="B18" i="31"/>
  <c r="M17" i="31"/>
  <c r="K17" i="31"/>
  <c r="N17" i="31" s="1"/>
  <c r="E17" i="31"/>
  <c r="B17" i="31"/>
  <c r="N16" i="31"/>
  <c r="M16" i="31"/>
  <c r="K16" i="31"/>
  <c r="E16" i="31"/>
  <c r="B16" i="31"/>
  <c r="M15" i="31"/>
  <c r="K15" i="31"/>
  <c r="N15" i="31" s="1"/>
  <c r="E15" i="31"/>
  <c r="B15" i="31"/>
  <c r="N14" i="31"/>
  <c r="M14" i="31"/>
  <c r="K14" i="31"/>
  <c r="E14" i="31"/>
  <c r="B14" i="31"/>
  <c r="M13" i="31"/>
  <c r="K13" i="31"/>
  <c r="N13" i="31" s="1"/>
  <c r="E13" i="31"/>
  <c r="B13" i="31"/>
  <c r="N12" i="31"/>
  <c r="M12" i="31"/>
  <c r="K12" i="31"/>
  <c r="E12" i="31"/>
  <c r="B12" i="31"/>
  <c r="M11" i="31"/>
  <c r="K11" i="31"/>
  <c r="N11" i="31" s="1"/>
  <c r="E11" i="31"/>
  <c r="B11" i="31"/>
  <c r="N10" i="31"/>
  <c r="M10" i="31"/>
  <c r="K10" i="31"/>
  <c r="E10" i="31"/>
  <c r="B10" i="31"/>
  <c r="M9" i="31"/>
  <c r="K9" i="31"/>
  <c r="N9" i="31" s="1"/>
  <c r="E9" i="31"/>
  <c r="B9" i="31"/>
  <c r="N8" i="31"/>
  <c r="M8" i="31"/>
  <c r="K8" i="31"/>
  <c r="E8" i="31"/>
  <c r="B8" i="31"/>
  <c r="M7" i="31"/>
  <c r="K7" i="31"/>
  <c r="N7" i="31" s="1"/>
  <c r="E7" i="31"/>
  <c r="B7" i="31"/>
  <c r="N6" i="31"/>
  <c r="M6" i="31"/>
  <c r="K6" i="31"/>
  <c r="E6" i="31"/>
  <c r="B6" i="31"/>
  <c r="M5" i="31"/>
  <c r="K5" i="31"/>
  <c r="E5" i="31"/>
  <c r="B5" i="31"/>
  <c r="N4" i="31"/>
  <c r="M4" i="3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K134" i="30"/>
  <c r="N134" i="30" s="1"/>
  <c r="E134" i="30"/>
  <c r="B134" i="30"/>
  <c r="M133" i="30"/>
  <c r="N133" i="30" s="1"/>
  <c r="K133" i="30"/>
  <c r="E133" i="30"/>
  <c r="B133" i="30"/>
  <c r="M132" i="30"/>
  <c r="K132" i="30"/>
  <c r="N132" i="30" s="1"/>
  <c r="E132" i="30"/>
  <c r="B132" i="30"/>
  <c r="M131" i="30"/>
  <c r="N131" i="30" s="1"/>
  <c r="K131" i="30"/>
  <c r="E131" i="30"/>
  <c r="B131" i="30"/>
  <c r="M130" i="30"/>
  <c r="K130" i="30"/>
  <c r="N130" i="30" s="1"/>
  <c r="E130" i="30"/>
  <c r="B130" i="30"/>
  <c r="M129" i="30"/>
  <c r="N129" i="30" s="1"/>
  <c r="K129" i="30"/>
  <c r="E129" i="30"/>
  <c r="B129" i="30"/>
  <c r="M128" i="30"/>
  <c r="K128" i="30"/>
  <c r="N128" i="30" s="1"/>
  <c r="E128" i="30"/>
  <c r="B128" i="30"/>
  <c r="M127" i="30"/>
  <c r="N127" i="30" s="1"/>
  <c r="K127" i="30"/>
  <c r="E127" i="30"/>
  <c r="B127" i="30"/>
  <c r="M126" i="30"/>
  <c r="K126" i="30"/>
  <c r="N126" i="30" s="1"/>
  <c r="E126" i="30"/>
  <c r="B126" i="30"/>
  <c r="M125" i="30"/>
  <c r="N125" i="30" s="1"/>
  <c r="K125" i="30"/>
  <c r="E125" i="30"/>
  <c r="B125" i="30"/>
  <c r="M124" i="30"/>
  <c r="K124" i="30"/>
  <c r="N124" i="30" s="1"/>
  <c r="E124" i="30"/>
  <c r="B124" i="30"/>
  <c r="M123" i="30"/>
  <c r="N123" i="30" s="1"/>
  <c r="K123" i="30"/>
  <c r="E123" i="30"/>
  <c r="B123" i="30"/>
  <c r="M122" i="30"/>
  <c r="K122" i="30"/>
  <c r="N122" i="30" s="1"/>
  <c r="E122" i="30"/>
  <c r="B122" i="30"/>
  <c r="M121" i="30"/>
  <c r="N121" i="30" s="1"/>
  <c r="K121" i="30"/>
  <c r="E121" i="30"/>
  <c r="B121" i="30"/>
  <c r="M120" i="30"/>
  <c r="K120" i="30"/>
  <c r="N120" i="30" s="1"/>
  <c r="E120" i="30"/>
  <c r="B120" i="30"/>
  <c r="M119" i="30"/>
  <c r="N119" i="30" s="1"/>
  <c r="K119" i="30"/>
  <c r="E119" i="30"/>
  <c r="B119" i="30"/>
  <c r="M118" i="30"/>
  <c r="K118" i="30"/>
  <c r="N118" i="30" s="1"/>
  <c r="E118" i="30"/>
  <c r="B118" i="30"/>
  <c r="M117" i="30"/>
  <c r="N117" i="30" s="1"/>
  <c r="K117" i="30"/>
  <c r="E117" i="30"/>
  <c r="B117" i="30"/>
  <c r="M116" i="30"/>
  <c r="K116" i="30"/>
  <c r="N116" i="30" s="1"/>
  <c r="E116" i="30"/>
  <c r="B116" i="30"/>
  <c r="M115" i="30"/>
  <c r="N115" i="30" s="1"/>
  <c r="K115" i="30"/>
  <c r="E115" i="30"/>
  <c r="B115" i="30"/>
  <c r="M114" i="30"/>
  <c r="K114" i="30"/>
  <c r="N114" i="30" s="1"/>
  <c r="E114" i="30"/>
  <c r="B114" i="30"/>
  <c r="M113" i="30"/>
  <c r="N113" i="30" s="1"/>
  <c r="K113" i="30"/>
  <c r="E113" i="30"/>
  <c r="B113" i="30"/>
  <c r="M112" i="30"/>
  <c r="K112" i="30"/>
  <c r="N112" i="30" s="1"/>
  <c r="E112" i="30"/>
  <c r="B112" i="30"/>
  <c r="M111" i="30"/>
  <c r="N111" i="30" s="1"/>
  <c r="K111" i="30"/>
  <c r="E111" i="30"/>
  <c r="B111" i="30"/>
  <c r="M110" i="30"/>
  <c r="K110" i="30"/>
  <c r="N110" i="30" s="1"/>
  <c r="E110" i="30"/>
  <c r="B110" i="30"/>
  <c r="M109" i="30"/>
  <c r="N109" i="30" s="1"/>
  <c r="K109" i="30"/>
  <c r="E109" i="30"/>
  <c r="B109" i="30"/>
  <c r="M108" i="30"/>
  <c r="K108" i="30"/>
  <c r="N108" i="30" s="1"/>
  <c r="E108" i="30"/>
  <c r="B108" i="30"/>
  <c r="M107" i="30"/>
  <c r="N107" i="30" s="1"/>
  <c r="K107" i="30"/>
  <c r="E107" i="30"/>
  <c r="B107" i="30"/>
  <c r="M106" i="30"/>
  <c r="K106" i="30"/>
  <c r="N106" i="30" s="1"/>
  <c r="E106" i="30"/>
  <c r="B106" i="30"/>
  <c r="M105" i="30"/>
  <c r="N105" i="30" s="1"/>
  <c r="K105" i="30"/>
  <c r="E105" i="30"/>
  <c r="B105" i="30"/>
  <c r="M104" i="30"/>
  <c r="K104" i="30"/>
  <c r="N104" i="30" s="1"/>
  <c r="E104" i="30"/>
  <c r="B104" i="30"/>
  <c r="M103" i="30"/>
  <c r="N103" i="30" s="1"/>
  <c r="K103" i="30"/>
  <c r="E103" i="30"/>
  <c r="B103" i="30"/>
  <c r="M102" i="30"/>
  <c r="K102" i="30"/>
  <c r="N102" i="30" s="1"/>
  <c r="E102" i="30"/>
  <c r="B102" i="30"/>
  <c r="M101" i="30"/>
  <c r="N101" i="30" s="1"/>
  <c r="K101" i="30"/>
  <c r="E101" i="30"/>
  <c r="B101" i="30"/>
  <c r="M100" i="30"/>
  <c r="K100" i="30"/>
  <c r="N100" i="30" s="1"/>
  <c r="E100" i="30"/>
  <c r="B100" i="30"/>
  <c r="M99" i="30"/>
  <c r="N99" i="30" s="1"/>
  <c r="K99" i="30"/>
  <c r="E99" i="30"/>
  <c r="B99" i="30"/>
  <c r="M98" i="30"/>
  <c r="K98" i="30"/>
  <c r="N98" i="30" s="1"/>
  <c r="E98" i="30"/>
  <c r="B98" i="30"/>
  <c r="M97" i="30"/>
  <c r="N97" i="30" s="1"/>
  <c r="K97" i="30"/>
  <c r="E97" i="30"/>
  <c r="B97" i="30"/>
  <c r="M96" i="30"/>
  <c r="K96" i="30"/>
  <c r="N96" i="30" s="1"/>
  <c r="E96" i="30"/>
  <c r="B96" i="30"/>
  <c r="M95" i="30"/>
  <c r="N95" i="30" s="1"/>
  <c r="K95" i="30"/>
  <c r="E95" i="30"/>
  <c r="B95" i="30"/>
  <c r="M94" i="30"/>
  <c r="K94" i="30"/>
  <c r="N94" i="30" s="1"/>
  <c r="E94" i="30"/>
  <c r="B94" i="30"/>
  <c r="M93" i="30"/>
  <c r="N93" i="30" s="1"/>
  <c r="K93" i="30"/>
  <c r="E93" i="30"/>
  <c r="B93" i="30"/>
  <c r="M92" i="30"/>
  <c r="K92" i="30"/>
  <c r="N92" i="30" s="1"/>
  <c r="E92" i="30"/>
  <c r="B92" i="30"/>
  <c r="M91" i="30"/>
  <c r="N91" i="30" s="1"/>
  <c r="K91" i="30"/>
  <c r="E91" i="30"/>
  <c r="B91" i="30"/>
  <c r="M90" i="30"/>
  <c r="K90" i="30"/>
  <c r="N90" i="30" s="1"/>
  <c r="E90" i="30"/>
  <c r="B90" i="30"/>
  <c r="M89" i="30"/>
  <c r="N89" i="30" s="1"/>
  <c r="K89" i="30"/>
  <c r="E89" i="30"/>
  <c r="B89" i="30"/>
  <c r="M88" i="30"/>
  <c r="K88" i="30"/>
  <c r="N88" i="30" s="1"/>
  <c r="E88" i="30"/>
  <c r="B88" i="30"/>
  <c r="M87" i="30"/>
  <c r="N87" i="30" s="1"/>
  <c r="K87" i="30"/>
  <c r="E87" i="30"/>
  <c r="B87" i="30"/>
  <c r="M86" i="30"/>
  <c r="K86" i="30"/>
  <c r="N86" i="30" s="1"/>
  <c r="E86" i="30"/>
  <c r="B86" i="30"/>
  <c r="M85" i="30"/>
  <c r="N85" i="30" s="1"/>
  <c r="K85" i="30"/>
  <c r="E85" i="30"/>
  <c r="B85" i="30"/>
  <c r="M84" i="30"/>
  <c r="K84" i="30"/>
  <c r="N84" i="30" s="1"/>
  <c r="E84" i="30"/>
  <c r="B84" i="30"/>
  <c r="M83" i="30"/>
  <c r="N83" i="30" s="1"/>
  <c r="K83" i="30"/>
  <c r="E83" i="30"/>
  <c r="B83" i="30"/>
  <c r="M82" i="30"/>
  <c r="K82" i="30"/>
  <c r="N82" i="30" s="1"/>
  <c r="E82" i="30"/>
  <c r="B82" i="30"/>
  <c r="M81" i="30"/>
  <c r="N81" i="30" s="1"/>
  <c r="K81" i="30"/>
  <c r="E81" i="30"/>
  <c r="B81" i="30"/>
  <c r="M80" i="30"/>
  <c r="K80" i="30"/>
  <c r="N80" i="30" s="1"/>
  <c r="E80" i="30"/>
  <c r="B80" i="30"/>
  <c r="M79" i="30"/>
  <c r="N79" i="30" s="1"/>
  <c r="K79" i="30"/>
  <c r="E79" i="30"/>
  <c r="B79" i="30"/>
  <c r="M78" i="30"/>
  <c r="K78" i="30"/>
  <c r="N78" i="30" s="1"/>
  <c r="E78" i="30"/>
  <c r="B78" i="30"/>
  <c r="M77" i="30"/>
  <c r="N77" i="30" s="1"/>
  <c r="K77" i="30"/>
  <c r="E77" i="30"/>
  <c r="B77" i="30"/>
  <c r="M76" i="30"/>
  <c r="K76" i="30"/>
  <c r="N76" i="30" s="1"/>
  <c r="E76" i="30"/>
  <c r="B76" i="30"/>
  <c r="M75" i="30"/>
  <c r="N75" i="30" s="1"/>
  <c r="K75" i="30"/>
  <c r="E75" i="30"/>
  <c r="B75" i="30"/>
  <c r="M74" i="30"/>
  <c r="K74" i="30"/>
  <c r="N74" i="30" s="1"/>
  <c r="E74" i="30"/>
  <c r="B74" i="30"/>
  <c r="M73" i="30"/>
  <c r="N73" i="30" s="1"/>
  <c r="K73" i="30"/>
  <c r="E73" i="30"/>
  <c r="B73" i="30"/>
  <c r="M72" i="30"/>
  <c r="K72" i="30"/>
  <c r="N72" i="30" s="1"/>
  <c r="E72" i="30"/>
  <c r="B72" i="30"/>
  <c r="M71" i="30"/>
  <c r="N71" i="30" s="1"/>
  <c r="K71" i="30"/>
  <c r="E71" i="30"/>
  <c r="B71" i="30"/>
  <c r="M70" i="30"/>
  <c r="K70" i="30"/>
  <c r="N70" i="30" s="1"/>
  <c r="E70" i="30"/>
  <c r="B70" i="30"/>
  <c r="M69" i="30"/>
  <c r="N69" i="30" s="1"/>
  <c r="K69" i="30"/>
  <c r="E69" i="30"/>
  <c r="B69" i="30"/>
  <c r="M68" i="30"/>
  <c r="K68" i="30"/>
  <c r="N68" i="30" s="1"/>
  <c r="E68" i="30"/>
  <c r="B68" i="30"/>
  <c r="M67" i="30"/>
  <c r="N67" i="30" s="1"/>
  <c r="K67" i="30"/>
  <c r="E67" i="30"/>
  <c r="B67" i="30"/>
  <c r="M66" i="30"/>
  <c r="K66" i="30"/>
  <c r="N66" i="30" s="1"/>
  <c r="E66" i="30"/>
  <c r="B66" i="30"/>
  <c r="M65" i="30"/>
  <c r="N65" i="30" s="1"/>
  <c r="K65" i="30"/>
  <c r="E65" i="30"/>
  <c r="B65" i="30"/>
  <c r="M64" i="30"/>
  <c r="K64" i="30"/>
  <c r="N64" i="30" s="1"/>
  <c r="E64" i="30"/>
  <c r="B64" i="30"/>
  <c r="M63" i="30"/>
  <c r="N63" i="30" s="1"/>
  <c r="K63" i="30"/>
  <c r="E63" i="30"/>
  <c r="B63" i="30"/>
  <c r="M62" i="30"/>
  <c r="K62" i="30"/>
  <c r="N62" i="30" s="1"/>
  <c r="E62" i="30"/>
  <c r="B62" i="30"/>
  <c r="M61" i="30"/>
  <c r="N61" i="30" s="1"/>
  <c r="K61" i="30"/>
  <c r="E61" i="30"/>
  <c r="B61" i="30"/>
  <c r="M60" i="30"/>
  <c r="K60" i="30"/>
  <c r="N60" i="30" s="1"/>
  <c r="E60" i="30"/>
  <c r="B60" i="30"/>
  <c r="M59" i="30"/>
  <c r="N59" i="30" s="1"/>
  <c r="K59" i="30"/>
  <c r="E59" i="30"/>
  <c r="B59" i="30"/>
  <c r="M58" i="30"/>
  <c r="K58" i="30"/>
  <c r="N58" i="30" s="1"/>
  <c r="E58" i="30"/>
  <c r="B58" i="30"/>
  <c r="M57" i="30"/>
  <c r="N57" i="30" s="1"/>
  <c r="K57" i="30"/>
  <c r="E57" i="30"/>
  <c r="B57" i="30"/>
  <c r="M56" i="30"/>
  <c r="K56" i="30"/>
  <c r="N56" i="30" s="1"/>
  <c r="E56" i="30"/>
  <c r="B56" i="30"/>
  <c r="M55" i="30"/>
  <c r="N55" i="30" s="1"/>
  <c r="K55" i="30"/>
  <c r="E55" i="30"/>
  <c r="B55" i="30"/>
  <c r="M54" i="30"/>
  <c r="K54" i="30"/>
  <c r="N54" i="30" s="1"/>
  <c r="E54" i="30"/>
  <c r="B54" i="30"/>
  <c r="M53" i="30"/>
  <c r="N53" i="30" s="1"/>
  <c r="K53" i="30"/>
  <c r="E53" i="30"/>
  <c r="B53" i="30"/>
  <c r="M52" i="30"/>
  <c r="K52" i="30"/>
  <c r="N52" i="30" s="1"/>
  <c r="E52" i="30"/>
  <c r="B52" i="30"/>
  <c r="M51" i="30"/>
  <c r="N51" i="30" s="1"/>
  <c r="K51" i="30"/>
  <c r="E51" i="30"/>
  <c r="B51" i="30"/>
  <c r="M50" i="30"/>
  <c r="K50" i="30"/>
  <c r="N50" i="30" s="1"/>
  <c r="E50" i="30"/>
  <c r="B50" i="30"/>
  <c r="M49" i="30"/>
  <c r="N49" i="30" s="1"/>
  <c r="K49" i="30"/>
  <c r="E49" i="30"/>
  <c r="B49" i="30"/>
  <c r="M48" i="30"/>
  <c r="K48" i="30"/>
  <c r="N48" i="30" s="1"/>
  <c r="E48" i="30"/>
  <c r="B48" i="30"/>
  <c r="M47" i="30"/>
  <c r="N47" i="30" s="1"/>
  <c r="K47" i="30"/>
  <c r="E47" i="30"/>
  <c r="B47" i="30"/>
  <c r="M46" i="30"/>
  <c r="K46" i="30"/>
  <c r="N46" i="30" s="1"/>
  <c r="E46" i="30"/>
  <c r="B46" i="30"/>
  <c r="M45" i="30"/>
  <c r="N45" i="30" s="1"/>
  <c r="K45" i="30"/>
  <c r="E45" i="30"/>
  <c r="B45" i="30"/>
  <c r="M44" i="30"/>
  <c r="K44" i="30"/>
  <c r="N44" i="30" s="1"/>
  <c r="E44" i="30"/>
  <c r="B44" i="30"/>
  <c r="M43" i="30"/>
  <c r="N43" i="30" s="1"/>
  <c r="K43" i="30"/>
  <c r="E43" i="30"/>
  <c r="B43" i="30"/>
  <c r="M42" i="30"/>
  <c r="K42" i="30"/>
  <c r="N42" i="30" s="1"/>
  <c r="E42" i="30"/>
  <c r="B42" i="30"/>
  <c r="M41" i="30"/>
  <c r="N41" i="30" s="1"/>
  <c r="K41" i="30"/>
  <c r="E41" i="30"/>
  <c r="B41" i="30"/>
  <c r="M40" i="30"/>
  <c r="K40" i="30"/>
  <c r="N40" i="30" s="1"/>
  <c r="E40" i="30"/>
  <c r="B40" i="30"/>
  <c r="M39" i="30"/>
  <c r="N39" i="30" s="1"/>
  <c r="K39" i="30"/>
  <c r="E39" i="30"/>
  <c r="B39" i="30"/>
  <c r="M38" i="30"/>
  <c r="K38" i="30"/>
  <c r="N38" i="30" s="1"/>
  <c r="E38" i="30"/>
  <c r="B38" i="30"/>
  <c r="M37" i="30"/>
  <c r="N37" i="30" s="1"/>
  <c r="K37" i="30"/>
  <c r="E37" i="30"/>
  <c r="B37" i="30"/>
  <c r="M36" i="30"/>
  <c r="K36" i="30"/>
  <c r="N36" i="30" s="1"/>
  <c r="E36" i="30"/>
  <c r="B36" i="30"/>
  <c r="M35" i="30"/>
  <c r="N35" i="30" s="1"/>
  <c r="K35" i="30"/>
  <c r="E35" i="30"/>
  <c r="B35" i="30"/>
  <c r="M34" i="30"/>
  <c r="K34" i="30"/>
  <c r="N34" i="30" s="1"/>
  <c r="E34" i="30"/>
  <c r="B34" i="30"/>
  <c r="M33" i="30"/>
  <c r="N33" i="30" s="1"/>
  <c r="K33" i="30"/>
  <c r="E33" i="30"/>
  <c r="B33" i="30"/>
  <c r="M32" i="30"/>
  <c r="K32" i="30"/>
  <c r="N32" i="30" s="1"/>
  <c r="E32" i="30"/>
  <c r="B32" i="30"/>
  <c r="M31" i="30"/>
  <c r="N31" i="30" s="1"/>
  <c r="K31" i="30"/>
  <c r="E31" i="30"/>
  <c r="B31" i="30"/>
  <c r="M30" i="30"/>
  <c r="K30" i="30"/>
  <c r="N30" i="30" s="1"/>
  <c r="E30" i="30"/>
  <c r="B30" i="30"/>
  <c r="M29" i="30"/>
  <c r="N29" i="30" s="1"/>
  <c r="K29" i="30"/>
  <c r="E29" i="30"/>
  <c r="B29" i="30"/>
  <c r="M28" i="30"/>
  <c r="K28" i="30"/>
  <c r="N28" i="30" s="1"/>
  <c r="E28" i="30"/>
  <c r="B28" i="30"/>
  <c r="M27" i="30"/>
  <c r="N27" i="30" s="1"/>
  <c r="K27" i="30"/>
  <c r="E27" i="30"/>
  <c r="B27" i="30"/>
  <c r="M26" i="30"/>
  <c r="K26" i="30"/>
  <c r="N26" i="30" s="1"/>
  <c r="E26" i="30"/>
  <c r="B26" i="30"/>
  <c r="M25" i="30"/>
  <c r="N25" i="30" s="1"/>
  <c r="K25" i="30"/>
  <c r="E25" i="30"/>
  <c r="B25" i="30"/>
  <c r="M24" i="30"/>
  <c r="K24" i="30"/>
  <c r="N24" i="30" s="1"/>
  <c r="E24" i="30"/>
  <c r="B24" i="30"/>
  <c r="M23" i="30"/>
  <c r="N23" i="30" s="1"/>
  <c r="K23" i="30"/>
  <c r="E23" i="30"/>
  <c r="B23" i="30"/>
  <c r="M22" i="30"/>
  <c r="K22" i="30"/>
  <c r="N22" i="30" s="1"/>
  <c r="E22" i="30"/>
  <c r="B22" i="30"/>
  <c r="M21" i="30"/>
  <c r="N21" i="30" s="1"/>
  <c r="K21" i="30"/>
  <c r="E21" i="30"/>
  <c r="B21" i="30"/>
  <c r="M20" i="30"/>
  <c r="K20" i="30"/>
  <c r="N20" i="30" s="1"/>
  <c r="E20" i="30"/>
  <c r="B20" i="30"/>
  <c r="M19" i="30"/>
  <c r="N19" i="30" s="1"/>
  <c r="K19" i="30"/>
  <c r="E19" i="30"/>
  <c r="B19" i="30"/>
  <c r="M18" i="30"/>
  <c r="K18" i="30"/>
  <c r="N18" i="30" s="1"/>
  <c r="E18" i="30"/>
  <c r="B18" i="30"/>
  <c r="M17" i="30"/>
  <c r="N17" i="30" s="1"/>
  <c r="K17" i="30"/>
  <c r="E17" i="30"/>
  <c r="B17" i="30"/>
  <c r="M16" i="30"/>
  <c r="K16" i="30"/>
  <c r="N16" i="30" s="1"/>
  <c r="E16" i="30"/>
  <c r="B16" i="30"/>
  <c r="M15" i="30"/>
  <c r="N15" i="30" s="1"/>
  <c r="K15" i="30"/>
  <c r="E15" i="30"/>
  <c r="B15" i="30"/>
  <c r="M14" i="30"/>
  <c r="K14" i="30"/>
  <c r="N14" i="30" s="1"/>
  <c r="E14" i="30"/>
  <c r="B14" i="30"/>
  <c r="M13" i="30"/>
  <c r="N13" i="30" s="1"/>
  <c r="K13" i="30"/>
  <c r="E13" i="30"/>
  <c r="B13" i="30"/>
  <c r="M12" i="30"/>
  <c r="K12" i="30"/>
  <c r="N12" i="30" s="1"/>
  <c r="E12" i="30"/>
  <c r="B12" i="30"/>
  <c r="M11" i="30"/>
  <c r="N11" i="30" s="1"/>
  <c r="K11" i="30"/>
  <c r="E11" i="30"/>
  <c r="B11" i="30"/>
  <c r="M10" i="30"/>
  <c r="K10" i="30"/>
  <c r="N10" i="30" s="1"/>
  <c r="E10" i="30"/>
  <c r="B10" i="30"/>
  <c r="M9" i="30"/>
  <c r="N9" i="30" s="1"/>
  <c r="K9" i="30"/>
  <c r="E9" i="30"/>
  <c r="B9" i="30"/>
  <c r="M8" i="30"/>
  <c r="K8" i="30"/>
  <c r="N8" i="30" s="1"/>
  <c r="E8" i="30"/>
  <c r="B8" i="30"/>
  <c r="M7" i="30"/>
  <c r="N7" i="30" s="1"/>
  <c r="K7" i="30"/>
  <c r="E7" i="30"/>
  <c r="B7" i="30"/>
  <c r="M6" i="30"/>
  <c r="K6" i="30"/>
  <c r="K2" i="30" s="1"/>
  <c r="E6" i="30"/>
  <c r="B6" i="30"/>
  <c r="M5" i="30"/>
  <c r="N5" i="30" s="1"/>
  <c r="K5" i="30"/>
  <c r="E5" i="30"/>
  <c r="B5" i="30"/>
  <c r="M4" i="30"/>
  <c r="K4" i="30"/>
  <c r="N4" i="30" s="1"/>
  <c r="E4" i="30"/>
  <c r="B4" i="30"/>
  <c r="V2" i="30"/>
  <c r="U2" i="30"/>
  <c r="T2" i="30"/>
  <c r="S2" i="30"/>
  <c r="R2" i="30"/>
  <c r="Q2" i="30"/>
  <c r="P2" i="30"/>
  <c r="O2" i="30"/>
  <c r="M2" i="30"/>
  <c r="L2" i="30"/>
  <c r="J2" i="30"/>
  <c r="I2" i="30"/>
  <c r="H2" i="30"/>
  <c r="G2" i="30"/>
  <c r="F2" i="30"/>
  <c r="E2" i="30"/>
  <c r="M134" i="29"/>
  <c r="K134" i="29"/>
  <c r="N134" i="29" s="1"/>
  <c r="E134" i="29"/>
  <c r="B134" i="29"/>
  <c r="N133" i="29"/>
  <c r="M133" i="29"/>
  <c r="K133" i="29"/>
  <c r="E133" i="29"/>
  <c r="B133" i="29"/>
  <c r="M132" i="29"/>
  <c r="K132" i="29"/>
  <c r="N132" i="29" s="1"/>
  <c r="E132" i="29"/>
  <c r="B132" i="29"/>
  <c r="N131" i="29"/>
  <c r="M131" i="29"/>
  <c r="K131" i="29"/>
  <c r="E131" i="29"/>
  <c r="B131" i="29"/>
  <c r="M130" i="29"/>
  <c r="K130" i="29"/>
  <c r="N130" i="29" s="1"/>
  <c r="E130" i="29"/>
  <c r="B130" i="29"/>
  <c r="N129" i="29"/>
  <c r="M129" i="29"/>
  <c r="K129" i="29"/>
  <c r="E129" i="29"/>
  <c r="B129" i="29"/>
  <c r="M128" i="29"/>
  <c r="K128" i="29"/>
  <c r="N128" i="29" s="1"/>
  <c r="E128" i="29"/>
  <c r="B128" i="29"/>
  <c r="N127" i="29"/>
  <c r="M127" i="29"/>
  <c r="K127" i="29"/>
  <c r="E127" i="29"/>
  <c r="B127" i="29"/>
  <c r="M126" i="29"/>
  <c r="K126" i="29"/>
  <c r="N126" i="29" s="1"/>
  <c r="E126" i="29"/>
  <c r="B126" i="29"/>
  <c r="N125" i="29"/>
  <c r="M125" i="29"/>
  <c r="K125" i="29"/>
  <c r="E125" i="29"/>
  <c r="B125" i="29"/>
  <c r="M124" i="29"/>
  <c r="K124" i="29"/>
  <c r="N124" i="29" s="1"/>
  <c r="E124" i="29"/>
  <c r="B124" i="29"/>
  <c r="N123" i="29"/>
  <c r="M123" i="29"/>
  <c r="K123" i="29"/>
  <c r="E123" i="29"/>
  <c r="B123" i="29"/>
  <c r="M122" i="29"/>
  <c r="K122" i="29"/>
  <c r="N122" i="29" s="1"/>
  <c r="E122" i="29"/>
  <c r="B122" i="29"/>
  <c r="N121" i="29"/>
  <c r="M121" i="29"/>
  <c r="K121" i="29"/>
  <c r="E121" i="29"/>
  <c r="B121" i="29"/>
  <c r="M120" i="29"/>
  <c r="K120" i="29"/>
  <c r="N120" i="29" s="1"/>
  <c r="E120" i="29"/>
  <c r="B120" i="29"/>
  <c r="N119" i="29"/>
  <c r="M119" i="29"/>
  <c r="K119" i="29"/>
  <c r="E119" i="29"/>
  <c r="B119" i="29"/>
  <c r="M118" i="29"/>
  <c r="K118" i="29"/>
  <c r="N118" i="29" s="1"/>
  <c r="E118" i="29"/>
  <c r="B118" i="29"/>
  <c r="N117" i="29"/>
  <c r="M117" i="29"/>
  <c r="K117" i="29"/>
  <c r="E117" i="29"/>
  <c r="B117" i="29"/>
  <c r="M116" i="29"/>
  <c r="K116" i="29"/>
  <c r="N116" i="29" s="1"/>
  <c r="E116" i="29"/>
  <c r="B116" i="29"/>
  <c r="N115" i="29"/>
  <c r="M115" i="29"/>
  <c r="K115" i="29"/>
  <c r="E115" i="29"/>
  <c r="B115" i="29"/>
  <c r="M114" i="29"/>
  <c r="K114" i="29"/>
  <c r="N114" i="29" s="1"/>
  <c r="E114" i="29"/>
  <c r="B114" i="29"/>
  <c r="N113" i="29"/>
  <c r="M113" i="29"/>
  <c r="K113" i="29"/>
  <c r="E113" i="29"/>
  <c r="B113" i="29"/>
  <c r="M112" i="29"/>
  <c r="K112" i="29"/>
  <c r="N112" i="29" s="1"/>
  <c r="E112" i="29"/>
  <c r="B112" i="29"/>
  <c r="N111" i="29"/>
  <c r="M111" i="29"/>
  <c r="K111" i="29"/>
  <c r="E111" i="29"/>
  <c r="B111" i="29"/>
  <c r="M110" i="29"/>
  <c r="K110" i="29"/>
  <c r="N110" i="29" s="1"/>
  <c r="E110" i="29"/>
  <c r="B110" i="29"/>
  <c r="N109" i="29"/>
  <c r="M109" i="29"/>
  <c r="K109" i="29"/>
  <c r="E109" i="29"/>
  <c r="B109" i="29"/>
  <c r="M108" i="29"/>
  <c r="K108" i="29"/>
  <c r="N108" i="29" s="1"/>
  <c r="E108" i="29"/>
  <c r="B108" i="29"/>
  <c r="N107" i="29"/>
  <c r="M107" i="29"/>
  <c r="K107" i="29"/>
  <c r="E107" i="29"/>
  <c r="B107" i="29"/>
  <c r="M106" i="29"/>
  <c r="K106" i="29"/>
  <c r="N106" i="29" s="1"/>
  <c r="E106" i="29"/>
  <c r="B106" i="29"/>
  <c r="N105" i="29"/>
  <c r="M105" i="29"/>
  <c r="K105" i="29"/>
  <c r="E105" i="29"/>
  <c r="B105" i="29"/>
  <c r="M104" i="29"/>
  <c r="K104" i="29"/>
  <c r="N104" i="29" s="1"/>
  <c r="E104" i="29"/>
  <c r="B104" i="29"/>
  <c r="N103" i="29"/>
  <c r="M103" i="29"/>
  <c r="K103" i="29"/>
  <c r="E103" i="29"/>
  <c r="B103" i="29"/>
  <c r="M102" i="29"/>
  <c r="K102" i="29"/>
  <c r="N102" i="29" s="1"/>
  <c r="E102" i="29"/>
  <c r="B102" i="29"/>
  <c r="N101" i="29"/>
  <c r="M101" i="29"/>
  <c r="K101" i="29"/>
  <c r="E101" i="29"/>
  <c r="B101" i="29"/>
  <c r="M100" i="29"/>
  <c r="K100" i="29"/>
  <c r="N100" i="29" s="1"/>
  <c r="E100" i="29"/>
  <c r="B100" i="29"/>
  <c r="N99" i="29"/>
  <c r="M99" i="29"/>
  <c r="K99" i="29"/>
  <c r="E99" i="29"/>
  <c r="B99" i="29"/>
  <c r="M98" i="29"/>
  <c r="K98" i="29"/>
  <c r="N98" i="29" s="1"/>
  <c r="E98" i="29"/>
  <c r="B98" i="29"/>
  <c r="N97" i="29"/>
  <c r="M97" i="29"/>
  <c r="K97" i="29"/>
  <c r="E97" i="29"/>
  <c r="B97" i="29"/>
  <c r="M96" i="29"/>
  <c r="K96" i="29"/>
  <c r="N96" i="29" s="1"/>
  <c r="E96" i="29"/>
  <c r="B96" i="29"/>
  <c r="N95" i="29"/>
  <c r="M95" i="29"/>
  <c r="K95" i="29"/>
  <c r="E95" i="29"/>
  <c r="B95" i="29"/>
  <c r="M94" i="29"/>
  <c r="K94" i="29"/>
  <c r="N94" i="29" s="1"/>
  <c r="E94" i="29"/>
  <c r="B94" i="29"/>
  <c r="N93" i="29"/>
  <c r="M93" i="29"/>
  <c r="K93" i="29"/>
  <c r="E93" i="29"/>
  <c r="B93" i="29"/>
  <c r="M92" i="29"/>
  <c r="K92" i="29"/>
  <c r="N92" i="29" s="1"/>
  <c r="E92" i="29"/>
  <c r="B92" i="29"/>
  <c r="N91" i="29"/>
  <c r="M91" i="29"/>
  <c r="K91" i="29"/>
  <c r="E91" i="29"/>
  <c r="B91" i="29"/>
  <c r="M90" i="29"/>
  <c r="K90" i="29"/>
  <c r="N90" i="29" s="1"/>
  <c r="E90" i="29"/>
  <c r="B90" i="29"/>
  <c r="N89" i="29"/>
  <c r="M89" i="29"/>
  <c r="K89" i="29"/>
  <c r="E89" i="29"/>
  <c r="B89" i="29"/>
  <c r="M88" i="29"/>
  <c r="K88" i="29"/>
  <c r="N88" i="29" s="1"/>
  <c r="E88" i="29"/>
  <c r="B88" i="29"/>
  <c r="N87" i="29"/>
  <c r="M87" i="29"/>
  <c r="K87" i="29"/>
  <c r="E87" i="29"/>
  <c r="B87" i="29"/>
  <c r="M86" i="29"/>
  <c r="K86" i="29"/>
  <c r="N86" i="29" s="1"/>
  <c r="E86" i="29"/>
  <c r="B86" i="29"/>
  <c r="N85" i="29"/>
  <c r="M85" i="29"/>
  <c r="K85" i="29"/>
  <c r="E85" i="29"/>
  <c r="B85" i="29"/>
  <c r="M84" i="29"/>
  <c r="K84" i="29"/>
  <c r="N84" i="29" s="1"/>
  <c r="E84" i="29"/>
  <c r="B84" i="29"/>
  <c r="N83" i="29"/>
  <c r="M83" i="29"/>
  <c r="K83" i="29"/>
  <c r="E83" i="29"/>
  <c r="B83" i="29"/>
  <c r="M82" i="29"/>
  <c r="K82" i="29"/>
  <c r="N82" i="29" s="1"/>
  <c r="E82" i="29"/>
  <c r="B82" i="29"/>
  <c r="N81" i="29"/>
  <c r="M81" i="29"/>
  <c r="K81" i="29"/>
  <c r="E81" i="29"/>
  <c r="B81" i="29"/>
  <c r="M80" i="29"/>
  <c r="K80" i="29"/>
  <c r="N80" i="29" s="1"/>
  <c r="E80" i="29"/>
  <c r="B80" i="29"/>
  <c r="N79" i="29"/>
  <c r="M79" i="29"/>
  <c r="K79" i="29"/>
  <c r="E79" i="29"/>
  <c r="B79" i="29"/>
  <c r="M78" i="29"/>
  <c r="K78" i="29"/>
  <c r="N78" i="29" s="1"/>
  <c r="E78" i="29"/>
  <c r="B78" i="29"/>
  <c r="N77" i="29"/>
  <c r="M77" i="29"/>
  <c r="K77" i="29"/>
  <c r="E77" i="29"/>
  <c r="B77" i="29"/>
  <c r="M76" i="29"/>
  <c r="K76" i="29"/>
  <c r="N76" i="29" s="1"/>
  <c r="E76" i="29"/>
  <c r="B76" i="29"/>
  <c r="N75" i="29"/>
  <c r="M75" i="29"/>
  <c r="K75" i="29"/>
  <c r="E75" i="29"/>
  <c r="B75" i="29"/>
  <c r="M74" i="29"/>
  <c r="K74" i="29"/>
  <c r="N74" i="29" s="1"/>
  <c r="E74" i="29"/>
  <c r="B74" i="29"/>
  <c r="N73" i="29"/>
  <c r="M73" i="29"/>
  <c r="K73" i="29"/>
  <c r="E73" i="29"/>
  <c r="B73" i="29"/>
  <c r="M72" i="29"/>
  <c r="K72" i="29"/>
  <c r="N72" i="29" s="1"/>
  <c r="E72" i="29"/>
  <c r="B72" i="29"/>
  <c r="N71" i="29"/>
  <c r="M71" i="29"/>
  <c r="K71" i="29"/>
  <c r="E71" i="29"/>
  <c r="B71" i="29"/>
  <c r="M70" i="29"/>
  <c r="K70" i="29"/>
  <c r="N70" i="29" s="1"/>
  <c r="E70" i="29"/>
  <c r="B70" i="29"/>
  <c r="N69" i="29"/>
  <c r="M69" i="29"/>
  <c r="K69" i="29"/>
  <c r="E69" i="29"/>
  <c r="B69" i="29"/>
  <c r="M68" i="29"/>
  <c r="K68" i="29"/>
  <c r="N68" i="29" s="1"/>
  <c r="E68" i="29"/>
  <c r="B68" i="29"/>
  <c r="N67" i="29"/>
  <c r="M67" i="29"/>
  <c r="K67" i="29"/>
  <c r="E67" i="29"/>
  <c r="B67" i="29"/>
  <c r="M66" i="29"/>
  <c r="K66" i="29"/>
  <c r="N66" i="29" s="1"/>
  <c r="E66" i="29"/>
  <c r="B66" i="29"/>
  <c r="N65" i="29"/>
  <c r="M65" i="29"/>
  <c r="K65" i="29"/>
  <c r="E65" i="29"/>
  <c r="B65" i="29"/>
  <c r="M64" i="29"/>
  <c r="K64" i="29"/>
  <c r="N64" i="29" s="1"/>
  <c r="E64" i="29"/>
  <c r="B64" i="29"/>
  <c r="N63" i="29"/>
  <c r="M63" i="29"/>
  <c r="K63" i="29"/>
  <c r="E63" i="29"/>
  <c r="B63" i="29"/>
  <c r="M62" i="29"/>
  <c r="K62" i="29"/>
  <c r="N62" i="29" s="1"/>
  <c r="E62" i="29"/>
  <c r="B62" i="29"/>
  <c r="N61" i="29"/>
  <c r="M61" i="29"/>
  <c r="K61" i="29"/>
  <c r="E61" i="29"/>
  <c r="B61" i="29"/>
  <c r="M60" i="29"/>
  <c r="K60" i="29"/>
  <c r="N60" i="29" s="1"/>
  <c r="E60" i="29"/>
  <c r="B60" i="29"/>
  <c r="N59" i="29"/>
  <c r="M59" i="29"/>
  <c r="K59" i="29"/>
  <c r="E59" i="29"/>
  <c r="B59" i="29"/>
  <c r="M58" i="29"/>
  <c r="K58" i="29"/>
  <c r="N58" i="29" s="1"/>
  <c r="E58" i="29"/>
  <c r="B58" i="29"/>
  <c r="N57" i="29"/>
  <c r="M57" i="29"/>
  <c r="K57" i="29"/>
  <c r="E57" i="29"/>
  <c r="B57" i="29"/>
  <c r="M56" i="29"/>
  <c r="K56" i="29"/>
  <c r="N56" i="29" s="1"/>
  <c r="E56" i="29"/>
  <c r="B56" i="29"/>
  <c r="N55" i="29"/>
  <c r="M55" i="29"/>
  <c r="K55" i="29"/>
  <c r="E55" i="29"/>
  <c r="B55" i="29"/>
  <c r="M54" i="29"/>
  <c r="K54" i="29"/>
  <c r="N54" i="29" s="1"/>
  <c r="E54" i="29"/>
  <c r="B54" i="29"/>
  <c r="N53" i="29"/>
  <c r="M53" i="29"/>
  <c r="K53" i="29"/>
  <c r="E53" i="29"/>
  <c r="B53" i="29"/>
  <c r="M52" i="29"/>
  <c r="K52" i="29"/>
  <c r="N52" i="29" s="1"/>
  <c r="E52" i="29"/>
  <c r="B52" i="29"/>
  <c r="N51" i="29"/>
  <c r="M51" i="29"/>
  <c r="K51" i="29"/>
  <c r="E51" i="29"/>
  <c r="B51" i="29"/>
  <c r="M50" i="29"/>
  <c r="K50" i="29"/>
  <c r="N50" i="29" s="1"/>
  <c r="E50" i="29"/>
  <c r="B50" i="29"/>
  <c r="N49" i="29"/>
  <c r="M49" i="29"/>
  <c r="K49" i="29"/>
  <c r="E49" i="29"/>
  <c r="B49" i="29"/>
  <c r="M48" i="29"/>
  <c r="K48" i="29"/>
  <c r="N48" i="29" s="1"/>
  <c r="E48" i="29"/>
  <c r="B48" i="29"/>
  <c r="N47" i="29"/>
  <c r="M47" i="29"/>
  <c r="K47" i="29"/>
  <c r="E47" i="29"/>
  <c r="B47" i="29"/>
  <c r="M46" i="29"/>
  <c r="K46" i="29"/>
  <c r="N46" i="29" s="1"/>
  <c r="E46" i="29"/>
  <c r="B46" i="29"/>
  <c r="N45" i="29"/>
  <c r="M45" i="29"/>
  <c r="K45" i="29"/>
  <c r="E45" i="29"/>
  <c r="B45" i="29"/>
  <c r="M44" i="29"/>
  <c r="K44" i="29"/>
  <c r="N44" i="29" s="1"/>
  <c r="E44" i="29"/>
  <c r="B44" i="29"/>
  <c r="N43" i="29"/>
  <c r="M43" i="29"/>
  <c r="K43" i="29"/>
  <c r="E43" i="29"/>
  <c r="B43" i="29"/>
  <c r="M42" i="29"/>
  <c r="K42" i="29"/>
  <c r="N42" i="29" s="1"/>
  <c r="E42" i="29"/>
  <c r="B42" i="29"/>
  <c r="N41" i="29"/>
  <c r="M41" i="29"/>
  <c r="K41" i="29"/>
  <c r="E41" i="29"/>
  <c r="B41" i="29"/>
  <c r="M40" i="29"/>
  <c r="K40" i="29"/>
  <c r="N40" i="29" s="1"/>
  <c r="E40" i="29"/>
  <c r="B40" i="29"/>
  <c r="N39" i="29"/>
  <c r="M39" i="29"/>
  <c r="K39" i="29"/>
  <c r="E39" i="29"/>
  <c r="B39" i="29"/>
  <c r="M38" i="29"/>
  <c r="K38" i="29"/>
  <c r="N38" i="29" s="1"/>
  <c r="E38" i="29"/>
  <c r="B38" i="29"/>
  <c r="N37" i="29"/>
  <c r="M37" i="29"/>
  <c r="K37" i="29"/>
  <c r="E37" i="29"/>
  <c r="B37" i="29"/>
  <c r="M36" i="29"/>
  <c r="K36" i="29"/>
  <c r="N36" i="29" s="1"/>
  <c r="E36" i="29"/>
  <c r="B36" i="29"/>
  <c r="N35" i="29"/>
  <c r="M35" i="29"/>
  <c r="K35" i="29"/>
  <c r="E35" i="29"/>
  <c r="B35" i="29"/>
  <c r="M34" i="29"/>
  <c r="K34" i="29"/>
  <c r="N34" i="29" s="1"/>
  <c r="E34" i="29"/>
  <c r="B34" i="29"/>
  <c r="N33" i="29"/>
  <c r="M33" i="29"/>
  <c r="K33" i="29"/>
  <c r="E33" i="29"/>
  <c r="B33" i="29"/>
  <c r="M32" i="29"/>
  <c r="K32" i="29"/>
  <c r="N32" i="29" s="1"/>
  <c r="E32" i="29"/>
  <c r="B32" i="29"/>
  <c r="N31" i="29"/>
  <c r="M31" i="29"/>
  <c r="K31" i="29"/>
  <c r="E31" i="29"/>
  <c r="B31" i="29"/>
  <c r="M30" i="29"/>
  <c r="K30" i="29"/>
  <c r="N30" i="29" s="1"/>
  <c r="E30" i="29"/>
  <c r="B30" i="29"/>
  <c r="N29" i="29"/>
  <c r="M29" i="29"/>
  <c r="K29" i="29"/>
  <c r="E29" i="29"/>
  <c r="B29" i="29"/>
  <c r="M28" i="29"/>
  <c r="K28" i="29"/>
  <c r="N28" i="29" s="1"/>
  <c r="E28" i="29"/>
  <c r="B28" i="29"/>
  <c r="N27" i="29"/>
  <c r="M27" i="29"/>
  <c r="K27" i="29"/>
  <c r="E27" i="29"/>
  <c r="B27" i="29"/>
  <c r="M26" i="29"/>
  <c r="K26" i="29"/>
  <c r="N26" i="29" s="1"/>
  <c r="E26" i="29"/>
  <c r="B26" i="29"/>
  <c r="N25" i="29"/>
  <c r="M25" i="29"/>
  <c r="K25" i="29"/>
  <c r="E25" i="29"/>
  <c r="B25" i="29"/>
  <c r="M24" i="29"/>
  <c r="K24" i="29"/>
  <c r="N24" i="29" s="1"/>
  <c r="E24" i="29"/>
  <c r="B24" i="29"/>
  <c r="N23" i="29"/>
  <c r="M23" i="29"/>
  <c r="K23" i="29"/>
  <c r="E23" i="29"/>
  <c r="B23" i="29"/>
  <c r="M22" i="29"/>
  <c r="K22" i="29"/>
  <c r="N22" i="29" s="1"/>
  <c r="E22" i="29"/>
  <c r="B22" i="29"/>
  <c r="N21" i="29"/>
  <c r="M21" i="29"/>
  <c r="K21" i="29"/>
  <c r="E21" i="29"/>
  <c r="B21" i="29"/>
  <c r="M20" i="29"/>
  <c r="K20" i="29"/>
  <c r="N20" i="29" s="1"/>
  <c r="E20" i="29"/>
  <c r="B20" i="29"/>
  <c r="N19" i="29"/>
  <c r="M19" i="29"/>
  <c r="K19" i="29"/>
  <c r="E19" i="29"/>
  <c r="B19" i="29"/>
  <c r="M18" i="29"/>
  <c r="K18" i="29"/>
  <c r="N18" i="29" s="1"/>
  <c r="E18" i="29"/>
  <c r="B18" i="29"/>
  <c r="N17" i="29"/>
  <c r="M17" i="29"/>
  <c r="K17" i="29"/>
  <c r="E17" i="29"/>
  <c r="B17" i="29"/>
  <c r="M16" i="29"/>
  <c r="K16" i="29"/>
  <c r="N16" i="29" s="1"/>
  <c r="E16" i="29"/>
  <c r="B16" i="29"/>
  <c r="N15" i="29"/>
  <c r="M15" i="29"/>
  <c r="K15" i="29"/>
  <c r="E15" i="29"/>
  <c r="B15" i="29"/>
  <c r="M14" i="29"/>
  <c r="K14" i="29"/>
  <c r="N14" i="29" s="1"/>
  <c r="E14" i="29"/>
  <c r="B14" i="29"/>
  <c r="N13" i="29"/>
  <c r="M13" i="29"/>
  <c r="K13" i="29"/>
  <c r="E13" i="29"/>
  <c r="B13" i="29"/>
  <c r="M12" i="29"/>
  <c r="K12" i="29"/>
  <c r="N12" i="29" s="1"/>
  <c r="E12" i="29"/>
  <c r="B12" i="29"/>
  <c r="N11" i="29"/>
  <c r="M11" i="29"/>
  <c r="K11" i="29"/>
  <c r="E11" i="29"/>
  <c r="B11" i="29"/>
  <c r="M10" i="29"/>
  <c r="K10" i="29"/>
  <c r="N10" i="29" s="1"/>
  <c r="E10" i="29"/>
  <c r="B10" i="29"/>
  <c r="N9" i="29"/>
  <c r="M9" i="29"/>
  <c r="K9" i="29"/>
  <c r="E9" i="29"/>
  <c r="B9" i="29"/>
  <c r="M8" i="29"/>
  <c r="K8" i="29"/>
  <c r="N8" i="29" s="1"/>
  <c r="E8" i="29"/>
  <c r="B8" i="29"/>
  <c r="N7" i="29"/>
  <c r="M7" i="29"/>
  <c r="K7" i="29"/>
  <c r="E7" i="29"/>
  <c r="B7" i="29"/>
  <c r="M6" i="29"/>
  <c r="K6" i="29"/>
  <c r="N6" i="29" s="1"/>
  <c r="E6" i="29"/>
  <c r="B6" i="29"/>
  <c r="N5" i="29"/>
  <c r="M5" i="29"/>
  <c r="K5" i="29"/>
  <c r="E5" i="29"/>
  <c r="B5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4" i="28"/>
  <c r="N134" i="28" s="1"/>
  <c r="K134" i="28"/>
  <c r="E134" i="28"/>
  <c r="B134" i="28"/>
  <c r="M133" i="28"/>
  <c r="K133" i="28"/>
  <c r="N133" i="28" s="1"/>
  <c r="E133" i="28"/>
  <c r="B133" i="28"/>
  <c r="N132" i="28"/>
  <c r="M132" i="28"/>
  <c r="K132" i="28"/>
  <c r="E132" i="28"/>
  <c r="B132" i="28"/>
  <c r="M131" i="28"/>
  <c r="K131" i="28"/>
  <c r="N131" i="28" s="1"/>
  <c r="E131" i="28"/>
  <c r="B131" i="28"/>
  <c r="M130" i="28"/>
  <c r="N130" i="28" s="1"/>
  <c r="K130" i="28"/>
  <c r="E130" i="28"/>
  <c r="B130" i="28"/>
  <c r="M129" i="28"/>
  <c r="K129" i="28"/>
  <c r="N129" i="28" s="1"/>
  <c r="E129" i="28"/>
  <c r="B129" i="28"/>
  <c r="N128" i="28"/>
  <c r="M128" i="28"/>
  <c r="K128" i="28"/>
  <c r="E128" i="28"/>
  <c r="B128" i="28"/>
  <c r="M127" i="28"/>
  <c r="K127" i="28"/>
  <c r="N127" i="28" s="1"/>
  <c r="E127" i="28"/>
  <c r="B127" i="28"/>
  <c r="M126" i="28"/>
  <c r="N126" i="28" s="1"/>
  <c r="K126" i="28"/>
  <c r="E126" i="28"/>
  <c r="B126" i="28"/>
  <c r="M125" i="28"/>
  <c r="K125" i="28"/>
  <c r="N125" i="28" s="1"/>
  <c r="E125" i="28"/>
  <c r="B125" i="28"/>
  <c r="N124" i="28"/>
  <c r="M124" i="28"/>
  <c r="K124" i="28"/>
  <c r="E124" i="28"/>
  <c r="B124" i="28"/>
  <c r="M123" i="28"/>
  <c r="K123" i="28"/>
  <c r="N123" i="28" s="1"/>
  <c r="E123" i="28"/>
  <c r="B123" i="28"/>
  <c r="M122" i="28"/>
  <c r="N122" i="28" s="1"/>
  <c r="K122" i="28"/>
  <c r="E122" i="28"/>
  <c r="B122" i="28"/>
  <c r="M121" i="28"/>
  <c r="K121" i="28"/>
  <c r="N121" i="28" s="1"/>
  <c r="E121" i="28"/>
  <c r="B121" i="28"/>
  <c r="N120" i="28"/>
  <c r="M120" i="28"/>
  <c r="K120" i="28"/>
  <c r="E120" i="28"/>
  <c r="B120" i="28"/>
  <c r="M119" i="28"/>
  <c r="K119" i="28"/>
  <c r="N119" i="28" s="1"/>
  <c r="E119" i="28"/>
  <c r="B119" i="28"/>
  <c r="M118" i="28"/>
  <c r="N118" i="28" s="1"/>
  <c r="K118" i="28"/>
  <c r="E118" i="28"/>
  <c r="B118" i="28"/>
  <c r="M117" i="28"/>
  <c r="K117" i="28"/>
  <c r="N117" i="28" s="1"/>
  <c r="E117" i="28"/>
  <c r="B117" i="28"/>
  <c r="N116" i="28"/>
  <c r="M116" i="28"/>
  <c r="K116" i="28"/>
  <c r="E116" i="28"/>
  <c r="B116" i="28"/>
  <c r="M115" i="28"/>
  <c r="K115" i="28"/>
  <c r="N115" i="28" s="1"/>
  <c r="E115" i="28"/>
  <c r="B115" i="28"/>
  <c r="M114" i="28"/>
  <c r="N114" i="28" s="1"/>
  <c r="K114" i="28"/>
  <c r="E114" i="28"/>
  <c r="B114" i="28"/>
  <c r="M113" i="28"/>
  <c r="K113" i="28"/>
  <c r="N113" i="28" s="1"/>
  <c r="E113" i="28"/>
  <c r="B113" i="28"/>
  <c r="N112" i="28"/>
  <c r="M112" i="28"/>
  <c r="K112" i="28"/>
  <c r="E112" i="28"/>
  <c r="B112" i="28"/>
  <c r="M111" i="28"/>
  <c r="K111" i="28"/>
  <c r="N111" i="28" s="1"/>
  <c r="E111" i="28"/>
  <c r="B111" i="28"/>
  <c r="M110" i="28"/>
  <c r="N110" i="28" s="1"/>
  <c r="K110" i="28"/>
  <c r="E110" i="28"/>
  <c r="B110" i="28"/>
  <c r="M109" i="28"/>
  <c r="K109" i="28"/>
  <c r="N109" i="28" s="1"/>
  <c r="E109" i="28"/>
  <c r="B109" i="28"/>
  <c r="N108" i="28"/>
  <c r="M108" i="28"/>
  <c r="K108" i="28"/>
  <c r="E108" i="28"/>
  <c r="B108" i="28"/>
  <c r="M107" i="28"/>
  <c r="K107" i="28"/>
  <c r="N107" i="28" s="1"/>
  <c r="E107" i="28"/>
  <c r="B107" i="28"/>
  <c r="M106" i="28"/>
  <c r="N106" i="28" s="1"/>
  <c r="K106" i="28"/>
  <c r="E106" i="28"/>
  <c r="B106" i="28"/>
  <c r="M105" i="28"/>
  <c r="K105" i="28"/>
  <c r="N105" i="28" s="1"/>
  <c r="E105" i="28"/>
  <c r="B105" i="28"/>
  <c r="N104" i="28"/>
  <c r="M104" i="28"/>
  <c r="K104" i="28"/>
  <c r="E104" i="28"/>
  <c r="B104" i="28"/>
  <c r="M103" i="28"/>
  <c r="K103" i="28"/>
  <c r="N103" i="28" s="1"/>
  <c r="E103" i="28"/>
  <c r="B103" i="28"/>
  <c r="M102" i="28"/>
  <c r="N102" i="28" s="1"/>
  <c r="K102" i="28"/>
  <c r="E102" i="28"/>
  <c r="B102" i="28"/>
  <c r="M101" i="28"/>
  <c r="K101" i="28"/>
  <c r="N101" i="28" s="1"/>
  <c r="E101" i="28"/>
  <c r="B101" i="28"/>
  <c r="N100" i="28"/>
  <c r="M100" i="28"/>
  <c r="K100" i="28"/>
  <c r="E100" i="28"/>
  <c r="B100" i="28"/>
  <c r="M99" i="28"/>
  <c r="K99" i="28"/>
  <c r="N99" i="28" s="1"/>
  <c r="E99" i="28"/>
  <c r="B99" i="28"/>
  <c r="M98" i="28"/>
  <c r="N98" i="28" s="1"/>
  <c r="K98" i="28"/>
  <c r="E98" i="28"/>
  <c r="B98" i="28"/>
  <c r="M97" i="28"/>
  <c r="K97" i="28"/>
  <c r="N97" i="28" s="1"/>
  <c r="E97" i="28"/>
  <c r="B97" i="28"/>
  <c r="N96" i="28"/>
  <c r="M96" i="28"/>
  <c r="K96" i="28"/>
  <c r="E96" i="28"/>
  <c r="B96" i="28"/>
  <c r="M95" i="28"/>
  <c r="K95" i="28"/>
  <c r="N95" i="28" s="1"/>
  <c r="E95" i="28"/>
  <c r="B95" i="28"/>
  <c r="M94" i="28"/>
  <c r="N94" i="28" s="1"/>
  <c r="K94" i="28"/>
  <c r="E94" i="28"/>
  <c r="B94" i="28"/>
  <c r="M93" i="28"/>
  <c r="K93" i="28"/>
  <c r="N93" i="28" s="1"/>
  <c r="E93" i="28"/>
  <c r="B93" i="28"/>
  <c r="N92" i="28"/>
  <c r="M92" i="28"/>
  <c r="K92" i="28"/>
  <c r="E92" i="28"/>
  <c r="B92" i="28"/>
  <c r="M91" i="28"/>
  <c r="K91" i="28"/>
  <c r="N91" i="28" s="1"/>
  <c r="E91" i="28"/>
  <c r="B91" i="28"/>
  <c r="M90" i="28"/>
  <c r="N90" i="28" s="1"/>
  <c r="K90" i="28"/>
  <c r="E90" i="28"/>
  <c r="B90" i="28"/>
  <c r="M89" i="28"/>
  <c r="K89" i="28"/>
  <c r="N89" i="28" s="1"/>
  <c r="E89" i="28"/>
  <c r="B89" i="28"/>
  <c r="M88" i="28"/>
  <c r="N88" i="28" s="1"/>
  <c r="K88" i="28"/>
  <c r="E88" i="28"/>
  <c r="B88" i="28"/>
  <c r="M87" i="28"/>
  <c r="K87" i="28"/>
  <c r="N87" i="28" s="1"/>
  <c r="E87" i="28"/>
  <c r="B87" i="28"/>
  <c r="N86" i="28"/>
  <c r="M86" i="28"/>
  <c r="K86" i="28"/>
  <c r="E86" i="28"/>
  <c r="B86" i="28"/>
  <c r="M85" i="28"/>
  <c r="K85" i="28"/>
  <c r="N85" i="28" s="1"/>
  <c r="E85" i="28"/>
  <c r="B85" i="28"/>
  <c r="M84" i="28"/>
  <c r="N84" i="28" s="1"/>
  <c r="K84" i="28"/>
  <c r="E84" i="28"/>
  <c r="B84" i="28"/>
  <c r="M83" i="28"/>
  <c r="K83" i="28"/>
  <c r="N83" i="28" s="1"/>
  <c r="E83" i="28"/>
  <c r="B83" i="28"/>
  <c r="N82" i="28"/>
  <c r="M82" i="28"/>
  <c r="K82" i="28"/>
  <c r="E82" i="28"/>
  <c r="B82" i="28"/>
  <c r="M81" i="28"/>
  <c r="K81" i="28"/>
  <c r="N81" i="28" s="1"/>
  <c r="E81" i="28"/>
  <c r="B81" i="28"/>
  <c r="M80" i="28"/>
  <c r="N80" i="28" s="1"/>
  <c r="K80" i="28"/>
  <c r="E80" i="28"/>
  <c r="B80" i="28"/>
  <c r="M79" i="28"/>
  <c r="K79" i="28"/>
  <c r="N79" i="28" s="1"/>
  <c r="E79" i="28"/>
  <c r="B79" i="28"/>
  <c r="N78" i="28"/>
  <c r="M78" i="28"/>
  <c r="K78" i="28"/>
  <c r="E78" i="28"/>
  <c r="B78" i="28"/>
  <c r="M77" i="28"/>
  <c r="K77" i="28"/>
  <c r="N77" i="28" s="1"/>
  <c r="E77" i="28"/>
  <c r="B77" i="28"/>
  <c r="M76" i="28"/>
  <c r="N76" i="28" s="1"/>
  <c r="K76" i="28"/>
  <c r="E76" i="28"/>
  <c r="B76" i="28"/>
  <c r="M75" i="28"/>
  <c r="K75" i="28"/>
  <c r="N75" i="28" s="1"/>
  <c r="E75" i="28"/>
  <c r="B75" i="28"/>
  <c r="N74" i="28"/>
  <c r="M74" i="28"/>
  <c r="K74" i="28"/>
  <c r="E74" i="28"/>
  <c r="B74" i="28"/>
  <c r="M73" i="28"/>
  <c r="K73" i="28"/>
  <c r="N73" i="28" s="1"/>
  <c r="E73" i="28"/>
  <c r="B73" i="28"/>
  <c r="M72" i="28"/>
  <c r="N72" i="28" s="1"/>
  <c r="K72" i="28"/>
  <c r="E72" i="28"/>
  <c r="B72" i="28"/>
  <c r="M71" i="28"/>
  <c r="K71" i="28"/>
  <c r="N71" i="28" s="1"/>
  <c r="E71" i="28"/>
  <c r="B71" i="28"/>
  <c r="N70" i="28"/>
  <c r="M70" i="28"/>
  <c r="K70" i="28"/>
  <c r="E70" i="28"/>
  <c r="B70" i="28"/>
  <c r="M69" i="28"/>
  <c r="K69" i="28"/>
  <c r="N69" i="28" s="1"/>
  <c r="E69" i="28"/>
  <c r="B69" i="28"/>
  <c r="M68" i="28"/>
  <c r="N68" i="28" s="1"/>
  <c r="K68" i="28"/>
  <c r="E68" i="28"/>
  <c r="B68" i="28"/>
  <c r="M67" i="28"/>
  <c r="K67" i="28"/>
  <c r="N67" i="28" s="1"/>
  <c r="E67" i="28"/>
  <c r="B67" i="28"/>
  <c r="N66" i="28"/>
  <c r="M66" i="28"/>
  <c r="K66" i="28"/>
  <c r="E66" i="28"/>
  <c r="B66" i="28"/>
  <c r="M65" i="28"/>
  <c r="K65" i="28"/>
  <c r="N65" i="28" s="1"/>
  <c r="E65" i="28"/>
  <c r="B65" i="28"/>
  <c r="M64" i="28"/>
  <c r="N64" i="28" s="1"/>
  <c r="K64" i="28"/>
  <c r="E64" i="28"/>
  <c r="B64" i="28"/>
  <c r="M63" i="28"/>
  <c r="K63" i="28"/>
  <c r="N63" i="28" s="1"/>
  <c r="E63" i="28"/>
  <c r="B63" i="28"/>
  <c r="N62" i="28"/>
  <c r="M62" i="28"/>
  <c r="K62" i="28"/>
  <c r="E62" i="28"/>
  <c r="B62" i="28"/>
  <c r="M61" i="28"/>
  <c r="K61" i="28"/>
  <c r="N61" i="28" s="1"/>
  <c r="E61" i="28"/>
  <c r="B61" i="28"/>
  <c r="M60" i="28"/>
  <c r="N60" i="28" s="1"/>
  <c r="K60" i="28"/>
  <c r="E60" i="28"/>
  <c r="B60" i="28"/>
  <c r="M59" i="28"/>
  <c r="K59" i="28"/>
  <c r="N59" i="28" s="1"/>
  <c r="E59" i="28"/>
  <c r="B59" i="28"/>
  <c r="N58" i="28"/>
  <c r="M58" i="28"/>
  <c r="K58" i="28"/>
  <c r="E58" i="28"/>
  <c r="B58" i="28"/>
  <c r="M57" i="28"/>
  <c r="K57" i="28"/>
  <c r="N57" i="28" s="1"/>
  <c r="E57" i="28"/>
  <c r="B57" i="28"/>
  <c r="M56" i="28"/>
  <c r="N56" i="28" s="1"/>
  <c r="K56" i="28"/>
  <c r="E56" i="28"/>
  <c r="B56" i="28"/>
  <c r="M55" i="28"/>
  <c r="K55" i="28"/>
  <c r="N55" i="28" s="1"/>
  <c r="E55" i="28"/>
  <c r="B55" i="28"/>
  <c r="N54" i="28"/>
  <c r="M54" i="28"/>
  <c r="K54" i="28"/>
  <c r="E54" i="28"/>
  <c r="B54" i="28"/>
  <c r="M53" i="28"/>
  <c r="K53" i="28"/>
  <c r="E53" i="28"/>
  <c r="B53" i="28"/>
  <c r="M52" i="28"/>
  <c r="N52" i="28" s="1"/>
  <c r="K52" i="28"/>
  <c r="E52" i="28"/>
  <c r="B52" i="28"/>
  <c r="M51" i="28"/>
  <c r="K51" i="28"/>
  <c r="N51" i="28" s="1"/>
  <c r="E51" i="28"/>
  <c r="B51" i="28"/>
  <c r="N50" i="28"/>
  <c r="M50" i="28"/>
  <c r="K50" i="28"/>
  <c r="E50" i="28"/>
  <c r="B50" i="28"/>
  <c r="M49" i="28"/>
  <c r="K49" i="28"/>
  <c r="E49" i="28"/>
  <c r="B49" i="28"/>
  <c r="M48" i="28"/>
  <c r="N48" i="28" s="1"/>
  <c r="K48" i="28"/>
  <c r="E48" i="28"/>
  <c r="B48" i="28"/>
  <c r="M47" i="28"/>
  <c r="K47" i="28"/>
  <c r="N47" i="28" s="1"/>
  <c r="E47" i="28"/>
  <c r="B47" i="28"/>
  <c r="N46" i="28"/>
  <c r="M46" i="28"/>
  <c r="K46" i="28"/>
  <c r="E46" i="28"/>
  <c r="B46" i="28"/>
  <c r="M45" i="28"/>
  <c r="K45" i="28"/>
  <c r="E45" i="28"/>
  <c r="B45" i="28"/>
  <c r="M44" i="28"/>
  <c r="N44" i="28" s="1"/>
  <c r="K44" i="28"/>
  <c r="E44" i="28"/>
  <c r="B44" i="28"/>
  <c r="M43" i="28"/>
  <c r="K43" i="28"/>
  <c r="N43" i="28" s="1"/>
  <c r="E43" i="28"/>
  <c r="B43" i="28"/>
  <c r="N42" i="28"/>
  <c r="M42" i="28"/>
  <c r="K42" i="28"/>
  <c r="E42" i="28"/>
  <c r="B42" i="28"/>
  <c r="M41" i="28"/>
  <c r="K41" i="28"/>
  <c r="E41" i="28"/>
  <c r="B41" i="28"/>
  <c r="M40" i="28"/>
  <c r="N40" i="28" s="1"/>
  <c r="K40" i="28"/>
  <c r="E40" i="28"/>
  <c r="B40" i="28"/>
  <c r="M39" i="28"/>
  <c r="K39" i="28"/>
  <c r="N39" i="28" s="1"/>
  <c r="E39" i="28"/>
  <c r="B39" i="28"/>
  <c r="N38" i="28"/>
  <c r="M38" i="28"/>
  <c r="K38" i="28"/>
  <c r="E38" i="28"/>
  <c r="B38" i="28"/>
  <c r="M37" i="28"/>
  <c r="K37" i="28"/>
  <c r="E37" i="28"/>
  <c r="B37" i="28"/>
  <c r="M36" i="28"/>
  <c r="N36" i="28" s="1"/>
  <c r="K36" i="28"/>
  <c r="E36" i="28"/>
  <c r="B36" i="28"/>
  <c r="M35" i="28"/>
  <c r="N35" i="28" s="1"/>
  <c r="K35" i="28"/>
  <c r="E35" i="28"/>
  <c r="B35" i="28"/>
  <c r="M34" i="28"/>
  <c r="K34" i="28"/>
  <c r="N34" i="28" s="1"/>
  <c r="E34" i="28"/>
  <c r="B34" i="28"/>
  <c r="M33" i="28"/>
  <c r="K33" i="28"/>
  <c r="N33" i="28" s="1"/>
  <c r="E33" i="28"/>
  <c r="B33" i="28"/>
  <c r="N32" i="28"/>
  <c r="M32" i="28"/>
  <c r="K32" i="28"/>
  <c r="E32" i="28"/>
  <c r="B32" i="28"/>
  <c r="N31" i="28"/>
  <c r="M31" i="28"/>
  <c r="K31" i="28"/>
  <c r="E31" i="28"/>
  <c r="B31" i="28"/>
  <c r="M30" i="28"/>
  <c r="K30" i="28"/>
  <c r="N30" i="28" s="1"/>
  <c r="E30" i="28"/>
  <c r="B30" i="28"/>
  <c r="N29" i="28"/>
  <c r="M29" i="28"/>
  <c r="K29" i="28"/>
  <c r="E29" i="28"/>
  <c r="B29" i="28"/>
  <c r="N28" i="28"/>
  <c r="M28" i="28"/>
  <c r="K28" i="28"/>
  <c r="E28" i="28"/>
  <c r="B28" i="28"/>
  <c r="N27" i="28"/>
  <c r="M27" i="28"/>
  <c r="K27" i="28"/>
  <c r="E27" i="28"/>
  <c r="B27" i="28"/>
  <c r="M26" i="28"/>
  <c r="K26" i="28"/>
  <c r="N26" i="28" s="1"/>
  <c r="E26" i="28"/>
  <c r="B26" i="28"/>
  <c r="N25" i="28"/>
  <c r="M25" i="28"/>
  <c r="K25" i="28"/>
  <c r="E25" i="28"/>
  <c r="B25" i="28"/>
  <c r="N24" i="28"/>
  <c r="M24" i="28"/>
  <c r="K24" i="28"/>
  <c r="E24" i="28"/>
  <c r="B24" i="28"/>
  <c r="N23" i="28"/>
  <c r="M23" i="28"/>
  <c r="K23" i="28"/>
  <c r="E23" i="28"/>
  <c r="B23" i="28"/>
  <c r="M22" i="28"/>
  <c r="K22" i="28"/>
  <c r="N22" i="28" s="1"/>
  <c r="E22" i="28"/>
  <c r="B22" i="28"/>
  <c r="N21" i="28"/>
  <c r="M21" i="28"/>
  <c r="K21" i="28"/>
  <c r="E21" i="28"/>
  <c r="B21" i="28"/>
  <c r="N20" i="28"/>
  <c r="M20" i="28"/>
  <c r="K20" i="28"/>
  <c r="E20" i="28"/>
  <c r="B20" i="28"/>
  <c r="N19" i="28"/>
  <c r="M19" i="28"/>
  <c r="K19" i="28"/>
  <c r="E19" i="28"/>
  <c r="B19" i="28"/>
  <c r="M18" i="28"/>
  <c r="K18" i="28"/>
  <c r="N18" i="28" s="1"/>
  <c r="E18" i="28"/>
  <c r="B18" i="28"/>
  <c r="N17" i="28"/>
  <c r="M17" i="28"/>
  <c r="K17" i="28"/>
  <c r="E17" i="28"/>
  <c r="B17" i="28"/>
  <c r="N16" i="28"/>
  <c r="M16" i="28"/>
  <c r="K16" i="28"/>
  <c r="E16" i="28"/>
  <c r="B16" i="28"/>
  <c r="N15" i="28"/>
  <c r="M15" i="28"/>
  <c r="K15" i="28"/>
  <c r="E15" i="28"/>
  <c r="B15" i="28"/>
  <c r="M14" i="28"/>
  <c r="K14" i="28"/>
  <c r="N14" i="28" s="1"/>
  <c r="E14" i="28"/>
  <c r="B14" i="28"/>
  <c r="N13" i="28"/>
  <c r="M13" i="28"/>
  <c r="K13" i="28"/>
  <c r="E13" i="28"/>
  <c r="B13" i="28"/>
  <c r="N12" i="28"/>
  <c r="M12" i="28"/>
  <c r="K12" i="28"/>
  <c r="E12" i="28"/>
  <c r="B12" i="28"/>
  <c r="N11" i="28"/>
  <c r="M11" i="28"/>
  <c r="K11" i="28"/>
  <c r="E11" i="28"/>
  <c r="B11" i="28"/>
  <c r="M10" i="28"/>
  <c r="K10" i="28"/>
  <c r="N10" i="28" s="1"/>
  <c r="E10" i="28"/>
  <c r="B10" i="28"/>
  <c r="N9" i="28"/>
  <c r="M9" i="28"/>
  <c r="K9" i="28"/>
  <c r="E9" i="28"/>
  <c r="B9" i="28"/>
  <c r="N8" i="28"/>
  <c r="M8" i="28"/>
  <c r="K8" i="28"/>
  <c r="E8" i="28"/>
  <c r="B8" i="28"/>
  <c r="N7" i="28"/>
  <c r="M7" i="28"/>
  <c r="K7" i="28"/>
  <c r="E7" i="28"/>
  <c r="B7" i="28"/>
  <c r="M6" i="28"/>
  <c r="K6" i="28"/>
  <c r="N6" i="28" s="1"/>
  <c r="E6" i="28"/>
  <c r="B6" i="28"/>
  <c r="N5" i="28"/>
  <c r="M5" i="28"/>
  <c r="K5" i="28"/>
  <c r="E5" i="28"/>
  <c r="B5" i="28"/>
  <c r="N4" i="28"/>
  <c r="M4" i="28"/>
  <c r="K4" i="28"/>
  <c r="K2" i="28" s="1"/>
  <c r="E4" i="28"/>
  <c r="B4" i="28"/>
  <c r="V2" i="28"/>
  <c r="U2" i="28"/>
  <c r="T2" i="28"/>
  <c r="S2" i="28"/>
  <c r="R2" i="28"/>
  <c r="Q2" i="28"/>
  <c r="P2" i="28"/>
  <c r="M2" i="28" s="1"/>
  <c r="O2" i="28"/>
  <c r="L2" i="28"/>
  <c r="J2" i="28"/>
  <c r="I2" i="28"/>
  <c r="H2" i="28"/>
  <c r="G2" i="28"/>
  <c r="F2" i="28"/>
  <c r="N2" i="28" s="1"/>
  <c r="M134" i="27"/>
  <c r="K134" i="27"/>
  <c r="N134" i="27" s="1"/>
  <c r="E134" i="27"/>
  <c r="B134" i="27"/>
  <c r="M133" i="27"/>
  <c r="N133" i="27" s="1"/>
  <c r="K133" i="27"/>
  <c r="E133" i="27"/>
  <c r="B133" i="27"/>
  <c r="M132" i="27"/>
  <c r="K132" i="27"/>
  <c r="N132" i="27" s="1"/>
  <c r="E132" i="27"/>
  <c r="B132" i="27"/>
  <c r="M131" i="27"/>
  <c r="K131" i="27"/>
  <c r="N131" i="27" s="1"/>
  <c r="E131" i="27"/>
  <c r="B131" i="27"/>
  <c r="M130" i="27"/>
  <c r="K130" i="27"/>
  <c r="N130" i="27" s="1"/>
  <c r="E130" i="27"/>
  <c r="B130" i="27"/>
  <c r="M129" i="27"/>
  <c r="N129" i="27" s="1"/>
  <c r="K129" i="27"/>
  <c r="E129" i="27"/>
  <c r="B129" i="27"/>
  <c r="M128" i="27"/>
  <c r="K128" i="27"/>
  <c r="N128" i="27" s="1"/>
  <c r="E128" i="27"/>
  <c r="B128" i="27"/>
  <c r="M127" i="27"/>
  <c r="K127" i="27"/>
  <c r="N127" i="27" s="1"/>
  <c r="E127" i="27"/>
  <c r="B127" i="27"/>
  <c r="M126" i="27"/>
  <c r="K126" i="27"/>
  <c r="N126" i="27" s="1"/>
  <c r="E126" i="27"/>
  <c r="B126" i="27"/>
  <c r="M125" i="27"/>
  <c r="N125" i="27" s="1"/>
  <c r="K125" i="27"/>
  <c r="E125" i="27"/>
  <c r="B125" i="27"/>
  <c r="M124" i="27"/>
  <c r="K124" i="27"/>
  <c r="N124" i="27" s="1"/>
  <c r="E124" i="27"/>
  <c r="B124" i="27"/>
  <c r="M123" i="27"/>
  <c r="K123" i="27"/>
  <c r="N123" i="27" s="1"/>
  <c r="E123" i="27"/>
  <c r="B123" i="27"/>
  <c r="M122" i="27"/>
  <c r="K122" i="27"/>
  <c r="N122" i="27" s="1"/>
  <c r="E122" i="27"/>
  <c r="B122" i="27"/>
  <c r="M121" i="27"/>
  <c r="N121" i="27" s="1"/>
  <c r="K121" i="27"/>
  <c r="E121" i="27"/>
  <c r="B121" i="27"/>
  <c r="M120" i="27"/>
  <c r="K120" i="27"/>
  <c r="N120" i="27" s="1"/>
  <c r="E120" i="27"/>
  <c r="B120" i="27"/>
  <c r="M119" i="27"/>
  <c r="K119" i="27"/>
  <c r="N119" i="27" s="1"/>
  <c r="E119" i="27"/>
  <c r="B119" i="27"/>
  <c r="M118" i="27"/>
  <c r="K118" i="27"/>
  <c r="N118" i="27" s="1"/>
  <c r="E118" i="27"/>
  <c r="B118" i="27"/>
  <c r="M117" i="27"/>
  <c r="N117" i="27" s="1"/>
  <c r="K117" i="27"/>
  <c r="E117" i="27"/>
  <c r="B117" i="27"/>
  <c r="M116" i="27"/>
  <c r="K116" i="27"/>
  <c r="N116" i="27" s="1"/>
  <c r="E116" i="27"/>
  <c r="B116" i="27"/>
  <c r="M115" i="27"/>
  <c r="K115" i="27"/>
  <c r="N115" i="27" s="1"/>
  <c r="E115" i="27"/>
  <c r="B115" i="27"/>
  <c r="M114" i="27"/>
  <c r="K114" i="27"/>
  <c r="N114" i="27" s="1"/>
  <c r="E114" i="27"/>
  <c r="B114" i="27"/>
  <c r="M113" i="27"/>
  <c r="N113" i="27" s="1"/>
  <c r="K113" i="27"/>
  <c r="E113" i="27"/>
  <c r="B113" i="27"/>
  <c r="M112" i="27"/>
  <c r="K112" i="27"/>
  <c r="N112" i="27" s="1"/>
  <c r="E112" i="27"/>
  <c r="B112" i="27"/>
  <c r="M111" i="27"/>
  <c r="K111" i="27"/>
  <c r="N111" i="27" s="1"/>
  <c r="E111" i="27"/>
  <c r="B111" i="27"/>
  <c r="M110" i="27"/>
  <c r="K110" i="27"/>
  <c r="N110" i="27" s="1"/>
  <c r="E110" i="27"/>
  <c r="B110" i="27"/>
  <c r="M109" i="27"/>
  <c r="N109" i="27" s="1"/>
  <c r="K109" i="27"/>
  <c r="E109" i="27"/>
  <c r="B109" i="27"/>
  <c r="M108" i="27"/>
  <c r="K108" i="27"/>
  <c r="N108" i="27" s="1"/>
  <c r="E108" i="27"/>
  <c r="B108" i="27"/>
  <c r="M107" i="27"/>
  <c r="K107" i="27"/>
  <c r="N107" i="27" s="1"/>
  <c r="E107" i="27"/>
  <c r="B107" i="27"/>
  <c r="M106" i="27"/>
  <c r="K106" i="27"/>
  <c r="N106" i="27" s="1"/>
  <c r="E106" i="27"/>
  <c r="B106" i="27"/>
  <c r="M105" i="27"/>
  <c r="N105" i="27" s="1"/>
  <c r="K105" i="27"/>
  <c r="E105" i="27"/>
  <c r="B105" i="27"/>
  <c r="M104" i="27"/>
  <c r="K104" i="27"/>
  <c r="N104" i="27" s="1"/>
  <c r="E104" i="27"/>
  <c r="B104" i="27"/>
  <c r="M103" i="27"/>
  <c r="K103" i="27"/>
  <c r="N103" i="27" s="1"/>
  <c r="E103" i="27"/>
  <c r="B103" i="27"/>
  <c r="M102" i="27"/>
  <c r="K102" i="27"/>
  <c r="N102" i="27" s="1"/>
  <c r="E102" i="27"/>
  <c r="B102" i="27"/>
  <c r="M101" i="27"/>
  <c r="N101" i="27" s="1"/>
  <c r="K101" i="27"/>
  <c r="E101" i="27"/>
  <c r="B101" i="27"/>
  <c r="M100" i="27"/>
  <c r="K100" i="27"/>
  <c r="N100" i="27" s="1"/>
  <c r="E100" i="27"/>
  <c r="B100" i="27"/>
  <c r="M99" i="27"/>
  <c r="K99" i="27"/>
  <c r="N99" i="27" s="1"/>
  <c r="E99" i="27"/>
  <c r="B99" i="27"/>
  <c r="M98" i="27"/>
  <c r="K98" i="27"/>
  <c r="N98" i="27" s="1"/>
  <c r="E98" i="27"/>
  <c r="B98" i="27"/>
  <c r="M97" i="27"/>
  <c r="N97" i="27" s="1"/>
  <c r="K97" i="27"/>
  <c r="E97" i="27"/>
  <c r="B97" i="27"/>
  <c r="M96" i="27"/>
  <c r="K96" i="27"/>
  <c r="N96" i="27" s="1"/>
  <c r="E96" i="27"/>
  <c r="B96" i="27"/>
  <c r="M95" i="27"/>
  <c r="K95" i="27"/>
  <c r="N95" i="27" s="1"/>
  <c r="E95" i="27"/>
  <c r="B95" i="27"/>
  <c r="M94" i="27"/>
  <c r="K94" i="27"/>
  <c r="N94" i="27" s="1"/>
  <c r="E94" i="27"/>
  <c r="B94" i="27"/>
  <c r="M93" i="27"/>
  <c r="N93" i="27" s="1"/>
  <c r="K93" i="27"/>
  <c r="E93" i="27"/>
  <c r="B93" i="27"/>
  <c r="M92" i="27"/>
  <c r="K92" i="27"/>
  <c r="N92" i="27" s="1"/>
  <c r="E92" i="27"/>
  <c r="B92" i="27"/>
  <c r="M91" i="27"/>
  <c r="K91" i="27"/>
  <c r="N91" i="27" s="1"/>
  <c r="E91" i="27"/>
  <c r="B91" i="27"/>
  <c r="M90" i="27"/>
  <c r="K90" i="27"/>
  <c r="N90" i="27" s="1"/>
  <c r="E90" i="27"/>
  <c r="B90" i="27"/>
  <c r="M89" i="27"/>
  <c r="N89" i="27" s="1"/>
  <c r="K89" i="27"/>
  <c r="E89" i="27"/>
  <c r="B89" i="27"/>
  <c r="M88" i="27"/>
  <c r="K88" i="27"/>
  <c r="N88" i="27" s="1"/>
  <c r="E88" i="27"/>
  <c r="B88" i="27"/>
  <c r="M87" i="27"/>
  <c r="K87" i="27"/>
  <c r="N87" i="27" s="1"/>
  <c r="E87" i="27"/>
  <c r="B87" i="27"/>
  <c r="M86" i="27"/>
  <c r="K86" i="27"/>
  <c r="N86" i="27" s="1"/>
  <c r="E86" i="27"/>
  <c r="B86" i="27"/>
  <c r="M85" i="27"/>
  <c r="N85" i="27" s="1"/>
  <c r="K85" i="27"/>
  <c r="E85" i="27"/>
  <c r="B85" i="27"/>
  <c r="M84" i="27"/>
  <c r="K84" i="27"/>
  <c r="N84" i="27" s="1"/>
  <c r="E84" i="27"/>
  <c r="B84" i="27"/>
  <c r="M83" i="27"/>
  <c r="K83" i="27"/>
  <c r="N83" i="27" s="1"/>
  <c r="E83" i="27"/>
  <c r="B83" i="27"/>
  <c r="M82" i="27"/>
  <c r="K82" i="27"/>
  <c r="N82" i="27" s="1"/>
  <c r="E82" i="27"/>
  <c r="B82" i="27"/>
  <c r="M81" i="27"/>
  <c r="N81" i="27" s="1"/>
  <c r="K81" i="27"/>
  <c r="E81" i="27"/>
  <c r="B81" i="27"/>
  <c r="M80" i="27"/>
  <c r="K80" i="27"/>
  <c r="N80" i="27" s="1"/>
  <c r="E80" i="27"/>
  <c r="B80" i="27"/>
  <c r="M79" i="27"/>
  <c r="K79" i="27"/>
  <c r="N79" i="27" s="1"/>
  <c r="E79" i="27"/>
  <c r="B79" i="27"/>
  <c r="M78" i="27"/>
  <c r="K78" i="27"/>
  <c r="N78" i="27" s="1"/>
  <c r="E78" i="27"/>
  <c r="B78" i="27"/>
  <c r="M77" i="27"/>
  <c r="N77" i="27" s="1"/>
  <c r="K77" i="27"/>
  <c r="E77" i="27"/>
  <c r="B77" i="27"/>
  <c r="M76" i="27"/>
  <c r="K76" i="27"/>
  <c r="N76" i="27" s="1"/>
  <c r="E76" i="27"/>
  <c r="B76" i="27"/>
  <c r="M75" i="27"/>
  <c r="K75" i="27"/>
  <c r="N75" i="27" s="1"/>
  <c r="E75" i="27"/>
  <c r="B75" i="27"/>
  <c r="M74" i="27"/>
  <c r="K74" i="27"/>
  <c r="N74" i="27" s="1"/>
  <c r="E74" i="27"/>
  <c r="B74" i="27"/>
  <c r="M73" i="27"/>
  <c r="N73" i="27" s="1"/>
  <c r="K73" i="27"/>
  <c r="E73" i="27"/>
  <c r="B73" i="27"/>
  <c r="M72" i="27"/>
  <c r="K72" i="27"/>
  <c r="N72" i="27" s="1"/>
  <c r="E72" i="27"/>
  <c r="B72" i="27"/>
  <c r="M71" i="27"/>
  <c r="K71" i="27"/>
  <c r="N71" i="27" s="1"/>
  <c r="E71" i="27"/>
  <c r="B71" i="27"/>
  <c r="M70" i="27"/>
  <c r="K70" i="27"/>
  <c r="N70" i="27" s="1"/>
  <c r="E70" i="27"/>
  <c r="B70" i="27"/>
  <c r="M69" i="27"/>
  <c r="N69" i="27" s="1"/>
  <c r="K69" i="27"/>
  <c r="E69" i="27"/>
  <c r="B69" i="27"/>
  <c r="M68" i="27"/>
  <c r="K68" i="27"/>
  <c r="N68" i="27" s="1"/>
  <c r="E68" i="27"/>
  <c r="B68" i="27"/>
  <c r="M67" i="27"/>
  <c r="K67" i="27"/>
  <c r="N67" i="27" s="1"/>
  <c r="E67" i="27"/>
  <c r="B67" i="27"/>
  <c r="M66" i="27"/>
  <c r="K66" i="27"/>
  <c r="N66" i="27" s="1"/>
  <c r="E66" i="27"/>
  <c r="B66" i="27"/>
  <c r="M65" i="27"/>
  <c r="N65" i="27" s="1"/>
  <c r="K65" i="27"/>
  <c r="E65" i="27"/>
  <c r="B65" i="27"/>
  <c r="M64" i="27"/>
  <c r="K64" i="27"/>
  <c r="N64" i="27" s="1"/>
  <c r="E64" i="27"/>
  <c r="B64" i="27"/>
  <c r="M63" i="27"/>
  <c r="K63" i="27"/>
  <c r="N63" i="27" s="1"/>
  <c r="E63" i="27"/>
  <c r="B63" i="27"/>
  <c r="M62" i="27"/>
  <c r="K62" i="27"/>
  <c r="N62" i="27" s="1"/>
  <c r="E62" i="27"/>
  <c r="B62" i="27"/>
  <c r="M61" i="27"/>
  <c r="N61" i="27" s="1"/>
  <c r="K61" i="27"/>
  <c r="E61" i="27"/>
  <c r="B61" i="27"/>
  <c r="M60" i="27"/>
  <c r="K60" i="27"/>
  <c r="N60" i="27" s="1"/>
  <c r="E60" i="27"/>
  <c r="B60" i="27"/>
  <c r="M59" i="27"/>
  <c r="K59" i="27"/>
  <c r="N59" i="27" s="1"/>
  <c r="E59" i="27"/>
  <c r="B59" i="27"/>
  <c r="M58" i="27"/>
  <c r="K58" i="27"/>
  <c r="N58" i="27" s="1"/>
  <c r="E58" i="27"/>
  <c r="B58" i="27"/>
  <c r="M57" i="27"/>
  <c r="N57" i="27" s="1"/>
  <c r="K57" i="27"/>
  <c r="E57" i="27"/>
  <c r="B57" i="27"/>
  <c r="M56" i="27"/>
  <c r="K56" i="27"/>
  <c r="N56" i="27" s="1"/>
  <c r="E56" i="27"/>
  <c r="B56" i="27"/>
  <c r="M55" i="27"/>
  <c r="K55" i="27"/>
  <c r="N55" i="27" s="1"/>
  <c r="E55" i="27"/>
  <c r="B55" i="27"/>
  <c r="M54" i="27"/>
  <c r="K54" i="27"/>
  <c r="N54" i="27" s="1"/>
  <c r="E54" i="27"/>
  <c r="B54" i="27"/>
  <c r="M53" i="27"/>
  <c r="N53" i="27" s="1"/>
  <c r="K53" i="27"/>
  <c r="E53" i="27"/>
  <c r="B53" i="27"/>
  <c r="M52" i="27"/>
  <c r="K52" i="27"/>
  <c r="N52" i="27" s="1"/>
  <c r="E52" i="27"/>
  <c r="B52" i="27"/>
  <c r="M51" i="27"/>
  <c r="K51" i="27"/>
  <c r="N51" i="27" s="1"/>
  <c r="E51" i="27"/>
  <c r="B51" i="27"/>
  <c r="M50" i="27"/>
  <c r="K50" i="27"/>
  <c r="N50" i="27" s="1"/>
  <c r="E50" i="27"/>
  <c r="B50" i="27"/>
  <c r="M49" i="27"/>
  <c r="N49" i="27" s="1"/>
  <c r="K49" i="27"/>
  <c r="E49" i="27"/>
  <c r="B49" i="27"/>
  <c r="M48" i="27"/>
  <c r="K48" i="27"/>
  <c r="N48" i="27" s="1"/>
  <c r="E48" i="27"/>
  <c r="B48" i="27"/>
  <c r="M47" i="27"/>
  <c r="K47" i="27"/>
  <c r="N47" i="27" s="1"/>
  <c r="E47" i="27"/>
  <c r="B47" i="27"/>
  <c r="M46" i="27"/>
  <c r="K46" i="27"/>
  <c r="N46" i="27" s="1"/>
  <c r="E46" i="27"/>
  <c r="B46" i="27"/>
  <c r="M45" i="27"/>
  <c r="N45" i="27" s="1"/>
  <c r="K45" i="27"/>
  <c r="E45" i="27"/>
  <c r="B45" i="27"/>
  <c r="M44" i="27"/>
  <c r="K44" i="27"/>
  <c r="N44" i="27" s="1"/>
  <c r="E44" i="27"/>
  <c r="B44" i="27"/>
  <c r="M43" i="27"/>
  <c r="K43" i="27"/>
  <c r="N43" i="27" s="1"/>
  <c r="E43" i="27"/>
  <c r="B43" i="27"/>
  <c r="M42" i="27"/>
  <c r="K42" i="27"/>
  <c r="N42" i="27" s="1"/>
  <c r="E42" i="27"/>
  <c r="B42" i="27"/>
  <c r="M41" i="27"/>
  <c r="N41" i="27" s="1"/>
  <c r="K41" i="27"/>
  <c r="E41" i="27"/>
  <c r="B41" i="27"/>
  <c r="M40" i="27"/>
  <c r="K40" i="27"/>
  <c r="N40" i="27" s="1"/>
  <c r="E40" i="27"/>
  <c r="B40" i="27"/>
  <c r="M39" i="27"/>
  <c r="K39" i="27"/>
  <c r="N39" i="27" s="1"/>
  <c r="E39" i="27"/>
  <c r="B39" i="27"/>
  <c r="M38" i="27"/>
  <c r="K38" i="27"/>
  <c r="N38" i="27" s="1"/>
  <c r="E38" i="27"/>
  <c r="B38" i="27"/>
  <c r="M37" i="27"/>
  <c r="N37" i="27" s="1"/>
  <c r="K37" i="27"/>
  <c r="E37" i="27"/>
  <c r="B37" i="27"/>
  <c r="M36" i="27"/>
  <c r="K36" i="27"/>
  <c r="N36" i="27" s="1"/>
  <c r="E36" i="27"/>
  <c r="B36" i="27"/>
  <c r="M35" i="27"/>
  <c r="K35" i="27"/>
  <c r="N35" i="27" s="1"/>
  <c r="E35" i="27"/>
  <c r="B35" i="27"/>
  <c r="M34" i="27"/>
  <c r="K34" i="27"/>
  <c r="N34" i="27" s="1"/>
  <c r="E34" i="27"/>
  <c r="B34" i="27"/>
  <c r="M33" i="27"/>
  <c r="N33" i="27" s="1"/>
  <c r="K33" i="27"/>
  <c r="E33" i="27"/>
  <c r="B33" i="27"/>
  <c r="M32" i="27"/>
  <c r="K32" i="27"/>
  <c r="N32" i="27" s="1"/>
  <c r="E32" i="27"/>
  <c r="B32" i="27"/>
  <c r="M31" i="27"/>
  <c r="K31" i="27"/>
  <c r="N31" i="27" s="1"/>
  <c r="E31" i="27"/>
  <c r="B31" i="27"/>
  <c r="M30" i="27"/>
  <c r="K30" i="27"/>
  <c r="N30" i="27" s="1"/>
  <c r="E30" i="27"/>
  <c r="B30" i="27"/>
  <c r="M29" i="27"/>
  <c r="N29" i="27" s="1"/>
  <c r="K29" i="27"/>
  <c r="E29" i="27"/>
  <c r="B29" i="27"/>
  <c r="M28" i="27"/>
  <c r="K28" i="27"/>
  <c r="N28" i="27" s="1"/>
  <c r="E28" i="27"/>
  <c r="B28" i="27"/>
  <c r="M27" i="27"/>
  <c r="K27" i="27"/>
  <c r="N27" i="27" s="1"/>
  <c r="E27" i="27"/>
  <c r="B27" i="27"/>
  <c r="M26" i="27"/>
  <c r="K26" i="27"/>
  <c r="N26" i="27" s="1"/>
  <c r="E26" i="27"/>
  <c r="B26" i="27"/>
  <c r="M25" i="27"/>
  <c r="N25" i="27" s="1"/>
  <c r="K25" i="27"/>
  <c r="E25" i="27"/>
  <c r="B25" i="27"/>
  <c r="M24" i="27"/>
  <c r="K24" i="27"/>
  <c r="N24" i="27" s="1"/>
  <c r="E24" i="27"/>
  <c r="B24" i="27"/>
  <c r="M23" i="27"/>
  <c r="K23" i="27"/>
  <c r="N23" i="27" s="1"/>
  <c r="E23" i="27"/>
  <c r="B23" i="27"/>
  <c r="M22" i="27"/>
  <c r="K22" i="27"/>
  <c r="N22" i="27" s="1"/>
  <c r="E22" i="27"/>
  <c r="B22" i="27"/>
  <c r="M21" i="27"/>
  <c r="N21" i="27" s="1"/>
  <c r="K21" i="27"/>
  <c r="E21" i="27"/>
  <c r="B21" i="27"/>
  <c r="M20" i="27"/>
  <c r="K20" i="27"/>
  <c r="N20" i="27" s="1"/>
  <c r="E20" i="27"/>
  <c r="B20" i="27"/>
  <c r="M19" i="27"/>
  <c r="K19" i="27"/>
  <c r="N19" i="27" s="1"/>
  <c r="E19" i="27"/>
  <c r="B19" i="27"/>
  <c r="M18" i="27"/>
  <c r="K18" i="27"/>
  <c r="N18" i="27" s="1"/>
  <c r="E18" i="27"/>
  <c r="B18" i="27"/>
  <c r="M17" i="27"/>
  <c r="N17" i="27" s="1"/>
  <c r="K17" i="27"/>
  <c r="E17" i="27"/>
  <c r="B17" i="27"/>
  <c r="M16" i="27"/>
  <c r="K16" i="27"/>
  <c r="N16" i="27" s="1"/>
  <c r="E16" i="27"/>
  <c r="B16" i="27"/>
  <c r="M15" i="27"/>
  <c r="K15" i="27"/>
  <c r="N15" i="27" s="1"/>
  <c r="E15" i="27"/>
  <c r="B15" i="27"/>
  <c r="M14" i="27"/>
  <c r="K14" i="27"/>
  <c r="N14" i="27" s="1"/>
  <c r="E14" i="27"/>
  <c r="B14" i="27"/>
  <c r="M13" i="27"/>
  <c r="N13" i="27" s="1"/>
  <c r="K13" i="27"/>
  <c r="E13" i="27"/>
  <c r="B13" i="27"/>
  <c r="M12" i="27"/>
  <c r="K12" i="27"/>
  <c r="N12" i="27" s="1"/>
  <c r="E12" i="27"/>
  <c r="B12" i="27"/>
  <c r="M11" i="27"/>
  <c r="K11" i="27"/>
  <c r="N11" i="27" s="1"/>
  <c r="E11" i="27"/>
  <c r="B11" i="27"/>
  <c r="M10" i="27"/>
  <c r="K10" i="27"/>
  <c r="N10" i="27" s="1"/>
  <c r="E10" i="27"/>
  <c r="B10" i="27"/>
  <c r="M9" i="27"/>
  <c r="N9" i="27" s="1"/>
  <c r="K9" i="27"/>
  <c r="E9" i="27"/>
  <c r="B9" i="27"/>
  <c r="M8" i="27"/>
  <c r="K8" i="27"/>
  <c r="N8" i="27" s="1"/>
  <c r="E8" i="27"/>
  <c r="B8" i="27"/>
  <c r="M7" i="27"/>
  <c r="K7" i="27"/>
  <c r="N7" i="27" s="1"/>
  <c r="E7" i="27"/>
  <c r="B7" i="27"/>
  <c r="M6" i="27"/>
  <c r="K6" i="27"/>
  <c r="N6" i="27" s="1"/>
  <c r="E6" i="27"/>
  <c r="B6" i="27"/>
  <c r="M5" i="27"/>
  <c r="N5" i="27" s="1"/>
  <c r="K5" i="27"/>
  <c r="E5" i="27"/>
  <c r="B5" i="27"/>
  <c r="M4" i="27"/>
  <c r="K4" i="27"/>
  <c r="N4" i="27" s="1"/>
  <c r="E4" i="27"/>
  <c r="B4" i="27"/>
  <c r="V2" i="27"/>
  <c r="U2" i="27"/>
  <c r="T2" i="27"/>
  <c r="S2" i="27"/>
  <c r="R2" i="27"/>
  <c r="Q2" i="27"/>
  <c r="P2" i="27"/>
  <c r="O2" i="27"/>
  <c r="L2" i="27"/>
  <c r="K2" i="27"/>
  <c r="J2" i="27"/>
  <c r="I2" i="27"/>
  <c r="H2" i="27"/>
  <c r="G2" i="27"/>
  <c r="F2" i="27"/>
  <c r="N150" i="26"/>
  <c r="M150" i="26"/>
  <c r="K150" i="26"/>
  <c r="E150" i="26"/>
  <c r="B150" i="26"/>
  <c r="M149" i="26"/>
  <c r="K149" i="26"/>
  <c r="N149" i="26" s="1"/>
  <c r="E149" i="26"/>
  <c r="B149" i="26"/>
  <c r="N148" i="26"/>
  <c r="M148" i="26"/>
  <c r="K148" i="26"/>
  <c r="E148" i="26"/>
  <c r="B148" i="26"/>
  <c r="N147" i="26"/>
  <c r="M147" i="26"/>
  <c r="K147" i="26"/>
  <c r="E147" i="26"/>
  <c r="B147" i="26"/>
  <c r="N146" i="26"/>
  <c r="M146" i="26"/>
  <c r="K146" i="26"/>
  <c r="E146" i="26"/>
  <c r="B146" i="26"/>
  <c r="M145" i="26"/>
  <c r="K145" i="26"/>
  <c r="N145" i="26" s="1"/>
  <c r="E145" i="26"/>
  <c r="B145" i="26"/>
  <c r="N144" i="26"/>
  <c r="M144" i="26"/>
  <c r="K144" i="26"/>
  <c r="E144" i="26"/>
  <c r="B144" i="26"/>
  <c r="N143" i="26"/>
  <c r="M143" i="26"/>
  <c r="K143" i="26"/>
  <c r="E143" i="26"/>
  <c r="B143" i="26"/>
  <c r="N142" i="26"/>
  <c r="M142" i="26"/>
  <c r="K142" i="26"/>
  <c r="E142" i="26"/>
  <c r="B142" i="26"/>
  <c r="M141" i="26"/>
  <c r="K141" i="26"/>
  <c r="N141" i="26" s="1"/>
  <c r="E141" i="26"/>
  <c r="B141" i="26"/>
  <c r="N140" i="26"/>
  <c r="M140" i="26"/>
  <c r="K140" i="26"/>
  <c r="E140" i="26"/>
  <c r="B140" i="26"/>
  <c r="N139" i="26"/>
  <c r="M139" i="26"/>
  <c r="K139" i="26"/>
  <c r="E139" i="26"/>
  <c r="B139" i="26"/>
  <c r="N138" i="26"/>
  <c r="M138" i="26"/>
  <c r="K138" i="26"/>
  <c r="E138" i="26"/>
  <c r="B138" i="26"/>
  <c r="M137" i="26"/>
  <c r="K137" i="26"/>
  <c r="N137" i="26" s="1"/>
  <c r="E137" i="26"/>
  <c r="B137" i="26"/>
  <c r="N136" i="26"/>
  <c r="M136" i="26"/>
  <c r="K136" i="26"/>
  <c r="E136" i="26"/>
  <c r="B136" i="26"/>
  <c r="N135" i="26"/>
  <c r="M135" i="26"/>
  <c r="K135" i="26"/>
  <c r="E135" i="26"/>
  <c r="B135" i="26"/>
  <c r="N134" i="26"/>
  <c r="M134" i="26"/>
  <c r="K134" i="26"/>
  <c r="E134" i="26"/>
  <c r="B134" i="26"/>
  <c r="M133" i="26"/>
  <c r="K133" i="26"/>
  <c r="N133" i="26" s="1"/>
  <c r="E133" i="26"/>
  <c r="B133" i="26"/>
  <c r="N132" i="26"/>
  <c r="M132" i="26"/>
  <c r="K132" i="26"/>
  <c r="E132" i="26"/>
  <c r="B132" i="26"/>
  <c r="N131" i="26"/>
  <c r="M131" i="26"/>
  <c r="K131" i="26"/>
  <c r="E131" i="26"/>
  <c r="B131" i="26"/>
  <c r="N130" i="26"/>
  <c r="M130" i="26"/>
  <c r="K130" i="26"/>
  <c r="E130" i="26"/>
  <c r="B130" i="26"/>
  <c r="M129" i="26"/>
  <c r="K129" i="26"/>
  <c r="N129" i="26" s="1"/>
  <c r="E129" i="26"/>
  <c r="B129" i="26"/>
  <c r="N128" i="26"/>
  <c r="M128" i="26"/>
  <c r="K128" i="26"/>
  <c r="E128" i="26"/>
  <c r="B128" i="26"/>
  <c r="N127" i="26"/>
  <c r="M127" i="26"/>
  <c r="K127" i="26"/>
  <c r="E127" i="26"/>
  <c r="B127" i="26"/>
  <c r="N126" i="26"/>
  <c r="M126" i="26"/>
  <c r="K126" i="26"/>
  <c r="E126" i="26"/>
  <c r="B126" i="26"/>
  <c r="M125" i="26"/>
  <c r="K125" i="26"/>
  <c r="N125" i="26" s="1"/>
  <c r="E125" i="26"/>
  <c r="B125" i="26"/>
  <c r="N124" i="26"/>
  <c r="M124" i="26"/>
  <c r="K124" i="26"/>
  <c r="E124" i="26"/>
  <c r="B124" i="26"/>
  <c r="N123" i="26"/>
  <c r="M123" i="26"/>
  <c r="K123" i="26"/>
  <c r="E123" i="26"/>
  <c r="B123" i="26"/>
  <c r="N122" i="26"/>
  <c r="M122" i="26"/>
  <c r="K122" i="26"/>
  <c r="E122" i="26"/>
  <c r="B122" i="26"/>
  <c r="M121" i="26"/>
  <c r="K121" i="26"/>
  <c r="N121" i="26" s="1"/>
  <c r="E121" i="26"/>
  <c r="B121" i="26"/>
  <c r="N120" i="26"/>
  <c r="M120" i="26"/>
  <c r="K120" i="26"/>
  <c r="E120" i="26"/>
  <c r="B120" i="26"/>
  <c r="N119" i="26"/>
  <c r="M119" i="26"/>
  <c r="K119" i="26"/>
  <c r="E119" i="26"/>
  <c r="B119" i="26"/>
  <c r="N118" i="26"/>
  <c r="M118" i="26"/>
  <c r="K118" i="26"/>
  <c r="E118" i="26"/>
  <c r="B118" i="26"/>
  <c r="M117" i="26"/>
  <c r="K117" i="26"/>
  <c r="N117" i="26" s="1"/>
  <c r="E117" i="26"/>
  <c r="B117" i="26"/>
  <c r="N116" i="26"/>
  <c r="M116" i="26"/>
  <c r="K116" i="26"/>
  <c r="E116" i="26"/>
  <c r="B116" i="26"/>
  <c r="N115" i="26"/>
  <c r="M115" i="26"/>
  <c r="K115" i="26"/>
  <c r="E115" i="26"/>
  <c r="B115" i="26"/>
  <c r="N114" i="26"/>
  <c r="M114" i="26"/>
  <c r="K114" i="26"/>
  <c r="E114" i="26"/>
  <c r="B114" i="26"/>
  <c r="M113" i="26"/>
  <c r="K113" i="26"/>
  <c r="N113" i="26" s="1"/>
  <c r="E113" i="26"/>
  <c r="B113" i="26"/>
  <c r="N112" i="26"/>
  <c r="M112" i="26"/>
  <c r="K112" i="26"/>
  <c r="E112" i="26"/>
  <c r="B112" i="26"/>
  <c r="N111" i="26"/>
  <c r="M111" i="26"/>
  <c r="K111" i="26"/>
  <c r="E111" i="26"/>
  <c r="B111" i="26"/>
  <c r="N110" i="26"/>
  <c r="M110" i="26"/>
  <c r="K110" i="26"/>
  <c r="E110" i="26"/>
  <c r="B110" i="26"/>
  <c r="M109" i="26"/>
  <c r="K109" i="26"/>
  <c r="N109" i="26" s="1"/>
  <c r="E109" i="26"/>
  <c r="B109" i="26"/>
  <c r="N108" i="26"/>
  <c r="M108" i="26"/>
  <c r="K108" i="26"/>
  <c r="E108" i="26"/>
  <c r="B108" i="26"/>
  <c r="N107" i="26"/>
  <c r="M107" i="26"/>
  <c r="K107" i="26"/>
  <c r="E107" i="26"/>
  <c r="B107" i="26"/>
  <c r="N106" i="26"/>
  <c r="M106" i="26"/>
  <c r="K106" i="26"/>
  <c r="E106" i="26"/>
  <c r="B106" i="26"/>
  <c r="M105" i="26"/>
  <c r="K105" i="26"/>
  <c r="N105" i="26" s="1"/>
  <c r="E105" i="26"/>
  <c r="B105" i="26"/>
  <c r="N104" i="26"/>
  <c r="M104" i="26"/>
  <c r="K104" i="26"/>
  <c r="E104" i="26"/>
  <c r="B104" i="26"/>
  <c r="N103" i="26"/>
  <c r="M103" i="26"/>
  <c r="K103" i="26"/>
  <c r="E103" i="26"/>
  <c r="B103" i="26"/>
  <c r="N102" i="26"/>
  <c r="M102" i="26"/>
  <c r="K102" i="26"/>
  <c r="E102" i="26"/>
  <c r="B102" i="26"/>
  <c r="M101" i="26"/>
  <c r="K101" i="26"/>
  <c r="N101" i="26" s="1"/>
  <c r="E101" i="26"/>
  <c r="B101" i="26"/>
  <c r="N100" i="26"/>
  <c r="M100" i="26"/>
  <c r="K100" i="26"/>
  <c r="E100" i="26"/>
  <c r="B100" i="26"/>
  <c r="N99" i="26"/>
  <c r="M99" i="26"/>
  <c r="K99" i="26"/>
  <c r="E99" i="26"/>
  <c r="B99" i="26"/>
  <c r="N98" i="26"/>
  <c r="M98" i="26"/>
  <c r="K98" i="26"/>
  <c r="E98" i="26"/>
  <c r="B98" i="26"/>
  <c r="M97" i="26"/>
  <c r="K97" i="26"/>
  <c r="N97" i="26" s="1"/>
  <c r="E97" i="26"/>
  <c r="B97" i="26"/>
  <c r="N96" i="26"/>
  <c r="M96" i="26"/>
  <c r="K96" i="26"/>
  <c r="E96" i="26"/>
  <c r="B96" i="26"/>
  <c r="N95" i="26"/>
  <c r="M95" i="26"/>
  <c r="K95" i="26"/>
  <c r="E95" i="26"/>
  <c r="B95" i="26"/>
  <c r="N94" i="26"/>
  <c r="M94" i="26"/>
  <c r="K94" i="26"/>
  <c r="E94" i="26"/>
  <c r="B94" i="26"/>
  <c r="M93" i="26"/>
  <c r="K93" i="26"/>
  <c r="N93" i="26" s="1"/>
  <c r="E93" i="26"/>
  <c r="B93" i="26"/>
  <c r="N92" i="26"/>
  <c r="M92" i="26"/>
  <c r="K92" i="26"/>
  <c r="E92" i="26"/>
  <c r="B92" i="26"/>
  <c r="N91" i="26"/>
  <c r="M91" i="26"/>
  <c r="K91" i="26"/>
  <c r="E91" i="26"/>
  <c r="B91" i="26"/>
  <c r="N90" i="26"/>
  <c r="M90" i="26"/>
  <c r="K90" i="26"/>
  <c r="E90" i="26"/>
  <c r="B90" i="26"/>
  <c r="M89" i="26"/>
  <c r="K89" i="26"/>
  <c r="N89" i="26" s="1"/>
  <c r="E89" i="26"/>
  <c r="B89" i="26"/>
  <c r="N88" i="26"/>
  <c r="M88" i="26"/>
  <c r="K88" i="26"/>
  <c r="E88" i="26"/>
  <c r="B88" i="26"/>
  <c r="N87" i="26"/>
  <c r="M87" i="26"/>
  <c r="K87" i="26"/>
  <c r="E87" i="26"/>
  <c r="B87" i="26"/>
  <c r="N86" i="26"/>
  <c r="M86" i="26"/>
  <c r="K86" i="26"/>
  <c r="E86" i="26"/>
  <c r="B86" i="26"/>
  <c r="M85" i="26"/>
  <c r="K85" i="26"/>
  <c r="N85" i="26" s="1"/>
  <c r="E85" i="26"/>
  <c r="B85" i="26"/>
  <c r="N84" i="26"/>
  <c r="M84" i="26"/>
  <c r="K84" i="26"/>
  <c r="E84" i="26"/>
  <c r="B84" i="26"/>
  <c r="N83" i="26"/>
  <c r="M83" i="26"/>
  <c r="K83" i="26"/>
  <c r="E83" i="26"/>
  <c r="B83" i="26"/>
  <c r="N82" i="26"/>
  <c r="M82" i="26"/>
  <c r="K82" i="26"/>
  <c r="E82" i="26"/>
  <c r="B82" i="26"/>
  <c r="M81" i="26"/>
  <c r="K81" i="26"/>
  <c r="N81" i="26" s="1"/>
  <c r="E81" i="26"/>
  <c r="B81" i="26"/>
  <c r="N80" i="26"/>
  <c r="M80" i="26"/>
  <c r="K80" i="26"/>
  <c r="E80" i="26"/>
  <c r="B80" i="26"/>
  <c r="N79" i="26"/>
  <c r="M79" i="26"/>
  <c r="K79" i="26"/>
  <c r="E79" i="26"/>
  <c r="B79" i="26"/>
  <c r="N78" i="26"/>
  <c r="M78" i="26"/>
  <c r="K78" i="26"/>
  <c r="E78" i="26"/>
  <c r="B78" i="26"/>
  <c r="M77" i="26"/>
  <c r="K77" i="26"/>
  <c r="N77" i="26" s="1"/>
  <c r="E77" i="26"/>
  <c r="B77" i="26"/>
  <c r="N76" i="26"/>
  <c r="M76" i="26"/>
  <c r="K76" i="26"/>
  <c r="E76" i="26"/>
  <c r="B76" i="26"/>
  <c r="N75" i="26"/>
  <c r="M75" i="26"/>
  <c r="K75" i="26"/>
  <c r="E75" i="26"/>
  <c r="B75" i="26"/>
  <c r="N74" i="26"/>
  <c r="M74" i="26"/>
  <c r="K74" i="26"/>
  <c r="E74" i="26"/>
  <c r="B74" i="26"/>
  <c r="M73" i="26"/>
  <c r="K73" i="26"/>
  <c r="N73" i="26" s="1"/>
  <c r="E73" i="26"/>
  <c r="B73" i="26"/>
  <c r="N72" i="26"/>
  <c r="M72" i="26"/>
  <c r="K72" i="26"/>
  <c r="E72" i="26"/>
  <c r="B72" i="26"/>
  <c r="N71" i="26"/>
  <c r="M71" i="26"/>
  <c r="K71" i="26"/>
  <c r="E71" i="26"/>
  <c r="B71" i="26"/>
  <c r="N70" i="26"/>
  <c r="M70" i="26"/>
  <c r="K70" i="26"/>
  <c r="E70" i="26"/>
  <c r="B70" i="26"/>
  <c r="M69" i="26"/>
  <c r="K69" i="26"/>
  <c r="N69" i="26" s="1"/>
  <c r="E69" i="26"/>
  <c r="B69" i="26"/>
  <c r="N68" i="26"/>
  <c r="M68" i="26"/>
  <c r="K68" i="26"/>
  <c r="E68" i="26"/>
  <c r="B68" i="26"/>
  <c r="N67" i="26"/>
  <c r="M67" i="26"/>
  <c r="K67" i="26"/>
  <c r="E67" i="26"/>
  <c r="B67" i="26"/>
  <c r="N66" i="26"/>
  <c r="M66" i="26"/>
  <c r="K66" i="26"/>
  <c r="E66" i="26"/>
  <c r="B66" i="26"/>
  <c r="M65" i="26"/>
  <c r="K65" i="26"/>
  <c r="N65" i="26" s="1"/>
  <c r="E65" i="26"/>
  <c r="B65" i="26"/>
  <c r="N64" i="26"/>
  <c r="M64" i="26"/>
  <c r="K64" i="26"/>
  <c r="E64" i="26"/>
  <c r="B64" i="26"/>
  <c r="N63" i="26"/>
  <c r="M63" i="26"/>
  <c r="K63" i="26"/>
  <c r="E63" i="26"/>
  <c r="B63" i="26"/>
  <c r="N62" i="26"/>
  <c r="M62" i="26"/>
  <c r="K62" i="26"/>
  <c r="E62" i="26"/>
  <c r="B62" i="26"/>
  <c r="M61" i="26"/>
  <c r="K61" i="26"/>
  <c r="N61" i="26" s="1"/>
  <c r="E61" i="26"/>
  <c r="B61" i="26"/>
  <c r="N60" i="26"/>
  <c r="M60" i="26"/>
  <c r="K60" i="26"/>
  <c r="E60" i="26"/>
  <c r="B60" i="26"/>
  <c r="N59" i="26"/>
  <c r="M59" i="26"/>
  <c r="K59" i="26"/>
  <c r="E59" i="26"/>
  <c r="B59" i="26"/>
  <c r="N58" i="26"/>
  <c r="M58" i="26"/>
  <c r="K58" i="26"/>
  <c r="E58" i="26"/>
  <c r="B58" i="26"/>
  <c r="M57" i="26"/>
  <c r="K57" i="26"/>
  <c r="N57" i="26" s="1"/>
  <c r="E57" i="26"/>
  <c r="B57" i="26"/>
  <c r="N56" i="26"/>
  <c r="M56" i="26"/>
  <c r="K56" i="26"/>
  <c r="E56" i="26"/>
  <c r="B56" i="26"/>
  <c r="N55" i="26"/>
  <c r="M55" i="26"/>
  <c r="K55" i="26"/>
  <c r="E55" i="26"/>
  <c r="B55" i="26"/>
  <c r="N54" i="26"/>
  <c r="M54" i="26"/>
  <c r="K54" i="26"/>
  <c r="E54" i="26"/>
  <c r="B54" i="26"/>
  <c r="M53" i="26"/>
  <c r="K53" i="26"/>
  <c r="N53" i="26" s="1"/>
  <c r="E53" i="26"/>
  <c r="B53" i="26"/>
  <c r="N52" i="26"/>
  <c r="M52" i="26"/>
  <c r="K52" i="26"/>
  <c r="E52" i="26"/>
  <c r="B52" i="26"/>
  <c r="N51" i="26"/>
  <c r="M51" i="26"/>
  <c r="K51" i="26"/>
  <c r="E51" i="26"/>
  <c r="B51" i="26"/>
  <c r="N50" i="26"/>
  <c r="M50" i="26"/>
  <c r="K50" i="26"/>
  <c r="E50" i="26"/>
  <c r="B50" i="26"/>
  <c r="M49" i="26"/>
  <c r="K49" i="26"/>
  <c r="N49" i="26" s="1"/>
  <c r="E49" i="26"/>
  <c r="B49" i="26"/>
  <c r="N48" i="26"/>
  <c r="M48" i="26"/>
  <c r="K48" i="26"/>
  <c r="E48" i="26"/>
  <c r="B48" i="26"/>
  <c r="N47" i="26"/>
  <c r="M47" i="26"/>
  <c r="K47" i="26"/>
  <c r="E47" i="26"/>
  <c r="B47" i="26"/>
  <c r="N46" i="26"/>
  <c r="M46" i="26"/>
  <c r="K46" i="26"/>
  <c r="E46" i="26"/>
  <c r="B46" i="26"/>
  <c r="M45" i="26"/>
  <c r="K45" i="26"/>
  <c r="N45" i="26" s="1"/>
  <c r="E45" i="26"/>
  <c r="B45" i="26"/>
  <c r="N44" i="26"/>
  <c r="M44" i="26"/>
  <c r="K44" i="26"/>
  <c r="E44" i="26"/>
  <c r="B44" i="26"/>
  <c r="N43" i="26"/>
  <c r="M43" i="26"/>
  <c r="K43" i="26"/>
  <c r="E43" i="26"/>
  <c r="B43" i="26"/>
  <c r="N42" i="26"/>
  <c r="M42" i="26"/>
  <c r="K42" i="26"/>
  <c r="E42" i="26"/>
  <c r="B42" i="26"/>
  <c r="M41" i="26"/>
  <c r="K41" i="26"/>
  <c r="N41" i="26" s="1"/>
  <c r="E41" i="26"/>
  <c r="B41" i="26"/>
  <c r="N40" i="26"/>
  <c r="M40" i="26"/>
  <c r="K40" i="26"/>
  <c r="E40" i="26"/>
  <c r="B40" i="26"/>
  <c r="N39" i="26"/>
  <c r="M39" i="26"/>
  <c r="K39" i="26"/>
  <c r="E39" i="26"/>
  <c r="B39" i="26"/>
  <c r="N38" i="26"/>
  <c r="M38" i="26"/>
  <c r="K38" i="26"/>
  <c r="E38" i="26"/>
  <c r="B38" i="26"/>
  <c r="M37" i="26"/>
  <c r="K37" i="26"/>
  <c r="N37" i="26" s="1"/>
  <c r="E37" i="26"/>
  <c r="B37" i="26"/>
  <c r="N36" i="26"/>
  <c r="M36" i="26"/>
  <c r="K36" i="26"/>
  <c r="E36" i="26"/>
  <c r="B36" i="26"/>
  <c r="N35" i="26"/>
  <c r="M35" i="26"/>
  <c r="K35" i="26"/>
  <c r="E35" i="26"/>
  <c r="B35" i="26"/>
  <c r="N34" i="26"/>
  <c r="M34" i="26"/>
  <c r="K34" i="26"/>
  <c r="E34" i="26"/>
  <c r="B34" i="26"/>
  <c r="M33" i="26"/>
  <c r="K33" i="26"/>
  <c r="N33" i="26" s="1"/>
  <c r="E33" i="26"/>
  <c r="B33" i="26"/>
  <c r="N32" i="26"/>
  <c r="M32" i="26"/>
  <c r="K32" i="26"/>
  <c r="E32" i="26"/>
  <c r="B32" i="26"/>
  <c r="N31" i="26"/>
  <c r="M31" i="26"/>
  <c r="K31" i="26"/>
  <c r="E31" i="26"/>
  <c r="B31" i="26"/>
  <c r="N30" i="26"/>
  <c r="M30" i="26"/>
  <c r="K30" i="26"/>
  <c r="E30" i="26"/>
  <c r="B30" i="26"/>
  <c r="M29" i="26"/>
  <c r="K29" i="26"/>
  <c r="N29" i="26" s="1"/>
  <c r="E29" i="26"/>
  <c r="B29" i="26"/>
  <c r="N28" i="26"/>
  <c r="M28" i="26"/>
  <c r="K28" i="26"/>
  <c r="E28" i="26"/>
  <c r="B28" i="26"/>
  <c r="N27" i="26"/>
  <c r="M27" i="26"/>
  <c r="K27" i="26"/>
  <c r="E27" i="26"/>
  <c r="B27" i="26"/>
  <c r="N26" i="26"/>
  <c r="M26" i="26"/>
  <c r="K26" i="26"/>
  <c r="E26" i="26"/>
  <c r="B26" i="26"/>
  <c r="M25" i="26"/>
  <c r="K25" i="26"/>
  <c r="N25" i="26" s="1"/>
  <c r="E25" i="26"/>
  <c r="B25" i="26"/>
  <c r="N24" i="26"/>
  <c r="M24" i="26"/>
  <c r="K24" i="26"/>
  <c r="E24" i="26"/>
  <c r="B24" i="26"/>
  <c r="N23" i="26"/>
  <c r="M23" i="26"/>
  <c r="K23" i="26"/>
  <c r="E23" i="26"/>
  <c r="B23" i="26"/>
  <c r="N22" i="26"/>
  <c r="M22" i="26"/>
  <c r="K22" i="26"/>
  <c r="E22" i="26"/>
  <c r="B22" i="26"/>
  <c r="M21" i="26"/>
  <c r="K21" i="26"/>
  <c r="N21" i="26" s="1"/>
  <c r="E21" i="26"/>
  <c r="B21" i="26"/>
  <c r="N20" i="26"/>
  <c r="M20" i="26"/>
  <c r="K20" i="26"/>
  <c r="E20" i="26"/>
  <c r="B20" i="26"/>
  <c r="N19" i="26"/>
  <c r="M19" i="26"/>
  <c r="K19" i="26"/>
  <c r="E19" i="26"/>
  <c r="B19" i="26"/>
  <c r="N18" i="26"/>
  <c r="M18" i="26"/>
  <c r="K18" i="26"/>
  <c r="E18" i="26"/>
  <c r="B18" i="26"/>
  <c r="M17" i="26"/>
  <c r="K17" i="26"/>
  <c r="N17" i="26" s="1"/>
  <c r="E17" i="26"/>
  <c r="B17" i="26"/>
  <c r="N16" i="26"/>
  <c r="M16" i="26"/>
  <c r="K16" i="26"/>
  <c r="E16" i="26"/>
  <c r="B16" i="26"/>
  <c r="N15" i="26"/>
  <c r="M15" i="26"/>
  <c r="K15" i="26"/>
  <c r="E15" i="26"/>
  <c r="B15" i="26"/>
  <c r="N14" i="26"/>
  <c r="M14" i="26"/>
  <c r="K14" i="26"/>
  <c r="E14" i="26"/>
  <c r="B14" i="26"/>
  <c r="M13" i="26"/>
  <c r="K13" i="26"/>
  <c r="N13" i="26" s="1"/>
  <c r="E13" i="26"/>
  <c r="B13" i="26"/>
  <c r="N12" i="26"/>
  <c r="M12" i="26"/>
  <c r="K12" i="26"/>
  <c r="E12" i="26"/>
  <c r="B12" i="26"/>
  <c r="N11" i="26"/>
  <c r="M11" i="26"/>
  <c r="K11" i="26"/>
  <c r="E11" i="26"/>
  <c r="B11" i="26"/>
  <c r="N10" i="26"/>
  <c r="M10" i="26"/>
  <c r="K10" i="26"/>
  <c r="E10" i="26"/>
  <c r="B10" i="26"/>
  <c r="M9" i="26"/>
  <c r="K9" i="26"/>
  <c r="N9" i="26" s="1"/>
  <c r="E9" i="26"/>
  <c r="B9" i="26"/>
  <c r="N8" i="26"/>
  <c r="M8" i="26"/>
  <c r="K8" i="26"/>
  <c r="E8" i="26"/>
  <c r="B8" i="26"/>
  <c r="N7" i="26"/>
  <c r="M7" i="26"/>
  <c r="K7" i="26"/>
  <c r="E7" i="26"/>
  <c r="B7" i="26"/>
  <c r="N6" i="26"/>
  <c r="M6" i="26"/>
  <c r="K6" i="26"/>
  <c r="E6" i="26"/>
  <c r="B6" i="26"/>
  <c r="M5" i="26"/>
  <c r="K5" i="26"/>
  <c r="N5" i="26" s="1"/>
  <c r="E5" i="26"/>
  <c r="B5" i="26"/>
  <c r="N4" i="26"/>
  <c r="M4" i="26"/>
  <c r="K4" i="26"/>
  <c r="K2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M2" i="26" s="1"/>
  <c r="F2" i="26"/>
  <c r="M134" i="3"/>
  <c r="K134" i="3"/>
  <c r="N134" i="3" s="1"/>
  <c r="E134" i="3"/>
  <c r="B134" i="3"/>
  <c r="M133" i="3"/>
  <c r="K133" i="3"/>
  <c r="N133" i="3" s="1"/>
  <c r="E133" i="3"/>
  <c r="B133" i="3"/>
  <c r="M132" i="3"/>
  <c r="N132" i="3" s="1"/>
  <c r="K132" i="3"/>
  <c r="E132" i="3"/>
  <c r="B132" i="3"/>
  <c r="M131" i="3"/>
  <c r="K131" i="3"/>
  <c r="N131" i="3" s="1"/>
  <c r="E131" i="3"/>
  <c r="B131" i="3"/>
  <c r="M130" i="3"/>
  <c r="K130" i="3"/>
  <c r="N130" i="3" s="1"/>
  <c r="E130" i="3"/>
  <c r="B130" i="3"/>
  <c r="M129" i="3"/>
  <c r="N129" i="3" s="1"/>
  <c r="K129" i="3"/>
  <c r="E129" i="3"/>
  <c r="B129" i="3"/>
  <c r="M128" i="3"/>
  <c r="N128" i="3" s="1"/>
  <c r="K128" i="3"/>
  <c r="E128" i="3"/>
  <c r="B128" i="3"/>
  <c r="M127" i="3"/>
  <c r="K127" i="3"/>
  <c r="N127" i="3" s="1"/>
  <c r="E127" i="3"/>
  <c r="B127" i="3"/>
  <c r="M126" i="3"/>
  <c r="K126" i="3"/>
  <c r="N126" i="3" s="1"/>
  <c r="E126" i="3"/>
  <c r="B126" i="3"/>
  <c r="M125" i="3"/>
  <c r="N125" i="3" s="1"/>
  <c r="K125" i="3"/>
  <c r="E125" i="3"/>
  <c r="B125" i="3"/>
  <c r="M124" i="3"/>
  <c r="N124" i="3" s="1"/>
  <c r="K124" i="3"/>
  <c r="E124" i="3"/>
  <c r="B124" i="3"/>
  <c r="M123" i="3"/>
  <c r="K123" i="3"/>
  <c r="N123" i="3" s="1"/>
  <c r="E123" i="3"/>
  <c r="B123" i="3"/>
  <c r="M122" i="3"/>
  <c r="K122" i="3"/>
  <c r="N122" i="3" s="1"/>
  <c r="E122" i="3"/>
  <c r="B122" i="3"/>
  <c r="M121" i="3"/>
  <c r="N121" i="3" s="1"/>
  <c r="K121" i="3"/>
  <c r="E121" i="3"/>
  <c r="B121" i="3"/>
  <c r="M120" i="3"/>
  <c r="N120" i="3" s="1"/>
  <c r="K120" i="3"/>
  <c r="E120" i="3"/>
  <c r="B120" i="3"/>
  <c r="M119" i="3"/>
  <c r="K119" i="3"/>
  <c r="N119" i="3" s="1"/>
  <c r="E119" i="3"/>
  <c r="B119" i="3"/>
  <c r="M118" i="3"/>
  <c r="K118" i="3"/>
  <c r="N118" i="3" s="1"/>
  <c r="E118" i="3"/>
  <c r="B118" i="3"/>
  <c r="M117" i="3"/>
  <c r="N117" i="3" s="1"/>
  <c r="K117" i="3"/>
  <c r="E117" i="3"/>
  <c r="B117" i="3"/>
  <c r="M116" i="3"/>
  <c r="N116" i="3" s="1"/>
  <c r="K116" i="3"/>
  <c r="E116" i="3"/>
  <c r="B116" i="3"/>
  <c r="M115" i="3"/>
  <c r="K115" i="3"/>
  <c r="N115" i="3" s="1"/>
  <c r="E115" i="3"/>
  <c r="B115" i="3"/>
  <c r="M114" i="3"/>
  <c r="K114" i="3"/>
  <c r="N114" i="3" s="1"/>
  <c r="E114" i="3"/>
  <c r="B114" i="3"/>
  <c r="M113" i="3"/>
  <c r="N113" i="3" s="1"/>
  <c r="K113" i="3"/>
  <c r="E113" i="3"/>
  <c r="B113" i="3"/>
  <c r="M112" i="3"/>
  <c r="N112" i="3" s="1"/>
  <c r="K112" i="3"/>
  <c r="E112" i="3"/>
  <c r="B112" i="3"/>
  <c r="M111" i="3"/>
  <c r="K111" i="3"/>
  <c r="N111" i="3" s="1"/>
  <c r="E111" i="3"/>
  <c r="B111" i="3"/>
  <c r="M110" i="3"/>
  <c r="K110" i="3"/>
  <c r="N110" i="3" s="1"/>
  <c r="E110" i="3"/>
  <c r="B110" i="3"/>
  <c r="M109" i="3"/>
  <c r="N109" i="3" s="1"/>
  <c r="K109" i="3"/>
  <c r="E109" i="3"/>
  <c r="B109" i="3"/>
  <c r="M108" i="3"/>
  <c r="N108" i="3" s="1"/>
  <c r="K108" i="3"/>
  <c r="E108" i="3"/>
  <c r="B108" i="3"/>
  <c r="M107" i="3"/>
  <c r="K107" i="3"/>
  <c r="N107" i="3" s="1"/>
  <c r="E107" i="3"/>
  <c r="B107" i="3"/>
  <c r="M106" i="3"/>
  <c r="K106" i="3"/>
  <c r="N106" i="3" s="1"/>
  <c r="E106" i="3"/>
  <c r="B106" i="3"/>
  <c r="M105" i="3"/>
  <c r="N105" i="3" s="1"/>
  <c r="K105" i="3"/>
  <c r="E105" i="3"/>
  <c r="B105" i="3"/>
  <c r="M104" i="3"/>
  <c r="N104" i="3" s="1"/>
  <c r="K104" i="3"/>
  <c r="E104" i="3"/>
  <c r="B104" i="3"/>
  <c r="M103" i="3"/>
  <c r="K103" i="3"/>
  <c r="N103" i="3" s="1"/>
  <c r="E103" i="3"/>
  <c r="B103" i="3"/>
  <c r="M102" i="3"/>
  <c r="K102" i="3"/>
  <c r="N102" i="3" s="1"/>
  <c r="E102" i="3"/>
  <c r="B102" i="3"/>
  <c r="N101" i="3"/>
  <c r="M101" i="3"/>
  <c r="K101" i="3"/>
  <c r="E101" i="3"/>
  <c r="B101" i="3"/>
  <c r="M100" i="3"/>
  <c r="N100" i="3" s="1"/>
  <c r="K100" i="3"/>
  <c r="E100" i="3"/>
  <c r="B100" i="3"/>
  <c r="M99" i="3"/>
  <c r="K99" i="3"/>
  <c r="N99" i="3" s="1"/>
  <c r="E99" i="3"/>
  <c r="B99" i="3"/>
  <c r="M98" i="3"/>
  <c r="K98" i="3"/>
  <c r="N98" i="3" s="1"/>
  <c r="E98" i="3"/>
  <c r="B98" i="3"/>
  <c r="M97" i="3"/>
  <c r="N97" i="3" s="1"/>
  <c r="K97" i="3"/>
  <c r="E97" i="3"/>
  <c r="B97" i="3"/>
  <c r="M96" i="3"/>
  <c r="N96" i="3" s="1"/>
  <c r="K96" i="3"/>
  <c r="E96" i="3"/>
  <c r="B96" i="3"/>
  <c r="M95" i="3"/>
  <c r="K95" i="3"/>
  <c r="N95" i="3" s="1"/>
  <c r="E95" i="3"/>
  <c r="B95" i="3"/>
  <c r="M94" i="3"/>
  <c r="K94" i="3"/>
  <c r="N94" i="3" s="1"/>
  <c r="E94" i="3"/>
  <c r="B94" i="3"/>
  <c r="M93" i="3"/>
  <c r="N93" i="3" s="1"/>
  <c r="K93" i="3"/>
  <c r="E93" i="3"/>
  <c r="B93" i="3"/>
  <c r="M92" i="3"/>
  <c r="N92" i="3" s="1"/>
  <c r="K92" i="3"/>
  <c r="E92" i="3"/>
  <c r="B92" i="3"/>
  <c r="M91" i="3"/>
  <c r="K91" i="3"/>
  <c r="N91" i="3" s="1"/>
  <c r="E91" i="3"/>
  <c r="B91" i="3"/>
  <c r="M90" i="3"/>
  <c r="K90" i="3"/>
  <c r="N90" i="3" s="1"/>
  <c r="E90" i="3"/>
  <c r="B90" i="3"/>
  <c r="M89" i="3"/>
  <c r="N89" i="3" s="1"/>
  <c r="K89" i="3"/>
  <c r="E89" i="3"/>
  <c r="B89" i="3"/>
  <c r="M88" i="3"/>
  <c r="N88" i="3" s="1"/>
  <c r="K88" i="3"/>
  <c r="E88" i="3"/>
  <c r="B88" i="3"/>
  <c r="M87" i="3"/>
  <c r="K87" i="3"/>
  <c r="N87" i="3" s="1"/>
  <c r="E87" i="3"/>
  <c r="B87" i="3"/>
  <c r="M86" i="3"/>
  <c r="K86" i="3"/>
  <c r="N86" i="3" s="1"/>
  <c r="E86" i="3"/>
  <c r="B86" i="3"/>
  <c r="M85" i="3"/>
  <c r="N85" i="3" s="1"/>
  <c r="K85" i="3"/>
  <c r="E85" i="3"/>
  <c r="B85" i="3"/>
  <c r="M84" i="3"/>
  <c r="N84" i="3" s="1"/>
  <c r="K84" i="3"/>
  <c r="E84" i="3"/>
  <c r="B84" i="3"/>
  <c r="M83" i="3"/>
  <c r="K83" i="3"/>
  <c r="N83" i="3" s="1"/>
  <c r="E83" i="3"/>
  <c r="B83" i="3"/>
  <c r="M82" i="3"/>
  <c r="K82" i="3"/>
  <c r="N82" i="3" s="1"/>
  <c r="E82" i="3"/>
  <c r="B82" i="3"/>
  <c r="M81" i="3"/>
  <c r="N81" i="3" s="1"/>
  <c r="K81" i="3"/>
  <c r="E81" i="3"/>
  <c r="B81" i="3"/>
  <c r="M80" i="3"/>
  <c r="N80" i="3" s="1"/>
  <c r="K80" i="3"/>
  <c r="E80" i="3"/>
  <c r="B80" i="3"/>
  <c r="M79" i="3"/>
  <c r="K79" i="3"/>
  <c r="N79" i="3" s="1"/>
  <c r="E79" i="3"/>
  <c r="B79" i="3"/>
  <c r="M78" i="3"/>
  <c r="K78" i="3"/>
  <c r="N78" i="3" s="1"/>
  <c r="E78" i="3"/>
  <c r="B78" i="3"/>
  <c r="M77" i="3"/>
  <c r="N77" i="3" s="1"/>
  <c r="K77" i="3"/>
  <c r="E77" i="3"/>
  <c r="B77" i="3"/>
  <c r="M76" i="3"/>
  <c r="N76" i="3" s="1"/>
  <c r="K76" i="3"/>
  <c r="E76" i="3"/>
  <c r="B76" i="3"/>
  <c r="M75" i="3"/>
  <c r="K75" i="3"/>
  <c r="N75" i="3" s="1"/>
  <c r="E75" i="3"/>
  <c r="B75" i="3"/>
  <c r="M74" i="3"/>
  <c r="K74" i="3"/>
  <c r="N74" i="3" s="1"/>
  <c r="E74" i="3"/>
  <c r="B74" i="3"/>
  <c r="M73" i="3"/>
  <c r="N73" i="3" s="1"/>
  <c r="K73" i="3"/>
  <c r="E73" i="3"/>
  <c r="B73" i="3"/>
  <c r="M72" i="3"/>
  <c r="N72" i="3" s="1"/>
  <c r="K72" i="3"/>
  <c r="E72" i="3"/>
  <c r="B72" i="3"/>
  <c r="M71" i="3"/>
  <c r="K71" i="3"/>
  <c r="N71" i="3" s="1"/>
  <c r="E71" i="3"/>
  <c r="B71" i="3"/>
  <c r="M70" i="3"/>
  <c r="K70" i="3"/>
  <c r="N70" i="3" s="1"/>
  <c r="E70" i="3"/>
  <c r="B70" i="3"/>
  <c r="M69" i="3"/>
  <c r="N69" i="3" s="1"/>
  <c r="K69" i="3"/>
  <c r="E69" i="3"/>
  <c r="B69" i="3"/>
  <c r="M68" i="3"/>
  <c r="N68" i="3" s="1"/>
  <c r="K68" i="3"/>
  <c r="E68" i="3"/>
  <c r="B68" i="3"/>
  <c r="M67" i="3"/>
  <c r="K67" i="3"/>
  <c r="N67" i="3" s="1"/>
  <c r="E67" i="3"/>
  <c r="B67" i="3"/>
  <c r="M66" i="3"/>
  <c r="K66" i="3"/>
  <c r="N66" i="3" s="1"/>
  <c r="E66" i="3"/>
  <c r="B66" i="3"/>
  <c r="N65" i="3"/>
  <c r="M65" i="3"/>
  <c r="K65" i="3"/>
  <c r="E65" i="3"/>
  <c r="B65" i="3"/>
  <c r="N64" i="3"/>
  <c r="M64" i="3"/>
  <c r="K64" i="3"/>
  <c r="E64" i="3"/>
  <c r="B64" i="3"/>
  <c r="M63" i="3"/>
  <c r="K63" i="3"/>
  <c r="N63" i="3" s="1"/>
  <c r="E63" i="3"/>
  <c r="B63" i="3"/>
  <c r="M62" i="3"/>
  <c r="K62" i="3"/>
  <c r="N62" i="3" s="1"/>
  <c r="E62" i="3"/>
  <c r="B62" i="3"/>
  <c r="M61" i="3"/>
  <c r="N61" i="3" s="1"/>
  <c r="K61" i="3"/>
  <c r="E61" i="3"/>
  <c r="B61" i="3"/>
  <c r="N60" i="3"/>
  <c r="M60" i="3"/>
  <c r="K60" i="3"/>
  <c r="E60" i="3"/>
  <c r="B60" i="3"/>
  <c r="M59" i="3"/>
  <c r="K59" i="3"/>
  <c r="N59" i="3" s="1"/>
  <c r="E59" i="3"/>
  <c r="B59" i="3"/>
  <c r="M58" i="3"/>
  <c r="K58" i="3"/>
  <c r="N58" i="3" s="1"/>
  <c r="E58" i="3"/>
  <c r="B58" i="3"/>
  <c r="N57" i="3"/>
  <c r="M57" i="3"/>
  <c r="K57" i="3"/>
  <c r="E57" i="3"/>
  <c r="B57" i="3"/>
  <c r="N56" i="3"/>
  <c r="M56" i="3"/>
  <c r="K56" i="3"/>
  <c r="E56" i="3"/>
  <c r="B56" i="3"/>
  <c r="M55" i="3"/>
  <c r="K55" i="3"/>
  <c r="N55" i="3" s="1"/>
  <c r="E55" i="3"/>
  <c r="B55" i="3"/>
  <c r="M54" i="3"/>
  <c r="K54" i="3"/>
  <c r="N54" i="3" s="1"/>
  <c r="E54" i="3"/>
  <c r="B54" i="3"/>
  <c r="M53" i="3"/>
  <c r="N53" i="3" s="1"/>
  <c r="K53" i="3"/>
  <c r="E53" i="3"/>
  <c r="B53" i="3"/>
  <c r="M52" i="3"/>
  <c r="N52" i="3" s="1"/>
  <c r="K52" i="3"/>
  <c r="E52" i="3"/>
  <c r="B52" i="3"/>
  <c r="M51" i="3"/>
  <c r="K51" i="3"/>
  <c r="N51" i="3" s="1"/>
  <c r="E51" i="3"/>
  <c r="B51" i="3"/>
  <c r="M50" i="3"/>
  <c r="K50" i="3"/>
  <c r="N50" i="3" s="1"/>
  <c r="E50" i="3"/>
  <c r="B50" i="3"/>
  <c r="N49" i="3"/>
  <c r="M49" i="3"/>
  <c r="K49" i="3"/>
  <c r="E49" i="3"/>
  <c r="B49" i="3"/>
  <c r="M48" i="3"/>
  <c r="N48" i="3" s="1"/>
  <c r="K48" i="3"/>
  <c r="E48" i="3"/>
  <c r="B48" i="3"/>
  <c r="M47" i="3"/>
  <c r="K47" i="3"/>
  <c r="N47" i="3" s="1"/>
  <c r="E47" i="3"/>
  <c r="B47" i="3"/>
  <c r="M46" i="3"/>
  <c r="K46" i="3"/>
  <c r="N46" i="3" s="1"/>
  <c r="E46" i="3"/>
  <c r="B46" i="3"/>
  <c r="N45" i="3"/>
  <c r="M45" i="3"/>
  <c r="K45" i="3"/>
  <c r="E45" i="3"/>
  <c r="B45" i="3"/>
  <c r="M44" i="3"/>
  <c r="N44" i="3" s="1"/>
  <c r="K44" i="3"/>
  <c r="E44" i="3"/>
  <c r="B44" i="3"/>
  <c r="M43" i="3"/>
  <c r="K43" i="3"/>
  <c r="N43" i="3" s="1"/>
  <c r="E43" i="3"/>
  <c r="B43" i="3"/>
  <c r="N42" i="3"/>
  <c r="M42" i="3"/>
  <c r="K42" i="3"/>
  <c r="E42" i="3"/>
  <c r="B42" i="3"/>
  <c r="M41" i="3"/>
  <c r="N41" i="3" s="1"/>
  <c r="K41" i="3"/>
  <c r="E41" i="3"/>
  <c r="B41" i="3"/>
  <c r="M40" i="3"/>
  <c r="N40" i="3" s="1"/>
  <c r="K40" i="3"/>
  <c r="E40" i="3"/>
  <c r="B40" i="3"/>
  <c r="M39" i="3"/>
  <c r="K39" i="3"/>
  <c r="N39" i="3" s="1"/>
  <c r="E39" i="3"/>
  <c r="B39" i="3"/>
  <c r="N38" i="3"/>
  <c r="M38" i="3"/>
  <c r="K38" i="3"/>
  <c r="E38" i="3"/>
  <c r="B38" i="3"/>
  <c r="M37" i="3"/>
  <c r="N37" i="3" s="1"/>
  <c r="K37" i="3"/>
  <c r="E37" i="3"/>
  <c r="B37" i="3"/>
  <c r="N36" i="3"/>
  <c r="M36" i="3"/>
  <c r="K36" i="3"/>
  <c r="E36" i="3"/>
  <c r="B36" i="3"/>
  <c r="M35" i="3"/>
  <c r="K35" i="3"/>
  <c r="N35" i="3" s="1"/>
  <c r="E35" i="3"/>
  <c r="B35" i="3"/>
  <c r="M34" i="3"/>
  <c r="N34" i="3" s="1"/>
  <c r="K34" i="3"/>
  <c r="E34" i="3"/>
  <c r="B34" i="3"/>
  <c r="N33" i="3"/>
  <c r="M33" i="3"/>
  <c r="K33" i="3"/>
  <c r="E33" i="3"/>
  <c r="B33" i="3"/>
  <c r="N32" i="3"/>
  <c r="M32" i="3"/>
  <c r="K32" i="3"/>
  <c r="E32" i="3"/>
  <c r="B32" i="3"/>
  <c r="M31" i="3"/>
  <c r="K31" i="3"/>
  <c r="N31" i="3" s="1"/>
  <c r="E31" i="3"/>
  <c r="B31" i="3"/>
  <c r="M30" i="3"/>
  <c r="N30" i="3" s="1"/>
  <c r="K30" i="3"/>
  <c r="E30" i="3"/>
  <c r="B30" i="3"/>
  <c r="N29" i="3"/>
  <c r="M29" i="3"/>
  <c r="K29" i="3"/>
  <c r="E29" i="3"/>
  <c r="B29" i="3"/>
  <c r="M28" i="3"/>
  <c r="N28" i="3" s="1"/>
  <c r="K28" i="3"/>
  <c r="E28" i="3"/>
  <c r="B28" i="3"/>
  <c r="M27" i="3"/>
  <c r="K27" i="3"/>
  <c r="N27" i="3" s="1"/>
  <c r="E27" i="3"/>
  <c r="B27" i="3"/>
  <c r="M26" i="3"/>
  <c r="N26" i="3" s="1"/>
  <c r="K26" i="3"/>
  <c r="E26" i="3"/>
  <c r="B26" i="3"/>
  <c r="M25" i="3"/>
  <c r="N25" i="3" s="1"/>
  <c r="K25" i="3"/>
  <c r="E25" i="3"/>
  <c r="B25" i="3"/>
  <c r="N24" i="3"/>
  <c r="M24" i="3"/>
  <c r="K24" i="3"/>
  <c r="E24" i="3"/>
  <c r="B24" i="3"/>
  <c r="M23" i="3"/>
  <c r="K23" i="3"/>
  <c r="N23" i="3" s="1"/>
  <c r="E23" i="3"/>
  <c r="B23" i="3"/>
  <c r="M22" i="3"/>
  <c r="N22" i="3" s="1"/>
  <c r="K22" i="3"/>
  <c r="E22" i="3"/>
  <c r="B22" i="3"/>
  <c r="N21" i="3"/>
  <c r="M21" i="3"/>
  <c r="K21" i="3"/>
  <c r="E21" i="3"/>
  <c r="B21" i="3"/>
  <c r="M20" i="3"/>
  <c r="N20" i="3" s="1"/>
  <c r="K20" i="3"/>
  <c r="E20" i="3"/>
  <c r="B20" i="3"/>
  <c r="M19" i="3"/>
  <c r="K19" i="3"/>
  <c r="N19" i="3" s="1"/>
  <c r="E19" i="3"/>
  <c r="B19" i="3"/>
  <c r="M18" i="3"/>
  <c r="N18" i="3" s="1"/>
  <c r="K18" i="3"/>
  <c r="E18" i="3"/>
  <c r="B18" i="3"/>
  <c r="M17" i="3"/>
  <c r="N17" i="3" s="1"/>
  <c r="K17" i="3"/>
  <c r="E17" i="3"/>
  <c r="B17" i="3"/>
  <c r="N16" i="3"/>
  <c r="M16" i="3"/>
  <c r="K16" i="3"/>
  <c r="E16" i="3"/>
  <c r="B16" i="3"/>
  <c r="M15" i="3"/>
  <c r="K15" i="3"/>
  <c r="N15" i="3" s="1"/>
  <c r="E15" i="3"/>
  <c r="B15" i="3"/>
  <c r="N14" i="3"/>
  <c r="M14" i="3"/>
  <c r="K14" i="3"/>
  <c r="E14" i="3"/>
  <c r="B14" i="3"/>
  <c r="M13" i="3"/>
  <c r="N13" i="3" s="1"/>
  <c r="K13" i="3"/>
  <c r="E13" i="3"/>
  <c r="B13" i="3"/>
  <c r="N12" i="3"/>
  <c r="M12" i="3"/>
  <c r="K12" i="3"/>
  <c r="E12" i="3"/>
  <c r="B12" i="3"/>
  <c r="M11" i="3"/>
  <c r="K11" i="3"/>
  <c r="N11" i="3" s="1"/>
  <c r="E11" i="3"/>
  <c r="B11" i="3"/>
  <c r="M10" i="3"/>
  <c r="N10" i="3" s="1"/>
  <c r="K10" i="3"/>
  <c r="E10" i="3"/>
  <c r="B10" i="3"/>
  <c r="M9" i="3"/>
  <c r="N9" i="3" s="1"/>
  <c r="K9" i="3"/>
  <c r="E9" i="3"/>
  <c r="B9" i="3"/>
  <c r="M8" i="3"/>
  <c r="N8" i="3" s="1"/>
  <c r="K8" i="3"/>
  <c r="E8" i="3"/>
  <c r="B8" i="3"/>
  <c r="M7" i="3"/>
  <c r="K7" i="3"/>
  <c r="N7" i="3" s="1"/>
  <c r="E7" i="3"/>
  <c r="B7" i="3"/>
  <c r="M6" i="3"/>
  <c r="N6" i="3" s="1"/>
  <c r="K6" i="3"/>
  <c r="E6" i="3"/>
  <c r="B6" i="3"/>
  <c r="N5" i="3"/>
  <c r="M5" i="3"/>
  <c r="K5" i="3"/>
  <c r="E5" i="3"/>
  <c r="B5" i="3"/>
  <c r="N4" i="3"/>
  <c r="M4" i="3"/>
  <c r="K4" i="3"/>
  <c r="E4" i="3"/>
  <c r="B4" i="3"/>
  <c r="V2" i="3"/>
  <c r="U2" i="3"/>
  <c r="T2" i="3"/>
  <c r="S2" i="3"/>
  <c r="R2" i="3"/>
  <c r="Q2" i="3"/>
  <c r="P2" i="3"/>
  <c r="O2" i="3"/>
  <c r="L2" i="3"/>
  <c r="K2" i="3"/>
  <c r="J2" i="3"/>
  <c r="I2" i="3"/>
  <c r="H2" i="3"/>
  <c r="G2" i="3"/>
  <c r="F2" i="3"/>
  <c r="M2" i="3" s="1"/>
  <c r="W134" i="39"/>
  <c r="W126" i="39"/>
  <c r="W118" i="39"/>
  <c r="W110" i="39"/>
  <c r="W102" i="39"/>
  <c r="W94" i="39"/>
  <c r="W86" i="39"/>
  <c r="W78" i="39"/>
  <c r="W70" i="39"/>
  <c r="W62" i="39"/>
  <c r="W42" i="39"/>
  <c r="W39" i="39"/>
  <c r="W36" i="39"/>
  <c r="W33" i="39"/>
  <c r="W10" i="39"/>
  <c r="W7" i="39"/>
  <c r="W4" i="39"/>
  <c r="W126" i="38"/>
  <c r="W123" i="38"/>
  <c r="W120" i="38"/>
  <c r="W117" i="38"/>
  <c r="W93" i="38"/>
  <c r="W90" i="38"/>
  <c r="W77" i="38"/>
  <c r="W74" i="38"/>
  <c r="W61" i="38"/>
  <c r="W58" i="38"/>
  <c r="W45" i="38"/>
  <c r="W42" i="38"/>
  <c r="W29" i="38"/>
  <c r="W26" i="38"/>
  <c r="W13" i="38"/>
  <c r="W10" i="38"/>
  <c r="W113" i="37"/>
  <c r="W97" i="37"/>
  <c r="W77" i="37"/>
  <c r="W75" i="37"/>
  <c r="W66" i="37"/>
  <c r="W64" i="37"/>
  <c r="W55" i="37"/>
  <c r="W46" i="37"/>
  <c r="W44" i="37"/>
  <c r="W33" i="37"/>
  <c r="W13" i="37"/>
  <c r="W11" i="37"/>
  <c r="W127" i="36"/>
  <c r="W121" i="36"/>
  <c r="W114" i="36"/>
  <c r="W112" i="36"/>
  <c r="W96" i="36"/>
  <c r="W94" i="36"/>
  <c r="W87" i="36"/>
  <c r="W80" i="36"/>
  <c r="W78" i="36"/>
  <c r="W65" i="36"/>
  <c r="W63" i="36"/>
  <c r="W54" i="36"/>
  <c r="W43" i="36"/>
  <c r="W19" i="36"/>
  <c r="W17" i="36"/>
  <c r="W133" i="35"/>
  <c r="W130" i="35"/>
  <c r="W116" i="35"/>
  <c r="W113" i="35"/>
  <c r="W110" i="35"/>
  <c r="W99" i="35"/>
  <c r="W96" i="35"/>
  <c r="W93" i="35"/>
  <c r="W90" i="35"/>
  <c r="W81" i="35"/>
  <c r="W78" i="35"/>
  <c r="W65" i="35"/>
  <c r="W62" i="35"/>
  <c r="W49" i="35"/>
  <c r="W46" i="35"/>
  <c r="W33" i="35"/>
  <c r="W30" i="35"/>
  <c r="W17" i="35"/>
  <c r="W14" i="35"/>
  <c r="W132" i="34"/>
  <c r="W129" i="34"/>
  <c r="W106" i="34"/>
  <c r="W103" i="34"/>
  <c r="W100" i="34"/>
  <c r="W97" i="34"/>
  <c r="W74" i="34"/>
  <c r="W71" i="34"/>
  <c r="W68" i="34"/>
  <c r="W65" i="34"/>
  <c r="W42" i="34"/>
  <c r="W39" i="34"/>
  <c r="W36" i="34"/>
  <c r="W33" i="34"/>
  <c r="W10" i="34"/>
  <c r="W7" i="34"/>
  <c r="W4" i="34"/>
  <c r="W122" i="33"/>
  <c r="W119" i="33"/>
  <c r="W106" i="33"/>
  <c r="W103" i="33"/>
  <c r="W90" i="33"/>
  <c r="W87" i="33"/>
  <c r="W74" i="33"/>
  <c r="W71" i="33"/>
  <c r="W58" i="33"/>
  <c r="W55" i="33"/>
  <c r="W42" i="33"/>
  <c r="W39" i="33"/>
  <c r="W26" i="33"/>
  <c r="W23" i="33"/>
  <c r="W10" i="33"/>
  <c r="W7" i="33"/>
  <c r="W132" i="25"/>
  <c r="W109" i="25"/>
  <c r="W106" i="25"/>
  <c r="W103" i="25"/>
  <c r="W100" i="25"/>
  <c r="W129" i="39"/>
  <c r="W121" i="39"/>
  <c r="W113" i="39"/>
  <c r="W105" i="39"/>
  <c r="W97" i="39"/>
  <c r="W89" i="39"/>
  <c r="W81" i="39"/>
  <c r="W73" i="39"/>
  <c r="W65" i="39"/>
  <c r="W54" i="39"/>
  <c r="W51" i="39"/>
  <c r="W48" i="39"/>
  <c r="W45" i="39"/>
  <c r="W22" i="39"/>
  <c r="W19" i="39"/>
  <c r="W16" i="39"/>
  <c r="W13" i="39"/>
  <c r="W132" i="38"/>
  <c r="W129" i="38"/>
  <c r="W106" i="38"/>
  <c r="W103" i="38"/>
  <c r="W100" i="38"/>
  <c r="W87" i="38"/>
  <c r="W84" i="38"/>
  <c r="W71" i="38"/>
  <c r="W68" i="38"/>
  <c r="W55" i="38"/>
  <c r="W52" i="38"/>
  <c r="W39" i="38"/>
  <c r="W36" i="38"/>
  <c r="W23" i="38"/>
  <c r="W20" i="38"/>
  <c r="W7" i="38"/>
  <c r="W4" i="38"/>
  <c r="W129" i="37"/>
  <c r="W126" i="37"/>
  <c r="W123" i="37"/>
  <c r="W120" i="37"/>
  <c r="W118" i="37"/>
  <c r="W111" i="37"/>
  <c r="W104" i="37"/>
  <c r="W95" i="37"/>
  <c r="W86" i="37"/>
  <c r="W84" i="37"/>
  <c r="W73" i="37"/>
  <c r="W53" i="37"/>
  <c r="W51" i="37"/>
  <c r="W42" i="37"/>
  <c r="W40" i="37"/>
  <c r="W31" i="37"/>
  <c r="W22" i="37"/>
  <c r="W20" i="37"/>
  <c r="W9" i="37"/>
  <c r="W103" i="36"/>
  <c r="W85" i="36"/>
  <c r="W76" i="36"/>
  <c r="W74" i="36"/>
  <c r="W61" i="36"/>
  <c r="W41" i="36"/>
  <c r="W39" i="36"/>
  <c r="W37" i="36"/>
  <c r="W28" i="36"/>
  <c r="W26" i="36"/>
  <c r="W24" i="36"/>
  <c r="W15" i="36"/>
  <c r="W13" i="36"/>
  <c r="W11" i="36"/>
  <c r="W119" i="35"/>
  <c r="W102" i="35"/>
  <c r="W75" i="35"/>
  <c r="W72" i="35"/>
  <c r="W59" i="35"/>
  <c r="W56" i="35"/>
  <c r="W43" i="35"/>
  <c r="W40" i="35"/>
  <c r="W27" i="35"/>
  <c r="W24" i="35"/>
  <c r="W11" i="35"/>
  <c r="W8" i="35"/>
  <c r="W118" i="34"/>
  <c r="W115" i="34"/>
  <c r="W112" i="34"/>
  <c r="W109" i="34"/>
  <c r="W86" i="34"/>
  <c r="W83" i="34"/>
  <c r="W80" i="34"/>
  <c r="W77" i="34"/>
  <c r="W54" i="34"/>
  <c r="W51" i="34"/>
  <c r="W48" i="34"/>
  <c r="W45" i="34"/>
  <c r="W22" i="34"/>
  <c r="W19" i="34"/>
  <c r="W16" i="34"/>
  <c r="W13" i="34"/>
  <c r="W132" i="33"/>
  <c r="W129" i="33"/>
  <c r="W116" i="33"/>
  <c r="W113" i="33"/>
  <c r="W100" i="33"/>
  <c r="W97" i="33"/>
  <c r="W84" i="33"/>
  <c r="W81" i="33"/>
  <c r="W68" i="33"/>
  <c r="W65" i="33"/>
  <c r="W52" i="33"/>
  <c r="W49" i="33"/>
  <c r="W36" i="33"/>
  <c r="W33" i="33"/>
  <c r="W20" i="33"/>
  <c r="W17" i="33"/>
  <c r="W4" i="33"/>
  <c r="W121" i="25"/>
  <c r="W118" i="25"/>
  <c r="W115" i="25"/>
  <c r="W112" i="25"/>
  <c r="W89" i="25"/>
  <c r="W86" i="25"/>
  <c r="W132" i="39"/>
  <c r="W124" i="39"/>
  <c r="W116" i="39"/>
  <c r="W108" i="39"/>
  <c r="W100" i="39"/>
  <c r="W92" i="39"/>
  <c r="W84" i="39"/>
  <c r="W76" i="39"/>
  <c r="W68" i="39"/>
  <c r="W60" i="39"/>
  <c r="W57" i="39"/>
  <c r="W34" i="39"/>
  <c r="W31" i="39"/>
  <c r="W28" i="39"/>
  <c r="W25" i="39"/>
  <c r="W118" i="38"/>
  <c r="W115" i="38"/>
  <c r="W112" i="38"/>
  <c r="W109" i="38"/>
  <c r="W97" i="38"/>
  <c r="W94" i="38"/>
  <c r="W81" i="38"/>
  <c r="W78" i="38"/>
  <c r="W65" i="38"/>
  <c r="W62" i="38"/>
  <c r="W49" i="38"/>
  <c r="W46" i="38"/>
  <c r="W33" i="38"/>
  <c r="W30" i="38"/>
  <c r="W17" i="38"/>
  <c r="W14" i="38"/>
  <c r="W132" i="37"/>
  <c r="W109" i="37"/>
  <c r="W93" i="37"/>
  <c r="W91" i="37"/>
  <c r="W82" i="37"/>
  <c r="W80" i="37"/>
  <c r="W71" i="37"/>
  <c r="W62" i="37"/>
  <c r="W60" i="37"/>
  <c r="W49" i="37"/>
  <c r="W29" i="37"/>
  <c r="W27" i="37"/>
  <c r="W18" i="37"/>
  <c r="W16" i="37"/>
  <c r="W7" i="37"/>
  <c r="W134" i="36"/>
  <c r="W131" i="36"/>
  <c r="W128" i="36"/>
  <c r="W125" i="36"/>
  <c r="W122" i="36"/>
  <c r="W119" i="36"/>
  <c r="W110" i="36"/>
  <c r="W108" i="36"/>
  <c r="W101" i="36"/>
  <c r="W92" i="36"/>
  <c r="W90" i="36"/>
  <c r="W83" i="36"/>
  <c r="W72" i="36"/>
  <c r="W70" i="36"/>
  <c r="W59" i="36"/>
  <c r="W57" i="36"/>
  <c r="W52" i="36"/>
  <c r="W50" i="36"/>
  <c r="W35" i="36"/>
  <c r="W22" i="36"/>
  <c r="W9" i="36"/>
  <c r="W7" i="36"/>
  <c r="W131" i="35"/>
  <c r="W128" i="35"/>
  <c r="W125" i="35"/>
  <c r="W122" i="35"/>
  <c r="W111" i="35"/>
  <c r="W108" i="35"/>
  <c r="W105" i="35"/>
  <c r="W91" i="35"/>
  <c r="W88" i="35"/>
  <c r="W85" i="35"/>
  <c r="W82" i="35"/>
  <c r="W69" i="35"/>
  <c r="W66" i="35"/>
  <c r="W53" i="35"/>
  <c r="W50" i="35"/>
  <c r="W37" i="35"/>
  <c r="W34" i="35"/>
  <c r="W21" i="35"/>
  <c r="W18" i="35"/>
  <c r="W5" i="35"/>
  <c r="W130" i="34"/>
  <c r="W127" i="34"/>
  <c r="W124" i="34"/>
  <c r="W121" i="34"/>
  <c r="W98" i="34"/>
  <c r="W95" i="34"/>
  <c r="W92" i="34"/>
  <c r="W89" i="34"/>
  <c r="W66" i="34"/>
  <c r="W63" i="34"/>
  <c r="W60" i="34"/>
  <c r="W57" i="34"/>
  <c r="W34" i="34"/>
  <c r="W31" i="34"/>
  <c r="W28" i="34"/>
  <c r="W25" i="34"/>
  <c r="W126" i="33"/>
  <c r="W123" i="33"/>
  <c r="W110" i="33"/>
  <c r="W107" i="33"/>
  <c r="W94" i="33"/>
  <c r="W91" i="33"/>
  <c r="W78" i="33"/>
  <c r="W75" i="33"/>
  <c r="W62" i="33"/>
  <c r="W59" i="33"/>
  <c r="W46" i="33"/>
  <c r="W43" i="33"/>
  <c r="W30" i="33"/>
  <c r="W27" i="33"/>
  <c r="W14" i="33"/>
  <c r="W11" i="33"/>
  <c r="W133" i="25"/>
  <c r="W130" i="25"/>
  <c r="W127" i="25"/>
  <c r="W124" i="25"/>
  <c r="W101" i="25"/>
  <c r="W98" i="25"/>
  <c r="W95" i="25"/>
  <c r="W127" i="39"/>
  <c r="W130" i="39"/>
  <c r="W122" i="39"/>
  <c r="W114" i="39"/>
  <c r="W106" i="39"/>
  <c r="W98" i="39"/>
  <c r="W90" i="39"/>
  <c r="W82" i="39"/>
  <c r="W74" i="39"/>
  <c r="W66" i="39"/>
  <c r="W58" i="39"/>
  <c r="W55" i="39"/>
  <c r="W52" i="39"/>
  <c r="W49" i="39"/>
  <c r="W26" i="39"/>
  <c r="W23" i="39"/>
  <c r="W20" i="39"/>
  <c r="W17" i="39"/>
  <c r="W133" i="38"/>
  <c r="W110" i="38"/>
  <c r="W107" i="38"/>
  <c r="W104" i="38"/>
  <c r="W101" i="38"/>
  <c r="W98" i="38"/>
  <c r="W85" i="38"/>
  <c r="W82" i="38"/>
  <c r="W69" i="38"/>
  <c r="W66" i="38"/>
  <c r="W53" i="38"/>
  <c r="W50" i="38"/>
  <c r="W37" i="38"/>
  <c r="W34" i="38"/>
  <c r="W21" i="38"/>
  <c r="W18" i="38"/>
  <c r="W5" i="38"/>
  <c r="W133" i="37"/>
  <c r="W130" i="37"/>
  <c r="W127" i="37"/>
  <c r="W124" i="37"/>
  <c r="W105" i="37"/>
  <c r="W98" i="37"/>
  <c r="W96" i="37"/>
  <c r="W87" i="37"/>
  <c r="W78" i="37"/>
  <c r="W76" i="37"/>
  <c r="W65" i="37"/>
  <c r="W45" i="37"/>
  <c r="W43" i="37"/>
  <c r="W34" i="37"/>
  <c r="W32" i="37"/>
  <c r="W23" i="37"/>
  <c r="W14" i="37"/>
  <c r="W12" i="37"/>
  <c r="W132" i="36"/>
  <c r="W113" i="36"/>
  <c r="W97" i="36"/>
  <c r="W95" i="36"/>
  <c r="W88" i="36"/>
  <c r="W79" i="36"/>
  <c r="W77" i="36"/>
  <c r="W64" i="36"/>
  <c r="W62" i="36"/>
  <c r="W44" i="36"/>
  <c r="W42" i="36"/>
  <c r="W29" i="36"/>
  <c r="W20" i="36"/>
  <c r="W18" i="36"/>
  <c r="W123" i="35"/>
  <c r="W120" i="35"/>
  <c r="W103" i="35"/>
  <c r="W86" i="35"/>
  <c r="W73" i="35"/>
  <c r="W70" i="35"/>
  <c r="W57" i="35"/>
  <c r="W54" i="35"/>
  <c r="W41" i="35"/>
  <c r="W38" i="35"/>
  <c r="W25" i="35"/>
  <c r="W22" i="35"/>
  <c r="W9" i="35"/>
  <c r="W6" i="35"/>
  <c r="W122" i="34"/>
  <c r="W119" i="34"/>
  <c r="W116" i="34"/>
  <c r="W113" i="34"/>
  <c r="W90" i="34"/>
  <c r="W87" i="34"/>
  <c r="W84" i="34"/>
  <c r="W81" i="34"/>
  <c r="W58" i="34"/>
  <c r="W55" i="34"/>
  <c r="W52" i="34"/>
  <c r="W49" i="34"/>
  <c r="W26" i="34"/>
  <c r="W23" i="34"/>
  <c r="W20" i="34"/>
  <c r="W17" i="34"/>
  <c r="W130" i="33"/>
  <c r="W127" i="33"/>
  <c r="W114" i="33"/>
  <c r="W111" i="33"/>
  <c r="W98" i="33"/>
  <c r="W95" i="33"/>
  <c r="W82" i="33"/>
  <c r="W79" i="33"/>
  <c r="W66" i="33"/>
  <c r="W63" i="33"/>
  <c r="W50" i="33"/>
  <c r="W47" i="33"/>
  <c r="W34" i="33"/>
  <c r="W31" i="33"/>
  <c r="W18" i="33"/>
  <c r="W15" i="33"/>
  <c r="W125" i="25"/>
  <c r="W122" i="25"/>
  <c r="W119" i="25"/>
  <c r="W116" i="25"/>
  <c r="W93" i="25"/>
  <c r="W90" i="25"/>
  <c r="W87" i="25"/>
  <c r="W133" i="39"/>
  <c r="W125" i="39"/>
  <c r="W117" i="39"/>
  <c r="W109" i="39"/>
  <c r="W101" i="39"/>
  <c r="W93" i="39"/>
  <c r="W85" i="39"/>
  <c r="W77" i="39"/>
  <c r="W69" i="39"/>
  <c r="W61" i="39"/>
  <c r="W38" i="39"/>
  <c r="W35" i="39"/>
  <c r="W32" i="39"/>
  <c r="W29" i="39"/>
  <c r="W6" i="39"/>
  <c r="W2" i="39"/>
  <c r="W122" i="38"/>
  <c r="W119" i="38"/>
  <c r="W116" i="38"/>
  <c r="W113" i="38"/>
  <c r="W95" i="38"/>
  <c r="W92" i="38"/>
  <c r="W79" i="38"/>
  <c r="W76" i="38"/>
  <c r="W63" i="38"/>
  <c r="W60" i="38"/>
  <c r="W47" i="38"/>
  <c r="W44" i="38"/>
  <c r="W31" i="38"/>
  <c r="W28" i="38"/>
  <c r="W15" i="38"/>
  <c r="W12" i="38"/>
  <c r="W119" i="37"/>
  <c r="W112" i="37"/>
  <c r="W110" i="37"/>
  <c r="W85" i="37"/>
  <c r="W83" i="37"/>
  <c r="W74" i="37"/>
  <c r="W72" i="37"/>
  <c r="W63" i="37"/>
  <c r="W54" i="37"/>
  <c r="W52" i="37"/>
  <c r="W41" i="37"/>
  <c r="W21" i="37"/>
  <c r="W19" i="37"/>
  <c r="W10" i="37"/>
  <c r="W8" i="37"/>
  <c r="W129" i="36"/>
  <c r="W126" i="36"/>
  <c r="W123" i="36"/>
  <c r="W120" i="36"/>
  <c r="W111" i="36"/>
  <c r="W93" i="36"/>
  <c r="W86" i="36"/>
  <c r="W75" i="36"/>
  <c r="W53" i="36"/>
  <c r="W40" i="36"/>
  <c r="W38" i="36"/>
  <c r="W27" i="36"/>
  <c r="W25" i="36"/>
  <c r="W23" i="36"/>
  <c r="W16" i="36"/>
  <c r="W14" i="36"/>
  <c r="W12" i="36"/>
  <c r="W132" i="35"/>
  <c r="W129" i="35"/>
  <c r="W126" i="35"/>
  <c r="W115" i="35"/>
  <c r="W112" i="35"/>
  <c r="W109" i="35"/>
  <c r="W106" i="35"/>
  <c r="W95" i="35"/>
  <c r="W92" i="35"/>
  <c r="W89" i="35"/>
  <c r="W83" i="35"/>
  <c r="W80" i="35"/>
  <c r="W67" i="35"/>
  <c r="W64" i="35"/>
  <c r="W51" i="35"/>
  <c r="W48" i="35"/>
  <c r="W35" i="35"/>
  <c r="W32" i="35"/>
  <c r="W19" i="35"/>
  <c r="W16" i="35"/>
  <c r="W2" i="35"/>
  <c r="W134" i="34"/>
  <c r="W131" i="34"/>
  <c r="W128" i="34"/>
  <c r="W125" i="34"/>
  <c r="W102" i="34"/>
  <c r="W99" i="34"/>
  <c r="W96" i="34"/>
  <c r="W93" i="34"/>
  <c r="W70" i="34"/>
  <c r="W67" i="34"/>
  <c r="W64" i="34"/>
  <c r="W61" i="34"/>
  <c r="W38" i="34"/>
  <c r="W35" i="34"/>
  <c r="W32" i="34"/>
  <c r="W29" i="34"/>
  <c r="W6" i="34"/>
  <c r="W2" i="34"/>
  <c r="W124" i="33"/>
  <c r="W121" i="33"/>
  <c r="W108" i="33"/>
  <c r="W105" i="33"/>
  <c r="W92" i="33"/>
  <c r="W89" i="33"/>
  <c r="W76" i="33"/>
  <c r="W73" i="33"/>
  <c r="W60" i="33"/>
  <c r="W57" i="33"/>
  <c r="W44" i="33"/>
  <c r="W41" i="33"/>
  <c r="W28" i="33"/>
  <c r="W25" i="33"/>
  <c r="W12" i="33"/>
  <c r="W9" i="33"/>
  <c r="W134" i="25"/>
  <c r="W131" i="25"/>
  <c r="W128" i="25"/>
  <c r="W105" i="25"/>
  <c r="W102" i="25"/>
  <c r="W99" i="25"/>
  <c r="W96" i="25"/>
  <c r="W128" i="39"/>
  <c r="W120" i="39"/>
  <c r="W112" i="39"/>
  <c r="W104" i="39"/>
  <c r="W96" i="39"/>
  <c r="W88" i="39"/>
  <c r="W80" i="39"/>
  <c r="W72" i="39"/>
  <c r="W64" i="39"/>
  <c r="W50" i="39"/>
  <c r="W47" i="39"/>
  <c r="W44" i="39"/>
  <c r="W41" i="39"/>
  <c r="W18" i="39"/>
  <c r="W15" i="39"/>
  <c r="W12" i="39"/>
  <c r="W9" i="39"/>
  <c r="W134" i="38"/>
  <c r="W131" i="38"/>
  <c r="W128" i="38"/>
  <c r="W125" i="38"/>
  <c r="W102" i="38"/>
  <c r="W89" i="38"/>
  <c r="W86" i="38"/>
  <c r="W73" i="38"/>
  <c r="W70" i="38"/>
  <c r="W57" i="38"/>
  <c r="W54" i="38"/>
  <c r="W41" i="38"/>
  <c r="W38" i="38"/>
  <c r="W25" i="38"/>
  <c r="W22" i="38"/>
  <c r="W9" i="38"/>
  <c r="W6" i="38"/>
  <c r="W125" i="37"/>
  <c r="W122" i="37"/>
  <c r="W117" i="37"/>
  <c r="W103" i="37"/>
  <c r="W94" i="37"/>
  <c r="W92" i="37"/>
  <c r="W81" i="37"/>
  <c r="W61" i="37"/>
  <c r="W59" i="37"/>
  <c r="W50" i="37"/>
  <c r="W48" i="37"/>
  <c r="W39" i="37"/>
  <c r="W30" i="37"/>
  <c r="W28" i="37"/>
  <c r="W17" i="37"/>
  <c r="W109" i="36"/>
  <c r="W107" i="36"/>
  <c r="W102" i="36"/>
  <c r="W91" i="36"/>
  <c r="W84" i="36"/>
  <c r="W82" i="36"/>
  <c r="W73" i="36"/>
  <c r="W71" i="36"/>
  <c r="W69" i="36"/>
  <c r="W60" i="36"/>
  <c r="W58" i="36"/>
  <c r="W51" i="36"/>
  <c r="W49" i="36"/>
  <c r="W36" i="36"/>
  <c r="W34" i="36"/>
  <c r="W10" i="36"/>
  <c r="W8" i="36"/>
  <c r="W6" i="36"/>
  <c r="W118" i="35"/>
  <c r="W101" i="35"/>
  <c r="W98" i="35"/>
  <c r="W77" i="35"/>
  <c r="W74" i="35"/>
  <c r="W61" i="35"/>
  <c r="W58" i="35"/>
  <c r="W45" i="35"/>
  <c r="W42" i="35"/>
  <c r="W29" i="35"/>
  <c r="W26" i="35"/>
  <c r="W13" i="35"/>
  <c r="W10" i="35"/>
  <c r="W114" i="34"/>
  <c r="W111" i="34"/>
  <c r="W108" i="34"/>
  <c r="W105" i="34"/>
  <c r="W82" i="34"/>
  <c r="W79" i="34"/>
  <c r="W76" i="34"/>
  <c r="W73" i="34"/>
  <c r="W50" i="34"/>
  <c r="W47" i="34"/>
  <c r="W44" i="34"/>
  <c r="W41" i="34"/>
  <c r="W18" i="34"/>
  <c r="W15" i="34"/>
  <c r="W12" i="34"/>
  <c r="W9" i="34"/>
  <c r="W134" i="33"/>
  <c r="W131" i="33"/>
  <c r="W118" i="33"/>
  <c r="W115" i="33"/>
  <c r="W102" i="33"/>
  <c r="W99" i="33"/>
  <c r="W86" i="33"/>
  <c r="W83" i="33"/>
  <c r="W70" i="33"/>
  <c r="W67" i="33"/>
  <c r="W54" i="33"/>
  <c r="W51" i="33"/>
  <c r="W38" i="33"/>
  <c r="W35" i="33"/>
  <c r="W22" i="33"/>
  <c r="W19" i="33"/>
  <c r="W6" i="33"/>
  <c r="W2" i="33"/>
  <c r="W117" i="25"/>
  <c r="W114" i="25"/>
  <c r="W111" i="25"/>
  <c r="W108" i="25"/>
  <c r="W85" i="25"/>
  <c r="W82" i="25"/>
  <c r="W131" i="39"/>
  <c r="W123" i="39"/>
  <c r="W115" i="39"/>
  <c r="W107" i="39"/>
  <c r="W99" i="39"/>
  <c r="W91" i="39"/>
  <c r="W83" i="39"/>
  <c r="W75" i="39"/>
  <c r="W67" i="39"/>
  <c r="W59" i="39"/>
  <c r="W56" i="39"/>
  <c r="W53" i="39"/>
  <c r="W30" i="39"/>
  <c r="W27" i="39"/>
  <c r="W24" i="39"/>
  <c r="W21" i="39"/>
  <c r="W114" i="38"/>
  <c r="W111" i="38"/>
  <c r="W108" i="38"/>
  <c r="W105" i="38"/>
  <c r="W99" i="38"/>
  <c r="W96" i="38"/>
  <c r="W83" i="38"/>
  <c r="W80" i="38"/>
  <c r="W67" i="38"/>
  <c r="W64" i="38"/>
  <c r="W51" i="38"/>
  <c r="W48" i="38"/>
  <c r="W35" i="38"/>
  <c r="W32" i="38"/>
  <c r="W19" i="38"/>
  <c r="W16" i="38"/>
  <c r="W2" i="38"/>
  <c r="W134" i="37"/>
  <c r="W131" i="37"/>
  <c r="W128" i="37"/>
  <c r="W115" i="37"/>
  <c r="W108" i="37"/>
  <c r="W106" i="37"/>
  <c r="W101" i="37"/>
  <c r="W99" i="37"/>
  <c r="W90" i="37"/>
  <c r="W88" i="37"/>
  <c r="W79" i="37"/>
  <c r="W70" i="37"/>
  <c r="W68" i="37"/>
  <c r="W57" i="37"/>
  <c r="W37" i="37"/>
  <c r="W35" i="37"/>
  <c r="W26" i="37"/>
  <c r="W24" i="37"/>
  <c r="W15" i="37"/>
  <c r="W6" i="37"/>
  <c r="W4" i="37"/>
  <c r="W133" i="36"/>
  <c r="W130" i="36"/>
  <c r="W124" i="36"/>
  <c r="W118" i="36"/>
  <c r="W116" i="36"/>
  <c r="W105" i="36"/>
  <c r="W100" i="36"/>
  <c r="W98" i="36"/>
  <c r="W89" i="36"/>
  <c r="W67" i="36"/>
  <c r="W56" i="36"/>
  <c r="W47" i="36"/>
  <c r="W45" i="36"/>
  <c r="W32" i="36"/>
  <c r="W30" i="36"/>
  <c r="W21" i="36"/>
  <c r="W4" i="36"/>
  <c r="W127" i="35"/>
  <c r="W124" i="35"/>
  <c r="W121" i="35"/>
  <c r="W107" i="35"/>
  <c r="W104" i="35"/>
  <c r="W87" i="35"/>
  <c r="W84" i="35"/>
  <c r="W71" i="35"/>
  <c r="W68" i="35"/>
  <c r="W55" i="35"/>
  <c r="W52" i="35"/>
  <c r="W39" i="35"/>
  <c r="W36" i="35"/>
  <c r="W23" i="35"/>
  <c r="W20" i="35"/>
  <c r="W7" i="35"/>
  <c r="W4" i="35"/>
  <c r="W126" i="34"/>
  <c r="W123" i="34"/>
  <c r="W120" i="34"/>
  <c r="W117" i="34"/>
  <c r="W94" i="34"/>
  <c r="W91" i="34"/>
  <c r="W88" i="34"/>
  <c r="W85" i="34"/>
  <c r="W62" i="34"/>
  <c r="W59" i="34"/>
  <c r="W56" i="34"/>
  <c r="W53" i="34"/>
  <c r="W30" i="34"/>
  <c r="W27" i="34"/>
  <c r="W24" i="34"/>
  <c r="W21" i="34"/>
  <c r="W128" i="33"/>
  <c r="W125" i="33"/>
  <c r="W112" i="33"/>
  <c r="W109" i="33"/>
  <c r="W96" i="33"/>
  <c r="W93" i="33"/>
  <c r="W80" i="33"/>
  <c r="W77" i="33"/>
  <c r="W64" i="33"/>
  <c r="W61" i="33"/>
  <c r="W48" i="33"/>
  <c r="W45" i="33"/>
  <c r="W32" i="33"/>
  <c r="W29" i="33"/>
  <c r="W16" i="33"/>
  <c r="W13" i="33"/>
  <c r="W129" i="25"/>
  <c r="W126" i="25"/>
  <c r="W123" i="25"/>
  <c r="W120" i="25"/>
  <c r="W97" i="25"/>
  <c r="W94" i="25"/>
  <c r="W91" i="25"/>
  <c r="W71" i="39"/>
  <c r="W75" i="38"/>
  <c r="W56" i="38"/>
  <c r="W11" i="38"/>
  <c r="W116" i="37"/>
  <c r="W46" i="36"/>
  <c r="W97" i="35"/>
  <c r="W79" i="35"/>
  <c r="W60" i="35"/>
  <c r="W15" i="35"/>
  <c r="W101" i="34"/>
  <c r="W75" i="34"/>
  <c r="W37" i="34"/>
  <c r="W11" i="34"/>
  <c r="W110" i="25"/>
  <c r="W92" i="25"/>
  <c r="W80" i="25"/>
  <c r="W41" i="25"/>
  <c r="W38" i="25"/>
  <c r="W32" i="25"/>
  <c r="W29" i="25"/>
  <c r="W26" i="25"/>
  <c r="W23" i="25"/>
  <c r="W20" i="25"/>
  <c r="W11" i="25"/>
  <c r="W133" i="32"/>
  <c r="W130" i="32"/>
  <c r="W111" i="32"/>
  <c r="W108" i="32"/>
  <c r="W105" i="32"/>
  <c r="W102" i="32"/>
  <c r="W90" i="32"/>
  <c r="W87" i="32"/>
  <c r="W73" i="32"/>
  <c r="W70" i="32"/>
  <c r="W62" i="32"/>
  <c r="W54" i="32"/>
  <c r="W46" i="32"/>
  <c r="W38" i="32"/>
  <c r="W30" i="32"/>
  <c r="W22" i="32"/>
  <c r="W14" i="32"/>
  <c r="W6" i="32"/>
  <c r="W131" i="31"/>
  <c r="W128" i="31"/>
  <c r="W115" i="31"/>
  <c r="W112" i="31"/>
  <c r="W99" i="31"/>
  <c r="W96" i="31"/>
  <c r="W83" i="31"/>
  <c r="W80" i="31"/>
  <c r="W67" i="31"/>
  <c r="W64" i="31"/>
  <c r="W51" i="31"/>
  <c r="W48" i="31"/>
  <c r="W35" i="31"/>
  <c r="W32" i="31"/>
  <c r="W19" i="31"/>
  <c r="W16" i="31"/>
  <c r="W2" i="31"/>
  <c r="W129" i="30"/>
  <c r="W121" i="30"/>
  <c r="W113" i="30"/>
  <c r="W105" i="30"/>
  <c r="W97" i="30"/>
  <c r="W89" i="30"/>
  <c r="W81" i="30"/>
  <c r="W73" i="30"/>
  <c r="W65" i="30"/>
  <c r="W57" i="30"/>
  <c r="W49" i="30"/>
  <c r="W41" i="30"/>
  <c r="W33" i="30"/>
  <c r="W25" i="30"/>
  <c r="W17" i="30"/>
  <c r="W9" i="30"/>
  <c r="W128" i="29"/>
  <c r="W125" i="29"/>
  <c r="W112" i="29"/>
  <c r="W109" i="29"/>
  <c r="W96" i="29"/>
  <c r="W93" i="29"/>
  <c r="W80" i="29"/>
  <c r="W77" i="29"/>
  <c r="W64" i="29"/>
  <c r="W61" i="29"/>
  <c r="W48" i="29"/>
  <c r="W45" i="29"/>
  <c r="W32" i="29"/>
  <c r="W29" i="29"/>
  <c r="W16" i="29"/>
  <c r="W13" i="29"/>
  <c r="W132" i="28"/>
  <c r="W129" i="28"/>
  <c r="W126" i="28"/>
  <c r="W123" i="28"/>
  <c r="W100" i="28"/>
  <c r="W97" i="28"/>
  <c r="W94" i="28"/>
  <c r="W91" i="28"/>
  <c r="W74" i="28"/>
  <c r="W71" i="28"/>
  <c r="W68" i="28"/>
  <c r="W65" i="28"/>
  <c r="W42" i="28"/>
  <c r="W39" i="28"/>
  <c r="W36" i="28"/>
  <c r="W30" i="28"/>
  <c r="W23" i="28"/>
  <c r="W16" i="28"/>
  <c r="W9" i="28"/>
  <c r="W128" i="27"/>
  <c r="W120" i="27"/>
  <c r="W112" i="27"/>
  <c r="W104" i="27"/>
  <c r="W96" i="27"/>
  <c r="W88" i="27"/>
  <c r="W80" i="27"/>
  <c r="W72" i="27"/>
  <c r="W64" i="27"/>
  <c r="W56" i="27"/>
  <c r="W48" i="27"/>
  <c r="W40" i="27"/>
  <c r="W32" i="27"/>
  <c r="W24" i="27"/>
  <c r="W63" i="39"/>
  <c r="W46" i="39"/>
  <c r="W8" i="39"/>
  <c r="W130" i="38"/>
  <c r="W107" i="37"/>
  <c r="W66" i="36"/>
  <c r="W48" i="36"/>
  <c r="W2" i="36"/>
  <c r="W134" i="35"/>
  <c r="W117" i="35"/>
  <c r="W133" i="33"/>
  <c r="W88" i="33"/>
  <c r="W69" i="33"/>
  <c r="W24" i="33"/>
  <c r="W5" i="33"/>
  <c r="W83" i="25"/>
  <c r="W66" i="25"/>
  <c r="W63" i="25"/>
  <c r="W60" i="25"/>
  <c r="W51" i="25"/>
  <c r="W17" i="25"/>
  <c r="W14" i="25"/>
  <c r="W8" i="25"/>
  <c r="W5" i="25"/>
  <c r="W127" i="32"/>
  <c r="W124" i="32"/>
  <c r="W121" i="32"/>
  <c r="W118" i="32"/>
  <c r="W99" i="32"/>
  <c r="W96" i="32"/>
  <c r="W93" i="32"/>
  <c r="W76" i="32"/>
  <c r="W65" i="32"/>
  <c r="W57" i="32"/>
  <c r="W49" i="32"/>
  <c r="W41" i="32"/>
  <c r="W33" i="32"/>
  <c r="W25" i="32"/>
  <c r="W17" i="32"/>
  <c r="W9" i="32"/>
  <c r="W138" i="31"/>
  <c r="W125" i="31"/>
  <c r="W122" i="31"/>
  <c r="W109" i="31"/>
  <c r="W106" i="31"/>
  <c r="W93" i="31"/>
  <c r="W90" i="31"/>
  <c r="W77" i="31"/>
  <c r="W74" i="31"/>
  <c r="W61" i="31"/>
  <c r="W58" i="31"/>
  <c r="W45" i="31"/>
  <c r="W42" i="31"/>
  <c r="W29" i="31"/>
  <c r="W26" i="31"/>
  <c r="W13" i="31"/>
  <c r="W10" i="31"/>
  <c r="W132" i="30"/>
  <c r="W124" i="30"/>
  <c r="W116" i="30"/>
  <c r="W108" i="30"/>
  <c r="W100" i="30"/>
  <c r="W92" i="30"/>
  <c r="W84" i="30"/>
  <c r="W76" i="30"/>
  <c r="W68" i="30"/>
  <c r="W60" i="30"/>
  <c r="W52" i="30"/>
  <c r="W44" i="30"/>
  <c r="W36" i="30"/>
  <c r="W28" i="30"/>
  <c r="W20" i="30"/>
  <c r="W12" i="30"/>
  <c r="W4" i="30"/>
  <c r="W122" i="29"/>
  <c r="W119" i="29"/>
  <c r="W106" i="29"/>
  <c r="W103" i="29"/>
  <c r="W90" i="29"/>
  <c r="W119" i="39"/>
  <c r="W59" i="38"/>
  <c r="W40" i="38"/>
  <c r="W89" i="37"/>
  <c r="W25" i="37"/>
  <c r="W68" i="36"/>
  <c r="W5" i="36"/>
  <c r="W100" i="35"/>
  <c r="W63" i="35"/>
  <c r="W44" i="35"/>
  <c r="W104" i="34"/>
  <c r="W78" i="34"/>
  <c r="W40" i="34"/>
  <c r="W14" i="34"/>
  <c r="W113" i="25"/>
  <c r="W88" i="25"/>
  <c r="W81" i="25"/>
  <c r="W78" i="25"/>
  <c r="W75" i="25"/>
  <c r="W72" i="25"/>
  <c r="W69" i="25"/>
  <c r="W57" i="25"/>
  <c r="W54" i="25"/>
  <c r="W48" i="25"/>
  <c r="W45" i="25"/>
  <c r="W42" i="25"/>
  <c r="W39" i="25"/>
  <c r="W36" i="25"/>
  <c r="W27" i="25"/>
  <c r="W134" i="32"/>
  <c r="W115" i="32"/>
  <c r="W112" i="32"/>
  <c r="W106" i="32"/>
  <c r="W88" i="32"/>
  <c r="W85" i="32"/>
  <c r="W82" i="32"/>
  <c r="W79" i="32"/>
  <c r="W68" i="32"/>
  <c r="W60" i="32"/>
  <c r="W52" i="32"/>
  <c r="W44" i="32"/>
  <c r="W36" i="32"/>
  <c r="W28" i="32"/>
  <c r="W20" i="32"/>
  <c r="W12" i="32"/>
  <c r="W4" i="32"/>
  <c r="W135" i="31"/>
  <c r="W132" i="31"/>
  <c r="W119" i="31"/>
  <c r="W116" i="31"/>
  <c r="W103" i="31"/>
  <c r="W100" i="31"/>
  <c r="W87" i="31"/>
  <c r="W84" i="31"/>
  <c r="W71" i="31"/>
  <c r="W68" i="31"/>
  <c r="W55" i="31"/>
  <c r="W52" i="31"/>
  <c r="W39" i="31"/>
  <c r="W36" i="31"/>
  <c r="W23" i="31"/>
  <c r="W20" i="31"/>
  <c r="W7" i="31"/>
  <c r="W4" i="31"/>
  <c r="W127" i="30"/>
  <c r="W119" i="30"/>
  <c r="W111" i="30"/>
  <c r="W103" i="30"/>
  <c r="W95" i="30"/>
  <c r="W87" i="30"/>
  <c r="W79" i="30"/>
  <c r="W71" i="30"/>
  <c r="W63" i="30"/>
  <c r="W55" i="30"/>
  <c r="W47" i="30"/>
  <c r="W39" i="30"/>
  <c r="W31" i="30"/>
  <c r="W23" i="30"/>
  <c r="W15" i="30"/>
  <c r="W7" i="30"/>
  <c r="W132" i="29"/>
  <c r="W129" i="29"/>
  <c r="W116" i="29"/>
  <c r="W113" i="29"/>
  <c r="W100" i="29"/>
  <c r="W97" i="29"/>
  <c r="W84" i="29"/>
  <c r="W81" i="29"/>
  <c r="W68" i="29"/>
  <c r="W65" i="29"/>
  <c r="W52" i="29"/>
  <c r="W49" i="29"/>
  <c r="W36" i="29"/>
  <c r="W33" i="29"/>
  <c r="W20" i="29"/>
  <c r="W17" i="29"/>
  <c r="W4" i="29"/>
  <c r="W124" i="28"/>
  <c r="W121" i="28"/>
  <c r="W118" i="28"/>
  <c r="W115" i="28"/>
  <c r="W92" i="28"/>
  <c r="W89" i="28"/>
  <c r="W66" i="28"/>
  <c r="W63" i="28"/>
  <c r="W60" i="28"/>
  <c r="W57" i="28"/>
  <c r="W34" i="28"/>
  <c r="W31" i="28"/>
  <c r="W24" i="28"/>
  <c r="W17" i="28"/>
  <c r="W6" i="28"/>
  <c r="W134" i="27"/>
  <c r="W126" i="27"/>
  <c r="W118" i="27"/>
  <c r="W110" i="27"/>
  <c r="W102" i="27"/>
  <c r="W94" i="27"/>
  <c r="W86" i="27"/>
  <c r="W78" i="27"/>
  <c r="W70" i="27"/>
  <c r="W62" i="27"/>
  <c r="W54" i="27"/>
  <c r="W46" i="27"/>
  <c r="W38" i="27"/>
  <c r="W30" i="27"/>
  <c r="W22" i="27"/>
  <c r="W111" i="39"/>
  <c r="W37" i="39"/>
  <c r="W11" i="39"/>
  <c r="W121" i="38"/>
  <c r="W104" i="36"/>
  <c r="W31" i="36"/>
  <c r="W117" i="33"/>
  <c r="W72" i="33"/>
  <c r="W53" i="33"/>
  <c r="W8" i="33"/>
  <c r="W33" i="25"/>
  <c r="W30" i="25"/>
  <c r="W24" i="25"/>
  <c r="W21" i="25"/>
  <c r="W18" i="25"/>
  <c r="W15" i="25"/>
  <c r="W12" i="25"/>
  <c r="W2" i="25"/>
  <c r="W131" i="32"/>
  <c r="W128" i="32"/>
  <c r="W122" i="32"/>
  <c r="W109" i="32"/>
  <c r="W103" i="32"/>
  <c r="W100" i="32"/>
  <c r="W91" i="32"/>
  <c r="W74" i="32"/>
  <c r="W71" i="32"/>
  <c r="W63" i="32"/>
  <c r="W55" i="32"/>
  <c r="W47" i="32"/>
  <c r="W39" i="32"/>
  <c r="W31" i="32"/>
  <c r="W23" i="32"/>
  <c r="W15" i="32"/>
  <c r="W7" i="32"/>
  <c r="W129" i="31"/>
  <c r="W126" i="31"/>
  <c r="W113" i="31"/>
  <c r="W110" i="31"/>
  <c r="W97" i="31"/>
  <c r="W94" i="31"/>
  <c r="W81" i="31"/>
  <c r="W78" i="31"/>
  <c r="W65" i="31"/>
  <c r="W62" i="31"/>
  <c r="W49" i="31"/>
  <c r="W46" i="31"/>
  <c r="W33" i="31"/>
  <c r="W30" i="31"/>
  <c r="W17" i="31"/>
  <c r="W14" i="31"/>
  <c r="W130" i="30"/>
  <c r="W122" i="30"/>
  <c r="W114" i="30"/>
  <c r="W106" i="30"/>
  <c r="W98" i="30"/>
  <c r="W90" i="30"/>
  <c r="W82" i="30"/>
  <c r="W74" i="30"/>
  <c r="W66" i="30"/>
  <c r="W58" i="30"/>
  <c r="W50" i="30"/>
  <c r="W42" i="30"/>
  <c r="W34" i="30"/>
  <c r="W26" i="30"/>
  <c r="W18" i="30"/>
  <c r="W10" i="30"/>
  <c r="W126" i="29"/>
  <c r="W123" i="29"/>
  <c r="W110" i="29"/>
  <c r="W107" i="29"/>
  <c r="W94" i="29"/>
  <c r="W91" i="29"/>
  <c r="W78" i="29"/>
  <c r="W75" i="29"/>
  <c r="W62" i="29"/>
  <c r="W59" i="29"/>
  <c r="W46" i="29"/>
  <c r="W43" i="29"/>
  <c r="W30" i="29"/>
  <c r="W27" i="29"/>
  <c r="W14" i="29"/>
  <c r="W11" i="29"/>
  <c r="W133" i="28"/>
  <c r="W130" i="28"/>
  <c r="W127" i="28"/>
  <c r="W104" i="28"/>
  <c r="W101" i="28"/>
  <c r="W98" i="28"/>
  <c r="W95" i="28"/>
  <c r="W78" i="28"/>
  <c r="W75" i="28"/>
  <c r="W72" i="28"/>
  <c r="W69" i="28"/>
  <c r="W46" i="28"/>
  <c r="W43" i="28"/>
  <c r="W40" i="28"/>
  <c r="W37" i="28"/>
  <c r="W28" i="28"/>
  <c r="W103" i="39"/>
  <c r="W88" i="38"/>
  <c r="W43" i="38"/>
  <c r="W24" i="38"/>
  <c r="W121" i="37"/>
  <c r="W100" i="37"/>
  <c r="W36" i="37"/>
  <c r="W115" i="36"/>
  <c r="W106" i="36"/>
  <c r="W33" i="36"/>
  <c r="W47" i="35"/>
  <c r="W28" i="35"/>
  <c r="W133" i="34"/>
  <c r="W107" i="34"/>
  <c r="W69" i="34"/>
  <c r="W43" i="34"/>
  <c r="W5" i="34"/>
  <c r="W104" i="25"/>
  <c r="W84" i="25"/>
  <c r="W73" i="25"/>
  <c r="W70" i="25"/>
  <c r="W67" i="25"/>
  <c r="W64" i="25"/>
  <c r="W61" i="25"/>
  <c r="W58" i="25"/>
  <c r="W55" i="25"/>
  <c r="W52" i="25"/>
  <c r="W43" i="25"/>
  <c r="W9" i="25"/>
  <c r="W6" i="25"/>
  <c r="W125" i="32"/>
  <c r="W119" i="32"/>
  <c r="W116" i="32"/>
  <c r="W97" i="32"/>
  <c r="W94" i="32"/>
  <c r="W80" i="32"/>
  <c r="W77" i="32"/>
  <c r="W66" i="32"/>
  <c r="W58" i="32"/>
  <c r="W50" i="32"/>
  <c r="W42" i="32"/>
  <c r="W34" i="32"/>
  <c r="W26" i="32"/>
  <c r="W18" i="32"/>
  <c r="W10" i="32"/>
  <c r="W139" i="31"/>
  <c r="W136" i="31"/>
  <c r="W123" i="31"/>
  <c r="W120" i="31"/>
  <c r="W107" i="31"/>
  <c r="W104" i="31"/>
  <c r="W91" i="31"/>
  <c r="W88" i="31"/>
  <c r="W75" i="31"/>
  <c r="W72" i="31"/>
  <c r="W59" i="31"/>
  <c r="W56" i="31"/>
  <c r="W43" i="31"/>
  <c r="W40" i="31"/>
  <c r="W27" i="31"/>
  <c r="W24" i="31"/>
  <c r="W11" i="31"/>
  <c r="W8" i="31"/>
  <c r="W133" i="30"/>
  <c r="W125" i="30"/>
  <c r="W117" i="30"/>
  <c r="W109" i="30"/>
  <c r="W101" i="30"/>
  <c r="W93" i="30"/>
  <c r="W85" i="30"/>
  <c r="W77" i="30"/>
  <c r="W69" i="30"/>
  <c r="W61" i="30"/>
  <c r="W53" i="30"/>
  <c r="W45" i="30"/>
  <c r="W37" i="30"/>
  <c r="W29" i="30"/>
  <c r="W21" i="30"/>
  <c r="W13" i="30"/>
  <c r="W5" i="30"/>
  <c r="W133" i="29"/>
  <c r="W120" i="29"/>
  <c r="W117" i="29"/>
  <c r="W104" i="29"/>
  <c r="W101" i="29"/>
  <c r="W88" i="29"/>
  <c r="W85" i="29"/>
  <c r="W72" i="29"/>
  <c r="W69" i="29"/>
  <c r="W56" i="29"/>
  <c r="W53" i="29"/>
  <c r="W40" i="29"/>
  <c r="W37" i="29"/>
  <c r="W24" i="29"/>
  <c r="W21" i="29"/>
  <c r="W8" i="29"/>
  <c r="W5" i="29"/>
  <c r="W116" i="28"/>
  <c r="W113" i="28"/>
  <c r="W110" i="28"/>
  <c r="W107" i="28"/>
  <c r="W87" i="28"/>
  <c r="W84" i="28"/>
  <c r="W81" i="28"/>
  <c r="W58" i="28"/>
  <c r="W55" i="28"/>
  <c r="W52" i="28"/>
  <c r="W49" i="28"/>
  <c r="W32" i="28"/>
  <c r="W25" i="28"/>
  <c r="W14" i="28"/>
  <c r="W7" i="28"/>
  <c r="W132" i="27"/>
  <c r="W124" i="27"/>
  <c r="W116" i="27"/>
  <c r="W108" i="27"/>
  <c r="W100" i="27"/>
  <c r="W92" i="27"/>
  <c r="W84" i="27"/>
  <c r="W76" i="27"/>
  <c r="W68" i="27"/>
  <c r="W60" i="27"/>
  <c r="W52" i="27"/>
  <c r="W44" i="27"/>
  <c r="W36" i="27"/>
  <c r="W28" i="27"/>
  <c r="W20" i="27"/>
  <c r="W95" i="39"/>
  <c r="W40" i="39"/>
  <c r="W14" i="39"/>
  <c r="W124" i="38"/>
  <c r="W102" i="37"/>
  <c r="W56" i="37"/>
  <c r="W47" i="37"/>
  <c r="W38" i="37"/>
  <c r="W117" i="36"/>
  <c r="W120" i="33"/>
  <c r="W101" i="33"/>
  <c r="W56" i="33"/>
  <c r="W37" i="33"/>
  <c r="W79" i="25"/>
  <c r="W76" i="25"/>
  <c r="W49" i="25"/>
  <c r="W46" i="25"/>
  <c r="W40" i="25"/>
  <c r="W37" i="25"/>
  <c r="W34" i="25"/>
  <c r="W31" i="25"/>
  <c r="W28" i="25"/>
  <c r="W19" i="25"/>
  <c r="W132" i="32"/>
  <c r="W113" i="32"/>
  <c r="W110" i="32"/>
  <c r="W107" i="32"/>
  <c r="W104" i="32"/>
  <c r="W89" i="32"/>
  <c r="W86" i="32"/>
  <c r="W83" i="32"/>
  <c r="W72" i="32"/>
  <c r="W69" i="32"/>
  <c r="W61" i="32"/>
  <c r="W53" i="32"/>
  <c r="W45" i="32"/>
  <c r="W37" i="32"/>
  <c r="W29" i="32"/>
  <c r="W21" i="32"/>
  <c r="W13" i="32"/>
  <c r="W5" i="32"/>
  <c r="W133" i="31"/>
  <c r="W130" i="31"/>
  <c r="W117" i="31"/>
  <c r="W114" i="31"/>
  <c r="W101" i="31"/>
  <c r="W98" i="31"/>
  <c r="W85" i="31"/>
  <c r="W82" i="31"/>
  <c r="W69" i="31"/>
  <c r="W66" i="31"/>
  <c r="W53" i="31"/>
  <c r="W50" i="31"/>
  <c r="W37" i="31"/>
  <c r="W34" i="31"/>
  <c r="W21" i="31"/>
  <c r="W18" i="31"/>
  <c r="W5" i="31"/>
  <c r="W128" i="30"/>
  <c r="W120" i="30"/>
  <c r="W112" i="30"/>
  <c r="W104" i="30"/>
  <c r="W96" i="30"/>
  <c r="W88" i="30"/>
  <c r="W80" i="30"/>
  <c r="W72" i="30"/>
  <c r="W64" i="30"/>
  <c r="W56" i="30"/>
  <c r="W48" i="30"/>
  <c r="W40" i="30"/>
  <c r="W32" i="30"/>
  <c r="W24" i="30"/>
  <c r="W16" i="30"/>
  <c r="W8" i="30"/>
  <c r="W130" i="29"/>
  <c r="W127" i="29"/>
  <c r="W114" i="29"/>
  <c r="W111" i="29"/>
  <c r="W98" i="29"/>
  <c r="W95" i="29"/>
  <c r="W82" i="29"/>
  <c r="W79" i="29"/>
  <c r="W66" i="29"/>
  <c r="W63" i="29"/>
  <c r="W50" i="29"/>
  <c r="W47" i="29"/>
  <c r="W34" i="29"/>
  <c r="W31" i="29"/>
  <c r="W18" i="29"/>
  <c r="W15" i="29"/>
  <c r="W128" i="28"/>
  <c r="W125" i="28"/>
  <c r="W122" i="28"/>
  <c r="W119" i="28"/>
  <c r="W96" i="28"/>
  <c r="W93" i="28"/>
  <c r="W90" i="28"/>
  <c r="W70" i="28"/>
  <c r="W67" i="28"/>
  <c r="W64" i="28"/>
  <c r="W61" i="28"/>
  <c r="W38" i="28"/>
  <c r="W35" i="28"/>
  <c r="W29" i="28"/>
  <c r="W18" i="28"/>
  <c r="W11" i="28"/>
  <c r="W4" i="28"/>
  <c r="W127" i="27"/>
  <c r="W119" i="27"/>
  <c r="W111" i="27"/>
  <c r="W103" i="27"/>
  <c r="W95" i="27"/>
  <c r="W87" i="27"/>
  <c r="W79" i="27"/>
  <c r="W71" i="27"/>
  <c r="W63" i="27"/>
  <c r="W55" i="27"/>
  <c r="W47" i="27"/>
  <c r="W39" i="27"/>
  <c r="W31" i="27"/>
  <c r="W23" i="27"/>
  <c r="W15" i="27"/>
  <c r="W87" i="39"/>
  <c r="W91" i="38"/>
  <c r="W72" i="38"/>
  <c r="W27" i="38"/>
  <c r="W8" i="38"/>
  <c r="W67" i="37"/>
  <c r="W58" i="37"/>
  <c r="W2" i="37"/>
  <c r="W81" i="36"/>
  <c r="W94" i="35"/>
  <c r="W76" i="35"/>
  <c r="W31" i="35"/>
  <c r="W12" i="35"/>
  <c r="W110" i="34"/>
  <c r="W72" i="34"/>
  <c r="W46" i="34"/>
  <c r="W8" i="34"/>
  <c r="W107" i="25"/>
  <c r="W59" i="25"/>
  <c r="W25" i="25"/>
  <c r="W22" i="25"/>
  <c r="W16" i="25"/>
  <c r="W13" i="25"/>
  <c r="W10" i="25"/>
  <c r="W7" i="25"/>
  <c r="W4" i="25"/>
  <c r="W129" i="32"/>
  <c r="W126" i="32"/>
  <c r="W123" i="32"/>
  <c r="W120" i="32"/>
  <c r="W101" i="32"/>
  <c r="W98" i="32"/>
  <c r="W92" i="32"/>
  <c r="W75" i="32"/>
  <c r="W64" i="32"/>
  <c r="W56" i="32"/>
  <c r="W48" i="32"/>
  <c r="W40" i="32"/>
  <c r="W32" i="32"/>
  <c r="W24" i="32"/>
  <c r="W16" i="32"/>
  <c r="W8" i="32"/>
  <c r="W140" i="31"/>
  <c r="W127" i="31"/>
  <c r="W124" i="31"/>
  <c r="W111" i="31"/>
  <c r="W108" i="31"/>
  <c r="W95" i="31"/>
  <c r="W92" i="31"/>
  <c r="W79" i="31"/>
  <c r="W76" i="31"/>
  <c r="W63" i="31"/>
  <c r="W60" i="31"/>
  <c r="W47" i="31"/>
  <c r="W44" i="31"/>
  <c r="W31" i="31"/>
  <c r="W28" i="31"/>
  <c r="W15" i="31"/>
  <c r="W12" i="31"/>
  <c r="W131" i="30"/>
  <c r="W123" i="30"/>
  <c r="W115" i="30"/>
  <c r="W107" i="30"/>
  <c r="W99" i="30"/>
  <c r="W91" i="30"/>
  <c r="W83" i="30"/>
  <c r="W75" i="30"/>
  <c r="W67" i="30"/>
  <c r="W59" i="30"/>
  <c r="W51" i="30"/>
  <c r="W43" i="30"/>
  <c r="W35" i="30"/>
  <c r="W27" i="30"/>
  <c r="W19" i="30"/>
  <c r="W11" i="30"/>
  <c r="W2" i="30"/>
  <c r="W124" i="29"/>
  <c r="W121" i="29"/>
  <c r="W108" i="29"/>
  <c r="W105" i="29"/>
  <c r="W92" i="29"/>
  <c r="W89" i="29"/>
  <c r="W76" i="29"/>
  <c r="W73" i="29"/>
  <c r="W60" i="29"/>
  <c r="W57" i="29"/>
  <c r="W44" i="29"/>
  <c r="W41" i="29"/>
  <c r="W28" i="29"/>
  <c r="W25" i="29"/>
  <c r="W12" i="29"/>
  <c r="W9" i="29"/>
  <c r="W134" i="28"/>
  <c r="W131" i="28"/>
  <c r="W108" i="28"/>
  <c r="W105" i="28"/>
  <c r="W102" i="28"/>
  <c r="W99" i="28"/>
  <c r="W82" i="28"/>
  <c r="W79" i="28"/>
  <c r="W76" i="28"/>
  <c r="W73" i="28"/>
  <c r="W50" i="28"/>
  <c r="W47" i="28"/>
  <c r="W44" i="28"/>
  <c r="W41" i="28"/>
  <c r="W22" i="28"/>
  <c r="W15" i="28"/>
  <c r="W8" i="28"/>
  <c r="W130" i="27"/>
  <c r="W122" i="27"/>
  <c r="W114" i="27"/>
  <c r="W106" i="27"/>
  <c r="W98" i="27"/>
  <c r="W90" i="27"/>
  <c r="W82" i="27"/>
  <c r="W74" i="27"/>
  <c r="W66" i="27"/>
  <c r="W58" i="27"/>
  <c r="W50" i="27"/>
  <c r="W42" i="27"/>
  <c r="W34" i="27"/>
  <c r="W26" i="27"/>
  <c r="W43" i="39"/>
  <c r="W40" i="33"/>
  <c r="W77" i="25"/>
  <c r="W65" i="25"/>
  <c r="W117" i="32"/>
  <c r="W81" i="32"/>
  <c r="W35" i="32"/>
  <c r="W102" i="30"/>
  <c r="W38" i="30"/>
  <c r="W86" i="29"/>
  <c r="W74" i="29"/>
  <c r="W54" i="29"/>
  <c r="W42" i="29"/>
  <c r="W22" i="29"/>
  <c r="W10" i="29"/>
  <c r="W114" i="28"/>
  <c r="W109" i="28"/>
  <c r="W77" i="28"/>
  <c r="W62" i="28"/>
  <c r="W45" i="28"/>
  <c r="W27" i="28"/>
  <c r="W10" i="28"/>
  <c r="W5" i="28"/>
  <c r="W129" i="27"/>
  <c r="W107" i="27"/>
  <c r="W85" i="27"/>
  <c r="W65" i="27"/>
  <c r="W43" i="27"/>
  <c r="W21" i="27"/>
  <c r="W16" i="27"/>
  <c r="W11" i="27"/>
  <c r="W2" i="27"/>
  <c r="W150" i="26"/>
  <c r="W143" i="26"/>
  <c r="W136" i="26"/>
  <c r="W125" i="26"/>
  <c r="W118" i="26"/>
  <c r="W111" i="26"/>
  <c r="W104" i="26"/>
  <c r="W93" i="26"/>
  <c r="W86" i="26"/>
  <c r="W79" i="26"/>
  <c r="W72" i="26"/>
  <c r="W61" i="26"/>
  <c r="W54" i="26"/>
  <c r="W47" i="26"/>
  <c r="W40" i="26"/>
  <c r="W29" i="26"/>
  <c r="W22" i="26"/>
  <c r="W15" i="26"/>
  <c r="W8" i="26"/>
  <c r="W130" i="3"/>
  <c r="W122" i="3"/>
  <c r="W114" i="3"/>
  <c r="W106" i="3"/>
  <c r="W95" i="3"/>
  <c r="W87" i="3"/>
  <c r="W79" i="3"/>
  <c r="W71" i="3"/>
  <c r="W45" i="3"/>
  <c r="W42" i="3"/>
  <c r="W39" i="3"/>
  <c r="W36" i="3"/>
  <c r="W33" i="3"/>
  <c r="W24" i="3"/>
  <c r="W21" i="3"/>
  <c r="W18" i="3"/>
  <c r="W15" i="3"/>
  <c r="W12" i="3"/>
  <c r="W9" i="3"/>
  <c r="W2" i="3"/>
  <c r="P46" i="24"/>
  <c r="P38" i="24"/>
  <c r="P33" i="24"/>
  <c r="P29" i="24"/>
  <c r="P25" i="24"/>
  <c r="P21" i="24"/>
  <c r="P17" i="24"/>
  <c r="P13" i="24"/>
  <c r="P9" i="24"/>
  <c r="P5" i="24"/>
  <c r="W6" i="31"/>
  <c r="W131" i="29"/>
  <c r="W109" i="27"/>
  <c r="W139" i="26"/>
  <c r="W107" i="26"/>
  <c r="W75" i="26"/>
  <c r="W43" i="26"/>
  <c r="W18" i="26"/>
  <c r="W92" i="3"/>
  <c r="W53" i="3"/>
  <c r="Q29" i="24"/>
  <c r="Q13" i="24"/>
  <c r="W56" i="25"/>
  <c r="W44" i="25"/>
  <c r="W35" i="25"/>
  <c r="W27" i="32"/>
  <c r="W137" i="31"/>
  <c r="W118" i="31"/>
  <c r="W73" i="31"/>
  <c r="W54" i="31"/>
  <c r="W9" i="31"/>
  <c r="W94" i="30"/>
  <c r="W30" i="30"/>
  <c r="W134" i="29"/>
  <c r="W115" i="29"/>
  <c r="W112" i="28"/>
  <c r="W125" i="27"/>
  <c r="W105" i="27"/>
  <c r="W83" i="27"/>
  <c r="W61" i="27"/>
  <c r="W41" i="27"/>
  <c r="W19" i="27"/>
  <c r="W14" i="27"/>
  <c r="W6" i="27"/>
  <c r="W147" i="26"/>
  <c r="W140" i="26"/>
  <c r="W129" i="26"/>
  <c r="W122" i="26"/>
  <c r="W115" i="26"/>
  <c r="W108" i="26"/>
  <c r="W97" i="26"/>
  <c r="W90" i="26"/>
  <c r="W83" i="26"/>
  <c r="W76" i="26"/>
  <c r="W65" i="26"/>
  <c r="W58" i="26"/>
  <c r="W51" i="26"/>
  <c r="W44" i="26"/>
  <c r="W33" i="26"/>
  <c r="W26" i="26"/>
  <c r="W19" i="26"/>
  <c r="W12" i="26"/>
  <c r="W133" i="3"/>
  <c r="W125" i="3"/>
  <c r="W117" i="3"/>
  <c r="W109" i="3"/>
  <c r="W101" i="3"/>
  <c r="W98" i="3"/>
  <c r="W90" i="3"/>
  <c r="W82" i="3"/>
  <c r="W74" i="3"/>
  <c r="W66" i="3"/>
  <c r="W60" i="3"/>
  <c r="W57" i="3"/>
  <c r="W51" i="3"/>
  <c r="W48" i="3"/>
  <c r="W30" i="3"/>
  <c r="W27" i="3"/>
  <c r="P45" i="24"/>
  <c r="P37" i="24"/>
  <c r="Q32" i="24"/>
  <c r="Q28" i="24"/>
  <c r="Q24" i="24"/>
  <c r="Q20" i="24"/>
  <c r="Q16" i="24"/>
  <c r="Q12" i="24"/>
  <c r="Q8" i="24"/>
  <c r="Q4" i="24"/>
  <c r="W70" i="31"/>
  <c r="W25" i="31"/>
  <c r="W46" i="30"/>
  <c r="W67" i="27"/>
  <c r="W8" i="27"/>
  <c r="W121" i="26"/>
  <c r="W89" i="26"/>
  <c r="W50" i="26"/>
  <c r="W11" i="26"/>
  <c r="W111" i="3"/>
  <c r="W62" i="3"/>
  <c r="P47" i="24"/>
  <c r="Q17" i="24"/>
  <c r="Q5" i="24"/>
  <c r="W127" i="38"/>
  <c r="W114" i="37"/>
  <c r="W99" i="36"/>
  <c r="W68" i="25"/>
  <c r="W84" i="32"/>
  <c r="W19" i="32"/>
  <c r="W86" i="30"/>
  <c r="W22" i="30"/>
  <c r="W87" i="29"/>
  <c r="W67" i="29"/>
  <c r="W55" i="29"/>
  <c r="W35" i="29"/>
  <c r="W23" i="29"/>
  <c r="W2" i="29"/>
  <c r="W117" i="28"/>
  <c r="W80" i="28"/>
  <c r="W48" i="28"/>
  <c r="W19" i="28"/>
  <c r="W123" i="27"/>
  <c r="W101" i="27"/>
  <c r="W81" i="27"/>
  <c r="W59" i="27"/>
  <c r="W37" i="27"/>
  <c r="W9" i="27"/>
  <c r="W144" i="26"/>
  <c r="W133" i="26"/>
  <c r="W126" i="26"/>
  <c r="W119" i="26"/>
  <c r="W112" i="26"/>
  <c r="W101" i="26"/>
  <c r="W94" i="26"/>
  <c r="W87" i="26"/>
  <c r="W80" i="26"/>
  <c r="W69" i="26"/>
  <c r="W62" i="26"/>
  <c r="W55" i="26"/>
  <c r="W48" i="26"/>
  <c r="W37" i="26"/>
  <c r="W30" i="26"/>
  <c r="W23" i="26"/>
  <c r="W16" i="26"/>
  <c r="W5" i="26"/>
  <c r="W128" i="3"/>
  <c r="W120" i="3"/>
  <c r="W112" i="3"/>
  <c r="W104" i="3"/>
  <c r="W93" i="3"/>
  <c r="W85" i="3"/>
  <c r="W77" i="3"/>
  <c r="W69" i="3"/>
  <c r="W63" i="3"/>
  <c r="W54" i="3"/>
  <c r="W16" i="3"/>
  <c r="W7" i="3"/>
  <c r="W4" i="3"/>
  <c r="P52" i="24"/>
  <c r="P44" i="24"/>
  <c r="P36" i="24"/>
  <c r="P32" i="24"/>
  <c r="P28" i="24"/>
  <c r="P24" i="24"/>
  <c r="P20" i="24"/>
  <c r="P16" i="24"/>
  <c r="P12" i="24"/>
  <c r="P8" i="24"/>
  <c r="P4" i="24"/>
  <c r="Q33" i="24"/>
  <c r="W79" i="39"/>
  <c r="W5" i="39"/>
  <c r="W47" i="25"/>
  <c r="W11" i="32"/>
  <c r="W121" i="31"/>
  <c r="W102" i="31"/>
  <c r="W57" i="31"/>
  <c r="W38" i="31"/>
  <c r="W78" i="30"/>
  <c r="W14" i="30"/>
  <c r="W118" i="29"/>
  <c r="W99" i="29"/>
  <c r="W85" i="28"/>
  <c r="W53" i="28"/>
  <c r="W33" i="28"/>
  <c r="W2" i="28"/>
  <c r="W121" i="27"/>
  <c r="W99" i="27"/>
  <c r="W77" i="27"/>
  <c r="W57" i="27"/>
  <c r="W35" i="27"/>
  <c r="W17" i="27"/>
  <c r="W12" i="27"/>
  <c r="W4" i="27"/>
  <c r="W148" i="26"/>
  <c r="W137" i="26"/>
  <c r="W130" i="26"/>
  <c r="W123" i="26"/>
  <c r="W116" i="26"/>
  <c r="W105" i="26"/>
  <c r="W98" i="26"/>
  <c r="W91" i="26"/>
  <c r="W84" i="26"/>
  <c r="W73" i="26"/>
  <c r="W66" i="26"/>
  <c r="W59" i="26"/>
  <c r="W52" i="26"/>
  <c r="W41" i="26"/>
  <c r="W34" i="26"/>
  <c r="W27" i="26"/>
  <c r="W20" i="26"/>
  <c r="W9" i="26"/>
  <c r="W131" i="3"/>
  <c r="W123" i="3"/>
  <c r="W115" i="3"/>
  <c r="W107" i="3"/>
  <c r="W96" i="3"/>
  <c r="W88" i="3"/>
  <c r="W80" i="3"/>
  <c r="W72" i="3"/>
  <c r="W49" i="3"/>
  <c r="W46" i="3"/>
  <c r="W43" i="3"/>
  <c r="W40" i="3"/>
  <c r="W37" i="3"/>
  <c r="W34" i="3"/>
  <c r="W25" i="3"/>
  <c r="W22" i="3"/>
  <c r="W19" i="3"/>
  <c r="W13" i="3"/>
  <c r="W10" i="3"/>
  <c r="P51" i="24"/>
  <c r="P43" i="24"/>
  <c r="Q35" i="24"/>
  <c r="Q31" i="24"/>
  <c r="Q27" i="24"/>
  <c r="Q23" i="24"/>
  <c r="Q19" i="24"/>
  <c r="Q15" i="24"/>
  <c r="Q11" i="24"/>
  <c r="Q7" i="24"/>
  <c r="W114" i="35"/>
  <c r="W43" i="32"/>
  <c r="W110" i="30"/>
  <c r="W131" i="27"/>
  <c r="W146" i="26"/>
  <c r="W68" i="26"/>
  <c r="W25" i="26"/>
  <c r="W119" i="3"/>
  <c r="W84" i="3"/>
  <c r="W56" i="3"/>
  <c r="Q25" i="24"/>
  <c r="W85" i="33"/>
  <c r="W71" i="25"/>
  <c r="W95" i="32"/>
  <c r="W67" i="32"/>
  <c r="W2" i="32"/>
  <c r="W134" i="30"/>
  <c r="W70" i="30"/>
  <c r="W6" i="30"/>
  <c r="W70" i="29"/>
  <c r="W58" i="29"/>
  <c r="W38" i="29"/>
  <c r="W26" i="29"/>
  <c r="W6" i="29"/>
  <c r="W120" i="28"/>
  <c r="W103" i="28"/>
  <c r="W88" i="28"/>
  <c r="W83" i="28"/>
  <c r="W56" i="28"/>
  <c r="W51" i="28"/>
  <c r="W20" i="28"/>
  <c r="W117" i="27"/>
  <c r="W97" i="27"/>
  <c r="W75" i="27"/>
  <c r="W53" i="27"/>
  <c r="W33" i="27"/>
  <c r="W7" i="27"/>
  <c r="W141" i="26"/>
  <c r="W134" i="26"/>
  <c r="W127" i="26"/>
  <c r="W120" i="26"/>
  <c r="W109" i="26"/>
  <c r="W102" i="26"/>
  <c r="W95" i="26"/>
  <c r="W88" i="26"/>
  <c r="W77" i="26"/>
  <c r="W70" i="26"/>
  <c r="W63" i="26"/>
  <c r="W56" i="26"/>
  <c r="W45" i="26"/>
  <c r="W38" i="26"/>
  <c r="W31" i="26"/>
  <c r="W24" i="26"/>
  <c r="W13" i="26"/>
  <c r="W6" i="26"/>
  <c r="W134" i="3"/>
  <c r="W126" i="3"/>
  <c r="W118" i="3"/>
  <c r="W110" i="3"/>
  <c r="W102" i="3"/>
  <c r="W99" i="3"/>
  <c r="W91" i="3"/>
  <c r="W83" i="3"/>
  <c r="W75" i="3"/>
  <c r="W67" i="3"/>
  <c r="W64" i="3"/>
  <c r="W61" i="3"/>
  <c r="W58" i="3"/>
  <c r="W52" i="3"/>
  <c r="W31" i="3"/>
  <c r="W28" i="3"/>
  <c r="W5" i="3"/>
  <c r="P50" i="24"/>
  <c r="P42" i="24"/>
  <c r="P35" i="24"/>
  <c r="P31" i="24"/>
  <c r="P27" i="24"/>
  <c r="P23" i="24"/>
  <c r="P19" i="24"/>
  <c r="P15" i="24"/>
  <c r="P11" i="24"/>
  <c r="P7" i="24"/>
  <c r="W53" i="25"/>
  <c r="W111" i="28"/>
  <c r="W13" i="28"/>
  <c r="W45" i="27"/>
  <c r="W132" i="26"/>
  <c r="W82" i="26"/>
  <c r="W36" i="26"/>
  <c r="W4" i="26"/>
  <c r="W103" i="3"/>
  <c r="W76" i="3"/>
  <c r="W59" i="3"/>
  <c r="W6" i="3"/>
  <c r="Q21" i="24"/>
  <c r="W50" i="25"/>
  <c r="W59" i="32"/>
  <c r="W105" i="31"/>
  <c r="W86" i="31"/>
  <c r="W41" i="31"/>
  <c r="W22" i="31"/>
  <c r="W126" i="30"/>
  <c r="W62" i="30"/>
  <c r="W102" i="29"/>
  <c r="W86" i="28"/>
  <c r="W54" i="28"/>
  <c r="W12" i="28"/>
  <c r="W115" i="27"/>
  <c r="W93" i="27"/>
  <c r="W73" i="27"/>
  <c r="W51" i="27"/>
  <c r="W29" i="27"/>
  <c r="W10" i="27"/>
  <c r="W145" i="26"/>
  <c r="W138" i="26"/>
  <c r="W131" i="26"/>
  <c r="W124" i="26"/>
  <c r="W113" i="26"/>
  <c r="W106" i="26"/>
  <c r="W99" i="26"/>
  <c r="W92" i="26"/>
  <c r="W81" i="26"/>
  <c r="W74" i="26"/>
  <c r="W67" i="26"/>
  <c r="W60" i="26"/>
  <c r="W49" i="26"/>
  <c r="W42" i="26"/>
  <c r="W35" i="26"/>
  <c r="W28" i="26"/>
  <c r="W17" i="26"/>
  <c r="W10" i="26"/>
  <c r="W2" i="26"/>
  <c r="W129" i="3"/>
  <c r="W121" i="3"/>
  <c r="W113" i="3"/>
  <c r="W105" i="3"/>
  <c r="W94" i="3"/>
  <c r="W86" i="3"/>
  <c r="W78" i="3"/>
  <c r="W70" i="3"/>
  <c r="W55" i="3"/>
  <c r="W38" i="3"/>
  <c r="W17" i="3"/>
  <c r="W14" i="3"/>
  <c r="W8" i="3"/>
  <c r="P49" i="24"/>
  <c r="P41" i="24"/>
  <c r="Q34" i="24"/>
  <c r="Q30" i="24"/>
  <c r="Q26" i="24"/>
  <c r="Q22" i="24"/>
  <c r="Q18" i="24"/>
  <c r="Q14" i="24"/>
  <c r="Q10" i="24"/>
  <c r="Q6" i="24"/>
  <c r="W89" i="27"/>
  <c r="W25" i="27"/>
  <c r="W114" i="26"/>
  <c r="W100" i="26"/>
  <c r="W57" i="26"/>
  <c r="W127" i="3"/>
  <c r="W100" i="3"/>
  <c r="W68" i="3"/>
  <c r="P39" i="24"/>
  <c r="Q9" i="24"/>
  <c r="W69" i="37"/>
  <c r="W104" i="33"/>
  <c r="W21" i="33"/>
  <c r="W74" i="25"/>
  <c r="W62" i="25"/>
  <c r="W114" i="32"/>
  <c r="W78" i="32"/>
  <c r="W51" i="32"/>
  <c r="W118" i="30"/>
  <c r="W54" i="30"/>
  <c r="W83" i="29"/>
  <c r="W71" i="29"/>
  <c r="W51" i="29"/>
  <c r="W39" i="29"/>
  <c r="W19" i="29"/>
  <c r="W7" i="29"/>
  <c r="W106" i="28"/>
  <c r="W59" i="28"/>
  <c r="W26" i="28"/>
  <c r="W21" i="28"/>
  <c r="W133" i="27"/>
  <c r="W113" i="27"/>
  <c r="W91" i="27"/>
  <c r="W69" i="27"/>
  <c r="W49" i="27"/>
  <c r="W27" i="27"/>
  <c r="W18" i="27"/>
  <c r="W13" i="27"/>
  <c r="W5" i="27"/>
  <c r="W149" i="26"/>
  <c r="W142" i="26"/>
  <c r="W135" i="26"/>
  <c r="W128" i="26"/>
  <c r="W117" i="26"/>
  <c r="W110" i="26"/>
  <c r="W103" i="26"/>
  <c r="W96" i="26"/>
  <c r="W85" i="26"/>
  <c r="W78" i="26"/>
  <c r="W71" i="26"/>
  <c r="W64" i="26"/>
  <c r="W53" i="26"/>
  <c r="W46" i="26"/>
  <c r="W39" i="26"/>
  <c r="W32" i="26"/>
  <c r="W21" i="26"/>
  <c r="W14" i="26"/>
  <c r="W7" i="26"/>
  <c r="W132" i="3"/>
  <c r="W124" i="3"/>
  <c r="W116" i="3"/>
  <c r="W108" i="3"/>
  <c r="W97" i="3"/>
  <c r="W89" i="3"/>
  <c r="W81" i="3"/>
  <c r="W73" i="3"/>
  <c r="W65" i="3"/>
  <c r="W50" i="3"/>
  <c r="W47" i="3"/>
  <c r="W44" i="3"/>
  <c r="W41" i="3"/>
  <c r="W35" i="3"/>
  <c r="W32" i="3"/>
  <c r="W29" i="3"/>
  <c r="W26" i="3"/>
  <c r="W23" i="3"/>
  <c r="W20" i="3"/>
  <c r="W11" i="3"/>
  <c r="P48" i="24"/>
  <c r="P40" i="24"/>
  <c r="P34" i="24"/>
  <c r="P30" i="24"/>
  <c r="P26" i="24"/>
  <c r="P22" i="24"/>
  <c r="P18" i="24"/>
  <c r="P14" i="24"/>
  <c r="P10" i="24"/>
  <c r="P6" i="24"/>
  <c r="W5" i="37"/>
  <c r="W55" i="36"/>
  <c r="W134" i="31"/>
  <c r="W89" i="31"/>
  <c r="E2" i="3" l="1"/>
  <c r="N2" i="3"/>
  <c r="N2" i="26"/>
  <c r="E2" i="28"/>
  <c r="N41" i="28"/>
  <c r="N2" i="29"/>
  <c r="N4" i="29"/>
  <c r="K2" i="29"/>
  <c r="N2" i="32"/>
  <c r="M2" i="32"/>
  <c r="E2" i="32"/>
  <c r="K2" i="25"/>
  <c r="N37" i="28"/>
  <c r="N53" i="28"/>
  <c r="N2" i="30"/>
  <c r="N73" i="32"/>
  <c r="K2" i="32"/>
  <c r="E2" i="27"/>
  <c r="M2" i="27"/>
  <c r="N2" i="27" s="1"/>
  <c r="N49" i="28"/>
  <c r="K2" i="31"/>
  <c r="N5" i="31"/>
  <c r="E2" i="26"/>
  <c r="N45" i="28"/>
  <c r="E2" i="29"/>
  <c r="M2" i="29"/>
  <c r="N6" i="30"/>
  <c r="N75" i="32"/>
  <c r="N91" i="32"/>
  <c r="N107" i="32"/>
  <c r="N123" i="32"/>
  <c r="M2" i="33"/>
  <c r="K2" i="35"/>
  <c r="N5" i="35"/>
  <c r="M2" i="25"/>
  <c r="E2" i="25"/>
  <c r="N4" i="33"/>
  <c r="K2" i="33"/>
  <c r="N9" i="37"/>
  <c r="K2" i="37"/>
  <c r="E2" i="31"/>
  <c r="M2" i="31"/>
  <c r="N2" i="31" s="1"/>
  <c r="N71" i="32"/>
  <c r="N87" i="32"/>
  <c r="N103" i="32"/>
  <c r="N119" i="32"/>
  <c r="N2" i="34"/>
  <c r="N2" i="35"/>
  <c r="N4" i="25"/>
  <c r="N83" i="32"/>
  <c r="N99" i="32"/>
  <c r="N115" i="32"/>
  <c r="N131" i="32"/>
  <c r="N2" i="33"/>
  <c r="N5" i="34"/>
  <c r="N4" i="36"/>
  <c r="K2" i="36"/>
  <c r="N35" i="36"/>
  <c r="N102" i="35"/>
  <c r="N118" i="35"/>
  <c r="N134" i="35"/>
  <c r="N44" i="36"/>
  <c r="N75" i="36"/>
  <c r="N106" i="36"/>
  <c r="K2" i="38"/>
  <c r="N17" i="38"/>
  <c r="N98" i="35"/>
  <c r="N114" i="35"/>
  <c r="N130" i="35"/>
  <c r="N2" i="37"/>
  <c r="M2" i="37"/>
  <c r="E2" i="37"/>
  <c r="N88" i="35"/>
  <c r="N36" i="36"/>
  <c r="E2" i="33"/>
  <c r="N94" i="35"/>
  <c r="N110" i="35"/>
  <c r="N126" i="35"/>
  <c r="N12" i="36"/>
  <c r="N43" i="36"/>
  <c r="N76" i="36"/>
  <c r="N105" i="36"/>
  <c r="N9" i="38"/>
</calcChain>
</file>

<file path=xl/sharedStrings.xml><?xml version="1.0" encoding="utf-8"?>
<sst xmlns="http://schemas.openxmlformats.org/spreadsheetml/2006/main" count="2942" uniqueCount="1850">
  <si>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</si>
  <si>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</si>
  <si>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</si>
  <si>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</si>
  <si>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</si>
  <si>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</si>
  <si>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</si>
  <si>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大江</t>
    <rPh sb="0" eb="1">
      <t>ダイ</t>
    </rPh>
    <rPh sb="1" eb="2">
      <t>エ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</si>
  <si>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</si>
  <si>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</si>
  <si>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</si>
  <si>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</si>
  <si>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</si>
  <si>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</si>
  <si>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</si>
  <si>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</si>
  <si>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</si>
  <si>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</si>
  <si>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</si>
  <si>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r>
      <rPr>
        <sz val="11"/>
        <color theme="1"/>
        <rFont val="ＭＳ Ｐゴシック"/>
        <family val="3"/>
        <charset val="128"/>
      </rPr>
      <t>宮</t>
    </r>
    <r>
      <rPr>
        <sz val="11"/>
        <color theme="1"/>
        <rFont val="ＭＳ Ｐゴシック"/>
        <family val="3"/>
        <charset val="128"/>
      </rPr>
      <t>本</t>
    </r>
    <rPh sb="0" eb="1">
      <t>ミヤ</t>
    </rPh>
    <rPh sb="1" eb="2">
      <t>モト</t>
    </rPh>
    <phoneticPr fontId="1"/>
  </si>
  <si>
    <t>倉本</t>
    <rPh sb="0" eb="1">
      <t>クラ</t>
    </rPh>
    <rPh sb="1" eb="2">
      <t>モト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</si>
  <si>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</si>
  <si>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</si>
  <si>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</si>
  <si>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今永</t>
    <rPh sb="0" eb="1">
      <t>イマ</t>
    </rPh>
    <rPh sb="1" eb="2">
      <t>ナガ</t>
    </rPh>
    <phoneticPr fontId="1"/>
  </si>
  <si>
    <t>濵口</t>
    <rPh sb="0" eb="1">
      <t>ハマ</t>
    </rPh>
    <rPh sb="1" eb="2">
      <t>クチ</t>
    </rPh>
    <phoneticPr fontId="1"/>
  </si>
  <si>
    <t>平田</t>
    <rPh sb="0" eb="1">
      <t>ヒラ</t>
    </rPh>
    <rPh sb="1" eb="2">
      <t>ダ</t>
    </rPh>
    <phoneticPr fontId="1"/>
  </si>
  <si>
    <t>三上</t>
    <rPh sb="0" eb="1">
      <t>サン</t>
    </rPh>
    <rPh sb="1" eb="2">
      <t>ウエ</t>
    </rPh>
    <phoneticPr fontId="1"/>
  </si>
  <si>
    <t>楠本</t>
    <rPh sb="0" eb="1">
      <t>クスノキ</t>
    </rPh>
    <rPh sb="1" eb="2">
      <t>モト</t>
    </rPh>
    <phoneticPr fontId="1"/>
  </si>
  <si>
    <t>嶺井</t>
    <rPh sb="0" eb="1">
      <t>ミネ</t>
    </rPh>
    <rPh sb="1" eb="2">
      <t>イ</t>
    </rPh>
    <phoneticPr fontId="1"/>
  </si>
  <si>
    <t>櫻井</t>
    <rPh sb="0" eb="1">
      <t>サクラ</t>
    </rPh>
    <rPh sb="1" eb="2">
      <t>イ</t>
    </rPh>
    <phoneticPr fontId="1"/>
  </si>
  <si>
    <t>砂田</t>
    <rPh sb="0" eb="1">
      <t>スナ</t>
    </rPh>
    <rPh sb="1" eb="2">
      <t>ダ</t>
    </rPh>
    <phoneticPr fontId="1"/>
  </si>
  <si>
    <t>京山</t>
    <rPh sb="0" eb="1">
      <t>キョウ</t>
    </rPh>
    <rPh sb="1" eb="2">
      <t>ヤマ</t>
    </rPh>
    <phoneticPr fontId="1"/>
  </si>
  <si>
    <t>宮﨑</t>
    <rPh sb="0" eb="1">
      <t>ミヤ</t>
    </rPh>
    <rPh sb="1" eb="2">
      <t>サキ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</si>
  <si>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</si>
  <si>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</si>
  <si>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伊藤裕</t>
    <rPh sb="0" eb="2">
      <t>イトウ</t>
    </rPh>
    <rPh sb="2" eb="3">
      <t>ユウ</t>
    </rPh>
    <phoneticPr fontId="1"/>
  </si>
  <si>
    <t>小笠原</t>
    <rPh sb="0" eb="3">
      <t>オガサワラ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</si>
  <si>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</si>
  <si>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</si>
  <si>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</si>
  <si>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</si>
  <si>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鈴木博</t>
    <rPh sb="0" eb="2">
      <t>スズキ</t>
    </rPh>
    <rPh sb="2" eb="3">
      <t>ヒロシ</t>
    </rPh>
    <phoneticPr fontId="1"/>
  </si>
  <si>
    <t>伊藤康</t>
    <rPh sb="0" eb="2">
      <t>イトウ</t>
    </rPh>
    <rPh sb="2" eb="3">
      <t>ヤス</t>
    </rPh>
    <phoneticPr fontId="1"/>
  </si>
  <si>
    <t>桂</t>
    <rPh sb="0" eb="1">
      <t>カツラ</t>
    </rPh>
    <phoneticPr fontId="1"/>
  </si>
  <si>
    <t>京田</t>
    <rPh sb="0" eb="2">
      <t>キョウダ</t>
    </rPh>
    <phoneticPr fontId="1"/>
  </si>
  <si>
    <t>大島</t>
    <rPh sb="0" eb="1">
      <t>ダイ</t>
    </rPh>
    <rPh sb="1" eb="2">
      <t>シマ</t>
    </rPh>
    <phoneticPr fontId="1"/>
  </si>
  <si>
    <t>谷元</t>
    <rPh sb="0" eb="1">
      <t>タニ</t>
    </rPh>
    <rPh sb="1" eb="2">
      <t>モト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</si>
  <si>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</si>
  <si>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</si>
  <si>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笠原</t>
    <rPh sb="0" eb="1">
      <t>カサ</t>
    </rPh>
    <rPh sb="1" eb="2">
      <t>ハラ</t>
    </rPh>
    <phoneticPr fontId="1"/>
  </si>
  <si>
    <t>溝脇</t>
    <rPh sb="0" eb="1">
      <t>ミゾ</t>
    </rPh>
    <rPh sb="1" eb="2">
      <t>ワキ</t>
    </rPh>
    <phoneticPr fontId="1"/>
  </si>
  <si>
    <t>藤嶋</t>
    <rPh sb="0" eb="1">
      <t>フジ</t>
    </rPh>
    <rPh sb="1" eb="2">
      <t>シマ</t>
    </rPh>
    <phoneticPr fontId="1"/>
  </si>
  <si>
    <t>堂上</t>
    <rPh sb="0" eb="1">
      <t>ドウ</t>
    </rPh>
    <rPh sb="1" eb="2">
      <t>ウエ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</si>
  <si>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</si>
  <si>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</si>
  <si>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</si>
  <si>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</si>
  <si>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</si>
  <si>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</si>
  <si>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</si>
  <si>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</si>
  <si>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</si>
  <si>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</si>
  <si>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奥村</t>
    <rPh sb="0" eb="2">
      <t>オクムラ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</si>
  <si>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</si>
  <si>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</si>
  <si>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</si>
  <si>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</si>
  <si>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</si>
  <si>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中井</t>
    <rPh sb="0" eb="2">
      <t>ナカイ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</si>
  <si>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</si>
  <si>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</si>
  <si>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</si>
  <si>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</si>
  <si>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</si>
  <si>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</si>
  <si>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渡辺</t>
    <rPh sb="0" eb="2">
      <t>ワタナベ</t>
    </rPh>
    <phoneticPr fontId="1"/>
  </si>
  <si>
    <t>滝野</t>
    <rPh sb="0" eb="2">
      <t>タキノ</t>
    </rPh>
    <phoneticPr fontId="1"/>
  </si>
  <si>
    <t>石橋</t>
    <rPh sb="0" eb="2">
      <t>イシバシ</t>
    </rPh>
    <phoneticPr fontId="1"/>
  </si>
  <si>
    <t>大野奨太</t>
    <rPh sb="0" eb="2">
      <t>オオノ</t>
    </rPh>
    <rPh sb="2" eb="3">
      <t>ショウ</t>
    </rPh>
    <rPh sb="3" eb="4">
      <t>タ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</si>
  <si>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</si>
  <si>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</si>
  <si>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</si>
  <si>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髙橋純</t>
    <rPh sb="0" eb="1">
      <t>タカ</t>
    </rPh>
    <rPh sb="1" eb="2">
      <t>ハシ</t>
    </rPh>
    <rPh sb="2" eb="3">
      <t>ジュン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</si>
  <si>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</si>
  <si>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</si>
  <si>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</si>
  <si>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</si>
  <si>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</si>
  <si>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</si>
  <si>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</si>
  <si>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エスコバー</t>
  </si>
  <si>
    <t>大竹 耕太郎</t>
  </si>
  <si>
    <t>谷川原 健太</t>
  </si>
  <si>
    <t>今宮</t>
    <rPh sb="0" eb="2">
      <t>イマミヤ</t>
    </rPh>
    <phoneticPr fontId="1"/>
  </si>
  <si>
    <t>明石</t>
    <rPh sb="0" eb="1">
      <t>メイ</t>
    </rPh>
    <rPh sb="1" eb="2">
      <t>イシ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</si>
  <si>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</si>
  <si>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</si>
  <si>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武田</t>
    <rPh sb="0" eb="1">
      <t>タケ</t>
    </rPh>
    <rPh sb="1" eb="2">
      <t>ダ</t>
    </rPh>
    <phoneticPr fontId="1"/>
  </si>
  <si>
    <t>甲斐野</t>
    <rPh sb="0" eb="3">
      <t>カイノ</t>
    </rPh>
    <phoneticPr fontId="1"/>
  </si>
  <si>
    <t>周東</t>
    <rPh sb="0" eb="2">
      <t>シュウトウ</t>
    </rPh>
    <phoneticPr fontId="1"/>
  </si>
  <si>
    <t>椎野</t>
    <rPh sb="0" eb="1">
      <t>シイ</t>
    </rPh>
    <rPh sb="1" eb="2">
      <t>ノ</t>
    </rPh>
    <phoneticPr fontId="1"/>
  </si>
  <si>
    <t>千賀</t>
    <rPh sb="0" eb="1">
      <t>セン</t>
    </rPh>
    <rPh sb="1" eb="2">
      <t>ガ</t>
    </rPh>
    <phoneticPr fontId="1"/>
  </si>
  <si>
    <t>上林</t>
    <rPh sb="0" eb="1">
      <t>ウエ</t>
    </rPh>
    <rPh sb="1" eb="2">
      <t>ハヤシ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</si>
  <si>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</si>
  <si>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</si>
  <si>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</si>
  <si>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真砂</t>
    <rPh sb="0" eb="1">
      <t>マ</t>
    </rPh>
    <rPh sb="1" eb="2">
      <t>スナ</t>
    </rPh>
    <phoneticPr fontId="1"/>
  </si>
  <si>
    <t>九鬼</t>
    <rPh sb="0" eb="1">
      <t>ク</t>
    </rPh>
    <rPh sb="1" eb="2">
      <t>オニ</t>
    </rPh>
    <phoneticPr fontId="1"/>
  </si>
  <si>
    <t>笠谷</t>
    <rPh sb="0" eb="1">
      <t>カサ</t>
    </rPh>
    <rPh sb="1" eb="2">
      <t>タニ</t>
    </rPh>
    <phoneticPr fontId="1"/>
  </si>
  <si>
    <t>三森</t>
    <rPh sb="0" eb="1">
      <t>サン</t>
    </rPh>
    <rPh sb="1" eb="2">
      <t>モリ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</si>
  <si>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</si>
  <si>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</si>
  <si>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</si>
  <si>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今井</t>
    <rPh sb="0" eb="1">
      <t>イマ</t>
    </rPh>
    <rPh sb="1" eb="2">
      <t>イ</t>
    </rPh>
    <phoneticPr fontId="1"/>
  </si>
  <si>
    <t>十亀</t>
    <rPh sb="0" eb="1">
      <t>ジュッ</t>
    </rPh>
    <rPh sb="1" eb="2">
      <t>カメ</t>
    </rPh>
    <phoneticPr fontId="1"/>
  </si>
  <si>
    <t>ビエイラ</t>
  </si>
  <si>
    <t>髙橋</t>
    <rPh sb="0" eb="2">
      <t>タカハシ</t>
    </rPh>
    <phoneticPr fontId="1"/>
  </si>
  <si>
    <t>菊田</t>
    <rPh sb="0" eb="2">
      <t>キクタ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</si>
  <si>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</si>
  <si>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</si>
  <si>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</si>
  <si>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</si>
  <si>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</si>
  <si>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</si>
  <si>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今野</t>
    <rPh sb="0" eb="2">
      <t>コンノ</t>
    </rPh>
    <phoneticPr fontId="1"/>
  </si>
  <si>
    <t>杉山</t>
    <rPh sb="0" eb="2">
      <t>スギヤマ</t>
    </rPh>
    <phoneticPr fontId="1"/>
  </si>
  <si>
    <t>小笠原 慎之介</t>
  </si>
  <si>
    <t>祖父江 大輔</t>
  </si>
  <si>
    <t>岡野 祐一郎</t>
  </si>
  <si>
    <t>笠原 祥太郎</t>
  </si>
  <si>
    <t>ビシエド</t>
  </si>
  <si>
    <t>R.マルティネス</t>
  </si>
  <si>
    <t>鈴木翔</t>
    <rPh sb="0" eb="2">
      <t>スズキ</t>
    </rPh>
    <rPh sb="2" eb="3">
      <t>ショウ</t>
    </rPh>
    <phoneticPr fontId="1"/>
  </si>
  <si>
    <t>橋本</t>
    <rPh sb="0" eb="2">
      <t>ハシモト</t>
    </rPh>
    <phoneticPr fontId="1"/>
  </si>
  <si>
    <t>岡野</t>
    <rPh sb="0" eb="2">
      <t>オカノ</t>
    </rPh>
    <phoneticPr fontId="1"/>
  </si>
  <si>
    <t>郡司</t>
    <rPh sb="0" eb="2">
      <t>グンジ</t>
    </rPh>
    <phoneticPr fontId="1"/>
  </si>
  <si>
    <t>岡林</t>
    <rPh sb="0" eb="2">
      <t>オカバヤシ</t>
    </rPh>
    <phoneticPr fontId="1"/>
  </si>
  <si>
    <t>竹内</t>
    <rPh sb="0" eb="2">
      <t>タケウチ</t>
    </rPh>
    <phoneticPr fontId="1"/>
  </si>
  <si>
    <t>髙松</t>
    <rPh sb="0" eb="1">
      <t>タカ</t>
    </rPh>
    <rPh sb="1" eb="2">
      <t>マツ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</si>
  <si>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</si>
  <si>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</si>
  <si>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</si>
  <si>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</si>
  <si>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</si>
  <si>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川島</t>
    <rPh sb="0" eb="2">
      <t>カワシマ</t>
    </rPh>
    <phoneticPr fontId="1"/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</si>
  <si>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</si>
  <si>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</si>
  <si>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</si>
  <si>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</si>
  <si>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</si>
  <si>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</si>
  <si>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後藤</t>
    <rPh sb="0" eb="2">
      <t>ゴトウ</t>
    </rPh>
    <phoneticPr fontId="1"/>
  </si>
  <si>
    <t>山﨑福</t>
    <rPh sb="0" eb="2">
      <t>ヤマサキ</t>
    </rPh>
    <rPh sb="2" eb="3">
      <t>フク</t>
    </rPh>
    <phoneticPr fontId="1"/>
  </si>
  <si>
    <t>増井</t>
    <rPh sb="0" eb="2">
      <t>マスイ</t>
    </rPh>
    <phoneticPr fontId="1"/>
  </si>
  <si>
    <t>山岡</t>
    <rPh sb="0" eb="2">
      <t>ヤマオカ</t>
    </rPh>
    <phoneticPr fontId="1"/>
  </si>
  <si>
    <t>竹安</t>
    <rPh sb="0" eb="2">
      <t>タケヤス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</si>
  <si>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</si>
  <si>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</si>
  <si>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</si>
  <si>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西村</t>
    <rPh sb="0" eb="2">
      <t>ニシムラ</t>
    </rPh>
    <phoneticPr fontId="1"/>
  </si>
  <si>
    <t>富山</t>
    <rPh sb="0" eb="2">
      <t>トヤマ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</si>
  <si>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</si>
  <si>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</si>
  <si>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</si>
  <si>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</si>
  <si>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</si>
  <si>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澤田</t>
    <rPh sb="0" eb="2">
      <t>サワダ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</si>
  <si>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</si>
  <si>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</si>
  <si>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松井雅</t>
    <rPh sb="0" eb="2">
      <t>マツイ</t>
    </rPh>
    <rPh sb="2" eb="3">
      <t>マサ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</si>
  <si>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</si>
  <si>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</si>
  <si>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</si>
  <si>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</si>
  <si>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武隈</t>
    <rPh sb="0" eb="1">
      <t>タケ</t>
    </rPh>
    <rPh sb="1" eb="2">
      <t>クマ</t>
    </rPh>
    <phoneticPr fontId="1"/>
  </si>
  <si>
    <t>愛斗</t>
    <rPh sb="0" eb="1">
      <t>アイ</t>
    </rPh>
    <rPh sb="1" eb="2">
      <t>ト</t>
    </rPh>
    <phoneticPr fontId="1"/>
  </si>
  <si>
    <t>熊代</t>
    <rPh sb="0" eb="1">
      <t>クマ</t>
    </rPh>
    <rPh sb="1" eb="2">
      <t>ダイ</t>
    </rPh>
    <phoneticPr fontId="1"/>
  </si>
  <si>
    <t>渡邉 勇太朗</t>
  </si>
  <si>
    <t>田村 伊知郎</t>
  </si>
  <si>
    <t>山川</t>
    <rPh sb="0" eb="2">
      <t>ヤマカワ</t>
    </rPh>
    <phoneticPr fontId="1"/>
  </si>
  <si>
    <t>山野辺</t>
    <rPh sb="0" eb="3">
      <t>ヤマノベ</t>
    </rPh>
    <phoneticPr fontId="1"/>
  </si>
  <si>
    <t>宮川</t>
    <rPh sb="0" eb="2">
      <t>ミヤガワ</t>
    </rPh>
    <phoneticPr fontId="1"/>
  </si>
  <si>
    <t>浜屋</t>
    <rPh sb="0" eb="2">
      <t>ハマヤ</t>
    </rPh>
    <phoneticPr fontId="1"/>
  </si>
  <si>
    <t>内海</t>
    <rPh sb="0" eb="2">
      <t>ウツミ</t>
    </rPh>
    <phoneticPr fontId="1"/>
  </si>
  <si>
    <t>森脇</t>
    <rPh sb="0" eb="2">
      <t>モリワキ</t>
    </rPh>
    <phoneticPr fontId="1"/>
  </si>
  <si>
    <t>柘植</t>
    <rPh sb="0" eb="2">
      <t>ツゲ</t>
    </rPh>
    <phoneticPr fontId="1"/>
  </si>
  <si>
    <t>牧野</t>
    <rPh sb="0" eb="2">
      <t>マキノ</t>
    </rPh>
    <phoneticPr fontId="1"/>
  </si>
  <si>
    <t>與座</t>
    <rPh sb="0" eb="2">
      <t>ヨザ</t>
    </rPh>
    <phoneticPr fontId="1"/>
  </si>
  <si>
    <t>川野</t>
    <rPh sb="0" eb="2">
      <t>カワノ</t>
    </rPh>
    <phoneticPr fontId="1"/>
  </si>
  <si>
    <t>戸川</t>
    <rPh sb="0" eb="2">
      <t>トガワ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</si>
  <si>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</si>
  <si>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</si>
  <si>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</si>
  <si>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</si>
  <si>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</si>
  <si>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</si>
  <si>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</si>
  <si>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堀</t>
    <rPh sb="0" eb="1">
      <t>ホリ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</si>
  <si>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</si>
  <si>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</si>
  <si>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</si>
  <si>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</si>
  <si>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</si>
  <si>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</si>
  <si>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</si>
  <si>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</si>
  <si>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</si>
  <si>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</si>
  <si>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</si>
  <si>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</si>
  <si>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</si>
  <si>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森原</t>
    <rPh sb="0" eb="2">
      <t>モリハラ</t>
    </rPh>
    <phoneticPr fontId="1"/>
  </si>
  <si>
    <t>則本</t>
    <rPh sb="0" eb="2">
      <t>ノリモト</t>
    </rPh>
    <phoneticPr fontId="1"/>
  </si>
  <si>
    <t>涌井</t>
    <rPh sb="0" eb="2">
      <t>ワクイ</t>
    </rPh>
    <phoneticPr fontId="1"/>
  </si>
  <si>
    <t>安樂</t>
    <rPh sb="0" eb="2">
      <t>アンラク</t>
    </rPh>
    <phoneticPr fontId="1"/>
  </si>
  <si>
    <t>釜田</t>
    <rPh sb="0" eb="2">
      <t>カマタ</t>
    </rPh>
    <phoneticPr fontId="1"/>
  </si>
  <si>
    <t>弓削</t>
    <rPh sb="0" eb="2">
      <t>ユゲ</t>
    </rPh>
    <phoneticPr fontId="1"/>
  </si>
  <si>
    <t>黒川</t>
    <rPh sb="0" eb="2">
      <t>クロカワ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</si>
  <si>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</si>
  <si>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</si>
  <si>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福井</t>
    <rPh sb="0" eb="2">
      <t>フクイ</t>
    </rPh>
    <phoneticPr fontId="1"/>
  </si>
  <si>
    <t>銀次</t>
    <rPh sb="0" eb="2">
      <t>ギンジ</t>
    </rPh>
    <phoneticPr fontId="1"/>
  </si>
  <si>
    <t>山﨑</t>
    <rPh sb="0" eb="2">
      <t>ヤマサキ</t>
    </rPh>
    <phoneticPr fontId="1"/>
  </si>
  <si>
    <t>岩見</t>
    <rPh sb="0" eb="2">
      <t>イワミ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</si>
  <si>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</si>
  <si>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</si>
  <si>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</si>
  <si>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</si>
  <si>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</si>
  <si>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</si>
  <si>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西口</t>
    <rPh sb="0" eb="2">
      <t>ニシグチ</t>
    </rPh>
    <phoneticPr fontId="1"/>
  </si>
  <si>
    <t>村林</t>
    <rPh sb="0" eb="2">
      <t>ムラバヤシ</t>
    </rPh>
    <phoneticPr fontId="1"/>
  </si>
  <si>
    <t>小峯</t>
    <rPh sb="0" eb="2">
      <t>コミネ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</si>
  <si>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</si>
  <si>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</si>
  <si>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</si>
  <si>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</si>
  <si>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藤原</t>
    <rPh sb="0" eb="2">
      <t>フジワラ</t>
    </rPh>
    <phoneticPr fontId="1"/>
  </si>
  <si>
    <t>角中</t>
    <rPh sb="0" eb="1">
      <t>カク</t>
    </rPh>
    <rPh sb="1" eb="2">
      <t>ナカ</t>
    </rPh>
    <phoneticPr fontId="1"/>
  </si>
  <si>
    <t>藤岡</t>
    <rPh sb="0" eb="2">
      <t>フジオカ</t>
    </rPh>
    <phoneticPr fontId="1"/>
  </si>
  <si>
    <t>福田秀</t>
    <rPh sb="0" eb="3">
      <t>フクダヒデ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</si>
  <si>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</si>
  <si>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</si>
  <si>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</si>
  <si>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</si>
  <si>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</si>
  <si>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</si>
  <si>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</si>
  <si>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三木</t>
    <rPh sb="0" eb="2">
      <t>ミキ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</si>
  <si>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</si>
  <si>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</si>
  <si>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土肥</t>
    <rPh sb="0" eb="2">
      <t>ドヒ</t>
    </rPh>
    <phoneticPr fontId="1"/>
  </si>
  <si>
    <t>吉田</t>
    <rPh sb="0" eb="2">
      <t>ヨシダ</t>
    </rPh>
    <phoneticPr fontId="1"/>
  </si>
  <si>
    <t>成田</t>
    <rPh sb="0" eb="2">
      <t>ナリタ</t>
    </rPh>
    <phoneticPr fontId="1"/>
  </si>
  <si>
    <t>宗接</t>
    <rPh sb="0" eb="1">
      <t>ムネ</t>
    </rPh>
    <rPh sb="1" eb="2">
      <t>セツ</t>
    </rPh>
    <phoneticPr fontId="1"/>
  </si>
  <si>
    <t>岩下</t>
    <rPh sb="0" eb="2">
      <t>イワシタ</t>
    </rPh>
    <phoneticPr fontId="1"/>
  </si>
  <si>
    <t>田中靖</t>
    <rPh sb="0" eb="2">
      <t>タナカ</t>
    </rPh>
    <rPh sb="2" eb="3">
      <t>ヤス</t>
    </rPh>
    <phoneticPr fontId="1"/>
  </si>
  <si>
    <t>中村稔</t>
    <rPh sb="0" eb="2">
      <t>ナカムラ</t>
    </rPh>
    <rPh sb="2" eb="3">
      <t>トシ</t>
    </rPh>
    <phoneticPr fontId="1"/>
  </si>
  <si>
    <t>江村</t>
    <rPh sb="0" eb="2">
      <t>エムラ</t>
    </rPh>
    <phoneticPr fontId="1"/>
  </si>
  <si>
    <t>古谷</t>
    <rPh sb="0" eb="2">
      <t>フルヤ</t>
    </rPh>
    <phoneticPr fontId="1"/>
  </si>
  <si>
    <t>茶谷</t>
    <rPh sb="0" eb="2">
      <t>チャタニ</t>
    </rPh>
    <phoneticPr fontId="1"/>
  </si>
  <si>
    <t>西巻</t>
    <rPh sb="0" eb="2">
      <t>ニシマキ</t>
    </rPh>
    <phoneticPr fontId="1"/>
  </si>
  <si>
    <t>土居</t>
    <rPh sb="0" eb="2">
      <t>ドイ</t>
    </rPh>
    <phoneticPr fontId="1"/>
  </si>
  <si>
    <t>柿沼</t>
    <rPh sb="0" eb="2">
      <t>カキヌマ</t>
    </rPh>
    <phoneticPr fontId="1"/>
  </si>
  <si>
    <t>サントス</t>
  </si>
  <si>
    <t>伊勢</t>
    <rPh sb="0" eb="2">
      <t>イセ</t>
    </rPh>
    <phoneticPr fontId="1"/>
  </si>
  <si>
    <t>髙城</t>
    <rPh sb="0" eb="1">
      <t>タカ</t>
    </rPh>
    <rPh sb="1" eb="2">
      <t>ジョウ</t>
    </rPh>
    <phoneticPr fontId="1"/>
  </si>
  <si>
    <t>浅田</t>
    <rPh sb="0" eb="2">
      <t>アサダ</t>
    </rPh>
    <phoneticPr fontId="1"/>
  </si>
  <si>
    <t>田部</t>
    <rPh sb="0" eb="2">
      <t>タベ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</si>
  <si>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</si>
  <si>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</si>
  <si>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</si>
  <si>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</si>
  <si>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</si>
  <si>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</si>
  <si>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</si>
  <si>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</si>
  <si>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</si>
  <si>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</si>
  <si>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</si>
  <si>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</si>
  <si>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</si>
  <si>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ピープルズ</t>
  </si>
  <si>
    <t>ソト</t>
  </si>
  <si>
    <t>ディアス</t>
  </si>
  <si>
    <t>スターリン</t>
  </si>
  <si>
    <t>牧</t>
  </si>
  <si>
    <t>佐野</t>
  </si>
  <si>
    <t>入江</t>
  </si>
  <si>
    <t>田中俊</t>
  </si>
  <si>
    <t>松本</t>
  </si>
  <si>
    <t>松本 隆之介</t>
  </si>
  <si>
    <t>小深田</t>
  </si>
  <si>
    <t>小深田 大地</t>
  </si>
  <si>
    <t>池谷</t>
  </si>
  <si>
    <t>山下 幸輝</t>
  </si>
  <si>
    <t>チェン</t>
  </si>
  <si>
    <t>A.マルティネス</t>
  </si>
  <si>
    <t>松田</t>
    <rPh sb="0" eb="2">
      <t>マツダ</t>
    </rPh>
    <phoneticPr fontId="1"/>
  </si>
  <si>
    <t>松木平</t>
    <rPh sb="0" eb="3">
      <t>マツキダイラ</t>
    </rPh>
    <phoneticPr fontId="1"/>
  </si>
  <si>
    <t>加藤翼</t>
    <rPh sb="0" eb="2">
      <t>カトウ</t>
    </rPh>
    <rPh sb="2" eb="3">
      <t>ツバサ</t>
    </rPh>
    <phoneticPr fontId="1"/>
  </si>
  <si>
    <t>土田</t>
    <rPh sb="0" eb="2">
      <t>ツチダ</t>
    </rPh>
    <phoneticPr fontId="1"/>
  </si>
  <si>
    <t>梅津</t>
    <rPh sb="0" eb="2">
      <t>ウメツ</t>
    </rPh>
    <phoneticPr fontId="1"/>
  </si>
  <si>
    <t>福留</t>
    <rPh sb="0" eb="2">
      <t>フクドメ</t>
    </rPh>
    <phoneticPr fontId="1"/>
  </si>
  <si>
    <t>スチュワート</t>
  </si>
  <si>
    <t>牧原巧</t>
  </si>
  <si>
    <t>レイ</t>
  </si>
  <si>
    <t>グラシアル</t>
  </si>
  <si>
    <t>モイネロ</t>
  </si>
  <si>
    <t>牧原大</t>
    <rPh sb="0" eb="1">
      <t>マキ</t>
    </rPh>
    <rPh sb="1" eb="2">
      <t>ハラ</t>
    </rPh>
    <rPh sb="2" eb="3">
      <t>ダイ</t>
    </rPh>
    <phoneticPr fontId="1"/>
  </si>
  <si>
    <t>尾形</t>
  </si>
  <si>
    <t>笹川</t>
  </si>
  <si>
    <t>川原田</t>
  </si>
  <si>
    <t>川原田 純平</t>
  </si>
  <si>
    <t>デスパイネ</t>
  </si>
  <si>
    <t>石塚</t>
  </si>
  <si>
    <t>中道</t>
  </si>
  <si>
    <t>桑原</t>
  </si>
  <si>
    <t>早</t>
  </si>
  <si>
    <t>黒瀬</t>
  </si>
  <si>
    <t>緒方</t>
  </si>
  <si>
    <t>居谷</t>
  </si>
  <si>
    <t>勝連</t>
  </si>
  <si>
    <t>荒木</t>
  </si>
  <si>
    <t>中村亮</t>
  </si>
  <si>
    <t>重田</t>
  </si>
  <si>
    <t>中村宜</t>
    <rPh sb="2" eb="3">
      <t>ギ</t>
    </rPh>
    <phoneticPr fontId="1"/>
  </si>
  <si>
    <t>山村</t>
  </si>
  <si>
    <t>ブランドン</t>
  </si>
  <si>
    <t>大曲</t>
  </si>
  <si>
    <t>仲三河</t>
  </si>
  <si>
    <t>仲三河 優太</t>
  </si>
  <si>
    <t>川越</t>
  </si>
  <si>
    <t>齊藤誠</t>
  </si>
  <si>
    <t>ジョセフ</t>
  </si>
  <si>
    <t>五十幡</t>
  </si>
  <si>
    <t>五十幡 亮汰</t>
  </si>
  <si>
    <t>細川</t>
  </si>
  <si>
    <t>今川</t>
    <rPh sb="0" eb="2">
      <t>イマガワ</t>
    </rPh>
    <phoneticPr fontId="1"/>
  </si>
  <si>
    <t>レアード</t>
  </si>
  <si>
    <t>エチェバリア</t>
  </si>
  <si>
    <t>中森</t>
  </si>
  <si>
    <t>河村</t>
  </si>
  <si>
    <t>和田</t>
  </si>
  <si>
    <t>和田 康士朗</t>
  </si>
  <si>
    <t>マーティン</t>
  </si>
  <si>
    <t>ペラルタ</t>
  </si>
  <si>
    <t>若月</t>
  </si>
  <si>
    <t>山下 舜平大</t>
  </si>
  <si>
    <t>平野佳</t>
  </si>
  <si>
    <t>能見</t>
  </si>
  <si>
    <t>元</t>
  </si>
  <si>
    <t>中川颯</t>
  </si>
  <si>
    <t>来田</t>
  </si>
  <si>
    <t>大下</t>
  </si>
  <si>
    <t>大下 誠一郎</t>
  </si>
  <si>
    <t>Tー岡田</t>
  </si>
  <si>
    <t>中川拓</t>
  </si>
  <si>
    <t>山﨑颯</t>
  </si>
  <si>
    <t>山﨑 颯一郎</t>
  </si>
  <si>
    <t>漆原</t>
  </si>
  <si>
    <t>張 奕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</si>
  <si>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</si>
  <si>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</si>
  <si>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</si>
  <si>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</si>
  <si>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ブセニッツ</t>
  </si>
  <si>
    <t>武藤</t>
  </si>
  <si>
    <t>髙田萌</t>
  </si>
  <si>
    <t>福山</t>
  </si>
  <si>
    <t>寺岡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</si>
  <si>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</si>
  <si>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</si>
  <si>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</si>
  <si>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</si>
  <si>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</si>
  <si>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</si>
  <si>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</si>
  <si>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</si>
  <si>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</si>
  <si>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</si>
  <si>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</si>
  <si>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</si>
  <si>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</si>
  <si>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</si>
  <si>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山本</t>
    </r>
    <rPh sb="0" eb="2">
      <t>ヤマモト</t>
    </rPh>
    <phoneticPr fontId="1"/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</si>
  <si>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</si>
  <si>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</si>
  <si>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</si>
  <si>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</si>
  <si>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</si>
  <si>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3"/>
        <charset val="128"/>
      </rPr>
      <t>糸井</t>
    </r>
    <rPh sb="0" eb="1">
      <t>イト</t>
    </rPh>
    <rPh sb="1" eb="2">
      <t>イ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</si>
  <si>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</si>
  <si>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髙山</t>
    </r>
    <rPh sb="0" eb="1">
      <t>タカ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</si>
  <si>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</si>
  <si>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</si>
  <si>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</si>
  <si>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岩貞</t>
    </r>
    <rPh sb="0" eb="1">
      <t>イワ</t>
    </rPh>
    <rPh sb="1" eb="2">
      <t>サダ</t>
    </rPh>
    <phoneticPr fontId="1"/>
  </si>
  <si>
    <r>
      <rPr>
        <sz val="11"/>
        <color theme="1"/>
        <rFont val="ＭＳ Ｐゴシック"/>
        <family val="3"/>
        <charset val="128"/>
      </rPr>
      <t>馬場</t>
    </r>
    <rPh sb="0" eb="1">
      <t>ウマ</t>
    </rPh>
    <rPh sb="1" eb="2">
      <t>バ</t>
    </rPh>
    <phoneticPr fontId="1"/>
  </si>
  <si>
    <r>
      <rPr>
        <sz val="11"/>
        <color theme="1"/>
        <rFont val="ＭＳ Ｐゴシック"/>
        <family val="3"/>
        <charset val="128"/>
      </rPr>
      <t>藤浪</t>
    </r>
    <rPh sb="0" eb="1">
      <t>フジ</t>
    </rPh>
    <rPh sb="1" eb="2">
      <t>ナミ</t>
    </rPh>
    <phoneticPr fontId="1"/>
  </si>
  <si>
    <r>
      <rPr>
        <sz val="11"/>
        <color theme="1"/>
        <rFont val="ＭＳ Ｐゴシック"/>
        <family val="3"/>
        <charset val="128"/>
      </rPr>
      <t>江越</t>
    </r>
    <rPh sb="0" eb="1">
      <t>エ</t>
    </rPh>
    <rPh sb="1" eb="2">
      <t>エツ</t>
    </rPh>
    <phoneticPr fontId="1"/>
  </si>
  <si>
    <r>
      <rPr>
        <sz val="11"/>
        <color theme="1"/>
        <rFont val="ＭＳ Ｐゴシック"/>
        <family val="3"/>
        <charset val="128"/>
      </rPr>
      <t>北條</t>
    </r>
    <rPh sb="0" eb="2">
      <t>ホウジョウ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</si>
  <si>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</si>
  <si>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髙橋遥</t>
    </r>
    <rPh sb="0" eb="2">
      <t>タカハシ</t>
    </rPh>
    <rPh sb="2" eb="3">
      <t>ハルカ</t>
    </rPh>
    <phoneticPr fontId="1"/>
  </si>
  <si>
    <r>
      <rPr>
        <sz val="11"/>
        <color theme="1"/>
        <rFont val="ＭＳ Ｐゴシック"/>
        <family val="3"/>
        <charset val="128"/>
      </rPr>
      <t>佐藤蓮</t>
    </r>
    <rPh sb="0" eb="2">
      <t>サトウ</t>
    </rPh>
    <rPh sb="2" eb="3">
      <t>レン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</si>
  <si>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</si>
  <si>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</si>
  <si>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</si>
  <si>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</si>
  <si>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</si>
  <si>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</si>
  <si>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尾仲</t>
    </r>
    <rPh sb="0" eb="1">
      <t>オ</t>
    </rPh>
    <rPh sb="1" eb="2">
      <t>ナカ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</si>
  <si>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</si>
  <si>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守屋</t>
    </r>
    <rPh sb="0" eb="1">
      <t>モリ</t>
    </rPh>
    <rPh sb="1" eb="2">
      <t>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</si>
  <si>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</si>
  <si>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齋藤</t>
    </r>
    <rPh sb="0" eb="2">
      <t>サイトウ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</si>
  <si>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</si>
  <si>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</si>
  <si>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</si>
  <si>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</si>
  <si>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陽川</t>
    </r>
    <rPh sb="0" eb="1">
      <t>ヨウ</t>
    </rPh>
    <rPh sb="1" eb="2">
      <t>カワ</t>
    </rPh>
    <phoneticPr fontId="1"/>
  </si>
  <si>
    <r>
      <rPr>
        <sz val="11"/>
        <color theme="1"/>
        <rFont val="ＭＳ Ｐゴシック"/>
        <family val="3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</si>
  <si>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</si>
  <si>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</si>
  <si>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</si>
  <si>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板山</t>
    </r>
    <rPh sb="0" eb="1">
      <t>イタ</t>
    </rPh>
    <rPh sb="1" eb="2">
      <t>ヤマ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</si>
  <si>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</si>
  <si>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小川</t>
    </r>
    <rPh sb="0" eb="2">
      <t>オガワ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</si>
  <si>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</si>
  <si>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</si>
  <si>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伊藤和</t>
    </r>
    <rPh sb="0" eb="2">
      <t>イトウ</t>
    </rPh>
    <rPh sb="2" eb="3">
      <t>ワ</t>
    </rPh>
    <phoneticPr fontId="1"/>
  </si>
  <si>
    <r>
      <rPr>
        <sz val="11"/>
        <color theme="1"/>
        <rFont val="ＭＳ Ｐゴシック"/>
        <family val="3"/>
        <charset val="128"/>
      </rPr>
      <t>石井将</t>
    </r>
    <rPh sb="0" eb="2">
      <t>イシイ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</si>
  <si>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</si>
  <si>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</si>
  <si>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r>
      <rPr>
        <sz val="11"/>
        <color theme="1"/>
        <rFont val="ＭＳ Ｐゴシック"/>
        <family val="2"/>
        <charset val="128"/>
      </rPr>
      <t>島本</t>
    </r>
    <rPh sb="0" eb="2">
      <t>シマモト</t>
    </rPh>
    <phoneticPr fontId="1"/>
  </si>
  <si>
    <r>
      <rPr>
        <sz val="11"/>
        <color theme="1"/>
        <rFont val="ＭＳ Ｐゴシック"/>
        <family val="2"/>
        <charset val="128"/>
      </rPr>
      <t>才木</t>
    </r>
    <rPh sb="0" eb="2">
      <t>サイキ</t>
    </rPh>
    <phoneticPr fontId="1"/>
  </si>
  <si>
    <r>
      <rPr>
        <sz val="11"/>
        <color theme="1"/>
        <rFont val="ＭＳ Ｐゴシック"/>
        <family val="2"/>
        <charset val="128"/>
      </rPr>
      <t>岩田将</t>
    </r>
    <rPh sb="0" eb="2">
      <t>イワタ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</si>
  <si>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牧</t>
    </r>
    <rPh sb="0" eb="1">
      <t>マキ</t>
    </rPh>
    <phoneticPr fontId="1"/>
  </si>
  <si>
    <t>大瀬良 大地</t>
  </si>
  <si>
    <t>島内 颯太郎</t>
  </si>
  <si>
    <t>アドゥワ 誠</t>
  </si>
  <si>
    <t>羽月 隆太郎</t>
  </si>
  <si>
    <t>マクガフ</t>
  </si>
  <si>
    <t>藤浪 晋太郎</t>
  </si>
  <si>
    <t>アルカンタラ</t>
  </si>
  <si>
    <t>齋藤 友貴哉</t>
  </si>
  <si>
    <t>ガンケル</t>
  </si>
  <si>
    <t>マルク</t>
  </si>
  <si>
    <t>Kー鈴木</t>
  </si>
  <si>
    <t>横尾</t>
    <rPh sb="0" eb="2">
      <t>ヨコオ</t>
    </rPh>
    <phoneticPr fontId="1"/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</si>
  <si>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</si>
  <si>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</si>
  <si>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</si>
  <si>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</si>
  <si>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</si>
  <si>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</si>
  <si>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</si>
  <si>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</si>
  <si>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</si>
  <si>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</si>
  <si>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</si>
  <si>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</si>
  <si>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</si>
  <si>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</si>
  <si>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</si>
  <si>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</si>
  <si>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</si>
  <si>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</si>
  <si>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</si>
  <si>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</si>
  <si>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</si>
  <si>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</si>
  <si>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</si>
  <si>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</si>
  <si>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</si>
  <si>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</si>
  <si>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</si>
  <si>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</si>
  <si>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</si>
  <si>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</si>
  <si>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</si>
  <si>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</si>
  <si>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</si>
  <si>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</si>
  <si>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</si>
  <si>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</si>
  <si>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</si>
  <si>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</si>
  <si>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</si>
  <si>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</si>
  <si>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</si>
  <si>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</si>
  <si>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</si>
  <si>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</si>
  <si>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</si>
  <si>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</si>
  <si>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</si>
  <si>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</si>
  <si>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</si>
  <si>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</si>
  <si>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</si>
  <si>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</si>
  <si>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</si>
  <si>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</si>
  <si>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</si>
  <si>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王 柏融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</si>
  <si>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</si>
  <si>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</si>
  <si>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</si>
  <si>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</si>
  <si>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</si>
  <si>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</si>
  <si>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</si>
  <si>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</si>
  <si>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</si>
  <si>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</si>
  <si>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</si>
  <si>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</si>
  <si>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</si>
  <si>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</si>
  <si>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</si>
  <si>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</si>
  <si>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</si>
  <si>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</si>
  <si>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</si>
  <si>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</si>
  <si>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</si>
  <si>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</si>
  <si>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</si>
  <si>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</si>
  <si>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</si>
  <si>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</si>
  <si>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</si>
  <si>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</si>
  <si>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</si>
  <si>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</si>
  <si>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</si>
  <si>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</si>
  <si>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</si>
  <si>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</si>
  <si>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</si>
  <si>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</si>
  <si>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</si>
  <si>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</si>
  <si>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</si>
  <si>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</si>
  <si>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</si>
  <si>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</si>
  <si>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</si>
  <si>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塩見 貴洋</t>
  </si>
  <si>
    <t>田中 将大</t>
  </si>
  <si>
    <t>安樂 智大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</si>
  <si>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</si>
  <si>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</si>
  <si>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</si>
  <si>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</si>
  <si>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</si>
  <si>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</si>
  <si>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</si>
  <si>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福井 優也</t>
  </si>
  <si>
    <t>山崎 剛</t>
  </si>
  <si>
    <t>島内 宏明</t>
  </si>
  <si>
    <t>岩見 雅紀</t>
  </si>
  <si>
    <t>内間 拓馬</t>
  </si>
  <si>
    <t>釜田 佳直</t>
  </si>
  <si>
    <t>宋 家豪</t>
  </si>
  <si>
    <t>藤井 聖</t>
  </si>
  <si>
    <t>渡辺 佳明</t>
  </si>
  <si>
    <t>武藤 敦貴</t>
  </si>
  <si>
    <t>小郷 裕哉</t>
  </si>
  <si>
    <t>髙田 萌生</t>
  </si>
  <si>
    <t>和田 恋</t>
  </si>
  <si>
    <t>鈴木 翔天</t>
  </si>
  <si>
    <t>瀧中 瞭太</t>
  </si>
  <si>
    <t>辛島 航</t>
  </si>
  <si>
    <t>石橋 良太</t>
  </si>
  <si>
    <t>西口 直人</t>
  </si>
  <si>
    <t>入江 大樹</t>
  </si>
  <si>
    <t>福山 博之</t>
  </si>
  <si>
    <t>堀内 謙伍</t>
  </si>
  <si>
    <t>村林 一輝</t>
  </si>
  <si>
    <t>寺岡 寛治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</si>
  <si>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</si>
  <si>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</si>
  <si>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</si>
  <si>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</si>
  <si>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</si>
  <si>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</si>
  <si>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</si>
  <si>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</si>
  <si>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</si>
  <si>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</si>
  <si>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増井 浩俊</t>
  </si>
  <si>
    <t>山本 由伸</t>
  </si>
  <si>
    <t>山岡 泰輔</t>
  </si>
  <si>
    <t>竹安 大知</t>
  </si>
  <si>
    <t>村西 良太</t>
  </si>
  <si>
    <t>伏見 寅威</t>
  </si>
  <si>
    <t>西村 凌</t>
  </si>
  <si>
    <t>能見 篤史</t>
  </si>
  <si>
    <t>元 謙太</t>
  </si>
  <si>
    <t>富山 凌雅</t>
  </si>
  <si>
    <t>田嶋 大樹</t>
  </si>
  <si>
    <t>太田 椋</t>
  </si>
  <si>
    <t>松井 雅人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</si>
  <si>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</si>
  <si>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</si>
  <si>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</si>
  <si>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</si>
  <si>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</si>
  <si>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</si>
  <si>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</si>
  <si>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</si>
  <si>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</si>
  <si>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</si>
  <si>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</si>
  <si>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</si>
  <si>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</si>
  <si>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</si>
  <si>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</si>
  <si>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中川 拓真</t>
  </si>
  <si>
    <t>漆原 大晟</t>
  </si>
  <si>
    <t>吉田 凌</t>
  </si>
  <si>
    <t>中川 圭太</t>
  </si>
  <si>
    <t>佐藤 一磨</t>
  </si>
  <si>
    <t>谷岡 楓太</t>
  </si>
  <si>
    <t>中田 惟斗</t>
  </si>
  <si>
    <t>荻野 貴司</t>
  </si>
  <si>
    <t>角中 勝也</t>
  </si>
  <si>
    <t>藤岡 裕大</t>
  </si>
  <si>
    <t>安田 尚憲</t>
  </si>
  <si>
    <t>福田 秀平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</si>
  <si>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</si>
  <si>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</si>
  <si>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</si>
  <si>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</si>
  <si>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</si>
  <si>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</si>
  <si>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</si>
  <si>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</si>
  <si>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</si>
  <si>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三木 亮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</si>
  <si>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</si>
  <si>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</si>
  <si>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</si>
  <si>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</si>
  <si>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</si>
  <si>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</si>
  <si>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</si>
  <si>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吉田 裕太</t>
  </si>
  <si>
    <t>成田 翔</t>
  </si>
  <si>
    <t>井上 晴哉</t>
  </si>
  <si>
    <t>岩下 大輝</t>
  </si>
  <si>
    <t>田中 靖洋</t>
  </si>
  <si>
    <t>中村 稔弥</t>
  </si>
  <si>
    <t>山口 航輝</t>
  </si>
  <si>
    <t>益田 直也</t>
  </si>
  <si>
    <t>江村 直也</t>
  </si>
  <si>
    <t>中森 俊介</t>
  </si>
  <si>
    <t>小川 龍成</t>
  </si>
  <si>
    <t>河村 説人</t>
  </si>
  <si>
    <t>西川 僚祐</t>
  </si>
  <si>
    <t>横山 陸人</t>
  </si>
  <si>
    <t>古谷 拓郎</t>
  </si>
  <si>
    <t>茶谷 健太</t>
  </si>
  <si>
    <t>西巻 賢二</t>
  </si>
  <si>
    <t>土居 豪人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</si>
  <si>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</si>
  <si>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</si>
  <si>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</si>
  <si>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</si>
  <si>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</si>
  <si>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</si>
  <si>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</si>
  <si>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</si>
  <si>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</si>
  <si>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</si>
  <si>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</si>
  <si>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</si>
  <si>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</si>
  <si>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</si>
  <si>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</si>
  <si>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</si>
  <si>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十亀 剣</t>
  </si>
  <si>
    <t>平井 克典</t>
  </si>
  <si>
    <t>内海 哲也</t>
  </si>
  <si>
    <t>森脇 亮介</t>
  </si>
  <si>
    <t>山村 崇嘉</t>
  </si>
  <si>
    <t>佐野 泰雄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</si>
  <si>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</si>
  <si>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</si>
  <si>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</si>
  <si>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</si>
  <si>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</si>
  <si>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</si>
  <si>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</si>
  <si>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</si>
  <si>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松岡 洸希</t>
  </si>
  <si>
    <t>武隈 祥太</t>
  </si>
  <si>
    <t>西川 愛也</t>
  </si>
  <si>
    <t>山田 遥楓</t>
  </si>
  <si>
    <t>川野 涼多</t>
  </si>
  <si>
    <t>熊代 聖人</t>
  </si>
  <si>
    <t>大曲 錬</t>
  </si>
  <si>
    <t>中村 剛也</t>
  </si>
  <si>
    <t>平良 海馬</t>
  </si>
  <si>
    <t>戸川 大輔</t>
  </si>
  <si>
    <t>岸 潤一郎</t>
  </si>
  <si>
    <t>川越 誠司</t>
  </si>
  <si>
    <t>高木 渉</t>
  </si>
  <si>
    <t>齊藤 誠人</t>
  </si>
  <si>
    <t>川瀬 晃</t>
  </si>
  <si>
    <t>髙田 知季</t>
  </si>
  <si>
    <t>松田 宣浩</t>
  </si>
  <si>
    <t>今宮 健太</t>
  </si>
  <si>
    <t>中村 晃</t>
  </si>
  <si>
    <t>明石 健志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</si>
  <si>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</si>
  <si>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</si>
  <si>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</si>
  <si>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</si>
  <si>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</si>
  <si>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</si>
  <si>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</si>
  <si>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</si>
  <si>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</si>
  <si>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</si>
  <si>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</si>
  <si>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</si>
  <si>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</si>
  <si>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椎野 新</t>
  </si>
  <si>
    <t>牧原 大成</t>
  </si>
  <si>
    <t>森 唯斗</t>
  </si>
  <si>
    <t>尾形 崇斗</t>
  </si>
  <si>
    <t>杉山 一樹</t>
  </si>
  <si>
    <t>千賀 滉大</t>
  </si>
  <si>
    <t>井上 朋也</t>
  </si>
  <si>
    <t>笹川 吉康</t>
  </si>
  <si>
    <t>高橋 純平</t>
  </si>
  <si>
    <t>渡邉 雄大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</si>
  <si>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</si>
  <si>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</si>
  <si>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</si>
  <si>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</si>
  <si>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</si>
  <si>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</si>
  <si>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</si>
  <si>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真砂 勇介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</si>
  <si>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</si>
  <si>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</si>
  <si>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</si>
  <si>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</si>
  <si>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</si>
  <si>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</si>
  <si>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</si>
  <si>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</si>
  <si>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</si>
  <si>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</si>
  <si>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</si>
  <si>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平田 良介</t>
  </si>
  <si>
    <t>根尾 昂</t>
  </si>
  <si>
    <t>大島 洋平</t>
  </si>
  <si>
    <t>福留 孝介</t>
  </si>
  <si>
    <t>田島 慎二</t>
  </si>
  <si>
    <t>橋本 侑樹</t>
  </si>
  <si>
    <t>谷元 圭介</t>
  </si>
  <si>
    <t>柳 裕也</t>
  </si>
  <si>
    <t>梅津 晃大</t>
  </si>
  <si>
    <t>高橋 宏斗</t>
  </si>
  <si>
    <t>岡田 俊哉</t>
  </si>
  <si>
    <t>福谷 浩司</t>
  </si>
  <si>
    <t>佐藤 優</t>
  </si>
  <si>
    <t>森 博人</t>
  </si>
  <si>
    <t>三好 大倫</t>
  </si>
  <si>
    <t>渡辺 勝</t>
  </si>
  <si>
    <t>石垣 雅海</t>
  </si>
  <si>
    <t>福 敬登</t>
  </si>
  <si>
    <t>木下 拓哉</t>
  </si>
  <si>
    <t>松葉 貴大</t>
  </si>
  <si>
    <t>勝野 昌慶</t>
  </si>
  <si>
    <t>郡司 裕也</t>
  </si>
  <si>
    <t>土田 龍空</t>
  </si>
  <si>
    <t>鈴木 博志</t>
  </si>
  <si>
    <t>溝脇 隼人</t>
  </si>
  <si>
    <t>伊藤 康祐</t>
  </si>
  <si>
    <t>清水 達也</t>
  </si>
  <si>
    <t>滝野 要</t>
  </si>
  <si>
    <t>藤嶋 健人</t>
  </si>
  <si>
    <t>福田 永将</t>
  </si>
  <si>
    <t>石橋 康太</t>
  </si>
  <si>
    <t>山本 拓実</t>
  </si>
  <si>
    <t>岡林 勇希</t>
  </si>
  <si>
    <t>堂上 直倫</t>
  </si>
  <si>
    <t>加藤 翼</t>
  </si>
  <si>
    <t>桂 依央利</t>
  </si>
  <si>
    <t>山本 泰寛</t>
  </si>
  <si>
    <t>木浪 聖也</t>
  </si>
  <si>
    <t>大山 悠輔</t>
  </si>
  <si>
    <t>熊谷 敬宥</t>
  </si>
  <si>
    <t>近本 光司</t>
  </si>
  <si>
    <t>糸井 嘉男</t>
  </si>
  <si>
    <t>佐藤 輝明</t>
  </si>
  <si>
    <t>髙山 俊</t>
  </si>
  <si>
    <t>岩崎 優</t>
  </si>
  <si>
    <t>西 純矢</t>
  </si>
  <si>
    <t>西 勇輝</t>
  </si>
  <si>
    <t>岩貞 祐太</t>
  </si>
  <si>
    <t>馬場 皐輔</t>
  </si>
  <si>
    <t>江越 大賀</t>
  </si>
  <si>
    <t>北條 史也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</si>
  <si>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</si>
  <si>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</si>
  <si>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</si>
  <si>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</si>
  <si>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</si>
  <si>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</si>
  <si>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</si>
  <si>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</si>
  <si>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</si>
  <si>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</si>
  <si>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</si>
  <si>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守屋 功輝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</si>
  <si>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</si>
  <si>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</si>
  <si>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</si>
  <si>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</si>
  <si>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</si>
  <si>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</si>
  <si>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</si>
  <si>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</si>
  <si>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小林 慶祐</t>
  </si>
  <si>
    <t>長坂 拳弥</t>
  </si>
  <si>
    <t>藤田 健斗</t>
  </si>
  <si>
    <t>望月 惇志</t>
  </si>
  <si>
    <t>植田 海</t>
  </si>
  <si>
    <t>湯浅 京己</t>
  </si>
  <si>
    <t>小川 一平</t>
  </si>
  <si>
    <t>髙寺 望夢</t>
  </si>
  <si>
    <t>石井 大智</t>
  </si>
  <si>
    <t>伊藤 和雄</t>
  </si>
  <si>
    <t>石井 将希</t>
  </si>
  <si>
    <t>原口 文仁</t>
  </si>
  <si>
    <t>片山 雄哉</t>
  </si>
  <si>
    <t>島本 浩也</t>
  </si>
  <si>
    <t>才木 浩人</t>
  </si>
  <si>
    <t>岩田 将貴</t>
  </si>
  <si>
    <t>牧 丈一郎</t>
  </si>
  <si>
    <t>小野寺 暖</t>
  </si>
  <si>
    <t>宮本 秀明</t>
  </si>
  <si>
    <t>中井 大介</t>
  </si>
  <si>
    <t>桑原 将志</t>
  </si>
  <si>
    <t>牧 秀悟</t>
  </si>
  <si>
    <t>倉本 寿彦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</si>
  <si>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</si>
  <si>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</si>
  <si>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</si>
  <si>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</si>
  <si>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</si>
  <si>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</si>
  <si>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</si>
  <si>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</si>
  <si>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</si>
  <si>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</si>
  <si>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</si>
  <si>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今永 昇太</t>
  </si>
  <si>
    <t>入江 大生</t>
  </si>
  <si>
    <t>濵口 遥大</t>
  </si>
  <si>
    <t>伊藤 光</t>
  </si>
  <si>
    <t>柴田 竜拓</t>
  </si>
  <si>
    <t>益子 京右</t>
  </si>
  <si>
    <t>平田 真吾</t>
  </si>
  <si>
    <t>三上 朋也</t>
  </si>
  <si>
    <t>髙城 俊人</t>
  </si>
  <si>
    <t>楠本 泰史</t>
  </si>
  <si>
    <t>田中 俊太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</si>
  <si>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</si>
  <si>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</si>
  <si>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</si>
  <si>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</si>
  <si>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</si>
  <si>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</si>
  <si>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</si>
  <si>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池谷 蒼大</t>
  </si>
  <si>
    <t>浅田 将汰</t>
  </si>
  <si>
    <t>田部 隼人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</si>
  <si>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</si>
  <si>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</si>
  <si>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</si>
  <si>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</si>
  <si>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</si>
  <si>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</si>
  <si>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</si>
  <si>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加藤 翔平</t>
    <rPh sb="3" eb="5">
      <t>ショウヘイ</t>
    </rPh>
    <phoneticPr fontId="1"/>
  </si>
  <si>
    <t>髙部</t>
    <rPh sb="0" eb="2">
      <t>タカベ</t>
    </rPh>
    <phoneticPr fontId="1"/>
  </si>
  <si>
    <t>炭谷</t>
    <rPh sb="0" eb="2">
      <t>スミタニ</t>
    </rPh>
    <phoneticPr fontId="1"/>
  </si>
  <si>
    <t>炭谷 銀仁朗</t>
    <rPh sb="0" eb="2">
      <t>スミタニ</t>
    </rPh>
    <rPh sb="3" eb="6">
      <t>ギンジロウ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</si>
  <si>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</si>
  <si>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</si>
  <si>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</si>
  <si>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</si>
  <si>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</si>
  <si>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</si>
  <si>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</si>
  <si>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</si>
  <si>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</si>
  <si>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ロハスＪｒ.</t>
  </si>
  <si>
    <t>二保</t>
  </si>
  <si>
    <t>桐敷</t>
  </si>
  <si>
    <t>ウィルカーソン</t>
  </si>
  <si>
    <t>前川</t>
  </si>
  <si>
    <t>豊田</t>
  </si>
  <si>
    <t>岡留</t>
  </si>
  <si>
    <t>中川</t>
  </si>
  <si>
    <t>望月</t>
  </si>
  <si>
    <t>川原</t>
  </si>
  <si>
    <t>森木 大智</t>
  </si>
  <si>
    <t>ロハス・ジュニア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</si>
  <si>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</si>
  <si>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</si>
  <si>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</si>
  <si>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</si>
  <si>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</si>
  <si>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</si>
  <si>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</si>
  <si>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</si>
  <si>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</si>
  <si>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</si>
  <si>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</si>
  <si>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</si>
  <si>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</si>
  <si>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</si>
  <si>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</si>
  <si>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</si>
  <si>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</si>
  <si>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</si>
  <si>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</si>
  <si>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</si>
  <si>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</si>
  <si>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</si>
  <si>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</si>
  <si>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</si>
  <si>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</si>
  <si>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</si>
  <si>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</si>
  <si>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</si>
  <si>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</si>
  <si>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</si>
  <si>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</si>
  <si>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</si>
  <si>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</si>
  <si>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</si>
  <si>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</si>
  <si>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059</t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</si>
  <si>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</si>
  <si>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</si>
  <si>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</si>
  <si>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</si>
  <si>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</si>
  <si>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</si>
  <si>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</si>
  <si>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</si>
  <si>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</si>
  <si>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</si>
  <si>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</si>
  <si>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</si>
  <si>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</si>
  <si>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</si>
  <si>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</si>
  <si>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</si>
  <si>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</si>
  <si>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</si>
  <si>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</si>
  <si>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</si>
  <si>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</si>
  <si>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</si>
  <si>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</si>
  <si>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</si>
  <si>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</si>
  <si>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</si>
  <si>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</si>
  <si>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</si>
  <si>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</si>
  <si>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</si>
  <si>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</si>
  <si>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</si>
  <si>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</si>
  <si>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</si>
  <si>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</si>
  <si>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</si>
  <si>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</si>
  <si>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</si>
  <si>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</si>
  <si>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</si>
  <si>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</si>
  <si>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</si>
  <si>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</si>
  <si>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</si>
  <si>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</si>
  <si>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</si>
  <si>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</si>
  <si>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</si>
  <si>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</si>
  <si>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</si>
  <si>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</si>
  <si>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</si>
  <si>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</si>
  <si>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</si>
  <si>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</si>
  <si>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</si>
  <si>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</si>
  <si>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</si>
  <si>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</si>
  <si>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</si>
  <si>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</si>
  <si>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</si>
  <si>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</si>
  <si>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</si>
  <si>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</si>
  <si>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</si>
  <si>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</si>
  <si>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</si>
  <si>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</si>
  <si>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</si>
  <si>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</si>
  <si>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</si>
  <si>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中村</t>
    <rPh sb="0" eb="2">
      <t>ナカムラ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</si>
  <si>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</si>
  <si>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</si>
  <si>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</si>
  <si>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</si>
  <si>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</si>
  <si>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</si>
  <si>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岩田</t>
    <rPh sb="0" eb="2">
      <t>イワタ</t>
    </rPh>
    <phoneticPr fontId="1"/>
  </si>
  <si>
    <t>勝又</t>
    <phoneticPr fontId="1"/>
  </si>
  <si>
    <t>村川</t>
    <phoneticPr fontId="1"/>
  </si>
  <si>
    <t>東出</t>
    <phoneticPr fontId="1"/>
  </si>
  <si>
    <t>大橋</t>
    <phoneticPr fontId="1"/>
  </si>
  <si>
    <t>勝又 温史</t>
    <phoneticPr fontId="1"/>
  </si>
  <si>
    <t>平良 拳太郎</t>
    <phoneticPr fontId="1"/>
  </si>
  <si>
    <t>宮城 滝太</t>
    <phoneticPr fontId="1"/>
  </si>
  <si>
    <t>石川 達也</t>
    <phoneticPr fontId="1"/>
  </si>
  <si>
    <t>加藤 大</t>
    <phoneticPr fontId="1"/>
  </si>
  <si>
    <t>村川 凪</t>
    <phoneticPr fontId="1"/>
  </si>
  <si>
    <t>東出 直也</t>
    <phoneticPr fontId="1"/>
  </si>
  <si>
    <t>大橋 武尊</t>
    <phoneticPr fontId="1"/>
  </si>
  <si>
    <t>有吉 優樹</t>
    <phoneticPr fontId="1"/>
  </si>
  <si>
    <t>宮國 椋丞</t>
    <phoneticPr fontId="1"/>
  </si>
  <si>
    <t>中川 虎大</t>
    <phoneticPr fontId="1"/>
  </si>
  <si>
    <t>梶原 昂希</t>
    <phoneticPr fontId="1"/>
  </si>
  <si>
    <t>田中 健二朗</t>
    <phoneticPr fontId="1"/>
  </si>
  <si>
    <t>深沢 鳳介</t>
    <phoneticPr fontId="1"/>
  </si>
  <si>
    <t>粟飯原 龍之介</t>
    <phoneticPr fontId="1"/>
  </si>
  <si>
    <t>三浦 銀二</t>
    <phoneticPr fontId="1"/>
  </si>
  <si>
    <t>小園 健太</t>
    <phoneticPr fontId="1"/>
  </si>
  <si>
    <t>徳山 壮磨</t>
    <phoneticPr fontId="1"/>
  </si>
  <si>
    <t>藤田 一也</t>
    <phoneticPr fontId="1"/>
  </si>
  <si>
    <t>徳山</t>
    <rPh sb="0" eb="2">
      <t>トクヤマ</t>
    </rPh>
    <phoneticPr fontId="1"/>
  </si>
  <si>
    <t>粟飯原</t>
    <rPh sb="0" eb="3">
      <t>アイバラ</t>
    </rPh>
    <phoneticPr fontId="1"/>
  </si>
  <si>
    <t>深沢</t>
    <rPh sb="0" eb="2">
      <t>フカザワ</t>
    </rPh>
    <phoneticPr fontId="1"/>
  </si>
  <si>
    <t>田中健</t>
    <rPh sb="2" eb="3">
      <t>ケン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</si>
  <si>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</si>
  <si>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</si>
  <si>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宮國</t>
    <rPh sb="0" eb="2">
      <t>ミヤグニ</t>
    </rPh>
    <phoneticPr fontId="1"/>
  </si>
  <si>
    <t>有吉</t>
    <rPh sb="0" eb="2">
      <t>アリヨシ</t>
    </rPh>
    <phoneticPr fontId="1"/>
  </si>
  <si>
    <t>小野寺</t>
    <rPh sb="0" eb="3">
      <t>オノデラ</t>
    </rPh>
    <phoneticPr fontId="1"/>
  </si>
  <si>
    <t>小野</t>
    <rPh sb="0" eb="2">
      <t>オノ</t>
    </rPh>
    <phoneticPr fontId="1"/>
  </si>
  <si>
    <t>近藤 廉</t>
    <phoneticPr fontId="1"/>
  </si>
  <si>
    <t>垣越 建伸</t>
    <phoneticPr fontId="1"/>
  </si>
  <si>
    <t>星野 真生</t>
    <phoneticPr fontId="1"/>
  </si>
  <si>
    <t>ブライト 健太</t>
    <phoneticPr fontId="1"/>
  </si>
  <si>
    <t>山下 斐紹</t>
    <phoneticPr fontId="1"/>
  </si>
  <si>
    <t>大野 奨太</t>
    <phoneticPr fontId="1"/>
  </si>
  <si>
    <t>石森 大誠</t>
    <phoneticPr fontId="1"/>
  </si>
  <si>
    <t>福元 悠真</t>
    <phoneticPr fontId="1"/>
  </si>
  <si>
    <t>大野 雄大</t>
    <phoneticPr fontId="1"/>
  </si>
  <si>
    <t>鵜飼 航丞</t>
    <phoneticPr fontId="1"/>
  </si>
  <si>
    <t>石岡 諒太</t>
    <phoneticPr fontId="1"/>
  </si>
  <si>
    <t>石岡</t>
    <rPh sb="0" eb="2">
      <t>イシオカ</t>
    </rPh>
    <phoneticPr fontId="1"/>
  </si>
  <si>
    <t>鵜飼</t>
    <rPh sb="0" eb="2">
      <t>ウカイ</t>
    </rPh>
    <phoneticPr fontId="1"/>
  </si>
  <si>
    <t>岩嵜 翔</t>
    <phoneticPr fontId="1"/>
  </si>
  <si>
    <t>岩嵜</t>
    <rPh sb="0" eb="2">
      <t>イワサキ</t>
    </rPh>
    <phoneticPr fontId="1"/>
  </si>
  <si>
    <t>福元</t>
    <rPh sb="0" eb="2">
      <t>フクモト</t>
    </rPh>
    <phoneticPr fontId="1"/>
  </si>
  <si>
    <t>石森</t>
    <rPh sb="0" eb="2">
      <t>イシモリ</t>
    </rPh>
    <phoneticPr fontId="1"/>
  </si>
  <si>
    <t>山下</t>
    <rPh sb="0" eb="2">
      <t>ヤマシタ</t>
    </rPh>
    <phoneticPr fontId="1"/>
  </si>
  <si>
    <t>味谷</t>
    <rPh sb="0" eb="1">
      <t>アジ</t>
    </rPh>
    <rPh sb="1" eb="2">
      <t>タニ</t>
    </rPh>
    <phoneticPr fontId="1"/>
  </si>
  <si>
    <t>味谷 大誠</t>
    <phoneticPr fontId="1"/>
  </si>
  <si>
    <t>垣越</t>
    <rPh sb="0" eb="2">
      <t>カキコシ</t>
    </rPh>
    <phoneticPr fontId="1"/>
  </si>
  <si>
    <t>竹内 龍臣</t>
    <phoneticPr fontId="1"/>
  </si>
  <si>
    <t>上田 洸太朗</t>
    <phoneticPr fontId="1"/>
  </si>
  <si>
    <t>濱田 達郎</t>
    <phoneticPr fontId="1"/>
  </si>
  <si>
    <t>松木平 優太</t>
    <phoneticPr fontId="1"/>
  </si>
  <si>
    <t>松田 亘哲</t>
    <phoneticPr fontId="1"/>
  </si>
  <si>
    <t>石川 翔</t>
    <phoneticPr fontId="1"/>
  </si>
  <si>
    <t>福島 章太</t>
    <phoneticPr fontId="1"/>
  </si>
  <si>
    <t>大嶺 祐太</t>
    <phoneticPr fontId="1"/>
  </si>
  <si>
    <t>大嶺</t>
    <rPh sb="0" eb="2">
      <t>オオミネ</t>
    </rPh>
    <phoneticPr fontId="1"/>
  </si>
  <si>
    <t>チャトウッド</t>
  </si>
  <si>
    <t>ヘラルディーノ</t>
  </si>
  <si>
    <t>佐藤 宏樹</t>
    <phoneticPr fontId="1"/>
  </si>
  <si>
    <t>石塚 綜一郎</t>
    <phoneticPr fontId="1"/>
  </si>
  <si>
    <t>藤野 恵音</t>
    <phoneticPr fontId="1"/>
  </si>
  <si>
    <t>中道 佑哉</t>
    <phoneticPr fontId="1"/>
  </si>
  <si>
    <t>桑原 秀侍</t>
    <phoneticPr fontId="1"/>
  </si>
  <si>
    <t>早 真之介</t>
    <phoneticPr fontId="1"/>
  </si>
  <si>
    <t>黒瀬 健太</t>
    <phoneticPr fontId="1"/>
  </si>
  <si>
    <t>緒方 理貢</t>
    <phoneticPr fontId="1"/>
  </si>
  <si>
    <t>伊藤 大将</t>
    <phoneticPr fontId="1"/>
  </si>
  <si>
    <t>居谷 匠真</t>
    <phoneticPr fontId="1"/>
  </si>
  <si>
    <t>勝連 大稀</t>
    <phoneticPr fontId="1"/>
  </si>
  <si>
    <t>舟越 秀虎</t>
    <phoneticPr fontId="1"/>
  </si>
  <si>
    <t>川村 友斗</t>
    <phoneticPr fontId="1"/>
  </si>
  <si>
    <t>岡本 直也</t>
    <phoneticPr fontId="1"/>
  </si>
  <si>
    <t>大城 真乃</t>
    <phoneticPr fontId="1"/>
  </si>
  <si>
    <t>荒木 翔太</t>
    <phoneticPr fontId="1"/>
  </si>
  <si>
    <t>中村 亮太</t>
    <phoneticPr fontId="1"/>
  </si>
  <si>
    <t>重田 倫明</t>
    <phoneticPr fontId="1"/>
  </si>
  <si>
    <t>井崎 燦志郎</t>
    <phoneticPr fontId="1"/>
  </si>
  <si>
    <t>三浦 瑞樹</t>
    <phoneticPr fontId="1"/>
  </si>
  <si>
    <t>中村 宜聖</t>
    <phoneticPr fontId="1"/>
  </si>
  <si>
    <t>村上 舜</t>
    <phoneticPr fontId="1"/>
  </si>
  <si>
    <t>田中 怜利 ハモンド</t>
    <phoneticPr fontId="1"/>
  </si>
  <si>
    <t>加藤 洸稀</t>
    <phoneticPr fontId="1"/>
  </si>
  <si>
    <t>山崎 琢磨</t>
    <phoneticPr fontId="1"/>
  </si>
  <si>
    <t>佐久間 拓斗</t>
    <phoneticPr fontId="1"/>
  </si>
  <si>
    <t>山本 恵大</t>
    <phoneticPr fontId="1"/>
  </si>
  <si>
    <t>加藤 晴空</t>
    <phoneticPr fontId="1"/>
  </si>
  <si>
    <t>瀧本 将生</t>
    <phoneticPr fontId="1"/>
  </si>
  <si>
    <t>三代 祥貴</t>
    <phoneticPr fontId="1"/>
  </si>
  <si>
    <t>佐藤 琢磨</t>
    <phoneticPr fontId="1"/>
  </si>
  <si>
    <t>仲田 慶介</t>
    <phoneticPr fontId="1"/>
  </si>
  <si>
    <t>渡邉 陸</t>
    <phoneticPr fontId="1"/>
  </si>
  <si>
    <t>風間 球打</t>
    <phoneticPr fontId="1"/>
  </si>
  <si>
    <t>中谷 将大</t>
    <phoneticPr fontId="1"/>
  </si>
  <si>
    <t>又吉 克樹</t>
    <phoneticPr fontId="1"/>
  </si>
  <si>
    <t>栗原 陵矢</t>
    <phoneticPr fontId="1"/>
  </si>
  <si>
    <t>正木 智也</t>
    <phoneticPr fontId="1"/>
  </si>
  <si>
    <t>大関 友久</t>
    <phoneticPr fontId="1"/>
  </si>
  <si>
    <t>藤井 皓哉</t>
    <phoneticPr fontId="1"/>
  </si>
  <si>
    <t>木村 大成</t>
    <phoneticPr fontId="1"/>
  </si>
  <si>
    <t>大竹 風雅</t>
    <phoneticPr fontId="1"/>
  </si>
  <si>
    <t>風間</t>
    <rPh sb="0" eb="2">
      <t>カザマ</t>
    </rPh>
    <phoneticPr fontId="1"/>
  </si>
  <si>
    <t>ガルビス</t>
    <phoneticPr fontId="1"/>
  </si>
  <si>
    <t>中谷</t>
    <rPh sb="0" eb="2">
      <t>ナカタニ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</si>
  <si>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</si>
  <si>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</si>
  <si>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田中正義</t>
    <rPh sb="0" eb="1">
      <t>タ</t>
    </rPh>
    <rPh sb="1" eb="2">
      <t>ナカ</t>
    </rPh>
    <rPh sb="2" eb="4">
      <t>セイギ</t>
    </rPh>
    <phoneticPr fontId="1"/>
  </si>
  <si>
    <t>正木</t>
    <rPh sb="0" eb="2">
      <t>マサキ</t>
    </rPh>
    <phoneticPr fontId="1"/>
  </si>
  <si>
    <t>大関</t>
    <rPh sb="0" eb="2">
      <t>オオゼキ</t>
    </rPh>
    <phoneticPr fontId="1"/>
  </si>
  <si>
    <t>藤井</t>
    <rPh sb="0" eb="2">
      <t>フジイ</t>
    </rPh>
    <phoneticPr fontId="1"/>
  </si>
  <si>
    <t>大竹風</t>
    <rPh sb="0" eb="2">
      <t>オオタケ</t>
    </rPh>
    <rPh sb="2" eb="3">
      <t>フウ</t>
    </rPh>
    <phoneticPr fontId="1"/>
  </si>
  <si>
    <t>大竹耕</t>
    <rPh sb="0" eb="1">
      <t>ダイ</t>
    </rPh>
    <rPh sb="1" eb="2">
      <t>タケ</t>
    </rPh>
    <rPh sb="2" eb="3">
      <t>コウ</t>
    </rPh>
    <phoneticPr fontId="1"/>
  </si>
  <si>
    <t>藤野</t>
    <rPh sb="0" eb="2">
      <t>フジノ</t>
    </rPh>
    <phoneticPr fontId="1"/>
  </si>
  <si>
    <t>アルメンタ</t>
    <phoneticPr fontId="1"/>
  </si>
  <si>
    <t>井崎</t>
    <rPh sb="0" eb="2">
      <t>イサキ</t>
    </rPh>
    <phoneticPr fontId="1"/>
  </si>
  <si>
    <t>フェリックス</t>
    <phoneticPr fontId="1"/>
  </si>
  <si>
    <t>シモン</t>
    <phoneticPr fontId="1"/>
  </si>
  <si>
    <t>田中</t>
    <rPh sb="0" eb="2">
      <t>タナカ</t>
    </rPh>
    <phoneticPr fontId="1"/>
  </si>
  <si>
    <t>佐久間</t>
    <rPh sb="0" eb="3">
      <t>サクマ</t>
    </rPh>
    <phoneticPr fontId="1"/>
  </si>
  <si>
    <t>加藤洸</t>
    <phoneticPr fontId="1"/>
  </si>
  <si>
    <t>加藤晴</t>
    <phoneticPr fontId="1"/>
  </si>
  <si>
    <t>瀧本将</t>
    <phoneticPr fontId="1"/>
  </si>
  <si>
    <t>三代</t>
    <rPh sb="0" eb="2">
      <t>ミシロ</t>
    </rPh>
    <phoneticPr fontId="1"/>
  </si>
  <si>
    <t>佐藤宏</t>
    <rPh sb="2" eb="3">
      <t>ヒロ</t>
    </rPh>
    <phoneticPr fontId="1"/>
  </si>
  <si>
    <t>佐藤琢</t>
    <rPh sb="0" eb="2">
      <t>サトウ</t>
    </rPh>
    <rPh sb="2" eb="3">
      <t>タク</t>
    </rPh>
    <phoneticPr fontId="1"/>
  </si>
  <si>
    <t>髙橋光成</t>
  </si>
  <si>
    <t>タカハシ</t>
  </si>
  <si>
    <t>齊藤 大将</t>
    <phoneticPr fontId="1"/>
  </si>
  <si>
    <t>粟津 凱士</t>
    <phoneticPr fontId="1"/>
  </si>
  <si>
    <t>伊藤 翔</t>
    <phoneticPr fontId="1"/>
  </si>
  <si>
    <t>上間 永遠</t>
    <phoneticPr fontId="1"/>
  </si>
  <si>
    <t>出井 敏博</t>
    <phoneticPr fontId="1"/>
  </si>
  <si>
    <t>赤上 優人</t>
    <phoneticPr fontId="1"/>
  </si>
  <si>
    <t>長谷川 信哉</t>
    <phoneticPr fontId="1"/>
  </si>
  <si>
    <t>豆田 泰志</t>
    <phoneticPr fontId="1"/>
  </si>
  <si>
    <t>古市 尊</t>
    <phoneticPr fontId="1"/>
  </si>
  <si>
    <t>滝澤 夏央</t>
    <phoneticPr fontId="1"/>
  </si>
  <si>
    <t>中熊 大智</t>
    <phoneticPr fontId="1"/>
  </si>
  <si>
    <t>菅井 信也</t>
    <phoneticPr fontId="1"/>
  </si>
  <si>
    <t>川村 啓真</t>
    <phoneticPr fontId="1"/>
  </si>
  <si>
    <t>齊藤大</t>
    <rPh sb="2" eb="3">
      <t>オオ</t>
    </rPh>
    <phoneticPr fontId="1"/>
  </si>
  <si>
    <t>隅田 知一郎</t>
    <phoneticPr fontId="1"/>
  </si>
  <si>
    <t>佐藤 隼輔</t>
    <phoneticPr fontId="1"/>
  </si>
  <si>
    <t>公文 克彦</t>
    <phoneticPr fontId="1"/>
  </si>
  <si>
    <t>古賀 悠斗</t>
    <phoneticPr fontId="1"/>
  </si>
  <si>
    <t>平沼 翔太</t>
    <phoneticPr fontId="1"/>
  </si>
  <si>
    <t>羽田 慎之介</t>
    <phoneticPr fontId="1"/>
  </si>
  <si>
    <t>中山 誠吾</t>
    <phoneticPr fontId="1"/>
  </si>
  <si>
    <t>黒田 将矢</t>
    <phoneticPr fontId="1"/>
  </si>
  <si>
    <t>隅田</t>
    <rPh sb="0" eb="2">
      <t>スミダ</t>
    </rPh>
    <phoneticPr fontId="1"/>
  </si>
  <si>
    <t>公文</t>
    <rPh sb="0" eb="2">
      <t>クモン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</si>
  <si>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</si>
  <si>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</si>
  <si>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</si>
  <si>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</si>
  <si>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ゲレーロ</t>
  </si>
  <si>
    <t>田中 楓基</t>
    <phoneticPr fontId="1"/>
  </si>
  <si>
    <t>谷川 唯人</t>
    <phoneticPr fontId="1"/>
  </si>
  <si>
    <t>速水 将大</t>
    <phoneticPr fontId="1"/>
  </si>
  <si>
    <t>山本 大斗</t>
    <phoneticPr fontId="1"/>
  </si>
  <si>
    <t>永島田 輝斗</t>
    <phoneticPr fontId="1"/>
  </si>
  <si>
    <t>村山 亮介</t>
    <phoneticPr fontId="1"/>
  </si>
  <si>
    <t>松永 昂大</t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</si>
  <si>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</si>
  <si>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</si>
  <si>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</si>
  <si>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</si>
  <si>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</si>
  <si>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</si>
  <si>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</si>
  <si>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</si>
  <si>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</si>
  <si>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佐藤 奨真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</si>
  <si>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</si>
  <si>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</si>
  <si>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</si>
  <si>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</si>
  <si>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</si>
  <si>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佐藤奨</t>
    <rPh sb="0" eb="2">
      <t>サトウ</t>
    </rPh>
    <rPh sb="2" eb="3">
      <t>ショウ</t>
    </rPh>
    <phoneticPr fontId="1"/>
  </si>
  <si>
    <t>田中楓</t>
    <rPh sb="2" eb="3">
      <t>カエデ</t>
    </rPh>
    <phoneticPr fontId="1"/>
  </si>
  <si>
    <t>マーキ</t>
  </si>
  <si>
    <t>石田 駿</t>
    <phoneticPr fontId="1"/>
  </si>
  <si>
    <t>大河原 翔</t>
    <phoneticPr fontId="1"/>
  </si>
  <si>
    <t>柳澤 大空</t>
    <phoneticPr fontId="1"/>
  </si>
  <si>
    <t>佐藤 智輝</t>
    <phoneticPr fontId="1"/>
  </si>
  <si>
    <t>引地 秀一郎</t>
    <phoneticPr fontId="1"/>
  </si>
  <si>
    <t>福森 耀真</t>
    <phoneticPr fontId="1"/>
  </si>
  <si>
    <t>吉持 亮汰</t>
    <phoneticPr fontId="1"/>
  </si>
  <si>
    <t>森 雄大</t>
    <phoneticPr fontId="1"/>
  </si>
  <si>
    <t>王 彦程</t>
    <phoneticPr fontId="1"/>
  </si>
  <si>
    <t>釜元 豪</t>
    <phoneticPr fontId="1"/>
  </si>
  <si>
    <t>宮森 智志</t>
    <phoneticPr fontId="1"/>
  </si>
  <si>
    <t>清宮 虎多朗</t>
    <phoneticPr fontId="1"/>
  </si>
  <si>
    <t>江川 侑斗</t>
    <phoneticPr fontId="1"/>
  </si>
  <si>
    <t>澤野 聖悠</t>
    <phoneticPr fontId="1"/>
  </si>
  <si>
    <t>渡邊 佑樹</t>
    <phoneticPr fontId="1"/>
  </si>
  <si>
    <t>吉川 雄大</t>
    <phoneticPr fontId="1"/>
  </si>
  <si>
    <t>内田 靖人</t>
    <phoneticPr fontId="1"/>
  </si>
  <si>
    <t>横尾 俊建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</si>
  <si>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</si>
  <si>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</si>
  <si>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</si>
  <si>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</si>
  <si>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</si>
  <si>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</si>
  <si>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</si>
  <si>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小峯 新陸</t>
    <phoneticPr fontId="1"/>
  </si>
  <si>
    <t>川島 慶三</t>
    <phoneticPr fontId="1"/>
  </si>
  <si>
    <t>西川</t>
    <rPh sb="0" eb="2">
      <t>ニシカワ</t>
    </rPh>
    <phoneticPr fontId="1"/>
  </si>
  <si>
    <t>吉野 創士</t>
    <phoneticPr fontId="1"/>
  </si>
  <si>
    <t>吉野</t>
    <rPh sb="0" eb="2">
      <t>ヨシノ</t>
    </rPh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</si>
  <si>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</si>
  <si>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</si>
  <si>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松井裕</t>
    <rPh sb="0" eb="2">
      <t>マツイ</t>
    </rPh>
    <rPh sb="2" eb="3">
      <t>ユウ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</si>
  <si>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</si>
  <si>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</si>
  <si>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</si>
  <si>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</si>
  <si>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吉川</t>
    <rPh sb="0" eb="2">
      <t>ヨシカワ</t>
    </rPh>
    <phoneticPr fontId="1"/>
  </si>
  <si>
    <t>渡邊佑</t>
    <rPh sb="0" eb="2">
      <t>ワタナベ</t>
    </rPh>
    <rPh sb="2" eb="3">
      <t>ユウ</t>
    </rPh>
    <phoneticPr fontId="1"/>
  </si>
  <si>
    <t>吉田凌</t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</si>
  <si>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</si>
  <si>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</si>
  <si>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横山</t>
    <rPh sb="0" eb="2">
      <t>ヨコヤマ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</si>
  <si>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</si>
  <si>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</si>
  <si>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福永</t>
    <rPh sb="0" eb="2">
      <t>フクナガ</t>
    </rPh>
    <phoneticPr fontId="1"/>
  </si>
  <si>
    <t>椋木</t>
    <rPh sb="0" eb="2">
      <t>ムクノキ</t>
    </rPh>
    <phoneticPr fontId="1"/>
  </si>
  <si>
    <t>大城</t>
    <rPh sb="0" eb="2">
      <t>オオシロ</t>
    </rPh>
    <phoneticPr fontId="1"/>
  </si>
  <si>
    <t>野口</t>
    <rPh sb="0" eb="2">
      <t>ノグチ</t>
    </rPh>
    <phoneticPr fontId="1"/>
  </si>
  <si>
    <t>吉田正</t>
    <rPh sb="0" eb="2">
      <t>ヨシダ</t>
    </rPh>
    <rPh sb="2" eb="3">
      <t>タダシ</t>
    </rPh>
    <phoneticPr fontId="1"/>
  </si>
  <si>
    <t>福田</t>
    <rPh sb="0" eb="2">
      <t>フクダ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</si>
  <si>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</si>
  <si>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</si>
  <si>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</si>
  <si>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</si>
  <si>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</si>
  <si>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</si>
  <si>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</si>
  <si>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</si>
  <si>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</si>
  <si>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</si>
  <si>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</si>
  <si>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</si>
  <si>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</si>
  <si>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</si>
  <si>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</si>
  <si>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</si>
  <si>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</si>
  <si>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</si>
  <si>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</si>
  <si>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</si>
  <si>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</si>
  <si>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</si>
  <si>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</si>
  <si>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</si>
  <si>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</si>
  <si>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</si>
  <si>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</si>
  <si>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</si>
  <si>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</si>
  <si>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</si>
  <si>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</si>
  <si>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</si>
  <si>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</si>
  <si>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</si>
  <si>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</si>
  <si>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</si>
  <si>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</si>
  <si>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</si>
  <si>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</si>
  <si>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</si>
  <si>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</si>
  <si>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</si>
  <si>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</si>
  <si>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</si>
  <si>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</si>
  <si>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</si>
  <si>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</si>
  <si>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</si>
  <si>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</si>
  <si>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</si>
  <si>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>CARP</t>
    <phoneticPr fontId="1"/>
  </si>
  <si>
    <t>FIGHTERS</t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</si>
  <si>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</si>
  <si>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</si>
  <si>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</si>
  <si>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</si>
  <si>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</si>
  <si>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</si>
  <si>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</si>
  <si>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</si>
  <si>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</si>
  <si>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</si>
  <si>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</si>
  <si>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</si>
  <si>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</si>
  <si>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</si>
  <si>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</si>
  <si>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</si>
  <si>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</si>
  <si>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河野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</si>
  <si>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</si>
  <si>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</si>
  <si>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</si>
  <si>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</si>
  <si>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</si>
  <si>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</si>
  <si>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</si>
  <si>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</si>
  <si>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</si>
  <si>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</si>
  <si>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</si>
  <si>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</si>
  <si>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</si>
  <si>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</si>
  <si>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</si>
  <si>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</si>
  <si>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</si>
  <si>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</si>
  <si>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</si>
  <si>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</si>
  <si>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</si>
  <si>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野村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</si>
  <si>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</si>
  <si>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</si>
  <si>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</si>
  <si>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</si>
  <si>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</si>
  <si>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</si>
  <si>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</si>
  <si>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</si>
  <si>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</si>
  <si>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</si>
  <si>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木村</t>
  </si>
  <si>
    <t>江越</t>
  </si>
  <si>
    <t>有薗</t>
  </si>
  <si>
    <t>水野</t>
  </si>
  <si>
    <t>畔柳</t>
  </si>
  <si>
    <t>松浦</t>
  </si>
  <si>
    <t>北山</t>
  </si>
  <si>
    <t>奈良間</t>
  </si>
  <si>
    <t>宮内</t>
    <rPh sb="0" eb="2">
      <t>ミヤウチ</t>
    </rPh>
    <phoneticPr fontId="1"/>
  </si>
  <si>
    <t>山本拓</t>
    <rPh sb="0" eb="2">
      <t>ヤマモト</t>
    </rPh>
    <rPh sb="2" eb="3">
      <t>タク</t>
    </rPh>
    <phoneticPr fontId="1"/>
  </si>
  <si>
    <t>松岡</t>
  </si>
  <si>
    <t>田中瑛</t>
  </si>
  <si>
    <t>樋口</t>
  </si>
  <si>
    <t>長谷川凌</t>
  </si>
  <si>
    <t>松本遼</t>
  </si>
  <si>
    <t>齊藤伸</t>
  </si>
  <si>
    <t>福島</t>
  </si>
  <si>
    <t>柳川</t>
  </si>
  <si>
    <t>藤田</t>
  </si>
  <si>
    <t>山口</t>
  </si>
  <si>
    <t>柿木</t>
  </si>
  <si>
    <t>姫野</t>
  </si>
  <si>
    <t>王柏融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</si>
  <si>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</si>
  <si>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</si>
  <si>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</si>
  <si>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</si>
  <si>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</si>
  <si>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</si>
  <si>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</si>
  <si>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</si>
  <si>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</si>
  <si>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</si>
  <si>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</si>
  <si>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</si>
  <si>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</si>
  <si>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</si>
  <si>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</si>
  <si>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</si>
  <si>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宮内 春輝</t>
    <rPh sb="0" eb="2">
      <t>ミヤウチ</t>
    </rPh>
    <rPh sb="3" eb="4">
      <t>ハル</t>
    </rPh>
    <rPh sb="4" eb="5">
      <t>カガヤ</t>
    </rPh>
    <phoneticPr fontId="1"/>
  </si>
  <si>
    <t>樋口 龍之介</t>
  </si>
  <si>
    <t>長谷川 凌汰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</si>
  <si>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</si>
  <si>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</si>
  <si>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</si>
  <si>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</si>
  <si>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</si>
  <si>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</si>
  <si>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</si>
  <si>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</si>
  <si>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</si>
  <si>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姫野 優也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</si>
  <si>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</si>
  <si>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</si>
  <si>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</si>
  <si>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</si>
  <si>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</si>
  <si>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</si>
  <si>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</si>
  <si>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</si>
  <si>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</si>
  <si>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</si>
  <si>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</si>
  <si>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</si>
  <si>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広島</t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</si>
  <si>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</si>
  <si>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</si>
  <si>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</si>
  <si>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</si>
  <si>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</si>
  <si>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</si>
  <si>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</si>
  <si>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</si>
  <si>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</si>
  <si>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森下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</si>
  <si>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</si>
  <si>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</si>
  <si>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</si>
  <si>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</si>
  <si>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</si>
  <si>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</si>
  <si>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</si>
  <si>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</si>
  <si>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</si>
  <si>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</si>
  <si>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</si>
  <si>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</si>
  <si>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</si>
  <si>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</si>
  <si>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</si>
  <si>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</si>
  <si>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</si>
  <si>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林</t>
  </si>
  <si>
    <t>小園</t>
  </si>
  <si>
    <t>韮澤</t>
  </si>
  <si>
    <t>松山</t>
  </si>
  <si>
    <t>仲田</t>
  </si>
  <si>
    <t>大盛</t>
  </si>
  <si>
    <t>矢野</t>
  </si>
  <si>
    <t>長井</t>
  </si>
  <si>
    <t>遠藤</t>
  </si>
  <si>
    <t>ハーン</t>
  </si>
  <si>
    <t>羽月</t>
  </si>
  <si>
    <t>シャイナー</t>
  </si>
  <si>
    <t>中村奨</t>
  </si>
  <si>
    <t>杉田</t>
  </si>
  <si>
    <t>岡田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</si>
  <si>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</si>
  <si>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</si>
  <si>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</si>
  <si>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</si>
  <si>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</si>
  <si>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</si>
  <si>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</si>
  <si>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</si>
  <si>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</si>
  <si>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</si>
  <si>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</si>
  <si>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</si>
  <si>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</si>
  <si>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</si>
  <si>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</si>
  <si>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</si>
  <si>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</si>
  <si>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</si>
  <si>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</si>
  <si>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する</t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</si>
  <si>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</si>
  <si>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</si>
  <si>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</si>
  <si>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</si>
  <si>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</si>
  <si>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</si>
  <si>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</si>
  <si>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</si>
  <si>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</si>
  <si>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</t>
    <rPh sb="0" eb="1">
      <t>サカ</t>
    </rPh>
    <rPh sb="1" eb="2">
      <t>モト</t>
    </rPh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</si>
  <si>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</si>
  <si>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</si>
  <si>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</si>
  <si>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</si>
  <si>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</si>
  <si>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</si>
  <si>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</si>
  <si>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</si>
  <si>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</si>
  <si>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</si>
  <si>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</t>
    <rPh sb="0" eb="1">
      <t>スガ</t>
    </rPh>
    <rPh sb="1" eb="2">
      <t>ノ</t>
    </rPh>
    <phoneticPr fontId="1"/>
  </si>
  <si>
    <t>菅野 智之</t>
  </si>
  <si>
    <t>山崎 伊織</t>
  </si>
  <si>
    <t>戸郷 翔征</t>
  </si>
  <si>
    <t>井納 翔一</t>
  </si>
  <si>
    <t>小林</t>
    <rPh sb="0" eb="1">
      <t>コ</t>
    </rPh>
    <rPh sb="1" eb="2">
      <t>ハヤシ</t>
    </rPh>
    <phoneticPr fontId="1"/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</si>
  <si>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</si>
  <si>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</si>
  <si>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</si>
  <si>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</si>
  <si>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</si>
  <si>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</si>
  <si>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</si>
  <si>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</si>
  <si>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</si>
  <si>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</si>
  <si>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近藤</t>
    <rPh sb="0" eb="2">
      <t>コンドウ</t>
    </rPh>
    <phoneticPr fontId="1"/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</si>
  <si>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</si>
  <si>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</si>
  <si>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</si>
  <si>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</si>
  <si>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</si>
  <si>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</si>
  <si>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</si>
  <si>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</si>
  <si>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</si>
  <si>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</t>
    <rPh sb="0" eb="2">
      <t>ナカヤマ</t>
    </rPh>
    <phoneticPr fontId="1"/>
  </si>
  <si>
    <t>中山 礼都</t>
  </si>
  <si>
    <t>中川 皓太</t>
  </si>
  <si>
    <t>重信 慎之介</t>
  </si>
  <si>
    <t>佐々木</t>
    <rPh sb="0" eb="3">
      <t>ササキ</t>
    </rPh>
    <phoneticPr fontId="1"/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</si>
  <si>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</si>
  <si>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</si>
  <si>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</si>
  <si>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</si>
  <si>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</si>
  <si>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</si>
  <si>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</si>
  <si>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</si>
  <si>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</si>
  <si>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</si>
  <si>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</si>
  <si>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</si>
  <si>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</si>
  <si>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</si>
  <si>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</si>
  <si>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</si>
  <si>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</si>
  <si>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</si>
  <si>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</si>
  <si>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</si>
  <si>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</si>
  <si>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</si>
  <si>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</si>
  <si>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</si>
  <si>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</si>
  <si>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</si>
  <si>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</si>
  <si>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</si>
  <si>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</si>
  <si>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</si>
  <si>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</si>
  <si>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</si>
  <si>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</si>
  <si>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</si>
  <si>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</si>
  <si>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</si>
  <si>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</si>
  <si>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</si>
  <si>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</si>
  <si>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</si>
  <si>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</t>
  </si>
  <si>
    <t>菊地 大稀</t>
  </si>
  <si>
    <t>井上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</si>
  <si>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</si>
  <si>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</si>
  <si>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</si>
  <si>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</si>
  <si>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</si>
  <si>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</si>
  <si>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</si>
  <si>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</si>
  <si>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</si>
  <si>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</si>
  <si>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</si>
  <si>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</si>
  <si>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</si>
  <si>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</si>
  <si>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</si>
  <si>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</si>
  <si>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015</t>
    <phoneticPr fontId="1"/>
  </si>
  <si>
    <t>千葉</t>
    <phoneticPr fontId="1"/>
  </si>
  <si>
    <t>千葉 隆広</t>
    <phoneticPr fontId="1"/>
  </si>
  <si>
    <t>018</t>
    <phoneticPr fontId="1"/>
  </si>
  <si>
    <t>019</t>
    <phoneticPr fontId="1"/>
  </si>
  <si>
    <t>園田</t>
    <phoneticPr fontId="1"/>
  </si>
  <si>
    <t>園田 純規</t>
    <phoneticPr fontId="1"/>
  </si>
  <si>
    <t>戸田</t>
    <phoneticPr fontId="1"/>
  </si>
  <si>
    <t>023</t>
    <phoneticPr fontId="1"/>
  </si>
  <si>
    <t>田村 朋輝</t>
    <phoneticPr fontId="1"/>
  </si>
  <si>
    <t>024</t>
    <phoneticPr fontId="1"/>
  </si>
  <si>
    <t>025</t>
    <phoneticPr fontId="1"/>
  </si>
  <si>
    <t>026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</si>
  <si>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</si>
  <si>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</si>
  <si>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</si>
  <si>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</si>
  <si>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</si>
  <si>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</si>
  <si>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031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</si>
  <si>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</si>
  <si>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</si>
  <si>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</si>
  <si>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</si>
  <si>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</si>
  <si>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034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</si>
  <si>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</si>
  <si>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</si>
  <si>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</si>
  <si>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</si>
  <si>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</si>
  <si>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</si>
  <si>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044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</si>
  <si>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</si>
  <si>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</si>
  <si>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</si>
  <si>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</si>
  <si>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</si>
  <si>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</si>
  <si>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</si>
  <si>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</si>
  <si>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</si>
  <si>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</si>
  <si>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</si>
  <si>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</si>
  <si>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</si>
  <si>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山田</t>
    <rPh sb="0" eb="1">
      <t>ヤマ</t>
    </rPh>
    <rPh sb="1" eb="2">
      <t>ダ</t>
    </rPh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</si>
  <si>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</si>
  <si>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</si>
  <si>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</si>
  <si>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</si>
  <si>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</si>
  <si>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</si>
  <si>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</si>
  <si>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石川</t>
    <rPh sb="0" eb="1">
      <t>イシ</t>
    </rPh>
    <rPh sb="1" eb="2">
      <t>カワ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</si>
  <si>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</si>
  <si>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</si>
  <si>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</si>
  <si>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</si>
  <si>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</si>
  <si>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</si>
  <si>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小川</t>
    <rPh sb="0" eb="1">
      <t>コ</t>
    </rPh>
    <rPh sb="1" eb="2">
      <t>カワ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</si>
  <si>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</si>
  <si>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</si>
  <si>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</si>
  <si>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</si>
  <si>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</si>
  <si>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</si>
  <si>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エスパーダ</t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</si>
  <si>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</si>
  <si>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</si>
  <si>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</t>
    <rPh sb="0" eb="2">
      <t>ヤマモト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</si>
  <si>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</si>
  <si>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</si>
  <si>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</si>
  <si>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</si>
  <si>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</si>
  <si>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</si>
  <si>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</si>
  <si>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</si>
  <si>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長谷川</t>
    <rPh sb="0" eb="3">
      <t>ハセガワ</t>
    </rPh>
    <phoneticPr fontId="1"/>
  </si>
  <si>
    <t>サイスニード</t>
  </si>
  <si>
    <t>村上</t>
    <rPh sb="0" eb="1">
      <t>ムラ</t>
    </rPh>
    <rPh sb="1" eb="2">
      <t>ウエ</t>
    </rPh>
    <phoneticPr fontId="1"/>
  </si>
  <si>
    <t>坂本 拓己</t>
    <rPh sb="0" eb="2">
      <t>サカモト</t>
    </rPh>
    <rPh sb="3" eb="5">
      <t>タクミ</t>
    </rPh>
    <phoneticPr fontId="1"/>
  </si>
  <si>
    <t>古賀</t>
    <rPh sb="0" eb="1">
      <t>フル</t>
    </rPh>
    <rPh sb="1" eb="2">
      <t>ガ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</si>
  <si>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</si>
  <si>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</si>
  <si>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</si>
  <si>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</si>
  <si>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</si>
  <si>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</si>
  <si>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</si>
  <si>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</t>
    <rPh sb="0" eb="2">
      <t>イトウ</t>
    </rPh>
    <phoneticPr fontId="1"/>
  </si>
  <si>
    <t>伊藤 琉偉</t>
    <phoneticPr fontId="1"/>
  </si>
  <si>
    <t>ヤフーレ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</si>
  <si>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</si>
  <si>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</si>
  <si>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</si>
  <si>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</t>
    <rPh sb="0" eb="2">
      <t>タカノ</t>
    </rPh>
    <phoneticPr fontId="1"/>
  </si>
  <si>
    <t>高野 颯太</t>
    <phoneticPr fontId="1"/>
  </si>
  <si>
    <t>内間</t>
    <rPh sb="0" eb="2">
      <t>ウチマ</t>
    </rPh>
    <phoneticPr fontId="1"/>
  </si>
  <si>
    <t>中村 祐太</t>
  </si>
  <si>
    <t>鈴木</t>
  </si>
  <si>
    <t>ケラー</t>
  </si>
  <si>
    <t>渡邉</t>
  </si>
  <si>
    <t>阿部</t>
  </si>
  <si>
    <t>森</t>
  </si>
  <si>
    <t>ロドリゲス</t>
  </si>
  <si>
    <t>ブライト</t>
  </si>
  <si>
    <t>アルバレス</t>
  </si>
  <si>
    <t>上田</t>
  </si>
  <si>
    <t>ガルシア</t>
  </si>
  <si>
    <t>ワカマツ</t>
  </si>
  <si>
    <t>オグレディ</t>
  </si>
  <si>
    <t>ジャンセン</t>
  </si>
  <si>
    <t>田村</t>
  </si>
  <si>
    <t>スミス</t>
  </si>
  <si>
    <t>平良</t>
  </si>
  <si>
    <t>水上</t>
  </si>
  <si>
    <t>粟津</t>
  </si>
  <si>
    <t>上間</t>
  </si>
  <si>
    <t>出井</t>
  </si>
  <si>
    <t>赤上</t>
  </si>
  <si>
    <t>豆田</t>
  </si>
  <si>
    <t>古市</t>
  </si>
  <si>
    <t>滝澤</t>
  </si>
  <si>
    <t>中熊</t>
  </si>
  <si>
    <t>菅井</t>
  </si>
  <si>
    <t>川村</t>
  </si>
  <si>
    <t>小沼</t>
  </si>
  <si>
    <t>加藤</t>
  </si>
  <si>
    <t>ロメロ</t>
  </si>
  <si>
    <t>植田</t>
  </si>
  <si>
    <t>谷川</t>
  </si>
  <si>
    <t>速水</t>
  </si>
  <si>
    <t>永島田</t>
  </si>
  <si>
    <t>村山</t>
  </si>
  <si>
    <t>松永</t>
  </si>
  <si>
    <t>バレラ</t>
  </si>
  <si>
    <t>宮城</t>
  </si>
  <si>
    <t>ラベロ</t>
  </si>
  <si>
    <t>ワゲスパック</t>
  </si>
  <si>
    <t>バルガス</t>
  </si>
  <si>
    <t>ビドル</t>
  </si>
  <si>
    <t>001</t>
  </si>
  <si>
    <t>002</t>
  </si>
  <si>
    <t>谷岡</t>
  </si>
  <si>
    <t>003</t>
  </si>
  <si>
    <t>中田</t>
  </si>
  <si>
    <t>004</t>
  </si>
  <si>
    <t>平野大</t>
  </si>
  <si>
    <t>005</t>
  </si>
  <si>
    <t>鶴見</t>
  </si>
  <si>
    <t>008</t>
  </si>
  <si>
    <t>011</t>
  </si>
  <si>
    <t>川瀬</t>
  </si>
  <si>
    <t>012</t>
  </si>
  <si>
    <t>辻垣</t>
  </si>
  <si>
    <t>013</t>
  </si>
  <si>
    <t>宇田川</t>
  </si>
  <si>
    <t>014</t>
  </si>
  <si>
    <t>釣</t>
  </si>
  <si>
    <t>020</t>
  </si>
  <si>
    <t>山中</t>
  </si>
  <si>
    <t>021</t>
  </si>
  <si>
    <t>園部</t>
  </si>
  <si>
    <t>022</t>
  </si>
  <si>
    <t>大里</t>
  </si>
  <si>
    <t>廣澤</t>
  </si>
  <si>
    <t>中村勝</t>
  </si>
  <si>
    <t>榊原</t>
  </si>
  <si>
    <t>東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</si>
  <si>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</si>
  <si>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</si>
  <si>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</si>
  <si>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</si>
  <si>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</si>
  <si>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</si>
  <si>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</si>
  <si>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</si>
  <si>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</si>
  <si>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</si>
  <si>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</si>
  <si>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</si>
  <si>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鶴見 凌也</t>
  </si>
  <si>
    <t>松山 真之</t>
  </si>
  <si>
    <t>川瀬 堅斗</t>
  </si>
  <si>
    <t>辻垣 高良</t>
  </si>
  <si>
    <t>宇田川 優希</t>
  </si>
  <si>
    <t>釣 寿生</t>
  </si>
  <si>
    <t>山中 尭之</t>
  </si>
  <si>
    <t>園部 佳太</t>
  </si>
  <si>
    <t>大里 昂生</t>
  </si>
  <si>
    <t>廣澤 伸哉</t>
  </si>
  <si>
    <t>中村 勝</t>
  </si>
  <si>
    <t>近藤 大亮</t>
  </si>
  <si>
    <t>榊原 翼</t>
  </si>
  <si>
    <t>東 晃平</t>
  </si>
  <si>
    <t>マルモレホス</t>
  </si>
  <si>
    <t>前田</t>
  </si>
  <si>
    <t>ギッテンス</t>
  </si>
  <si>
    <t>引地</t>
  </si>
  <si>
    <t>007</t>
  </si>
  <si>
    <t>福森</t>
  </si>
  <si>
    <t>吉持</t>
  </si>
  <si>
    <t>016</t>
  </si>
  <si>
    <t>王</t>
  </si>
  <si>
    <t>釜元</t>
  </si>
  <si>
    <t>宮森</t>
  </si>
  <si>
    <t>清宮</t>
  </si>
  <si>
    <t>江川</t>
  </si>
  <si>
    <t>澤野</t>
  </si>
  <si>
    <t>柳澤</t>
  </si>
  <si>
    <t>大河原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</si>
  <si>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</si>
  <si>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</si>
  <si>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</si>
  <si>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</si>
  <si>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</si>
  <si>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</si>
  <si>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</si>
  <si>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</si>
  <si>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</si>
  <si>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</si>
  <si>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</si>
  <si>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</si>
  <si>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</si>
  <si>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</si>
  <si>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</si>
  <si>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</si>
  <si>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</si>
  <si>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</si>
  <si>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</si>
  <si>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</si>
  <si>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</t>
    <rPh sb="0" eb="2">
      <t>ホシノ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</si>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</sst>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1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8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298"/>
      <color rgb="FF595959"/>
      <color rgb="FF3B3B3B"/>
      <color rgb="FF404040"/>
      <color rgb="FF282828"/>
      <color rgb="FF7F7F7F"/>
      <color rgb="FFB4A169"/>
      <color rgb="FF004468"/>
      <color rgb="FF00FF0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77"/>
  <sheetViews>
    <sheetView zoomScaleNormal="100" workbookViewId="0">
      <selection activeCell="F28" sqref="F28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</cols>
  <sheetData>
    <row r="3" spans="2:18" x14ac:dyDescent="0.2">
      <c r="D3" s="2" t="s">
        <v>1308</v>
      </c>
      <c r="E3" s="2" t="s">
        <v>1309</v>
      </c>
      <c r="P3" s="2" t="s">
        <v>1308</v>
      </c>
      <c r="Q3" s="2" t="s">
        <v>1309</v>
      </c>
    </row>
    <row r="4" spans="2:18" ht="13.2" customHeight="1" x14ac:dyDescent="0.2">
      <c r="B4" s="78" t="s">
        <v>1277</v>
      </c>
      <c r="C4" s="2" t="s">
        <v>1279</v>
      </c>
      <c r="D4" s="33" t="s">
        <v>1283</v>
      </c>
      <c r="E4" s="68" t="s">
        <v>1283</v>
      </c>
      <c r="G4" s="77" t="s">
        <v>1297</v>
      </c>
      <c r="H4" s="2" t="s">
        <v>1279</v>
      </c>
      <c r="I4" s="40" t="s">
        <v>1298</v>
      </c>
      <c r="K4" s="3" t="s">
        <v>1303</v>
      </c>
      <c r="L4" s="3" t="s">
        <v>1439</v>
      </c>
      <c r="N4" s="69" t="s">
        <v>1277</v>
      </c>
      <c r="O4" s="44" t="s">
        <v>1310</v>
      </c>
      <c r="P4" s="3" t="str">
        <f>textcolor(D4)</f>
        <v>#FFFFFF</v>
      </c>
      <c r="Q4" s="3" t="str">
        <f>textcolor(E4)</f>
        <v>#FFFFFF</v>
      </c>
      <c r="R4" t="s">
        <v>1325</v>
      </c>
    </row>
    <row r="5" spans="2:18" x14ac:dyDescent="0.2">
      <c r="B5" s="79"/>
      <c r="C5" s="2" t="s">
        <v>1280</v>
      </c>
      <c r="D5" s="32"/>
      <c r="E5" s="67"/>
      <c r="G5" s="81"/>
      <c r="H5" s="2" t="s">
        <v>1280</v>
      </c>
      <c r="I5" s="37"/>
      <c r="K5" s="3" t="s">
        <v>1321</v>
      </c>
      <c r="L5" s="3" t="s">
        <v>1323</v>
      </c>
      <c r="N5" s="70"/>
      <c r="O5" s="44" t="s">
        <v>1317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#006298 0%, #006298 40%, #004468 60%, #004468 100%)</v>
      </c>
      <c r="R5" t="s">
        <v>1325</v>
      </c>
    </row>
    <row r="6" spans="2:18" x14ac:dyDescent="0.2">
      <c r="B6" s="79"/>
      <c r="C6" s="2" t="s">
        <v>1275</v>
      </c>
      <c r="D6" s="2" t="s">
        <v>1276</v>
      </c>
      <c r="E6" s="2" t="s">
        <v>1276</v>
      </c>
      <c r="G6" s="81"/>
      <c r="H6" s="2" t="s">
        <v>1275</v>
      </c>
      <c r="I6" s="2"/>
      <c r="K6" s="3" t="s">
        <v>1338</v>
      </c>
      <c r="L6" s="43">
        <v>113</v>
      </c>
      <c r="N6" s="75" t="s">
        <v>1294</v>
      </c>
      <c r="O6" s="44" t="s">
        <v>1310</v>
      </c>
      <c r="P6" s="3" t="str">
        <f>textcolor(D9)</f>
        <v>#FFFFFF</v>
      </c>
      <c r="Q6" s="3" t="str">
        <f>textcolor(E9)</f>
        <v>#FFFFFF</v>
      </c>
      <c r="R6" t="s">
        <v>1325</v>
      </c>
    </row>
    <row r="7" spans="2:18" x14ac:dyDescent="0.2">
      <c r="B7" s="79"/>
      <c r="C7" s="2" t="s">
        <v>1284</v>
      </c>
      <c r="D7" s="34">
        <v>0.4</v>
      </c>
      <c r="E7" s="34">
        <v>0.4</v>
      </c>
      <c r="G7" s="81"/>
      <c r="H7" s="2" t="s">
        <v>1284</v>
      </c>
      <c r="I7" s="34"/>
      <c r="K7" s="3" t="s">
        <v>1304</v>
      </c>
      <c r="L7" s="3" t="s">
        <v>1305</v>
      </c>
      <c r="N7" s="76"/>
      <c r="O7" s="44" t="s">
        <v>1317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1325</v>
      </c>
    </row>
    <row r="8" spans="2:18" x14ac:dyDescent="0.2">
      <c r="B8" s="80"/>
      <c r="C8" s="2" t="s">
        <v>1285</v>
      </c>
      <c r="D8" s="34">
        <v>0.6</v>
      </c>
      <c r="E8" s="34">
        <v>0.6</v>
      </c>
      <c r="G8" s="81"/>
      <c r="H8" s="2" t="s">
        <v>1285</v>
      </c>
      <c r="I8" s="34"/>
      <c r="K8" s="3" t="s">
        <v>1322</v>
      </c>
      <c r="L8" s="3" t="s">
        <v>1324</v>
      </c>
      <c r="N8" s="48" t="s">
        <v>1278</v>
      </c>
      <c r="O8" s="44" t="s">
        <v>1320</v>
      </c>
      <c r="P8" s="3" t="str">
        <f t="shared" ref="P8:Q10" si="0">BackGroundColorSingle(D14)</f>
        <v>#FF0000</v>
      </c>
      <c r="Q8" s="3" t="str">
        <f t="shared" si="0"/>
        <v>#B4A169</v>
      </c>
      <c r="R8" t="s">
        <v>1325</v>
      </c>
    </row>
    <row r="9" spans="2:18" x14ac:dyDescent="0.2">
      <c r="B9" s="78" t="s">
        <v>1294</v>
      </c>
      <c r="C9" s="2" t="s">
        <v>1279</v>
      </c>
      <c r="D9" s="29" t="s">
        <v>1283</v>
      </c>
      <c r="E9" s="29" t="s">
        <v>1283</v>
      </c>
      <c r="G9" s="77" t="s">
        <v>1299</v>
      </c>
      <c r="H9" s="2" t="s">
        <v>1279</v>
      </c>
      <c r="I9" s="41" t="s">
        <v>1298</v>
      </c>
      <c r="K9" s="3" t="s">
        <v>1339</v>
      </c>
      <c r="L9" s="43">
        <v>117</v>
      </c>
      <c r="N9" s="48" t="s">
        <v>1330</v>
      </c>
      <c r="O9" s="44" t="s">
        <v>1320</v>
      </c>
      <c r="P9" s="3" t="str">
        <f t="shared" si="0"/>
        <v>#7F7F7F</v>
      </c>
      <c r="Q9" s="3" t="str">
        <f t="shared" si="0"/>
        <v>#7F7F7F</v>
      </c>
      <c r="R9" t="s">
        <v>1325</v>
      </c>
    </row>
    <row r="10" spans="2:18" x14ac:dyDescent="0.2">
      <c r="B10" s="79"/>
      <c r="C10" s="2" t="s">
        <v>1280</v>
      </c>
      <c r="D10" s="37"/>
      <c r="E10" s="37"/>
      <c r="G10" s="81"/>
      <c r="H10" s="2" t="s">
        <v>1280</v>
      </c>
      <c r="I10" s="37"/>
      <c r="K10" s="3" t="s">
        <v>1306</v>
      </c>
      <c r="L10" s="43">
        <v>12</v>
      </c>
      <c r="N10" s="48" t="s">
        <v>1329</v>
      </c>
      <c r="O10" s="44" t="s">
        <v>1320</v>
      </c>
      <c r="P10" s="3" t="str">
        <f t="shared" si="0"/>
        <v>#FFFFFF</v>
      </c>
      <c r="Q10" s="3" t="str">
        <f t="shared" si="0"/>
        <v>#FFFFFF</v>
      </c>
      <c r="R10" t="s">
        <v>1325</v>
      </c>
    </row>
    <row r="11" spans="2:18" x14ac:dyDescent="0.2">
      <c r="B11" s="79"/>
      <c r="C11" s="2" t="s">
        <v>1275</v>
      </c>
      <c r="D11" s="2"/>
      <c r="E11" s="2"/>
      <c r="G11" s="81"/>
      <c r="H11" s="2" t="s">
        <v>1275</v>
      </c>
      <c r="I11" s="2"/>
      <c r="K11" s="3" t="s">
        <v>1307</v>
      </c>
      <c r="L11" s="3" t="s">
        <v>1501</v>
      </c>
      <c r="N11" s="69" t="s">
        <v>1281</v>
      </c>
      <c r="O11" s="44" t="s">
        <v>1310</v>
      </c>
      <c r="P11" s="3" t="str">
        <f>textcolor(D17)</f>
        <v>#FFFFFF</v>
      </c>
      <c r="Q11" s="3" t="str">
        <f>textcolor(E16)</f>
        <v>#FFFFFF</v>
      </c>
      <c r="R11" t="s">
        <v>1325</v>
      </c>
    </row>
    <row r="12" spans="2:18" x14ac:dyDescent="0.2">
      <c r="B12" s="79"/>
      <c r="C12" s="2" t="s">
        <v>1284</v>
      </c>
      <c r="D12" s="34"/>
      <c r="E12" s="34"/>
      <c r="G12" s="81"/>
      <c r="H12" s="2" t="s">
        <v>1284</v>
      </c>
      <c r="I12" s="34"/>
      <c r="K12" s="3" t="s">
        <v>1336</v>
      </c>
      <c r="L12" s="3" t="s">
        <v>1337</v>
      </c>
      <c r="N12" s="70"/>
      <c r="O12" s="44" t="s">
        <v>1317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1325</v>
      </c>
    </row>
    <row r="13" spans="2:18" x14ac:dyDescent="0.2">
      <c r="B13" s="80"/>
      <c r="C13" s="2" t="s">
        <v>1285</v>
      </c>
      <c r="D13" s="34"/>
      <c r="E13" s="34"/>
      <c r="G13" s="81"/>
      <c r="H13" s="2" t="s">
        <v>1285</v>
      </c>
      <c r="I13" s="34"/>
      <c r="N13" s="69" t="s">
        <v>1282</v>
      </c>
      <c r="O13" s="44" t="s">
        <v>1310</v>
      </c>
      <c r="P13" s="3" t="str">
        <f>textcolor(D22)</f>
        <v>#FFFFFF</v>
      </c>
      <c r="Q13" s="3" t="str">
        <f>textcolor(E22)</f>
        <v>#FFFFFF</v>
      </c>
      <c r="R13" t="s">
        <v>1325</v>
      </c>
    </row>
    <row r="14" spans="2:18" ht="13.2" customHeight="1" x14ac:dyDescent="0.2">
      <c r="B14" s="28" t="s">
        <v>1278</v>
      </c>
      <c r="C14" s="2" t="s">
        <v>1320</v>
      </c>
      <c r="D14" s="27"/>
      <c r="E14" s="36"/>
      <c r="G14" s="77" t="s">
        <v>1300</v>
      </c>
      <c r="H14" s="2" t="s">
        <v>1279</v>
      </c>
      <c r="I14" s="38" t="s">
        <v>1298</v>
      </c>
      <c r="N14" s="70"/>
      <c r="O14" s="44" t="s">
        <v>1317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1325</v>
      </c>
    </row>
    <row r="15" spans="2:18" ht="13.2" customHeight="1" x14ac:dyDescent="0.2">
      <c r="B15" s="28" t="s">
        <v>1330</v>
      </c>
      <c r="C15" s="2" t="s">
        <v>1320</v>
      </c>
      <c r="D15" s="52"/>
      <c r="E15" s="52"/>
      <c r="G15" s="81"/>
      <c r="H15" s="2" t="s">
        <v>1280</v>
      </c>
      <c r="I15" s="37"/>
      <c r="N15" s="69" t="s">
        <v>1287</v>
      </c>
      <c r="O15" s="44" t="s">
        <v>1310</v>
      </c>
      <c r="P15" s="3" t="str">
        <f>textcolor(D27)</f>
        <v>#FFFFFF</v>
      </c>
      <c r="Q15" s="3" t="str">
        <f>textcolor(E27)</f>
        <v>#006298</v>
      </c>
      <c r="R15" t="s">
        <v>1325</v>
      </c>
    </row>
    <row r="16" spans="2:18" x14ac:dyDescent="0.2">
      <c r="B16" s="28" t="s">
        <v>1329</v>
      </c>
      <c r="C16" s="2" t="s">
        <v>1320</v>
      </c>
      <c r="D16" s="51"/>
      <c r="E16" s="51"/>
      <c r="G16" s="81"/>
      <c r="H16" s="2" t="s">
        <v>1275</v>
      </c>
      <c r="I16" s="2"/>
      <c r="N16" s="70"/>
      <c r="O16" s="44" t="s">
        <v>1317</v>
      </c>
      <c r="P16" s="3" t="str">
        <f>BackGroundColor(D27,D28,D29,D30,D31,FALSE)</f>
        <v>linear-gradient(to bottom, #FF0000 0%, #FF0000 40%, #CC0000 60%, #CC0000 100%)</v>
      </c>
      <c r="Q16" s="3" t="str">
        <f>BackGroundColor(E27,E28,E29,E30,E31,FALSE)</f>
        <v>linear-gradient(to bottom, #FFFFFF 0%, #FFFFFF 40%, #F2F2F2 60%, #F2F2F2 100%)</v>
      </c>
      <c r="R16" t="s">
        <v>1325</v>
      </c>
    </row>
    <row r="17" spans="2:18" x14ac:dyDescent="0.2">
      <c r="B17" s="78" t="s">
        <v>1281</v>
      </c>
      <c r="C17" s="2" t="s">
        <v>1279</v>
      </c>
      <c r="D17" s="29" t="s">
        <v>1289</v>
      </c>
      <c r="E17" s="29" t="s">
        <v>1289</v>
      </c>
      <c r="G17" s="81"/>
      <c r="H17" s="2" t="s">
        <v>1284</v>
      </c>
      <c r="I17" s="34"/>
      <c r="N17" s="69" t="s">
        <v>1288</v>
      </c>
      <c r="O17" s="44" t="s">
        <v>1310</v>
      </c>
      <c r="P17" s="3" t="str">
        <f>textcolor(D32)</f>
        <v>#FFFFFF</v>
      </c>
      <c r="Q17" s="3" t="str">
        <f>textcolor(E32)</f>
        <v>#006298</v>
      </c>
      <c r="R17" t="s">
        <v>1325</v>
      </c>
    </row>
    <row r="18" spans="2:18" x14ac:dyDescent="0.2">
      <c r="B18" s="79"/>
      <c r="C18" s="2" t="s">
        <v>1280</v>
      </c>
      <c r="D18" s="30"/>
      <c r="E18" s="30"/>
      <c r="G18" s="81"/>
      <c r="H18" s="2" t="s">
        <v>1285</v>
      </c>
      <c r="I18" s="34"/>
      <c r="N18" s="70"/>
      <c r="O18" s="44" t="s">
        <v>1317</v>
      </c>
      <c r="P18" s="3" t="str">
        <f>BackGroundColor(D27,D28,D29,D30,D31,FALSE)</f>
        <v>linear-gradient(to bottom, #FF0000 0%, #FF0000 40%, #CC0000 60%, #CC0000 100%)</v>
      </c>
      <c r="Q18" s="3" t="str">
        <f>BackGroundColor(E27,E28,E29,E30,E31,FALSE)</f>
        <v>linear-gradient(to bottom, #FFFFFF 0%, #FFFFFF 40%, #F2F2F2 60%, #F2F2F2 100%)</v>
      </c>
      <c r="R18" t="s">
        <v>1325</v>
      </c>
    </row>
    <row r="19" spans="2:18" x14ac:dyDescent="0.2">
      <c r="B19" s="79"/>
      <c r="C19" s="2" t="s">
        <v>1275</v>
      </c>
      <c r="D19" s="2" t="s">
        <v>1276</v>
      </c>
      <c r="E19" s="2" t="s">
        <v>1276</v>
      </c>
      <c r="G19" s="77" t="s">
        <v>1318</v>
      </c>
      <c r="H19" s="2" t="s">
        <v>1279</v>
      </c>
      <c r="I19" s="64">
        <v>1</v>
      </c>
      <c r="N19" s="69" t="s">
        <v>1290</v>
      </c>
      <c r="O19" s="44" t="s">
        <v>1310</v>
      </c>
      <c r="P19" s="3" t="str">
        <f>textcolor(D37)</f>
        <v>#FFFFFF</v>
      </c>
      <c r="Q19" s="3" t="str">
        <f>textcolor(E37)</f>
        <v>#FFFFFF</v>
      </c>
      <c r="R19" t="s">
        <v>1325</v>
      </c>
    </row>
    <row r="20" spans="2:18" ht="13.2" customHeight="1" x14ac:dyDescent="0.2">
      <c r="B20" s="79"/>
      <c r="C20" s="2" t="s">
        <v>1284</v>
      </c>
      <c r="D20" s="34">
        <v>0.4</v>
      </c>
      <c r="E20" s="34">
        <v>0.4</v>
      </c>
      <c r="G20" s="81"/>
      <c r="H20" s="2" t="s">
        <v>1280</v>
      </c>
      <c r="I20" s="37"/>
      <c r="N20" s="70"/>
      <c r="O20" s="44" t="s">
        <v>1317</v>
      </c>
      <c r="P20" s="3" t="str">
        <f>BackGroundColor(D37,D38,D39,D40,D41,FALSE)</f>
        <v>linear-gradient(to bottom, #3B3B3B 0%, #3B3B3B 40%, #1E1E1E 60%, #1E1E1E 100%)</v>
      </c>
      <c r="Q20" s="3" t="str">
        <f>BackGroundColor(E37,E38,E39,E40,E41,FALSE)</f>
        <v>linear-gradient(to bottom, #3B3B3B 0%, #3B3B3B 40%, #1E1E1E 60%, #1E1E1E 100%)</v>
      </c>
      <c r="R20" t="s">
        <v>1325</v>
      </c>
    </row>
    <row r="21" spans="2:18" x14ac:dyDescent="0.2">
      <c r="B21" s="80"/>
      <c r="C21" s="2" t="s">
        <v>1285</v>
      </c>
      <c r="D21" s="34">
        <v>0.6</v>
      </c>
      <c r="E21" s="34">
        <v>0.6</v>
      </c>
      <c r="G21" s="81"/>
      <c r="H21" s="2" t="s">
        <v>1275</v>
      </c>
      <c r="I21" s="2"/>
      <c r="N21" s="69" t="s">
        <v>1291</v>
      </c>
      <c r="O21" s="44" t="s">
        <v>1310</v>
      </c>
      <c r="P21" s="3" t="str">
        <f>textcolor(D42)</f>
        <v>#00FF00</v>
      </c>
      <c r="Q21" s="3" t="str">
        <f>textcolor(E42)</f>
        <v>#00FF00</v>
      </c>
      <c r="R21" t="s">
        <v>1325</v>
      </c>
    </row>
    <row r="22" spans="2:18" x14ac:dyDescent="0.2">
      <c r="B22" s="77" t="s">
        <v>1282</v>
      </c>
      <c r="C22" s="2" t="s">
        <v>1279</v>
      </c>
      <c r="D22" s="53" t="s">
        <v>1286</v>
      </c>
      <c r="E22" s="53" t="s">
        <v>1286</v>
      </c>
      <c r="G22" s="81"/>
      <c r="H22" s="2" t="s">
        <v>1284</v>
      </c>
      <c r="I22" s="34"/>
      <c r="N22" s="70"/>
      <c r="O22" s="44" t="s">
        <v>1317</v>
      </c>
      <c r="P22" s="3" t="str">
        <f>BackGroundColor(D42,D43,D44,D45,D46,TRUE)</f>
        <v>#404040</v>
      </c>
      <c r="Q22" s="3" t="str">
        <f>BackGroundColor(E42,E43,E44,E45,E46,TRUE)</f>
        <v>#404040</v>
      </c>
      <c r="R22" t="s">
        <v>1325</v>
      </c>
    </row>
    <row r="23" spans="2:18" x14ac:dyDescent="0.2">
      <c r="B23" s="77"/>
      <c r="C23" s="2" t="s">
        <v>1280</v>
      </c>
      <c r="D23" s="35" t="s">
        <v>1286</v>
      </c>
      <c r="E23" s="35" t="s">
        <v>1286</v>
      </c>
      <c r="G23" s="81"/>
      <c r="H23" s="2" t="s">
        <v>1285</v>
      </c>
      <c r="I23" s="34"/>
      <c r="N23" s="69" t="s">
        <v>1328</v>
      </c>
      <c r="O23" s="44" t="s">
        <v>1310</v>
      </c>
      <c r="P23" s="3" t="str">
        <f>textcolor(D47)</f>
        <v>#FFFFFF</v>
      </c>
      <c r="Q23" s="3" t="str">
        <f>textcolor(E47)</f>
        <v>#006298</v>
      </c>
      <c r="R23" t="s">
        <v>1325</v>
      </c>
    </row>
    <row r="24" spans="2:18" x14ac:dyDescent="0.2">
      <c r="B24" s="77"/>
      <c r="C24" s="2" t="s">
        <v>1275</v>
      </c>
      <c r="D24" s="2"/>
      <c r="E24" s="2"/>
      <c r="G24" s="77" t="s">
        <v>1301</v>
      </c>
      <c r="H24" s="2" t="s">
        <v>1279</v>
      </c>
      <c r="I24" s="39" t="s">
        <v>1302</v>
      </c>
      <c r="N24" s="70"/>
      <c r="O24" s="44" t="s">
        <v>1317</v>
      </c>
      <c r="P24" s="3" t="str">
        <f>BackGroundColor(D47,D48,D49,D50,D51,FALSE)</f>
        <v>linear-gradient(to bottom, #FF0000 0%, #FF0000 40%, #CC0000 60%, #CC0000 100%)</v>
      </c>
      <c r="Q24" s="3" t="str">
        <f>BackGroundColor(E47,E48,E49,E50,E51,FALSE)</f>
        <v>linear-gradient(to bottom, #FFFFFF 0%, #FFFFFF 40%, #F2F2F2 60%, #F2F2F2 100%)</v>
      </c>
      <c r="R24" t="s">
        <v>1325</v>
      </c>
    </row>
    <row r="25" spans="2:18" ht="13.2" customHeight="1" x14ac:dyDescent="0.2">
      <c r="B25" s="77"/>
      <c r="C25" s="2" t="s">
        <v>1284</v>
      </c>
      <c r="D25" s="34"/>
      <c r="E25" s="34"/>
      <c r="G25" s="81"/>
      <c r="H25" s="2" t="s">
        <v>1280</v>
      </c>
      <c r="I25" s="37"/>
      <c r="N25" s="69" t="s">
        <v>1327</v>
      </c>
      <c r="O25" s="44" t="s">
        <v>1310</v>
      </c>
      <c r="P25" s="3" t="str">
        <f>textcolor(D52)</f>
        <v>#FFFFFF</v>
      </c>
      <c r="Q25" s="3" t="str">
        <f>textcolor(E52)</f>
        <v>#FFFFFF</v>
      </c>
      <c r="R25" t="s">
        <v>1325</v>
      </c>
    </row>
    <row r="26" spans="2:18" x14ac:dyDescent="0.2">
      <c r="B26" s="77"/>
      <c r="C26" s="2" t="s">
        <v>1285</v>
      </c>
      <c r="D26" s="34"/>
      <c r="E26" s="34"/>
      <c r="G26" s="81"/>
      <c r="H26" s="2" t="s">
        <v>1275</v>
      </c>
      <c r="I26" s="2"/>
      <c r="N26" s="70"/>
      <c r="O26" s="44" t="s">
        <v>1317</v>
      </c>
      <c r="P26" s="3" t="str">
        <f>BackGroundColor(D52,D53,D54,D55,D56,TRUE)</f>
        <v>#404040</v>
      </c>
      <c r="Q26" s="3" t="str">
        <f>BackGroundColor(E52,E53,E54,E55,E56,TRUE)</f>
        <v>#404040</v>
      </c>
      <c r="R26" t="s">
        <v>1325</v>
      </c>
    </row>
    <row r="27" spans="2:18" x14ac:dyDescent="0.2">
      <c r="B27" s="78" t="s">
        <v>1287</v>
      </c>
      <c r="C27" s="2" t="s">
        <v>1279</v>
      </c>
      <c r="D27" s="33" t="s">
        <v>1289</v>
      </c>
      <c r="E27" s="65" t="s">
        <v>1289</v>
      </c>
      <c r="G27" s="81"/>
      <c r="H27" s="2" t="s">
        <v>1284</v>
      </c>
      <c r="I27" s="34"/>
      <c r="N27" s="71" t="s">
        <v>1292</v>
      </c>
      <c r="O27" s="44" t="s">
        <v>1310</v>
      </c>
      <c r="P27" s="3" t="str">
        <f>textcolor(D57)</f>
        <v>#FFFFFF</v>
      </c>
      <c r="Q27" s="3" t="str">
        <f>textcolor(E57)</f>
        <v>#FFFFFF</v>
      </c>
      <c r="R27" t="s">
        <v>1325</v>
      </c>
    </row>
    <row r="28" spans="2:18" x14ac:dyDescent="0.2">
      <c r="B28" s="79"/>
      <c r="C28" s="2" t="s">
        <v>1280</v>
      </c>
      <c r="D28" s="32"/>
      <c r="E28" s="66"/>
      <c r="G28" s="81"/>
      <c r="H28" s="2" t="s">
        <v>1285</v>
      </c>
      <c r="I28" s="34"/>
      <c r="N28" s="72"/>
      <c r="O28" s="44" t="s">
        <v>1317</v>
      </c>
      <c r="P28" s="3" t="str">
        <f>BackGroundColor(D57,D58,D59,D60,D61,TRUE)</f>
        <v>linear-gradient(to bottom, #FF0000 0%, #FF0000 40%, #CC0000 60%, #CC0000 100%)</v>
      </c>
      <c r="Q28" s="3" t="str">
        <f>BackGroundColor(E57,E58,E59,E60,E61,TRUE)</f>
        <v>linear-gradient(to bottom, #006298 0%, #006298 40%, #004468 60%, #004468 100%)</v>
      </c>
      <c r="R28" t="s">
        <v>1325</v>
      </c>
    </row>
    <row r="29" spans="2:18" x14ac:dyDescent="0.2">
      <c r="B29" s="79"/>
      <c r="C29" s="2" t="s">
        <v>1275</v>
      </c>
      <c r="D29" s="2" t="s">
        <v>1276</v>
      </c>
      <c r="E29" s="2" t="s">
        <v>1276</v>
      </c>
      <c r="G29" s="78" t="s">
        <v>1317</v>
      </c>
      <c r="H29" s="2" t="s">
        <v>1279</v>
      </c>
      <c r="I29" s="42"/>
      <c r="N29" s="73" t="s">
        <v>1295</v>
      </c>
      <c r="O29" s="44" t="s">
        <v>1310</v>
      </c>
      <c r="P29" s="3" t="str">
        <f>textcolor(D62)</f>
        <v>#FFFFFF</v>
      </c>
      <c r="Q29" s="3" t="str">
        <f>textcolor(E62)</f>
        <v>#FFFFFF</v>
      </c>
      <c r="R29" t="s">
        <v>1325</v>
      </c>
    </row>
    <row r="30" spans="2:18" ht="13.2" customHeight="1" x14ac:dyDescent="0.2">
      <c r="B30" s="79"/>
      <c r="C30" s="2" t="s">
        <v>1284</v>
      </c>
      <c r="D30" s="34">
        <v>0.4</v>
      </c>
      <c r="E30" s="34">
        <v>0.4</v>
      </c>
      <c r="G30" s="79"/>
      <c r="H30" s="2" t="s">
        <v>1280</v>
      </c>
      <c r="I30" s="37"/>
      <c r="N30" s="74"/>
      <c r="O30" s="44" t="s">
        <v>1317</v>
      </c>
      <c r="P30" s="3" t="str">
        <f>BackGroundColor(D62,D63,D64,D65,D66,FALSE)</f>
        <v>linear-gradient(to bottom, #FF0000 0%, #FF0000 40%, #CC0000 60%, #CC0000 100%)</v>
      </c>
      <c r="Q30" s="3" t="str">
        <f>BackGroundColor(E62,E63,E64,E65,E66,FALSE)</f>
        <v>linear-gradient(to bottom, #006298 0%, #006298 40%, #004468 60%, #004468 100%)</v>
      </c>
      <c r="R30" t="s">
        <v>1325</v>
      </c>
    </row>
    <row r="31" spans="2:18" x14ac:dyDescent="0.2">
      <c r="B31" s="80"/>
      <c r="C31" s="2" t="s">
        <v>1285</v>
      </c>
      <c r="D31" s="34">
        <v>0.6</v>
      </c>
      <c r="E31" s="34">
        <v>0.6</v>
      </c>
      <c r="G31" s="79"/>
      <c r="H31" s="2" t="s">
        <v>1275</v>
      </c>
      <c r="I31" s="2"/>
      <c r="N31" s="73" t="s">
        <v>1296</v>
      </c>
      <c r="O31" s="44" t="s">
        <v>1310</v>
      </c>
      <c r="P31" s="3" t="str">
        <f>textcolor(D67)</f>
        <v>#00FF00</v>
      </c>
      <c r="Q31" s="3" t="str">
        <f>textcolor(E67)</f>
        <v>#00FF00</v>
      </c>
      <c r="R31" t="s">
        <v>1325</v>
      </c>
    </row>
    <row r="32" spans="2:18" x14ac:dyDescent="0.2">
      <c r="B32" s="77" t="s">
        <v>1288</v>
      </c>
      <c r="C32" s="2" t="s">
        <v>1279</v>
      </c>
      <c r="D32" s="33" t="s">
        <v>1286</v>
      </c>
      <c r="E32" s="65" t="s">
        <v>1286</v>
      </c>
      <c r="G32" s="79"/>
      <c r="H32" s="2" t="s">
        <v>1284</v>
      </c>
      <c r="I32" s="34"/>
      <c r="N32" s="74"/>
      <c r="O32" s="44" t="s">
        <v>1317</v>
      </c>
      <c r="P32" s="3" t="str">
        <f>BackGroundColor(D67,D68,D69,D70,D71,FALSE)</f>
        <v>#404040</v>
      </c>
      <c r="Q32" s="3" t="str">
        <f>BackGroundColor(E67,E68,E69,E70,E71,FALSE)</f>
        <v>#404040</v>
      </c>
      <c r="R32" t="s">
        <v>1325</v>
      </c>
    </row>
    <row r="33" spans="2:18" x14ac:dyDescent="0.2">
      <c r="B33" s="77"/>
      <c r="C33" s="2" t="s">
        <v>1280</v>
      </c>
      <c r="D33" s="32"/>
      <c r="E33" s="66"/>
      <c r="G33" s="80"/>
      <c r="H33" s="2" t="s">
        <v>1285</v>
      </c>
      <c r="I33" s="34"/>
      <c r="N33" s="82" t="s">
        <v>1293</v>
      </c>
      <c r="O33" s="44" t="s">
        <v>1310</v>
      </c>
      <c r="P33" s="3" t="str">
        <f>textcolor(D72)</f>
        <v>#FFFFFF</v>
      </c>
      <c r="Q33" s="3" t="str">
        <f>textcolor(E72)</f>
        <v>#FFFFFF</v>
      </c>
      <c r="R33" t="s">
        <v>1325</v>
      </c>
    </row>
    <row r="34" spans="2:18" x14ac:dyDescent="0.2">
      <c r="B34" s="77"/>
      <c r="C34" s="2" t="s">
        <v>1275</v>
      </c>
      <c r="D34" s="2" t="s">
        <v>1276</v>
      </c>
      <c r="E34" s="2" t="s">
        <v>1276</v>
      </c>
      <c r="G34" s="2" t="s">
        <v>1319</v>
      </c>
      <c r="H34" s="2" t="s">
        <v>1320</v>
      </c>
      <c r="I34" s="47"/>
      <c r="N34" s="83"/>
      <c r="O34" s="44" t="s">
        <v>1317</v>
      </c>
      <c r="P34" s="3" t="str">
        <f>BackGroundColor(D72,D73,D74,D75,D76,TRUE)</f>
        <v>linear-gradient(to bottom, #FF0000 0%, #FF0000 40%, #CC0000 60%, #CC0000 100%)</v>
      </c>
      <c r="Q34" s="3" t="str">
        <f>BackGroundColor(E72,E73,E74,E75,E76,TRUE)</f>
        <v>linear-gradient(to bottom, #006298 0%, #006298 40%, #004468 60%, #004468 100%)</v>
      </c>
      <c r="R34" t="s">
        <v>1325</v>
      </c>
    </row>
    <row r="35" spans="2:18" ht="13.2" customHeight="1" x14ac:dyDescent="0.2">
      <c r="B35" s="77"/>
      <c r="C35" s="2" t="s">
        <v>1284</v>
      </c>
      <c r="D35" s="34">
        <v>0.4</v>
      </c>
      <c r="E35" s="34">
        <v>0.4</v>
      </c>
      <c r="G35" s="2" t="s">
        <v>1331</v>
      </c>
      <c r="H35" s="2" t="s">
        <v>1320</v>
      </c>
      <c r="I35" s="52"/>
      <c r="N35" s="48" t="s">
        <v>1311</v>
      </c>
      <c r="O35" s="44" t="s">
        <v>1310</v>
      </c>
      <c r="P35" s="3" t="str">
        <f>textcolor(D77)</f>
        <v>#FFFF00</v>
      </c>
      <c r="Q35" s="3" t="str">
        <f>textcolor(E77)</f>
        <v>#FFFF00</v>
      </c>
      <c r="R35" t="s">
        <v>1325</v>
      </c>
    </row>
    <row r="36" spans="2:18" x14ac:dyDescent="0.2">
      <c r="B36" s="77"/>
      <c r="C36" s="2" t="s">
        <v>1285</v>
      </c>
      <c r="D36" s="34">
        <v>0.6</v>
      </c>
      <c r="E36" s="34">
        <v>0.6</v>
      </c>
      <c r="G36" s="78" t="s">
        <v>1332</v>
      </c>
      <c r="H36" s="2" t="s">
        <v>1279</v>
      </c>
      <c r="I36" s="39" t="s">
        <v>1289</v>
      </c>
      <c r="N36" s="75" t="s">
        <v>1313</v>
      </c>
      <c r="O36" s="44" t="s">
        <v>1310</v>
      </c>
      <c r="P36" s="3" t="str">
        <f>textcolor(I4)</f>
        <v>#000000</v>
      </c>
      <c r="Q36" t="s">
        <v>1325</v>
      </c>
      <c r="R36" t="s">
        <v>1325</v>
      </c>
    </row>
    <row r="37" spans="2:18" x14ac:dyDescent="0.2">
      <c r="B37" s="78" t="s">
        <v>1290</v>
      </c>
      <c r="C37" s="2" t="s">
        <v>1279</v>
      </c>
      <c r="D37" s="29" t="s">
        <v>1289</v>
      </c>
      <c r="E37" s="29" t="s">
        <v>1289</v>
      </c>
      <c r="G37" s="79"/>
      <c r="H37" s="2" t="s">
        <v>1280</v>
      </c>
      <c r="I37" s="37"/>
      <c r="N37" s="76"/>
      <c r="O37" s="44" t="s">
        <v>1317</v>
      </c>
      <c r="P37" s="3" t="str">
        <f>BackGroundColor(I4,I5,I6,I7,I8,TRUE)</f>
        <v>#FFFFFF</v>
      </c>
      <c r="Q37" t="s">
        <v>1325</v>
      </c>
    </row>
    <row r="38" spans="2:18" x14ac:dyDescent="0.2">
      <c r="B38" s="79"/>
      <c r="C38" s="2" t="s">
        <v>1280</v>
      </c>
      <c r="D38" s="30"/>
      <c r="E38" s="30"/>
      <c r="G38" s="79"/>
      <c r="H38" s="2" t="s">
        <v>1275</v>
      </c>
      <c r="I38" s="2"/>
      <c r="N38" s="75" t="s">
        <v>1314</v>
      </c>
      <c r="O38" s="44" t="s">
        <v>1310</v>
      </c>
      <c r="P38" s="3" t="str">
        <f>textcolor(I9)</f>
        <v>#000000</v>
      </c>
      <c r="Q38" t="s">
        <v>1325</v>
      </c>
    </row>
    <row r="39" spans="2:18" x14ac:dyDescent="0.2">
      <c r="B39" s="79"/>
      <c r="C39" s="2" t="s">
        <v>1275</v>
      </c>
      <c r="D39" s="2" t="s">
        <v>1276</v>
      </c>
      <c r="E39" s="2" t="s">
        <v>1276</v>
      </c>
      <c r="G39" s="79"/>
      <c r="H39" s="2" t="s">
        <v>1284</v>
      </c>
      <c r="I39" s="34"/>
      <c r="N39" s="76"/>
      <c r="O39" s="44" t="s">
        <v>1317</v>
      </c>
      <c r="P39" s="3" t="str">
        <f>BackGroundColor(I9,I10,I11,I12,I13,TRUE)</f>
        <v>#F2F2F2</v>
      </c>
      <c r="Q39" t="s">
        <v>1325</v>
      </c>
    </row>
    <row r="40" spans="2:18" ht="13.2" customHeight="1" x14ac:dyDescent="0.2">
      <c r="B40" s="79"/>
      <c r="C40" s="2" t="s">
        <v>1284</v>
      </c>
      <c r="D40" s="34">
        <v>0.4</v>
      </c>
      <c r="E40" s="34">
        <v>0.4</v>
      </c>
      <c r="G40" s="80"/>
      <c r="H40" s="2" t="s">
        <v>1285</v>
      </c>
      <c r="I40" s="34"/>
      <c r="N40" s="75" t="s">
        <v>1315</v>
      </c>
      <c r="O40" s="44" t="s">
        <v>1310</v>
      </c>
      <c r="P40" s="3" t="str">
        <f>textcolor(I14)</f>
        <v>#FFFF00</v>
      </c>
      <c r="Q40" t="s">
        <v>1325</v>
      </c>
    </row>
    <row r="41" spans="2:18" x14ac:dyDescent="0.2">
      <c r="B41" s="80"/>
      <c r="C41" s="2" t="s">
        <v>1285</v>
      </c>
      <c r="D41" s="34">
        <v>0.6</v>
      </c>
      <c r="E41" s="34">
        <v>0.6</v>
      </c>
      <c r="G41" s="77" t="s">
        <v>1333</v>
      </c>
      <c r="H41" s="2" t="s">
        <v>1279</v>
      </c>
      <c r="I41" s="53" t="s">
        <v>1286</v>
      </c>
      <c r="N41" s="76"/>
      <c r="O41" s="44" t="s">
        <v>1317</v>
      </c>
      <c r="P41" s="3" t="str">
        <f>BackGroundColor(I14,I15,I16,I17,I18,TRUE)</f>
        <v>#000000</v>
      </c>
      <c r="Q41" t="s">
        <v>1325</v>
      </c>
    </row>
    <row r="42" spans="2:18" x14ac:dyDescent="0.2">
      <c r="B42" s="77" t="s">
        <v>1291</v>
      </c>
      <c r="C42" s="2" t="s">
        <v>1279</v>
      </c>
      <c r="D42" s="54" t="s">
        <v>1286</v>
      </c>
      <c r="E42" s="54" t="s">
        <v>1286</v>
      </c>
      <c r="G42" s="77"/>
      <c r="H42" s="2" t="s">
        <v>1280</v>
      </c>
      <c r="I42" s="37"/>
      <c r="N42" s="75" t="s">
        <v>1326</v>
      </c>
      <c r="O42" s="44" t="s">
        <v>1310</v>
      </c>
      <c r="P42" s="3" t="str">
        <f>textcolor(I19)</f>
        <v>#FFFFFF</v>
      </c>
      <c r="Q42" t="s">
        <v>1325</v>
      </c>
    </row>
    <row r="43" spans="2:18" x14ac:dyDescent="0.2">
      <c r="B43" s="77"/>
      <c r="C43" s="2" t="s">
        <v>1280</v>
      </c>
      <c r="D43" s="31" t="s">
        <v>1286</v>
      </c>
      <c r="E43" s="31" t="s">
        <v>1286</v>
      </c>
      <c r="G43" s="77"/>
      <c r="H43" s="2" t="s">
        <v>1275</v>
      </c>
      <c r="I43" s="2"/>
      <c r="N43" s="76"/>
      <c r="O43" s="44" t="s">
        <v>1317</v>
      </c>
      <c r="P43" s="3" t="str">
        <f>BackGroundColor(I19,I20,I21,I22,I23,FALSE)</f>
        <v>#595959</v>
      </c>
      <c r="Q43" t="s">
        <v>1325</v>
      </c>
    </row>
    <row r="44" spans="2:18" x14ac:dyDescent="0.2">
      <c r="B44" s="77"/>
      <c r="C44" s="2" t="s">
        <v>1275</v>
      </c>
      <c r="D44" s="2"/>
      <c r="E44" s="2"/>
      <c r="G44" s="77"/>
      <c r="H44" s="2" t="s">
        <v>1284</v>
      </c>
      <c r="I44" s="34"/>
      <c r="N44" s="75" t="s">
        <v>1316</v>
      </c>
      <c r="O44" s="44" t="s">
        <v>1310</v>
      </c>
      <c r="P44" s="3" t="str">
        <f>textcolor(I24)</f>
        <v>#000000</v>
      </c>
      <c r="Q44" t="s">
        <v>1325</v>
      </c>
    </row>
    <row r="45" spans="2:18" ht="13.2" customHeight="1" x14ac:dyDescent="0.2">
      <c r="B45" s="77"/>
      <c r="C45" s="2" t="s">
        <v>1284</v>
      </c>
      <c r="D45" s="34"/>
      <c r="E45" s="34"/>
      <c r="G45" s="77"/>
      <c r="H45" s="2" t="s">
        <v>1285</v>
      </c>
      <c r="I45" s="34"/>
      <c r="N45" s="76"/>
      <c r="O45" s="44" t="s">
        <v>1317</v>
      </c>
      <c r="P45" s="3" t="str">
        <f>BackGroundColor(I24,I25,I26,I27,I28,FALSE)</f>
        <v>#FFFFFF</v>
      </c>
      <c r="Q45" t="s">
        <v>1325</v>
      </c>
    </row>
    <row r="46" spans="2:18" x14ac:dyDescent="0.2">
      <c r="B46" s="77"/>
      <c r="C46" s="2" t="s">
        <v>1285</v>
      </c>
      <c r="D46" s="34"/>
      <c r="E46" s="34"/>
      <c r="N46" s="50" t="s">
        <v>1317</v>
      </c>
      <c r="O46" s="44" t="s">
        <v>1320</v>
      </c>
      <c r="P46" s="3" t="str">
        <f>BackGroundColor(I29,I30,I31,I32,I33,FALSE)</f>
        <v>#000000</v>
      </c>
      <c r="Q46" t="s">
        <v>1325</v>
      </c>
    </row>
    <row r="47" spans="2:18" x14ac:dyDescent="0.2">
      <c r="B47" s="78" t="s">
        <v>1328</v>
      </c>
      <c r="C47" s="2" t="s">
        <v>1279</v>
      </c>
      <c r="D47" s="33" t="s">
        <v>1289</v>
      </c>
      <c r="E47" s="65" t="s">
        <v>1289</v>
      </c>
      <c r="N47" s="49" t="s">
        <v>1319</v>
      </c>
      <c r="O47" s="44" t="s">
        <v>1320</v>
      </c>
      <c r="P47" s="3" t="str">
        <f>BackGroundColorSingle(I34)</f>
        <v>#FF0000</v>
      </c>
      <c r="Q47" t="s">
        <v>1325</v>
      </c>
    </row>
    <row r="48" spans="2:18" x14ac:dyDescent="0.2">
      <c r="B48" s="79"/>
      <c r="C48" s="2" t="s">
        <v>1280</v>
      </c>
      <c r="D48" s="32"/>
      <c r="E48" s="66"/>
      <c r="N48" s="49" t="s">
        <v>1331</v>
      </c>
      <c r="O48" s="44" t="s">
        <v>1320</v>
      </c>
      <c r="P48" s="3" t="str">
        <f>BackGroundColorSingle(I35)</f>
        <v>#7F7F7F</v>
      </c>
      <c r="Q48" t="s">
        <v>1325</v>
      </c>
    </row>
    <row r="49" spans="2:17" x14ac:dyDescent="0.2">
      <c r="B49" s="79"/>
      <c r="C49" s="2" t="s">
        <v>1275</v>
      </c>
      <c r="D49" s="2" t="s">
        <v>1276</v>
      </c>
      <c r="E49" s="2" t="s">
        <v>1276</v>
      </c>
      <c r="N49" s="75" t="s">
        <v>1334</v>
      </c>
      <c r="O49" s="44" t="s">
        <v>1310</v>
      </c>
      <c r="P49" s="3" t="str">
        <f>textcolor(I36)</f>
        <v>#000000</v>
      </c>
      <c r="Q49" t="s">
        <v>1325</v>
      </c>
    </row>
    <row r="50" spans="2:17" x14ac:dyDescent="0.2">
      <c r="B50" s="79"/>
      <c r="C50" s="2" t="s">
        <v>1284</v>
      </c>
      <c r="D50" s="34">
        <v>0.4</v>
      </c>
      <c r="E50" s="34">
        <v>0.4</v>
      </c>
      <c r="N50" s="76"/>
      <c r="O50" s="44" t="s">
        <v>1317</v>
      </c>
      <c r="P50" s="3" t="str">
        <f>BackGroundColor(I36,I37,I38,I39,I40,FALSE)</f>
        <v>#FFFFFF</v>
      </c>
      <c r="Q50" t="s">
        <v>1325</v>
      </c>
    </row>
    <row r="51" spans="2:17" x14ac:dyDescent="0.2">
      <c r="B51" s="80"/>
      <c r="C51" s="2" t="s">
        <v>1285</v>
      </c>
      <c r="D51" s="34">
        <v>0.6</v>
      </c>
      <c r="E51" s="34">
        <v>0.6</v>
      </c>
      <c r="N51" s="75" t="s">
        <v>1335</v>
      </c>
      <c r="O51" s="44" t="s">
        <v>1310</v>
      </c>
      <c r="P51" s="3" t="str">
        <f>textcolor(I41)</f>
        <v>#FFFFFF</v>
      </c>
      <c r="Q51" t="s">
        <v>1325</v>
      </c>
    </row>
    <row r="52" spans="2:17" x14ac:dyDescent="0.2">
      <c r="B52" s="77" t="s">
        <v>1327</v>
      </c>
      <c r="C52" s="2" t="s">
        <v>1279</v>
      </c>
      <c r="D52" s="53" t="s">
        <v>1286</v>
      </c>
      <c r="E52" s="53" t="s">
        <v>1286</v>
      </c>
      <c r="N52" s="76"/>
      <c r="O52" s="44" t="s">
        <v>1317</v>
      </c>
      <c r="P52" s="3" t="str">
        <f>BackGroundColor(I41,I42,I43,I44,I45,FALSE)</f>
        <v>#404040</v>
      </c>
      <c r="Q52" t="s">
        <v>1325</v>
      </c>
    </row>
    <row r="53" spans="2:17" x14ac:dyDescent="0.2">
      <c r="B53" s="77"/>
      <c r="C53" s="2" t="s">
        <v>1280</v>
      </c>
      <c r="D53" s="31" t="s">
        <v>1286</v>
      </c>
      <c r="E53" s="31" t="s">
        <v>1286</v>
      </c>
    </row>
    <row r="54" spans="2:17" x14ac:dyDescent="0.2">
      <c r="B54" s="77"/>
      <c r="C54" s="2" t="s">
        <v>1275</v>
      </c>
      <c r="D54" s="2"/>
      <c r="E54" s="2"/>
    </row>
    <row r="55" spans="2:17" x14ac:dyDescent="0.2">
      <c r="B55" s="77"/>
      <c r="C55" s="2" t="s">
        <v>1284</v>
      </c>
      <c r="D55" s="34"/>
      <c r="E55" s="34"/>
    </row>
    <row r="56" spans="2:17" x14ac:dyDescent="0.2">
      <c r="B56" s="77"/>
      <c r="C56" s="2" t="s">
        <v>1285</v>
      </c>
      <c r="D56" s="34"/>
      <c r="E56" s="34"/>
    </row>
    <row r="57" spans="2:17" x14ac:dyDescent="0.2">
      <c r="B57" s="77" t="s">
        <v>1292</v>
      </c>
      <c r="C57" s="2" t="s">
        <v>1279</v>
      </c>
      <c r="D57" s="33" t="s">
        <v>1286</v>
      </c>
      <c r="E57" s="68" t="s">
        <v>1286</v>
      </c>
    </row>
    <row r="58" spans="2:17" x14ac:dyDescent="0.2">
      <c r="B58" s="77"/>
      <c r="C58" s="2" t="s">
        <v>1280</v>
      </c>
      <c r="D58" s="32"/>
      <c r="E58" s="67"/>
    </row>
    <row r="59" spans="2:17" x14ac:dyDescent="0.2">
      <c r="B59" s="77"/>
      <c r="C59" s="2" t="s">
        <v>1275</v>
      </c>
      <c r="D59" s="2" t="s">
        <v>1276</v>
      </c>
      <c r="E59" s="2" t="s">
        <v>1276</v>
      </c>
    </row>
    <row r="60" spans="2:17" x14ac:dyDescent="0.2">
      <c r="B60" s="77"/>
      <c r="C60" s="2" t="s">
        <v>1284</v>
      </c>
      <c r="D60" s="34">
        <v>0.4</v>
      </c>
      <c r="E60" s="34">
        <v>0.4</v>
      </c>
    </row>
    <row r="61" spans="2:17" x14ac:dyDescent="0.2">
      <c r="B61" s="77"/>
      <c r="C61" s="2" t="s">
        <v>1285</v>
      </c>
      <c r="D61" s="34">
        <v>0.6</v>
      </c>
      <c r="E61" s="34">
        <v>0.6</v>
      </c>
    </row>
    <row r="62" spans="2:17" x14ac:dyDescent="0.2">
      <c r="B62" s="77" t="s">
        <v>1295</v>
      </c>
      <c r="C62" s="2" t="s">
        <v>1279</v>
      </c>
      <c r="D62" s="33" t="s">
        <v>1286</v>
      </c>
      <c r="E62" s="68" t="s">
        <v>1286</v>
      </c>
    </row>
    <row r="63" spans="2:17" x14ac:dyDescent="0.2">
      <c r="B63" s="77"/>
      <c r="C63" s="2" t="s">
        <v>1280</v>
      </c>
      <c r="D63" s="32"/>
      <c r="E63" s="67"/>
    </row>
    <row r="64" spans="2:17" x14ac:dyDescent="0.2">
      <c r="B64" s="77"/>
      <c r="C64" s="2" t="s">
        <v>1275</v>
      </c>
      <c r="D64" s="2" t="s">
        <v>1276</v>
      </c>
      <c r="E64" s="2" t="s">
        <v>1276</v>
      </c>
    </row>
    <row r="65" spans="2:5" x14ac:dyDescent="0.2">
      <c r="B65" s="77"/>
      <c r="C65" s="2" t="s">
        <v>1284</v>
      </c>
      <c r="D65" s="34">
        <v>0.4</v>
      </c>
      <c r="E65" s="34">
        <v>0.4</v>
      </c>
    </row>
    <row r="66" spans="2:5" x14ac:dyDescent="0.2">
      <c r="B66" s="77"/>
      <c r="C66" s="2" t="s">
        <v>1285</v>
      </c>
      <c r="D66" s="34">
        <v>0.6</v>
      </c>
      <c r="E66" s="34">
        <v>0.6</v>
      </c>
    </row>
    <row r="67" spans="2:5" x14ac:dyDescent="0.2">
      <c r="B67" s="77" t="s">
        <v>1296</v>
      </c>
      <c r="C67" s="2" t="s">
        <v>1279</v>
      </c>
      <c r="D67" s="54" t="s">
        <v>1286</v>
      </c>
      <c r="E67" s="54" t="s">
        <v>1286</v>
      </c>
    </row>
    <row r="68" spans="2:5" x14ac:dyDescent="0.2">
      <c r="B68" s="77"/>
      <c r="C68" s="2" t="s">
        <v>1280</v>
      </c>
      <c r="D68" s="31" t="s">
        <v>1286</v>
      </c>
      <c r="E68" s="31" t="s">
        <v>1286</v>
      </c>
    </row>
    <row r="69" spans="2:5" x14ac:dyDescent="0.2">
      <c r="B69" s="77"/>
      <c r="C69" s="2" t="s">
        <v>1275</v>
      </c>
      <c r="D69" s="2"/>
      <c r="E69" s="2"/>
    </row>
    <row r="70" spans="2:5" x14ac:dyDescent="0.2">
      <c r="B70" s="77"/>
      <c r="C70" s="2" t="s">
        <v>1284</v>
      </c>
      <c r="D70" s="34"/>
      <c r="E70" s="34"/>
    </row>
    <row r="71" spans="2:5" x14ac:dyDescent="0.2">
      <c r="B71" s="77"/>
      <c r="C71" s="2" t="s">
        <v>1285</v>
      </c>
      <c r="D71" s="34"/>
      <c r="E71" s="34"/>
    </row>
    <row r="72" spans="2:5" x14ac:dyDescent="0.2">
      <c r="B72" s="77" t="s">
        <v>1293</v>
      </c>
      <c r="C72" s="2" t="s">
        <v>1279</v>
      </c>
      <c r="D72" s="33" t="s">
        <v>1286</v>
      </c>
      <c r="E72" s="68" t="s">
        <v>1286</v>
      </c>
    </row>
    <row r="73" spans="2:5" x14ac:dyDescent="0.2">
      <c r="B73" s="77"/>
      <c r="C73" s="2" t="s">
        <v>1280</v>
      </c>
      <c r="D73" s="32"/>
      <c r="E73" s="67"/>
    </row>
    <row r="74" spans="2:5" x14ac:dyDescent="0.2">
      <c r="B74" s="77"/>
      <c r="C74" s="2" t="s">
        <v>1275</v>
      </c>
      <c r="D74" s="2" t="s">
        <v>1276</v>
      </c>
      <c r="E74" s="2" t="s">
        <v>1276</v>
      </c>
    </row>
    <row r="75" spans="2:5" x14ac:dyDescent="0.2">
      <c r="B75" s="77"/>
      <c r="C75" s="2" t="s">
        <v>1284</v>
      </c>
      <c r="D75" s="34">
        <v>0.4</v>
      </c>
      <c r="E75" s="34">
        <v>0.4</v>
      </c>
    </row>
    <row r="76" spans="2:5" x14ac:dyDescent="0.2">
      <c r="B76" s="77"/>
      <c r="C76" s="2" t="s">
        <v>1285</v>
      </c>
      <c r="D76" s="34">
        <v>0.6</v>
      </c>
      <c r="E76" s="34">
        <v>0.6</v>
      </c>
    </row>
    <row r="77" spans="2:5" x14ac:dyDescent="0.2">
      <c r="B77" s="28" t="s">
        <v>1311</v>
      </c>
      <c r="C77" s="2" t="s">
        <v>1312</v>
      </c>
      <c r="D77" s="45" t="s">
        <v>1310</v>
      </c>
      <c r="E77" s="46" t="s">
        <v>1310</v>
      </c>
    </row>
  </sheetData>
  <mergeCells count="43"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N4:N5"/>
    <mergeCell ref="N6:N7"/>
    <mergeCell ref="N11:N12"/>
    <mergeCell ref="N13:N14"/>
    <mergeCell ref="N15:N16"/>
    <mergeCell ref="N17:N18"/>
    <mergeCell ref="N19:N20"/>
    <mergeCell ref="N21:N22"/>
    <mergeCell ref="N27:N28"/>
    <mergeCell ref="N29:N30"/>
    <mergeCell ref="N23:N24"/>
    <mergeCell ref="N25:N26"/>
  </mergeCells>
  <phoneticPr fontId="1"/>
  <dataValidations count="3">
    <dataValidation type="list" allowBlank="1" showInputMessage="1" showErrorMessage="1" sqref="D24:E24 D6:E6 D29:E29 D44:E44 D34:E34 D39:E39 D19:E19 D59:E59 D64:E64 D74:E74 D69:E69 D11:E11 I6 I11 I16 I21 I26 I31 D54:E54 D49:E49 I43 I38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tabSelected="1"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0.2447833065810594</v>
      </c>
      <c r="F2" s="5">
        <f t="shared" ref="F2:L2" si="0">SUM(F4:F104)</f>
        <v>3738</v>
      </c>
      <c r="G2" s="5">
        <f t="shared" si="0"/>
        <v>915</v>
      </c>
      <c r="H2" s="5">
        <f t="shared" si="0"/>
        <v>149</v>
      </c>
      <c r="I2" s="5">
        <f t="shared" si="0"/>
        <v>16</v>
      </c>
      <c r="J2" s="6">
        <f t="shared" si="0"/>
        <v>62</v>
      </c>
      <c r="K2" s="12">
        <f t="shared" si="0"/>
        <v>1282</v>
      </c>
      <c r="L2" s="7">
        <f t="shared" si="0"/>
        <v>345</v>
      </c>
      <c r="M2" s="11">
        <f>IFERROR(IF((G2+P2+Q2)/(F2+P2+Q2+R2)=1,"1.00",(G2+P2+Q2)/(F2+P2+Q2+R2)),0)</f>
        <v>0.29652844744455159</v>
      </c>
      <c r="N2" s="11">
        <f>IFERROR(SUM(SUM(((G2-H2-I2-J2)*1),H2*2,I2*3,J2*4)/F2,((G2+P2+Q2)/(F2+P2+Q2+R2))),M2)</f>
        <v>0.63949259939746761</v>
      </c>
      <c r="O2" s="5">
        <f>SUM(O4:O104)</f>
        <v>804</v>
      </c>
      <c r="P2" s="5">
        <f>SUM(P4:P104)</f>
        <v>278</v>
      </c>
      <c r="Q2" s="5">
        <f>SUM(Q4:Q104)</f>
        <v>37</v>
      </c>
      <c r="R2" s="5">
        <f>SUM(R4:R104)</f>
        <v>95</v>
      </c>
      <c r="S2" s="5">
        <f>SUM(S4:S104)</f>
        <v>10</v>
      </c>
      <c r="T2" s="5">
        <f t="shared" ref="T2:V2" si="1">SUM(T4:T104)</f>
        <v>70</v>
      </c>
      <c r="U2" s="5">
        <f t="shared" si="1"/>
        <v>43</v>
      </c>
      <c r="V2" s="5">
        <f t="shared" si="1"/>
        <v>85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1440</v>
      </c>
      <c r="E4" s="11">
        <f t="shared" ref="E4:E68" si="2">IFERROR(IF(G4/F4=1,"1.00",G4/F4),"---")</f>
        <v>0.14285714285714285</v>
      </c>
      <c r="F4" s="5">
        <v>14</v>
      </c>
      <c r="G4" s="5">
        <v>2</v>
      </c>
      <c r="H4" s="5">
        <v>1</v>
      </c>
      <c r="I4" s="5">
        <v>0</v>
      </c>
      <c r="J4" s="6">
        <v>0</v>
      </c>
      <c r="K4" s="12">
        <f>((G4-H4-I4-J4)+(H4*2)+(I4*3)+(J4*4))</f>
        <v>3</v>
      </c>
      <c r="L4" s="7">
        <v>0</v>
      </c>
      <c r="M4" s="11">
        <f t="shared" ref="M4:M67" si="3">IFERROR(IF((G4+P4+Q4)/(F4+P4+Q4+S4)=1,"1.00",(G4+P4+Q4)/(F4+P4+Q4+S4)),0)</f>
        <v>0.2</v>
      </c>
      <c r="N4" s="11">
        <f t="shared" ref="N4:N67" si="4">IFERROR(SUM(K4/F4,((G4+P4+Q4)/(F4+P4+Q4+S4))),M4)</f>
        <v>0.41428571428571426</v>
      </c>
      <c r="O4" s="20">
        <v>3</v>
      </c>
      <c r="P4" s="21">
        <v>1</v>
      </c>
      <c r="Q4" s="21">
        <v>0</v>
      </c>
      <c r="R4" s="22">
        <v>0</v>
      </c>
      <c r="S4" s="22">
        <v>0</v>
      </c>
      <c r="T4" s="20">
        <v>1</v>
      </c>
      <c r="U4" s="20">
        <v>1</v>
      </c>
      <c r="V4" s="20">
        <v>0</v>
      </c>
      <c r="W4" s="63">
        <f>IFERROR(CalcRC27(F4,G4,K4,O4,P4,Q4,R4,S4,T4,U4,V4),"-")</f>
        <v>0.49661538461538296</v>
      </c>
      <c r="X4" s="13" t="s">
        <v>470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1441</v>
      </c>
      <c r="E5" s="11">
        <f t="shared" si="2"/>
        <v>0.25910931174089069</v>
      </c>
      <c r="F5" s="5">
        <v>247</v>
      </c>
      <c r="G5" s="5">
        <v>64</v>
      </c>
      <c r="H5" s="5">
        <v>7</v>
      </c>
      <c r="I5" s="5">
        <v>1</v>
      </c>
      <c r="J5" s="6">
        <v>1</v>
      </c>
      <c r="K5" s="12">
        <f t="shared" ref="K5:K68" si="6">((G5-H5-I5-J5)+(H5*2)+(I5*3)+(J5*4))</f>
        <v>76</v>
      </c>
      <c r="L5" s="7">
        <v>17</v>
      </c>
      <c r="M5" s="11">
        <f t="shared" si="3"/>
        <v>0.31716417910447764</v>
      </c>
      <c r="N5" s="11">
        <f t="shared" si="4"/>
        <v>0.6248564867967854</v>
      </c>
      <c r="O5" s="20">
        <v>46</v>
      </c>
      <c r="P5" s="21">
        <v>12</v>
      </c>
      <c r="Q5" s="21">
        <v>9</v>
      </c>
      <c r="R5" s="22">
        <v>8</v>
      </c>
      <c r="S5" s="22">
        <v>0</v>
      </c>
      <c r="T5" s="20">
        <v>8</v>
      </c>
      <c r="U5" s="20">
        <v>2</v>
      </c>
      <c r="V5" s="20">
        <v>1</v>
      </c>
      <c r="W5" s="63">
        <f>IFERROR(CalcRC27(F5,G5,K5,O5,P5,Q5,R5,S5,T5,U5,V5),"-")</f>
        <v>3.6932281488121896</v>
      </c>
      <c r="X5" s="13" t="s">
        <v>471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1158</v>
      </c>
      <c r="E7" s="11">
        <f t="shared" si="2"/>
        <v>0.22767857142857142</v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2">
        <f t="shared" si="6"/>
        <v>79</v>
      </c>
      <c r="L7" s="7">
        <v>28</v>
      </c>
      <c r="M7" s="11">
        <f t="shared" si="3"/>
        <v>0.308</v>
      </c>
      <c r="N7" s="11">
        <f t="shared" si="4"/>
        <v>0.66067857142857145</v>
      </c>
      <c r="O7" s="20">
        <v>48</v>
      </c>
      <c r="P7" s="21">
        <v>25</v>
      </c>
      <c r="Q7" s="21">
        <v>1</v>
      </c>
      <c r="R7" s="22">
        <v>3</v>
      </c>
      <c r="S7" s="22">
        <v>0</v>
      </c>
      <c r="T7" s="20">
        <v>2</v>
      </c>
      <c r="U7" s="20">
        <v>6</v>
      </c>
      <c r="V7" s="20">
        <v>6</v>
      </c>
      <c r="W7" s="63">
        <f>IFERROR(CalcRC27(F7,G7,K7,O7,P7,Q7,R7,S7,T7,U7,V7),"-")</f>
        <v>3.1748392481708843</v>
      </c>
      <c r="X7" s="13" t="s">
        <v>473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/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1442</v>
      </c>
      <c r="E12" s="11">
        <f t="shared" si="2"/>
        <v>0.27307692307692305</v>
      </c>
      <c r="F12" s="5">
        <v>260</v>
      </c>
      <c r="G12" s="5">
        <v>71</v>
      </c>
      <c r="H12" s="5">
        <v>13</v>
      </c>
      <c r="I12" s="5">
        <v>0</v>
      </c>
      <c r="J12" s="6">
        <v>12</v>
      </c>
      <c r="K12" s="12">
        <f t="shared" si="6"/>
        <v>120</v>
      </c>
      <c r="L12" s="7">
        <v>35</v>
      </c>
      <c r="M12" s="11">
        <f t="shared" si="3"/>
        <v>0.32258064516129031</v>
      </c>
      <c r="N12" s="11">
        <f t="shared" si="4"/>
        <v>0.78411910669975193</v>
      </c>
      <c r="O12" s="20">
        <v>72</v>
      </c>
      <c r="P12" s="21">
        <v>19</v>
      </c>
      <c r="Q12" s="21">
        <v>0</v>
      </c>
      <c r="R12" s="22">
        <v>5</v>
      </c>
      <c r="S12" s="22">
        <v>0</v>
      </c>
      <c r="T12" s="20">
        <v>1</v>
      </c>
      <c r="U12" s="20">
        <v>6</v>
      </c>
      <c r="V12" s="20">
        <v>7</v>
      </c>
      <c r="W12" s="63">
        <f>IFERROR(CalcRC27(F12,G12,K12,O12,P12,Q12,R12,S12,T12,U12,V12),"-")</f>
        <v>4.523897836293119</v>
      </c>
      <c r="X12" s="13" t="s">
        <v>474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/>
    </row>
    <row r="14" spans="2:24" ht="13.8" x14ac:dyDescent="0.2">
      <c r="B14" s="8">
        <f t="shared" si="5"/>
        <v>9</v>
      </c>
      <c r="C14" s="10">
        <v>9</v>
      </c>
      <c r="D14" s="13" t="s">
        <v>1218</v>
      </c>
      <c r="E14" s="11">
        <f t="shared" si="2"/>
        <v>0.27419354838709675</v>
      </c>
      <c r="F14" s="5">
        <v>434</v>
      </c>
      <c r="G14" s="5">
        <v>119</v>
      </c>
      <c r="H14" s="5">
        <v>20</v>
      </c>
      <c r="I14" s="5">
        <v>6</v>
      </c>
      <c r="J14" s="6">
        <v>4</v>
      </c>
      <c r="K14" s="12">
        <f t="shared" si="6"/>
        <v>163</v>
      </c>
      <c r="L14" s="7">
        <v>38</v>
      </c>
      <c r="M14" s="11">
        <f t="shared" si="3"/>
        <v>0.33333333333333331</v>
      </c>
      <c r="N14" s="11">
        <f t="shared" si="4"/>
        <v>0.70890937019969269</v>
      </c>
      <c r="O14" s="20">
        <v>81</v>
      </c>
      <c r="P14" s="21">
        <v>35</v>
      </c>
      <c r="Q14" s="21">
        <v>4</v>
      </c>
      <c r="R14" s="22">
        <v>9</v>
      </c>
      <c r="S14" s="22">
        <v>1</v>
      </c>
      <c r="T14" s="20">
        <v>8</v>
      </c>
      <c r="U14" s="20">
        <v>3</v>
      </c>
      <c r="V14" s="20">
        <v>12</v>
      </c>
      <c r="W14" s="63">
        <f>IFERROR(CalcRC27(F14,G14,K14,O14,P14,Q14,R14,S14,T14,U14,V14),"-")</f>
        <v>4.2585748264523176</v>
      </c>
      <c r="X14" s="13" t="s">
        <v>1350</v>
      </c>
    </row>
    <row r="15" spans="2:24" ht="13.8" x14ac:dyDescent="0.2">
      <c r="B15" s="8">
        <f t="shared" si="5"/>
        <v>10</v>
      </c>
      <c r="C15" s="10">
        <v>10</v>
      </c>
      <c r="D15" s="13" t="s">
        <v>1443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 t="s">
        <v>1484</v>
      </c>
    </row>
    <row r="16" spans="2:24" ht="13.8" x14ac:dyDescent="0.2">
      <c r="B16" s="8">
        <f t="shared" si="5"/>
        <v>11</v>
      </c>
      <c r="C16" s="10">
        <v>11</v>
      </c>
      <c r="D16" s="13" t="s">
        <v>1444</v>
      </c>
      <c r="E16" s="11">
        <f t="shared" si="2"/>
        <v>4.4444444444444446E-2</v>
      </c>
      <c r="F16" s="5">
        <v>45</v>
      </c>
      <c r="G16" s="5">
        <v>2</v>
      </c>
      <c r="H16" s="5">
        <v>0</v>
      </c>
      <c r="I16" s="5">
        <v>0</v>
      </c>
      <c r="J16" s="6">
        <v>0</v>
      </c>
      <c r="K16" s="12">
        <f t="shared" si="6"/>
        <v>2</v>
      </c>
      <c r="L16" s="7">
        <v>0</v>
      </c>
      <c r="M16" s="11">
        <f t="shared" si="3"/>
        <v>4.4444444444444446E-2</v>
      </c>
      <c r="N16" s="11">
        <f t="shared" si="4"/>
        <v>8.8888888888888892E-2</v>
      </c>
      <c r="O16" s="20">
        <v>25</v>
      </c>
      <c r="P16" s="21">
        <v>0</v>
      </c>
      <c r="Q16" s="21">
        <v>0</v>
      </c>
      <c r="R16" s="22">
        <v>9</v>
      </c>
      <c r="S16" s="22">
        <v>0</v>
      </c>
      <c r="T16" s="20">
        <v>0</v>
      </c>
      <c r="U16" s="20">
        <v>0</v>
      </c>
      <c r="V16" s="20">
        <v>0</v>
      </c>
      <c r="W16" s="63">
        <f>IFERROR(CalcRC27(F16,G16,K16,O16,P16,Q16,R16,S16,T16,U16,V16),"-")</f>
        <v>-1.6112905982905996</v>
      </c>
      <c r="X16" s="13" t="s">
        <v>491</v>
      </c>
    </row>
    <row r="17" spans="2:24" ht="13.8" x14ac:dyDescent="0.2">
      <c r="B17" s="8">
        <f t="shared" si="5"/>
        <v>12</v>
      </c>
      <c r="C17" s="10">
        <v>12</v>
      </c>
      <c r="D17" s="13" t="s">
        <v>1445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492</v>
      </c>
    </row>
    <row r="18" spans="2:24" ht="13.8" x14ac:dyDescent="0.2">
      <c r="B18" s="8">
        <f t="shared" si="5"/>
        <v>13</v>
      </c>
      <c r="C18" s="10">
        <v>13</v>
      </c>
      <c r="D18" s="13" t="s">
        <v>1446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493</v>
      </c>
    </row>
    <row r="19" spans="2:24" ht="13.8" x14ac:dyDescent="0.2">
      <c r="B19" s="8">
        <f t="shared" si="5"/>
        <v>14</v>
      </c>
      <c r="C19" s="10">
        <v>14</v>
      </c>
      <c r="D19" s="13" t="s">
        <v>1447</v>
      </c>
      <c r="E19" s="11">
        <f t="shared" si="2"/>
        <v>0</v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3"/>
        <v>3.2258064516129031E-2</v>
      </c>
      <c r="N19" s="11">
        <f t="shared" si="4"/>
        <v>3.2258064516129031E-2</v>
      </c>
      <c r="O19" s="20">
        <v>15</v>
      </c>
      <c r="P19" s="21">
        <v>1</v>
      </c>
      <c r="Q19" s="21">
        <v>0</v>
      </c>
      <c r="R19" s="22">
        <v>2</v>
      </c>
      <c r="S19" s="22">
        <v>0</v>
      </c>
      <c r="T19" s="20">
        <v>1</v>
      </c>
      <c r="U19" s="20">
        <v>0</v>
      </c>
      <c r="V19" s="20">
        <v>0</v>
      </c>
      <c r="W19" s="63">
        <f>IFERROR(CalcRC27(F19,G19,K19,O19,P19,Q19,R19,S19,T19,U19,V19),"-")</f>
        <v>-2.1590852272727288</v>
      </c>
      <c r="X19" s="13" t="s">
        <v>440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1718</v>
      </c>
      <c r="E21" s="11">
        <f t="shared" si="2"/>
        <v>0.2</v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2">
        <f t="shared" si="6"/>
        <v>2</v>
      </c>
      <c r="L21" s="7">
        <v>1</v>
      </c>
      <c r="M21" s="11">
        <f t="shared" si="3"/>
        <v>0.33333333333333331</v>
      </c>
      <c r="N21" s="11">
        <f t="shared" si="4"/>
        <v>0.53333333333333333</v>
      </c>
      <c r="O21" s="20">
        <v>2</v>
      </c>
      <c r="P21" s="21">
        <v>2</v>
      </c>
      <c r="Q21" s="21">
        <v>0</v>
      </c>
      <c r="R21" s="22">
        <v>3</v>
      </c>
      <c r="S21" s="22">
        <v>0</v>
      </c>
      <c r="T21" s="20">
        <v>0</v>
      </c>
      <c r="U21" s="20">
        <v>0</v>
      </c>
      <c r="V21" s="20">
        <v>0</v>
      </c>
      <c r="W21" s="63">
        <f>IFERROR(CalcRC27(F21,G21,K21,O21,P21,Q21,R21,S21,T21,U21,V21),"-")</f>
        <v>2.5363636363636348</v>
      </c>
      <c r="X21" s="13" t="s">
        <v>937</v>
      </c>
    </row>
    <row r="22" spans="2:24" ht="13.8" x14ac:dyDescent="0.2">
      <c r="B22" s="8">
        <f t="shared" si="5"/>
        <v>17</v>
      </c>
      <c r="C22" s="10">
        <v>17</v>
      </c>
      <c r="D22" s="13" t="s">
        <v>1448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1485</v>
      </c>
    </row>
    <row r="23" spans="2:24" ht="13.8" x14ac:dyDescent="0.2">
      <c r="B23" s="8">
        <f t="shared" si="5"/>
        <v>18</v>
      </c>
      <c r="C23" s="10">
        <v>18</v>
      </c>
      <c r="D23" s="13" t="s">
        <v>1449</v>
      </c>
      <c r="E23" s="11">
        <f t="shared" si="2"/>
        <v>0.17142857142857143</v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2">
        <f t="shared" si="6"/>
        <v>11</v>
      </c>
      <c r="L23" s="7">
        <v>4</v>
      </c>
      <c r="M23" s="11">
        <f t="shared" si="3"/>
        <v>0.19444444444444445</v>
      </c>
      <c r="N23" s="11">
        <f t="shared" si="4"/>
        <v>0.5087301587301587</v>
      </c>
      <c r="O23" s="20">
        <v>12</v>
      </c>
      <c r="P23" s="21">
        <v>1</v>
      </c>
      <c r="Q23" s="21">
        <v>0</v>
      </c>
      <c r="R23" s="22">
        <v>5</v>
      </c>
      <c r="S23" s="22">
        <v>0</v>
      </c>
      <c r="T23" s="20">
        <v>0</v>
      </c>
      <c r="U23" s="20">
        <v>0</v>
      </c>
      <c r="V23" s="20">
        <v>0</v>
      </c>
      <c r="W23" s="63">
        <f>IFERROR(CalcRC27(F23,G23,K23,O23,P23,Q23,R23,S23,T23,U23,V23),"-")</f>
        <v>1.6705954088952637</v>
      </c>
      <c r="X23" s="13" t="s">
        <v>495</v>
      </c>
    </row>
    <row r="24" spans="2:24" ht="13.8" x14ac:dyDescent="0.2">
      <c r="B24" s="8">
        <f t="shared" si="5"/>
        <v>19</v>
      </c>
      <c r="C24" s="10">
        <v>19</v>
      </c>
      <c r="D24" s="13" t="s">
        <v>1364</v>
      </c>
      <c r="E24" s="11">
        <f t="shared" si="2"/>
        <v>0.125</v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2">
        <f t="shared" si="6"/>
        <v>1</v>
      </c>
      <c r="L24" s="7">
        <v>0</v>
      </c>
      <c r="M24" s="11">
        <f t="shared" si="3"/>
        <v>0.22222222222222221</v>
      </c>
      <c r="N24" s="11">
        <f t="shared" si="4"/>
        <v>0.34722222222222221</v>
      </c>
      <c r="O24" s="20">
        <v>3</v>
      </c>
      <c r="P24" s="21">
        <v>1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3">
        <f>IFERROR(CalcRC27(F24,G24,K24,O24,P24,Q24,R24,S24,T24,U24,V24),"-")</f>
        <v>0.5324999999999982</v>
      </c>
      <c r="X24" s="13" t="s">
        <v>496</v>
      </c>
    </row>
    <row r="25" spans="2:24" ht="13.8" x14ac:dyDescent="0.2">
      <c r="B25" s="8">
        <f t="shared" si="5"/>
        <v>20</v>
      </c>
      <c r="C25" s="10">
        <v>20</v>
      </c>
      <c r="D25" s="13" t="s">
        <v>1450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497</v>
      </c>
    </row>
    <row r="26" spans="2:24" ht="13.8" x14ac:dyDescent="0.2">
      <c r="B26" s="8">
        <f t="shared" si="5"/>
        <v>21</v>
      </c>
      <c r="C26" s="10">
        <v>21</v>
      </c>
      <c r="D26" s="13" t="s">
        <v>1451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1486</v>
      </c>
    </row>
    <row r="27" spans="2:24" ht="13.8" x14ac:dyDescent="0.2">
      <c r="B27" s="8">
        <f t="shared" si="5"/>
        <v>22</v>
      </c>
      <c r="C27" s="10">
        <v>22</v>
      </c>
      <c r="D27" s="13" t="s">
        <v>1452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1487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926</v>
      </c>
      <c r="E29" s="11">
        <f t="shared" si="2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3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>
        <f>IFERROR(CalcRC27(F29,G29,K29,O29,P29,Q29,R29,S29,T29,U29,V29),"-")</f>
        <v>-2.9160000000000017</v>
      </c>
      <c r="X29" s="13" t="s">
        <v>938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/>
    </row>
    <row r="31" spans="2:24" ht="13.8" x14ac:dyDescent="0.2">
      <c r="B31" s="8">
        <f t="shared" si="5"/>
        <v>26</v>
      </c>
      <c r="C31" s="10">
        <v>26</v>
      </c>
      <c r="D31" s="13" t="s">
        <v>1340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1351</v>
      </c>
    </row>
    <row r="32" spans="2:24" ht="13.8" x14ac:dyDescent="0.2">
      <c r="B32" s="8">
        <f t="shared" si="5"/>
        <v>27</v>
      </c>
      <c r="C32" s="10">
        <v>27</v>
      </c>
      <c r="D32" s="13" t="s">
        <v>1453</v>
      </c>
      <c r="E32" s="11">
        <f t="shared" si="2"/>
        <v>0.17241379310344829</v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2">
        <f t="shared" si="6"/>
        <v>27</v>
      </c>
      <c r="L32" s="7">
        <v>10</v>
      </c>
      <c r="M32" s="11">
        <f t="shared" si="3"/>
        <v>0.25954198473282442</v>
      </c>
      <c r="N32" s="11">
        <f t="shared" si="4"/>
        <v>0.49230060542247955</v>
      </c>
      <c r="O32" s="20">
        <v>26</v>
      </c>
      <c r="P32" s="21">
        <v>10</v>
      </c>
      <c r="Q32" s="21">
        <v>4</v>
      </c>
      <c r="R32" s="22">
        <v>2</v>
      </c>
      <c r="S32" s="22">
        <v>1</v>
      </c>
      <c r="T32" s="20">
        <v>0</v>
      </c>
      <c r="U32" s="20">
        <v>0</v>
      </c>
      <c r="V32" s="20">
        <v>4</v>
      </c>
      <c r="W32" s="63">
        <f>IFERROR(CalcRC27(F32,G32,K32,O32,P32,Q32,R32,S32,T32,U32,V32),"-")</f>
        <v>1.5400189794875523</v>
      </c>
      <c r="X32" s="13" t="s">
        <v>476</v>
      </c>
    </row>
    <row r="33" spans="2:24" ht="13.8" x14ac:dyDescent="0.2">
      <c r="B33" s="8">
        <f t="shared" si="5"/>
        <v>28</v>
      </c>
      <c r="C33" s="10">
        <v>28</v>
      </c>
      <c r="D33" s="13" t="s">
        <v>1454</v>
      </c>
      <c r="E33" s="11">
        <f t="shared" si="2"/>
        <v>0.27500000000000002</v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2">
        <f t="shared" si="6"/>
        <v>15</v>
      </c>
      <c r="L33" s="7">
        <v>1</v>
      </c>
      <c r="M33" s="11">
        <f t="shared" si="3"/>
        <v>0.30952380952380953</v>
      </c>
      <c r="N33" s="11">
        <f t="shared" si="4"/>
        <v>0.68452380952380953</v>
      </c>
      <c r="O33" s="20">
        <v>12</v>
      </c>
      <c r="P33" s="21">
        <v>2</v>
      </c>
      <c r="Q33" s="21">
        <v>0</v>
      </c>
      <c r="R33" s="22">
        <v>8</v>
      </c>
      <c r="S33" s="22">
        <v>0</v>
      </c>
      <c r="T33" s="20">
        <v>0</v>
      </c>
      <c r="U33" s="20">
        <v>0</v>
      </c>
      <c r="V33" s="20">
        <v>0</v>
      </c>
      <c r="W33" s="63">
        <f>IFERROR(CalcRC27(F33,G33,K33,O33,P33,Q33,R33,S33,T33,U33,V33),"-")</f>
        <v>3.6976216216216189</v>
      </c>
      <c r="X33" s="13" t="s">
        <v>498</v>
      </c>
    </row>
    <row r="34" spans="2:24" ht="13.8" x14ac:dyDescent="0.2">
      <c r="B34" s="8">
        <f t="shared" si="5"/>
        <v>29</v>
      </c>
      <c r="C34" s="10">
        <v>29</v>
      </c>
      <c r="D34" s="13" t="s">
        <v>927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499</v>
      </c>
    </row>
    <row r="35" spans="2:24" ht="13.8" x14ac:dyDescent="0.2">
      <c r="B35" s="8">
        <f t="shared" si="5"/>
        <v>30</v>
      </c>
      <c r="C35" s="10">
        <v>30</v>
      </c>
      <c r="D35" s="13" t="s">
        <v>1455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1488</v>
      </c>
    </row>
    <row r="36" spans="2:24" ht="13.8" x14ac:dyDescent="0.2">
      <c r="B36" s="8">
        <f t="shared" si="5"/>
        <v>31</v>
      </c>
      <c r="C36" s="10">
        <v>31</v>
      </c>
      <c r="D36" s="13" t="s">
        <v>1456</v>
      </c>
      <c r="E36" s="11">
        <f t="shared" si="2"/>
        <v>0.26582278481012656</v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2">
        <f t="shared" si="6"/>
        <v>162</v>
      </c>
      <c r="L36" s="7">
        <v>44</v>
      </c>
      <c r="M36" s="11">
        <f t="shared" si="3"/>
        <v>0.34675615212527966</v>
      </c>
      <c r="N36" s="11">
        <f t="shared" si="4"/>
        <v>0.75688273440376075</v>
      </c>
      <c r="O36" s="20">
        <v>67</v>
      </c>
      <c r="P36" s="21">
        <v>47</v>
      </c>
      <c r="Q36" s="21">
        <v>3</v>
      </c>
      <c r="R36" s="22">
        <v>1</v>
      </c>
      <c r="S36" s="22">
        <v>2</v>
      </c>
      <c r="T36" s="20">
        <v>3</v>
      </c>
      <c r="U36" s="20">
        <v>0</v>
      </c>
      <c r="V36" s="20">
        <v>9</v>
      </c>
      <c r="W36" s="63">
        <f>IFERROR(CalcRC27(F36,G36,K36,O36,P36,Q36,R36,S36,T36,U36,V36),"-")</f>
        <v>5.1250339995269609</v>
      </c>
      <c r="X36" s="13" t="s">
        <v>477</v>
      </c>
    </row>
    <row r="37" spans="2:24" ht="13.8" x14ac:dyDescent="0.2">
      <c r="B37" s="8">
        <f t="shared" si="5"/>
        <v>32</v>
      </c>
      <c r="C37" s="10">
        <v>32</v>
      </c>
      <c r="D37" s="13" t="s">
        <v>1675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488</v>
      </c>
    </row>
    <row r="38" spans="2:24" ht="13.8" x14ac:dyDescent="0.2">
      <c r="B38" s="8">
        <f t="shared" si="5"/>
        <v>33</v>
      </c>
      <c r="C38" s="10">
        <v>33</v>
      </c>
      <c r="D38" s="13" t="s">
        <v>1457</v>
      </c>
      <c r="E38" s="11">
        <f t="shared" si="2"/>
        <v>0.25791855203619912</v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2">
        <f t="shared" si="6"/>
        <v>146</v>
      </c>
      <c r="L38" s="7">
        <v>27</v>
      </c>
      <c r="M38" s="11">
        <f t="shared" si="3"/>
        <v>0.31027253668763105</v>
      </c>
      <c r="N38" s="11">
        <f t="shared" si="4"/>
        <v>0.64058927876907901</v>
      </c>
      <c r="O38" s="20">
        <v>68</v>
      </c>
      <c r="P38" s="21">
        <v>32</v>
      </c>
      <c r="Q38" s="21">
        <v>2</v>
      </c>
      <c r="R38" s="22">
        <v>8</v>
      </c>
      <c r="S38" s="22">
        <v>1</v>
      </c>
      <c r="T38" s="20">
        <v>7</v>
      </c>
      <c r="U38" s="20">
        <v>5</v>
      </c>
      <c r="V38" s="20">
        <v>6</v>
      </c>
      <c r="W38" s="63">
        <f>IFERROR(CalcRC27(F38,G38,K38,O38,P38,Q38,R38,S38,T38,U38,V38),"-")</f>
        <v>3.5275426590828278</v>
      </c>
      <c r="X38" s="13" t="s">
        <v>478</v>
      </c>
    </row>
    <row r="39" spans="2:24" ht="13.8" x14ac:dyDescent="0.2">
      <c r="B39" s="8">
        <f t="shared" si="5"/>
        <v>34</v>
      </c>
      <c r="C39" s="10">
        <v>34</v>
      </c>
      <c r="D39" s="13" t="s">
        <v>1458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500</v>
      </c>
    </row>
    <row r="40" spans="2:24" ht="13.8" x14ac:dyDescent="0.2">
      <c r="B40" s="8">
        <f t="shared" si="5"/>
        <v>35</v>
      </c>
      <c r="C40" s="10">
        <v>35</v>
      </c>
      <c r="D40" s="13" t="s">
        <v>1459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1489</v>
      </c>
    </row>
    <row r="41" spans="2:24" ht="13.8" x14ac:dyDescent="0.2">
      <c r="B41" s="8">
        <f t="shared" si="5"/>
        <v>36</v>
      </c>
      <c r="C41" s="10">
        <v>36</v>
      </c>
      <c r="D41" s="13" t="s">
        <v>1460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501</v>
      </c>
    </row>
    <row r="42" spans="2:24" ht="13.8" x14ac:dyDescent="0.2">
      <c r="B42" s="8">
        <f t="shared" si="5"/>
        <v>37</v>
      </c>
      <c r="C42" s="10">
        <v>37</v>
      </c>
      <c r="D42" s="13" t="s">
        <v>1461</v>
      </c>
      <c r="E42" s="11">
        <f t="shared" si="2"/>
        <v>0.2857142857142857</v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2">
        <f t="shared" si="6"/>
        <v>119</v>
      </c>
      <c r="L42" s="7">
        <v>26</v>
      </c>
      <c r="M42" s="11">
        <f t="shared" si="3"/>
        <v>0.35121951219512193</v>
      </c>
      <c r="N42" s="11">
        <f t="shared" si="4"/>
        <v>0.67197422917625405</v>
      </c>
      <c r="O42" s="20">
        <v>51</v>
      </c>
      <c r="P42" s="21">
        <v>33</v>
      </c>
      <c r="Q42" s="21">
        <v>5</v>
      </c>
      <c r="R42" s="22">
        <v>8</v>
      </c>
      <c r="S42" s="22">
        <v>1</v>
      </c>
      <c r="T42" s="20">
        <v>5</v>
      </c>
      <c r="U42" s="20">
        <v>6</v>
      </c>
      <c r="V42" s="20">
        <v>10</v>
      </c>
      <c r="W42" s="63">
        <f>IFERROR(CalcRC27(F42,G42,K42,O42,P42,Q42,R42,S42,T42,U42,V42),"-")</f>
        <v>3.8690245174063662</v>
      </c>
      <c r="X42" s="13" t="s">
        <v>479</v>
      </c>
    </row>
    <row r="43" spans="2:24" ht="13.8" x14ac:dyDescent="0.2">
      <c r="B43" s="8">
        <f t="shared" si="5"/>
        <v>38</v>
      </c>
      <c r="C43" s="10">
        <v>38</v>
      </c>
      <c r="D43" s="13" t="s">
        <v>1462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480</v>
      </c>
    </row>
    <row r="44" spans="2:24" ht="13.8" x14ac:dyDescent="0.2">
      <c r="B44" s="8">
        <f t="shared" si="5"/>
        <v>39</v>
      </c>
      <c r="C44" s="10">
        <v>39</v>
      </c>
      <c r="D44" s="13" t="s">
        <v>1341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1352</v>
      </c>
    </row>
    <row r="45" spans="2:24" ht="13.8" x14ac:dyDescent="0.2">
      <c r="B45" s="8">
        <f t="shared" si="5"/>
        <v>40</v>
      </c>
      <c r="C45" s="10">
        <v>40</v>
      </c>
      <c r="D45" s="13" t="s">
        <v>1463</v>
      </c>
      <c r="E45" s="11">
        <f t="shared" si="2"/>
        <v>0.20689655172413793</v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2">
        <f t="shared" si="6"/>
        <v>10</v>
      </c>
      <c r="L45" s="7">
        <v>4</v>
      </c>
      <c r="M45" s="11">
        <f t="shared" si="3"/>
        <v>0.25806451612903225</v>
      </c>
      <c r="N45" s="11">
        <f t="shared" si="4"/>
        <v>0.60289210233592883</v>
      </c>
      <c r="O45" s="20">
        <v>10</v>
      </c>
      <c r="P45" s="21">
        <v>1</v>
      </c>
      <c r="Q45" s="21">
        <v>1</v>
      </c>
      <c r="R45" s="22">
        <v>1</v>
      </c>
      <c r="S45" s="22">
        <v>0</v>
      </c>
      <c r="T45" s="20">
        <v>0</v>
      </c>
      <c r="U45" s="20">
        <v>0</v>
      </c>
      <c r="V45" s="20">
        <v>2</v>
      </c>
      <c r="W45" s="63">
        <f>IFERROR(CalcRC27(F45,G45,K45,O45,P45,Q45,R45,S45,T45,U45,V45),"-")</f>
        <v>1.9633413461538438</v>
      </c>
      <c r="X45" s="13" t="s">
        <v>481</v>
      </c>
    </row>
    <row r="46" spans="2:24" ht="13.8" x14ac:dyDescent="0.2">
      <c r="B46" s="8">
        <f t="shared" si="5"/>
        <v>41</v>
      </c>
      <c r="C46" s="10">
        <v>41</v>
      </c>
      <c r="D46" s="13" t="s">
        <v>1464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502</v>
      </c>
    </row>
    <row r="47" spans="2:24" ht="13.8" x14ac:dyDescent="0.2">
      <c r="B47" s="8">
        <f t="shared" si="5"/>
        <v>42</v>
      </c>
      <c r="C47" s="10">
        <v>42</v>
      </c>
      <c r="D47" s="13" t="s">
        <v>1465</v>
      </c>
      <c r="E47" s="11">
        <f t="shared" si="2"/>
        <v>9.0909090909090912E-2</v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2">
        <f t="shared" si="6"/>
        <v>1</v>
      </c>
      <c r="L47" s="7">
        <v>0</v>
      </c>
      <c r="M47" s="11">
        <f t="shared" si="3"/>
        <v>9.0909090909090912E-2</v>
      </c>
      <c r="N47" s="11">
        <f t="shared" si="4"/>
        <v>0.18181818181818182</v>
      </c>
      <c r="O47" s="20">
        <v>7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>
        <f>IFERROR(CalcRC27(F47,G47,K47,O47,P47,Q47,R47,S47,T47,U47,V47),"-")</f>
        <v>-1.4796545454545471</v>
      </c>
      <c r="X47" s="13" t="s">
        <v>1490</v>
      </c>
    </row>
    <row r="48" spans="2:24" ht="13.8" x14ac:dyDescent="0.2">
      <c r="B48" s="8">
        <f t="shared" si="5"/>
        <v>43</v>
      </c>
      <c r="C48" s="10">
        <v>43</v>
      </c>
      <c r="D48" s="13" t="s">
        <v>1466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441</v>
      </c>
    </row>
    <row r="49" spans="2:24" ht="13.8" x14ac:dyDescent="0.2">
      <c r="B49" s="8">
        <f t="shared" si="5"/>
        <v>44</v>
      </c>
      <c r="C49" s="10">
        <v>44</v>
      </c>
      <c r="D49" s="13" t="s">
        <v>1467</v>
      </c>
      <c r="E49" s="11">
        <f t="shared" si="2"/>
        <v>0.20689655172413793</v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2">
        <f t="shared" si="6"/>
        <v>19</v>
      </c>
      <c r="L49" s="7">
        <v>5</v>
      </c>
      <c r="M49" s="11">
        <f t="shared" si="3"/>
        <v>0.25806451612903225</v>
      </c>
      <c r="N49" s="11">
        <f t="shared" si="4"/>
        <v>0.58565072302558396</v>
      </c>
      <c r="O49" s="20">
        <v>20</v>
      </c>
      <c r="P49" s="21">
        <v>3</v>
      </c>
      <c r="Q49" s="21">
        <v>1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>
        <f>IFERROR(CalcRC27(F49,G49,K49,O49,P49,Q49,R49,S49,T49,U49,V49),"-")</f>
        <v>2.8612678821879363</v>
      </c>
      <c r="X49" s="13" t="s">
        <v>482</v>
      </c>
    </row>
    <row r="50" spans="2:24" ht="13.8" x14ac:dyDescent="0.2">
      <c r="B50" s="8">
        <f t="shared" si="5"/>
        <v>45</v>
      </c>
      <c r="C50" s="10">
        <v>45</v>
      </c>
      <c r="D50" s="13" t="s">
        <v>292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939</v>
      </c>
    </row>
    <row r="51" spans="2:24" ht="13.8" x14ac:dyDescent="0.2">
      <c r="B51" s="8">
        <f t="shared" si="5"/>
        <v>46</v>
      </c>
      <c r="C51" s="10">
        <v>46</v>
      </c>
      <c r="D51" s="13" t="s">
        <v>1342</v>
      </c>
      <c r="E51" s="11">
        <f t="shared" si="2"/>
        <v>0</v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>
        <f>IFERROR(CalcRC27(F51,G51,K51,O51,P51,Q51,R51,S51,T51,U51,V51),"-")</f>
        <v>-2.8080000000000012</v>
      </c>
      <c r="X51" s="13" t="s">
        <v>1353</v>
      </c>
    </row>
    <row r="52" spans="2:24" ht="13.8" x14ac:dyDescent="0.2">
      <c r="B52" s="8">
        <f t="shared" si="5"/>
        <v>47</v>
      </c>
      <c r="C52" s="10">
        <v>47</v>
      </c>
      <c r="D52" s="13" t="s">
        <v>1343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1354</v>
      </c>
    </row>
    <row r="53" spans="2:24" ht="13.8" x14ac:dyDescent="0.2">
      <c r="B53" s="8">
        <f t="shared" si="5"/>
        <v>48</v>
      </c>
      <c r="C53" s="10">
        <v>48</v>
      </c>
      <c r="D53" s="13" t="s">
        <v>928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442</v>
      </c>
    </row>
    <row r="54" spans="2:24" ht="13.8" x14ac:dyDescent="0.2">
      <c r="B54" s="8">
        <f t="shared" si="5"/>
        <v>49</v>
      </c>
      <c r="C54" s="10">
        <v>49</v>
      </c>
      <c r="D54" s="13" t="s">
        <v>1344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1355</v>
      </c>
    </row>
    <row r="55" spans="2:24" ht="13.8" x14ac:dyDescent="0.2">
      <c r="B55" s="8">
        <f t="shared" si="5"/>
        <v>50</v>
      </c>
      <c r="C55" s="10">
        <v>50</v>
      </c>
      <c r="D55" s="13" t="s">
        <v>929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940</v>
      </c>
    </row>
    <row r="56" spans="2:24" ht="13.8" x14ac:dyDescent="0.2">
      <c r="B56" s="8">
        <f t="shared" si="5"/>
        <v>51</v>
      </c>
      <c r="C56" s="10">
        <v>51</v>
      </c>
      <c r="D56" s="13" t="s">
        <v>1468</v>
      </c>
      <c r="E56" s="11">
        <f t="shared" si="2"/>
        <v>0.28620689655172415</v>
      </c>
      <c r="F56" s="5">
        <v>290</v>
      </c>
      <c r="G56" s="5">
        <v>83</v>
      </c>
      <c r="H56" s="5">
        <v>11</v>
      </c>
      <c r="I56" s="5">
        <v>7</v>
      </c>
      <c r="J56" s="6">
        <v>6</v>
      </c>
      <c r="K56" s="12">
        <f t="shared" si="6"/>
        <v>126</v>
      </c>
      <c r="L56" s="7">
        <v>31</v>
      </c>
      <c r="M56" s="11">
        <f t="shared" si="3"/>
        <v>0.31456953642384106</v>
      </c>
      <c r="N56" s="11">
        <f t="shared" si="4"/>
        <v>0.74905229504453064</v>
      </c>
      <c r="O56" s="20">
        <v>38</v>
      </c>
      <c r="P56" s="21">
        <v>10</v>
      </c>
      <c r="Q56" s="21">
        <v>2</v>
      </c>
      <c r="R56" s="22">
        <v>4</v>
      </c>
      <c r="S56" s="22">
        <v>0</v>
      </c>
      <c r="T56" s="20">
        <v>8</v>
      </c>
      <c r="U56" s="20">
        <v>4</v>
      </c>
      <c r="V56" s="20">
        <v>7</v>
      </c>
      <c r="W56" s="63">
        <f>IFERROR(CalcRC27(F56,G56,K56,O56,P56,Q56,R56,S56,T56,U56,V56),"-")</f>
        <v>4.57090832008479</v>
      </c>
      <c r="X56" s="13" t="s">
        <v>483</v>
      </c>
    </row>
    <row r="57" spans="2:24" ht="13.8" x14ac:dyDescent="0.2">
      <c r="B57" s="8">
        <f t="shared" si="5"/>
        <v>52</v>
      </c>
      <c r="C57" s="10">
        <v>52</v>
      </c>
      <c r="D57" s="13" t="s">
        <v>930</v>
      </c>
      <c r="E57" s="11">
        <f t="shared" si="2"/>
        <v>0.2733812949640288</v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2">
        <f t="shared" si="6"/>
        <v>77</v>
      </c>
      <c r="L57" s="7">
        <v>27</v>
      </c>
      <c r="M57" s="11">
        <f t="shared" si="3"/>
        <v>0.30821917808219179</v>
      </c>
      <c r="N57" s="11">
        <f t="shared" si="4"/>
        <v>0.86217601261456589</v>
      </c>
      <c r="O57" s="20">
        <v>40</v>
      </c>
      <c r="P57" s="21">
        <v>6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5</v>
      </c>
      <c r="W57" s="63">
        <f>IFERROR(CalcRC27(F57,G57,K57,O57,P57,Q57,R57,S57,T57,U57,V57),"-")</f>
        <v>5.5515213233393617</v>
      </c>
      <c r="X57" s="13" t="s">
        <v>941</v>
      </c>
    </row>
    <row r="58" spans="2:24" ht="13.8" x14ac:dyDescent="0.2">
      <c r="B58" s="8">
        <f t="shared" si="5"/>
        <v>53</v>
      </c>
      <c r="C58" s="10">
        <v>53</v>
      </c>
      <c r="D58" s="13" t="s">
        <v>1527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503</v>
      </c>
    </row>
    <row r="59" spans="2:24" ht="13.8" x14ac:dyDescent="0.2">
      <c r="B59" s="8">
        <f t="shared" si="5"/>
        <v>54</v>
      </c>
      <c r="C59" s="10">
        <v>54</v>
      </c>
      <c r="D59" s="13" t="s">
        <v>1469</v>
      </c>
      <c r="E59" s="11">
        <f t="shared" si="2"/>
        <v>0.14000000000000001</v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2">
        <f t="shared" si="6"/>
        <v>9</v>
      </c>
      <c r="L59" s="7">
        <v>3</v>
      </c>
      <c r="M59" s="11">
        <f t="shared" si="3"/>
        <v>0.21818181818181817</v>
      </c>
      <c r="N59" s="11">
        <f t="shared" si="4"/>
        <v>0.39818181818181819</v>
      </c>
      <c r="O59" s="20">
        <v>13</v>
      </c>
      <c r="P59" s="21">
        <v>5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3</v>
      </c>
      <c r="W59" s="63">
        <f>IFERROR(CalcRC27(F59,G59,K59,O59,P59,Q59,R59,S59,T59,U59,V59),"-")</f>
        <v>0.18949802371541333</v>
      </c>
      <c r="X59" s="13" t="s">
        <v>484</v>
      </c>
    </row>
    <row r="60" spans="2:24" ht="13.8" x14ac:dyDescent="0.2">
      <c r="B60" s="8">
        <f t="shared" si="5"/>
        <v>55</v>
      </c>
      <c r="C60" s="10">
        <v>55</v>
      </c>
      <c r="D60" s="13" t="s">
        <v>1470</v>
      </c>
      <c r="E60" s="11">
        <f t="shared" si="2"/>
        <v>0.25174825174825177</v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2">
        <f t="shared" si="6"/>
        <v>45</v>
      </c>
      <c r="L60" s="7">
        <v>27</v>
      </c>
      <c r="M60" s="11">
        <f t="shared" si="3"/>
        <v>0.30128205128205127</v>
      </c>
      <c r="N60" s="11">
        <f t="shared" si="4"/>
        <v>0.6159673659673659</v>
      </c>
      <c r="O60" s="20">
        <v>27</v>
      </c>
      <c r="P60" s="21">
        <v>10</v>
      </c>
      <c r="Q60" s="21">
        <v>1</v>
      </c>
      <c r="R60" s="22">
        <v>0</v>
      </c>
      <c r="S60" s="22">
        <v>2</v>
      </c>
      <c r="T60" s="20">
        <v>0</v>
      </c>
      <c r="U60" s="20">
        <v>0</v>
      </c>
      <c r="V60" s="20">
        <v>4</v>
      </c>
      <c r="W60" s="63">
        <f>IFERROR(CalcRC27(F60,G60,K60,O60,P60,Q60,R60,S60,T60,U60,V60),"-")</f>
        <v>3.1148253914227344</v>
      </c>
      <c r="X60" s="13" t="s">
        <v>485</v>
      </c>
    </row>
    <row r="61" spans="2:24" ht="13.8" x14ac:dyDescent="0.2">
      <c r="B61" s="8">
        <f t="shared" si="5"/>
        <v>56</v>
      </c>
      <c r="C61" s="10">
        <v>56</v>
      </c>
      <c r="D61" s="13" t="s">
        <v>1345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1356</v>
      </c>
    </row>
    <row r="62" spans="2:24" ht="13.8" x14ac:dyDescent="0.2">
      <c r="B62" s="8">
        <f t="shared" si="5"/>
        <v>57</v>
      </c>
      <c r="C62" s="10">
        <v>57</v>
      </c>
      <c r="D62" s="13" t="s">
        <v>935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490</v>
      </c>
    </row>
    <row r="63" spans="2:24" ht="13.8" x14ac:dyDescent="0.2">
      <c r="B63" s="8">
        <f t="shared" si="5"/>
        <v>58</v>
      </c>
      <c r="C63" s="10">
        <v>58</v>
      </c>
      <c r="D63" s="13" t="s">
        <v>1471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1491</v>
      </c>
    </row>
    <row r="64" spans="2:24" ht="13.8" x14ac:dyDescent="0.2">
      <c r="B64" s="8">
        <f t="shared" si="5"/>
        <v>59</v>
      </c>
      <c r="C64" s="10">
        <v>59</v>
      </c>
      <c r="D64" s="13" t="s">
        <v>1472</v>
      </c>
      <c r="E64" s="11">
        <f t="shared" si="2"/>
        <v>0.15151515151515152</v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2">
        <f t="shared" si="6"/>
        <v>15</v>
      </c>
      <c r="L64" s="7">
        <v>5</v>
      </c>
      <c r="M64" s="11">
        <f t="shared" si="3"/>
        <v>0.2</v>
      </c>
      <c r="N64" s="11">
        <f t="shared" si="4"/>
        <v>0.42727272727272725</v>
      </c>
      <c r="O64" s="20">
        <v>22</v>
      </c>
      <c r="P64" s="21">
        <v>2</v>
      </c>
      <c r="Q64" s="21">
        <v>2</v>
      </c>
      <c r="R64" s="22">
        <v>1</v>
      </c>
      <c r="S64" s="22">
        <v>0</v>
      </c>
      <c r="T64" s="20">
        <v>4</v>
      </c>
      <c r="U64" s="20">
        <v>3</v>
      </c>
      <c r="V64" s="20">
        <v>1</v>
      </c>
      <c r="W64" s="63">
        <f>IFERROR(CalcRC27(F64,G64,K64,O64,P64,Q64,R64,S64,T64,U64,V64),"-")</f>
        <v>0.64079057954282892</v>
      </c>
      <c r="X64" s="13" t="s">
        <v>486</v>
      </c>
    </row>
    <row r="65" spans="2:24" ht="13.8" x14ac:dyDescent="0.2">
      <c r="B65" s="8">
        <f t="shared" si="5"/>
        <v>60</v>
      </c>
      <c r="C65" s="10">
        <v>60</v>
      </c>
      <c r="D65" s="13" t="s">
        <v>1727</v>
      </c>
      <c r="E65" s="11">
        <f t="shared" si="2"/>
        <v>0.36363636363636365</v>
      </c>
      <c r="F65" s="5">
        <v>22</v>
      </c>
      <c r="G65" s="5">
        <v>8</v>
      </c>
      <c r="H65" s="5">
        <v>2</v>
      </c>
      <c r="I65" s="5">
        <v>0</v>
      </c>
      <c r="J65" s="6">
        <v>0</v>
      </c>
      <c r="K65" s="12">
        <f t="shared" si="6"/>
        <v>10</v>
      </c>
      <c r="L65" s="7">
        <v>0</v>
      </c>
      <c r="M65" s="11">
        <f t="shared" si="3"/>
        <v>0.36363636363636365</v>
      </c>
      <c r="N65" s="11">
        <f t="shared" si="4"/>
        <v>0.81818181818181812</v>
      </c>
      <c r="O65" s="20">
        <v>6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3">
        <f>IFERROR(CalcRC27(F65,G65,K65,O65,P65,Q65,R65,S65,T65,U65,V65),"-")</f>
        <v>5.5785090909090886</v>
      </c>
      <c r="X65" s="13" t="s">
        <v>942</v>
      </c>
    </row>
    <row r="66" spans="2:24" ht="13.8" x14ac:dyDescent="0.2">
      <c r="B66" s="8">
        <f t="shared" si="5"/>
        <v>61</v>
      </c>
      <c r="C66" s="10">
        <v>61</v>
      </c>
      <c r="D66" s="13" t="s">
        <v>1473</v>
      </c>
      <c r="E66" s="11">
        <f t="shared" si="2"/>
        <v>0.18487394957983194</v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2">
        <f t="shared" si="6"/>
        <v>24</v>
      </c>
      <c r="L66" s="7">
        <v>3</v>
      </c>
      <c r="M66" s="11">
        <f t="shared" si="3"/>
        <v>0.26865671641791045</v>
      </c>
      <c r="N66" s="11">
        <f t="shared" si="4"/>
        <v>0.47033738868681801</v>
      </c>
      <c r="O66" s="20">
        <v>35</v>
      </c>
      <c r="P66" s="21">
        <v>14</v>
      </c>
      <c r="Q66" s="21">
        <v>0</v>
      </c>
      <c r="R66" s="22">
        <v>12</v>
      </c>
      <c r="S66" s="22">
        <v>1</v>
      </c>
      <c r="T66" s="20">
        <v>7</v>
      </c>
      <c r="U66" s="20">
        <v>0</v>
      </c>
      <c r="V66" s="20">
        <v>2</v>
      </c>
      <c r="W66" s="63">
        <f>IFERROR(CalcRC27(F66,G66,K66,O66,P66,Q66,R66,S66,T66,U66,V66),"-")</f>
        <v>1.8895714285714271</v>
      </c>
      <c r="X66" s="13" t="s">
        <v>487</v>
      </c>
    </row>
    <row r="67" spans="2:24" ht="13.8" x14ac:dyDescent="0.2">
      <c r="B67" s="8">
        <f t="shared" si="5"/>
        <v>62</v>
      </c>
      <c r="C67" s="10">
        <v>62</v>
      </c>
      <c r="D67" s="13" t="s">
        <v>1665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1357</v>
      </c>
    </row>
    <row r="68" spans="2:24" ht="13.8" x14ac:dyDescent="0.2">
      <c r="B68" s="8">
        <f t="shared" si="5"/>
        <v>63</v>
      </c>
      <c r="C68" s="10">
        <v>63</v>
      </c>
      <c r="D68" s="13" t="s">
        <v>1346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1492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931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943</v>
      </c>
    </row>
    <row r="70" spans="2:24" ht="13.8" x14ac:dyDescent="0.2">
      <c r="B70" s="8">
        <f t="shared" si="10"/>
        <v>65</v>
      </c>
      <c r="C70" s="10">
        <v>65</v>
      </c>
      <c r="D70" s="13" t="s">
        <v>1474</v>
      </c>
      <c r="E70" s="11">
        <f t="shared" si="11"/>
        <v>0.14285714285714285</v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2">
        <f t="shared" si="12"/>
        <v>2</v>
      </c>
      <c r="L70" s="7">
        <v>2</v>
      </c>
      <c r="M70" s="11">
        <f t="shared" si="8"/>
        <v>0.14285714285714285</v>
      </c>
      <c r="N70" s="11">
        <f t="shared" si="9"/>
        <v>0.2857142857142857</v>
      </c>
      <c r="O70" s="20">
        <v>9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3">
        <f>IFERROR(CalcRC27(F70,G70,K70,O70,P70,Q70,R70,S70,T70,U70,V70),"-")</f>
        <v>-0.40953846153846302</v>
      </c>
      <c r="X70" s="13" t="s">
        <v>504</v>
      </c>
    </row>
    <row r="71" spans="2:24" ht="13.8" x14ac:dyDescent="0.2">
      <c r="B71" s="8">
        <f t="shared" si="10"/>
        <v>66</v>
      </c>
      <c r="C71" s="10">
        <v>66</v>
      </c>
      <c r="D71" s="13" t="s">
        <v>1475</v>
      </c>
      <c r="E71" s="11">
        <f t="shared" si="11"/>
        <v>0</v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7</v>
      </c>
      <c r="P71" s="21">
        <v>0</v>
      </c>
      <c r="Q71" s="21">
        <v>0</v>
      </c>
      <c r="R71" s="22">
        <v>1</v>
      </c>
      <c r="S71" s="22">
        <v>0</v>
      </c>
      <c r="T71" s="20">
        <v>0</v>
      </c>
      <c r="U71" s="20">
        <v>0</v>
      </c>
      <c r="V71" s="20">
        <v>0</v>
      </c>
      <c r="W71" s="63">
        <f>IFERROR(CalcRC27(F71,G71,K71,O71,P71,Q71,R71,S71,T71,U71,V71),"-")</f>
        <v>-2.522769230769232</v>
      </c>
      <c r="X71" s="13" t="s">
        <v>505</v>
      </c>
    </row>
    <row r="72" spans="2:24" ht="13.8" x14ac:dyDescent="0.2">
      <c r="B72" s="8">
        <f t="shared" si="10"/>
        <v>67</v>
      </c>
      <c r="C72" s="10">
        <v>67</v>
      </c>
      <c r="D72" s="13" t="s">
        <v>1712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1713</v>
      </c>
    </row>
    <row r="73" spans="2:24" ht="13.8" x14ac:dyDescent="0.2">
      <c r="B73" s="8">
        <f t="shared" si="10"/>
        <v>68</v>
      </c>
      <c r="C73" s="10">
        <v>68</v>
      </c>
      <c r="D73" s="13" t="s">
        <v>1476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1493</v>
      </c>
    </row>
    <row r="74" spans="2:24" ht="13.8" x14ac:dyDescent="0.2">
      <c r="B74" s="8">
        <f t="shared" si="10"/>
        <v>69</v>
      </c>
      <c r="C74" s="10">
        <v>69</v>
      </c>
      <c r="D74" s="13" t="s">
        <v>1477</v>
      </c>
      <c r="E74" s="11">
        <f t="shared" si="11"/>
        <v>0.14893617021276595</v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2">
        <f t="shared" si="12"/>
        <v>8</v>
      </c>
      <c r="L74" s="7">
        <v>4</v>
      </c>
      <c r="M74" s="11">
        <f t="shared" si="8"/>
        <v>0.21568627450980393</v>
      </c>
      <c r="N74" s="11">
        <f t="shared" si="9"/>
        <v>0.38589904046725076</v>
      </c>
      <c r="O74" s="20">
        <v>12</v>
      </c>
      <c r="P74" s="21">
        <v>4</v>
      </c>
      <c r="Q74" s="21">
        <v>0</v>
      </c>
      <c r="R74" s="22">
        <v>2</v>
      </c>
      <c r="S74" s="22">
        <v>0</v>
      </c>
      <c r="T74" s="20">
        <v>14</v>
      </c>
      <c r="U74" s="20">
        <v>6</v>
      </c>
      <c r="V74" s="20">
        <v>3</v>
      </c>
      <c r="W74" s="63">
        <f>IFERROR(CalcRC27(F74,G74,K74,O74,P74,Q74,R74,S74,T74,U74,V74),"-")</f>
        <v>0.22856825749167478</v>
      </c>
      <c r="X74" s="13" t="s">
        <v>443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1478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1494</v>
      </c>
    </row>
    <row r="101" spans="2:24" ht="13.8" x14ac:dyDescent="0.2">
      <c r="B101" s="8">
        <f t="shared" si="10"/>
        <v>96</v>
      </c>
      <c r="C101" s="10">
        <v>96</v>
      </c>
      <c r="D101" s="13" t="s">
        <v>1479</v>
      </c>
      <c r="E101" s="11">
        <f t="shared" si="11"/>
        <v>0.15</v>
      </c>
      <c r="F101" s="5">
        <v>20</v>
      </c>
      <c r="G101" s="5">
        <v>3</v>
      </c>
      <c r="H101" s="5">
        <v>0</v>
      </c>
      <c r="I101" s="5">
        <v>0</v>
      </c>
      <c r="J101" s="6">
        <v>0</v>
      </c>
      <c r="K101" s="12">
        <f t="shared" si="12"/>
        <v>3</v>
      </c>
      <c r="L101" s="7">
        <v>0</v>
      </c>
      <c r="M101" s="11">
        <f t="shared" si="8"/>
        <v>0.15</v>
      </c>
      <c r="N101" s="11">
        <f t="shared" si="9"/>
        <v>0.3</v>
      </c>
      <c r="O101" s="20">
        <v>7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1</v>
      </c>
      <c r="V101" s="20">
        <v>0</v>
      </c>
      <c r="W101" s="63">
        <f>IFERROR(CalcRC27(F101,G101,K101,O101,P101,Q101,R101,S101,T101,U101,V101),"-")</f>
        <v>-0.83750000000000147</v>
      </c>
      <c r="X101" s="13" t="s">
        <v>475</v>
      </c>
    </row>
    <row r="102" spans="2:24" ht="13.8" x14ac:dyDescent="0.2">
      <c r="B102" s="8">
        <f t="shared" si="10"/>
        <v>97</v>
      </c>
      <c r="C102" s="10">
        <v>97</v>
      </c>
      <c r="D102" s="13" t="s">
        <v>1347</v>
      </c>
      <c r="E102" s="11">
        <f t="shared" si="11"/>
        <v>0.17647058823529413</v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2">
        <f t="shared" si="12"/>
        <v>7</v>
      </c>
      <c r="L102" s="7">
        <v>3</v>
      </c>
      <c r="M102" s="11">
        <f t="shared" si="8"/>
        <v>0.21621621621621623</v>
      </c>
      <c r="N102" s="11">
        <f t="shared" si="9"/>
        <v>0.42209856915739269</v>
      </c>
      <c r="O102" s="20">
        <v>10</v>
      </c>
      <c r="P102" s="21">
        <v>1</v>
      </c>
      <c r="Q102" s="21">
        <v>1</v>
      </c>
      <c r="R102" s="22">
        <v>0</v>
      </c>
      <c r="S102" s="22">
        <v>1</v>
      </c>
      <c r="T102" s="20">
        <v>1</v>
      </c>
      <c r="U102" s="20">
        <v>0</v>
      </c>
      <c r="V102" s="20">
        <v>2</v>
      </c>
      <c r="W102" s="63">
        <f>IFERROR(CalcRC27(F102,G102,K102,O102,P102,Q102,R102,S102,T102,U102,V102),"-")</f>
        <v>0.59966521360069547</v>
      </c>
      <c r="X102" s="13" t="s">
        <v>1358</v>
      </c>
    </row>
    <row r="103" spans="2:24" ht="13.8" x14ac:dyDescent="0.2">
      <c r="B103" s="8">
        <f t="shared" si="10"/>
        <v>98</v>
      </c>
      <c r="C103" s="10">
        <v>98</v>
      </c>
      <c r="D103" s="13" t="s">
        <v>932</v>
      </c>
      <c r="E103" s="11">
        <f t="shared" si="11"/>
        <v>0</v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0.1111111111111111</v>
      </c>
      <c r="N103" s="11">
        <f t="shared" si="9"/>
        <v>0.1111111111111111</v>
      </c>
      <c r="O103" s="20">
        <v>6</v>
      </c>
      <c r="P103" s="21">
        <v>1</v>
      </c>
      <c r="Q103" s="21">
        <v>0</v>
      </c>
      <c r="R103" s="22">
        <v>1</v>
      </c>
      <c r="S103" s="22">
        <v>0</v>
      </c>
      <c r="T103" s="20">
        <v>0</v>
      </c>
      <c r="U103" s="20">
        <v>0</v>
      </c>
      <c r="V103" s="20">
        <v>0</v>
      </c>
      <c r="W103" s="63">
        <f>IFERROR(CalcRC27(F103,G103,K103,O103,P103,Q103,R103,S103,T103,U103,V103),"-")</f>
        <v>-1.4916666666666683</v>
      </c>
      <c r="X103" s="13" t="s">
        <v>1495</v>
      </c>
    </row>
    <row r="104" spans="2:24" ht="13.8" x14ac:dyDescent="0.2">
      <c r="B104" s="8">
        <f t="shared" si="10"/>
        <v>99</v>
      </c>
      <c r="C104" s="10">
        <v>99</v>
      </c>
      <c r="D104" s="13" t="s">
        <v>933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489</v>
      </c>
    </row>
    <row r="105" spans="2:24" ht="13.8" x14ac:dyDescent="0.2">
      <c r="B105" s="8">
        <f t="shared" si="10"/>
        <v>120</v>
      </c>
      <c r="C105" s="10">
        <v>120</v>
      </c>
      <c r="D105" s="23" t="s">
        <v>1480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1496</v>
      </c>
    </row>
    <row r="106" spans="2:24" ht="13.8" x14ac:dyDescent="0.2">
      <c r="B106" s="8">
        <f t="shared" si="10"/>
        <v>121</v>
      </c>
      <c r="C106" s="10">
        <v>121</v>
      </c>
      <c r="D106" s="13" t="s">
        <v>1348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1359</v>
      </c>
    </row>
    <row r="107" spans="2:24" ht="13.8" x14ac:dyDescent="0.2">
      <c r="B107" s="8">
        <f t="shared" si="10"/>
        <v>122</v>
      </c>
      <c r="C107" s="10">
        <v>122</v>
      </c>
      <c r="D107" s="13" t="s">
        <v>934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944</v>
      </c>
    </row>
    <row r="108" spans="2:24" ht="13.8" x14ac:dyDescent="0.2">
      <c r="B108" s="8">
        <f t="shared" si="10"/>
        <v>123</v>
      </c>
      <c r="C108" s="10">
        <v>123</v>
      </c>
      <c r="D108" s="13" t="s">
        <v>1481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494</v>
      </c>
    </row>
    <row r="109" spans="2:24" ht="13.8" x14ac:dyDescent="0.2">
      <c r="B109" s="8">
        <f t="shared" si="10"/>
        <v>124</v>
      </c>
      <c r="C109" s="10">
        <v>124</v>
      </c>
      <c r="D109" s="13" t="s">
        <v>1482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1497</v>
      </c>
    </row>
    <row r="110" spans="2:24" ht="13.8" x14ac:dyDescent="0.2">
      <c r="B110" s="8">
        <f t="shared" si="10"/>
        <v>125</v>
      </c>
      <c r="C110" s="10">
        <v>125</v>
      </c>
      <c r="D110" s="13" t="s">
        <v>1349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1360</v>
      </c>
    </row>
    <row r="111" spans="2:24" ht="13.8" x14ac:dyDescent="0.2">
      <c r="B111" s="8">
        <f t="shared" si="10"/>
        <v>126</v>
      </c>
      <c r="C111" s="10">
        <v>126</v>
      </c>
      <c r="D111" s="13" t="s">
        <v>936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945</v>
      </c>
    </row>
    <row r="112" spans="2:24" ht="13.8" x14ac:dyDescent="0.2">
      <c r="B112" s="8">
        <f t="shared" si="10"/>
        <v>127</v>
      </c>
      <c r="C112" s="10">
        <v>127</v>
      </c>
      <c r="D112" s="13" t="s">
        <v>911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946</v>
      </c>
    </row>
    <row r="113" spans="2:24" ht="13.8" x14ac:dyDescent="0.2">
      <c r="B113" s="8">
        <f t="shared" si="10"/>
        <v>128</v>
      </c>
      <c r="C113" s="10">
        <v>128</v>
      </c>
      <c r="D113" s="13" t="s">
        <v>1483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1498</v>
      </c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8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1505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61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1506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1507</v>
      </c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1508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1509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1510</v>
      </c>
    </row>
    <row r="11" spans="2:24" ht="13.8" x14ac:dyDescent="0.2">
      <c r="B11" s="8">
        <f t="shared" si="5"/>
        <v>6</v>
      </c>
      <c r="C11" s="10">
        <v>6</v>
      </c>
      <c r="D11" s="13" t="s">
        <v>1511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1512</v>
      </c>
    </row>
    <row r="12" spans="2:24" ht="13.8" x14ac:dyDescent="0.2">
      <c r="B12" s="8">
        <f t="shared" si="5"/>
        <v>7</v>
      </c>
      <c r="C12" s="10">
        <v>7</v>
      </c>
      <c r="D12" s="13" t="s">
        <v>1513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1514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1515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276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1516</v>
      </c>
    </row>
    <row r="17" spans="2:24" ht="13.8" x14ac:dyDescent="0.2">
      <c r="B17" s="8">
        <f t="shared" si="5"/>
        <v>12</v>
      </c>
      <c r="C17" s="10">
        <v>12</v>
      </c>
      <c r="D17" s="13" t="s">
        <v>1517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1518</v>
      </c>
    </row>
    <row r="18" spans="2:24" ht="13.8" x14ac:dyDescent="0.2">
      <c r="B18" s="8">
        <f t="shared" si="5"/>
        <v>13</v>
      </c>
      <c r="C18" s="10">
        <v>13</v>
      </c>
      <c r="D18" s="13" t="s">
        <v>273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1519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1520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1520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1663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1521</v>
      </c>
    </row>
    <row r="23" spans="2:24" ht="13.8" x14ac:dyDescent="0.2">
      <c r="B23" s="8">
        <f t="shared" si="5"/>
        <v>18</v>
      </c>
      <c r="C23" s="10">
        <v>18</v>
      </c>
      <c r="D23" s="13" t="s">
        <v>1522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1523</v>
      </c>
    </row>
    <row r="24" spans="2:24" ht="13.8" x14ac:dyDescent="0.2">
      <c r="B24" s="8">
        <f t="shared" si="5"/>
        <v>19</v>
      </c>
      <c r="C24" s="10">
        <v>19</v>
      </c>
      <c r="D24" s="13" t="s">
        <v>1674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1524</v>
      </c>
    </row>
    <row r="25" spans="2:24" ht="13.8" x14ac:dyDescent="0.2">
      <c r="B25" s="8">
        <f t="shared" si="5"/>
        <v>20</v>
      </c>
      <c r="C25" s="10">
        <v>20</v>
      </c>
      <c r="D25" s="13" t="s">
        <v>274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1525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1526</v>
      </c>
    </row>
    <row r="27" spans="2:24" ht="13.8" x14ac:dyDescent="0.2">
      <c r="B27" s="8">
        <f t="shared" si="5"/>
        <v>22</v>
      </c>
      <c r="C27" s="10">
        <v>22</v>
      </c>
      <c r="D27" s="13" t="s">
        <v>1527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1528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715</v>
      </c>
    </row>
    <row r="29" spans="2:24" ht="13.8" x14ac:dyDescent="0.2">
      <c r="B29" s="8">
        <f t="shared" si="5"/>
        <v>24</v>
      </c>
      <c r="C29" s="10">
        <v>24</v>
      </c>
      <c r="D29" s="13" t="s">
        <v>1269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1529</v>
      </c>
    </row>
    <row r="30" spans="2:24" ht="13.8" x14ac:dyDescent="0.2">
      <c r="B30" s="8">
        <f t="shared" si="5"/>
        <v>25</v>
      </c>
      <c r="C30" s="10">
        <v>25</v>
      </c>
      <c r="D30" s="13" t="s">
        <v>1530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1531</v>
      </c>
    </row>
    <row r="31" spans="2:24" ht="13.8" x14ac:dyDescent="0.2">
      <c r="B31" s="8">
        <f t="shared" si="5"/>
        <v>26</v>
      </c>
      <c r="C31" s="10">
        <v>26</v>
      </c>
      <c r="D31" s="13" t="s">
        <v>275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1532</v>
      </c>
    </row>
    <row r="32" spans="2:24" ht="13.8" x14ac:dyDescent="0.2">
      <c r="B32" s="8">
        <f t="shared" si="5"/>
        <v>27</v>
      </c>
      <c r="C32" s="10">
        <v>27</v>
      </c>
      <c r="D32" s="13" t="s">
        <v>1533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1534</v>
      </c>
    </row>
    <row r="33" spans="2:24" ht="13.8" x14ac:dyDescent="0.2">
      <c r="B33" s="8">
        <f t="shared" si="5"/>
        <v>28</v>
      </c>
      <c r="C33" s="10">
        <v>28</v>
      </c>
      <c r="D33" s="13" t="s">
        <v>1535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1536</v>
      </c>
    </row>
    <row r="34" spans="2:24" ht="13.8" x14ac:dyDescent="0.2">
      <c r="B34" s="8">
        <f t="shared" si="5"/>
        <v>29</v>
      </c>
      <c r="C34" s="10">
        <v>29</v>
      </c>
      <c r="D34" s="13" t="s">
        <v>1537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1537</v>
      </c>
    </row>
    <row r="35" spans="2:24" ht="13.8" x14ac:dyDescent="0.2">
      <c r="B35" s="8">
        <f t="shared" si="5"/>
        <v>30</v>
      </c>
      <c r="C35" s="10">
        <v>30</v>
      </c>
      <c r="D35" s="13" t="s">
        <v>1538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1807</v>
      </c>
    </row>
    <row r="36" spans="2:24" ht="13.8" x14ac:dyDescent="0.2">
      <c r="B36" s="8">
        <f t="shared" si="5"/>
        <v>31</v>
      </c>
      <c r="C36" s="10">
        <v>31</v>
      </c>
      <c r="D36" s="13" t="s">
        <v>1539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1540</v>
      </c>
    </row>
    <row r="37" spans="2:24" ht="13.8" x14ac:dyDescent="0.2">
      <c r="B37" s="8">
        <f t="shared" si="5"/>
        <v>32</v>
      </c>
      <c r="C37" s="10">
        <v>32</v>
      </c>
      <c r="D37" s="13" t="s">
        <v>1714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1541</v>
      </c>
    </row>
    <row r="38" spans="2:24" ht="13.8" x14ac:dyDescent="0.2">
      <c r="B38" s="8">
        <f t="shared" si="5"/>
        <v>33</v>
      </c>
      <c r="C38" s="10">
        <v>33</v>
      </c>
      <c r="D38" s="13" t="s">
        <v>1715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1715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1542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1543</v>
      </c>
    </row>
    <row r="41" spans="2:24" ht="13.8" x14ac:dyDescent="0.2">
      <c r="B41" s="8">
        <f t="shared" si="5"/>
        <v>36</v>
      </c>
      <c r="C41" s="10">
        <v>36</v>
      </c>
      <c r="D41" s="13" t="s">
        <v>1544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809</v>
      </c>
    </row>
    <row r="42" spans="2:24" ht="13.8" x14ac:dyDescent="0.2">
      <c r="B42" s="8">
        <f t="shared" si="5"/>
        <v>37</v>
      </c>
      <c r="C42" s="10">
        <v>37</v>
      </c>
      <c r="D42" s="13" t="s">
        <v>1545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1546</v>
      </c>
    </row>
    <row r="43" spans="2:24" ht="13.8" x14ac:dyDescent="0.2">
      <c r="B43" s="8">
        <f t="shared" si="5"/>
        <v>38</v>
      </c>
      <c r="C43" s="10">
        <v>38</v>
      </c>
      <c r="D43" s="13" t="s">
        <v>1481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1547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1548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1549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1550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1551</v>
      </c>
    </row>
    <row r="49" spans="2:24" ht="13.8" x14ac:dyDescent="0.2">
      <c r="B49" s="8">
        <f t="shared" si="5"/>
        <v>44</v>
      </c>
      <c r="C49" s="10">
        <v>44</v>
      </c>
      <c r="D49" s="13" t="s">
        <v>1552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1553</v>
      </c>
    </row>
    <row r="50" spans="2:24" ht="13.8" x14ac:dyDescent="0.2">
      <c r="B50" s="8">
        <f t="shared" si="5"/>
        <v>45</v>
      </c>
      <c r="C50" s="10">
        <v>45</v>
      </c>
      <c r="D50" s="13" t="s">
        <v>57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950</v>
      </c>
    </row>
    <row r="51" spans="2:24" ht="13.8" x14ac:dyDescent="0.2">
      <c r="B51" s="8">
        <f t="shared" si="5"/>
        <v>46</v>
      </c>
      <c r="C51" s="10">
        <v>46</v>
      </c>
      <c r="D51" s="13" t="s">
        <v>1554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1555</v>
      </c>
    </row>
    <row r="52" spans="2:24" ht="13.8" x14ac:dyDescent="0.2">
      <c r="B52" s="8">
        <f t="shared" si="5"/>
        <v>47</v>
      </c>
      <c r="C52" s="10">
        <v>47</v>
      </c>
      <c r="D52" s="13" t="s">
        <v>1556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1557</v>
      </c>
    </row>
    <row r="53" spans="2:24" ht="13.8" x14ac:dyDescent="0.2">
      <c r="B53" s="8">
        <f t="shared" si="5"/>
        <v>48</v>
      </c>
      <c r="C53" s="10">
        <v>48</v>
      </c>
      <c r="D53" s="13" t="s">
        <v>1558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1559</v>
      </c>
    </row>
    <row r="54" spans="2:24" ht="13.8" x14ac:dyDescent="0.2">
      <c r="B54" s="8">
        <f t="shared" si="5"/>
        <v>49</v>
      </c>
      <c r="C54" s="10">
        <v>49</v>
      </c>
      <c r="D54" s="13" t="s">
        <v>1560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1560</v>
      </c>
    </row>
    <row r="55" spans="2:24" ht="13.8" x14ac:dyDescent="0.2">
      <c r="B55" s="8">
        <f t="shared" si="5"/>
        <v>50</v>
      </c>
      <c r="C55" s="10">
        <v>50</v>
      </c>
      <c r="D55" s="13" t="s">
        <v>364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207</v>
      </c>
    </row>
    <row r="56" spans="2:24" ht="13.8" x14ac:dyDescent="0.2">
      <c r="B56" s="8">
        <f t="shared" si="5"/>
        <v>51</v>
      </c>
      <c r="C56" s="10">
        <v>51</v>
      </c>
      <c r="D56" s="13" t="s">
        <v>1561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1562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63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1563</v>
      </c>
    </row>
    <row r="59" spans="2:24" ht="13.8" x14ac:dyDescent="0.2">
      <c r="B59" s="8">
        <f t="shared" si="5"/>
        <v>54</v>
      </c>
      <c r="C59" s="10">
        <v>54</v>
      </c>
      <c r="D59" s="13" t="s">
        <v>1564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1565</v>
      </c>
    </row>
    <row r="60" spans="2:24" ht="13.8" x14ac:dyDescent="0.2">
      <c r="B60" s="8">
        <f t="shared" si="5"/>
        <v>55</v>
      </c>
      <c r="C60" s="10">
        <v>55</v>
      </c>
      <c r="D60" s="13" t="s">
        <v>1566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1567</v>
      </c>
    </row>
    <row r="61" spans="2:24" ht="13.8" x14ac:dyDescent="0.2">
      <c r="B61" s="8">
        <f t="shared" si="5"/>
        <v>56</v>
      </c>
      <c r="C61" s="10">
        <v>56</v>
      </c>
      <c r="D61" s="13" t="s">
        <v>1568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1569</v>
      </c>
    </row>
    <row r="62" spans="2:24" ht="13.8" x14ac:dyDescent="0.2">
      <c r="B62" s="8">
        <f t="shared" si="5"/>
        <v>57</v>
      </c>
      <c r="C62" s="10">
        <v>57</v>
      </c>
      <c r="D62" s="13" t="s">
        <v>1570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1571</v>
      </c>
    </row>
    <row r="63" spans="2:24" ht="13.8" x14ac:dyDescent="0.2">
      <c r="B63" s="8">
        <f t="shared" si="5"/>
        <v>58</v>
      </c>
      <c r="C63" s="10">
        <v>58</v>
      </c>
      <c r="D63" s="13" t="s">
        <v>1572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1573</v>
      </c>
    </row>
    <row r="64" spans="2:24" ht="13.8" x14ac:dyDescent="0.2">
      <c r="B64" s="8">
        <f t="shared" si="5"/>
        <v>59</v>
      </c>
      <c r="C64" s="10">
        <v>59</v>
      </c>
      <c r="D64" s="13" t="s">
        <v>1574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1575</v>
      </c>
    </row>
    <row r="65" spans="2:24" ht="13.8" x14ac:dyDescent="0.2">
      <c r="B65" s="8">
        <f t="shared" si="5"/>
        <v>60</v>
      </c>
      <c r="C65" s="10">
        <v>60</v>
      </c>
      <c r="D65" s="13" t="s">
        <v>119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1576</v>
      </c>
    </row>
    <row r="66" spans="2:24" ht="13.8" x14ac:dyDescent="0.2">
      <c r="B66" s="8">
        <f t="shared" si="5"/>
        <v>61</v>
      </c>
      <c r="C66" s="10">
        <v>61</v>
      </c>
      <c r="D66" s="13" t="s">
        <v>60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1577</v>
      </c>
    </row>
    <row r="67" spans="2:24" ht="13.8" x14ac:dyDescent="0.2">
      <c r="B67" s="8">
        <f t="shared" si="5"/>
        <v>62</v>
      </c>
      <c r="C67" s="10">
        <v>62</v>
      </c>
      <c r="D67" s="13" t="s">
        <v>59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1578</v>
      </c>
    </row>
    <row r="68" spans="2:24" ht="13.8" x14ac:dyDescent="0.2">
      <c r="B68" s="8">
        <f t="shared" si="5"/>
        <v>63</v>
      </c>
      <c r="C68" s="10">
        <v>63</v>
      </c>
      <c r="D68" s="13" t="s">
        <v>106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744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1579</v>
      </c>
    </row>
    <row r="70" spans="2:24" ht="13.8" x14ac:dyDescent="0.2">
      <c r="B70" s="8">
        <f t="shared" si="10"/>
        <v>65</v>
      </c>
      <c r="C70" s="10">
        <v>65</v>
      </c>
      <c r="D70" s="13" t="s">
        <v>1580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1580</v>
      </c>
    </row>
    <row r="71" spans="2:24" ht="13.8" x14ac:dyDescent="0.2">
      <c r="B71" s="8">
        <f t="shared" si="10"/>
        <v>66</v>
      </c>
      <c r="C71" s="10">
        <v>66</v>
      </c>
      <c r="D71" s="13" t="s">
        <v>276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1516</v>
      </c>
    </row>
    <row r="72" spans="2:24" ht="13.8" x14ac:dyDescent="0.2">
      <c r="B72" s="8">
        <f t="shared" si="10"/>
        <v>67</v>
      </c>
      <c r="C72" s="10">
        <v>67</v>
      </c>
      <c r="D72" s="13" t="s">
        <v>1581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1582</v>
      </c>
    </row>
    <row r="73" spans="2:24" ht="13.8" x14ac:dyDescent="0.2">
      <c r="B73" s="8">
        <f t="shared" si="10"/>
        <v>68</v>
      </c>
      <c r="C73" s="10">
        <v>68</v>
      </c>
      <c r="D73" s="13" t="s">
        <v>1583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1584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1658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 t="s">
        <v>1585</v>
      </c>
    </row>
    <row r="96" spans="2:24" ht="13.8" x14ac:dyDescent="0.2">
      <c r="B96" s="8">
        <f t="shared" si="10"/>
        <v>91</v>
      </c>
      <c r="C96" s="10">
        <v>91</v>
      </c>
      <c r="D96" s="13" t="s">
        <v>1586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 t="s">
        <v>1587</v>
      </c>
    </row>
    <row r="97" spans="2:24" ht="13.8" x14ac:dyDescent="0.2">
      <c r="B97" s="8">
        <f t="shared" si="10"/>
        <v>92</v>
      </c>
      <c r="C97" s="10">
        <v>92</v>
      </c>
      <c r="D97" s="13" t="s">
        <v>1588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1589</v>
      </c>
    </row>
    <row r="98" spans="2:24" ht="13.8" x14ac:dyDescent="0.2">
      <c r="B98" s="8">
        <f t="shared" si="10"/>
        <v>93</v>
      </c>
      <c r="C98" s="10">
        <v>93</v>
      </c>
      <c r="D98" s="13" t="s">
        <v>1590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1591</v>
      </c>
    </row>
    <row r="99" spans="2:24" ht="13.8" x14ac:dyDescent="0.2">
      <c r="B99" s="8">
        <f t="shared" si="10"/>
        <v>94</v>
      </c>
      <c r="C99" s="10">
        <v>94</v>
      </c>
      <c r="D99" s="13" t="s">
        <v>982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1592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1593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 t="s">
        <v>1594</v>
      </c>
    </row>
    <row r="102" spans="2:24" ht="13.8" x14ac:dyDescent="0.2">
      <c r="B102" s="8">
        <f t="shared" si="10"/>
        <v>97</v>
      </c>
      <c r="C102" s="10">
        <v>97</v>
      </c>
      <c r="D102" s="13" t="s">
        <v>1595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1596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1597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 t="s">
        <v>1597</v>
      </c>
    </row>
    <row r="105" spans="2:24" ht="13.8" x14ac:dyDescent="0.2">
      <c r="B105" s="8" t="str">
        <f t="shared" si="10"/>
        <v>001</v>
      </c>
      <c r="C105" s="10" t="s">
        <v>1756</v>
      </c>
      <c r="D105" s="23" t="s">
        <v>1742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955</v>
      </c>
    </row>
    <row r="106" spans="2:24" ht="13.8" x14ac:dyDescent="0.2">
      <c r="B106" s="8" t="str">
        <f t="shared" si="10"/>
        <v>002</v>
      </c>
      <c r="C106" s="10" t="s">
        <v>1757</v>
      </c>
      <c r="D106" s="13" t="s">
        <v>1760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1598</v>
      </c>
    </row>
    <row r="107" spans="2:24" ht="13.8" x14ac:dyDescent="0.2">
      <c r="B107" s="8" t="str">
        <f t="shared" si="10"/>
        <v>003</v>
      </c>
      <c r="C107" s="10" t="s">
        <v>1759</v>
      </c>
      <c r="D107" s="13" t="s">
        <v>1714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956</v>
      </c>
    </row>
    <row r="108" spans="2:24" ht="13.8" x14ac:dyDescent="0.2">
      <c r="B108" s="8" t="str">
        <f t="shared" si="10"/>
        <v>004</v>
      </c>
      <c r="C108" s="10" t="s">
        <v>1761</v>
      </c>
      <c r="D108" s="13" t="s">
        <v>1748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1599</v>
      </c>
    </row>
    <row r="109" spans="2:24" ht="13.8" x14ac:dyDescent="0.2">
      <c r="B109" s="8" t="str">
        <f t="shared" si="10"/>
        <v>005</v>
      </c>
      <c r="C109" s="10" t="s">
        <v>1763</v>
      </c>
      <c r="D109" s="13" t="s">
        <v>1600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1601</v>
      </c>
    </row>
    <row r="110" spans="2:24" ht="13.8" x14ac:dyDescent="0.2">
      <c r="B110" s="8" t="str">
        <f t="shared" si="10"/>
        <v>006</v>
      </c>
      <c r="C110" s="10" t="s">
        <v>1602</v>
      </c>
      <c r="D110" s="13" t="s">
        <v>969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1512</v>
      </c>
    </row>
    <row r="111" spans="2:24" ht="13.8" x14ac:dyDescent="0.2">
      <c r="B111" s="8" t="str">
        <f t="shared" si="10"/>
        <v>007</v>
      </c>
      <c r="C111" s="10" t="s">
        <v>1814</v>
      </c>
      <c r="D111" s="13" t="s">
        <v>1603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1604</v>
      </c>
    </row>
    <row r="112" spans="2:24" ht="13.8" x14ac:dyDescent="0.2">
      <c r="B112" s="8" t="str">
        <f t="shared" si="10"/>
        <v>008</v>
      </c>
      <c r="C112" s="10" t="s">
        <v>1765</v>
      </c>
      <c r="D112" s="13" t="s">
        <v>1605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1606</v>
      </c>
    </row>
    <row r="113" spans="2:24" ht="13.8" x14ac:dyDescent="0.2">
      <c r="B113" s="8" t="str">
        <f t="shared" si="10"/>
        <v>009</v>
      </c>
      <c r="C113" s="10" t="s">
        <v>1607</v>
      </c>
      <c r="D113" s="13" t="s">
        <v>970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957</v>
      </c>
    </row>
    <row r="114" spans="2:24" ht="13.8" x14ac:dyDescent="0.2">
      <c r="B114" s="8" t="str">
        <f t="shared" si="10"/>
        <v>010</v>
      </c>
      <c r="C114" s="10" t="s">
        <v>1608</v>
      </c>
      <c r="D114" s="26" t="s">
        <v>971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958</v>
      </c>
    </row>
    <row r="115" spans="2:24" ht="13.8" x14ac:dyDescent="0.2">
      <c r="B115" s="8" t="str">
        <f t="shared" si="10"/>
        <v>011</v>
      </c>
      <c r="C115" s="10" t="s">
        <v>1766</v>
      </c>
      <c r="D115" s="26" t="s">
        <v>972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959</v>
      </c>
    </row>
    <row r="116" spans="2:24" ht="13.8" x14ac:dyDescent="0.2">
      <c r="B116" s="8" t="str">
        <f t="shared" si="10"/>
        <v>012</v>
      </c>
      <c r="C116" s="10" t="s">
        <v>1768</v>
      </c>
      <c r="D116" s="26" t="s">
        <v>1609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 t="s">
        <v>1610</v>
      </c>
    </row>
    <row r="117" spans="2:24" ht="13.8" x14ac:dyDescent="0.2">
      <c r="B117" s="8" t="str">
        <f t="shared" si="10"/>
        <v>013</v>
      </c>
      <c r="C117" s="10" t="s">
        <v>1770</v>
      </c>
      <c r="D117" s="8" t="s">
        <v>948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 t="s">
        <v>948</v>
      </c>
    </row>
    <row r="118" spans="2:24" ht="13.8" x14ac:dyDescent="0.2">
      <c r="B118" s="8" t="str">
        <f t="shared" si="10"/>
        <v>014</v>
      </c>
      <c r="C118" s="10" t="s">
        <v>1772</v>
      </c>
      <c r="D118" s="26" t="s">
        <v>973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 t="s">
        <v>1611</v>
      </c>
    </row>
    <row r="119" spans="2:24" ht="13.8" x14ac:dyDescent="0.2">
      <c r="B119" s="8" t="str">
        <f t="shared" si="10"/>
        <v>015</v>
      </c>
      <c r="C119" s="10" t="s">
        <v>1612</v>
      </c>
      <c r="D119" s="26" t="s">
        <v>974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 t="s">
        <v>960</v>
      </c>
    </row>
    <row r="120" spans="2:24" ht="13.8" x14ac:dyDescent="0.2">
      <c r="B120" s="8" t="str">
        <f t="shared" si="10"/>
        <v>016</v>
      </c>
      <c r="C120" s="10" t="s">
        <v>1817</v>
      </c>
      <c r="D120" s="26" t="s">
        <v>1613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 t="s">
        <v>1614</v>
      </c>
    </row>
    <row r="121" spans="2:24" ht="13.8" x14ac:dyDescent="0.2">
      <c r="B121" s="8" t="str">
        <f t="shared" si="10"/>
        <v>018</v>
      </c>
      <c r="C121" s="10" t="s">
        <v>1615</v>
      </c>
      <c r="D121" s="26" t="s">
        <v>976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 t="s">
        <v>961</v>
      </c>
    </row>
    <row r="122" spans="2:24" ht="13.8" x14ac:dyDescent="0.2">
      <c r="B122" s="8" t="str">
        <f t="shared" si="10"/>
        <v>019</v>
      </c>
      <c r="C122" s="10" t="s">
        <v>1616</v>
      </c>
      <c r="D122" s="26" t="s">
        <v>1617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 t="s">
        <v>1618</v>
      </c>
    </row>
    <row r="123" spans="2:24" ht="13.8" x14ac:dyDescent="0.2">
      <c r="B123" s="8" t="str">
        <f t="shared" si="10"/>
        <v>020</v>
      </c>
      <c r="C123" s="10" t="s">
        <v>1774</v>
      </c>
      <c r="D123" s="26" t="s">
        <v>1619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 t="s">
        <v>953</v>
      </c>
    </row>
    <row r="124" spans="2:24" ht="13.8" x14ac:dyDescent="0.2">
      <c r="B124" s="8" t="str">
        <f t="shared" si="10"/>
        <v>021</v>
      </c>
      <c r="C124" s="10" t="s">
        <v>1776</v>
      </c>
      <c r="D124" s="26" t="s">
        <v>1741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 t="s">
        <v>1211</v>
      </c>
    </row>
    <row r="125" spans="2:24" ht="13.8" x14ac:dyDescent="0.2">
      <c r="B125" s="8" t="str">
        <f t="shared" si="10"/>
        <v>022</v>
      </c>
      <c r="C125" s="10" t="s">
        <v>1778</v>
      </c>
      <c r="D125" s="26" t="s">
        <v>977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 t="s">
        <v>962</v>
      </c>
    </row>
    <row r="126" spans="2:24" ht="13.8" x14ac:dyDescent="0.2">
      <c r="B126" s="8" t="str">
        <f t="shared" si="10"/>
        <v>023</v>
      </c>
      <c r="C126" s="10" t="s">
        <v>1620</v>
      </c>
      <c r="D126" s="26" t="s">
        <v>1727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 t="s">
        <v>1621</v>
      </c>
    </row>
    <row r="127" spans="2:24" ht="13.8" x14ac:dyDescent="0.2">
      <c r="B127" s="8" t="str">
        <f t="shared" si="10"/>
        <v>024</v>
      </c>
      <c r="C127" s="10" t="s">
        <v>1622</v>
      </c>
      <c r="D127" s="26" t="s">
        <v>1811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 t="s">
        <v>963</v>
      </c>
    </row>
    <row r="128" spans="2:24" ht="13.8" x14ac:dyDescent="0.2">
      <c r="B128" s="8" t="str">
        <f t="shared" si="10"/>
        <v>025</v>
      </c>
      <c r="C128" s="10" t="s">
        <v>1623</v>
      </c>
      <c r="D128" s="26" t="s">
        <v>978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 t="s">
        <v>964</v>
      </c>
    </row>
    <row r="129" spans="2:24" ht="13.8" x14ac:dyDescent="0.2">
      <c r="B129" s="8" t="str">
        <f t="shared" si="10"/>
        <v>026</v>
      </c>
      <c r="C129" s="10" t="s">
        <v>1624</v>
      </c>
      <c r="D129" s="26" t="s">
        <v>1667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 t="s">
        <v>1625</v>
      </c>
    </row>
    <row r="130" spans="2:24" ht="13.8" x14ac:dyDescent="0.2">
      <c r="B130" s="8" t="str">
        <f t="shared" si="10"/>
        <v>027</v>
      </c>
      <c r="C130" s="10" t="s">
        <v>1626</v>
      </c>
      <c r="D130" s="26" t="s">
        <v>1627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 t="s">
        <v>1628</v>
      </c>
    </row>
    <row r="131" spans="2:24" ht="13.8" x14ac:dyDescent="0.2">
      <c r="B131" s="8" t="str">
        <f t="shared" si="10"/>
        <v>028</v>
      </c>
      <c r="C131" s="10" t="s">
        <v>1629</v>
      </c>
      <c r="D131" s="26" t="s">
        <v>979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 t="s">
        <v>965</v>
      </c>
    </row>
    <row r="132" spans="2:24" ht="13.8" x14ac:dyDescent="0.2">
      <c r="B132" s="8" t="str">
        <f t="shared" si="10"/>
        <v>030</v>
      </c>
      <c r="C132" s="10" t="s">
        <v>1630</v>
      </c>
      <c r="D132" s="26" t="s">
        <v>980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50" si="12">((G132-H132-I132-J132)+(H132*2)+(I132*3)+(J132*4))</f>
        <v>0</v>
      </c>
      <c r="L132" s="7">
        <v>0</v>
      </c>
      <c r="M132" s="11">
        <f t="shared" ref="M132:M150" si="13">IFERROR(IF((G132+P132+Q132)/(F132+P132+Q132+S132)=1,"1.00",(G132+P132+Q132)/(F132+P132+Q132+S132)),0)</f>
        <v>0</v>
      </c>
      <c r="N132" s="11">
        <f t="shared" ref="N132:N150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 t="s">
        <v>966</v>
      </c>
    </row>
    <row r="133" spans="2:24" ht="13.8" x14ac:dyDescent="0.2">
      <c r="B133" s="8" t="str">
        <f t="shared" ref="B133:B150" si="15">IF(C133="","",C133)</f>
        <v>031</v>
      </c>
      <c r="C133" s="10" t="s">
        <v>1631</v>
      </c>
      <c r="D133" s="26" t="s">
        <v>1632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 t="s">
        <v>1633</v>
      </c>
    </row>
    <row r="134" spans="2:24" ht="13.8" x14ac:dyDescent="0.2">
      <c r="B134" s="8" t="str">
        <f t="shared" si="15"/>
        <v>033</v>
      </c>
      <c r="C134" s="10" t="s">
        <v>1634</v>
      </c>
      <c r="D134" s="26" t="s">
        <v>1635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 t="s">
        <v>1636</v>
      </c>
    </row>
    <row r="135" spans="2:24" ht="13.8" x14ac:dyDescent="0.2">
      <c r="B135" s="8" t="str">
        <f t="shared" si="15"/>
        <v>034</v>
      </c>
      <c r="C135" s="10" t="s">
        <v>1637</v>
      </c>
      <c r="D135" s="26" t="s">
        <v>1638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0</v>
      </c>
      <c r="M135" s="11">
        <f t="shared" si="13"/>
        <v>0</v>
      </c>
      <c r="N135" s="11">
        <f t="shared" si="14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13" t="s">
        <v>1639</v>
      </c>
    </row>
    <row r="136" spans="2:24" ht="13.8" x14ac:dyDescent="0.2">
      <c r="B136" s="8" t="str">
        <f t="shared" si="15"/>
        <v>035</v>
      </c>
      <c r="C136" s="10" t="s">
        <v>1640</v>
      </c>
      <c r="D136" s="8" t="s">
        <v>1641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0</v>
      </c>
      <c r="M136" s="11">
        <f t="shared" si="13"/>
        <v>0</v>
      </c>
      <c r="N136" s="11">
        <f t="shared" si="14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13" t="s">
        <v>1641</v>
      </c>
    </row>
    <row r="137" spans="2:24" ht="13.8" x14ac:dyDescent="0.2">
      <c r="B137" s="8" t="str">
        <f t="shared" si="15"/>
        <v>039</v>
      </c>
      <c r="C137" s="10" t="s">
        <v>1642</v>
      </c>
      <c r="D137" s="26" t="s">
        <v>1643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0</v>
      </c>
      <c r="M137" s="11">
        <f t="shared" si="13"/>
        <v>0</v>
      </c>
      <c r="N137" s="11">
        <f t="shared" si="14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13" t="s">
        <v>949</v>
      </c>
    </row>
    <row r="138" spans="2:24" ht="13.8" x14ac:dyDescent="0.2">
      <c r="B138" s="8" t="str">
        <f t="shared" si="15"/>
        <v>044</v>
      </c>
      <c r="C138" s="10" t="s">
        <v>1644</v>
      </c>
      <c r="D138" s="26" t="s">
        <v>1645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0</v>
      </c>
      <c r="M138" s="11">
        <f t="shared" si="13"/>
        <v>0</v>
      </c>
      <c r="N138" s="11">
        <f t="shared" si="14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13" t="s">
        <v>1646</v>
      </c>
    </row>
    <row r="139" spans="2:24" ht="13.8" x14ac:dyDescent="0.2">
      <c r="B139" s="8" t="str">
        <f t="shared" si="15"/>
        <v>047</v>
      </c>
      <c r="C139" s="10" t="s">
        <v>1647</v>
      </c>
      <c r="D139" s="26" t="s">
        <v>981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0</v>
      </c>
      <c r="M139" s="11">
        <f t="shared" si="13"/>
        <v>0</v>
      </c>
      <c r="N139" s="11">
        <f t="shared" si="14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13" t="s">
        <v>967</v>
      </c>
    </row>
    <row r="140" spans="2:24" ht="13.8" x14ac:dyDescent="0.2">
      <c r="B140" s="8" t="str">
        <f t="shared" si="15"/>
        <v>051</v>
      </c>
      <c r="C140" s="10" t="s">
        <v>1648</v>
      </c>
      <c r="D140" s="26" t="s">
        <v>1649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0</v>
      </c>
      <c r="M140" s="11">
        <f t="shared" si="13"/>
        <v>0</v>
      </c>
      <c r="N140" s="11">
        <f t="shared" si="14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13" t="s">
        <v>1111</v>
      </c>
    </row>
    <row r="141" spans="2:24" ht="13.8" x14ac:dyDescent="0.2">
      <c r="B141" s="8" t="str">
        <f t="shared" si="15"/>
        <v>056</v>
      </c>
      <c r="C141" s="10" t="s">
        <v>1650</v>
      </c>
      <c r="D141" s="26" t="s">
        <v>1704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0</v>
      </c>
      <c r="M141" s="11">
        <f t="shared" si="13"/>
        <v>0</v>
      </c>
      <c r="N141" s="11">
        <f t="shared" si="14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3" t="str">
        <f>IFERROR(CalcRC27(F141,G141,K141,O141,P141,Q141,R141,S141,T141,U141,V141),"-")</f>
        <v>-</v>
      </c>
      <c r="X141" s="13" t="s">
        <v>968</v>
      </c>
    </row>
    <row r="142" spans="2:24" ht="13.8" x14ac:dyDescent="0.2">
      <c r="B142" s="8" t="str">
        <f t="shared" si="15"/>
        <v>057</v>
      </c>
      <c r="C142" s="10" t="s">
        <v>1651</v>
      </c>
      <c r="D142" s="8" t="s">
        <v>1652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0</v>
      </c>
      <c r="M142" s="11">
        <f t="shared" si="13"/>
        <v>0</v>
      </c>
      <c r="N142" s="11">
        <f t="shared" si="1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3" t="str">
        <f>IFERROR(CalcRC27(F142,G142,K142,O142,P142,Q142,R142,S142,T142,U142,V142),"-")</f>
        <v>-</v>
      </c>
      <c r="X142" s="13" t="s">
        <v>1652</v>
      </c>
    </row>
    <row r="143" spans="2:24" ht="13.8" x14ac:dyDescent="0.2">
      <c r="B143" s="8" t="str">
        <f t="shared" si="15"/>
        <v>063</v>
      </c>
      <c r="C143" s="10" t="s">
        <v>1653</v>
      </c>
      <c r="D143" s="26" t="s">
        <v>1654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0</v>
      </c>
      <c r="M143" s="11">
        <f t="shared" si="13"/>
        <v>0</v>
      </c>
      <c r="N143" s="11">
        <f t="shared" si="1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3" t="str">
        <f>IFERROR(CalcRC27(F143,G143,K143,O143,P143,Q143,R143,S143,T143,U143,V143),"-")</f>
        <v>-</v>
      </c>
      <c r="X143" s="13" t="s">
        <v>951</v>
      </c>
    </row>
    <row r="144" spans="2:24" ht="13.8" x14ac:dyDescent="0.2">
      <c r="B144" s="8" t="str">
        <f t="shared" si="15"/>
        <v>069</v>
      </c>
      <c r="C144" s="10" t="s">
        <v>1655</v>
      </c>
      <c r="D144" s="26" t="s">
        <v>1656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0</v>
      </c>
      <c r="M144" s="11">
        <f t="shared" si="13"/>
        <v>0</v>
      </c>
      <c r="N144" s="11">
        <f t="shared" si="1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3" t="str">
        <f>IFERROR(CalcRC27(F144,G144,K144,O144,P144,Q144,R144,S144,T144,U144,V144),"-")</f>
        <v>-</v>
      </c>
      <c r="X144" s="13" t="s">
        <v>952</v>
      </c>
    </row>
    <row r="145" spans="2:24" ht="13.8" x14ac:dyDescent="0.2">
      <c r="B145" s="8" t="str">
        <f t="shared" si="15"/>
        <v>098</v>
      </c>
      <c r="C145" s="10" t="s">
        <v>1657</v>
      </c>
      <c r="D145" s="8" t="s">
        <v>278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0</v>
      </c>
      <c r="M145" s="11">
        <f t="shared" si="13"/>
        <v>0</v>
      </c>
      <c r="N145" s="11">
        <f t="shared" si="1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3" t="str">
        <f>IFERROR(CalcRC27(F145,G145,K145,O145,P145,Q145,R145,S145,T145,U145,V145),"-")</f>
        <v>-</v>
      </c>
      <c r="X145" s="13" t="s">
        <v>278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0</v>
      </c>
      <c r="M146" s="11">
        <f t="shared" si="13"/>
        <v>0</v>
      </c>
      <c r="N146" s="11">
        <f t="shared" si="1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3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0</v>
      </c>
      <c r="M147" s="11">
        <f t="shared" si="13"/>
        <v>0</v>
      </c>
      <c r="N147" s="11">
        <f t="shared" si="1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3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0</v>
      </c>
      <c r="M148" s="11">
        <f t="shared" si="13"/>
        <v>0</v>
      </c>
      <c r="N148" s="11">
        <f t="shared" si="1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3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0</v>
      </c>
      <c r="M149" s="11">
        <f t="shared" si="13"/>
        <v>0</v>
      </c>
      <c r="N149" s="11">
        <f t="shared" si="1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3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0</v>
      </c>
      <c r="M150" s="11">
        <f t="shared" si="13"/>
        <v>0</v>
      </c>
      <c r="N150" s="11">
        <f t="shared" si="1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3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2">((G4-H4-I4-J4)+(H4*2)+(I4*3)+(J4*4))</f>
        <v>0</v>
      </c>
      <c r="L4" s="7">
        <v>0</v>
      </c>
      <c r="M4" s="11">
        <f t="shared" ref="M4:M67" si="3">IFERROR(IF((G4+P4+Q4)/(F4+P4+Q4+S4)=1,"1.00",(G4+P4+Q4)/(F4+P4+Q4+S4)),0)</f>
        <v>0</v>
      </c>
      <c r="N4" s="11">
        <f t="shared" ref="N4:N67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279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2"/>
        <v>0</v>
      </c>
      <c r="L5" s="7">
        <v>0</v>
      </c>
      <c r="M5" s="11">
        <f t="shared" si="3"/>
        <v>0</v>
      </c>
      <c r="N5" s="11">
        <f t="shared" si="4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983</v>
      </c>
    </row>
    <row r="6" spans="2:24" ht="13.8" x14ac:dyDescent="0.2">
      <c r="B6" s="8">
        <f t="shared" si="5"/>
        <v>1</v>
      </c>
      <c r="C6" s="10">
        <v>1</v>
      </c>
      <c r="D6" s="13" t="s">
        <v>1658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2"/>
        <v>0</v>
      </c>
      <c r="L6" s="7">
        <v>0</v>
      </c>
      <c r="M6" s="11">
        <f t="shared" si="3"/>
        <v>0</v>
      </c>
      <c r="N6" s="11">
        <f t="shared" si="4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984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2"/>
        <v>0</v>
      </c>
      <c r="L7" s="7">
        <v>0</v>
      </c>
      <c r="M7" s="11">
        <f t="shared" si="3"/>
        <v>0</v>
      </c>
      <c r="N7" s="11">
        <f t="shared" si="4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1249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2"/>
        <v>0</v>
      </c>
      <c r="L8" s="7">
        <v>0</v>
      </c>
      <c r="M8" s="11">
        <f t="shared" si="3"/>
        <v>0</v>
      </c>
      <c r="N8" s="11">
        <f t="shared" si="4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1659</v>
      </c>
    </row>
    <row r="9" spans="2:24" ht="13.8" x14ac:dyDescent="0.2">
      <c r="B9" s="8">
        <f t="shared" si="5"/>
        <v>4</v>
      </c>
      <c r="C9" s="10">
        <v>4</v>
      </c>
      <c r="D9" s="13" t="s">
        <v>1026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2"/>
        <v>0</v>
      </c>
      <c r="L9" s="7">
        <v>0</v>
      </c>
      <c r="M9" s="11">
        <f t="shared" si="3"/>
        <v>0</v>
      </c>
      <c r="N9" s="11">
        <f t="shared" si="4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985</v>
      </c>
    </row>
    <row r="10" spans="2:24" ht="13.8" x14ac:dyDescent="0.2">
      <c r="B10" s="8">
        <f t="shared" si="5"/>
        <v>5</v>
      </c>
      <c r="C10" s="10">
        <v>5</v>
      </c>
      <c r="D10" s="13" t="s">
        <v>13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2"/>
        <v>0</v>
      </c>
      <c r="L10" s="7">
        <v>0</v>
      </c>
      <c r="M10" s="11">
        <f t="shared" si="3"/>
        <v>0</v>
      </c>
      <c r="N10" s="11">
        <f t="shared" si="4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986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2"/>
        <v>0</v>
      </c>
      <c r="L11" s="7">
        <v>0</v>
      </c>
      <c r="M11" s="11">
        <f t="shared" si="3"/>
        <v>0</v>
      </c>
      <c r="N11" s="11">
        <f t="shared" si="4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124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2"/>
        <v>0</v>
      </c>
      <c r="L12" s="7">
        <v>0</v>
      </c>
      <c r="M12" s="11">
        <f t="shared" si="3"/>
        <v>0</v>
      </c>
      <c r="N12" s="11">
        <f t="shared" si="4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1016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2"/>
        <v>0</v>
      </c>
      <c r="L13" s="7">
        <v>0</v>
      </c>
      <c r="M13" s="11">
        <f t="shared" si="3"/>
        <v>0</v>
      </c>
      <c r="N13" s="11">
        <f t="shared" si="4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1660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2"/>
        <v>0</v>
      </c>
      <c r="L14" s="7">
        <v>0</v>
      </c>
      <c r="M14" s="11">
        <f t="shared" si="3"/>
        <v>0</v>
      </c>
      <c r="N14" s="11">
        <f t="shared" si="4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987</v>
      </c>
    </row>
    <row r="15" spans="2:24" ht="13.8" x14ac:dyDescent="0.2">
      <c r="B15" s="8">
        <f t="shared" si="5"/>
        <v>10</v>
      </c>
      <c r="C15" s="10">
        <v>10</v>
      </c>
      <c r="D15" s="13" t="s">
        <v>1661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2"/>
        <v>0</v>
      </c>
      <c r="L15" s="7">
        <v>0</v>
      </c>
      <c r="M15" s="11">
        <f t="shared" si="3"/>
        <v>0</v>
      </c>
      <c r="N15" s="11">
        <f t="shared" si="4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1005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2"/>
        <v>0</v>
      </c>
      <c r="L16" s="7">
        <v>0</v>
      </c>
      <c r="M16" s="11">
        <f t="shared" si="3"/>
        <v>0</v>
      </c>
      <c r="N16" s="11">
        <f t="shared" si="4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15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2"/>
        <v>0</v>
      </c>
      <c r="L17" s="7">
        <v>0</v>
      </c>
      <c r="M17" s="11">
        <f t="shared" si="3"/>
        <v>0</v>
      </c>
      <c r="N17" s="11">
        <f t="shared" si="4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989</v>
      </c>
    </row>
    <row r="18" spans="2:24" ht="13.8" x14ac:dyDescent="0.2">
      <c r="B18" s="8">
        <f t="shared" si="5"/>
        <v>13</v>
      </c>
      <c r="C18" s="10">
        <v>13</v>
      </c>
      <c r="D18" s="13" t="s">
        <v>1662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2"/>
        <v>0</v>
      </c>
      <c r="L18" s="7">
        <v>0</v>
      </c>
      <c r="M18" s="11">
        <f t="shared" si="3"/>
        <v>0</v>
      </c>
      <c r="N18" s="11">
        <f t="shared" si="4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1662</v>
      </c>
    </row>
    <row r="19" spans="2:24" ht="13.8" x14ac:dyDescent="0.2">
      <c r="B19" s="8">
        <f t="shared" si="5"/>
        <v>14</v>
      </c>
      <c r="C19" s="10">
        <v>14</v>
      </c>
      <c r="D19" s="13" t="s">
        <v>1663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2"/>
        <v>0</v>
      </c>
      <c r="L19" s="7">
        <v>0</v>
      </c>
      <c r="M19" s="11">
        <f t="shared" si="3"/>
        <v>0</v>
      </c>
      <c r="N19" s="11">
        <f t="shared" si="4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1664</v>
      </c>
    </row>
    <row r="20" spans="2:24" ht="13.8" x14ac:dyDescent="0.2">
      <c r="B20" s="8">
        <f t="shared" si="5"/>
        <v>15</v>
      </c>
      <c r="C20" s="10">
        <v>15</v>
      </c>
      <c r="D20" s="2" t="s">
        <v>1085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2"/>
        <v>0</v>
      </c>
      <c r="L20" s="7">
        <v>0</v>
      </c>
      <c r="M20" s="11">
        <f t="shared" si="3"/>
        <v>0</v>
      </c>
      <c r="N20" s="11">
        <f t="shared" si="4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991</v>
      </c>
    </row>
    <row r="21" spans="2:24" ht="13.8" x14ac:dyDescent="0.2">
      <c r="B21" s="8">
        <f t="shared" si="5"/>
        <v>16</v>
      </c>
      <c r="C21" s="10">
        <v>16</v>
      </c>
      <c r="D21" s="13" t="s">
        <v>10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2"/>
        <v>0</v>
      </c>
      <c r="L21" s="7">
        <v>0</v>
      </c>
      <c r="M21" s="11">
        <f t="shared" si="3"/>
        <v>0</v>
      </c>
      <c r="N21" s="11">
        <f t="shared" si="4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992</v>
      </c>
    </row>
    <row r="22" spans="2:24" ht="13.8" x14ac:dyDescent="0.2">
      <c r="B22" s="8">
        <f t="shared" si="5"/>
        <v>17</v>
      </c>
      <c r="C22" s="10">
        <v>17</v>
      </c>
      <c r="D22" s="13" t="s">
        <v>1665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2"/>
        <v>0</v>
      </c>
      <c r="L22" s="7">
        <v>0</v>
      </c>
      <c r="M22" s="11">
        <f t="shared" si="3"/>
        <v>0</v>
      </c>
      <c r="N22" s="11">
        <f t="shared" si="4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993</v>
      </c>
    </row>
    <row r="23" spans="2:24" ht="13.8" x14ac:dyDescent="0.2">
      <c r="B23" s="8">
        <f t="shared" si="5"/>
        <v>18</v>
      </c>
      <c r="C23" s="10">
        <v>18</v>
      </c>
      <c r="D23" s="13" t="s">
        <v>122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2"/>
        <v>0</v>
      </c>
      <c r="L23" s="7">
        <v>0</v>
      </c>
      <c r="M23" s="11">
        <f t="shared" si="3"/>
        <v>0</v>
      </c>
      <c r="N23" s="11">
        <f t="shared" si="4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988</v>
      </c>
    </row>
    <row r="24" spans="2:24" ht="13.8" x14ac:dyDescent="0.2">
      <c r="B24" s="8">
        <f t="shared" si="5"/>
        <v>19</v>
      </c>
      <c r="C24" s="10">
        <v>19</v>
      </c>
      <c r="D24" s="13" t="s">
        <v>1666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2"/>
        <v>0</v>
      </c>
      <c r="L24" s="7">
        <v>0</v>
      </c>
      <c r="M24" s="11">
        <f t="shared" si="3"/>
        <v>0</v>
      </c>
      <c r="N24" s="11">
        <f t="shared" si="4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994</v>
      </c>
    </row>
    <row r="25" spans="2:24" ht="13.8" x14ac:dyDescent="0.2">
      <c r="B25" s="8">
        <f t="shared" si="5"/>
        <v>20</v>
      </c>
      <c r="C25" s="10">
        <v>20</v>
      </c>
      <c r="D25" s="13" t="s">
        <v>280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2"/>
        <v>0</v>
      </c>
      <c r="L25" s="7">
        <v>0</v>
      </c>
      <c r="M25" s="11">
        <f t="shared" si="3"/>
        <v>0</v>
      </c>
      <c r="N25" s="11">
        <f t="shared" si="4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995</v>
      </c>
    </row>
    <row r="26" spans="2:24" ht="13.8" x14ac:dyDescent="0.2">
      <c r="B26" s="8">
        <f t="shared" si="5"/>
        <v>21</v>
      </c>
      <c r="C26" s="10">
        <v>21</v>
      </c>
      <c r="D26" s="13" t="s">
        <v>1667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2"/>
        <v>0</v>
      </c>
      <c r="L26" s="7">
        <v>0</v>
      </c>
      <c r="M26" s="11">
        <f t="shared" si="3"/>
        <v>0</v>
      </c>
      <c r="N26" s="11">
        <f t="shared" si="4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1668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2"/>
        <v>0</v>
      </c>
      <c r="L27" s="7">
        <v>0</v>
      </c>
      <c r="M27" s="11">
        <f t="shared" si="3"/>
        <v>0</v>
      </c>
      <c r="N27" s="11">
        <f t="shared" si="4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14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2"/>
        <v>0</v>
      </c>
      <c r="L28" s="7">
        <v>0</v>
      </c>
      <c r="M28" s="11">
        <f t="shared" si="3"/>
        <v>0</v>
      </c>
      <c r="N28" s="11">
        <f t="shared" si="4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996</v>
      </c>
    </row>
    <row r="29" spans="2:24" ht="13.8" x14ac:dyDescent="0.2">
      <c r="B29" s="8">
        <f t="shared" si="5"/>
        <v>24</v>
      </c>
      <c r="C29" s="10">
        <v>24</v>
      </c>
      <c r="D29" s="13" t="s">
        <v>11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2"/>
        <v>0</v>
      </c>
      <c r="L29" s="7">
        <v>0</v>
      </c>
      <c r="M29" s="11">
        <f t="shared" si="3"/>
        <v>0</v>
      </c>
      <c r="N29" s="11">
        <f t="shared" si="4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997</v>
      </c>
    </row>
    <row r="30" spans="2:24" ht="13.8" x14ac:dyDescent="0.2">
      <c r="B30" s="8">
        <f t="shared" si="5"/>
        <v>25</v>
      </c>
      <c r="C30" s="10">
        <v>25</v>
      </c>
      <c r="D30" s="13" t="s">
        <v>1669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2"/>
        <v>0</v>
      </c>
      <c r="L30" s="7">
        <v>0</v>
      </c>
      <c r="M30" s="11">
        <f t="shared" si="3"/>
        <v>0</v>
      </c>
      <c r="N30" s="11">
        <f t="shared" si="4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1669</v>
      </c>
    </row>
    <row r="31" spans="2:24" ht="13.8" x14ac:dyDescent="0.2">
      <c r="B31" s="8">
        <f t="shared" si="5"/>
        <v>26</v>
      </c>
      <c r="C31" s="10">
        <v>26</v>
      </c>
      <c r="D31" s="13" t="s">
        <v>281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2"/>
        <v>0</v>
      </c>
      <c r="L31" s="7">
        <v>0</v>
      </c>
      <c r="M31" s="11">
        <f t="shared" si="3"/>
        <v>0</v>
      </c>
      <c r="N31" s="11">
        <f t="shared" si="4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1670</v>
      </c>
    </row>
    <row r="32" spans="2:24" ht="13.8" x14ac:dyDescent="0.2">
      <c r="B32" s="8">
        <f t="shared" si="5"/>
        <v>27</v>
      </c>
      <c r="C32" s="10">
        <v>27</v>
      </c>
      <c r="D32" s="9" t="s">
        <v>1027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2"/>
        <v>0</v>
      </c>
      <c r="L32" s="7">
        <v>0</v>
      </c>
      <c r="M32" s="11">
        <f t="shared" si="3"/>
        <v>0</v>
      </c>
      <c r="N32" s="11">
        <f t="shared" si="4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998</v>
      </c>
    </row>
    <row r="33" spans="2:24" ht="13.8" x14ac:dyDescent="0.2">
      <c r="B33" s="8">
        <f t="shared" si="5"/>
        <v>28</v>
      </c>
      <c r="C33" s="10">
        <v>28</v>
      </c>
      <c r="D33" s="13" t="s">
        <v>1671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2"/>
        <v>0</v>
      </c>
      <c r="L33" s="7">
        <v>0</v>
      </c>
      <c r="M33" s="11">
        <f t="shared" si="3"/>
        <v>0</v>
      </c>
      <c r="N33" s="11">
        <f t="shared" si="4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1672</v>
      </c>
    </row>
    <row r="34" spans="2:24" ht="13.8" x14ac:dyDescent="0.2">
      <c r="B34" s="8">
        <f t="shared" si="5"/>
        <v>29</v>
      </c>
      <c r="C34" s="10">
        <v>29</v>
      </c>
      <c r="D34" s="13" t="s">
        <v>1673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2"/>
        <v>0</v>
      </c>
      <c r="L34" s="7">
        <v>0</v>
      </c>
      <c r="M34" s="11">
        <f t="shared" si="3"/>
        <v>0</v>
      </c>
      <c r="N34" s="11">
        <f t="shared" si="4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999</v>
      </c>
    </row>
    <row r="35" spans="2:24" ht="13.8" x14ac:dyDescent="0.2">
      <c r="B35" s="8">
        <f t="shared" si="5"/>
        <v>30</v>
      </c>
      <c r="C35" s="10">
        <v>30</v>
      </c>
      <c r="D35" s="13" t="s">
        <v>16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2"/>
        <v>0</v>
      </c>
      <c r="L35" s="7">
        <v>0</v>
      </c>
      <c r="M35" s="11">
        <f t="shared" si="3"/>
        <v>0</v>
      </c>
      <c r="N35" s="11">
        <f t="shared" si="4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1000</v>
      </c>
    </row>
    <row r="36" spans="2:24" ht="13.8" x14ac:dyDescent="0.2">
      <c r="B36" s="8">
        <f t="shared" si="5"/>
        <v>31</v>
      </c>
      <c r="C36" s="10">
        <v>31</v>
      </c>
      <c r="D36" s="13" t="s">
        <v>1674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2"/>
        <v>0</v>
      </c>
      <c r="L36" s="7">
        <v>0</v>
      </c>
      <c r="M36" s="11">
        <f t="shared" si="3"/>
        <v>0</v>
      </c>
      <c r="N36" s="11">
        <f t="shared" si="4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1001</v>
      </c>
    </row>
    <row r="37" spans="2:24" ht="13.8" x14ac:dyDescent="0.2">
      <c r="B37" s="8">
        <f t="shared" si="5"/>
        <v>32</v>
      </c>
      <c r="C37" s="10">
        <v>32</v>
      </c>
      <c r="D37" s="13" t="s">
        <v>282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2"/>
        <v>0</v>
      </c>
      <c r="L37" s="7">
        <v>0</v>
      </c>
      <c r="M37" s="11">
        <f t="shared" si="3"/>
        <v>0</v>
      </c>
      <c r="N37" s="11">
        <f t="shared" si="4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1002</v>
      </c>
    </row>
    <row r="38" spans="2:24" ht="13.8" x14ac:dyDescent="0.2">
      <c r="B38" s="8">
        <f t="shared" si="5"/>
        <v>33</v>
      </c>
      <c r="C38" s="10">
        <v>33</v>
      </c>
      <c r="D38" s="13" t="s">
        <v>67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2"/>
        <v>0</v>
      </c>
      <c r="L38" s="7">
        <v>0</v>
      </c>
      <c r="M38" s="11">
        <f t="shared" si="3"/>
        <v>0</v>
      </c>
      <c r="N38" s="11">
        <f t="shared" si="4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1003</v>
      </c>
    </row>
    <row r="39" spans="2:24" ht="13.8" x14ac:dyDescent="0.2">
      <c r="B39" s="8">
        <f t="shared" si="5"/>
        <v>34</v>
      </c>
      <c r="C39" s="10">
        <v>34</v>
      </c>
      <c r="D39" s="13" t="s">
        <v>56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2"/>
        <v>0</v>
      </c>
      <c r="L39" s="7">
        <v>0</v>
      </c>
      <c r="M39" s="11">
        <f t="shared" si="3"/>
        <v>0</v>
      </c>
      <c r="N39" s="11">
        <f t="shared" si="4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1004</v>
      </c>
    </row>
    <row r="40" spans="2:24" ht="13.8" x14ac:dyDescent="0.2">
      <c r="B40" s="8">
        <f t="shared" si="5"/>
        <v>35</v>
      </c>
      <c r="C40" s="10">
        <v>35</v>
      </c>
      <c r="D40" s="13" t="s">
        <v>1675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2"/>
        <v>0</v>
      </c>
      <c r="L40" s="7">
        <v>0</v>
      </c>
      <c r="M40" s="11">
        <f t="shared" si="3"/>
        <v>0</v>
      </c>
      <c r="N40" s="11">
        <f t="shared" si="4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1676</v>
      </c>
    </row>
    <row r="41" spans="2:24" ht="13.8" x14ac:dyDescent="0.2">
      <c r="B41" s="8">
        <f t="shared" si="5"/>
        <v>36</v>
      </c>
      <c r="C41" s="10">
        <v>36</v>
      </c>
      <c r="D41" s="13" t="s">
        <v>161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2"/>
        <v>0</v>
      </c>
      <c r="L41" s="7">
        <v>0</v>
      </c>
      <c r="M41" s="11">
        <f t="shared" si="3"/>
        <v>0</v>
      </c>
      <c r="N41" s="11">
        <f t="shared" si="4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1677</v>
      </c>
    </row>
    <row r="42" spans="2:24" ht="13.8" x14ac:dyDescent="0.2">
      <c r="B42" s="8">
        <f t="shared" si="5"/>
        <v>37</v>
      </c>
      <c r="C42" s="10">
        <v>37</v>
      </c>
      <c r="D42" s="13" t="s">
        <v>1719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2"/>
        <v>0</v>
      </c>
      <c r="L42" s="7">
        <v>0</v>
      </c>
      <c r="M42" s="11">
        <f t="shared" si="3"/>
        <v>0</v>
      </c>
      <c r="N42" s="11">
        <f t="shared" si="4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444</v>
      </c>
    </row>
    <row r="43" spans="2:24" ht="13.8" x14ac:dyDescent="0.2">
      <c r="B43" s="8">
        <f t="shared" si="5"/>
        <v>38</v>
      </c>
      <c r="C43" s="10">
        <v>38</v>
      </c>
      <c r="D43" s="13" t="s">
        <v>1678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2"/>
        <v>0</v>
      </c>
      <c r="L43" s="7">
        <v>0</v>
      </c>
      <c r="M43" s="11">
        <f t="shared" si="3"/>
        <v>0</v>
      </c>
      <c r="N43" s="11">
        <f t="shared" si="4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1679</v>
      </c>
    </row>
    <row r="44" spans="2:24" ht="13.8" x14ac:dyDescent="0.2">
      <c r="B44" s="8">
        <f t="shared" si="5"/>
        <v>39</v>
      </c>
      <c r="C44" s="10">
        <v>39</v>
      </c>
      <c r="D44" s="13" t="s">
        <v>1680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2"/>
        <v>0</v>
      </c>
      <c r="L44" s="7">
        <v>0</v>
      </c>
      <c r="M44" s="11">
        <f t="shared" si="3"/>
        <v>0</v>
      </c>
      <c r="N44" s="11">
        <f t="shared" si="4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1680</v>
      </c>
    </row>
    <row r="45" spans="2:24" ht="13.8" x14ac:dyDescent="0.2">
      <c r="B45" s="8">
        <f t="shared" si="5"/>
        <v>40</v>
      </c>
      <c r="C45" s="10">
        <v>40</v>
      </c>
      <c r="D45" s="13" t="s">
        <v>63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2"/>
        <v>0</v>
      </c>
      <c r="L45" s="7">
        <v>0</v>
      </c>
      <c r="M45" s="11">
        <f t="shared" si="3"/>
        <v>0</v>
      </c>
      <c r="N45" s="11">
        <f t="shared" si="4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990</v>
      </c>
    </row>
    <row r="46" spans="2:24" ht="13.8" x14ac:dyDescent="0.2">
      <c r="B46" s="8">
        <f t="shared" si="5"/>
        <v>41</v>
      </c>
      <c r="C46" s="10">
        <v>41</v>
      </c>
      <c r="D46" s="13" t="s">
        <v>1028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2"/>
        <v>0</v>
      </c>
      <c r="L46" s="7">
        <v>0</v>
      </c>
      <c r="M46" s="11">
        <f t="shared" si="3"/>
        <v>0</v>
      </c>
      <c r="N46" s="11">
        <f t="shared" si="4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1006</v>
      </c>
    </row>
    <row r="47" spans="2:24" ht="13.8" x14ac:dyDescent="0.2">
      <c r="B47" s="8">
        <f t="shared" si="5"/>
        <v>42</v>
      </c>
      <c r="C47" s="10">
        <v>42</v>
      </c>
      <c r="D47" s="13" t="s">
        <v>1681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2"/>
        <v>0</v>
      </c>
      <c r="L47" s="7">
        <v>0</v>
      </c>
      <c r="M47" s="11">
        <f t="shared" si="3"/>
        <v>0</v>
      </c>
      <c r="N47" s="11">
        <f t="shared" si="4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1682</v>
      </c>
    </row>
    <row r="48" spans="2:24" ht="13.8" x14ac:dyDescent="0.2">
      <c r="B48" s="8">
        <f t="shared" si="5"/>
        <v>43</v>
      </c>
      <c r="C48" s="10">
        <v>43</v>
      </c>
      <c r="D48" s="13" t="s">
        <v>1683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2"/>
        <v>0</v>
      </c>
      <c r="L48" s="7">
        <v>0</v>
      </c>
      <c r="M48" s="11">
        <f t="shared" si="3"/>
        <v>0</v>
      </c>
      <c r="N48" s="11">
        <f t="shared" si="4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1684</v>
      </c>
    </row>
    <row r="49" spans="2:24" ht="13.8" x14ac:dyDescent="0.2">
      <c r="B49" s="8">
        <f t="shared" si="5"/>
        <v>44</v>
      </c>
      <c r="C49" s="10">
        <v>44</v>
      </c>
      <c r="D49" s="13" t="s">
        <v>123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2"/>
        <v>0</v>
      </c>
      <c r="L49" s="7">
        <v>0</v>
      </c>
      <c r="M49" s="11">
        <f t="shared" si="3"/>
        <v>0</v>
      </c>
      <c r="N49" s="11">
        <f t="shared" si="4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1007</v>
      </c>
    </row>
    <row r="50" spans="2:24" ht="13.8" x14ac:dyDescent="0.2">
      <c r="B50" s="8">
        <f t="shared" si="5"/>
        <v>45</v>
      </c>
      <c r="C50" s="10">
        <v>45</v>
      </c>
      <c r="D50" s="13" t="s">
        <v>1685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2"/>
        <v>0</v>
      </c>
      <c r="L50" s="7">
        <v>0</v>
      </c>
      <c r="M50" s="11">
        <f t="shared" si="3"/>
        <v>0</v>
      </c>
      <c r="N50" s="11">
        <f t="shared" si="4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1022</v>
      </c>
    </row>
    <row r="51" spans="2:24" ht="13.8" x14ac:dyDescent="0.2">
      <c r="B51" s="8">
        <f t="shared" si="5"/>
        <v>46</v>
      </c>
      <c r="C51" s="10">
        <v>46</v>
      </c>
      <c r="D51" s="13" t="s">
        <v>65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2"/>
        <v>0</v>
      </c>
      <c r="L51" s="7">
        <v>0</v>
      </c>
      <c r="M51" s="11">
        <f t="shared" si="3"/>
        <v>0</v>
      </c>
      <c r="N51" s="11">
        <f t="shared" si="4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1008</v>
      </c>
    </row>
    <row r="52" spans="2:24" ht="13.8" x14ac:dyDescent="0.2">
      <c r="B52" s="8">
        <f t="shared" si="5"/>
        <v>47</v>
      </c>
      <c r="C52" s="10">
        <v>47</v>
      </c>
      <c r="D52" s="13" t="s">
        <v>1686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2"/>
        <v>0</v>
      </c>
      <c r="L52" s="7">
        <v>0</v>
      </c>
      <c r="M52" s="11">
        <f t="shared" si="3"/>
        <v>0</v>
      </c>
      <c r="N52" s="11">
        <f t="shared" si="4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1009</v>
      </c>
    </row>
    <row r="53" spans="2:24" ht="13.8" x14ac:dyDescent="0.2">
      <c r="B53" s="8">
        <f t="shared" si="5"/>
        <v>48</v>
      </c>
      <c r="C53" s="10">
        <v>48</v>
      </c>
      <c r="D53" s="13" t="s">
        <v>12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2"/>
        <v>0</v>
      </c>
      <c r="L53" s="7">
        <v>0</v>
      </c>
      <c r="M53" s="11">
        <f t="shared" si="3"/>
        <v>0</v>
      </c>
      <c r="N53" s="11">
        <f t="shared" si="4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1010</v>
      </c>
    </row>
    <row r="54" spans="2:24" ht="13.8" x14ac:dyDescent="0.2">
      <c r="B54" s="8">
        <f t="shared" si="5"/>
        <v>49</v>
      </c>
      <c r="C54" s="10">
        <v>49</v>
      </c>
      <c r="D54" s="13" t="s">
        <v>85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2"/>
        <v>0</v>
      </c>
      <c r="L54" s="7">
        <v>0</v>
      </c>
      <c r="M54" s="11">
        <f t="shared" si="3"/>
        <v>0</v>
      </c>
      <c r="N54" s="11">
        <f t="shared" si="4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1687</v>
      </c>
    </row>
    <row r="55" spans="2:24" ht="13.8" x14ac:dyDescent="0.2">
      <c r="B55" s="8">
        <f t="shared" si="5"/>
        <v>50</v>
      </c>
      <c r="C55" s="10">
        <v>50</v>
      </c>
      <c r="D55" s="13" t="s">
        <v>1688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2"/>
        <v>0</v>
      </c>
      <c r="L55" s="7">
        <v>0</v>
      </c>
      <c r="M55" s="11">
        <f t="shared" si="3"/>
        <v>0</v>
      </c>
      <c r="N55" s="11">
        <f t="shared" si="4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1689</v>
      </c>
    </row>
    <row r="56" spans="2:24" ht="13.8" x14ac:dyDescent="0.2">
      <c r="B56" s="8">
        <f t="shared" si="5"/>
        <v>51</v>
      </c>
      <c r="C56" s="10">
        <v>51</v>
      </c>
      <c r="D56" s="13" t="s">
        <v>66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2"/>
        <v>0</v>
      </c>
      <c r="L56" s="7">
        <v>0</v>
      </c>
      <c r="M56" s="11">
        <f t="shared" si="3"/>
        <v>0</v>
      </c>
      <c r="N56" s="11">
        <f t="shared" si="4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1011</v>
      </c>
    </row>
    <row r="57" spans="2:24" ht="13.8" x14ac:dyDescent="0.2">
      <c r="B57" s="8">
        <f t="shared" si="5"/>
        <v>52</v>
      </c>
      <c r="C57" s="10">
        <v>52</v>
      </c>
      <c r="D57" s="13" t="s">
        <v>1690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2"/>
        <v>0</v>
      </c>
      <c r="L57" s="7">
        <v>0</v>
      </c>
      <c r="M57" s="11">
        <f t="shared" si="3"/>
        <v>0</v>
      </c>
      <c r="N57" s="11">
        <f t="shared" si="4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1691</v>
      </c>
    </row>
    <row r="58" spans="2:24" ht="13.8" x14ac:dyDescent="0.2">
      <c r="B58" s="8">
        <f t="shared" si="5"/>
        <v>53</v>
      </c>
      <c r="C58" s="10">
        <v>53</v>
      </c>
      <c r="D58" s="13" t="s">
        <v>1692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2"/>
        <v>0</v>
      </c>
      <c r="L58" s="7">
        <v>0</v>
      </c>
      <c r="M58" s="11">
        <f t="shared" si="3"/>
        <v>0</v>
      </c>
      <c r="N58" s="11">
        <f t="shared" si="4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1013</v>
      </c>
    </row>
    <row r="59" spans="2:24" ht="13.8" x14ac:dyDescent="0.2">
      <c r="B59" s="8">
        <f t="shared" si="5"/>
        <v>54</v>
      </c>
      <c r="C59" s="10">
        <v>54</v>
      </c>
      <c r="D59" s="13" t="s">
        <v>1693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2"/>
        <v>0</v>
      </c>
      <c r="L59" s="7">
        <v>0</v>
      </c>
      <c r="M59" s="11">
        <f t="shared" si="3"/>
        <v>0</v>
      </c>
      <c r="N59" s="11">
        <f t="shared" si="4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1693</v>
      </c>
    </row>
    <row r="60" spans="2:24" ht="13.8" x14ac:dyDescent="0.2">
      <c r="B60" s="8">
        <f t="shared" si="5"/>
        <v>55</v>
      </c>
      <c r="C60" s="10">
        <v>55</v>
      </c>
      <c r="D60" s="13" t="s">
        <v>1694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2"/>
        <v>0</v>
      </c>
      <c r="L60" s="7">
        <v>0</v>
      </c>
      <c r="M60" s="11">
        <f t="shared" si="3"/>
        <v>0</v>
      </c>
      <c r="N60" s="11">
        <f t="shared" si="4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1014</v>
      </c>
    </row>
    <row r="61" spans="2:24" ht="13.8" x14ac:dyDescent="0.2">
      <c r="B61" s="8">
        <f t="shared" si="5"/>
        <v>56</v>
      </c>
      <c r="C61" s="10">
        <v>56</v>
      </c>
      <c r="D61" s="13" t="s">
        <v>1511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2"/>
        <v>0</v>
      </c>
      <c r="L61" s="7">
        <v>0</v>
      </c>
      <c r="M61" s="11">
        <f t="shared" si="3"/>
        <v>0</v>
      </c>
      <c r="N61" s="11">
        <f t="shared" si="4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1695</v>
      </c>
    </row>
    <row r="62" spans="2:24" ht="13.8" x14ac:dyDescent="0.2">
      <c r="B62" s="8">
        <f t="shared" si="5"/>
        <v>57</v>
      </c>
      <c r="C62" s="10">
        <v>57</v>
      </c>
      <c r="D62" s="13" t="s">
        <v>1696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2"/>
        <v>0</v>
      </c>
      <c r="L62" s="7">
        <v>0</v>
      </c>
      <c r="M62" s="11">
        <f t="shared" si="3"/>
        <v>0</v>
      </c>
      <c r="N62" s="11">
        <f t="shared" si="4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1015</v>
      </c>
    </row>
    <row r="63" spans="2:24" ht="13.8" x14ac:dyDescent="0.2">
      <c r="B63" s="8">
        <f t="shared" si="5"/>
        <v>58</v>
      </c>
      <c r="C63" s="10">
        <v>58</v>
      </c>
      <c r="D63" s="13" t="s">
        <v>1697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2"/>
        <v>0</v>
      </c>
      <c r="L63" s="7">
        <v>0</v>
      </c>
      <c r="M63" s="11">
        <f t="shared" si="3"/>
        <v>0</v>
      </c>
      <c r="N63" s="11">
        <f t="shared" si="4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1698</v>
      </c>
    </row>
    <row r="64" spans="2:24" ht="13.8" x14ac:dyDescent="0.2">
      <c r="B64" s="8">
        <f t="shared" si="5"/>
        <v>59</v>
      </c>
      <c r="C64" s="10">
        <v>59</v>
      </c>
      <c r="D64" s="13" t="s">
        <v>1029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2"/>
        <v>0</v>
      </c>
      <c r="L64" s="7">
        <v>0</v>
      </c>
      <c r="M64" s="11">
        <f t="shared" si="3"/>
        <v>0</v>
      </c>
      <c r="N64" s="11">
        <f t="shared" si="4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1017</v>
      </c>
    </row>
    <row r="65" spans="2:24" ht="13.8" x14ac:dyDescent="0.2">
      <c r="B65" s="8">
        <f t="shared" si="5"/>
        <v>60</v>
      </c>
      <c r="C65" s="10">
        <v>60</v>
      </c>
      <c r="D65" s="13" t="s">
        <v>125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2"/>
        <v>0</v>
      </c>
      <c r="L65" s="7">
        <v>0</v>
      </c>
      <c r="M65" s="11">
        <f t="shared" si="3"/>
        <v>0</v>
      </c>
      <c r="N65" s="11">
        <f t="shared" si="4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1018</v>
      </c>
    </row>
    <row r="66" spans="2:24" ht="13.8" x14ac:dyDescent="0.2">
      <c r="B66" s="8">
        <f t="shared" si="5"/>
        <v>61</v>
      </c>
      <c r="C66" s="10">
        <v>61</v>
      </c>
      <c r="D66" s="13" t="s">
        <v>183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2"/>
        <v>0</v>
      </c>
      <c r="L66" s="7">
        <v>0</v>
      </c>
      <c r="M66" s="11">
        <f t="shared" si="3"/>
        <v>0</v>
      </c>
      <c r="N66" s="11">
        <f t="shared" si="4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1699</v>
      </c>
    </row>
    <row r="67" spans="2:24" ht="13.8" x14ac:dyDescent="0.2">
      <c r="B67" s="8">
        <f t="shared" si="5"/>
        <v>62</v>
      </c>
      <c r="C67" s="10">
        <v>62</v>
      </c>
      <c r="D67" s="13" t="s">
        <v>1030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2"/>
        <v>0</v>
      </c>
      <c r="L67" s="7">
        <v>0</v>
      </c>
      <c r="M67" s="11">
        <f t="shared" si="3"/>
        <v>0</v>
      </c>
      <c r="N67" s="11">
        <f t="shared" si="4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1019</v>
      </c>
    </row>
    <row r="68" spans="2:24" ht="13.8" x14ac:dyDescent="0.2">
      <c r="B68" s="8">
        <f t="shared" si="5"/>
        <v>63</v>
      </c>
      <c r="C68" s="10">
        <v>63</v>
      </c>
      <c r="D68" s="9" t="s">
        <v>1700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1701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1714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1702</v>
      </c>
    </row>
    <row r="71" spans="2:24" ht="13.8" x14ac:dyDescent="0.2">
      <c r="B71" s="8">
        <f t="shared" si="10"/>
        <v>66</v>
      </c>
      <c r="C71" s="10">
        <v>66</v>
      </c>
      <c r="D71" s="13" t="s">
        <v>41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1703</v>
      </c>
    </row>
    <row r="72" spans="2:24" ht="13.8" x14ac:dyDescent="0.2">
      <c r="B72" s="8">
        <f t="shared" si="10"/>
        <v>67</v>
      </c>
      <c r="C72" s="10">
        <v>67</v>
      </c>
      <c r="D72" s="13" t="s">
        <v>1704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1705</v>
      </c>
    </row>
    <row r="73" spans="2:24" ht="13.8" x14ac:dyDescent="0.2">
      <c r="B73" s="8">
        <f t="shared" si="10"/>
        <v>68</v>
      </c>
      <c r="C73" s="10">
        <v>68</v>
      </c>
      <c r="D73" s="13" t="s">
        <v>1031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1023</v>
      </c>
    </row>
    <row r="74" spans="2:24" ht="13.8" x14ac:dyDescent="0.2">
      <c r="B74" s="8">
        <f t="shared" si="10"/>
        <v>69</v>
      </c>
      <c r="C74" s="10">
        <v>69</v>
      </c>
      <c r="D74" s="13" t="s">
        <v>126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1021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1706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9" t="s">
        <v>1706</v>
      </c>
    </row>
    <row r="105" spans="2:24" ht="13.8" x14ac:dyDescent="0.2">
      <c r="B105" s="8" t="str">
        <f t="shared" si="10"/>
        <v>012</v>
      </c>
      <c r="C105" s="10" t="s">
        <v>1768</v>
      </c>
      <c r="D105" s="14" t="s">
        <v>1538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1012</v>
      </c>
    </row>
    <row r="106" spans="2:24" ht="13.8" x14ac:dyDescent="0.2">
      <c r="B106" s="8" t="str">
        <f t="shared" si="10"/>
        <v>013</v>
      </c>
      <c r="C106" s="10" t="s">
        <v>1770</v>
      </c>
      <c r="D106" s="9" t="s">
        <v>1707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1020</v>
      </c>
    </row>
    <row r="107" spans="2:24" ht="13.8" x14ac:dyDescent="0.2">
      <c r="B107" s="8" t="str">
        <f t="shared" si="10"/>
        <v>015</v>
      </c>
      <c r="C107" s="10" t="s">
        <v>1612</v>
      </c>
      <c r="D107" s="9" t="s">
        <v>1588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1589</v>
      </c>
    </row>
    <row r="108" spans="2:24" ht="13.8" x14ac:dyDescent="0.2">
      <c r="B108" s="8" t="str">
        <f t="shared" si="10"/>
        <v>019</v>
      </c>
      <c r="C108" s="10" t="s">
        <v>1616</v>
      </c>
      <c r="D108" s="9" t="s">
        <v>1032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1024</v>
      </c>
    </row>
    <row r="109" spans="2:24" ht="13.8" x14ac:dyDescent="0.2">
      <c r="B109" s="8" t="str">
        <f t="shared" si="10"/>
        <v>023</v>
      </c>
      <c r="C109" s="10" t="s">
        <v>1620</v>
      </c>
      <c r="D109" s="9" t="s">
        <v>135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1708</v>
      </c>
    </row>
    <row r="110" spans="2:24" ht="13.8" x14ac:dyDescent="0.2">
      <c r="B110" s="8" t="str">
        <f t="shared" si="10"/>
        <v>024</v>
      </c>
      <c r="C110" s="10" t="s">
        <v>1622</v>
      </c>
      <c r="D110" s="9" t="s">
        <v>1034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1025</v>
      </c>
    </row>
    <row r="111" spans="2:24" ht="13.8" x14ac:dyDescent="0.2">
      <c r="B111" s="8" t="str">
        <f t="shared" si="10"/>
        <v>025</v>
      </c>
      <c r="C111" s="10" t="s">
        <v>1623</v>
      </c>
      <c r="D111" s="9" t="s">
        <v>1709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1709</v>
      </c>
    </row>
    <row r="112" spans="2:24" ht="13.8" x14ac:dyDescent="0.2">
      <c r="B112" s="8" t="str">
        <f t="shared" si="10"/>
        <v>026</v>
      </c>
      <c r="C112" s="10" t="s">
        <v>1624</v>
      </c>
      <c r="D112" s="13" t="s">
        <v>1710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1711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19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850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70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851</v>
      </c>
    </row>
    <row r="6" spans="2:24" ht="13.8" x14ac:dyDescent="0.2">
      <c r="B6" s="8">
        <f t="shared" si="6"/>
        <v>1</v>
      </c>
      <c r="C6" s="10">
        <v>1</v>
      </c>
      <c r="D6" s="13" t="s">
        <v>319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852</v>
      </c>
    </row>
    <row r="7" spans="2:24" ht="13.8" x14ac:dyDescent="0.2">
      <c r="B7" s="8">
        <f t="shared" si="6"/>
        <v>2</v>
      </c>
      <c r="C7" s="10">
        <v>2</v>
      </c>
      <c r="D7" s="13" t="s">
        <v>288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853</v>
      </c>
    </row>
    <row r="8" spans="2:24" ht="13.8" x14ac:dyDescent="0.2">
      <c r="B8" s="8">
        <f t="shared" si="6"/>
        <v>3</v>
      </c>
      <c r="C8" s="10">
        <v>3</v>
      </c>
      <c r="D8" s="9" t="s">
        <v>1393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1057</v>
      </c>
    </row>
    <row r="9" spans="2:24" ht="13.8" x14ac:dyDescent="0.2">
      <c r="B9" s="8">
        <f t="shared" si="6"/>
        <v>4</v>
      </c>
      <c r="C9" s="10">
        <v>4</v>
      </c>
      <c r="D9" s="13" t="s">
        <v>36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89</v>
      </c>
    </row>
    <row r="10" spans="2:24" ht="13.8" x14ac:dyDescent="0.2">
      <c r="B10" s="8">
        <f t="shared" si="6"/>
        <v>5</v>
      </c>
      <c r="C10" s="10">
        <v>5</v>
      </c>
      <c r="D10" s="13" t="s">
        <v>20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854</v>
      </c>
    </row>
    <row r="11" spans="2:24" ht="13.8" x14ac:dyDescent="0.2">
      <c r="B11" s="8">
        <f t="shared" si="6"/>
        <v>6</v>
      </c>
      <c r="C11" s="10">
        <v>6</v>
      </c>
      <c r="D11" s="13" t="s">
        <v>1718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855</v>
      </c>
    </row>
    <row r="12" spans="2:24" ht="13.8" x14ac:dyDescent="0.2">
      <c r="B12" s="8">
        <f t="shared" si="6"/>
        <v>7</v>
      </c>
      <c r="C12" s="10">
        <v>7</v>
      </c>
      <c r="D12" s="13" t="s">
        <v>289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856</v>
      </c>
    </row>
    <row r="13" spans="2:24" ht="13.8" x14ac:dyDescent="0.2">
      <c r="B13" s="8">
        <f t="shared" si="6"/>
        <v>8</v>
      </c>
      <c r="C13" s="10">
        <v>8</v>
      </c>
      <c r="D13" s="13" t="s">
        <v>21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857</v>
      </c>
    </row>
    <row r="14" spans="2:24" ht="13.8" x14ac:dyDescent="0.2">
      <c r="B14" s="8">
        <f t="shared" si="6"/>
        <v>9</v>
      </c>
      <c r="C14" s="10">
        <v>9</v>
      </c>
      <c r="D14" s="13" t="s">
        <v>90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90</v>
      </c>
    </row>
    <row r="15" spans="2:24" ht="13.8" x14ac:dyDescent="0.2">
      <c r="B15" s="8">
        <f t="shared" si="6"/>
        <v>10</v>
      </c>
      <c r="C15" s="10">
        <v>10</v>
      </c>
      <c r="D15" s="13" t="s">
        <v>22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858</v>
      </c>
    </row>
    <row r="16" spans="2:24" ht="13.8" x14ac:dyDescent="0.2">
      <c r="B16" s="8">
        <f t="shared" si="6"/>
        <v>11</v>
      </c>
      <c r="C16" s="10">
        <v>11</v>
      </c>
      <c r="D16" s="13" t="s">
        <v>1783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859</v>
      </c>
    </row>
    <row r="17" spans="2:24" ht="13.8" x14ac:dyDescent="0.2">
      <c r="B17" s="8">
        <f t="shared" si="6"/>
        <v>12</v>
      </c>
      <c r="C17" s="10">
        <v>12</v>
      </c>
      <c r="D17" s="13" t="s">
        <v>1697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1698</v>
      </c>
    </row>
    <row r="18" spans="2:24" ht="13.8" x14ac:dyDescent="0.2">
      <c r="B18" s="8">
        <f t="shared" si="6"/>
        <v>13</v>
      </c>
      <c r="C18" s="10">
        <v>13</v>
      </c>
      <c r="D18" s="13" t="s">
        <v>267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860</v>
      </c>
    </row>
    <row r="19" spans="2:24" ht="13.8" x14ac:dyDescent="0.2">
      <c r="B19" s="8">
        <f t="shared" si="6"/>
        <v>14</v>
      </c>
      <c r="C19" s="10">
        <v>14</v>
      </c>
      <c r="D19" s="13" t="s">
        <v>1568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861</v>
      </c>
    </row>
    <row r="20" spans="2:24" ht="13.8" x14ac:dyDescent="0.2">
      <c r="B20" s="8">
        <f t="shared" si="6"/>
        <v>15</v>
      </c>
      <c r="C20" s="10">
        <v>15</v>
      </c>
      <c r="D20" s="2" t="s">
        <v>1058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1056</v>
      </c>
    </row>
    <row r="21" spans="2:24" ht="13.8" x14ac:dyDescent="0.2">
      <c r="B21" s="8">
        <f t="shared" si="6"/>
        <v>16</v>
      </c>
      <c r="C21" s="10">
        <v>16</v>
      </c>
      <c r="D21" s="13" t="s">
        <v>68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862</v>
      </c>
    </row>
    <row r="22" spans="2:24" ht="13.8" x14ac:dyDescent="0.2">
      <c r="B22" s="8">
        <f t="shared" si="6"/>
        <v>17</v>
      </c>
      <c r="C22" s="10">
        <v>17</v>
      </c>
      <c r="D22" s="13" t="s">
        <v>23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863</v>
      </c>
    </row>
    <row r="23" spans="2:24" ht="13.8" x14ac:dyDescent="0.2">
      <c r="B23" s="8">
        <f t="shared" si="6"/>
        <v>18</v>
      </c>
      <c r="C23" s="10">
        <v>18</v>
      </c>
      <c r="D23" s="9" t="s">
        <v>1468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1055</v>
      </c>
    </row>
    <row r="24" spans="2:24" ht="13.8" x14ac:dyDescent="0.2">
      <c r="B24" s="8">
        <f t="shared" si="6"/>
        <v>19</v>
      </c>
      <c r="C24" s="10">
        <v>19</v>
      </c>
      <c r="D24" s="13" t="s">
        <v>18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864</v>
      </c>
    </row>
    <row r="25" spans="2:24" ht="13.8" x14ac:dyDescent="0.2">
      <c r="B25" s="8">
        <f t="shared" si="6"/>
        <v>20</v>
      </c>
      <c r="C25" s="10">
        <v>20</v>
      </c>
      <c r="D25" s="13" t="s">
        <v>1511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865</v>
      </c>
    </row>
    <row r="26" spans="2:24" ht="13.8" x14ac:dyDescent="0.2">
      <c r="B26" s="8">
        <f t="shared" si="6"/>
        <v>21</v>
      </c>
      <c r="C26" s="10">
        <v>21</v>
      </c>
      <c r="D26" s="13" t="s">
        <v>24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866</v>
      </c>
    </row>
    <row r="27" spans="2:24" ht="13.8" x14ac:dyDescent="0.2">
      <c r="B27" s="8">
        <f t="shared" si="6"/>
        <v>22</v>
      </c>
      <c r="C27" s="10">
        <v>22</v>
      </c>
      <c r="D27" s="13" t="s">
        <v>290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867</v>
      </c>
    </row>
    <row r="28" spans="2:24" ht="13.8" x14ac:dyDescent="0.2">
      <c r="B28" s="8">
        <f t="shared" si="6"/>
        <v>23</v>
      </c>
      <c r="C28" s="10">
        <v>23</v>
      </c>
      <c r="D28" s="13" t="s">
        <v>283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283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25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868</v>
      </c>
    </row>
    <row r="32" spans="2:24" ht="13.8" x14ac:dyDescent="0.2">
      <c r="B32" s="8">
        <f t="shared" si="6"/>
        <v>27</v>
      </c>
      <c r="C32" s="10">
        <v>27</v>
      </c>
      <c r="D32" s="13" t="s">
        <v>69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91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35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869</v>
      </c>
    </row>
    <row r="35" spans="2:24" ht="13.8" x14ac:dyDescent="0.2">
      <c r="B35" s="8">
        <f t="shared" si="6"/>
        <v>30</v>
      </c>
      <c r="C35" s="10">
        <v>30</v>
      </c>
      <c r="D35" s="13" t="s">
        <v>1609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1054</v>
      </c>
    </row>
    <row r="36" spans="2:24" ht="13.8" x14ac:dyDescent="0.2">
      <c r="B36" s="8">
        <f t="shared" si="6"/>
        <v>31</v>
      </c>
      <c r="C36" s="10">
        <v>31</v>
      </c>
      <c r="D36" s="13" t="s">
        <v>1028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870</v>
      </c>
    </row>
    <row r="37" spans="2:24" ht="13.8" x14ac:dyDescent="0.2">
      <c r="B37" s="8">
        <f t="shared" si="6"/>
        <v>32</v>
      </c>
      <c r="C37" s="10">
        <v>32</v>
      </c>
      <c r="D37" s="13" t="s">
        <v>71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871</v>
      </c>
    </row>
    <row r="38" spans="2:24" ht="13.8" x14ac:dyDescent="0.2">
      <c r="B38" s="8">
        <f t="shared" si="6"/>
        <v>33</v>
      </c>
      <c r="C38" s="10">
        <v>33</v>
      </c>
      <c r="D38" s="13" t="s">
        <v>1059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1053</v>
      </c>
    </row>
    <row r="39" spans="2:24" ht="13.8" x14ac:dyDescent="0.2">
      <c r="B39" s="8">
        <f t="shared" si="6"/>
        <v>34</v>
      </c>
      <c r="C39" s="10">
        <v>34</v>
      </c>
      <c r="D39" s="13" t="s">
        <v>26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872</v>
      </c>
    </row>
    <row r="40" spans="2:24" ht="13.8" x14ac:dyDescent="0.2">
      <c r="B40" s="8">
        <f t="shared" si="6"/>
        <v>35</v>
      </c>
      <c r="C40" s="10">
        <v>35</v>
      </c>
      <c r="D40" s="13" t="s">
        <v>27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873</v>
      </c>
    </row>
    <row r="41" spans="2:24" ht="13.8" x14ac:dyDescent="0.2">
      <c r="B41" s="8">
        <f t="shared" si="6"/>
        <v>36</v>
      </c>
      <c r="C41" s="10">
        <v>36</v>
      </c>
      <c r="D41" s="13" t="s">
        <v>268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874</v>
      </c>
    </row>
    <row r="42" spans="2:24" ht="13.8" x14ac:dyDescent="0.2">
      <c r="B42" s="8">
        <f t="shared" si="6"/>
        <v>37</v>
      </c>
      <c r="C42" s="10">
        <v>37</v>
      </c>
      <c r="D42" s="13" t="s">
        <v>28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875</v>
      </c>
    </row>
    <row r="43" spans="2:24" ht="13.8" x14ac:dyDescent="0.2">
      <c r="B43" s="8">
        <f t="shared" si="6"/>
        <v>38</v>
      </c>
      <c r="C43" s="10">
        <v>38</v>
      </c>
      <c r="D43" s="13" t="s">
        <v>291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876</v>
      </c>
    </row>
    <row r="44" spans="2:24" ht="13.8" x14ac:dyDescent="0.2">
      <c r="B44" s="8">
        <f t="shared" si="6"/>
        <v>39</v>
      </c>
      <c r="C44" s="10">
        <v>39</v>
      </c>
      <c r="D44" s="13" t="s">
        <v>29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877</v>
      </c>
    </row>
    <row r="45" spans="2:24" ht="13.8" x14ac:dyDescent="0.2">
      <c r="B45" s="8">
        <f t="shared" si="6"/>
        <v>40</v>
      </c>
      <c r="C45" s="10">
        <v>40</v>
      </c>
      <c r="D45" s="13" t="s">
        <v>292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293</v>
      </c>
    </row>
    <row r="46" spans="2:24" ht="13.8" x14ac:dyDescent="0.2">
      <c r="B46" s="8">
        <f t="shared" si="6"/>
        <v>41</v>
      </c>
      <c r="C46" s="10">
        <v>41</v>
      </c>
      <c r="D46" s="13" t="s">
        <v>30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878</v>
      </c>
    </row>
    <row r="47" spans="2:24" ht="13.8" x14ac:dyDescent="0.2">
      <c r="B47" s="8">
        <f t="shared" si="6"/>
        <v>42</v>
      </c>
      <c r="C47" s="10">
        <v>42</v>
      </c>
      <c r="D47" s="13" t="s">
        <v>1743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1743</v>
      </c>
    </row>
    <row r="48" spans="2:24" ht="13.8" x14ac:dyDescent="0.2">
      <c r="B48" s="8">
        <f t="shared" si="6"/>
        <v>43</v>
      </c>
      <c r="C48" s="10">
        <v>43</v>
      </c>
      <c r="D48" s="13" t="s">
        <v>1060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1052</v>
      </c>
    </row>
    <row r="49" spans="2:24" ht="13.8" x14ac:dyDescent="0.2">
      <c r="B49" s="8">
        <f t="shared" si="6"/>
        <v>44</v>
      </c>
      <c r="C49" s="10">
        <v>44</v>
      </c>
      <c r="D49" s="13" t="s">
        <v>294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295</v>
      </c>
    </row>
    <row r="50" spans="2:24" ht="13.8" x14ac:dyDescent="0.2">
      <c r="B50" s="8">
        <f t="shared" si="6"/>
        <v>45</v>
      </c>
      <c r="C50" s="10">
        <v>45</v>
      </c>
      <c r="D50" s="13" t="s">
        <v>284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284</v>
      </c>
    </row>
    <row r="51" spans="2:24" ht="13.8" x14ac:dyDescent="0.2">
      <c r="B51" s="8">
        <f t="shared" si="6"/>
        <v>46</v>
      </c>
      <c r="C51" s="10">
        <v>46</v>
      </c>
      <c r="D51" s="13" t="s">
        <v>1061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1051</v>
      </c>
    </row>
    <row r="52" spans="2:24" ht="13.8" x14ac:dyDescent="0.2">
      <c r="B52" s="8">
        <f t="shared" si="6"/>
        <v>47</v>
      </c>
      <c r="C52" s="10">
        <v>47</v>
      </c>
      <c r="D52" s="13" t="s">
        <v>31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879</v>
      </c>
    </row>
    <row r="53" spans="2:24" ht="13.8" x14ac:dyDescent="0.2">
      <c r="B53" s="8">
        <f t="shared" si="6"/>
        <v>48</v>
      </c>
      <c r="C53" s="10">
        <v>48</v>
      </c>
      <c r="D53" s="13" t="s">
        <v>32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880</v>
      </c>
    </row>
    <row r="54" spans="2:24" ht="13.8" x14ac:dyDescent="0.2">
      <c r="B54" s="8">
        <f t="shared" si="6"/>
        <v>49</v>
      </c>
      <c r="C54" s="10">
        <v>49</v>
      </c>
      <c r="D54" s="9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1683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881</v>
      </c>
    </row>
    <row r="56" spans="2:24" ht="13.8" x14ac:dyDescent="0.2">
      <c r="B56" s="8">
        <f t="shared" si="6"/>
        <v>51</v>
      </c>
      <c r="C56" s="10">
        <v>51</v>
      </c>
      <c r="D56" s="13" t="s">
        <v>33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882</v>
      </c>
    </row>
    <row r="57" spans="2:24" ht="13.8" x14ac:dyDescent="0.2">
      <c r="B57" s="8">
        <f t="shared" si="6"/>
        <v>52</v>
      </c>
      <c r="C57" s="10">
        <v>52</v>
      </c>
      <c r="D57" s="13" t="s">
        <v>339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883</v>
      </c>
    </row>
    <row r="58" spans="2:24" ht="13.8" x14ac:dyDescent="0.2">
      <c r="B58" s="8">
        <f t="shared" si="6"/>
        <v>53</v>
      </c>
      <c r="C58" s="10">
        <v>53</v>
      </c>
      <c r="D58" s="13" t="s">
        <v>296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884</v>
      </c>
    </row>
    <row r="59" spans="2:24" ht="13.8" x14ac:dyDescent="0.2">
      <c r="B59" s="8">
        <f t="shared" si="6"/>
        <v>54</v>
      </c>
      <c r="C59" s="10">
        <v>54</v>
      </c>
      <c r="D59" s="13" t="s">
        <v>269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885</v>
      </c>
    </row>
    <row r="60" spans="2:24" ht="13.8" x14ac:dyDescent="0.2">
      <c r="B60" s="8">
        <f t="shared" si="6"/>
        <v>55</v>
      </c>
      <c r="C60" s="10">
        <v>55</v>
      </c>
      <c r="D60" s="13" t="s">
        <v>270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886</v>
      </c>
    </row>
    <row r="61" spans="2:24" ht="13.8" x14ac:dyDescent="0.2">
      <c r="B61" s="8">
        <f t="shared" si="6"/>
        <v>56</v>
      </c>
      <c r="C61" s="10">
        <v>56</v>
      </c>
      <c r="D61" s="13" t="s">
        <v>975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887</v>
      </c>
    </row>
    <row r="62" spans="2:24" ht="13.8" x14ac:dyDescent="0.2">
      <c r="B62" s="8">
        <f t="shared" si="6"/>
        <v>57</v>
      </c>
      <c r="C62" s="10">
        <v>57</v>
      </c>
      <c r="D62" s="13" t="s">
        <v>251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888</v>
      </c>
    </row>
    <row r="63" spans="2:24" ht="13.8" x14ac:dyDescent="0.2">
      <c r="B63" s="8">
        <f t="shared" si="6"/>
        <v>58</v>
      </c>
      <c r="C63" s="10">
        <v>58</v>
      </c>
      <c r="D63" s="13" t="s">
        <v>1062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1050</v>
      </c>
    </row>
    <row r="64" spans="2:24" ht="13.8" x14ac:dyDescent="0.2">
      <c r="B64" s="8">
        <f t="shared" si="6"/>
        <v>59</v>
      </c>
      <c r="C64" s="10">
        <v>59</v>
      </c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>
        <f t="shared" si="6"/>
        <v>60</v>
      </c>
      <c r="C65" s="10">
        <v>60</v>
      </c>
      <c r="D65" s="13" t="s">
        <v>72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889</v>
      </c>
    </row>
    <row r="66" spans="2:24" ht="13.8" x14ac:dyDescent="0.2">
      <c r="B66" s="8">
        <f t="shared" si="6"/>
        <v>61</v>
      </c>
      <c r="C66" s="10">
        <v>61</v>
      </c>
      <c r="D66" s="13" t="s">
        <v>271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890</v>
      </c>
    </row>
    <row r="67" spans="2:24" ht="13.8" x14ac:dyDescent="0.2">
      <c r="B67" s="8">
        <f t="shared" si="6"/>
        <v>62</v>
      </c>
      <c r="C67" s="10">
        <v>62</v>
      </c>
      <c r="D67" s="13" t="s">
        <v>92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92</v>
      </c>
    </row>
    <row r="68" spans="2:24" ht="13.8" x14ac:dyDescent="0.2">
      <c r="B68" s="8">
        <f t="shared" si="6"/>
        <v>63</v>
      </c>
      <c r="C68" s="10">
        <v>63</v>
      </c>
      <c r="D68" s="9" t="s">
        <v>34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891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1063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1049</v>
      </c>
    </row>
    <row r="70" spans="2:24" ht="13.8" x14ac:dyDescent="0.2">
      <c r="B70" s="8">
        <f t="shared" si="10"/>
        <v>65</v>
      </c>
      <c r="C70" s="10">
        <v>65</v>
      </c>
      <c r="D70" s="9" t="s">
        <v>1064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1048</v>
      </c>
    </row>
    <row r="71" spans="2:24" ht="13.8" x14ac:dyDescent="0.2">
      <c r="B71" s="8">
        <f t="shared" si="10"/>
        <v>66</v>
      </c>
      <c r="C71" s="10">
        <v>66</v>
      </c>
      <c r="D71" s="13" t="s">
        <v>1085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297</v>
      </c>
    </row>
    <row r="72" spans="2:24" ht="13.8" x14ac:dyDescent="0.2">
      <c r="B72" s="8">
        <f t="shared" si="10"/>
        <v>67</v>
      </c>
      <c r="C72" s="10">
        <v>67</v>
      </c>
      <c r="D72" s="13" t="s">
        <v>1065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1047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285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285</v>
      </c>
    </row>
    <row r="105" spans="2:24" ht="13.8" x14ac:dyDescent="0.2">
      <c r="B105" s="8" t="str">
        <f t="shared" si="10"/>
        <v>028</v>
      </c>
      <c r="C105" s="10" t="s">
        <v>1629</v>
      </c>
      <c r="D105" s="9" t="s">
        <v>1035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1039</v>
      </c>
    </row>
    <row r="106" spans="2:24" ht="13.8" x14ac:dyDescent="0.2">
      <c r="B106" s="8" t="str">
        <f t="shared" si="10"/>
        <v>059</v>
      </c>
      <c r="C106" s="10" t="s">
        <v>954</v>
      </c>
      <c r="D106" s="9" t="s">
        <v>1729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1040</v>
      </c>
    </row>
    <row r="107" spans="2:24" ht="13.8" x14ac:dyDescent="0.2">
      <c r="B107" s="8">
        <f t="shared" si="10"/>
        <v>100</v>
      </c>
      <c r="C107" s="10">
        <v>100</v>
      </c>
      <c r="D107" s="9" t="s">
        <v>1751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1041</v>
      </c>
    </row>
    <row r="108" spans="2:24" ht="13.8" x14ac:dyDescent="0.2">
      <c r="B108" s="8">
        <f t="shared" si="10"/>
        <v>101</v>
      </c>
      <c r="C108" s="10">
        <v>101</v>
      </c>
      <c r="D108" s="9" t="s">
        <v>1666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1042</v>
      </c>
    </row>
    <row r="109" spans="2:24" ht="13.8" x14ac:dyDescent="0.2">
      <c r="B109" s="8">
        <f t="shared" si="10"/>
        <v>102</v>
      </c>
      <c r="C109" s="10">
        <v>102</v>
      </c>
      <c r="D109" s="9" t="s">
        <v>1742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1043</v>
      </c>
    </row>
    <row r="110" spans="2:24" ht="13.8" x14ac:dyDescent="0.2">
      <c r="B110" s="8">
        <f t="shared" si="10"/>
        <v>103</v>
      </c>
      <c r="C110" s="10">
        <v>103</v>
      </c>
      <c r="D110" s="9" t="s">
        <v>1036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1044</v>
      </c>
    </row>
    <row r="111" spans="2:24" ht="13.8" x14ac:dyDescent="0.2">
      <c r="B111" s="8">
        <f t="shared" si="10"/>
        <v>104</v>
      </c>
      <c r="C111" s="10">
        <v>104</v>
      </c>
      <c r="D111" s="9" t="s">
        <v>1037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1045</v>
      </c>
    </row>
    <row r="112" spans="2:24" ht="13.8" x14ac:dyDescent="0.2">
      <c r="B112" s="8">
        <f t="shared" si="10"/>
        <v>105</v>
      </c>
      <c r="C112" s="10">
        <v>105</v>
      </c>
      <c r="D112" s="9" t="s">
        <v>1038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1046</v>
      </c>
    </row>
    <row r="113" spans="2:24" ht="13.8" x14ac:dyDescent="0.2">
      <c r="B113" s="8">
        <f t="shared" si="10"/>
        <v>109</v>
      </c>
      <c r="C113" s="10">
        <v>109</v>
      </c>
      <c r="D113" s="9" t="s">
        <v>286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286</v>
      </c>
    </row>
    <row r="114" spans="2:24" ht="13.8" x14ac:dyDescent="0.2">
      <c r="B114" s="8">
        <f t="shared" si="10"/>
        <v>110</v>
      </c>
      <c r="C114" s="10">
        <v>110</v>
      </c>
      <c r="D114" s="9" t="s">
        <v>287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287</v>
      </c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387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797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388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798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/>
    </row>
    <row r="7" spans="2:24" ht="13.8" x14ac:dyDescent="0.2">
      <c r="B7" s="8">
        <f t="shared" si="6"/>
        <v>2</v>
      </c>
      <c r="C7" s="10">
        <v>2</v>
      </c>
      <c r="D7" s="13" t="s">
        <v>389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385</v>
      </c>
    </row>
    <row r="8" spans="2:24" ht="13.8" x14ac:dyDescent="0.2">
      <c r="B8" s="8">
        <f t="shared" si="6"/>
        <v>3</v>
      </c>
      <c r="C8" s="10">
        <v>3</v>
      </c>
      <c r="D8" s="13" t="s">
        <v>390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799</v>
      </c>
    </row>
    <row r="9" spans="2:24" ht="13.8" x14ac:dyDescent="0.2">
      <c r="B9" s="8">
        <f t="shared" si="6"/>
        <v>4</v>
      </c>
      <c r="C9" s="10">
        <v>4</v>
      </c>
      <c r="D9" s="13" t="s">
        <v>391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800</v>
      </c>
    </row>
    <row r="10" spans="2:24" ht="13.8" x14ac:dyDescent="0.2">
      <c r="B10" s="8">
        <f t="shared" si="6"/>
        <v>5</v>
      </c>
      <c r="C10" s="10">
        <v>5</v>
      </c>
      <c r="D10" s="13" t="s">
        <v>392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801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393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802</v>
      </c>
    </row>
    <row r="13" spans="2:24" ht="13.8" x14ac:dyDescent="0.2">
      <c r="B13" s="8">
        <f t="shared" si="6"/>
        <v>8</v>
      </c>
      <c r="C13" s="10">
        <v>8</v>
      </c>
      <c r="D13" s="13" t="s">
        <v>394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803</v>
      </c>
    </row>
    <row r="14" spans="2:24" ht="13.8" x14ac:dyDescent="0.2">
      <c r="B14" s="8">
        <f t="shared" si="6"/>
        <v>9</v>
      </c>
      <c r="C14" s="10">
        <v>9</v>
      </c>
      <c r="D14" s="13" t="s">
        <v>395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 t="s">
        <v>804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396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120</v>
      </c>
    </row>
    <row r="18" spans="2:24" ht="13.8" x14ac:dyDescent="0.2">
      <c r="B18" s="8">
        <f t="shared" si="6"/>
        <v>13</v>
      </c>
      <c r="C18" s="10">
        <v>13</v>
      </c>
      <c r="D18" s="13" t="s">
        <v>905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805</v>
      </c>
    </row>
    <row r="19" spans="2:24" ht="13.8" x14ac:dyDescent="0.2">
      <c r="B19" s="8">
        <f t="shared" si="6"/>
        <v>14</v>
      </c>
      <c r="C19" s="10">
        <v>14</v>
      </c>
      <c r="D19" s="13" t="s">
        <v>298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298</v>
      </c>
    </row>
    <row r="20" spans="2:24" ht="13.8" x14ac:dyDescent="0.2">
      <c r="B20" s="8">
        <f t="shared" si="6"/>
        <v>15</v>
      </c>
      <c r="C20" s="10">
        <v>15</v>
      </c>
      <c r="D20" s="13" t="s">
        <v>397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806</v>
      </c>
    </row>
    <row r="21" spans="2:24" ht="13.8" x14ac:dyDescent="0.2">
      <c r="B21" s="8">
        <f t="shared" si="6"/>
        <v>16</v>
      </c>
      <c r="C21" s="10">
        <v>16</v>
      </c>
      <c r="D21" s="13" t="s">
        <v>398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 t="s">
        <v>807</v>
      </c>
    </row>
    <row r="22" spans="2:24" ht="13.8" x14ac:dyDescent="0.2">
      <c r="B22" s="8">
        <f t="shared" si="6"/>
        <v>17</v>
      </c>
      <c r="C22" s="10">
        <v>17</v>
      </c>
      <c r="D22" s="13" t="s">
        <v>399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808</v>
      </c>
    </row>
    <row r="23" spans="2:24" ht="13.8" x14ac:dyDescent="0.2">
      <c r="B23" s="8">
        <f t="shared" si="6"/>
        <v>18</v>
      </c>
      <c r="C23" s="10">
        <v>18</v>
      </c>
      <c r="D23" s="13" t="s">
        <v>400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809</v>
      </c>
    </row>
    <row r="24" spans="2:24" ht="13.8" x14ac:dyDescent="0.2">
      <c r="B24" s="8">
        <f t="shared" si="6"/>
        <v>19</v>
      </c>
      <c r="C24" s="10">
        <v>19</v>
      </c>
      <c r="D24" s="13" t="s">
        <v>401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445</v>
      </c>
    </row>
    <row r="25" spans="2:24" ht="13.8" x14ac:dyDescent="0.2">
      <c r="B25" s="8">
        <f t="shared" si="6"/>
        <v>20</v>
      </c>
      <c r="C25" s="10">
        <v>20</v>
      </c>
      <c r="D25" s="13" t="s">
        <v>906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917</v>
      </c>
    </row>
    <row r="26" spans="2:24" ht="13.8" x14ac:dyDescent="0.2">
      <c r="B26" s="8">
        <f t="shared" si="6"/>
        <v>21</v>
      </c>
      <c r="C26" s="10">
        <v>21</v>
      </c>
      <c r="D26" s="13" t="s">
        <v>1218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825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907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918</v>
      </c>
    </row>
    <row r="30" spans="2:24" ht="13.8" x14ac:dyDescent="0.2">
      <c r="B30" s="8">
        <f t="shared" si="6"/>
        <v>25</v>
      </c>
      <c r="C30" s="10">
        <v>25</v>
      </c>
      <c r="D30" s="13" t="s">
        <v>402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810</v>
      </c>
    </row>
    <row r="31" spans="2:24" ht="13.8" x14ac:dyDescent="0.2">
      <c r="B31" s="8">
        <f t="shared" si="6"/>
        <v>26</v>
      </c>
      <c r="C31" s="10">
        <v>26</v>
      </c>
      <c r="D31" s="13" t="s">
        <v>403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811</v>
      </c>
    </row>
    <row r="32" spans="2:24" ht="13.8" x14ac:dyDescent="0.2">
      <c r="B32" s="8">
        <f t="shared" si="6"/>
        <v>27</v>
      </c>
      <c r="C32" s="10">
        <v>27</v>
      </c>
      <c r="D32" s="13" t="s">
        <v>404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812</v>
      </c>
    </row>
    <row r="33" spans="2:24" ht="13.8" x14ac:dyDescent="0.2">
      <c r="B33" s="8">
        <f t="shared" si="6"/>
        <v>28</v>
      </c>
      <c r="C33" s="10">
        <v>28</v>
      </c>
      <c r="D33" s="13" t="s">
        <v>1714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919</v>
      </c>
    </row>
    <row r="34" spans="2:24" ht="13.8" x14ac:dyDescent="0.2">
      <c r="B34" s="8">
        <f t="shared" si="6"/>
        <v>29</v>
      </c>
      <c r="C34" s="10">
        <v>29</v>
      </c>
      <c r="D34" s="13" t="s">
        <v>405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814</v>
      </c>
    </row>
    <row r="35" spans="2:24" ht="13.8" x14ac:dyDescent="0.2">
      <c r="B35" s="8">
        <f t="shared" si="6"/>
        <v>30</v>
      </c>
      <c r="C35" s="10">
        <v>30</v>
      </c>
      <c r="D35" s="13" t="s">
        <v>406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815</v>
      </c>
    </row>
    <row r="36" spans="2:24" ht="13.8" x14ac:dyDescent="0.2">
      <c r="B36" s="8">
        <f t="shared" si="6"/>
        <v>31</v>
      </c>
      <c r="C36" s="10">
        <v>31</v>
      </c>
      <c r="D36" s="13" t="s">
        <v>386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386</v>
      </c>
    </row>
    <row r="37" spans="2:24" ht="13.8" x14ac:dyDescent="0.2">
      <c r="B37" s="8">
        <f t="shared" si="6"/>
        <v>32</v>
      </c>
      <c r="C37" s="10">
        <v>32</v>
      </c>
      <c r="D37" s="13" t="s">
        <v>407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816</v>
      </c>
    </row>
    <row r="38" spans="2:24" ht="13.8" x14ac:dyDescent="0.2">
      <c r="B38" s="8">
        <f t="shared" si="6"/>
        <v>33</v>
      </c>
      <c r="C38" s="10">
        <v>33</v>
      </c>
      <c r="D38" s="13" t="s">
        <v>408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817</v>
      </c>
    </row>
    <row r="39" spans="2:24" ht="13.8" x14ac:dyDescent="0.2">
      <c r="B39" s="8">
        <f t="shared" si="6"/>
        <v>34</v>
      </c>
      <c r="C39" s="10">
        <v>34</v>
      </c>
      <c r="D39" s="13" t="s">
        <v>908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721</v>
      </c>
    </row>
    <row r="40" spans="2:24" ht="13.8" x14ac:dyDescent="0.2">
      <c r="B40" s="8">
        <f t="shared" si="6"/>
        <v>35</v>
      </c>
      <c r="C40" s="10">
        <v>35</v>
      </c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/>
    </row>
    <row r="41" spans="2:24" ht="13.8" x14ac:dyDescent="0.2">
      <c r="B41" s="8">
        <f t="shared" si="6"/>
        <v>36</v>
      </c>
      <c r="C41" s="10">
        <v>36</v>
      </c>
      <c r="D41" s="13" t="s">
        <v>409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818</v>
      </c>
    </row>
    <row r="42" spans="2:24" ht="13.8" x14ac:dyDescent="0.2">
      <c r="B42" s="8">
        <f t="shared" si="6"/>
        <v>37</v>
      </c>
      <c r="C42" s="10">
        <v>37</v>
      </c>
      <c r="D42" s="13" t="s">
        <v>410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819</v>
      </c>
    </row>
    <row r="43" spans="2:24" ht="13.8" x14ac:dyDescent="0.2">
      <c r="B43" s="8">
        <f t="shared" si="6"/>
        <v>38</v>
      </c>
      <c r="C43" s="10">
        <v>38</v>
      </c>
      <c r="D43" s="13" t="s">
        <v>411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820</v>
      </c>
    </row>
    <row r="44" spans="2:24" ht="13.8" x14ac:dyDescent="0.2">
      <c r="B44" s="8">
        <f t="shared" si="6"/>
        <v>39</v>
      </c>
      <c r="C44" s="10">
        <v>39</v>
      </c>
      <c r="D44" s="13" t="s">
        <v>412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821</v>
      </c>
    </row>
    <row r="45" spans="2:24" ht="13.8" x14ac:dyDescent="0.2">
      <c r="B45" s="8">
        <f t="shared" si="6"/>
        <v>40</v>
      </c>
      <c r="C45" s="10">
        <v>40</v>
      </c>
      <c r="D45" s="13" t="s">
        <v>413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 t="s">
        <v>1691</v>
      </c>
    </row>
    <row r="46" spans="2:24" ht="13.8" x14ac:dyDescent="0.2">
      <c r="B46" s="8">
        <f t="shared" si="6"/>
        <v>41</v>
      </c>
      <c r="C46" s="10">
        <v>41</v>
      </c>
      <c r="D46" s="13" t="s">
        <v>414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822</v>
      </c>
    </row>
    <row r="47" spans="2:24" ht="13.8" x14ac:dyDescent="0.2">
      <c r="B47" s="8">
        <f t="shared" si="6"/>
        <v>42</v>
      </c>
      <c r="C47" s="10">
        <v>42</v>
      </c>
      <c r="D47" s="13" t="s">
        <v>1715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 t="s">
        <v>1715</v>
      </c>
    </row>
    <row r="48" spans="2:24" ht="13.8" x14ac:dyDescent="0.2">
      <c r="B48" s="8">
        <f t="shared" si="6"/>
        <v>43</v>
      </c>
      <c r="C48" s="10">
        <v>43</v>
      </c>
      <c r="D48" s="13" t="s">
        <v>415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823</v>
      </c>
    </row>
    <row r="49" spans="2:24" ht="13.8" x14ac:dyDescent="0.2">
      <c r="B49" s="8">
        <f t="shared" si="6"/>
        <v>44</v>
      </c>
      <c r="C49" s="10">
        <v>44</v>
      </c>
      <c r="D49" s="13" t="s">
        <v>446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446</v>
      </c>
    </row>
    <row r="50" spans="2:24" ht="13.8" x14ac:dyDescent="0.2">
      <c r="B50" s="8">
        <f t="shared" si="6"/>
        <v>45</v>
      </c>
      <c r="C50" s="10">
        <v>45</v>
      </c>
      <c r="D50" s="13" t="s">
        <v>416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824</v>
      </c>
    </row>
    <row r="51" spans="2:24" ht="13.8" x14ac:dyDescent="0.2">
      <c r="B51" s="8">
        <f t="shared" si="6"/>
        <v>46</v>
      </c>
      <c r="C51" s="10">
        <v>46</v>
      </c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/>
    </row>
    <row r="52" spans="2:24" ht="13.8" x14ac:dyDescent="0.2">
      <c r="B52" s="8">
        <f t="shared" si="6"/>
        <v>47</v>
      </c>
      <c r="C52" s="10">
        <v>47</v>
      </c>
      <c r="D52" s="13" t="s">
        <v>909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920</v>
      </c>
    </row>
    <row r="53" spans="2:24" ht="13.8" x14ac:dyDescent="0.2">
      <c r="B53" s="8">
        <f t="shared" si="6"/>
        <v>48</v>
      </c>
      <c r="C53" s="10">
        <v>48</v>
      </c>
      <c r="D53" s="13" t="s">
        <v>417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447</v>
      </c>
    </row>
    <row r="54" spans="2:24" ht="13.8" x14ac:dyDescent="0.2">
      <c r="B54" s="8">
        <f t="shared" si="6"/>
        <v>49</v>
      </c>
      <c r="C54" s="10">
        <v>49</v>
      </c>
      <c r="D54" s="13" t="s">
        <v>448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448</v>
      </c>
    </row>
    <row r="55" spans="2:24" ht="13.8" x14ac:dyDescent="0.2">
      <c r="B55" s="8">
        <f t="shared" si="6"/>
        <v>50</v>
      </c>
      <c r="C55" s="10">
        <v>50</v>
      </c>
      <c r="D55" s="13" t="s">
        <v>418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827</v>
      </c>
    </row>
    <row r="56" spans="2:24" ht="13.8" x14ac:dyDescent="0.2">
      <c r="B56" s="8">
        <f t="shared" si="6"/>
        <v>51</v>
      </c>
      <c r="C56" s="10">
        <v>51</v>
      </c>
      <c r="D56" s="13" t="s">
        <v>419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828</v>
      </c>
    </row>
    <row r="57" spans="2:24" ht="13.8" x14ac:dyDescent="0.2">
      <c r="B57" s="8">
        <f t="shared" si="6"/>
        <v>52</v>
      </c>
      <c r="C57" s="10">
        <v>52</v>
      </c>
      <c r="D57" s="13" t="s">
        <v>910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910</v>
      </c>
    </row>
    <row r="58" spans="2:24" ht="13.8" x14ac:dyDescent="0.2">
      <c r="B58" s="8">
        <f t="shared" si="6"/>
        <v>53</v>
      </c>
      <c r="C58" s="10">
        <v>53</v>
      </c>
      <c r="D58" s="13" t="s">
        <v>420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829</v>
      </c>
    </row>
    <row r="59" spans="2:24" ht="13.8" x14ac:dyDescent="0.2">
      <c r="B59" s="8">
        <f t="shared" si="6"/>
        <v>54</v>
      </c>
      <c r="C59" s="10">
        <v>54</v>
      </c>
      <c r="D59" s="13" t="s">
        <v>421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830</v>
      </c>
    </row>
    <row r="60" spans="2:24" ht="13.8" x14ac:dyDescent="0.2">
      <c r="B60" s="8">
        <f t="shared" si="6"/>
        <v>55</v>
      </c>
      <c r="C60" s="10">
        <v>55</v>
      </c>
      <c r="D60" s="13" t="s">
        <v>422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831</v>
      </c>
    </row>
    <row r="61" spans="2:24" ht="13.8" x14ac:dyDescent="0.2">
      <c r="B61" s="8">
        <f t="shared" si="6"/>
        <v>56</v>
      </c>
      <c r="C61" s="10">
        <v>56</v>
      </c>
      <c r="D61" s="13" t="s">
        <v>423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832</v>
      </c>
    </row>
    <row r="62" spans="2:24" ht="13.8" x14ac:dyDescent="0.2">
      <c r="B62" s="8">
        <f t="shared" si="6"/>
        <v>57</v>
      </c>
      <c r="C62" s="10">
        <v>57</v>
      </c>
      <c r="D62" s="13" t="s">
        <v>424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833</v>
      </c>
    </row>
    <row r="63" spans="2:24" ht="13.8" x14ac:dyDescent="0.2">
      <c r="B63" s="8">
        <f t="shared" si="6"/>
        <v>58</v>
      </c>
      <c r="C63" s="10">
        <v>58</v>
      </c>
      <c r="D63" s="13" t="s">
        <v>911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921</v>
      </c>
    </row>
    <row r="64" spans="2:24" ht="13.8" x14ac:dyDescent="0.2">
      <c r="B64" s="8">
        <f t="shared" si="6"/>
        <v>59</v>
      </c>
      <c r="C64" s="10">
        <v>59</v>
      </c>
      <c r="D64" s="13" t="s">
        <v>425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834</v>
      </c>
    </row>
    <row r="65" spans="2:24" ht="13.8" x14ac:dyDescent="0.2">
      <c r="B65" s="8">
        <f t="shared" si="6"/>
        <v>60</v>
      </c>
      <c r="C65" s="10">
        <v>60</v>
      </c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/>
    </row>
    <row r="66" spans="2:24" ht="13.8" x14ac:dyDescent="0.2">
      <c r="B66" s="8">
        <f t="shared" si="6"/>
        <v>61</v>
      </c>
      <c r="C66" s="10">
        <v>61</v>
      </c>
      <c r="D66" s="13" t="s">
        <v>912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922</v>
      </c>
    </row>
    <row r="67" spans="2:24" ht="13.8" x14ac:dyDescent="0.2">
      <c r="B67" s="8">
        <f t="shared" si="6"/>
        <v>62</v>
      </c>
      <c r="C67" s="10">
        <v>62</v>
      </c>
      <c r="D67" s="13" t="s">
        <v>426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 t="s">
        <v>836</v>
      </c>
    </row>
    <row r="68" spans="2:24" ht="13.8" x14ac:dyDescent="0.2">
      <c r="B68" s="8">
        <f t="shared" si="6"/>
        <v>63</v>
      </c>
      <c r="C68" s="10">
        <v>63</v>
      </c>
      <c r="D68" s="13" t="s">
        <v>427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121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913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 t="s">
        <v>923</v>
      </c>
    </row>
    <row r="70" spans="2:24" ht="13.8" x14ac:dyDescent="0.2">
      <c r="B70" s="8">
        <f t="shared" si="10"/>
        <v>65</v>
      </c>
      <c r="C70" s="10">
        <v>65</v>
      </c>
      <c r="D70" s="13" t="s">
        <v>428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837</v>
      </c>
    </row>
    <row r="71" spans="2:24" ht="13.8" x14ac:dyDescent="0.2">
      <c r="B71" s="8">
        <f t="shared" si="10"/>
        <v>66</v>
      </c>
      <c r="C71" s="10">
        <v>66</v>
      </c>
      <c r="D71" s="13" t="s">
        <v>429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838</v>
      </c>
    </row>
    <row r="72" spans="2:24" ht="13.8" x14ac:dyDescent="0.2">
      <c r="B72" s="8">
        <f t="shared" si="10"/>
        <v>67</v>
      </c>
      <c r="C72" s="10">
        <v>67</v>
      </c>
      <c r="D72" s="13" t="s">
        <v>430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839</v>
      </c>
    </row>
    <row r="73" spans="2:24" ht="13.8" x14ac:dyDescent="0.2">
      <c r="B73" s="8">
        <f t="shared" si="10"/>
        <v>68</v>
      </c>
      <c r="C73" s="10">
        <v>68</v>
      </c>
      <c r="D73" s="13" t="s">
        <v>914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924</v>
      </c>
    </row>
    <row r="74" spans="2:24" ht="13.8" x14ac:dyDescent="0.2">
      <c r="B74" s="8">
        <f t="shared" si="10"/>
        <v>69</v>
      </c>
      <c r="C74" s="10">
        <v>69</v>
      </c>
      <c r="D74" s="13" t="s">
        <v>431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 t="s">
        <v>840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 t="s">
        <v>432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841</v>
      </c>
    </row>
    <row r="98" spans="2:24" ht="13.8" x14ac:dyDescent="0.2">
      <c r="B98" s="8">
        <f t="shared" si="10"/>
        <v>93</v>
      </c>
      <c r="C98" s="10">
        <v>93</v>
      </c>
      <c r="D98" s="13" t="s">
        <v>433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 t="s">
        <v>842</v>
      </c>
    </row>
    <row r="99" spans="2:24" ht="13.8" x14ac:dyDescent="0.2">
      <c r="B99" s="8">
        <f t="shared" si="10"/>
        <v>94</v>
      </c>
      <c r="C99" s="10">
        <v>94</v>
      </c>
      <c r="D99" s="13" t="s">
        <v>434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 t="s">
        <v>843</v>
      </c>
    </row>
    <row r="100" spans="2:24" ht="13.8" x14ac:dyDescent="0.2">
      <c r="B100" s="8">
        <f t="shared" si="10"/>
        <v>95</v>
      </c>
      <c r="C100" s="10">
        <v>95</v>
      </c>
      <c r="D100" s="13" t="s">
        <v>435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 t="s">
        <v>844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1066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 t="s">
        <v>849</v>
      </c>
    </row>
    <row r="103" spans="2:24" ht="13.8" x14ac:dyDescent="0.2">
      <c r="B103" s="8">
        <f t="shared" si="10"/>
        <v>98</v>
      </c>
      <c r="C103" s="10">
        <v>98</v>
      </c>
      <c r="D103" s="13" t="s">
        <v>1067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 t="s">
        <v>813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/>
    </row>
    <row r="105" spans="2:24" ht="13.8" x14ac:dyDescent="0.2">
      <c r="B105" s="8">
        <f t="shared" si="10"/>
        <v>120</v>
      </c>
      <c r="C105" s="10">
        <v>120</v>
      </c>
      <c r="D105" s="23" t="s">
        <v>436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845</v>
      </c>
    </row>
    <row r="106" spans="2:24" ht="13.8" x14ac:dyDescent="0.2">
      <c r="B106" s="8">
        <f t="shared" si="10"/>
        <v>121</v>
      </c>
      <c r="C106" s="10">
        <v>121</v>
      </c>
      <c r="D106" s="13" t="s">
        <v>437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846</v>
      </c>
    </row>
    <row r="107" spans="2:24" ht="13.8" x14ac:dyDescent="0.2">
      <c r="B107" s="8">
        <f t="shared" si="10"/>
        <v>122</v>
      </c>
      <c r="C107" s="10">
        <v>122</v>
      </c>
      <c r="D107" s="13" t="s">
        <v>438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847</v>
      </c>
    </row>
    <row r="108" spans="2:24" ht="13.8" x14ac:dyDescent="0.2">
      <c r="B108" s="8">
        <f t="shared" si="10"/>
        <v>123</v>
      </c>
      <c r="C108" s="10">
        <v>123</v>
      </c>
      <c r="D108" s="13" t="s">
        <v>915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835</v>
      </c>
    </row>
    <row r="109" spans="2:24" ht="13.8" x14ac:dyDescent="0.2">
      <c r="B109" s="8">
        <f t="shared" si="10"/>
        <v>125</v>
      </c>
      <c r="C109" s="10">
        <v>125</v>
      </c>
      <c r="D109" s="13" t="s">
        <v>1704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925</v>
      </c>
    </row>
    <row r="110" spans="2:24" ht="13.8" x14ac:dyDescent="0.2">
      <c r="B110" s="8">
        <f t="shared" si="10"/>
        <v>126</v>
      </c>
      <c r="C110" s="10">
        <v>126</v>
      </c>
      <c r="D110" s="13" t="s">
        <v>439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848</v>
      </c>
    </row>
    <row r="111" spans="2:24" ht="13.8" x14ac:dyDescent="0.2">
      <c r="B111" s="8">
        <f t="shared" si="10"/>
        <v>127</v>
      </c>
      <c r="C111" s="10">
        <v>127</v>
      </c>
      <c r="D111" s="13" t="s">
        <v>916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826</v>
      </c>
    </row>
    <row r="112" spans="2:24" ht="13.8" x14ac:dyDescent="0.2">
      <c r="B112" s="8">
        <f t="shared" si="10"/>
        <v>128</v>
      </c>
      <c r="C112" s="10">
        <v>128</v>
      </c>
      <c r="D112" s="13" t="s">
        <v>1716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741</v>
      </c>
    </row>
    <row r="113" spans="2:24" ht="13.8" x14ac:dyDescent="0.2">
      <c r="B113" s="8">
        <f t="shared" si="10"/>
        <v>128</v>
      </c>
      <c r="C113" s="10">
        <v>128</v>
      </c>
      <c r="D113" s="13" t="s">
        <v>1483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1498</v>
      </c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1079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1078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140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756</v>
      </c>
    </row>
    <row r="6" spans="2:24" ht="13.8" x14ac:dyDescent="0.2">
      <c r="B6" s="8">
        <f t="shared" si="6"/>
        <v>1</v>
      </c>
      <c r="C6" s="10">
        <v>1</v>
      </c>
      <c r="D6" s="13" t="s">
        <v>45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757</v>
      </c>
    </row>
    <row r="7" spans="2:24" ht="13.8" x14ac:dyDescent="0.2">
      <c r="B7" s="8">
        <f t="shared" si="6"/>
        <v>2</v>
      </c>
      <c r="C7" s="10">
        <v>2</v>
      </c>
      <c r="D7" s="13" t="s">
        <v>1666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758</v>
      </c>
    </row>
    <row r="8" spans="2:24" ht="13.8" x14ac:dyDescent="0.2">
      <c r="B8" s="8">
        <f t="shared" si="6"/>
        <v>3</v>
      </c>
      <c r="C8" s="10">
        <v>3</v>
      </c>
      <c r="D8" s="13" t="s">
        <v>1686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13" t="s">
        <v>759</v>
      </c>
    </row>
    <row r="9" spans="2:24" ht="13.8" x14ac:dyDescent="0.2">
      <c r="B9" s="8">
        <f t="shared" si="6"/>
        <v>4</v>
      </c>
      <c r="C9" s="10">
        <v>4</v>
      </c>
      <c r="D9" s="13" t="s">
        <v>1080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13" t="s">
        <v>1077</v>
      </c>
    </row>
    <row r="10" spans="2:24" ht="13.8" x14ac:dyDescent="0.2">
      <c r="B10" s="8">
        <f t="shared" si="6"/>
        <v>5</v>
      </c>
      <c r="C10" s="10">
        <v>5</v>
      </c>
      <c r="D10" s="13" t="s">
        <v>1717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13" t="s">
        <v>760</v>
      </c>
    </row>
    <row r="11" spans="2:24" ht="13.8" x14ac:dyDescent="0.2">
      <c r="B11" s="8">
        <f t="shared" si="6"/>
        <v>6</v>
      </c>
      <c r="C11" s="10">
        <v>6</v>
      </c>
      <c r="D11" s="13" t="s">
        <v>26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13" t="s">
        <v>761</v>
      </c>
    </row>
    <row r="12" spans="2:24" ht="13.8" x14ac:dyDescent="0.2">
      <c r="B12" s="8">
        <f t="shared" si="6"/>
        <v>7</v>
      </c>
      <c r="C12" s="10">
        <v>7</v>
      </c>
      <c r="D12" s="13" t="s">
        <v>55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762</v>
      </c>
    </row>
    <row r="13" spans="2:24" ht="13.8" x14ac:dyDescent="0.2">
      <c r="B13" s="8">
        <f t="shared" si="6"/>
        <v>8</v>
      </c>
      <c r="C13" s="10">
        <v>8</v>
      </c>
      <c r="D13" s="13" t="s">
        <v>46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763</v>
      </c>
    </row>
    <row r="14" spans="2:24" ht="13.8" x14ac:dyDescent="0.2">
      <c r="B14" s="8">
        <f t="shared" si="6"/>
        <v>9</v>
      </c>
      <c r="C14" s="10">
        <v>9</v>
      </c>
      <c r="D14" s="13" t="s">
        <v>305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13" t="s">
        <v>764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37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128</v>
      </c>
    </row>
    <row r="17" spans="2:24" ht="13.8" x14ac:dyDescent="0.2">
      <c r="B17" s="8">
        <f t="shared" si="6"/>
        <v>12</v>
      </c>
      <c r="C17" s="10">
        <v>12</v>
      </c>
      <c r="D17" s="13" t="s">
        <v>9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13" t="s">
        <v>765</v>
      </c>
    </row>
    <row r="18" spans="2:24" ht="13.8" x14ac:dyDescent="0.2">
      <c r="B18" s="8">
        <f t="shared" si="6"/>
        <v>13</v>
      </c>
      <c r="C18" s="10">
        <v>13</v>
      </c>
      <c r="D18" s="13" t="s">
        <v>135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766</v>
      </c>
    </row>
    <row r="19" spans="2:24" ht="13.8" x14ac:dyDescent="0.2">
      <c r="B19" s="8">
        <f t="shared" si="6"/>
        <v>14</v>
      </c>
      <c r="C19" s="10">
        <v>14</v>
      </c>
      <c r="D19" s="13" t="s">
        <v>47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767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 t="s">
        <v>1082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13" t="s">
        <v>1081</v>
      </c>
    </row>
    <row r="22" spans="2:24" ht="13.8" x14ac:dyDescent="0.2">
      <c r="B22" s="8">
        <f t="shared" si="6"/>
        <v>17</v>
      </c>
      <c r="C22" s="10">
        <v>17</v>
      </c>
      <c r="D22" s="13" t="s">
        <v>38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768</v>
      </c>
    </row>
    <row r="23" spans="2:24" ht="13.8" x14ac:dyDescent="0.2">
      <c r="B23" s="8">
        <f t="shared" si="6"/>
        <v>18</v>
      </c>
      <c r="C23" s="10">
        <v>18</v>
      </c>
      <c r="D23" s="13" t="s">
        <v>304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769</v>
      </c>
    </row>
    <row r="24" spans="2:24" ht="13.8" x14ac:dyDescent="0.2">
      <c r="B24" s="8">
        <f t="shared" si="6"/>
        <v>19</v>
      </c>
      <c r="C24" s="10">
        <v>19</v>
      </c>
      <c r="D24" s="13" t="s">
        <v>1686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13" t="s">
        <v>770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/>
    </row>
    <row r="26" spans="2:24" ht="13.8" x14ac:dyDescent="0.2">
      <c r="B26" s="8">
        <f t="shared" si="6"/>
        <v>21</v>
      </c>
      <c r="C26" s="10">
        <v>21</v>
      </c>
      <c r="D26" s="13" t="s">
        <v>1481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13" t="s">
        <v>771</v>
      </c>
    </row>
    <row r="27" spans="2:24" ht="13.8" x14ac:dyDescent="0.2">
      <c r="B27" s="8">
        <f t="shared" si="6"/>
        <v>22</v>
      </c>
      <c r="C27" s="10">
        <v>22</v>
      </c>
      <c r="D27" s="13" t="s">
        <v>74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13" t="s">
        <v>1076</v>
      </c>
    </row>
    <row r="28" spans="2:24" ht="13.8" x14ac:dyDescent="0.2">
      <c r="B28" s="8">
        <f t="shared" si="6"/>
        <v>23</v>
      </c>
      <c r="C28" s="10">
        <v>23</v>
      </c>
      <c r="D28" s="13" t="s">
        <v>1083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1075</v>
      </c>
    </row>
    <row r="29" spans="2:24" ht="13.8" x14ac:dyDescent="0.2">
      <c r="B29" s="8">
        <f t="shared" si="6"/>
        <v>24</v>
      </c>
      <c r="C29" s="10">
        <v>24</v>
      </c>
      <c r="D29" s="13" t="s">
        <v>48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13" t="s">
        <v>772</v>
      </c>
    </row>
    <row r="30" spans="2:24" ht="13.8" x14ac:dyDescent="0.2">
      <c r="B30" s="8">
        <f t="shared" si="6"/>
        <v>25</v>
      </c>
      <c r="C30" s="10">
        <v>25</v>
      </c>
      <c r="D30" s="13" t="s">
        <v>1482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773</v>
      </c>
    </row>
    <row r="31" spans="2:24" ht="13.8" x14ac:dyDescent="0.2">
      <c r="B31" s="8">
        <f t="shared" si="6"/>
        <v>26</v>
      </c>
      <c r="C31" s="10">
        <v>26</v>
      </c>
      <c r="D31" s="13" t="s">
        <v>1084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1074</v>
      </c>
    </row>
    <row r="32" spans="2:24" ht="13.8" x14ac:dyDescent="0.2">
      <c r="B32" s="8">
        <f t="shared" si="6"/>
        <v>27</v>
      </c>
      <c r="C32" s="10">
        <v>27</v>
      </c>
      <c r="D32" s="13" t="s">
        <v>80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1073</v>
      </c>
    </row>
    <row r="33" spans="2:24" ht="13.8" x14ac:dyDescent="0.2">
      <c r="B33" s="8">
        <f t="shared" si="6"/>
        <v>28</v>
      </c>
      <c r="C33" s="10">
        <v>28</v>
      </c>
      <c r="D33" s="13" t="s">
        <v>1718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13" t="s">
        <v>774</v>
      </c>
    </row>
    <row r="34" spans="2:24" ht="13.8" x14ac:dyDescent="0.2">
      <c r="B34" s="8">
        <f t="shared" si="6"/>
        <v>29</v>
      </c>
      <c r="C34" s="10">
        <v>29</v>
      </c>
      <c r="D34" s="13" t="s">
        <v>1719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1719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13" t="s">
        <v>775</v>
      </c>
    </row>
    <row r="36" spans="2:24" ht="13.8" x14ac:dyDescent="0.2">
      <c r="B36" s="8">
        <f t="shared" si="6"/>
        <v>31</v>
      </c>
      <c r="C36" s="10">
        <v>31</v>
      </c>
      <c r="D36" s="13" t="s">
        <v>77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13" t="s">
        <v>776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13" t="s">
        <v>777</v>
      </c>
    </row>
    <row r="38" spans="2:24" ht="13.8" x14ac:dyDescent="0.2">
      <c r="B38" s="8">
        <f t="shared" si="6"/>
        <v>33</v>
      </c>
      <c r="C38" s="10">
        <v>33</v>
      </c>
      <c r="D38" s="13" t="s">
        <v>39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13" t="s">
        <v>129</v>
      </c>
    </row>
    <row r="39" spans="2:24" ht="13.8" x14ac:dyDescent="0.2">
      <c r="B39" s="8">
        <f t="shared" si="6"/>
        <v>34</v>
      </c>
      <c r="C39" s="10">
        <v>34</v>
      </c>
      <c r="D39" s="13" t="s">
        <v>54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13" t="s">
        <v>778</v>
      </c>
    </row>
    <row r="40" spans="2:24" ht="13.8" x14ac:dyDescent="0.2">
      <c r="B40" s="8">
        <f t="shared" si="6"/>
        <v>35</v>
      </c>
      <c r="C40" s="10">
        <v>35</v>
      </c>
      <c r="D40" s="13" t="s">
        <v>40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13" t="s">
        <v>779</v>
      </c>
    </row>
    <row r="41" spans="2:24" ht="13.8" x14ac:dyDescent="0.2">
      <c r="B41" s="8">
        <f t="shared" si="6"/>
        <v>36</v>
      </c>
      <c r="C41" s="10">
        <v>36</v>
      </c>
      <c r="D41" s="13" t="s">
        <v>136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13" t="s">
        <v>130</v>
      </c>
    </row>
    <row r="42" spans="2:24" ht="13.8" x14ac:dyDescent="0.2">
      <c r="B42" s="8">
        <f t="shared" si="6"/>
        <v>37</v>
      </c>
      <c r="C42" s="10">
        <v>37</v>
      </c>
      <c r="D42" s="13" t="s">
        <v>41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13" t="s">
        <v>1703</v>
      </c>
    </row>
    <row r="43" spans="2:24" ht="13.8" x14ac:dyDescent="0.2">
      <c r="B43" s="8">
        <f t="shared" si="6"/>
        <v>38</v>
      </c>
      <c r="C43" s="10">
        <v>38</v>
      </c>
      <c r="D43" s="13" t="s">
        <v>75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13" t="s">
        <v>780</v>
      </c>
    </row>
    <row r="44" spans="2:24" ht="13.8" x14ac:dyDescent="0.2">
      <c r="B44" s="8">
        <f t="shared" si="6"/>
        <v>39</v>
      </c>
      <c r="C44" s="10">
        <v>39</v>
      </c>
      <c r="D44" s="13" t="s">
        <v>1085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13" t="s">
        <v>1072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76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13" t="s">
        <v>781</v>
      </c>
    </row>
    <row r="47" spans="2:24" ht="13.8" x14ac:dyDescent="0.2">
      <c r="B47" s="8">
        <f t="shared" si="6"/>
        <v>42</v>
      </c>
      <c r="C47" s="10">
        <v>42</v>
      </c>
      <c r="D47" s="13" t="s">
        <v>1720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13" t="s">
        <v>1071</v>
      </c>
    </row>
    <row r="48" spans="2:24" ht="13.8" x14ac:dyDescent="0.2">
      <c r="B48" s="8">
        <f t="shared" si="6"/>
        <v>43</v>
      </c>
      <c r="C48" s="10">
        <v>43</v>
      </c>
      <c r="D48" s="13" t="s">
        <v>1086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13" t="s">
        <v>1087</v>
      </c>
    </row>
    <row r="49" spans="2:24" ht="13.8" x14ac:dyDescent="0.2">
      <c r="B49" s="8">
        <f t="shared" si="6"/>
        <v>44</v>
      </c>
      <c r="C49" s="10">
        <v>44</v>
      </c>
      <c r="D49" s="13" t="s">
        <v>137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13" t="s">
        <v>782</v>
      </c>
    </row>
    <row r="50" spans="2:24" ht="13.8" x14ac:dyDescent="0.2">
      <c r="B50" s="8">
        <f t="shared" si="6"/>
        <v>45</v>
      </c>
      <c r="C50" s="10">
        <v>45</v>
      </c>
      <c r="D50" s="13" t="s">
        <v>303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13" t="s">
        <v>783</v>
      </c>
    </row>
    <row r="51" spans="2:24" ht="13.8" x14ac:dyDescent="0.2">
      <c r="B51" s="8">
        <f t="shared" si="6"/>
        <v>46</v>
      </c>
      <c r="C51" s="10">
        <v>46</v>
      </c>
      <c r="D51" s="13" t="s">
        <v>42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13" t="s">
        <v>784</v>
      </c>
    </row>
    <row r="52" spans="2:24" ht="13.8" x14ac:dyDescent="0.2">
      <c r="B52" s="8">
        <f t="shared" si="6"/>
        <v>47</v>
      </c>
      <c r="C52" s="10">
        <v>47</v>
      </c>
      <c r="D52" s="13" t="s">
        <v>50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13" t="s">
        <v>131</v>
      </c>
    </row>
    <row r="53" spans="2:24" ht="13.8" x14ac:dyDescent="0.2">
      <c r="B53" s="8">
        <f t="shared" si="6"/>
        <v>48</v>
      </c>
      <c r="C53" s="10">
        <v>48</v>
      </c>
      <c r="D53" s="13" t="s">
        <v>51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13" t="s">
        <v>785</v>
      </c>
    </row>
    <row r="54" spans="2:24" ht="13.8" x14ac:dyDescent="0.2">
      <c r="B54" s="8">
        <f t="shared" si="6"/>
        <v>49</v>
      </c>
      <c r="C54" s="10">
        <v>49</v>
      </c>
      <c r="D54" s="13" t="s">
        <v>43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13" t="s">
        <v>786</v>
      </c>
    </row>
    <row r="55" spans="2:24" ht="13.8" x14ac:dyDescent="0.2">
      <c r="B55" s="8">
        <f t="shared" si="6"/>
        <v>50</v>
      </c>
      <c r="C55" s="10">
        <v>50</v>
      </c>
      <c r="D55" s="13" t="s">
        <v>1665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13" t="s">
        <v>787</v>
      </c>
    </row>
    <row r="56" spans="2:24" ht="13.8" x14ac:dyDescent="0.2">
      <c r="B56" s="8">
        <f t="shared" si="6"/>
        <v>51</v>
      </c>
      <c r="C56" s="10">
        <v>51</v>
      </c>
      <c r="D56" s="13" t="s">
        <v>78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13" t="s">
        <v>788</v>
      </c>
    </row>
    <row r="57" spans="2:24" ht="13.8" x14ac:dyDescent="0.2">
      <c r="B57" s="8">
        <f t="shared" si="6"/>
        <v>52</v>
      </c>
      <c r="C57" s="10">
        <v>52</v>
      </c>
      <c r="D57" s="13" t="s">
        <v>893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13" t="s">
        <v>894</v>
      </c>
    </row>
    <row r="58" spans="2:24" ht="13.8" x14ac:dyDescent="0.2">
      <c r="B58" s="8">
        <f t="shared" si="6"/>
        <v>53</v>
      </c>
      <c r="C58" s="10">
        <v>53</v>
      </c>
      <c r="D58" s="13" t="s">
        <v>449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13" t="s">
        <v>449</v>
      </c>
    </row>
    <row r="59" spans="2:24" ht="13.8" x14ac:dyDescent="0.2">
      <c r="B59" s="8">
        <f t="shared" si="6"/>
        <v>54</v>
      </c>
      <c r="C59" s="10">
        <v>54</v>
      </c>
      <c r="D59" s="13" t="s">
        <v>52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13" t="s">
        <v>789</v>
      </c>
    </row>
    <row r="60" spans="2:24" ht="13.8" x14ac:dyDescent="0.2">
      <c r="B60" s="8">
        <f t="shared" si="6"/>
        <v>55</v>
      </c>
      <c r="C60" s="10">
        <v>55</v>
      </c>
      <c r="D60" s="13" t="s">
        <v>1272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13" t="s">
        <v>790</v>
      </c>
    </row>
    <row r="61" spans="2:24" ht="13.8" x14ac:dyDescent="0.2">
      <c r="B61" s="8">
        <f t="shared" si="6"/>
        <v>56</v>
      </c>
      <c r="C61" s="10">
        <v>56</v>
      </c>
      <c r="D61" s="13" t="s">
        <v>1846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13" t="s">
        <v>1070</v>
      </c>
    </row>
    <row r="62" spans="2:24" ht="13.8" x14ac:dyDescent="0.2">
      <c r="B62" s="8">
        <f t="shared" si="6"/>
        <v>57</v>
      </c>
      <c r="C62" s="10">
        <v>57</v>
      </c>
      <c r="D62" s="13" t="s">
        <v>299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13" t="s">
        <v>299</v>
      </c>
    </row>
    <row r="63" spans="2:24" ht="13.8" x14ac:dyDescent="0.2">
      <c r="B63" s="8">
        <f t="shared" si="6"/>
        <v>58</v>
      </c>
      <c r="C63" s="10">
        <v>58</v>
      </c>
      <c r="D63" s="13" t="s">
        <v>79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13" t="s">
        <v>791</v>
      </c>
    </row>
    <row r="64" spans="2:24" ht="13.8" x14ac:dyDescent="0.2">
      <c r="B64" s="8">
        <f t="shared" si="6"/>
        <v>59</v>
      </c>
      <c r="C64" s="10">
        <v>59</v>
      </c>
      <c r="D64" s="13" t="s">
        <v>1683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13" t="s">
        <v>792</v>
      </c>
    </row>
    <row r="65" spans="2:24" ht="13.8" x14ac:dyDescent="0.2">
      <c r="B65" s="8">
        <f t="shared" si="6"/>
        <v>60</v>
      </c>
      <c r="C65" s="10">
        <v>60</v>
      </c>
      <c r="D65" s="13" t="s">
        <v>138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13" t="s">
        <v>793</v>
      </c>
    </row>
    <row r="66" spans="2:24" ht="13.8" x14ac:dyDescent="0.2">
      <c r="B66" s="8">
        <f t="shared" si="6"/>
        <v>61</v>
      </c>
      <c r="C66" s="10">
        <v>61</v>
      </c>
      <c r="D66" s="13" t="s">
        <v>1088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13" t="s">
        <v>1069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 t="s">
        <v>53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13" t="s">
        <v>794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13"/>
    </row>
    <row r="70" spans="2:24" ht="13.8" x14ac:dyDescent="0.2">
      <c r="B70" s="8">
        <f t="shared" si="10"/>
        <v>65</v>
      </c>
      <c r="C70" s="10">
        <v>65</v>
      </c>
      <c r="D70" s="13" t="s">
        <v>302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13" t="s">
        <v>795</v>
      </c>
    </row>
    <row r="71" spans="2:24" ht="13.8" x14ac:dyDescent="0.2">
      <c r="B71" s="8">
        <f t="shared" si="10"/>
        <v>66</v>
      </c>
      <c r="C71" s="10">
        <v>66</v>
      </c>
      <c r="D71" s="13" t="s">
        <v>132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13" t="s">
        <v>132</v>
      </c>
    </row>
    <row r="72" spans="2:24" ht="13.8" x14ac:dyDescent="0.2">
      <c r="B72" s="8">
        <f t="shared" si="10"/>
        <v>67</v>
      </c>
      <c r="C72" s="10">
        <v>67</v>
      </c>
      <c r="D72" s="13" t="s">
        <v>1719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13" t="s">
        <v>1719</v>
      </c>
    </row>
    <row r="73" spans="2:24" ht="13.8" x14ac:dyDescent="0.2">
      <c r="B73" s="8">
        <f t="shared" si="10"/>
        <v>68</v>
      </c>
      <c r="C73" s="10">
        <v>68</v>
      </c>
      <c r="D73" s="13" t="s">
        <v>44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13" t="s">
        <v>796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 t="s">
        <v>1538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13" t="s">
        <v>1068</v>
      </c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 t="s">
        <v>133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13" t="s">
        <v>133</v>
      </c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13"/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13"/>
    </row>
    <row r="105" spans="2:24" ht="13.8" x14ac:dyDescent="0.2">
      <c r="B105" s="8">
        <f t="shared" si="10"/>
        <v>201</v>
      </c>
      <c r="C105" s="10">
        <v>201</v>
      </c>
      <c r="D105" s="23" t="s">
        <v>139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13" t="s">
        <v>1089</v>
      </c>
    </row>
    <row r="106" spans="2:24" ht="13.8" x14ac:dyDescent="0.2">
      <c r="B106" s="8">
        <f t="shared" si="10"/>
        <v>202</v>
      </c>
      <c r="C106" s="10">
        <v>202</v>
      </c>
      <c r="D106" s="13" t="s">
        <v>1721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13" t="s">
        <v>1721</v>
      </c>
    </row>
    <row r="107" spans="2:24" ht="13.8" x14ac:dyDescent="0.2">
      <c r="B107" s="8">
        <f t="shared" si="10"/>
        <v>203</v>
      </c>
      <c r="C107" s="10">
        <v>203</v>
      </c>
      <c r="D107" s="13" t="s">
        <v>1722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13" t="s">
        <v>1090</v>
      </c>
    </row>
    <row r="108" spans="2:24" ht="13.8" x14ac:dyDescent="0.2">
      <c r="B108" s="8">
        <f t="shared" si="10"/>
        <v>204</v>
      </c>
      <c r="C108" s="10">
        <v>204</v>
      </c>
      <c r="D108" s="13" t="s">
        <v>66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13" t="s">
        <v>1091</v>
      </c>
    </row>
    <row r="109" spans="2:24" ht="13.8" x14ac:dyDescent="0.2">
      <c r="B109" s="8">
        <f t="shared" si="10"/>
        <v>205</v>
      </c>
      <c r="C109" s="10">
        <v>205</v>
      </c>
      <c r="D109" s="13" t="s">
        <v>1723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13" t="s">
        <v>1723</v>
      </c>
    </row>
    <row r="110" spans="2:24" ht="13.8" x14ac:dyDescent="0.2">
      <c r="B110" s="8">
        <f t="shared" si="10"/>
        <v>206</v>
      </c>
      <c r="C110" s="10">
        <v>206</v>
      </c>
      <c r="D110" s="13" t="s">
        <v>301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13" t="s">
        <v>1092</v>
      </c>
    </row>
    <row r="111" spans="2:24" ht="13.8" x14ac:dyDescent="0.2">
      <c r="B111" s="8">
        <f t="shared" si="10"/>
        <v>207</v>
      </c>
      <c r="C111" s="10">
        <v>207</v>
      </c>
      <c r="D111" s="13" t="s">
        <v>300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13" t="s">
        <v>1093</v>
      </c>
    </row>
    <row r="112" spans="2:24" ht="13.8" x14ac:dyDescent="0.2">
      <c r="B112" s="8">
        <f t="shared" si="10"/>
        <v>208</v>
      </c>
      <c r="C112" s="10">
        <v>208</v>
      </c>
      <c r="D112" s="13" t="s">
        <v>1666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13" t="s">
        <v>1094</v>
      </c>
    </row>
    <row r="113" spans="2:24" ht="13.8" x14ac:dyDescent="0.2">
      <c r="B113" s="8">
        <f t="shared" si="10"/>
        <v>209</v>
      </c>
      <c r="C113" s="10">
        <v>209</v>
      </c>
      <c r="D113" s="13" t="s">
        <v>1391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13" t="s">
        <v>1095</v>
      </c>
    </row>
    <row r="114" spans="2:24" ht="13.8" x14ac:dyDescent="0.2">
      <c r="B114" s="8">
        <f t="shared" si="10"/>
        <v>210</v>
      </c>
      <c r="C114" s="10">
        <v>210</v>
      </c>
      <c r="D114" s="8" t="s">
        <v>1724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13" t="s">
        <v>1724</v>
      </c>
    </row>
    <row r="115" spans="2:24" ht="13.8" x14ac:dyDescent="0.2">
      <c r="B115" s="8">
        <f t="shared" si="10"/>
        <v>211</v>
      </c>
      <c r="C115" s="10">
        <v>211</v>
      </c>
      <c r="D115" s="8" t="s">
        <v>1097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13" t="s">
        <v>1096</v>
      </c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4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1767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713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975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714</v>
      </c>
    </row>
    <row r="6" spans="2:24" ht="13.8" x14ac:dyDescent="0.2">
      <c r="B6" s="8">
        <f t="shared" si="6"/>
        <v>1</v>
      </c>
      <c r="C6" s="10">
        <v>1</v>
      </c>
      <c r="D6" s="13" t="s">
        <v>1142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1133</v>
      </c>
    </row>
    <row r="7" spans="2:24" ht="13.8" x14ac:dyDescent="0.2">
      <c r="B7" s="8">
        <f t="shared" si="6"/>
        <v>2</v>
      </c>
      <c r="C7" s="10">
        <v>2</v>
      </c>
      <c r="D7" s="13" t="s">
        <v>306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306</v>
      </c>
    </row>
    <row r="8" spans="2:24" ht="13.8" x14ac:dyDescent="0.2">
      <c r="B8" s="8">
        <f t="shared" si="6"/>
        <v>3</v>
      </c>
      <c r="C8" s="10">
        <v>3</v>
      </c>
      <c r="D8" s="13" t="s">
        <v>1143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1143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 t="s">
        <v>300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715</v>
      </c>
    </row>
    <row r="11" spans="2:24" ht="13.8" x14ac:dyDescent="0.2">
      <c r="B11" s="8">
        <f t="shared" si="6"/>
        <v>6</v>
      </c>
      <c r="C11" s="10">
        <v>6</v>
      </c>
      <c r="D11" s="13" t="s">
        <v>95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716</v>
      </c>
    </row>
    <row r="12" spans="2:24" ht="13.8" x14ac:dyDescent="0.2">
      <c r="B12" s="8">
        <f t="shared" si="6"/>
        <v>7</v>
      </c>
      <c r="C12" s="10">
        <v>7</v>
      </c>
      <c r="D12" s="13" t="s">
        <v>82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717</v>
      </c>
    </row>
    <row r="13" spans="2:24" ht="13.8" x14ac:dyDescent="0.2">
      <c r="B13" s="8">
        <f t="shared" si="6"/>
        <v>8</v>
      </c>
      <c r="C13" s="10">
        <v>8</v>
      </c>
      <c r="D13" s="13" t="s">
        <v>96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718</v>
      </c>
    </row>
    <row r="14" spans="2:24" ht="13.8" x14ac:dyDescent="0.2">
      <c r="B14" s="8">
        <f t="shared" si="6"/>
        <v>9</v>
      </c>
      <c r="C14" s="10">
        <v>9</v>
      </c>
      <c r="D14" s="13" t="s">
        <v>97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719</v>
      </c>
    </row>
    <row r="15" spans="2:24" ht="13.8" x14ac:dyDescent="0.2">
      <c r="B15" s="8">
        <f t="shared" si="6"/>
        <v>10</v>
      </c>
      <c r="C15" s="10">
        <v>10</v>
      </c>
      <c r="D15" s="13" t="s">
        <v>1152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93</v>
      </c>
    </row>
    <row r="16" spans="2:24" ht="13.8" x14ac:dyDescent="0.2">
      <c r="B16" s="8">
        <f t="shared" si="6"/>
        <v>11</v>
      </c>
      <c r="C16" s="10">
        <v>11</v>
      </c>
      <c r="D16" s="13" t="s">
        <v>141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720</v>
      </c>
    </row>
    <row r="17" spans="2:24" ht="13.8" x14ac:dyDescent="0.2">
      <c r="B17" s="8">
        <f t="shared" si="6"/>
        <v>12</v>
      </c>
      <c r="C17" s="10">
        <v>12</v>
      </c>
      <c r="D17" s="13" t="s">
        <v>1098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1098</v>
      </c>
    </row>
    <row r="18" spans="2:24" ht="13.8" x14ac:dyDescent="0.2">
      <c r="B18" s="8">
        <f t="shared" si="6"/>
        <v>13</v>
      </c>
      <c r="C18" s="10">
        <v>13</v>
      </c>
      <c r="D18" s="13" t="s">
        <v>1144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1134</v>
      </c>
    </row>
    <row r="19" spans="2:24" ht="13.8" x14ac:dyDescent="0.2">
      <c r="B19" s="8">
        <f t="shared" si="6"/>
        <v>14</v>
      </c>
      <c r="C19" s="10">
        <v>14</v>
      </c>
      <c r="D19" s="13" t="s">
        <v>1145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1135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98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722</v>
      </c>
    </row>
    <row r="22" spans="2:24" ht="13.8" x14ac:dyDescent="0.2">
      <c r="B22" s="8">
        <f t="shared" si="6"/>
        <v>17</v>
      </c>
      <c r="C22" s="10">
        <v>17</v>
      </c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18</v>
      </c>
      <c r="C23" s="10">
        <v>18</v>
      </c>
      <c r="D23" s="13" t="s">
        <v>99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723</v>
      </c>
    </row>
    <row r="24" spans="2:24" ht="13.8" x14ac:dyDescent="0.2">
      <c r="B24" s="8">
        <f t="shared" si="6"/>
        <v>19</v>
      </c>
      <c r="C24" s="10">
        <v>19</v>
      </c>
      <c r="D24" s="13" t="s">
        <v>142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724</v>
      </c>
    </row>
    <row r="25" spans="2:24" ht="13.8" x14ac:dyDescent="0.2">
      <c r="B25" s="8">
        <f t="shared" si="6"/>
        <v>20</v>
      </c>
      <c r="C25" s="10">
        <v>20</v>
      </c>
      <c r="D25" s="13" t="s">
        <v>100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725</v>
      </c>
    </row>
    <row r="26" spans="2:24" ht="13.8" x14ac:dyDescent="0.2">
      <c r="B26" s="8">
        <f t="shared" si="6"/>
        <v>21</v>
      </c>
      <c r="C26" s="10">
        <v>21</v>
      </c>
      <c r="D26" s="13" t="s">
        <v>345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726</v>
      </c>
    </row>
    <row r="27" spans="2:24" ht="13.8" x14ac:dyDescent="0.2">
      <c r="B27" s="8">
        <f t="shared" si="6"/>
        <v>22</v>
      </c>
      <c r="C27" s="10">
        <v>22</v>
      </c>
      <c r="D27" s="13" t="s">
        <v>307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727</v>
      </c>
    </row>
    <row r="28" spans="2:24" ht="13.8" x14ac:dyDescent="0.2">
      <c r="B28" s="8">
        <f t="shared" si="6"/>
        <v>23</v>
      </c>
      <c r="C28" s="10">
        <v>23</v>
      </c>
      <c r="D28" s="13" t="s">
        <v>101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728</v>
      </c>
    </row>
    <row r="29" spans="2:24" ht="13.8" x14ac:dyDescent="0.2">
      <c r="B29" s="8">
        <f t="shared" si="6"/>
        <v>24</v>
      </c>
      <c r="C29" s="10">
        <v>24</v>
      </c>
      <c r="D29" s="13" t="s">
        <v>1146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1136</v>
      </c>
    </row>
    <row r="30" spans="2:24" ht="13.8" x14ac:dyDescent="0.2">
      <c r="B30" s="8">
        <f t="shared" si="6"/>
        <v>25</v>
      </c>
      <c r="C30" s="10">
        <v>25</v>
      </c>
      <c r="D30" s="13" t="s">
        <v>1147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1404</v>
      </c>
    </row>
    <row r="31" spans="2:24" ht="13.8" x14ac:dyDescent="0.2">
      <c r="B31" s="8">
        <f t="shared" si="6"/>
        <v>26</v>
      </c>
      <c r="C31" s="10">
        <v>26</v>
      </c>
      <c r="D31" s="13" t="s">
        <v>308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308</v>
      </c>
    </row>
    <row r="32" spans="2:24" ht="13.8" x14ac:dyDescent="0.2">
      <c r="B32" s="8">
        <f t="shared" si="6"/>
        <v>27</v>
      </c>
      <c r="C32" s="10">
        <v>27</v>
      </c>
      <c r="D32" s="13" t="s">
        <v>309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309</v>
      </c>
    </row>
    <row r="33" spans="2:24" ht="13.8" x14ac:dyDescent="0.2">
      <c r="B33" s="8">
        <f t="shared" si="6"/>
        <v>28</v>
      </c>
      <c r="C33" s="10">
        <v>28</v>
      </c>
      <c r="D33" s="13" t="s">
        <v>1535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1536</v>
      </c>
    </row>
    <row r="34" spans="2:24" ht="13.8" x14ac:dyDescent="0.2">
      <c r="B34" s="8">
        <f t="shared" si="6"/>
        <v>29</v>
      </c>
      <c r="C34" s="10">
        <v>29</v>
      </c>
      <c r="D34" s="13" t="s">
        <v>1666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729</v>
      </c>
    </row>
    <row r="35" spans="2:24" ht="13.8" x14ac:dyDescent="0.2">
      <c r="B35" s="8">
        <f t="shared" si="6"/>
        <v>30</v>
      </c>
      <c r="C35" s="10">
        <v>30</v>
      </c>
      <c r="D35" s="13" t="s">
        <v>1482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730</v>
      </c>
    </row>
    <row r="36" spans="2:24" ht="13.8" x14ac:dyDescent="0.2">
      <c r="B36" s="8">
        <f t="shared" si="6"/>
        <v>31</v>
      </c>
      <c r="C36" s="10">
        <v>31</v>
      </c>
      <c r="D36" s="13" t="s">
        <v>1148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1137</v>
      </c>
    </row>
    <row r="37" spans="2:24" ht="13.8" x14ac:dyDescent="0.2">
      <c r="B37" s="8">
        <f t="shared" si="6"/>
        <v>32</v>
      </c>
      <c r="C37" s="10">
        <v>32</v>
      </c>
      <c r="D37" s="13" t="s">
        <v>143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731</v>
      </c>
    </row>
    <row r="38" spans="2:24" ht="13.8" x14ac:dyDescent="0.2">
      <c r="B38" s="8">
        <f t="shared" si="6"/>
        <v>33</v>
      </c>
      <c r="C38" s="10">
        <v>33</v>
      </c>
      <c r="D38" s="13" t="s">
        <v>1700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1701</v>
      </c>
    </row>
    <row r="39" spans="2:24" ht="13.8" x14ac:dyDescent="0.2">
      <c r="B39" s="8">
        <f t="shared" si="6"/>
        <v>34</v>
      </c>
      <c r="C39" s="10">
        <v>34</v>
      </c>
      <c r="D39" s="13" t="s">
        <v>102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732</v>
      </c>
    </row>
    <row r="40" spans="2:24" ht="13.8" x14ac:dyDescent="0.2">
      <c r="B40" s="8">
        <f t="shared" si="6"/>
        <v>35</v>
      </c>
      <c r="C40" s="10">
        <v>35</v>
      </c>
      <c r="D40" s="13" t="s">
        <v>310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310</v>
      </c>
    </row>
    <row r="41" spans="2:24" ht="13.8" x14ac:dyDescent="0.2">
      <c r="B41" s="8">
        <f t="shared" si="6"/>
        <v>36</v>
      </c>
      <c r="C41" s="10">
        <v>36</v>
      </c>
      <c r="D41" s="13" t="s">
        <v>311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733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1718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734</v>
      </c>
    </row>
    <row r="44" spans="2:24" ht="13.8" x14ac:dyDescent="0.2">
      <c r="B44" s="8">
        <f t="shared" si="6"/>
        <v>39</v>
      </c>
      <c r="C44" s="10">
        <v>39</v>
      </c>
      <c r="D44" s="13" t="s">
        <v>312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735</v>
      </c>
    </row>
    <row r="45" spans="2:24" ht="13.8" x14ac:dyDescent="0.2">
      <c r="B45" s="8">
        <f t="shared" si="6"/>
        <v>40</v>
      </c>
      <c r="C45" s="10">
        <v>40</v>
      </c>
      <c r="D45" s="13" t="s">
        <v>127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736</v>
      </c>
    </row>
    <row r="46" spans="2:24" ht="13.8" x14ac:dyDescent="0.2">
      <c r="B46" s="8">
        <f t="shared" si="6"/>
        <v>41</v>
      </c>
      <c r="C46" s="10">
        <v>41</v>
      </c>
      <c r="D46" s="13" t="s">
        <v>103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737</v>
      </c>
    </row>
    <row r="47" spans="2:24" ht="13.8" x14ac:dyDescent="0.2">
      <c r="B47" s="8">
        <f t="shared" si="6"/>
        <v>42</v>
      </c>
      <c r="C47" s="10">
        <v>42</v>
      </c>
      <c r="D47" s="13" t="s">
        <v>1149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1138</v>
      </c>
    </row>
    <row r="48" spans="2:24" ht="13.8" x14ac:dyDescent="0.2">
      <c r="B48" s="8">
        <f t="shared" si="6"/>
        <v>43</v>
      </c>
      <c r="C48" s="10">
        <v>43</v>
      </c>
      <c r="D48" s="13" t="s">
        <v>1595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738</v>
      </c>
    </row>
    <row r="49" spans="2:24" ht="13.8" x14ac:dyDescent="0.2">
      <c r="B49" s="8">
        <f t="shared" si="6"/>
        <v>44</v>
      </c>
      <c r="C49" s="10">
        <v>44</v>
      </c>
      <c r="D49" s="13" t="s">
        <v>313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739</v>
      </c>
    </row>
    <row r="50" spans="2:24" ht="13.8" x14ac:dyDescent="0.2">
      <c r="B50" s="8">
        <f t="shared" si="6"/>
        <v>45</v>
      </c>
      <c r="C50" s="10">
        <v>45</v>
      </c>
      <c r="D50" s="13" t="s">
        <v>83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94</v>
      </c>
    </row>
    <row r="51" spans="2:24" ht="13.8" x14ac:dyDescent="0.2">
      <c r="B51" s="8">
        <f t="shared" si="6"/>
        <v>46</v>
      </c>
      <c r="C51" s="10">
        <v>46</v>
      </c>
      <c r="D51" s="13" t="s">
        <v>314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315</v>
      </c>
    </row>
    <row r="52" spans="2:24" ht="13.8" x14ac:dyDescent="0.2">
      <c r="B52" s="8">
        <f t="shared" si="6"/>
        <v>47</v>
      </c>
      <c r="C52" s="10">
        <v>47</v>
      </c>
      <c r="D52" s="13" t="s">
        <v>84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740</v>
      </c>
    </row>
    <row r="53" spans="2:24" ht="13.8" x14ac:dyDescent="0.2">
      <c r="B53" s="8">
        <f t="shared" si="6"/>
        <v>48</v>
      </c>
      <c r="C53" s="10">
        <v>48</v>
      </c>
      <c r="D53" s="13" t="s">
        <v>1150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1139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105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742</v>
      </c>
    </row>
    <row r="56" spans="2:24" ht="13.8" x14ac:dyDescent="0.2">
      <c r="B56" s="8">
        <f t="shared" si="6"/>
        <v>51</v>
      </c>
      <c r="C56" s="10">
        <v>51</v>
      </c>
      <c r="D56" s="13" t="s">
        <v>104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743</v>
      </c>
    </row>
    <row r="57" spans="2:24" ht="13.8" x14ac:dyDescent="0.2">
      <c r="B57" s="8">
        <f t="shared" si="6"/>
        <v>52</v>
      </c>
      <c r="C57" s="10">
        <v>52</v>
      </c>
      <c r="D57" s="13" t="s">
        <v>145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145</v>
      </c>
    </row>
    <row r="58" spans="2:24" ht="13.8" x14ac:dyDescent="0.2">
      <c r="B58" s="8">
        <f t="shared" si="6"/>
        <v>53</v>
      </c>
      <c r="C58" s="10">
        <v>53</v>
      </c>
      <c r="D58" s="13" t="s">
        <v>106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744</v>
      </c>
    </row>
    <row r="59" spans="2:24" ht="13.8" x14ac:dyDescent="0.2">
      <c r="B59" s="8">
        <f t="shared" si="6"/>
        <v>54</v>
      </c>
      <c r="C59" s="10">
        <v>54</v>
      </c>
      <c r="D59" s="13" t="s">
        <v>316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316</v>
      </c>
    </row>
    <row r="60" spans="2:24" ht="13.8" x14ac:dyDescent="0.2">
      <c r="B60" s="8">
        <f t="shared" si="6"/>
        <v>55</v>
      </c>
      <c r="C60" s="10">
        <v>55</v>
      </c>
      <c r="D60" s="13" t="s">
        <v>1364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745</v>
      </c>
    </row>
    <row r="61" spans="2:24" ht="13.8" x14ac:dyDescent="0.2">
      <c r="B61" s="8">
        <f t="shared" si="6"/>
        <v>56</v>
      </c>
      <c r="C61" s="10">
        <v>56</v>
      </c>
      <c r="D61" s="13" t="s">
        <v>107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746</v>
      </c>
    </row>
    <row r="62" spans="2:24" ht="13.8" x14ac:dyDescent="0.2">
      <c r="B62" s="8">
        <f t="shared" si="6"/>
        <v>57</v>
      </c>
      <c r="C62" s="10">
        <v>57</v>
      </c>
      <c r="D62" s="13" t="s">
        <v>85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1687</v>
      </c>
    </row>
    <row r="63" spans="2:24" ht="13.8" x14ac:dyDescent="0.2">
      <c r="B63" s="8">
        <f t="shared" si="6"/>
        <v>58</v>
      </c>
      <c r="C63" s="10">
        <v>58</v>
      </c>
      <c r="D63" s="13" t="s">
        <v>1375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1140</v>
      </c>
    </row>
    <row r="64" spans="2:24" ht="13.8" x14ac:dyDescent="0.2">
      <c r="B64" s="8">
        <f t="shared" si="6"/>
        <v>59</v>
      </c>
      <c r="C64" s="10">
        <v>59</v>
      </c>
      <c r="D64" s="13" t="s">
        <v>1844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1845</v>
      </c>
    </row>
    <row r="65" spans="2:24" ht="13.8" x14ac:dyDescent="0.2">
      <c r="B65" s="8">
        <f t="shared" si="6"/>
        <v>60</v>
      </c>
      <c r="C65" s="10">
        <v>60</v>
      </c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>
        <f t="shared" si="6"/>
        <v>61</v>
      </c>
      <c r="C66" s="10">
        <v>61</v>
      </c>
      <c r="D66" s="13" t="s">
        <v>64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747</v>
      </c>
    </row>
    <row r="67" spans="2:24" ht="13.8" x14ac:dyDescent="0.2">
      <c r="B67" s="8">
        <f t="shared" si="6"/>
        <v>62</v>
      </c>
      <c r="C67" s="10">
        <v>62</v>
      </c>
      <c r="D67" s="13" t="s">
        <v>144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748</v>
      </c>
    </row>
    <row r="68" spans="2:24" ht="13.8" x14ac:dyDescent="0.2">
      <c r="B68" s="8">
        <f t="shared" si="6"/>
        <v>63</v>
      </c>
      <c r="C68" s="10">
        <v>63</v>
      </c>
      <c r="D68" s="9" t="s">
        <v>1151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1141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108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749</v>
      </c>
    </row>
    <row r="70" spans="2:24" ht="13.8" x14ac:dyDescent="0.2">
      <c r="B70" s="8">
        <f t="shared" si="10"/>
        <v>65</v>
      </c>
      <c r="C70" s="10">
        <v>65</v>
      </c>
      <c r="D70" s="9" t="s">
        <v>109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750</v>
      </c>
    </row>
    <row r="71" spans="2:24" ht="13.8" x14ac:dyDescent="0.2">
      <c r="B71" s="8">
        <f t="shared" si="10"/>
        <v>66</v>
      </c>
      <c r="C71" s="10">
        <v>66</v>
      </c>
      <c r="D71" s="13" t="s">
        <v>86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751</v>
      </c>
    </row>
    <row r="72" spans="2:24" ht="13.8" x14ac:dyDescent="0.2">
      <c r="B72" s="8">
        <f t="shared" si="10"/>
        <v>67</v>
      </c>
      <c r="C72" s="10">
        <v>67</v>
      </c>
      <c r="D72" s="13" t="s">
        <v>110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752</v>
      </c>
    </row>
    <row r="73" spans="2:24" ht="13.8" x14ac:dyDescent="0.2">
      <c r="B73" s="8">
        <f t="shared" si="10"/>
        <v>68</v>
      </c>
      <c r="C73" s="10">
        <v>68</v>
      </c>
      <c r="D73" s="13" t="s">
        <v>111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753</v>
      </c>
    </row>
    <row r="74" spans="2:24" ht="13.8" x14ac:dyDescent="0.2">
      <c r="B74" s="8">
        <f t="shared" si="10"/>
        <v>69</v>
      </c>
      <c r="C74" s="10">
        <v>69</v>
      </c>
      <c r="D74" s="13" t="s">
        <v>1527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754</v>
      </c>
    </row>
    <row r="75" spans="2:24" ht="13.8" x14ac:dyDescent="0.2">
      <c r="B75" s="8">
        <f t="shared" si="10"/>
        <v>70</v>
      </c>
      <c r="C75" s="10">
        <v>70</v>
      </c>
      <c r="D75" s="8" t="s">
        <v>1600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755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1716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 t="s">
        <v>1132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1248</v>
      </c>
    </row>
    <row r="105" spans="2:24" ht="13.8" x14ac:dyDescent="0.2">
      <c r="B105" s="8">
        <f t="shared" si="10"/>
        <v>120</v>
      </c>
      <c r="C105" s="10">
        <v>120</v>
      </c>
      <c r="D105" s="14" t="s">
        <v>1164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1100</v>
      </c>
    </row>
    <row r="106" spans="2:24" ht="13.8" x14ac:dyDescent="0.2">
      <c r="B106" s="8">
        <f t="shared" si="10"/>
        <v>121</v>
      </c>
      <c r="C106" s="10">
        <v>121</v>
      </c>
      <c r="D106" s="9" t="s">
        <v>317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1101</v>
      </c>
    </row>
    <row r="107" spans="2:24" ht="13.8" x14ac:dyDescent="0.2">
      <c r="B107" s="8">
        <f t="shared" si="10"/>
        <v>122</v>
      </c>
      <c r="C107" s="10">
        <v>122</v>
      </c>
      <c r="D107" s="9" t="s">
        <v>1153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1102</v>
      </c>
    </row>
    <row r="108" spans="2:24" ht="13.8" x14ac:dyDescent="0.2">
      <c r="B108" s="8">
        <f t="shared" si="10"/>
        <v>123</v>
      </c>
      <c r="C108" s="10">
        <v>123</v>
      </c>
      <c r="D108" s="9" t="s">
        <v>318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1103</v>
      </c>
    </row>
    <row r="109" spans="2:24" ht="13.8" x14ac:dyDescent="0.2">
      <c r="B109" s="8">
        <f t="shared" si="10"/>
        <v>124</v>
      </c>
      <c r="C109" s="10">
        <v>124</v>
      </c>
      <c r="D109" s="9" t="s">
        <v>319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1104</v>
      </c>
    </row>
    <row r="110" spans="2:24" ht="13.8" x14ac:dyDescent="0.2">
      <c r="B110" s="8">
        <f t="shared" si="10"/>
        <v>125</v>
      </c>
      <c r="C110" s="10">
        <v>125</v>
      </c>
      <c r="D110" s="9" t="s">
        <v>320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1105</v>
      </c>
    </row>
    <row r="111" spans="2:24" ht="13.8" x14ac:dyDescent="0.2">
      <c r="B111" s="8">
        <f t="shared" si="10"/>
        <v>126</v>
      </c>
      <c r="C111" s="10">
        <v>126</v>
      </c>
      <c r="D111" s="9" t="s">
        <v>321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1106</v>
      </c>
    </row>
    <row r="112" spans="2:24" ht="13.8" x14ac:dyDescent="0.2">
      <c r="B112" s="8">
        <f t="shared" si="10"/>
        <v>127</v>
      </c>
      <c r="C112" s="10">
        <v>127</v>
      </c>
      <c r="D112" s="9" t="s">
        <v>322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1107</v>
      </c>
    </row>
    <row r="113" spans="2:24" ht="13.8" x14ac:dyDescent="0.2">
      <c r="B113" s="8">
        <f t="shared" si="10"/>
        <v>128</v>
      </c>
      <c r="C113" s="10">
        <v>128</v>
      </c>
      <c r="D113" s="9" t="s">
        <v>1704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1108</v>
      </c>
    </row>
    <row r="114" spans="2:24" ht="13.8" x14ac:dyDescent="0.2">
      <c r="B114" s="8">
        <f t="shared" si="10"/>
        <v>129</v>
      </c>
      <c r="C114" s="10">
        <v>129</v>
      </c>
      <c r="D114" s="9" t="s">
        <v>323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1109</v>
      </c>
    </row>
    <row r="115" spans="2:24" ht="13.8" x14ac:dyDescent="0.2">
      <c r="B115" s="8">
        <f t="shared" si="10"/>
        <v>130</v>
      </c>
      <c r="C115" s="10">
        <v>130</v>
      </c>
      <c r="D115" s="9" t="s">
        <v>324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1110</v>
      </c>
    </row>
    <row r="116" spans="2:24" ht="13.8" x14ac:dyDescent="0.2">
      <c r="B116" s="8">
        <f t="shared" si="10"/>
        <v>131</v>
      </c>
      <c r="C116" s="10">
        <v>131</v>
      </c>
      <c r="D116" s="9" t="s">
        <v>1649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1111</v>
      </c>
    </row>
    <row r="117" spans="2:24" ht="13.8" x14ac:dyDescent="0.2">
      <c r="B117" s="8">
        <f t="shared" si="10"/>
        <v>132</v>
      </c>
      <c r="C117" s="10">
        <v>132</v>
      </c>
      <c r="D117" s="9" t="s">
        <v>1740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1112</v>
      </c>
    </row>
    <row r="118" spans="2:24" ht="13.8" x14ac:dyDescent="0.2">
      <c r="B118" s="8">
        <f t="shared" si="10"/>
        <v>133</v>
      </c>
      <c r="C118" s="10">
        <v>133</v>
      </c>
      <c r="D118" s="9" t="s">
        <v>1530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1113</v>
      </c>
    </row>
    <row r="119" spans="2:24" ht="13.8" x14ac:dyDescent="0.2">
      <c r="B119" s="8">
        <f t="shared" si="10"/>
        <v>134</v>
      </c>
      <c r="C119" s="10">
        <v>134</v>
      </c>
      <c r="D119" s="9" t="s">
        <v>1269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1114</v>
      </c>
    </row>
    <row r="120" spans="2:24" ht="13.8" x14ac:dyDescent="0.2">
      <c r="B120" s="8">
        <f t="shared" si="10"/>
        <v>135</v>
      </c>
      <c r="C120" s="10">
        <v>135</v>
      </c>
      <c r="D120" s="9" t="s">
        <v>1154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1154</v>
      </c>
    </row>
    <row r="121" spans="2:24" ht="13.8" x14ac:dyDescent="0.2">
      <c r="B121" s="8">
        <f t="shared" si="10"/>
        <v>136</v>
      </c>
      <c r="C121" s="10">
        <v>136</v>
      </c>
      <c r="D121" s="9" t="s">
        <v>325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1115</v>
      </c>
    </row>
    <row r="122" spans="2:24" ht="13.8" x14ac:dyDescent="0.2">
      <c r="B122" s="8">
        <f t="shared" si="10"/>
        <v>137</v>
      </c>
      <c r="C122" s="10">
        <v>137</v>
      </c>
      <c r="D122" s="9" t="s">
        <v>326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1116</v>
      </c>
    </row>
    <row r="123" spans="2:24" ht="13.8" x14ac:dyDescent="0.2">
      <c r="B123" s="8">
        <f t="shared" si="10"/>
        <v>138</v>
      </c>
      <c r="C123" s="10">
        <v>138</v>
      </c>
      <c r="D123" s="9" t="s">
        <v>327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 t="s">
        <v>1117</v>
      </c>
    </row>
    <row r="124" spans="2:24" ht="13.8" x14ac:dyDescent="0.2">
      <c r="B124" s="8">
        <f t="shared" si="10"/>
        <v>139</v>
      </c>
      <c r="C124" s="10">
        <v>139</v>
      </c>
      <c r="D124" s="9" t="s">
        <v>1155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 t="s">
        <v>1118</v>
      </c>
    </row>
    <row r="125" spans="2:24" ht="13.8" x14ac:dyDescent="0.2">
      <c r="B125" s="8">
        <f t="shared" si="10"/>
        <v>140</v>
      </c>
      <c r="C125" s="10">
        <v>140</v>
      </c>
      <c r="D125" s="9" t="s">
        <v>1609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 t="s">
        <v>1119</v>
      </c>
    </row>
    <row r="126" spans="2:24" ht="13.8" x14ac:dyDescent="0.2">
      <c r="B126" s="8">
        <f t="shared" si="10"/>
        <v>141</v>
      </c>
      <c r="C126" s="10">
        <v>141</v>
      </c>
      <c r="D126" s="9" t="s">
        <v>1156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 t="s">
        <v>1156</v>
      </c>
    </row>
    <row r="127" spans="2:24" ht="13.8" x14ac:dyDescent="0.2">
      <c r="B127" s="8">
        <f t="shared" si="10"/>
        <v>142</v>
      </c>
      <c r="C127" s="10">
        <v>142</v>
      </c>
      <c r="D127" s="9" t="s">
        <v>328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 t="s">
        <v>1120</v>
      </c>
    </row>
    <row r="128" spans="2:24" ht="13.8" x14ac:dyDescent="0.2">
      <c r="B128" s="8">
        <f t="shared" si="10"/>
        <v>143</v>
      </c>
      <c r="C128" s="10">
        <v>143</v>
      </c>
      <c r="D128" s="9" t="s">
        <v>1694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 t="s">
        <v>1121</v>
      </c>
    </row>
    <row r="129" spans="2:24" ht="13.8" x14ac:dyDescent="0.2">
      <c r="B129" s="8">
        <f t="shared" si="10"/>
        <v>144</v>
      </c>
      <c r="C129" s="10">
        <v>144</v>
      </c>
      <c r="D129" s="9" t="s">
        <v>1157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 t="s">
        <v>1157</v>
      </c>
    </row>
    <row r="130" spans="2:24" ht="13.8" x14ac:dyDescent="0.2">
      <c r="B130" s="8">
        <f t="shared" si="10"/>
        <v>145</v>
      </c>
      <c r="C130" s="10">
        <v>145</v>
      </c>
      <c r="D130" s="9" t="s">
        <v>1158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 t="s">
        <v>1122</v>
      </c>
    </row>
    <row r="131" spans="2:24" ht="13.8" x14ac:dyDescent="0.2">
      <c r="B131" s="8">
        <f t="shared" si="10"/>
        <v>146</v>
      </c>
      <c r="C131" s="10">
        <v>146</v>
      </c>
      <c r="D131" s="9" t="s">
        <v>1099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 t="s">
        <v>1099</v>
      </c>
    </row>
    <row r="132" spans="2:24" ht="13.8" x14ac:dyDescent="0.2">
      <c r="B132" s="8">
        <f t="shared" si="10"/>
        <v>147</v>
      </c>
      <c r="C132" s="10">
        <v>147</v>
      </c>
      <c r="D132" s="9" t="s">
        <v>1160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 t="s">
        <v>1123</v>
      </c>
    </row>
    <row r="133" spans="2:24" ht="13.8" x14ac:dyDescent="0.2">
      <c r="B133" s="8">
        <f t="shared" ref="B133:B134" si="15">IF(C133="","",C133)</f>
        <v>148</v>
      </c>
      <c r="C133" s="10">
        <v>148</v>
      </c>
      <c r="D133" s="9" t="s">
        <v>1674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 t="s">
        <v>1124</v>
      </c>
    </row>
    <row r="134" spans="2:24" ht="13.8" x14ac:dyDescent="0.2">
      <c r="B134" s="8">
        <f t="shared" si="15"/>
        <v>149</v>
      </c>
      <c r="C134" s="10">
        <v>149</v>
      </c>
      <c r="D134" s="9" t="s">
        <v>1159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 t="s">
        <v>1125</v>
      </c>
    </row>
    <row r="135" spans="2:24" ht="13.8" x14ac:dyDescent="0.2">
      <c r="B135" s="8">
        <f t="shared" ref="B135:B140" si="17">IF(C135="","",C135)</f>
        <v>150</v>
      </c>
      <c r="C135" s="10">
        <v>150</v>
      </c>
      <c r="D135" s="9" t="s">
        <v>1683</v>
      </c>
      <c r="E135" s="11" t="str">
        <f t="shared" ref="E135:E140" si="18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9">((G135-H135-I135-J135)+(H135*2)+(I135*3)+(J135*4))</f>
        <v>0</v>
      </c>
      <c r="L135" s="7">
        <v>1</v>
      </c>
      <c r="M135" s="11">
        <f t="shared" ref="M135:M140" si="20">IFERROR(IF((G135+P135+Q135)/(F135+P135+Q135+S135)=1,"1.00",(G135+P135+Q135)/(F135+P135+Q135+S135)),0)</f>
        <v>0</v>
      </c>
      <c r="N135" s="11">
        <f t="shared" ref="N135:N140" si="21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3" t="str">
        <f>IFERROR(CalcRC27(F135,G135,K135,O135,P135,Q135,R135,S135,T135,U135,V135),"-")</f>
        <v>-</v>
      </c>
      <c r="X135" s="2" t="s">
        <v>1126</v>
      </c>
    </row>
    <row r="136" spans="2:24" ht="13.8" x14ac:dyDescent="0.2">
      <c r="B136" s="8">
        <f t="shared" si="17"/>
        <v>151</v>
      </c>
      <c r="C136" s="10">
        <v>151</v>
      </c>
      <c r="D136" s="9" t="s">
        <v>1161</v>
      </c>
      <c r="E136" s="11" t="str">
        <f t="shared" si="18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9"/>
        <v>0</v>
      </c>
      <c r="L136" s="7">
        <v>2</v>
      </c>
      <c r="M136" s="11">
        <f t="shared" si="20"/>
        <v>0</v>
      </c>
      <c r="N136" s="11">
        <f t="shared" si="21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3" t="str">
        <f>IFERROR(CalcRC27(F136,G136,K136,O136,P136,Q136,R136,S136,T136,U136,V136),"-")</f>
        <v>-</v>
      </c>
      <c r="X136" s="2" t="s">
        <v>1127</v>
      </c>
    </row>
    <row r="137" spans="2:24" ht="13.8" x14ac:dyDescent="0.2">
      <c r="B137" s="8">
        <f t="shared" si="17"/>
        <v>152</v>
      </c>
      <c r="C137" s="10">
        <v>152</v>
      </c>
      <c r="D137" s="9" t="s">
        <v>1162</v>
      </c>
      <c r="E137" s="11" t="str">
        <f t="shared" si="18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9"/>
        <v>0</v>
      </c>
      <c r="L137" s="7">
        <v>3</v>
      </c>
      <c r="M137" s="11">
        <f t="shared" si="20"/>
        <v>0</v>
      </c>
      <c r="N137" s="11">
        <f t="shared" si="21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3" t="str">
        <f>IFERROR(CalcRC27(F137,G137,K137,O137,P137,Q137,R137,S137,T137,U137,V137),"-")</f>
        <v>-</v>
      </c>
      <c r="X137" s="2" t="s">
        <v>1128</v>
      </c>
    </row>
    <row r="138" spans="2:24" ht="13.8" x14ac:dyDescent="0.2">
      <c r="B138" s="8">
        <f t="shared" si="17"/>
        <v>153</v>
      </c>
      <c r="C138" s="10">
        <v>153</v>
      </c>
      <c r="D138" s="9" t="s">
        <v>1163</v>
      </c>
      <c r="E138" s="11" t="str">
        <f t="shared" si="18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9"/>
        <v>0</v>
      </c>
      <c r="L138" s="7">
        <v>4</v>
      </c>
      <c r="M138" s="11">
        <f t="shared" si="20"/>
        <v>0</v>
      </c>
      <c r="N138" s="11">
        <f t="shared" si="21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3" t="str">
        <f>IFERROR(CalcRC27(F138,G138,K138,O138,P138,Q138,R138,S138,T138,U138,V138),"-")</f>
        <v>-</v>
      </c>
      <c r="X138" s="2" t="s">
        <v>1129</v>
      </c>
    </row>
    <row r="139" spans="2:24" ht="13.8" x14ac:dyDescent="0.2">
      <c r="B139" s="8">
        <f t="shared" si="17"/>
        <v>154</v>
      </c>
      <c r="C139" s="10">
        <v>154</v>
      </c>
      <c r="D139" s="9" t="s">
        <v>1165</v>
      </c>
      <c r="E139" s="11" t="str">
        <f t="shared" si="18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9"/>
        <v>0</v>
      </c>
      <c r="L139" s="7">
        <v>5</v>
      </c>
      <c r="M139" s="11">
        <f t="shared" si="20"/>
        <v>0</v>
      </c>
      <c r="N139" s="11">
        <f t="shared" si="21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3" t="str">
        <f>IFERROR(CalcRC27(F139,G139,K139,O139,P139,Q139,R139,S139,T139,U139,V139),"-")</f>
        <v>-</v>
      </c>
      <c r="X139" s="2" t="s">
        <v>1130</v>
      </c>
    </row>
    <row r="140" spans="2:24" ht="13.8" x14ac:dyDescent="0.2">
      <c r="B140" s="8">
        <f t="shared" si="17"/>
        <v>155</v>
      </c>
      <c r="C140" s="10">
        <v>155</v>
      </c>
      <c r="D140" s="9" t="s">
        <v>1471</v>
      </c>
      <c r="E140" s="11" t="str">
        <f t="shared" si="18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9"/>
        <v>0</v>
      </c>
      <c r="L140" s="7">
        <v>6</v>
      </c>
      <c r="M140" s="11">
        <f t="shared" si="20"/>
        <v>0</v>
      </c>
      <c r="N140" s="11">
        <f t="shared" si="21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3" t="str">
        <f>IFERROR(CalcRC27(F140,G140,K140,O140,P140,Q140,R140,S140,T140,U140,V140),"-")</f>
        <v>-</v>
      </c>
      <c r="X140" s="2" t="s">
        <v>1131</v>
      </c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L27" sqref="L27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113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671</v>
      </c>
    </row>
    <row r="7" spans="2:24" ht="13.8" x14ac:dyDescent="0.2">
      <c r="B7" s="8">
        <f t="shared" si="6"/>
        <v>2</v>
      </c>
      <c r="C7" s="10">
        <v>2</v>
      </c>
      <c r="D7" s="13" t="s">
        <v>1481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672</v>
      </c>
    </row>
    <row r="8" spans="2:24" ht="13.8" x14ac:dyDescent="0.2">
      <c r="B8" s="8">
        <f t="shared" si="6"/>
        <v>3</v>
      </c>
      <c r="C8" s="10">
        <v>3</v>
      </c>
      <c r="D8" s="13" t="s">
        <v>181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673</v>
      </c>
    </row>
    <row r="9" spans="2:24" ht="13.8" x14ac:dyDescent="0.2">
      <c r="B9" s="8">
        <f t="shared" si="6"/>
        <v>4</v>
      </c>
      <c r="C9" s="10">
        <v>4</v>
      </c>
      <c r="D9" s="13" t="s">
        <v>182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674</v>
      </c>
    </row>
    <row r="10" spans="2:24" ht="13.8" x14ac:dyDescent="0.2">
      <c r="B10" s="8">
        <f t="shared" si="6"/>
        <v>5</v>
      </c>
      <c r="C10" s="10">
        <v>5</v>
      </c>
      <c r="D10" s="13" t="s">
        <v>114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675</v>
      </c>
    </row>
    <row r="11" spans="2:24" ht="13.8" x14ac:dyDescent="0.2">
      <c r="B11" s="8">
        <f t="shared" si="6"/>
        <v>6</v>
      </c>
      <c r="C11" s="10">
        <v>6</v>
      </c>
      <c r="D11" s="13" t="s">
        <v>112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676</v>
      </c>
    </row>
    <row r="12" spans="2:24" ht="13.8" x14ac:dyDescent="0.2">
      <c r="B12" s="8">
        <f t="shared" si="6"/>
        <v>7</v>
      </c>
      <c r="C12" s="10">
        <v>7</v>
      </c>
      <c r="D12" s="13" t="s">
        <v>87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677</v>
      </c>
    </row>
    <row r="13" spans="2:24" ht="13.8" x14ac:dyDescent="0.2">
      <c r="B13" s="8">
        <f t="shared" si="6"/>
        <v>8</v>
      </c>
      <c r="C13" s="10">
        <v>8</v>
      </c>
      <c r="D13" s="13" t="s">
        <v>1273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678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1718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679</v>
      </c>
    </row>
    <row r="16" spans="2:24" ht="13.8" x14ac:dyDescent="0.2">
      <c r="B16" s="8">
        <f t="shared" si="6"/>
        <v>11</v>
      </c>
      <c r="C16" s="10">
        <v>11</v>
      </c>
      <c r="D16" s="13" t="s">
        <v>115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680</v>
      </c>
    </row>
    <row r="17" spans="2:24" ht="13.8" x14ac:dyDescent="0.2">
      <c r="B17" s="8">
        <f t="shared" si="6"/>
        <v>12</v>
      </c>
      <c r="C17" s="10">
        <v>12</v>
      </c>
      <c r="D17" s="13" t="s">
        <v>1716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179</v>
      </c>
    </row>
    <row r="18" spans="2:24" ht="13.8" x14ac:dyDescent="0.2">
      <c r="B18" s="8">
        <f t="shared" si="6"/>
        <v>13</v>
      </c>
      <c r="C18" s="10">
        <v>13</v>
      </c>
      <c r="D18" s="13" t="s">
        <v>1166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13" t="s">
        <v>681</v>
      </c>
    </row>
    <row r="19" spans="2:24" ht="13.8" x14ac:dyDescent="0.2">
      <c r="B19" s="8">
        <f t="shared" si="6"/>
        <v>14</v>
      </c>
      <c r="C19" s="10">
        <v>14</v>
      </c>
      <c r="D19" s="13" t="s">
        <v>1700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682</v>
      </c>
    </row>
    <row r="20" spans="2:24" ht="13.8" x14ac:dyDescent="0.2">
      <c r="B20" s="8">
        <f t="shared" si="6"/>
        <v>15</v>
      </c>
      <c r="C20" s="10">
        <v>15</v>
      </c>
      <c r="D20" s="8" t="s">
        <v>183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1699</v>
      </c>
    </row>
    <row r="21" spans="2:24" ht="13.8" x14ac:dyDescent="0.2">
      <c r="B21" s="8">
        <f t="shared" si="6"/>
        <v>16</v>
      </c>
      <c r="C21" s="10">
        <v>16</v>
      </c>
      <c r="D21" s="13" t="s">
        <v>1190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1182</v>
      </c>
    </row>
    <row r="22" spans="2:24" ht="13.8" x14ac:dyDescent="0.2">
      <c r="B22" s="8">
        <f t="shared" si="6"/>
        <v>17</v>
      </c>
      <c r="C22" s="10">
        <v>17</v>
      </c>
      <c r="D22" s="13" t="s">
        <v>292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683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1482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1183</v>
      </c>
    </row>
    <row r="25" spans="2:24" ht="13.8" x14ac:dyDescent="0.2">
      <c r="B25" s="8">
        <f t="shared" si="6"/>
        <v>20</v>
      </c>
      <c r="C25" s="10">
        <v>20</v>
      </c>
      <c r="D25" s="13" t="s">
        <v>184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684</v>
      </c>
    </row>
    <row r="26" spans="2:24" ht="13.8" x14ac:dyDescent="0.2">
      <c r="B26" s="8">
        <f t="shared" si="6"/>
        <v>21</v>
      </c>
      <c r="C26" s="10">
        <v>21</v>
      </c>
      <c r="D26" s="13" t="s">
        <v>116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685</v>
      </c>
    </row>
    <row r="27" spans="2:24" ht="13.8" x14ac:dyDescent="0.2">
      <c r="B27" s="8">
        <f t="shared" si="6"/>
        <v>22</v>
      </c>
      <c r="C27" s="10">
        <v>22</v>
      </c>
      <c r="D27" s="13" t="s">
        <v>1696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1185</v>
      </c>
    </row>
    <row r="28" spans="2:24" ht="13.8" x14ac:dyDescent="0.2">
      <c r="B28" s="8">
        <f t="shared" si="6"/>
        <v>23</v>
      </c>
      <c r="C28" s="10">
        <v>23</v>
      </c>
      <c r="D28" s="13" t="s">
        <v>1191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1184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686</v>
      </c>
    </row>
    <row r="31" spans="2:24" ht="13.8" x14ac:dyDescent="0.2">
      <c r="B31" s="8">
        <f t="shared" si="6"/>
        <v>26</v>
      </c>
      <c r="C31" s="10">
        <v>26</v>
      </c>
      <c r="D31" s="13" t="s">
        <v>1552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506</v>
      </c>
    </row>
    <row r="32" spans="2:24" ht="13.8" x14ac:dyDescent="0.2">
      <c r="B32" s="8">
        <f t="shared" si="6"/>
        <v>27</v>
      </c>
      <c r="C32" s="10">
        <v>27</v>
      </c>
      <c r="D32" s="13" t="s">
        <v>185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687</v>
      </c>
    </row>
    <row r="33" spans="2:24" ht="13.8" x14ac:dyDescent="0.2">
      <c r="B33" s="8">
        <f t="shared" si="6"/>
        <v>28</v>
      </c>
      <c r="C33" s="10">
        <v>28</v>
      </c>
      <c r="D33" s="13" t="s">
        <v>186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688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30</v>
      </c>
      <c r="C35" s="10">
        <v>30</v>
      </c>
      <c r="D35" s="13" t="s">
        <v>1725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1725</v>
      </c>
    </row>
    <row r="36" spans="2:24" ht="13.8" x14ac:dyDescent="0.2">
      <c r="B36" s="8">
        <f t="shared" si="6"/>
        <v>31</v>
      </c>
      <c r="C36" s="10">
        <v>31</v>
      </c>
      <c r="D36" s="13" t="s">
        <v>1192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1186</v>
      </c>
    </row>
    <row r="37" spans="2:24" ht="13.8" x14ac:dyDescent="0.2">
      <c r="B37" s="8">
        <f t="shared" si="6"/>
        <v>32</v>
      </c>
      <c r="C37" s="10">
        <v>32</v>
      </c>
      <c r="D37" s="13" t="s">
        <v>329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689</v>
      </c>
    </row>
    <row r="38" spans="2:24" ht="13.8" x14ac:dyDescent="0.2">
      <c r="B38" s="8">
        <f t="shared" si="6"/>
        <v>33</v>
      </c>
      <c r="C38" s="10">
        <v>33</v>
      </c>
      <c r="D38" s="13" t="s">
        <v>1726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1726</v>
      </c>
    </row>
    <row r="39" spans="2:24" ht="13.8" x14ac:dyDescent="0.2">
      <c r="B39" s="8">
        <f t="shared" si="6"/>
        <v>34</v>
      </c>
      <c r="C39" s="10">
        <v>34</v>
      </c>
      <c r="D39" s="13" t="s">
        <v>289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690</v>
      </c>
    </row>
    <row r="40" spans="2:24" ht="13.8" x14ac:dyDescent="0.2">
      <c r="B40" s="8">
        <f t="shared" si="6"/>
        <v>35</v>
      </c>
      <c r="C40" s="10">
        <v>35</v>
      </c>
      <c r="D40" s="13" t="s">
        <v>1545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691</v>
      </c>
    </row>
    <row r="41" spans="2:24" ht="13.8" x14ac:dyDescent="0.2">
      <c r="B41" s="8">
        <f t="shared" si="6"/>
        <v>36</v>
      </c>
      <c r="C41" s="10">
        <v>36</v>
      </c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37</v>
      </c>
      <c r="C42" s="10">
        <v>37</v>
      </c>
      <c r="D42" s="13" t="s">
        <v>187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692</v>
      </c>
    </row>
    <row r="43" spans="2:24" ht="13.8" x14ac:dyDescent="0.2">
      <c r="B43" s="8">
        <f t="shared" si="6"/>
        <v>38</v>
      </c>
      <c r="C43" s="10">
        <v>38</v>
      </c>
      <c r="D43" s="13" t="s">
        <v>188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693</v>
      </c>
    </row>
    <row r="44" spans="2:24" ht="13.8" x14ac:dyDescent="0.2">
      <c r="B44" s="8">
        <f t="shared" si="6"/>
        <v>39</v>
      </c>
      <c r="C44" s="10">
        <v>39</v>
      </c>
      <c r="D44" s="13" t="s">
        <v>88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694</v>
      </c>
    </row>
    <row r="45" spans="2:24" ht="13.8" x14ac:dyDescent="0.2">
      <c r="B45" s="8">
        <f t="shared" si="6"/>
        <v>40</v>
      </c>
      <c r="C45" s="10">
        <v>40</v>
      </c>
      <c r="D45" s="13" t="s">
        <v>1727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180</v>
      </c>
    </row>
    <row r="46" spans="2:24" ht="13.8" x14ac:dyDescent="0.2">
      <c r="B46" s="8">
        <f t="shared" si="6"/>
        <v>41</v>
      </c>
      <c r="C46" s="10">
        <v>41</v>
      </c>
      <c r="D46" s="13" t="s">
        <v>1595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695</v>
      </c>
    </row>
    <row r="47" spans="2:24" ht="13.8" x14ac:dyDescent="0.2">
      <c r="B47" s="8">
        <f t="shared" si="6"/>
        <v>42</v>
      </c>
      <c r="C47" s="10">
        <v>42</v>
      </c>
      <c r="D47" s="13" t="s">
        <v>1167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1167</v>
      </c>
    </row>
    <row r="48" spans="2:24" ht="13.8" x14ac:dyDescent="0.2">
      <c r="B48" s="8">
        <f t="shared" si="6"/>
        <v>43</v>
      </c>
      <c r="C48" s="10">
        <v>43</v>
      </c>
      <c r="D48" s="13" t="s">
        <v>1193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1187</v>
      </c>
    </row>
    <row r="49" spans="2:24" ht="13.8" x14ac:dyDescent="0.2">
      <c r="B49" s="8">
        <f t="shared" si="6"/>
        <v>44</v>
      </c>
      <c r="C49" s="10">
        <v>44</v>
      </c>
      <c r="D49" s="13" t="s">
        <v>189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696</v>
      </c>
    </row>
    <row r="50" spans="2:24" ht="13.8" x14ac:dyDescent="0.2">
      <c r="B50" s="8">
        <f t="shared" si="6"/>
        <v>45</v>
      </c>
      <c r="C50" s="10">
        <v>45</v>
      </c>
      <c r="D50" s="13" t="s">
        <v>175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697</v>
      </c>
    </row>
    <row r="51" spans="2:24" ht="13.8" x14ac:dyDescent="0.2">
      <c r="B51" s="8">
        <f t="shared" si="6"/>
        <v>46</v>
      </c>
      <c r="C51" s="10">
        <v>46</v>
      </c>
      <c r="D51" s="13" t="s">
        <v>1714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698</v>
      </c>
    </row>
    <row r="52" spans="2:24" ht="13.8" x14ac:dyDescent="0.2">
      <c r="B52" s="8">
        <f t="shared" si="6"/>
        <v>47</v>
      </c>
      <c r="C52" s="10">
        <v>47</v>
      </c>
      <c r="D52" s="13" t="s">
        <v>1385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699</v>
      </c>
    </row>
    <row r="53" spans="2:24" ht="13.8" x14ac:dyDescent="0.2">
      <c r="B53" s="8">
        <f t="shared" si="6"/>
        <v>48</v>
      </c>
      <c r="C53" s="10">
        <v>48</v>
      </c>
      <c r="D53" s="13" t="s">
        <v>176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700</v>
      </c>
    </row>
    <row r="54" spans="2:24" ht="13.8" x14ac:dyDescent="0.2">
      <c r="B54" s="8">
        <f t="shared" si="6"/>
        <v>49</v>
      </c>
      <c r="C54" s="10">
        <v>49</v>
      </c>
      <c r="D54" s="13" t="s">
        <v>330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330</v>
      </c>
    </row>
    <row r="55" spans="2:24" ht="13.8" x14ac:dyDescent="0.2">
      <c r="B55" s="8">
        <f t="shared" si="6"/>
        <v>50</v>
      </c>
      <c r="C55" s="10">
        <v>50</v>
      </c>
      <c r="D55" s="13" t="s">
        <v>1548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1188</v>
      </c>
    </row>
    <row r="56" spans="2:24" ht="13.8" x14ac:dyDescent="0.2">
      <c r="B56" s="8">
        <f t="shared" si="6"/>
        <v>51</v>
      </c>
      <c r="C56" s="10">
        <v>51</v>
      </c>
      <c r="D56" s="13" t="s">
        <v>1249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701</v>
      </c>
    </row>
    <row r="57" spans="2:24" ht="13.8" x14ac:dyDescent="0.2">
      <c r="B57" s="8">
        <f t="shared" si="6"/>
        <v>52</v>
      </c>
      <c r="C57" s="10">
        <v>52</v>
      </c>
      <c r="D57" s="13" t="s">
        <v>1658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702</v>
      </c>
    </row>
    <row r="58" spans="2:24" ht="13.8" x14ac:dyDescent="0.2">
      <c r="B58" s="8">
        <f t="shared" si="6"/>
        <v>53</v>
      </c>
      <c r="C58" s="10">
        <v>53</v>
      </c>
      <c r="D58" s="13" t="s">
        <v>177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177</v>
      </c>
    </row>
    <row r="59" spans="2:24" ht="13.8" x14ac:dyDescent="0.2">
      <c r="B59" s="8">
        <f t="shared" si="6"/>
        <v>54</v>
      </c>
      <c r="C59" s="10">
        <v>54</v>
      </c>
      <c r="D59" s="13" t="s">
        <v>1728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1728</v>
      </c>
    </row>
    <row r="60" spans="2:24" ht="13.8" x14ac:dyDescent="0.2">
      <c r="B60" s="8">
        <f t="shared" si="6"/>
        <v>55</v>
      </c>
      <c r="C60" s="10">
        <v>55</v>
      </c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>
        <f t="shared" si="6"/>
        <v>56</v>
      </c>
      <c r="C61" s="10">
        <v>56</v>
      </c>
      <c r="D61" s="13" t="s">
        <v>190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703</v>
      </c>
    </row>
    <row r="62" spans="2:24" ht="13.8" x14ac:dyDescent="0.2">
      <c r="B62" s="8">
        <f t="shared" si="6"/>
        <v>57</v>
      </c>
      <c r="C62" s="10">
        <v>57</v>
      </c>
      <c r="D62" s="13" t="s">
        <v>1194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1189</v>
      </c>
    </row>
    <row r="63" spans="2:24" ht="13.8" x14ac:dyDescent="0.2">
      <c r="B63" s="8">
        <f t="shared" si="6"/>
        <v>58</v>
      </c>
      <c r="C63" s="10">
        <v>58</v>
      </c>
      <c r="D63" s="13" t="s">
        <v>178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704</v>
      </c>
    </row>
    <row r="64" spans="2:24" ht="13.8" x14ac:dyDescent="0.2">
      <c r="B64" s="8">
        <f t="shared" si="6"/>
        <v>59</v>
      </c>
      <c r="C64" s="10">
        <v>59</v>
      </c>
      <c r="D64" s="13" t="s">
        <v>331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705</v>
      </c>
    </row>
    <row r="65" spans="2:24" ht="13.8" x14ac:dyDescent="0.2">
      <c r="B65" s="8">
        <f t="shared" si="6"/>
        <v>60</v>
      </c>
      <c r="C65" s="10">
        <v>60</v>
      </c>
      <c r="D65" s="13" t="s">
        <v>1027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706</v>
      </c>
    </row>
    <row r="66" spans="2:24" ht="13.8" x14ac:dyDescent="0.2">
      <c r="B66" s="8">
        <f t="shared" si="6"/>
        <v>61</v>
      </c>
      <c r="C66" s="10">
        <v>61</v>
      </c>
      <c r="D66" s="13" t="s">
        <v>1729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707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26" si="7">((G68-H68-I68-J68)+(H68*2)+(I68*3)+(J68*4))</f>
        <v>0</v>
      </c>
      <c r="L68" s="7">
        <v>0</v>
      </c>
      <c r="M68" s="11">
        <f t="shared" ref="M68:M126" si="8">IFERROR(IF((G68+P68+Q68)/(F68+P68+Q68+S68)=1,"1.00",(G68+P68+Q68)/(F68+P68+Q68+S68)),0)</f>
        <v>0</v>
      </c>
      <c r="N68" s="11">
        <f t="shared" ref="N68:N126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>
        <f t="shared" ref="B69:B127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191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708</v>
      </c>
    </row>
    <row r="71" spans="2:24" ht="13.8" x14ac:dyDescent="0.2">
      <c r="B71" s="8">
        <f t="shared" si="10"/>
        <v>66</v>
      </c>
      <c r="C71" s="10">
        <v>66</v>
      </c>
      <c r="D71" s="13" t="s">
        <v>332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333</v>
      </c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192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709</v>
      </c>
    </row>
    <row r="74" spans="2:24" ht="13.8" x14ac:dyDescent="0.2">
      <c r="B74" s="8">
        <f t="shared" si="10"/>
        <v>69</v>
      </c>
      <c r="C74" s="10">
        <v>69</v>
      </c>
      <c r="D74" s="13" t="s">
        <v>1730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898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 t="s">
        <v>334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 t="s">
        <v>710</v>
      </c>
    </row>
    <row r="78" spans="2:24" ht="13.8" x14ac:dyDescent="0.2">
      <c r="B78" s="8">
        <f t="shared" si="10"/>
        <v>73</v>
      </c>
      <c r="C78" s="10">
        <v>73</v>
      </c>
      <c r="D78" s="8" t="s">
        <v>58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 t="s">
        <v>711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335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712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111</v>
      </c>
      <c r="C105" s="10">
        <v>111</v>
      </c>
      <c r="D105" s="14" t="s">
        <v>1181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1168</v>
      </c>
    </row>
    <row r="106" spans="2:24" ht="13.8" x14ac:dyDescent="0.2">
      <c r="B106" s="8">
        <f t="shared" si="10"/>
        <v>112</v>
      </c>
      <c r="C106" s="10">
        <v>112</v>
      </c>
      <c r="D106" s="9" t="s">
        <v>1731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1169</v>
      </c>
    </row>
    <row r="107" spans="2:24" ht="13.8" x14ac:dyDescent="0.2">
      <c r="B107" s="8">
        <f t="shared" si="10"/>
        <v>113</v>
      </c>
      <c r="C107" s="10">
        <v>113</v>
      </c>
      <c r="D107" s="9" t="s">
        <v>1704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1170</v>
      </c>
    </row>
    <row r="108" spans="2:24" ht="13.8" x14ac:dyDescent="0.2">
      <c r="B108" s="8">
        <f t="shared" si="10"/>
        <v>114</v>
      </c>
      <c r="C108" s="10">
        <v>114</v>
      </c>
      <c r="D108" s="9" t="s">
        <v>1732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1171</v>
      </c>
    </row>
    <row r="109" spans="2:24" ht="13.8" x14ac:dyDescent="0.2">
      <c r="B109" s="8">
        <f t="shared" si="10"/>
        <v>120</v>
      </c>
      <c r="C109" s="10">
        <v>120</v>
      </c>
      <c r="D109" s="9" t="s">
        <v>1733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1172</v>
      </c>
    </row>
    <row r="110" spans="2:24" ht="13.8" x14ac:dyDescent="0.2">
      <c r="B110" s="8">
        <f t="shared" si="10"/>
        <v>121</v>
      </c>
      <c r="C110" s="10">
        <v>121</v>
      </c>
      <c r="D110" s="9" t="s">
        <v>1734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1173</v>
      </c>
    </row>
    <row r="111" spans="2:24" ht="13.8" x14ac:dyDescent="0.2">
      <c r="B111" s="8">
        <f t="shared" si="10"/>
        <v>122</v>
      </c>
      <c r="C111" s="10">
        <v>122</v>
      </c>
      <c r="D111" s="9" t="s">
        <v>1692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1174</v>
      </c>
    </row>
    <row r="112" spans="2:24" ht="13.8" x14ac:dyDescent="0.2">
      <c r="B112" s="8">
        <f t="shared" si="10"/>
        <v>123</v>
      </c>
      <c r="C112" s="10">
        <v>123</v>
      </c>
      <c r="D112" s="9" t="s">
        <v>336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336</v>
      </c>
    </row>
    <row r="113" spans="2:24" ht="13.8" x14ac:dyDescent="0.2">
      <c r="B113" s="8">
        <f t="shared" si="10"/>
        <v>124</v>
      </c>
      <c r="C113" s="10">
        <v>124</v>
      </c>
      <c r="D113" s="9" t="s">
        <v>1735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1175</v>
      </c>
    </row>
    <row r="114" spans="2:24" ht="13.8" x14ac:dyDescent="0.2">
      <c r="B114" s="8">
        <f t="shared" si="10"/>
        <v>125</v>
      </c>
      <c r="C114" s="10">
        <v>125</v>
      </c>
      <c r="D114" s="9" t="s">
        <v>1736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1176</v>
      </c>
    </row>
    <row r="115" spans="2:24" ht="13.8" x14ac:dyDescent="0.2">
      <c r="B115" s="8">
        <f t="shared" si="10"/>
        <v>126</v>
      </c>
      <c r="C115" s="10">
        <v>126</v>
      </c>
      <c r="D115" s="9" t="s">
        <v>1737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1177</v>
      </c>
    </row>
    <row r="116" spans="2:24" ht="13.8" x14ac:dyDescent="0.2">
      <c r="B116" s="8">
        <f t="shared" si="10"/>
        <v>127</v>
      </c>
      <c r="C116" s="10">
        <v>127</v>
      </c>
      <c r="D116" s="9" t="s">
        <v>1738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1178</v>
      </c>
    </row>
    <row r="117" spans="2:24" ht="13.8" x14ac:dyDescent="0.2">
      <c r="B117" s="8">
        <f t="shared" si="10"/>
        <v>128</v>
      </c>
      <c r="C117" s="10">
        <v>128</v>
      </c>
      <c r="D117" s="9" t="s">
        <v>1739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1179</v>
      </c>
    </row>
    <row r="118" spans="2:24" ht="13.8" x14ac:dyDescent="0.2">
      <c r="B118" s="8">
        <f t="shared" si="10"/>
        <v>129</v>
      </c>
      <c r="C118" s="10">
        <v>129</v>
      </c>
      <c r="D118" s="9" t="s">
        <v>1740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1180</v>
      </c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ref="K127:K134" si="12">((G127-H127-I127-J127)+(H127*2)+(I127*3)+(J127*4))</f>
        <v>0</v>
      </c>
      <c r="L127" s="7">
        <v>0</v>
      </c>
      <c r="M127" s="11">
        <f t="shared" ref="M127:M134" si="13">IFERROR(IF((G127+P127+Q127)/(F127+P127+Q127+S127)=1,"1.00",(G127+P127+Q127)/(F127+P127+Q127+S127)),0)</f>
        <v>0</v>
      </c>
      <c r="N127" s="11">
        <f t="shared" ref="N127:N134" si="14">IFERROR(SUM(K127/F127,((G127+P127+Q127)/(F127+P127+Q127+S127))),M127)</f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ref="B128:B134" si="15">IF(C128="","",C128)</f>
        <v/>
      </c>
      <c r="C128" s="10"/>
      <c r="D128" s="9"/>
      <c r="E128" s="11" t="str">
        <f t="shared" ref="E128:E134" si="16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5"/>
        <v/>
      </c>
      <c r="C129" s="10"/>
      <c r="D129" s="9"/>
      <c r="E129" s="11" t="str">
        <f t="shared" si="16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5"/>
        <v/>
      </c>
      <c r="C130" s="10"/>
      <c r="D130" s="9"/>
      <c r="E130" s="11" t="str">
        <f t="shared" si="16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1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5"/>
        <v/>
      </c>
      <c r="C131" s="10"/>
      <c r="D131" s="9"/>
      <c r="E131" s="11" t="str">
        <f t="shared" si="16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2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5"/>
        <v/>
      </c>
      <c r="C132" s="10"/>
      <c r="D132" s="9"/>
      <c r="E132" s="11" t="str">
        <f t="shared" si="16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3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5"/>
        <v/>
      </c>
      <c r="C133" s="10"/>
      <c r="D133" s="9"/>
      <c r="E133" s="11" t="str">
        <f t="shared" si="16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0.23922231614539308</v>
      </c>
      <c r="F2" s="5">
        <f t="shared" ref="F2:L2" si="0">SUM(F4:F104)</f>
        <v>3549</v>
      </c>
      <c r="G2" s="5">
        <f t="shared" si="0"/>
        <v>849</v>
      </c>
      <c r="H2" s="5">
        <f t="shared" si="0"/>
        <v>152</v>
      </c>
      <c r="I2" s="5">
        <f t="shared" si="0"/>
        <v>18</v>
      </c>
      <c r="J2" s="6">
        <f t="shared" si="0"/>
        <v>82</v>
      </c>
      <c r="K2" s="12">
        <f t="shared" si="0"/>
        <v>1283</v>
      </c>
      <c r="L2" s="7">
        <f t="shared" si="0"/>
        <v>358</v>
      </c>
      <c r="M2" s="11">
        <f>IFERROR(IF((G2+P2+Q2)/(F2+P2+Q2+R2)=1,"1.00",(G2+P2+Q2)/(F2+P2+Q2+R2)),0)</f>
        <v>0.30030333670374115</v>
      </c>
      <c r="N2" s="11">
        <f>IFERROR(SUM(SUM(((G2-H2-I2-J2)*1),H2*2,I2*3,J2*4)/F2,((G2+P2+Q2)/(F2+P2+Q2+R2))),M2)</f>
        <v>0.66181362129094889</v>
      </c>
      <c r="O2" s="5">
        <f>SUM(O4:O104)</f>
        <v>809</v>
      </c>
      <c r="P2" s="5">
        <f>SUM(P4:P104)</f>
        <v>296</v>
      </c>
      <c r="Q2" s="5">
        <f>SUM(Q4:Q104)</f>
        <v>43</v>
      </c>
      <c r="R2" s="5">
        <f>SUM(R4:R104)</f>
        <v>68</v>
      </c>
      <c r="S2" s="5">
        <f>SUM(S4:S104)</f>
        <v>23</v>
      </c>
      <c r="T2" s="5">
        <f t="shared" ref="T2:V2" si="1">SUM(T4:T104)</f>
        <v>59</v>
      </c>
      <c r="U2" s="5">
        <f t="shared" si="1"/>
        <v>42</v>
      </c>
      <c r="V2" s="5">
        <f t="shared" si="1"/>
        <v>56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:M67" si="2">IFERROR(IF((G4+P4+Q4)/(F4+P4+Q4+S4)=1,"1.00",(G4+P4+Q4)/(F4+P4+Q4+S4)),0)</f>
        <v>0</v>
      </c>
      <c r="N4" s="11">
        <f t="shared" ref="N4:N67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si="2"/>
        <v>0</v>
      </c>
      <c r="N5" s="11">
        <f t="shared" si="3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2"/>
        <v>0</v>
      </c>
      <c r="N6" s="11">
        <f t="shared" si="3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1361</v>
      </c>
      <c r="E7" s="11">
        <f t="shared" si="5"/>
        <v>0.25925925925925924</v>
      </c>
      <c r="F7" s="5">
        <v>297</v>
      </c>
      <c r="G7" s="5">
        <v>77</v>
      </c>
      <c r="H7" s="5">
        <v>19</v>
      </c>
      <c r="I7" s="5">
        <v>0</v>
      </c>
      <c r="J7" s="6">
        <v>14</v>
      </c>
      <c r="K7" s="12">
        <f t="shared" si="6"/>
        <v>138</v>
      </c>
      <c r="L7" s="7">
        <v>57</v>
      </c>
      <c r="M7" s="11">
        <f t="shared" si="2"/>
        <v>0.35919540229885055</v>
      </c>
      <c r="N7" s="11">
        <f t="shared" si="3"/>
        <v>0.82384186694531514</v>
      </c>
      <c r="O7" s="20">
        <v>80</v>
      </c>
      <c r="P7" s="21">
        <v>38</v>
      </c>
      <c r="Q7" s="21">
        <v>10</v>
      </c>
      <c r="R7" s="22">
        <v>0</v>
      </c>
      <c r="S7" s="22">
        <v>3</v>
      </c>
      <c r="T7" s="20">
        <v>0</v>
      </c>
      <c r="U7" s="20">
        <v>4</v>
      </c>
      <c r="V7" s="20">
        <v>13</v>
      </c>
      <c r="W7" s="63">
        <f>IFERROR(CalcRC27(F7,G7,K7,O7,P7,Q7,R7,S7,T7,U7,V7),"-")</f>
        <v>5.205716379310342</v>
      </c>
      <c r="X7" s="2" t="s">
        <v>1427</v>
      </c>
    </row>
    <row r="8" spans="2:24" ht="13.8" x14ac:dyDescent="0.2">
      <c r="B8" s="8">
        <f t="shared" si="4"/>
        <v>3</v>
      </c>
      <c r="C8" s="10">
        <v>3</v>
      </c>
      <c r="D8" s="13" t="s">
        <v>1362</v>
      </c>
      <c r="E8" s="11">
        <f t="shared" si="5"/>
        <v>0.22485207100591717</v>
      </c>
      <c r="F8" s="5">
        <v>169</v>
      </c>
      <c r="G8" s="5">
        <v>38</v>
      </c>
      <c r="H8" s="5">
        <v>6</v>
      </c>
      <c r="I8" s="5">
        <v>0</v>
      </c>
      <c r="J8" s="6">
        <v>5</v>
      </c>
      <c r="K8" s="12">
        <f t="shared" si="6"/>
        <v>59</v>
      </c>
      <c r="L8" s="7">
        <v>14</v>
      </c>
      <c r="M8" s="11">
        <f t="shared" si="2"/>
        <v>0.2978723404255319</v>
      </c>
      <c r="N8" s="11">
        <f t="shared" si="3"/>
        <v>0.64698476646103487</v>
      </c>
      <c r="O8" s="20">
        <v>27</v>
      </c>
      <c r="P8" s="21">
        <v>17</v>
      </c>
      <c r="Q8" s="21">
        <v>1</v>
      </c>
      <c r="R8" s="22">
        <v>0</v>
      </c>
      <c r="S8" s="22">
        <v>1</v>
      </c>
      <c r="T8" s="20">
        <v>3</v>
      </c>
      <c r="U8" s="20">
        <v>1</v>
      </c>
      <c r="V8" s="20">
        <v>1</v>
      </c>
      <c r="W8" s="63">
        <f>IFERROR(CalcRC27(F8,G8,K8,O8,P8,Q8,R8,S8,T8,U8,V8),"-")</f>
        <v>3.7685849476024114</v>
      </c>
      <c r="X8" s="2" t="s">
        <v>1398</v>
      </c>
    </row>
    <row r="9" spans="2:24" ht="13.8" x14ac:dyDescent="0.2">
      <c r="B9" s="8">
        <f t="shared" si="4"/>
        <v>4</v>
      </c>
      <c r="C9" s="10">
        <v>4</v>
      </c>
      <c r="D9" s="9" t="s">
        <v>1363</v>
      </c>
      <c r="E9" s="11">
        <f t="shared" si="5"/>
        <v>0.21886792452830189</v>
      </c>
      <c r="F9" s="5">
        <v>265</v>
      </c>
      <c r="G9" s="5">
        <v>58</v>
      </c>
      <c r="H9" s="5">
        <v>5</v>
      </c>
      <c r="I9" s="5">
        <v>1</v>
      </c>
      <c r="J9" s="6">
        <v>0</v>
      </c>
      <c r="K9" s="12">
        <f t="shared" si="6"/>
        <v>65</v>
      </c>
      <c r="L9" s="7">
        <v>17</v>
      </c>
      <c r="M9" s="11">
        <f t="shared" si="2"/>
        <v>0.30897009966777411</v>
      </c>
      <c r="N9" s="11">
        <f t="shared" si="3"/>
        <v>0.5542531185356987</v>
      </c>
      <c r="O9" s="20">
        <v>46</v>
      </c>
      <c r="P9" s="21">
        <v>30</v>
      </c>
      <c r="Q9" s="21">
        <v>5</v>
      </c>
      <c r="R9" s="22">
        <v>9</v>
      </c>
      <c r="S9" s="22">
        <v>1</v>
      </c>
      <c r="T9" s="20">
        <v>2</v>
      </c>
      <c r="U9" s="20">
        <v>3</v>
      </c>
      <c r="V9" s="20">
        <v>5</v>
      </c>
      <c r="W9" s="63">
        <f>IFERROR(CalcRC27(F9,G9,K9,O9,P9,Q9,R9,S9,T9,U9,V9),"-")</f>
        <v>2.5075139784946217</v>
      </c>
      <c r="X9" s="2" t="s">
        <v>1399</v>
      </c>
    </row>
    <row r="10" spans="2:24" ht="13.8" x14ac:dyDescent="0.2">
      <c r="B10" s="8">
        <f t="shared" si="4"/>
        <v>5</v>
      </c>
      <c r="C10" s="10">
        <v>5</v>
      </c>
      <c r="D10" s="13" t="s">
        <v>1364</v>
      </c>
      <c r="E10" s="11">
        <f t="shared" si="5"/>
        <v>0.24501424501424501</v>
      </c>
      <c r="F10" s="5">
        <v>351</v>
      </c>
      <c r="G10" s="5">
        <v>86</v>
      </c>
      <c r="H10" s="5">
        <v>17</v>
      </c>
      <c r="I10" s="5">
        <v>1</v>
      </c>
      <c r="J10" s="6">
        <v>12</v>
      </c>
      <c r="K10" s="12">
        <f t="shared" si="6"/>
        <v>141</v>
      </c>
      <c r="L10" s="7">
        <v>39</v>
      </c>
      <c r="M10" s="11">
        <f t="shared" si="2"/>
        <v>0.30670103092783507</v>
      </c>
      <c r="N10" s="11">
        <f t="shared" si="3"/>
        <v>0.7084104326372368</v>
      </c>
      <c r="O10" s="20">
        <v>94</v>
      </c>
      <c r="P10" s="21">
        <v>29</v>
      </c>
      <c r="Q10" s="21">
        <v>4</v>
      </c>
      <c r="R10" s="22">
        <v>0</v>
      </c>
      <c r="S10" s="22">
        <v>4</v>
      </c>
      <c r="T10" s="20">
        <v>3</v>
      </c>
      <c r="U10" s="20">
        <v>1</v>
      </c>
      <c r="V10" s="20">
        <v>3</v>
      </c>
      <c r="W10" s="63">
        <f>IFERROR(CalcRC27(F10,G10,K10,O10,P10,Q10,R10,S10,T10,U10,V10),"-")</f>
        <v>4.4221524866885673</v>
      </c>
      <c r="X10" s="2" t="s">
        <v>517</v>
      </c>
    </row>
    <row r="11" spans="2:24" ht="13.8" x14ac:dyDescent="0.2">
      <c r="B11" s="8">
        <f t="shared" si="4"/>
        <v>6</v>
      </c>
      <c r="C11" s="10">
        <v>6</v>
      </c>
      <c r="D11" s="13" t="s">
        <v>1499</v>
      </c>
      <c r="E11" s="11" t="str">
        <f t="shared" ref="E11" si="7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2"/>
        <v>0</v>
      </c>
      <c r="N11" s="11">
        <f t="shared" si="3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1500</v>
      </c>
    </row>
    <row r="12" spans="2:24" ht="13.8" x14ac:dyDescent="0.2">
      <c r="B12" s="8">
        <f t="shared" si="4"/>
        <v>7</v>
      </c>
      <c r="C12" s="10">
        <v>7</v>
      </c>
      <c r="D12" s="13" t="s">
        <v>1365</v>
      </c>
      <c r="E12" s="11">
        <f t="shared" si="5"/>
        <v>0.26378896882494007</v>
      </c>
      <c r="F12" s="5">
        <v>417</v>
      </c>
      <c r="G12" s="5">
        <v>110</v>
      </c>
      <c r="H12" s="5">
        <v>15</v>
      </c>
      <c r="I12" s="5">
        <v>2</v>
      </c>
      <c r="J12" s="6">
        <v>3</v>
      </c>
      <c r="K12" s="12">
        <f t="shared" si="6"/>
        <v>138</v>
      </c>
      <c r="L12" s="7">
        <v>25</v>
      </c>
      <c r="M12" s="11">
        <f t="shared" si="2"/>
        <v>0.32166301969365424</v>
      </c>
      <c r="N12" s="11">
        <f t="shared" si="3"/>
        <v>0.65259827149221539</v>
      </c>
      <c r="O12" s="20">
        <v>47</v>
      </c>
      <c r="P12" s="21">
        <v>31</v>
      </c>
      <c r="Q12" s="21">
        <v>6</v>
      </c>
      <c r="R12" s="22">
        <v>6</v>
      </c>
      <c r="S12" s="22">
        <v>3</v>
      </c>
      <c r="T12" s="20">
        <v>10</v>
      </c>
      <c r="U12" s="20">
        <v>11</v>
      </c>
      <c r="V12" s="20">
        <v>7</v>
      </c>
      <c r="W12" s="63">
        <f>IFERROR(CalcRC27(F12,G12,K12,O12,P12,Q12,R12,S12,T12,U12,V12),"-")</f>
        <v>3.5197082810620643</v>
      </c>
      <c r="X12" s="2" t="s">
        <v>511</v>
      </c>
    </row>
    <row r="13" spans="2:24" ht="13.8" x14ac:dyDescent="0.2">
      <c r="B13" s="8">
        <f t="shared" si="4"/>
        <v>8</v>
      </c>
      <c r="C13" s="10">
        <v>8</v>
      </c>
      <c r="D13" s="13" t="s">
        <v>1366</v>
      </c>
      <c r="E13" s="11">
        <f t="shared" si="5"/>
        <v>0.22222222222222221</v>
      </c>
      <c r="F13" s="5">
        <v>36</v>
      </c>
      <c r="G13" s="5">
        <v>8</v>
      </c>
      <c r="H13" s="5">
        <v>3</v>
      </c>
      <c r="I13" s="5">
        <v>1</v>
      </c>
      <c r="J13" s="6">
        <v>0</v>
      </c>
      <c r="K13" s="12">
        <f t="shared" si="6"/>
        <v>13</v>
      </c>
      <c r="L13" s="7">
        <v>4</v>
      </c>
      <c r="M13" s="11">
        <f t="shared" si="2"/>
        <v>0.24324324324324326</v>
      </c>
      <c r="N13" s="11">
        <f t="shared" si="3"/>
        <v>0.60435435435435436</v>
      </c>
      <c r="O13" s="20">
        <v>10</v>
      </c>
      <c r="P13" s="21">
        <v>1</v>
      </c>
      <c r="Q13" s="21">
        <v>0</v>
      </c>
      <c r="R13" s="22">
        <v>1</v>
      </c>
      <c r="S13" s="22">
        <v>0</v>
      </c>
      <c r="T13" s="20">
        <v>0</v>
      </c>
      <c r="U13" s="20">
        <v>0</v>
      </c>
      <c r="V13" s="20">
        <v>1</v>
      </c>
      <c r="W13" s="63">
        <f>IFERROR(CalcRC27(F13,G13,K13,O13,P13,Q13,R13,S13,T13,U13,V13),"-")</f>
        <v>2.5015999999999976</v>
      </c>
      <c r="X13" s="2" t="s">
        <v>519</v>
      </c>
    </row>
    <row r="14" spans="2:24" ht="13.8" x14ac:dyDescent="0.2">
      <c r="B14" s="8">
        <f t="shared" si="4"/>
        <v>9</v>
      </c>
      <c r="C14" s="10">
        <v>9</v>
      </c>
      <c r="D14" s="13" t="s">
        <v>194</v>
      </c>
      <c r="E14" s="11">
        <f t="shared" si="5"/>
        <v>0.14285714285714285</v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2">
        <f t="shared" si="6"/>
        <v>2</v>
      </c>
      <c r="L14" s="7">
        <v>1</v>
      </c>
      <c r="M14" s="11">
        <f t="shared" si="2"/>
        <v>0.25</v>
      </c>
      <c r="N14" s="11">
        <f t="shared" si="3"/>
        <v>0.39285714285714285</v>
      </c>
      <c r="O14" s="20">
        <v>3</v>
      </c>
      <c r="P14" s="21">
        <v>2</v>
      </c>
      <c r="Q14" s="21">
        <v>0</v>
      </c>
      <c r="R14" s="22">
        <v>0</v>
      </c>
      <c r="S14" s="22">
        <v>0</v>
      </c>
      <c r="T14" s="20">
        <v>1</v>
      </c>
      <c r="U14" s="20">
        <v>1</v>
      </c>
      <c r="V14" s="20">
        <v>0</v>
      </c>
      <c r="W14" s="63">
        <f>IFERROR(CalcRC27(F14,G14,K14,O14,P14,Q14,R14,S14,T14,U14,V14),"-")</f>
        <v>0.586990384615383</v>
      </c>
      <c r="X14" s="2" t="s">
        <v>509</v>
      </c>
    </row>
    <row r="15" spans="2:24" ht="13.8" x14ac:dyDescent="0.2">
      <c r="B15" s="8">
        <f t="shared" si="4"/>
        <v>10</v>
      </c>
      <c r="C15" s="10">
        <v>10</v>
      </c>
      <c r="D15" s="13" t="s">
        <v>1665</v>
      </c>
      <c r="E15" s="11">
        <f t="shared" si="5"/>
        <v>0.25</v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2">
        <f t="shared" si="6"/>
        <v>9</v>
      </c>
      <c r="L15" s="7">
        <v>3</v>
      </c>
      <c r="M15" s="11">
        <f t="shared" si="2"/>
        <v>0.32500000000000001</v>
      </c>
      <c r="N15" s="11">
        <f t="shared" si="3"/>
        <v>0.57499999999999996</v>
      </c>
      <c r="O15" s="20">
        <v>10</v>
      </c>
      <c r="P15" s="21">
        <v>4</v>
      </c>
      <c r="Q15" s="21">
        <v>0</v>
      </c>
      <c r="R15" s="22">
        <v>5</v>
      </c>
      <c r="S15" s="22">
        <v>0</v>
      </c>
      <c r="T15" s="20">
        <v>0</v>
      </c>
      <c r="U15" s="20">
        <v>0</v>
      </c>
      <c r="V15" s="20">
        <v>0</v>
      </c>
      <c r="W15" s="63">
        <f>IFERROR(CalcRC27(F15,G15,K15,O15,P15,Q15,R15,S15,T15,U15,V15),"-")</f>
        <v>2.9826874999999977</v>
      </c>
      <c r="X15" s="2" t="s">
        <v>510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2"/>
        <v>0</v>
      </c>
      <c r="N16" s="11">
        <f t="shared" si="3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1367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2"/>
        <v>0</v>
      </c>
      <c r="N17" s="11">
        <f t="shared" si="3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1400</v>
      </c>
    </row>
    <row r="18" spans="2:24" ht="13.8" x14ac:dyDescent="0.2">
      <c r="B18" s="8">
        <f t="shared" si="4"/>
        <v>13</v>
      </c>
      <c r="C18" s="10">
        <v>13</v>
      </c>
      <c r="D18" s="9" t="s">
        <v>195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2"/>
        <v>0</v>
      </c>
      <c r="N18" s="11">
        <f t="shared" si="3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512</v>
      </c>
    </row>
    <row r="19" spans="2:24" ht="13.8" x14ac:dyDescent="0.2">
      <c r="B19" s="8">
        <f t="shared" si="4"/>
        <v>14</v>
      </c>
      <c r="C19" s="10">
        <v>14</v>
      </c>
      <c r="D19" s="13" t="s">
        <v>1742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2"/>
        <v>0</v>
      </c>
      <c r="N19" s="11">
        <f t="shared" si="3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513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2"/>
        <v>0</v>
      </c>
      <c r="N20" s="11">
        <f t="shared" si="3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1368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2"/>
        <v>0</v>
      </c>
      <c r="N21" s="11">
        <f t="shared" si="3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1401</v>
      </c>
    </row>
    <row r="22" spans="2:24" ht="13.8" x14ac:dyDescent="0.2">
      <c r="B22" s="8">
        <f t="shared" si="4"/>
        <v>17</v>
      </c>
      <c r="C22" s="10">
        <v>17</v>
      </c>
      <c r="D22" s="13" t="s">
        <v>1704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2"/>
        <v>0</v>
      </c>
      <c r="N22" s="11">
        <f t="shared" si="3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515</v>
      </c>
    </row>
    <row r="23" spans="2:24" ht="13.8" x14ac:dyDescent="0.2">
      <c r="B23" s="8">
        <f t="shared" si="4"/>
        <v>18</v>
      </c>
      <c r="C23" s="10">
        <v>18</v>
      </c>
      <c r="D23" s="13" t="s">
        <v>224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2"/>
        <v>0</v>
      </c>
      <c r="N23" s="11">
        <f t="shared" si="3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1827</v>
      </c>
    </row>
    <row r="24" spans="2:24" ht="13.8" x14ac:dyDescent="0.2">
      <c r="B24" s="8">
        <f t="shared" si="4"/>
        <v>19</v>
      </c>
      <c r="C24" s="10">
        <v>19</v>
      </c>
      <c r="D24" s="13" t="s">
        <v>1369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2"/>
        <v>0</v>
      </c>
      <c r="N24" s="11">
        <f t="shared" si="3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530</v>
      </c>
    </row>
    <row r="25" spans="2:24" ht="13.8" x14ac:dyDescent="0.2">
      <c r="B25" s="8">
        <f t="shared" si="4"/>
        <v>20</v>
      </c>
      <c r="C25" s="10">
        <v>20</v>
      </c>
      <c r="D25" s="13" t="s">
        <v>197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2"/>
        <v>0</v>
      </c>
      <c r="N25" s="11">
        <f t="shared" si="3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516</v>
      </c>
    </row>
    <row r="26" spans="2:24" ht="13.8" x14ac:dyDescent="0.2">
      <c r="B26" s="8">
        <f t="shared" si="4"/>
        <v>21</v>
      </c>
      <c r="C26" s="10">
        <v>21</v>
      </c>
      <c r="D26" s="13" t="s">
        <v>1821</v>
      </c>
      <c r="E26" s="11">
        <f t="shared" si="5"/>
        <v>0.26356589147286824</v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2">
        <f t="shared" si="6"/>
        <v>112</v>
      </c>
      <c r="L26" s="7">
        <v>35</v>
      </c>
      <c r="M26" s="11">
        <f t="shared" si="2"/>
        <v>0.35666666666666669</v>
      </c>
      <c r="N26" s="11">
        <f t="shared" si="3"/>
        <v>0.79077519379844963</v>
      </c>
      <c r="O26" s="20">
        <v>50</v>
      </c>
      <c r="P26" s="21">
        <v>36</v>
      </c>
      <c r="Q26" s="21">
        <v>3</v>
      </c>
      <c r="R26" s="22">
        <v>0</v>
      </c>
      <c r="S26" s="22">
        <v>3</v>
      </c>
      <c r="T26" s="20">
        <v>2</v>
      </c>
      <c r="U26" s="20">
        <v>1</v>
      </c>
      <c r="V26" s="20">
        <v>3</v>
      </c>
      <c r="W26" s="63">
        <f>IFERROR(CalcRC27(F26,G26,K26,O26,P26,Q26,R26,S26,T26,U26,V26),"-")</f>
        <v>5.7537426395939066</v>
      </c>
      <c r="X26" s="2" t="s">
        <v>193</v>
      </c>
    </row>
    <row r="27" spans="2:24" ht="13.8" x14ac:dyDescent="0.2">
      <c r="B27" s="8">
        <f t="shared" si="4"/>
        <v>22</v>
      </c>
      <c r="C27" s="10">
        <v>22</v>
      </c>
      <c r="D27" s="13" t="s">
        <v>1370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2"/>
        <v>0</v>
      </c>
      <c r="N27" s="11">
        <f t="shared" si="3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1402</v>
      </c>
    </row>
    <row r="28" spans="2:24" ht="13.8" x14ac:dyDescent="0.2">
      <c r="B28" s="8">
        <f t="shared" si="4"/>
        <v>23</v>
      </c>
      <c r="C28" s="10">
        <v>23</v>
      </c>
      <c r="D28" s="13" t="s">
        <v>159</v>
      </c>
      <c r="E28" s="11">
        <f t="shared" si="5"/>
        <v>0.19696969696969696</v>
      </c>
      <c r="F28" s="5">
        <v>198</v>
      </c>
      <c r="G28" s="5">
        <v>39</v>
      </c>
      <c r="H28" s="5">
        <v>5</v>
      </c>
      <c r="I28" s="5">
        <v>0</v>
      </c>
      <c r="J28" s="6">
        <v>2</v>
      </c>
      <c r="K28" s="12">
        <f t="shared" si="6"/>
        <v>50</v>
      </c>
      <c r="L28" s="7">
        <v>11</v>
      </c>
      <c r="M28" s="11">
        <f t="shared" si="2"/>
        <v>0.24285714285714285</v>
      </c>
      <c r="N28" s="11">
        <f t="shared" si="3"/>
        <v>0.49538239538239537</v>
      </c>
      <c r="O28" s="20">
        <v>37</v>
      </c>
      <c r="P28" s="21">
        <v>8</v>
      </c>
      <c r="Q28" s="21">
        <v>4</v>
      </c>
      <c r="R28" s="22">
        <v>10</v>
      </c>
      <c r="S28" s="22">
        <v>0</v>
      </c>
      <c r="T28" s="20">
        <v>0</v>
      </c>
      <c r="U28" s="20">
        <v>0</v>
      </c>
      <c r="V28" s="20">
        <v>3</v>
      </c>
      <c r="W28" s="63">
        <f>IFERROR(CalcRC27(F28,G28,K28,O28,P28,Q28,R28,S28,T28,U28,V28),"-")</f>
        <v>1.6752558139534866</v>
      </c>
      <c r="X28" s="2" t="s">
        <v>599</v>
      </c>
    </row>
    <row r="29" spans="2:24" ht="13.8" x14ac:dyDescent="0.2">
      <c r="B29" s="8">
        <f t="shared" si="4"/>
        <v>24</v>
      </c>
      <c r="C29" s="10">
        <v>24</v>
      </c>
      <c r="D29" s="2" t="s">
        <v>1371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2"/>
        <v>0</v>
      </c>
      <c r="N29" s="11">
        <f t="shared" si="3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1403</v>
      </c>
    </row>
    <row r="30" spans="2:24" ht="13.8" x14ac:dyDescent="0.2">
      <c r="B30" s="8">
        <f t="shared" si="4"/>
        <v>25</v>
      </c>
      <c r="C30" s="10">
        <v>25</v>
      </c>
      <c r="D30" s="13" t="s">
        <v>198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2"/>
        <v>0</v>
      </c>
      <c r="N30" s="11">
        <f t="shared" si="3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518</v>
      </c>
    </row>
    <row r="31" spans="2:24" ht="13.8" x14ac:dyDescent="0.2">
      <c r="B31" s="8">
        <f t="shared" si="4"/>
        <v>26</v>
      </c>
      <c r="C31" s="10">
        <v>26</v>
      </c>
      <c r="D31" s="13" t="s">
        <v>1372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2"/>
        <v>0</v>
      </c>
      <c r="N31" s="11">
        <f t="shared" si="3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1404</v>
      </c>
    </row>
    <row r="32" spans="2:24" ht="13.8" x14ac:dyDescent="0.2">
      <c r="B32" s="8">
        <f t="shared" si="4"/>
        <v>27</v>
      </c>
      <c r="C32" s="10">
        <v>27</v>
      </c>
      <c r="D32" s="13" t="s">
        <v>1373</v>
      </c>
      <c r="E32" s="11">
        <f t="shared" si="5"/>
        <v>0.27272727272727271</v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2">
        <f t="shared" si="6"/>
        <v>9</v>
      </c>
      <c r="L32" s="7">
        <v>4</v>
      </c>
      <c r="M32" s="11">
        <f t="shared" si="2"/>
        <v>0.28000000000000003</v>
      </c>
      <c r="N32" s="11">
        <f t="shared" si="3"/>
        <v>0.6890909090909092</v>
      </c>
      <c r="O32" s="20">
        <v>7</v>
      </c>
      <c r="P32" s="21">
        <v>1</v>
      </c>
      <c r="Q32" s="21">
        <v>0</v>
      </c>
      <c r="R32" s="22">
        <v>0</v>
      </c>
      <c r="S32" s="22">
        <v>2</v>
      </c>
      <c r="T32" s="20">
        <v>0</v>
      </c>
      <c r="U32" s="20">
        <v>0</v>
      </c>
      <c r="V32" s="20">
        <v>0</v>
      </c>
      <c r="W32" s="63">
        <f>IFERROR(CalcRC27(F32,G32,K32,O32,P32,Q32,R32,S32,T32,U32,V32),"-")</f>
        <v>4.2657999999999978</v>
      </c>
      <c r="X32" s="2" t="s">
        <v>520</v>
      </c>
    </row>
    <row r="33" spans="2:24" ht="13.8" x14ac:dyDescent="0.2">
      <c r="B33" s="8">
        <f t="shared" si="4"/>
        <v>28</v>
      </c>
      <c r="C33" s="10">
        <v>28</v>
      </c>
      <c r="D33" s="13" t="s">
        <v>1342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2"/>
        <v>0</v>
      </c>
      <c r="N33" s="11">
        <f t="shared" si="3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521</v>
      </c>
    </row>
    <row r="34" spans="2:24" ht="13.8" x14ac:dyDescent="0.2">
      <c r="B34" s="8">
        <f t="shared" si="4"/>
        <v>29</v>
      </c>
      <c r="C34" s="10">
        <v>29</v>
      </c>
      <c r="D34" s="13" t="s">
        <v>1838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2"/>
        <v>0</v>
      </c>
      <c r="N34" s="11">
        <f t="shared" si="3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1839</v>
      </c>
    </row>
    <row r="35" spans="2:24" ht="13.8" x14ac:dyDescent="0.2">
      <c r="B35" s="8">
        <f t="shared" si="4"/>
        <v>30</v>
      </c>
      <c r="C35" s="10">
        <v>30</v>
      </c>
      <c r="D35" s="13" t="s">
        <v>137</v>
      </c>
      <c r="E35" s="11">
        <f t="shared" si="5"/>
        <v>0.29591836734693877</v>
      </c>
      <c r="F35" s="5">
        <v>98</v>
      </c>
      <c r="G35" s="5">
        <v>29</v>
      </c>
      <c r="H35" s="5">
        <v>4</v>
      </c>
      <c r="I35" s="5">
        <v>0</v>
      </c>
      <c r="J35" s="6">
        <v>3</v>
      </c>
      <c r="K35" s="12">
        <f t="shared" si="6"/>
        <v>42</v>
      </c>
      <c r="L35" s="7">
        <v>17</v>
      </c>
      <c r="M35" s="11">
        <f t="shared" si="2"/>
        <v>0.34905660377358488</v>
      </c>
      <c r="N35" s="11">
        <f t="shared" si="3"/>
        <v>0.77762803234501343</v>
      </c>
      <c r="O35" s="20">
        <v>14</v>
      </c>
      <c r="P35" s="21">
        <v>8</v>
      </c>
      <c r="Q35" s="21">
        <v>0</v>
      </c>
      <c r="R35" s="22">
        <v>2</v>
      </c>
      <c r="S35" s="22">
        <v>0</v>
      </c>
      <c r="T35" s="20">
        <v>1</v>
      </c>
      <c r="U35" s="20">
        <v>1</v>
      </c>
      <c r="V35" s="20">
        <v>2</v>
      </c>
      <c r="W35" s="63">
        <f>IFERROR(CalcRC27(F35,G35,K35,O35,P35,Q35,R35,S35,T35,U35,V35),"-")</f>
        <v>5.1869189189189164</v>
      </c>
      <c r="X35" s="2" t="s">
        <v>782</v>
      </c>
    </row>
    <row r="36" spans="2:24" ht="13.8" x14ac:dyDescent="0.2">
      <c r="B36" s="8">
        <f t="shared" si="4"/>
        <v>31</v>
      </c>
      <c r="C36" s="10">
        <v>31</v>
      </c>
      <c r="D36" s="13" t="s">
        <v>1828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2"/>
        <v>0</v>
      </c>
      <c r="N36" s="11">
        <f t="shared" si="3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1829</v>
      </c>
    </row>
    <row r="37" spans="2:24" ht="13.8" x14ac:dyDescent="0.2">
      <c r="B37" s="8">
        <f t="shared" si="4"/>
        <v>32</v>
      </c>
      <c r="C37" s="10">
        <v>32</v>
      </c>
      <c r="D37" s="13" t="s">
        <v>1830</v>
      </c>
      <c r="E37" s="11">
        <f t="shared" si="5"/>
        <v>0.1891891891891892</v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2">
        <f t="shared" si="6"/>
        <v>14</v>
      </c>
      <c r="L37" s="7">
        <v>4</v>
      </c>
      <c r="M37" s="11">
        <f t="shared" si="2"/>
        <v>0.26829268292682928</v>
      </c>
      <c r="N37" s="11">
        <f t="shared" si="3"/>
        <v>0.45748187211601848</v>
      </c>
      <c r="O37" s="20">
        <v>9</v>
      </c>
      <c r="P37" s="21">
        <v>8</v>
      </c>
      <c r="Q37" s="21">
        <v>0</v>
      </c>
      <c r="R37" s="22">
        <v>4</v>
      </c>
      <c r="S37" s="22">
        <v>0</v>
      </c>
      <c r="T37" s="20">
        <v>0</v>
      </c>
      <c r="U37" s="20">
        <v>0</v>
      </c>
      <c r="V37" s="20">
        <v>1</v>
      </c>
      <c r="W37" s="63">
        <f>IFERROR(CalcRC27(F37,G37,K37,O37,P37,Q37,R37,S37,T37,U37,V37),"-")</f>
        <v>1.5235502683363129</v>
      </c>
      <c r="X37" s="2" t="s">
        <v>1831</v>
      </c>
    </row>
    <row r="38" spans="2:24" ht="13.8" x14ac:dyDescent="0.2">
      <c r="B38" s="8">
        <f t="shared" si="4"/>
        <v>33</v>
      </c>
      <c r="C38" s="10">
        <v>33</v>
      </c>
      <c r="D38" s="13" t="s">
        <v>1836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2"/>
        <v>0</v>
      </c>
      <c r="N38" s="11">
        <f t="shared" si="3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1837</v>
      </c>
    </row>
    <row r="39" spans="2:24" ht="13.8" x14ac:dyDescent="0.2">
      <c r="B39" s="8">
        <f t="shared" si="4"/>
        <v>34</v>
      </c>
      <c r="C39" s="10">
        <v>34</v>
      </c>
      <c r="D39" s="13" t="s">
        <v>199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2"/>
        <v>0</v>
      </c>
      <c r="N39" s="11">
        <f t="shared" si="3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522</v>
      </c>
    </row>
    <row r="40" spans="2:24" ht="13.8" x14ac:dyDescent="0.2">
      <c r="B40" s="8">
        <f t="shared" si="4"/>
        <v>35</v>
      </c>
      <c r="C40" s="10">
        <v>35</v>
      </c>
      <c r="D40" s="13" t="s">
        <v>1374</v>
      </c>
      <c r="E40" s="11">
        <f t="shared" si="5"/>
        <v>0.17543859649122806</v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2">
        <f t="shared" si="6"/>
        <v>19</v>
      </c>
      <c r="L40" s="7">
        <v>7</v>
      </c>
      <c r="M40" s="11">
        <f t="shared" si="2"/>
        <v>0.24193548387096775</v>
      </c>
      <c r="N40" s="11">
        <f t="shared" si="3"/>
        <v>0.57526881720430101</v>
      </c>
      <c r="O40" s="20">
        <v>19</v>
      </c>
      <c r="P40" s="21">
        <v>4</v>
      </c>
      <c r="Q40" s="21">
        <v>1</v>
      </c>
      <c r="R40" s="22">
        <v>1</v>
      </c>
      <c r="S40" s="22">
        <v>0</v>
      </c>
      <c r="T40" s="20">
        <v>0</v>
      </c>
      <c r="U40" s="20">
        <v>0</v>
      </c>
      <c r="V40" s="20">
        <v>1</v>
      </c>
      <c r="W40" s="63">
        <f>IFERROR(CalcRC27(F40,G40,K40,O40,P40,Q40,R40,S40,T40,U40,V40),"-")</f>
        <v>2.3526258503401345</v>
      </c>
      <c r="X40" s="2" t="s">
        <v>1405</v>
      </c>
    </row>
    <row r="41" spans="2:24" ht="13.8" x14ac:dyDescent="0.2">
      <c r="B41" s="8">
        <f t="shared" si="4"/>
        <v>36</v>
      </c>
      <c r="C41" s="10">
        <v>36</v>
      </c>
      <c r="D41" s="13" t="s">
        <v>1842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2"/>
        <v>0</v>
      </c>
      <c r="N41" s="11">
        <f t="shared" si="3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1843</v>
      </c>
    </row>
    <row r="42" spans="2:24" ht="13.8" x14ac:dyDescent="0.2">
      <c r="B42" s="8">
        <f t="shared" si="4"/>
        <v>37</v>
      </c>
      <c r="C42" s="10">
        <v>37</v>
      </c>
      <c r="D42" s="13" t="s">
        <v>1376</v>
      </c>
      <c r="E42" s="11">
        <f t="shared" si="5"/>
        <v>0.19148936170212766</v>
      </c>
      <c r="F42" s="5">
        <v>141</v>
      </c>
      <c r="G42" s="5">
        <v>27</v>
      </c>
      <c r="H42" s="5">
        <v>4</v>
      </c>
      <c r="I42" s="5">
        <v>2</v>
      </c>
      <c r="J42" s="6">
        <v>5</v>
      </c>
      <c r="K42" s="12">
        <f t="shared" si="6"/>
        <v>50</v>
      </c>
      <c r="L42" s="7">
        <v>13</v>
      </c>
      <c r="M42" s="11">
        <f t="shared" si="2"/>
        <v>0.24836601307189543</v>
      </c>
      <c r="N42" s="11">
        <f t="shared" si="3"/>
        <v>0.60297594214990968</v>
      </c>
      <c r="O42" s="20">
        <v>72</v>
      </c>
      <c r="P42" s="21">
        <v>9</v>
      </c>
      <c r="Q42" s="21">
        <v>2</v>
      </c>
      <c r="R42" s="22">
        <v>12</v>
      </c>
      <c r="S42" s="22">
        <v>1</v>
      </c>
      <c r="T42" s="20">
        <v>8</v>
      </c>
      <c r="U42" s="20">
        <v>8</v>
      </c>
      <c r="V42" s="20">
        <v>0</v>
      </c>
      <c r="W42" s="63">
        <f>IFERROR(CalcRC27(F42,G42,K42,O42,P42,Q42,R42,S42,T42,U42,V42),"-")</f>
        <v>2.2979070707070695</v>
      </c>
      <c r="X42" s="2" t="s">
        <v>810</v>
      </c>
    </row>
    <row r="43" spans="2:24" ht="13.8" x14ac:dyDescent="0.2">
      <c r="B43" s="8">
        <f t="shared" si="4"/>
        <v>38</v>
      </c>
      <c r="C43" s="10">
        <v>38</v>
      </c>
      <c r="D43" s="13" t="s">
        <v>1195</v>
      </c>
      <c r="E43" s="11">
        <f t="shared" si="5"/>
        <v>0.16867469879518071</v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2">
        <f t="shared" si="6"/>
        <v>21</v>
      </c>
      <c r="L43" s="7">
        <v>4</v>
      </c>
      <c r="M43" s="11">
        <f t="shared" si="2"/>
        <v>0.28865979381443296</v>
      </c>
      <c r="N43" s="11">
        <f t="shared" si="3"/>
        <v>0.54167184200720397</v>
      </c>
      <c r="O43" s="20">
        <v>27</v>
      </c>
      <c r="P43" s="21">
        <v>14</v>
      </c>
      <c r="Q43" s="21">
        <v>0</v>
      </c>
      <c r="R43" s="22">
        <v>3</v>
      </c>
      <c r="S43" s="22">
        <v>0</v>
      </c>
      <c r="T43" s="20">
        <v>3</v>
      </c>
      <c r="U43" s="20">
        <v>0</v>
      </c>
      <c r="V43" s="20">
        <v>0</v>
      </c>
      <c r="W43" s="63">
        <f>IFERROR(CalcRC27(F43,G43,K43,O43,P43,Q43,R43,S43,T43,U43,V43),"-")</f>
        <v>2.8029666666666646</v>
      </c>
      <c r="X43" s="2" t="s">
        <v>524</v>
      </c>
    </row>
    <row r="44" spans="2:24" ht="13.8" x14ac:dyDescent="0.2">
      <c r="B44" s="8">
        <f t="shared" si="4"/>
        <v>39</v>
      </c>
      <c r="C44" s="10">
        <v>39</v>
      </c>
      <c r="D44" s="13" t="s">
        <v>1377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2"/>
        <v>0</v>
      </c>
      <c r="N44" s="11">
        <f t="shared" si="3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1406</v>
      </c>
    </row>
    <row r="45" spans="2:24" ht="13.8" x14ac:dyDescent="0.2">
      <c r="B45" s="8">
        <f t="shared" si="4"/>
        <v>40</v>
      </c>
      <c r="C45" s="10">
        <v>40</v>
      </c>
      <c r="D45" s="13" t="s">
        <v>1272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2"/>
        <v>0</v>
      </c>
      <c r="N45" s="11">
        <f t="shared" si="3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525</v>
      </c>
    </row>
    <row r="46" spans="2:24" ht="13.8" x14ac:dyDescent="0.2">
      <c r="B46" s="8">
        <f t="shared" si="4"/>
        <v>41</v>
      </c>
      <c r="C46" s="10">
        <v>41</v>
      </c>
      <c r="D46" s="13" t="s">
        <v>1429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2"/>
        <v>0</v>
      </c>
      <c r="N46" s="11">
        <f t="shared" si="3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1428</v>
      </c>
    </row>
    <row r="47" spans="2:24" ht="13.8" x14ac:dyDescent="0.2">
      <c r="B47" s="8">
        <f t="shared" si="4"/>
        <v>42</v>
      </c>
      <c r="C47" s="10">
        <v>42</v>
      </c>
      <c r="D47" s="9" t="s">
        <v>1834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2"/>
        <v>0</v>
      </c>
      <c r="N47" s="11">
        <f t="shared" si="3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1835</v>
      </c>
    </row>
    <row r="48" spans="2:24" ht="13.8" x14ac:dyDescent="0.2">
      <c r="B48" s="8">
        <f t="shared" si="4"/>
        <v>43</v>
      </c>
      <c r="C48" s="10">
        <v>43</v>
      </c>
      <c r="D48" s="13" t="s">
        <v>1378</v>
      </c>
      <c r="E48" s="11">
        <f t="shared" si="5"/>
        <v>0.18</v>
      </c>
      <c r="F48" s="5">
        <v>50</v>
      </c>
      <c r="G48" s="5">
        <v>9</v>
      </c>
      <c r="H48" s="5">
        <v>4</v>
      </c>
      <c r="I48" s="5">
        <v>1</v>
      </c>
      <c r="J48" s="6">
        <v>0</v>
      </c>
      <c r="K48" s="12">
        <f t="shared" si="6"/>
        <v>15</v>
      </c>
      <c r="L48" s="7">
        <v>6</v>
      </c>
      <c r="M48" s="11">
        <f t="shared" si="2"/>
        <v>0.23636363636363636</v>
      </c>
      <c r="N48" s="11">
        <f t="shared" si="3"/>
        <v>0.53636363636363638</v>
      </c>
      <c r="O48" s="20">
        <v>18</v>
      </c>
      <c r="P48" s="21">
        <v>4</v>
      </c>
      <c r="Q48" s="21">
        <v>0</v>
      </c>
      <c r="R48" s="22">
        <v>1</v>
      </c>
      <c r="S48" s="22">
        <v>1</v>
      </c>
      <c r="T48" s="20">
        <v>1</v>
      </c>
      <c r="U48" s="20">
        <v>1</v>
      </c>
      <c r="V48" s="20">
        <v>0</v>
      </c>
      <c r="W48" s="63">
        <f>IFERROR(CalcRC27(F48,G48,K48,O48,P48,Q48,R48,S48,T48,U48,V48),"-")</f>
        <v>2.0840259740259723</v>
      </c>
      <c r="X48" s="2" t="s">
        <v>1407</v>
      </c>
    </row>
    <row r="49" spans="2:24" ht="13.8" x14ac:dyDescent="0.2">
      <c r="B49" s="8">
        <f t="shared" si="4"/>
        <v>44</v>
      </c>
      <c r="C49" s="10">
        <v>44</v>
      </c>
      <c r="D49" s="13" t="s">
        <v>1697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2"/>
        <v>0</v>
      </c>
      <c r="N49" s="11">
        <f t="shared" si="3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1408</v>
      </c>
    </row>
    <row r="50" spans="2:24" ht="13.8" x14ac:dyDescent="0.2">
      <c r="B50" s="8">
        <f t="shared" si="4"/>
        <v>45</v>
      </c>
      <c r="C50" s="10">
        <v>45</v>
      </c>
      <c r="D50" s="13" t="s">
        <v>1832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2"/>
        <v>0</v>
      </c>
      <c r="N50" s="11">
        <f t="shared" si="3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1833</v>
      </c>
    </row>
    <row r="51" spans="2:24" ht="13.8" x14ac:dyDescent="0.2">
      <c r="B51" s="8">
        <f t="shared" si="4"/>
        <v>46</v>
      </c>
      <c r="C51" s="10">
        <v>46</v>
      </c>
      <c r="D51" s="13" t="s">
        <v>1379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2"/>
        <v>0</v>
      </c>
      <c r="N51" s="11">
        <f t="shared" si="3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1409</v>
      </c>
    </row>
    <row r="52" spans="2:24" ht="13.8" x14ac:dyDescent="0.2">
      <c r="B52" s="8">
        <f t="shared" si="4"/>
        <v>47</v>
      </c>
      <c r="C52" s="10">
        <v>47</v>
      </c>
      <c r="D52" s="13" t="s">
        <v>200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2"/>
        <v>0</v>
      </c>
      <c r="N52" s="11">
        <f t="shared" si="3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527</v>
      </c>
    </row>
    <row r="53" spans="2:24" ht="13.8" x14ac:dyDescent="0.2">
      <c r="B53" s="8">
        <f t="shared" si="4"/>
        <v>48</v>
      </c>
      <c r="C53" s="10">
        <v>48</v>
      </c>
      <c r="D53" s="13" t="s">
        <v>73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2"/>
        <v>0</v>
      </c>
      <c r="N53" s="11">
        <f t="shared" si="3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447</v>
      </c>
    </row>
    <row r="54" spans="2:24" ht="13.8" x14ac:dyDescent="0.2">
      <c r="B54" s="8">
        <f t="shared" si="4"/>
        <v>49</v>
      </c>
      <c r="C54" s="10">
        <v>49</v>
      </c>
      <c r="D54" s="13"/>
      <c r="E54" s="11">
        <f t="shared" si="5"/>
        <v>0.2857142857142857</v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2">
        <f t="shared" si="6"/>
        <v>9</v>
      </c>
      <c r="L54" s="7">
        <v>0</v>
      </c>
      <c r="M54" s="11">
        <f t="shared" si="2"/>
        <v>0.375</v>
      </c>
      <c r="N54" s="11">
        <f t="shared" si="3"/>
        <v>0.6964285714285714</v>
      </c>
      <c r="O54" s="20">
        <v>5</v>
      </c>
      <c r="P54" s="21">
        <v>4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>
        <f>IFERROR(CalcRC27(F54,G54,K54,O54,P54,Q54,R54,S54,T54,U54,V54),"-")</f>
        <v>5.1967124999999976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337</v>
      </c>
      <c r="E55" s="11">
        <f t="shared" si="5"/>
        <v>0.23952095808383234</v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2">
        <f t="shared" si="6"/>
        <v>48</v>
      </c>
      <c r="L55" s="7">
        <v>5</v>
      </c>
      <c r="M55" s="11">
        <f t="shared" si="2"/>
        <v>0.25730994152046782</v>
      </c>
      <c r="N55" s="11">
        <f t="shared" si="3"/>
        <v>0.54473509122106667</v>
      </c>
      <c r="O55" s="20">
        <v>45</v>
      </c>
      <c r="P55" s="21">
        <v>3</v>
      </c>
      <c r="Q55" s="21">
        <v>1</v>
      </c>
      <c r="R55" s="22">
        <v>5</v>
      </c>
      <c r="S55" s="22">
        <v>0</v>
      </c>
      <c r="T55" s="20">
        <v>16</v>
      </c>
      <c r="U55" s="20">
        <v>6</v>
      </c>
      <c r="V55" s="20">
        <v>0</v>
      </c>
      <c r="W55" s="63">
        <f>IFERROR(CalcRC27(F55,G55,K55,O55,P55,Q55,R55,S55,T55,U55,V55),"-")</f>
        <v>2.4798211462450572</v>
      </c>
      <c r="X55" s="2" t="s">
        <v>338</v>
      </c>
    </row>
    <row r="56" spans="2:24" ht="13.8" x14ac:dyDescent="0.2">
      <c r="B56" s="8">
        <f t="shared" si="4"/>
        <v>51</v>
      </c>
      <c r="C56" s="10">
        <v>51</v>
      </c>
      <c r="D56" s="13" t="s">
        <v>201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2"/>
        <v>0</v>
      </c>
      <c r="N56" s="11">
        <f t="shared" si="3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528</v>
      </c>
    </row>
    <row r="57" spans="2:24" ht="13.8" x14ac:dyDescent="0.2">
      <c r="B57" s="8">
        <f t="shared" si="4"/>
        <v>52</v>
      </c>
      <c r="C57" s="10">
        <v>52</v>
      </c>
      <c r="D57" s="13" t="s">
        <v>1266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2"/>
        <v>0</v>
      </c>
      <c r="N57" s="11">
        <f t="shared" si="3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529</v>
      </c>
    </row>
    <row r="58" spans="2:24" ht="13.8" x14ac:dyDescent="0.2">
      <c r="B58" s="8">
        <f t="shared" si="4"/>
        <v>53</v>
      </c>
      <c r="C58" s="10">
        <v>53</v>
      </c>
      <c r="D58" s="13" t="s">
        <v>1844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2"/>
        <v>0</v>
      </c>
      <c r="N58" s="11">
        <f t="shared" si="3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1845</v>
      </c>
    </row>
    <row r="59" spans="2:24" ht="13.8" x14ac:dyDescent="0.2">
      <c r="B59" s="8">
        <f t="shared" si="4"/>
        <v>54</v>
      </c>
      <c r="C59" s="10">
        <v>54</v>
      </c>
      <c r="D59" s="13" t="s">
        <v>1430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2"/>
        <v>0</v>
      </c>
      <c r="N59" s="11">
        <f t="shared" si="3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1410</v>
      </c>
    </row>
    <row r="60" spans="2:24" ht="13.8" x14ac:dyDescent="0.2">
      <c r="B60" s="8">
        <f t="shared" si="4"/>
        <v>55</v>
      </c>
      <c r="C60" s="10">
        <v>55</v>
      </c>
      <c r="D60" s="13" t="s">
        <v>1380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2"/>
        <v>0</v>
      </c>
      <c r="N60" s="11">
        <f t="shared" si="3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1411</v>
      </c>
    </row>
    <row r="61" spans="2:24" ht="13.8" x14ac:dyDescent="0.2">
      <c r="B61" s="8">
        <f t="shared" si="4"/>
        <v>56</v>
      </c>
      <c r="C61" s="10">
        <v>56</v>
      </c>
      <c r="D61" s="13" t="s">
        <v>339</v>
      </c>
      <c r="E61" s="11">
        <f t="shared" si="5"/>
        <v>0.1875</v>
      </c>
      <c r="F61" s="5">
        <v>64</v>
      </c>
      <c r="G61" s="5">
        <v>12</v>
      </c>
      <c r="H61" s="5">
        <v>2</v>
      </c>
      <c r="I61" s="5">
        <v>1</v>
      </c>
      <c r="J61" s="6">
        <v>0</v>
      </c>
      <c r="K61" s="12">
        <f t="shared" si="6"/>
        <v>16</v>
      </c>
      <c r="L61" s="7">
        <v>5</v>
      </c>
      <c r="M61" s="11">
        <f t="shared" si="2"/>
        <v>0.21212121212121213</v>
      </c>
      <c r="N61" s="11">
        <f t="shared" si="3"/>
        <v>0.46212121212121215</v>
      </c>
      <c r="O61" s="20">
        <v>18</v>
      </c>
      <c r="P61" s="21">
        <v>2</v>
      </c>
      <c r="Q61" s="21">
        <v>0</v>
      </c>
      <c r="R61" s="22">
        <v>7</v>
      </c>
      <c r="S61" s="22">
        <v>0</v>
      </c>
      <c r="T61" s="20">
        <v>0</v>
      </c>
      <c r="U61" s="20">
        <v>1</v>
      </c>
      <c r="V61" s="20">
        <v>0</v>
      </c>
      <c r="W61" s="63">
        <f>IFERROR(CalcRC27(F61,G61,K61,O61,P61,Q61,R61,S61,T61,U61,V61),"-")</f>
        <v>1.2031219178082175</v>
      </c>
      <c r="X61" s="2" t="s">
        <v>531</v>
      </c>
    </row>
    <row r="62" spans="2:24" ht="13.8" x14ac:dyDescent="0.2">
      <c r="B62" s="8">
        <f t="shared" si="4"/>
        <v>57</v>
      </c>
      <c r="C62" s="10">
        <v>57</v>
      </c>
      <c r="D62" s="13" t="s">
        <v>1381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2"/>
        <v>0</v>
      </c>
      <c r="N62" s="11">
        <f t="shared" si="3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1412</v>
      </c>
    </row>
    <row r="63" spans="2:24" ht="13.8" x14ac:dyDescent="0.2">
      <c r="B63" s="8">
        <f t="shared" si="4"/>
        <v>58</v>
      </c>
      <c r="C63" s="10">
        <v>58</v>
      </c>
      <c r="D63" s="13" t="s">
        <v>1382</v>
      </c>
      <c r="E63" s="11">
        <f t="shared" si="5"/>
        <v>0.26050420168067229</v>
      </c>
      <c r="F63" s="5">
        <v>119</v>
      </c>
      <c r="G63" s="5">
        <v>31</v>
      </c>
      <c r="H63" s="5">
        <v>10</v>
      </c>
      <c r="I63" s="5">
        <v>2</v>
      </c>
      <c r="J63" s="6">
        <v>2</v>
      </c>
      <c r="K63" s="12">
        <f t="shared" si="6"/>
        <v>51</v>
      </c>
      <c r="L63" s="7">
        <v>13</v>
      </c>
      <c r="M63" s="11">
        <f t="shared" si="2"/>
        <v>0.28799999999999998</v>
      </c>
      <c r="N63" s="11">
        <f t="shared" si="3"/>
        <v>0.71657142857142853</v>
      </c>
      <c r="O63" s="20">
        <v>34</v>
      </c>
      <c r="P63" s="21">
        <v>5</v>
      </c>
      <c r="Q63" s="21">
        <v>0</v>
      </c>
      <c r="R63" s="22">
        <v>0</v>
      </c>
      <c r="S63" s="22">
        <v>1</v>
      </c>
      <c r="T63" s="20">
        <v>1</v>
      </c>
      <c r="U63" s="20">
        <v>2</v>
      </c>
      <c r="V63" s="20">
        <v>2</v>
      </c>
      <c r="W63" s="63">
        <f>IFERROR(CalcRC27(F63,G63,K63,O63,P63,Q63,R63,S63,T63,U63,V63),"-")</f>
        <v>3.9615225806451591</v>
      </c>
      <c r="X63" s="2" t="s">
        <v>1413</v>
      </c>
    </row>
    <row r="64" spans="2:24" ht="13.8" x14ac:dyDescent="0.2">
      <c r="B64" s="8">
        <f t="shared" si="4"/>
        <v>59</v>
      </c>
      <c r="C64" s="10">
        <v>59</v>
      </c>
      <c r="D64" s="13" t="s">
        <v>172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2"/>
        <v>0</v>
      </c>
      <c r="N64" s="11">
        <f t="shared" si="3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532</v>
      </c>
    </row>
    <row r="65" spans="2:24" ht="13.8" x14ac:dyDescent="0.2">
      <c r="B65" s="8">
        <f t="shared" si="4"/>
        <v>60</v>
      </c>
      <c r="C65" s="10">
        <v>60</v>
      </c>
      <c r="D65" s="13" t="s">
        <v>202</v>
      </c>
      <c r="E65" s="11">
        <f t="shared" si="5"/>
        <v>0.26666666666666666</v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2">
        <f t="shared" si="6"/>
        <v>5</v>
      </c>
      <c r="L65" s="7">
        <v>0</v>
      </c>
      <c r="M65" s="11">
        <f t="shared" si="2"/>
        <v>0.26666666666666666</v>
      </c>
      <c r="N65" s="11">
        <f t="shared" si="3"/>
        <v>0.6</v>
      </c>
      <c r="O65" s="20">
        <v>1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3">
        <f>IFERROR(CalcRC27(F65,G65,K65,O65,P65,Q65,R65,S65,T65,U65,V65),"-")</f>
        <v>3.6709090909090887</v>
      </c>
      <c r="X65" s="2" t="s">
        <v>533</v>
      </c>
    </row>
    <row r="66" spans="2:24" ht="13.8" x14ac:dyDescent="0.2">
      <c r="B66" s="8">
        <f t="shared" si="4"/>
        <v>61</v>
      </c>
      <c r="C66" s="10">
        <v>61</v>
      </c>
      <c r="D66" s="13" t="s">
        <v>340</v>
      </c>
      <c r="E66" s="11">
        <f t="shared" si="5"/>
        <v>0.22641509433962265</v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2">
        <f t="shared" si="6"/>
        <v>13</v>
      </c>
      <c r="L66" s="7">
        <v>1</v>
      </c>
      <c r="M66" s="11">
        <f t="shared" si="2"/>
        <v>0.32786885245901637</v>
      </c>
      <c r="N66" s="11">
        <f t="shared" si="3"/>
        <v>0.5731518713269409</v>
      </c>
      <c r="O66" s="20">
        <v>15</v>
      </c>
      <c r="P66" s="21">
        <v>6</v>
      </c>
      <c r="Q66" s="21">
        <v>2</v>
      </c>
      <c r="R66" s="22">
        <v>0</v>
      </c>
      <c r="S66" s="22">
        <v>0</v>
      </c>
      <c r="T66" s="20">
        <v>3</v>
      </c>
      <c r="U66" s="20">
        <v>0</v>
      </c>
      <c r="V66" s="20">
        <v>0</v>
      </c>
      <c r="W66" s="63">
        <f>IFERROR(CalcRC27(F66,G66,K66,O66,P66,Q66,R66,S66,T66,U66,V66),"-")</f>
        <v>3.6765533786485385</v>
      </c>
      <c r="X66" s="2" t="s">
        <v>534</v>
      </c>
    </row>
    <row r="67" spans="2:24" ht="13.8" x14ac:dyDescent="0.2">
      <c r="B67" s="8">
        <f t="shared" si="4"/>
        <v>62</v>
      </c>
      <c r="C67" s="10">
        <v>62</v>
      </c>
      <c r="D67" s="13" t="s">
        <v>1383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2"/>
        <v>0</v>
      </c>
      <c r="N67" s="11">
        <f t="shared" si="3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1414</v>
      </c>
    </row>
    <row r="68" spans="2:24" ht="13.8" x14ac:dyDescent="0.2">
      <c r="B68" s="8">
        <f t="shared" si="4"/>
        <v>63</v>
      </c>
      <c r="C68" s="10">
        <v>63</v>
      </c>
      <c r="D68" s="9" t="s">
        <v>203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535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204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536</v>
      </c>
    </row>
    <row r="70" spans="2:24" ht="13.8" x14ac:dyDescent="0.2">
      <c r="B70" s="8">
        <f t="shared" si="10"/>
        <v>65</v>
      </c>
      <c r="C70" s="10">
        <v>65</v>
      </c>
      <c r="D70" s="9" t="s">
        <v>1840</v>
      </c>
      <c r="E70" s="11">
        <f t="shared" si="11"/>
        <v>0.5</v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2">
        <f t="shared" si="12"/>
        <v>3</v>
      </c>
      <c r="L70" s="7">
        <v>0</v>
      </c>
      <c r="M70" s="11">
        <f t="shared" si="8"/>
        <v>0.5</v>
      </c>
      <c r="N70" s="11">
        <f t="shared" si="9"/>
        <v>1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1</v>
      </c>
      <c r="W70" s="63">
        <f>IFERROR(CalcRC27(F70,G70,K70,O70,P70,Q70,R70,S70,T70,U70,V70),"-")</f>
        <v>6.5384999999999982</v>
      </c>
      <c r="X70" s="2" t="s">
        <v>1841</v>
      </c>
    </row>
    <row r="71" spans="2:24" ht="13.8" x14ac:dyDescent="0.2">
      <c r="B71" s="8">
        <f t="shared" si="10"/>
        <v>66</v>
      </c>
      <c r="C71" s="10">
        <v>66</v>
      </c>
      <c r="D71" s="13" t="s">
        <v>205</v>
      </c>
      <c r="E71" s="11">
        <f t="shared" si="11"/>
        <v>0.27358490566037735</v>
      </c>
      <c r="F71" s="5">
        <v>424</v>
      </c>
      <c r="G71" s="5">
        <v>116</v>
      </c>
      <c r="H71" s="5">
        <v>26</v>
      </c>
      <c r="I71" s="5">
        <v>0</v>
      </c>
      <c r="J71" s="6">
        <v>20</v>
      </c>
      <c r="K71" s="12">
        <f t="shared" si="12"/>
        <v>202</v>
      </c>
      <c r="L71" s="7">
        <v>59</v>
      </c>
      <c r="M71" s="11">
        <f t="shared" si="8"/>
        <v>0.32166301969365424</v>
      </c>
      <c r="N71" s="11">
        <f t="shared" si="9"/>
        <v>0.79807811403327689</v>
      </c>
      <c r="O71" s="20">
        <v>100</v>
      </c>
      <c r="P71" s="21">
        <v>27</v>
      </c>
      <c r="Q71" s="21">
        <v>4</v>
      </c>
      <c r="R71" s="22">
        <v>2</v>
      </c>
      <c r="S71" s="22">
        <v>2</v>
      </c>
      <c r="T71" s="20">
        <v>2</v>
      </c>
      <c r="U71" s="20">
        <v>1</v>
      </c>
      <c r="V71" s="20">
        <v>10</v>
      </c>
      <c r="W71" s="63">
        <f>IFERROR(CalcRC27(F71,G71,K71,O71,P71,Q71,R71,S71,T71,U71,V71),"-")</f>
        <v>5.223181286549706</v>
      </c>
      <c r="X71" s="2" t="s">
        <v>537</v>
      </c>
    </row>
    <row r="72" spans="2:24" ht="13.8" x14ac:dyDescent="0.2">
      <c r="B72" s="8">
        <f t="shared" si="10"/>
        <v>67</v>
      </c>
      <c r="C72" s="10">
        <v>67</v>
      </c>
      <c r="D72" s="13" t="s">
        <v>1384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792</v>
      </c>
    </row>
    <row r="73" spans="2:24" ht="13.8" x14ac:dyDescent="0.2">
      <c r="B73" s="8">
        <f t="shared" si="10"/>
        <v>68</v>
      </c>
      <c r="C73" s="10">
        <v>68</v>
      </c>
      <c r="D73" s="13" t="s">
        <v>1846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1847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1386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 t="s">
        <v>526</v>
      </c>
    </row>
    <row r="99" spans="2:24" ht="13.8" x14ac:dyDescent="0.2">
      <c r="B99" s="8">
        <f t="shared" si="10"/>
        <v>94</v>
      </c>
      <c r="C99" s="10">
        <v>94</v>
      </c>
      <c r="D99" s="8"/>
      <c r="E99" s="11">
        <f t="shared" si="11"/>
        <v>0.14772727272727273</v>
      </c>
      <c r="F99" s="5">
        <v>88</v>
      </c>
      <c r="G99" s="5">
        <v>13</v>
      </c>
      <c r="H99" s="5">
        <v>3</v>
      </c>
      <c r="I99" s="5">
        <v>0</v>
      </c>
      <c r="J99" s="6">
        <v>4</v>
      </c>
      <c r="K99" s="12">
        <f t="shared" si="12"/>
        <v>28</v>
      </c>
      <c r="L99" s="7">
        <v>9</v>
      </c>
      <c r="M99" s="11">
        <f t="shared" si="8"/>
        <v>0.18279569892473119</v>
      </c>
      <c r="N99" s="11">
        <f t="shared" si="9"/>
        <v>0.50097751710654936</v>
      </c>
      <c r="O99" s="20">
        <v>11</v>
      </c>
      <c r="P99" s="21">
        <v>4</v>
      </c>
      <c r="Q99" s="21">
        <v>0</v>
      </c>
      <c r="R99" s="22">
        <v>0</v>
      </c>
      <c r="S99" s="22">
        <v>1</v>
      </c>
      <c r="T99" s="20">
        <v>2</v>
      </c>
      <c r="U99" s="20">
        <v>0</v>
      </c>
      <c r="V99" s="20">
        <v>3</v>
      </c>
      <c r="W99" s="63">
        <f>IFERROR(CalcRC27(F99,G99,K99,O99,P99,Q99,R99,S99,T99,U99,V99),"-")</f>
        <v>1.3724965291955886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1848</v>
      </c>
      <c r="E104" s="11">
        <f t="shared" si="11"/>
        <v>0.31578947368421051</v>
      </c>
      <c r="F104" s="5">
        <v>19</v>
      </c>
      <c r="G104" s="5">
        <v>6</v>
      </c>
      <c r="H104" s="5">
        <v>0</v>
      </c>
      <c r="I104" s="5">
        <v>1</v>
      </c>
      <c r="J104" s="6">
        <v>1</v>
      </c>
      <c r="K104" s="12">
        <f t="shared" si="12"/>
        <v>11</v>
      </c>
      <c r="L104" s="7">
        <v>5</v>
      </c>
      <c r="M104" s="11">
        <f t="shared" si="8"/>
        <v>0.35</v>
      </c>
      <c r="N104" s="11">
        <f t="shared" si="9"/>
        <v>0.92894736842105263</v>
      </c>
      <c r="O104" s="20">
        <v>9</v>
      </c>
      <c r="P104" s="21">
        <v>1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>
        <f>IFERROR(CalcRC27(F104,G104,K104,O104,P104,Q104,R104,S104,T104,U104,V104),"-")</f>
        <v>7.6667307692307665</v>
      </c>
      <c r="X104" s="2" t="s">
        <v>1849</v>
      </c>
    </row>
    <row r="105" spans="2:24" ht="13.8" x14ac:dyDescent="0.2">
      <c r="B105" s="8">
        <f t="shared" si="10"/>
        <v>112</v>
      </c>
      <c r="C105" s="10">
        <v>112</v>
      </c>
      <c r="D105" s="14" t="s">
        <v>1387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1415</v>
      </c>
    </row>
    <row r="106" spans="2:24" ht="13.8" x14ac:dyDescent="0.2">
      <c r="B106" s="8">
        <f t="shared" si="10"/>
        <v>113</v>
      </c>
      <c r="C106" s="10">
        <v>113</v>
      </c>
      <c r="D106" s="9" t="s">
        <v>1388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1416</v>
      </c>
    </row>
    <row r="107" spans="2:24" ht="13.8" x14ac:dyDescent="0.2">
      <c r="B107" s="8">
        <f t="shared" si="10"/>
        <v>114</v>
      </c>
      <c r="C107" s="10">
        <v>114</v>
      </c>
      <c r="D107" s="9" t="s">
        <v>1389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1417</v>
      </c>
    </row>
    <row r="108" spans="2:24" ht="13.8" x14ac:dyDescent="0.2">
      <c r="B108" s="8">
        <f t="shared" si="10"/>
        <v>115</v>
      </c>
      <c r="C108" s="10">
        <v>115</v>
      </c>
      <c r="D108" s="9" t="s">
        <v>1390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1418</v>
      </c>
    </row>
    <row r="109" spans="2:24" ht="13.8" x14ac:dyDescent="0.2">
      <c r="B109" s="8">
        <f t="shared" si="10"/>
        <v>121</v>
      </c>
      <c r="C109" s="10">
        <v>121</v>
      </c>
      <c r="D109" s="9" t="s">
        <v>1391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1419</v>
      </c>
    </row>
    <row r="110" spans="2:24" ht="13.8" x14ac:dyDescent="0.2">
      <c r="B110" s="8">
        <f t="shared" si="10"/>
        <v>123</v>
      </c>
      <c r="C110" s="10">
        <v>123</v>
      </c>
      <c r="D110" s="9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1420</v>
      </c>
    </row>
    <row r="111" spans="2:24" ht="13.8" x14ac:dyDescent="0.2">
      <c r="B111" s="8">
        <f t="shared" si="10"/>
        <v>124</v>
      </c>
      <c r="C111" s="10">
        <v>124</v>
      </c>
      <c r="D111" s="9" t="s">
        <v>1717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1421</v>
      </c>
    </row>
    <row r="112" spans="2:24" ht="13.8" x14ac:dyDescent="0.2">
      <c r="B112" s="8">
        <f t="shared" si="10"/>
        <v>125</v>
      </c>
      <c r="C112" s="10">
        <v>125</v>
      </c>
      <c r="D112" s="9" t="s">
        <v>1393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1422</v>
      </c>
    </row>
    <row r="113" spans="2:24" ht="13.8" x14ac:dyDescent="0.2">
      <c r="B113" s="8">
        <f t="shared" si="10"/>
        <v>126</v>
      </c>
      <c r="C113" s="10">
        <v>126</v>
      </c>
      <c r="D113" s="9" t="s">
        <v>1548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1423</v>
      </c>
    </row>
    <row r="114" spans="2:24" ht="13.8" x14ac:dyDescent="0.2">
      <c r="B114" s="8">
        <f t="shared" si="10"/>
        <v>127</v>
      </c>
      <c r="C114" s="10">
        <v>127</v>
      </c>
      <c r="D114" s="9" t="s">
        <v>1394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1424</v>
      </c>
    </row>
    <row r="115" spans="2:24" ht="13.8" x14ac:dyDescent="0.2">
      <c r="B115" s="8">
        <f t="shared" si="10"/>
        <v>128</v>
      </c>
      <c r="C115" s="10">
        <v>128</v>
      </c>
      <c r="D115" s="9" t="s">
        <v>1683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1425</v>
      </c>
    </row>
    <row r="116" spans="2:24" ht="13.8" x14ac:dyDescent="0.2">
      <c r="B116" s="8">
        <f t="shared" si="10"/>
        <v>137</v>
      </c>
      <c r="C116" s="10">
        <v>137</v>
      </c>
      <c r="D116" s="9" t="s">
        <v>1395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523</v>
      </c>
    </row>
    <row r="117" spans="2:24" ht="13.8" x14ac:dyDescent="0.2">
      <c r="B117" s="8">
        <f t="shared" si="10"/>
        <v>161</v>
      </c>
      <c r="C117" s="10">
        <v>161</v>
      </c>
      <c r="D117" s="9" t="s">
        <v>1396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1426</v>
      </c>
    </row>
    <row r="118" spans="2:24" ht="13.8" x14ac:dyDescent="0.2">
      <c r="B118" s="8">
        <f t="shared" si="10"/>
        <v>199</v>
      </c>
      <c r="C118" s="10">
        <v>199</v>
      </c>
      <c r="D118" s="9" t="s">
        <v>1397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507</v>
      </c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 t="s">
        <v>1266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1204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629</v>
      </c>
    </row>
    <row r="6" spans="2:24" ht="13.8" x14ac:dyDescent="0.2">
      <c r="B6" s="8">
        <f t="shared" si="6"/>
        <v>1</v>
      </c>
      <c r="C6" s="10">
        <v>1</v>
      </c>
      <c r="D6" s="13" t="s">
        <v>239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1205</v>
      </c>
    </row>
    <row r="7" spans="2:24" ht="13.8" x14ac:dyDescent="0.2">
      <c r="B7" s="8">
        <f t="shared" si="6"/>
        <v>2</v>
      </c>
      <c r="C7" s="10">
        <v>2</v>
      </c>
      <c r="D7" s="13" t="s">
        <v>1214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1206</v>
      </c>
    </row>
    <row r="8" spans="2:24" ht="13.8" x14ac:dyDescent="0.2">
      <c r="B8" s="8">
        <f t="shared" si="6"/>
        <v>3</v>
      </c>
      <c r="C8" s="10">
        <v>3</v>
      </c>
      <c r="D8" s="13" t="s">
        <v>240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630</v>
      </c>
    </row>
    <row r="9" spans="2:24" ht="13.8" x14ac:dyDescent="0.2">
      <c r="B9" s="8">
        <f t="shared" si="6"/>
        <v>4</v>
      </c>
      <c r="C9" s="10">
        <v>4</v>
      </c>
      <c r="D9" s="13" t="s">
        <v>241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631</v>
      </c>
    </row>
    <row r="10" spans="2:24" ht="13.8" x14ac:dyDescent="0.2">
      <c r="B10" s="8">
        <f t="shared" si="6"/>
        <v>5</v>
      </c>
      <c r="C10" s="10">
        <v>5</v>
      </c>
      <c r="D10" s="13" t="s">
        <v>1257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632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242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633</v>
      </c>
    </row>
    <row r="13" spans="2:24" ht="13.8" x14ac:dyDescent="0.2">
      <c r="B13" s="8">
        <f t="shared" si="6"/>
        <v>8</v>
      </c>
      <c r="C13" s="10">
        <v>8</v>
      </c>
      <c r="D13" s="13" t="s">
        <v>1027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634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1552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235</v>
      </c>
    </row>
    <row r="17" spans="2:24" ht="13.8" x14ac:dyDescent="0.2">
      <c r="B17" s="8">
        <f t="shared" si="6"/>
        <v>12</v>
      </c>
      <c r="C17" s="10">
        <v>12</v>
      </c>
      <c r="D17" s="13" t="s">
        <v>1666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635</v>
      </c>
    </row>
    <row r="18" spans="2:24" ht="13.8" x14ac:dyDescent="0.2">
      <c r="B18" s="8">
        <f t="shared" si="6"/>
        <v>13</v>
      </c>
      <c r="C18" s="10">
        <v>13</v>
      </c>
      <c r="D18" s="13" t="s">
        <v>243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636</v>
      </c>
    </row>
    <row r="19" spans="2:24" ht="13.8" x14ac:dyDescent="0.2">
      <c r="B19" s="8">
        <f t="shared" si="6"/>
        <v>14</v>
      </c>
      <c r="C19" s="10">
        <v>14</v>
      </c>
      <c r="D19" s="13" t="s">
        <v>1215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1207</v>
      </c>
    </row>
    <row r="20" spans="2:24" ht="13.8" x14ac:dyDescent="0.2">
      <c r="B20" s="8">
        <f t="shared" si="6"/>
        <v>15</v>
      </c>
      <c r="C20" s="10">
        <v>15</v>
      </c>
      <c r="D20" s="8" t="s">
        <v>244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637</v>
      </c>
    </row>
    <row r="21" spans="2:24" ht="13.8" x14ac:dyDescent="0.2">
      <c r="B21" s="8">
        <f t="shared" si="6"/>
        <v>16</v>
      </c>
      <c r="C21" s="10">
        <v>16</v>
      </c>
      <c r="D21" s="13" t="s">
        <v>245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638</v>
      </c>
    </row>
    <row r="22" spans="2:24" ht="13.8" x14ac:dyDescent="0.2">
      <c r="B22" s="8">
        <f t="shared" si="6"/>
        <v>17</v>
      </c>
      <c r="C22" s="10">
        <v>17</v>
      </c>
      <c r="D22" s="13" t="s">
        <v>246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236</v>
      </c>
    </row>
    <row r="23" spans="2:24" ht="13.8" x14ac:dyDescent="0.2">
      <c r="B23" s="8">
        <f t="shared" si="6"/>
        <v>18</v>
      </c>
      <c r="C23" s="10">
        <v>18</v>
      </c>
      <c r="D23" s="13" t="s">
        <v>247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639</v>
      </c>
    </row>
    <row r="24" spans="2:24" ht="13.8" x14ac:dyDescent="0.2">
      <c r="B24" s="8">
        <f t="shared" si="6"/>
        <v>19</v>
      </c>
      <c r="C24" s="10">
        <v>19</v>
      </c>
      <c r="D24" s="13" t="s">
        <v>248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640</v>
      </c>
    </row>
    <row r="25" spans="2:24" ht="13.8" x14ac:dyDescent="0.2">
      <c r="B25" s="8">
        <f t="shared" si="6"/>
        <v>20</v>
      </c>
      <c r="C25" s="10">
        <v>20</v>
      </c>
      <c r="D25" s="13" t="s">
        <v>249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641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1727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642</v>
      </c>
    </row>
    <row r="28" spans="2:24" ht="13.8" x14ac:dyDescent="0.2">
      <c r="B28" s="8">
        <f t="shared" si="6"/>
        <v>23</v>
      </c>
      <c r="C28" s="10">
        <v>23</v>
      </c>
      <c r="D28" s="13" t="s">
        <v>250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643</v>
      </c>
    </row>
    <row r="29" spans="2:24" ht="13.8" x14ac:dyDescent="0.2">
      <c r="B29" s="8">
        <f t="shared" si="6"/>
        <v>24</v>
      </c>
      <c r="C29" s="10">
        <v>24</v>
      </c>
      <c r="D29" s="13" t="s">
        <v>251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644</v>
      </c>
    </row>
    <row r="30" spans="2:24" ht="13.8" x14ac:dyDescent="0.2">
      <c r="B30" s="8">
        <f t="shared" si="6"/>
        <v>25</v>
      </c>
      <c r="C30" s="10">
        <v>25</v>
      </c>
      <c r="D30" s="13" t="s">
        <v>252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645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1683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1684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151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646</v>
      </c>
    </row>
    <row r="35" spans="2:24" ht="13.8" x14ac:dyDescent="0.2">
      <c r="B35" s="8">
        <f t="shared" si="6"/>
        <v>30</v>
      </c>
      <c r="C35" s="10">
        <v>30</v>
      </c>
      <c r="D35" s="13" t="s">
        <v>1216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1208</v>
      </c>
    </row>
    <row r="36" spans="2:24" ht="13.8" x14ac:dyDescent="0.2">
      <c r="B36" s="8">
        <f t="shared" si="6"/>
        <v>31</v>
      </c>
      <c r="C36" s="10">
        <v>31</v>
      </c>
      <c r="D36" s="13" t="s">
        <v>1522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647</v>
      </c>
    </row>
    <row r="37" spans="2:24" ht="13.8" x14ac:dyDescent="0.2">
      <c r="B37" s="8">
        <f t="shared" si="6"/>
        <v>32</v>
      </c>
      <c r="C37" s="10">
        <v>32</v>
      </c>
      <c r="D37" s="13" t="s">
        <v>1482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237</v>
      </c>
    </row>
    <row r="38" spans="2:24" ht="13.8" x14ac:dyDescent="0.2">
      <c r="B38" s="8">
        <f t="shared" si="6"/>
        <v>33</v>
      </c>
      <c r="C38" s="10">
        <v>33</v>
      </c>
      <c r="D38" s="13" t="s">
        <v>1217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1209</v>
      </c>
    </row>
    <row r="39" spans="2:24" ht="13.8" x14ac:dyDescent="0.2">
      <c r="B39" s="8">
        <f t="shared" si="6"/>
        <v>34</v>
      </c>
      <c r="C39" s="10">
        <v>34</v>
      </c>
      <c r="D39" s="13" t="s">
        <v>253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648</v>
      </c>
    </row>
    <row r="40" spans="2:24" ht="13.8" x14ac:dyDescent="0.2">
      <c r="B40" s="8">
        <f t="shared" si="6"/>
        <v>35</v>
      </c>
      <c r="C40" s="10">
        <v>35</v>
      </c>
      <c r="D40" s="13" t="s">
        <v>1714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649</v>
      </c>
    </row>
    <row r="41" spans="2:24" ht="13.8" x14ac:dyDescent="0.2">
      <c r="B41" s="8">
        <f t="shared" si="6"/>
        <v>36</v>
      </c>
      <c r="C41" s="10">
        <v>36</v>
      </c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37</v>
      </c>
      <c r="C42" s="10">
        <v>37</v>
      </c>
      <c r="D42" s="13" t="s">
        <v>1067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650</v>
      </c>
    </row>
    <row r="43" spans="2:24" ht="13.8" x14ac:dyDescent="0.2">
      <c r="B43" s="8">
        <f t="shared" si="6"/>
        <v>38</v>
      </c>
      <c r="C43" s="10">
        <v>38</v>
      </c>
      <c r="D43" s="13" t="s">
        <v>895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901</v>
      </c>
    </row>
    <row r="44" spans="2:24" ht="13.8" x14ac:dyDescent="0.2">
      <c r="B44" s="8">
        <f t="shared" si="6"/>
        <v>39</v>
      </c>
      <c r="C44" s="10">
        <v>39</v>
      </c>
      <c r="D44" s="13" t="s">
        <v>254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651</v>
      </c>
    </row>
    <row r="45" spans="2:24" ht="13.8" x14ac:dyDescent="0.2">
      <c r="B45" s="8">
        <f t="shared" si="6"/>
        <v>40</v>
      </c>
      <c r="C45" s="10">
        <v>40</v>
      </c>
      <c r="D45" s="13" t="s">
        <v>1374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1405</v>
      </c>
    </row>
    <row r="46" spans="2:24" ht="13.8" x14ac:dyDescent="0.2">
      <c r="B46" s="8">
        <f t="shared" si="6"/>
        <v>41</v>
      </c>
      <c r="C46" s="10">
        <v>41</v>
      </c>
      <c r="D46" s="13" t="s">
        <v>255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652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1218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1210</v>
      </c>
    </row>
    <row r="49" spans="2:24" ht="13.8" x14ac:dyDescent="0.2">
      <c r="B49" s="8">
        <f t="shared" si="6"/>
        <v>44</v>
      </c>
      <c r="C49" s="10">
        <v>44</v>
      </c>
      <c r="D49" s="13" t="s">
        <v>1595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653</v>
      </c>
    </row>
    <row r="50" spans="2:24" ht="13.8" x14ac:dyDescent="0.2">
      <c r="B50" s="8">
        <f t="shared" si="6"/>
        <v>45</v>
      </c>
      <c r="C50" s="10">
        <v>45</v>
      </c>
      <c r="D50" s="13" t="s">
        <v>256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1196</v>
      </c>
    </row>
    <row r="51" spans="2:24" ht="13.8" x14ac:dyDescent="0.2">
      <c r="B51" s="8">
        <f t="shared" si="6"/>
        <v>46</v>
      </c>
      <c r="C51" s="10">
        <v>46</v>
      </c>
      <c r="D51" s="13" t="s">
        <v>257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654</v>
      </c>
    </row>
    <row r="52" spans="2:24" ht="13.8" x14ac:dyDescent="0.2">
      <c r="B52" s="8">
        <f t="shared" si="6"/>
        <v>47</v>
      </c>
      <c r="C52" s="10">
        <v>47</v>
      </c>
      <c r="D52" s="13" t="s">
        <v>258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655</v>
      </c>
    </row>
    <row r="53" spans="2:24" ht="13.8" x14ac:dyDescent="0.2">
      <c r="B53" s="8">
        <f t="shared" si="6"/>
        <v>48</v>
      </c>
      <c r="C53" s="10">
        <v>48</v>
      </c>
      <c r="D53" s="13" t="s">
        <v>259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656</v>
      </c>
    </row>
    <row r="54" spans="2:24" ht="13.8" x14ac:dyDescent="0.2">
      <c r="B54" s="8">
        <f t="shared" si="6"/>
        <v>49</v>
      </c>
      <c r="C54" s="10">
        <v>49</v>
      </c>
      <c r="D54" s="13" t="s">
        <v>903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904</v>
      </c>
    </row>
    <row r="55" spans="2:24" ht="13.8" x14ac:dyDescent="0.2">
      <c r="B55" s="8">
        <f t="shared" si="6"/>
        <v>50</v>
      </c>
      <c r="C55" s="10">
        <v>50</v>
      </c>
      <c r="D55" s="13" t="s">
        <v>1741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1211</v>
      </c>
    </row>
    <row r="56" spans="2:24" ht="13.8" x14ac:dyDescent="0.2">
      <c r="B56" s="8">
        <f t="shared" si="6"/>
        <v>51</v>
      </c>
      <c r="C56" s="10">
        <v>51</v>
      </c>
      <c r="D56" s="13" t="s">
        <v>1394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657</v>
      </c>
    </row>
    <row r="57" spans="2:24" ht="13.8" x14ac:dyDescent="0.2">
      <c r="B57" s="8">
        <f t="shared" si="6"/>
        <v>52</v>
      </c>
      <c r="C57" s="10">
        <v>52</v>
      </c>
      <c r="D57" s="13" t="s">
        <v>1340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658</v>
      </c>
    </row>
    <row r="58" spans="2:24" ht="13.8" x14ac:dyDescent="0.2">
      <c r="B58" s="8">
        <f t="shared" si="6"/>
        <v>53</v>
      </c>
      <c r="C58" s="10">
        <v>53</v>
      </c>
      <c r="D58" s="13" t="s">
        <v>260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659</v>
      </c>
    </row>
    <row r="59" spans="2:24" ht="13.8" x14ac:dyDescent="0.2">
      <c r="B59" s="8">
        <f t="shared" si="6"/>
        <v>54</v>
      </c>
      <c r="C59" s="10">
        <v>54</v>
      </c>
      <c r="D59" s="13" t="s">
        <v>341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341</v>
      </c>
    </row>
    <row r="60" spans="2:24" ht="13.8" x14ac:dyDescent="0.2">
      <c r="B60" s="8">
        <f t="shared" si="6"/>
        <v>55</v>
      </c>
      <c r="C60" s="10">
        <v>55</v>
      </c>
      <c r="D60" s="13" t="s">
        <v>342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342</v>
      </c>
    </row>
    <row r="61" spans="2:24" ht="13.8" x14ac:dyDescent="0.2">
      <c r="B61" s="8">
        <f t="shared" si="6"/>
        <v>56</v>
      </c>
      <c r="C61" s="10">
        <v>56</v>
      </c>
      <c r="D61" s="13" t="s">
        <v>343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660</v>
      </c>
    </row>
    <row r="62" spans="2:24" ht="13.8" x14ac:dyDescent="0.2">
      <c r="B62" s="8">
        <f t="shared" si="6"/>
        <v>57</v>
      </c>
      <c r="C62" s="10">
        <v>57</v>
      </c>
      <c r="D62" s="13" t="s">
        <v>1673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661</v>
      </c>
    </row>
    <row r="63" spans="2:24" ht="13.8" x14ac:dyDescent="0.2">
      <c r="B63" s="8">
        <f t="shared" si="6"/>
        <v>58</v>
      </c>
      <c r="C63" s="10">
        <v>58</v>
      </c>
      <c r="D63" s="13" t="s">
        <v>344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662</v>
      </c>
    </row>
    <row r="64" spans="2:24" ht="13.8" x14ac:dyDescent="0.2">
      <c r="B64" s="8">
        <f t="shared" si="6"/>
        <v>59</v>
      </c>
      <c r="C64" s="10">
        <v>59</v>
      </c>
      <c r="D64" s="13" t="s">
        <v>1249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663</v>
      </c>
    </row>
    <row r="65" spans="2:24" ht="13.8" x14ac:dyDescent="0.2">
      <c r="B65" s="8">
        <f t="shared" si="6"/>
        <v>60</v>
      </c>
      <c r="C65" s="10">
        <v>60</v>
      </c>
      <c r="D65" s="13" t="s">
        <v>1264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664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>
        <f t="shared" si="6"/>
        <v>62</v>
      </c>
      <c r="C67" s="10">
        <v>62</v>
      </c>
      <c r="D67" s="13" t="s">
        <v>1718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1212</v>
      </c>
    </row>
    <row r="68" spans="2:24" ht="13.8" x14ac:dyDescent="0.2">
      <c r="B68" s="8">
        <f t="shared" si="6"/>
        <v>63</v>
      </c>
      <c r="C68" s="10">
        <v>63</v>
      </c>
      <c r="D68" s="9" t="s">
        <v>345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346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1219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1213</v>
      </c>
    </row>
    <row r="70" spans="2:24" ht="13.8" x14ac:dyDescent="0.2">
      <c r="B70" s="8">
        <f t="shared" si="10"/>
        <v>65</v>
      </c>
      <c r="C70" s="10">
        <v>65</v>
      </c>
      <c r="D70" s="9" t="s">
        <v>261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665</v>
      </c>
    </row>
    <row r="71" spans="2:24" ht="13.8" x14ac:dyDescent="0.2">
      <c r="B71" s="8">
        <f t="shared" si="10"/>
        <v>66</v>
      </c>
      <c r="C71" s="10">
        <v>66</v>
      </c>
      <c r="D71" s="13" t="s">
        <v>1742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900</v>
      </c>
    </row>
    <row r="72" spans="2:24" ht="13.8" x14ac:dyDescent="0.2">
      <c r="B72" s="8">
        <f t="shared" si="10"/>
        <v>67</v>
      </c>
      <c r="C72" s="10">
        <v>67</v>
      </c>
      <c r="D72" s="13" t="s">
        <v>262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666</v>
      </c>
    </row>
    <row r="73" spans="2:24" ht="13.8" x14ac:dyDescent="0.2">
      <c r="B73" s="8">
        <f t="shared" si="10"/>
        <v>68</v>
      </c>
      <c r="C73" s="10">
        <v>68</v>
      </c>
      <c r="D73" s="13" t="s">
        <v>263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667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668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347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 t="s">
        <v>347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 t="s">
        <v>1743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 t="s">
        <v>1743</v>
      </c>
    </row>
    <row r="97" spans="2:24" ht="13.8" x14ac:dyDescent="0.2">
      <c r="B97" s="8">
        <f t="shared" si="10"/>
        <v>92</v>
      </c>
      <c r="C97" s="10">
        <v>92</v>
      </c>
      <c r="D97" s="8" t="s">
        <v>902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 t="s">
        <v>892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1744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 t="s">
        <v>670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265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669</v>
      </c>
    </row>
    <row r="105" spans="2:24" ht="13.8" x14ac:dyDescent="0.2">
      <c r="B105" s="8">
        <f t="shared" si="10"/>
        <v>120</v>
      </c>
      <c r="C105" s="10">
        <v>120</v>
      </c>
      <c r="D105" s="14" t="s">
        <v>1220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1197</v>
      </c>
    </row>
    <row r="106" spans="2:24" ht="13.8" x14ac:dyDescent="0.2">
      <c r="B106" s="8">
        <f t="shared" si="10"/>
        <v>122</v>
      </c>
      <c r="C106" s="10">
        <v>122</v>
      </c>
      <c r="D106" s="9" t="s">
        <v>1745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1198</v>
      </c>
    </row>
    <row r="107" spans="2:24" ht="13.8" x14ac:dyDescent="0.2">
      <c r="B107" s="8">
        <f t="shared" si="10"/>
        <v>123</v>
      </c>
      <c r="C107" s="10">
        <v>123</v>
      </c>
      <c r="D107" s="9" t="s">
        <v>1746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1199</v>
      </c>
    </row>
    <row r="108" spans="2:24" ht="13.8" x14ac:dyDescent="0.2">
      <c r="B108" s="8">
        <f t="shared" si="10"/>
        <v>124</v>
      </c>
      <c r="C108" s="10">
        <v>124</v>
      </c>
      <c r="D108" s="9" t="s">
        <v>1683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1200</v>
      </c>
    </row>
    <row r="109" spans="2:24" ht="13.8" x14ac:dyDescent="0.2">
      <c r="B109" s="8">
        <f t="shared" si="10"/>
        <v>125</v>
      </c>
      <c r="C109" s="10">
        <v>125</v>
      </c>
      <c r="D109" s="9" t="s">
        <v>1747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1201</v>
      </c>
    </row>
    <row r="110" spans="2:24" ht="13.8" x14ac:dyDescent="0.2">
      <c r="B110" s="8">
        <f t="shared" si="10"/>
        <v>126</v>
      </c>
      <c r="C110" s="10">
        <v>126</v>
      </c>
      <c r="D110" s="9" t="s">
        <v>1748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1202</v>
      </c>
    </row>
    <row r="111" spans="2:24" ht="13.8" x14ac:dyDescent="0.2">
      <c r="B111" s="8">
        <f t="shared" si="10"/>
        <v>130</v>
      </c>
      <c r="C111" s="10">
        <v>130</v>
      </c>
      <c r="D111" s="9" t="s">
        <v>266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266</v>
      </c>
    </row>
    <row r="112" spans="2:24" ht="13.8" x14ac:dyDescent="0.2">
      <c r="B112" s="8">
        <f t="shared" si="10"/>
        <v>131</v>
      </c>
      <c r="C112" s="10">
        <v>131</v>
      </c>
      <c r="D112" s="9" t="s">
        <v>348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348</v>
      </c>
    </row>
    <row r="113" spans="2:24" ht="13.8" x14ac:dyDescent="0.2">
      <c r="B113" s="8">
        <f t="shared" si="10"/>
        <v>138</v>
      </c>
      <c r="C113" s="10">
        <v>138</v>
      </c>
      <c r="D113" s="9" t="s">
        <v>1749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1203</v>
      </c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1176</v>
      </c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1177</v>
      </c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1178</v>
      </c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1179</v>
      </c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1180</v>
      </c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1273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1784</v>
      </c>
    </row>
    <row r="6" spans="2:24" ht="13.8" x14ac:dyDescent="0.2">
      <c r="B6" s="8">
        <f t="shared" si="6"/>
        <v>1</v>
      </c>
      <c r="C6" s="10">
        <v>1</v>
      </c>
      <c r="D6" s="13" t="s">
        <v>1272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1785</v>
      </c>
    </row>
    <row r="7" spans="2:24" ht="13.8" x14ac:dyDescent="0.2">
      <c r="B7" s="8">
        <f t="shared" si="6"/>
        <v>2</v>
      </c>
      <c r="C7" s="10">
        <v>2</v>
      </c>
      <c r="D7" s="13" t="s">
        <v>349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587</v>
      </c>
    </row>
    <row r="8" spans="2:24" ht="13.8" x14ac:dyDescent="0.2">
      <c r="B8" s="8">
        <f t="shared" si="6"/>
        <v>3</v>
      </c>
      <c r="C8" s="10">
        <v>3</v>
      </c>
      <c r="D8" s="13" t="s">
        <v>150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588</v>
      </c>
    </row>
    <row r="9" spans="2:24" ht="13.8" x14ac:dyDescent="0.2">
      <c r="B9" s="8">
        <f t="shared" si="6"/>
        <v>4</v>
      </c>
      <c r="C9" s="10">
        <v>4</v>
      </c>
      <c r="D9" s="13" t="s">
        <v>1750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1750</v>
      </c>
    </row>
    <row r="10" spans="2:24" ht="13.8" x14ac:dyDescent="0.2">
      <c r="B10" s="8">
        <f t="shared" si="6"/>
        <v>5</v>
      </c>
      <c r="C10" s="10">
        <v>5</v>
      </c>
      <c r="D10" s="13" t="s">
        <v>151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589</v>
      </c>
    </row>
    <row r="11" spans="2:24" ht="13.8" x14ac:dyDescent="0.2">
      <c r="B11" s="8">
        <f t="shared" si="6"/>
        <v>6</v>
      </c>
      <c r="C11" s="10">
        <v>6</v>
      </c>
      <c r="D11" s="13" t="s">
        <v>152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590</v>
      </c>
    </row>
    <row r="12" spans="2:24" ht="13.8" x14ac:dyDescent="0.2">
      <c r="B12" s="8">
        <f t="shared" si="6"/>
        <v>7</v>
      </c>
      <c r="C12" s="10">
        <v>7</v>
      </c>
      <c r="D12" s="13" t="s">
        <v>1271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1786</v>
      </c>
    </row>
    <row r="13" spans="2:24" ht="13.8" x14ac:dyDescent="0.2">
      <c r="B13" s="8">
        <f t="shared" si="6"/>
        <v>8</v>
      </c>
      <c r="C13" s="10">
        <v>8</v>
      </c>
      <c r="D13" s="13" t="s">
        <v>153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591</v>
      </c>
    </row>
    <row r="14" spans="2:24" ht="13.8" x14ac:dyDescent="0.2">
      <c r="B14" s="8">
        <f t="shared" si="6"/>
        <v>9</v>
      </c>
      <c r="C14" s="10">
        <v>9</v>
      </c>
      <c r="D14" s="13" t="s">
        <v>1270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1787</v>
      </c>
    </row>
    <row r="15" spans="2:24" ht="13.8" x14ac:dyDescent="0.2">
      <c r="B15" s="8">
        <f t="shared" si="6"/>
        <v>10</v>
      </c>
      <c r="C15" s="10">
        <v>10</v>
      </c>
      <c r="D15" s="13" t="s">
        <v>1269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1788</v>
      </c>
    </row>
    <row r="16" spans="2:24" ht="13.8" x14ac:dyDescent="0.2">
      <c r="B16" s="8">
        <f t="shared" si="6"/>
        <v>11</v>
      </c>
      <c r="C16" s="10">
        <v>11</v>
      </c>
      <c r="D16" s="13" t="s">
        <v>154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1827</v>
      </c>
    </row>
    <row r="17" spans="2:24" ht="13.8" x14ac:dyDescent="0.2">
      <c r="B17" s="8">
        <f t="shared" si="6"/>
        <v>12</v>
      </c>
      <c r="C17" s="10">
        <v>12</v>
      </c>
      <c r="D17" s="13" t="s">
        <v>1085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350</v>
      </c>
    </row>
    <row r="18" spans="2:24" ht="13.8" x14ac:dyDescent="0.2">
      <c r="B18" s="8">
        <f t="shared" si="6"/>
        <v>13</v>
      </c>
      <c r="C18" s="10">
        <v>13</v>
      </c>
      <c r="D18" s="13" t="s">
        <v>1751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592</v>
      </c>
    </row>
    <row r="19" spans="2:24" ht="13.8" x14ac:dyDescent="0.2">
      <c r="B19" s="8">
        <f t="shared" si="6"/>
        <v>14</v>
      </c>
      <c r="C19" s="10">
        <v>14</v>
      </c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>
        <f t="shared" si="6"/>
        <v>15</v>
      </c>
      <c r="C20" s="10">
        <v>15</v>
      </c>
      <c r="D20" s="8" t="s">
        <v>1268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1789</v>
      </c>
    </row>
    <row r="21" spans="2:24" ht="13.8" x14ac:dyDescent="0.2">
      <c r="B21" s="8">
        <f t="shared" si="6"/>
        <v>16</v>
      </c>
      <c r="C21" s="10">
        <v>16</v>
      </c>
      <c r="D21" s="13" t="s">
        <v>351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593</v>
      </c>
    </row>
    <row r="22" spans="2:24" ht="13.8" x14ac:dyDescent="0.2">
      <c r="B22" s="8">
        <f t="shared" si="6"/>
        <v>17</v>
      </c>
      <c r="C22" s="10">
        <v>17</v>
      </c>
      <c r="D22" s="13" t="s">
        <v>155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594</v>
      </c>
    </row>
    <row r="23" spans="2:24" ht="13.8" x14ac:dyDescent="0.2">
      <c r="B23" s="8">
        <f t="shared" si="6"/>
        <v>18</v>
      </c>
      <c r="C23" s="10">
        <v>18</v>
      </c>
      <c r="D23" s="13" t="s">
        <v>1683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595</v>
      </c>
    </row>
    <row r="24" spans="2:24" ht="13.8" x14ac:dyDescent="0.2">
      <c r="B24" s="8">
        <f t="shared" si="6"/>
        <v>19</v>
      </c>
      <c r="C24" s="10">
        <v>19</v>
      </c>
      <c r="D24" s="13" t="s">
        <v>156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596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157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597</v>
      </c>
    </row>
    <row r="27" spans="2:24" ht="13.8" x14ac:dyDescent="0.2">
      <c r="B27" s="8">
        <f t="shared" si="6"/>
        <v>22</v>
      </c>
      <c r="C27" s="10">
        <v>22</v>
      </c>
      <c r="D27" s="13" t="s">
        <v>158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598</v>
      </c>
    </row>
    <row r="28" spans="2:24" ht="13.8" x14ac:dyDescent="0.2">
      <c r="B28" s="8">
        <f t="shared" si="6"/>
        <v>23</v>
      </c>
      <c r="C28" s="10">
        <v>23</v>
      </c>
      <c r="D28" s="13" t="s">
        <v>159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599</v>
      </c>
    </row>
    <row r="29" spans="2:24" ht="13.8" x14ac:dyDescent="0.2">
      <c r="B29" s="8">
        <f t="shared" si="6"/>
        <v>24</v>
      </c>
      <c r="C29" s="10">
        <v>24</v>
      </c>
      <c r="D29" s="13" t="s">
        <v>160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148</v>
      </c>
    </row>
    <row r="30" spans="2:24" ht="13.8" x14ac:dyDescent="0.2">
      <c r="B30" s="8">
        <f t="shared" si="6"/>
        <v>25</v>
      </c>
      <c r="C30" s="10">
        <v>25</v>
      </c>
      <c r="D30" s="13" t="s">
        <v>161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600</v>
      </c>
    </row>
    <row r="31" spans="2:24" ht="13.8" x14ac:dyDescent="0.2">
      <c r="B31" s="8">
        <f t="shared" si="6"/>
        <v>26</v>
      </c>
      <c r="C31" s="10">
        <v>26</v>
      </c>
      <c r="D31" s="13" t="s">
        <v>352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601</v>
      </c>
    </row>
    <row r="32" spans="2:24" ht="13.8" x14ac:dyDescent="0.2">
      <c r="B32" s="8">
        <f t="shared" si="6"/>
        <v>27</v>
      </c>
      <c r="C32" s="10">
        <v>27</v>
      </c>
      <c r="D32" s="13" t="s">
        <v>353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602</v>
      </c>
    </row>
    <row r="33" spans="2:24" ht="13.8" x14ac:dyDescent="0.2">
      <c r="B33" s="8">
        <f t="shared" si="6"/>
        <v>28</v>
      </c>
      <c r="C33" s="10">
        <v>28</v>
      </c>
      <c r="D33" s="13" t="s">
        <v>162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603</v>
      </c>
    </row>
    <row r="34" spans="2:24" ht="13.8" x14ac:dyDescent="0.2">
      <c r="B34" s="8">
        <f t="shared" si="6"/>
        <v>29</v>
      </c>
      <c r="C34" s="10">
        <v>29</v>
      </c>
      <c r="D34" s="13" t="s">
        <v>163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604</v>
      </c>
    </row>
    <row r="35" spans="2:24" ht="13.8" x14ac:dyDescent="0.2">
      <c r="B35" s="8">
        <f t="shared" si="6"/>
        <v>30</v>
      </c>
      <c r="C35" s="10">
        <v>30</v>
      </c>
      <c r="D35" s="13" t="s">
        <v>450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450</v>
      </c>
    </row>
    <row r="36" spans="2:24" ht="13.8" x14ac:dyDescent="0.2">
      <c r="B36" s="8">
        <f t="shared" si="6"/>
        <v>31</v>
      </c>
      <c r="C36" s="10">
        <v>31</v>
      </c>
      <c r="D36" s="13" t="s">
        <v>65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605</v>
      </c>
    </row>
    <row r="37" spans="2:24" ht="13.8" x14ac:dyDescent="0.2">
      <c r="B37" s="8">
        <f t="shared" si="6"/>
        <v>32</v>
      </c>
      <c r="C37" s="10">
        <v>32</v>
      </c>
      <c r="D37" s="13" t="s">
        <v>1267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1790</v>
      </c>
    </row>
    <row r="38" spans="2:24" ht="13.8" x14ac:dyDescent="0.2">
      <c r="B38" s="8">
        <f t="shared" si="6"/>
        <v>33</v>
      </c>
      <c r="C38" s="10">
        <v>33</v>
      </c>
      <c r="D38" s="13" t="s">
        <v>171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606</v>
      </c>
    </row>
    <row r="39" spans="2:24" ht="13.8" x14ac:dyDescent="0.2">
      <c r="B39" s="8">
        <f t="shared" si="6"/>
        <v>34</v>
      </c>
      <c r="C39" s="10">
        <v>34</v>
      </c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35</v>
      </c>
      <c r="C40" s="10">
        <v>35</v>
      </c>
      <c r="D40" s="13" t="s">
        <v>62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607</v>
      </c>
    </row>
    <row r="41" spans="2:24" ht="13.8" x14ac:dyDescent="0.2">
      <c r="B41" s="8">
        <f t="shared" si="6"/>
        <v>36</v>
      </c>
      <c r="C41" s="10">
        <v>36</v>
      </c>
      <c r="D41" s="13" t="s">
        <v>164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608</v>
      </c>
    </row>
    <row r="42" spans="2:24" ht="13.8" x14ac:dyDescent="0.2">
      <c r="B42" s="8">
        <f t="shared" si="6"/>
        <v>37</v>
      </c>
      <c r="C42" s="10">
        <v>37</v>
      </c>
      <c r="D42" s="13" t="s">
        <v>354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 t="s">
        <v>609</v>
      </c>
    </row>
    <row r="43" spans="2:24" ht="13.8" x14ac:dyDescent="0.2">
      <c r="B43" s="8">
        <f t="shared" si="6"/>
        <v>38</v>
      </c>
      <c r="C43" s="10">
        <v>38</v>
      </c>
      <c r="D43" s="13" t="s">
        <v>355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610</v>
      </c>
    </row>
    <row r="44" spans="2:24" ht="13.8" x14ac:dyDescent="0.2">
      <c r="B44" s="8">
        <f t="shared" si="6"/>
        <v>39</v>
      </c>
      <c r="C44" s="10">
        <v>39</v>
      </c>
      <c r="D44" s="13" t="s">
        <v>1266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 t="s">
        <v>1791</v>
      </c>
    </row>
    <row r="45" spans="2:24" ht="13.8" x14ac:dyDescent="0.2">
      <c r="B45" s="8">
        <f t="shared" si="6"/>
        <v>40</v>
      </c>
      <c r="C45" s="10">
        <v>40</v>
      </c>
      <c r="D45" s="13" t="s">
        <v>356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357</v>
      </c>
    </row>
    <row r="46" spans="2:24" ht="13.8" x14ac:dyDescent="0.2">
      <c r="B46" s="8">
        <f t="shared" si="6"/>
        <v>41</v>
      </c>
      <c r="C46" s="10">
        <v>41</v>
      </c>
      <c r="D46" s="13" t="s">
        <v>1265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611</v>
      </c>
    </row>
    <row r="47" spans="2:24" ht="13.8" x14ac:dyDescent="0.2">
      <c r="B47" s="8">
        <f t="shared" si="6"/>
        <v>42</v>
      </c>
      <c r="C47" s="10">
        <v>42</v>
      </c>
      <c r="D47" s="13" t="s">
        <v>1752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1752</v>
      </c>
    </row>
    <row r="48" spans="2:24" ht="13.8" x14ac:dyDescent="0.2">
      <c r="B48" s="8">
        <f t="shared" si="6"/>
        <v>43</v>
      </c>
      <c r="C48" s="10">
        <v>43</v>
      </c>
      <c r="D48" s="13" t="s">
        <v>165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612</v>
      </c>
    </row>
    <row r="49" spans="2:24" ht="13.8" x14ac:dyDescent="0.2">
      <c r="B49" s="8">
        <f t="shared" si="6"/>
        <v>44</v>
      </c>
      <c r="C49" s="10">
        <v>44</v>
      </c>
      <c r="D49" s="13" t="s">
        <v>166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613</v>
      </c>
    </row>
    <row r="50" spans="2:24" ht="13.8" x14ac:dyDescent="0.2">
      <c r="B50" s="8">
        <f t="shared" si="6"/>
        <v>45</v>
      </c>
      <c r="C50" s="10">
        <v>45</v>
      </c>
      <c r="D50" s="13" t="s">
        <v>1717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614</v>
      </c>
    </row>
    <row r="51" spans="2:24" ht="13.8" x14ac:dyDescent="0.2">
      <c r="B51" s="8">
        <f t="shared" si="6"/>
        <v>46</v>
      </c>
      <c r="C51" s="10">
        <v>46</v>
      </c>
      <c r="D51" s="13" t="s">
        <v>175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615</v>
      </c>
    </row>
    <row r="52" spans="2:24" ht="13.8" x14ac:dyDescent="0.2">
      <c r="B52" s="8">
        <f t="shared" si="6"/>
        <v>47</v>
      </c>
      <c r="C52" s="10">
        <v>47</v>
      </c>
      <c r="D52" s="13" t="s">
        <v>167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616</v>
      </c>
    </row>
    <row r="53" spans="2:24" ht="13.8" x14ac:dyDescent="0.2">
      <c r="B53" s="8">
        <f t="shared" si="6"/>
        <v>48</v>
      </c>
      <c r="C53" s="10">
        <v>48</v>
      </c>
      <c r="D53" s="13" t="s">
        <v>73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617</v>
      </c>
    </row>
    <row r="54" spans="2:24" ht="13.8" x14ac:dyDescent="0.2">
      <c r="B54" s="8">
        <f t="shared" si="6"/>
        <v>49</v>
      </c>
      <c r="C54" s="10">
        <v>49</v>
      </c>
      <c r="D54" s="13" t="s">
        <v>168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618</v>
      </c>
    </row>
    <row r="55" spans="2:24" ht="13.8" x14ac:dyDescent="0.2">
      <c r="B55" s="8">
        <f t="shared" si="6"/>
        <v>50</v>
      </c>
      <c r="C55" s="10">
        <v>50</v>
      </c>
      <c r="D55" s="13" t="s">
        <v>169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619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1264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1792</v>
      </c>
    </row>
    <row r="58" spans="2:24" ht="13.8" x14ac:dyDescent="0.2">
      <c r="B58" s="8">
        <f t="shared" si="6"/>
        <v>53</v>
      </c>
      <c r="C58" s="10">
        <v>53</v>
      </c>
      <c r="D58" s="13" t="s">
        <v>170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620</v>
      </c>
    </row>
    <row r="59" spans="2:24" ht="13.8" x14ac:dyDescent="0.2">
      <c r="B59" s="8">
        <f t="shared" si="6"/>
        <v>54</v>
      </c>
      <c r="C59" s="10">
        <v>54</v>
      </c>
      <c r="D59" s="13" t="s">
        <v>1830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1831</v>
      </c>
    </row>
    <row r="60" spans="2:24" ht="13.8" x14ac:dyDescent="0.2">
      <c r="B60" s="8">
        <f t="shared" si="6"/>
        <v>55</v>
      </c>
      <c r="C60" s="10">
        <v>55</v>
      </c>
      <c r="D60" s="13" t="s">
        <v>358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358</v>
      </c>
    </row>
    <row r="61" spans="2:24" ht="13.8" x14ac:dyDescent="0.2">
      <c r="B61" s="8">
        <f t="shared" si="6"/>
        <v>56</v>
      </c>
      <c r="C61" s="10">
        <v>56</v>
      </c>
      <c r="D61" s="13" t="s">
        <v>1263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1793</v>
      </c>
    </row>
    <row r="62" spans="2:24" ht="13.8" x14ac:dyDescent="0.2">
      <c r="B62" s="8">
        <f t="shared" si="6"/>
        <v>57</v>
      </c>
      <c r="C62" s="10">
        <v>57</v>
      </c>
      <c r="D62" s="13" t="s">
        <v>1658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621</v>
      </c>
    </row>
    <row r="63" spans="2:24" ht="13.8" x14ac:dyDescent="0.2">
      <c r="B63" s="8">
        <f t="shared" si="6"/>
        <v>58</v>
      </c>
      <c r="C63" s="10">
        <v>58</v>
      </c>
      <c r="D63" s="13" t="s">
        <v>1753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1753</v>
      </c>
    </row>
    <row r="64" spans="2:24" ht="13.8" x14ac:dyDescent="0.2">
      <c r="B64" s="8">
        <f t="shared" si="6"/>
        <v>59</v>
      </c>
      <c r="C64" s="10">
        <v>59</v>
      </c>
      <c r="D64" s="13" t="s">
        <v>1754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1754</v>
      </c>
    </row>
    <row r="65" spans="2:24" ht="13.8" x14ac:dyDescent="0.2">
      <c r="B65" s="8">
        <f t="shared" si="6"/>
        <v>60</v>
      </c>
      <c r="C65" s="10">
        <v>60</v>
      </c>
      <c r="D65" s="13" t="s">
        <v>1262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1794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>
        <f t="shared" si="6"/>
        <v>62</v>
      </c>
      <c r="C67" s="10">
        <v>62</v>
      </c>
      <c r="D67" s="13" t="s">
        <v>359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622</v>
      </c>
    </row>
    <row r="68" spans="2:24" ht="13.8" x14ac:dyDescent="0.2">
      <c r="B68" s="8">
        <f t="shared" si="6"/>
        <v>63</v>
      </c>
      <c r="C68" s="10">
        <v>63</v>
      </c>
      <c r="D68" s="9" t="s">
        <v>360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361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362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623</v>
      </c>
    </row>
    <row r="71" spans="2:24" ht="13.8" x14ac:dyDescent="0.2">
      <c r="B71" s="8">
        <f t="shared" si="10"/>
        <v>66</v>
      </c>
      <c r="C71" s="10">
        <v>66</v>
      </c>
      <c r="D71" s="13" t="s">
        <v>1261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624</v>
      </c>
    </row>
    <row r="72" spans="2:24" ht="13.8" x14ac:dyDescent="0.2">
      <c r="B72" s="8">
        <f t="shared" si="10"/>
        <v>67</v>
      </c>
      <c r="C72" s="10">
        <v>67</v>
      </c>
      <c r="D72" s="13" t="s">
        <v>914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625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 t="s">
        <v>1755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1755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 t="s">
        <v>363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 t="s">
        <v>363</v>
      </c>
    </row>
    <row r="104" spans="2:24" ht="13.8" x14ac:dyDescent="0.2">
      <c r="B104" s="8">
        <f t="shared" si="10"/>
        <v>99</v>
      </c>
      <c r="C104" s="10">
        <v>99</v>
      </c>
      <c r="D104" s="9" t="s">
        <v>173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 t="s">
        <v>149</v>
      </c>
    </row>
    <row r="105" spans="2:24" ht="13.8" x14ac:dyDescent="0.2">
      <c r="B105" s="8" t="str">
        <f t="shared" si="10"/>
        <v>001</v>
      </c>
      <c r="C105" s="10" t="s">
        <v>1756</v>
      </c>
      <c r="D105" s="14" t="s">
        <v>174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626</v>
      </c>
    </row>
    <row r="106" spans="2:24" ht="13.8" x14ac:dyDescent="0.2">
      <c r="B106" s="8" t="str">
        <f t="shared" si="10"/>
        <v>002</v>
      </c>
      <c r="C106" s="10" t="s">
        <v>1757</v>
      </c>
      <c r="D106" s="9" t="s">
        <v>1758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627</v>
      </c>
    </row>
    <row r="107" spans="2:24" ht="13.8" x14ac:dyDescent="0.2">
      <c r="B107" s="8" t="str">
        <f t="shared" si="10"/>
        <v>003</v>
      </c>
      <c r="C107" s="10" t="s">
        <v>1759</v>
      </c>
      <c r="D107" s="9" t="s">
        <v>1760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628</v>
      </c>
    </row>
    <row r="108" spans="2:24" ht="13.8" x14ac:dyDescent="0.2">
      <c r="B108" s="8" t="str">
        <f t="shared" si="10"/>
        <v>004</v>
      </c>
      <c r="C108" s="10" t="s">
        <v>1761</v>
      </c>
      <c r="D108" s="9" t="s">
        <v>1762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1795</v>
      </c>
    </row>
    <row r="109" spans="2:24" ht="13.8" x14ac:dyDescent="0.2">
      <c r="B109" s="8" t="str">
        <f t="shared" si="10"/>
        <v>005</v>
      </c>
      <c r="C109" s="10" t="s">
        <v>1763</v>
      </c>
      <c r="D109" s="9" t="s">
        <v>1764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1796</v>
      </c>
    </row>
    <row r="110" spans="2:24" ht="13.8" x14ac:dyDescent="0.2">
      <c r="B110" s="8" t="str">
        <f t="shared" si="10"/>
        <v>008</v>
      </c>
      <c r="C110" s="10" t="s">
        <v>1765</v>
      </c>
      <c r="D110" s="9" t="s">
        <v>1470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1797</v>
      </c>
    </row>
    <row r="111" spans="2:24" ht="13.8" x14ac:dyDescent="0.2">
      <c r="B111" s="8" t="str">
        <f t="shared" si="10"/>
        <v>011</v>
      </c>
      <c r="C111" s="10" t="s">
        <v>1766</v>
      </c>
      <c r="D111" s="9" t="s">
        <v>1767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1798</v>
      </c>
    </row>
    <row r="112" spans="2:24" ht="13.8" x14ac:dyDescent="0.2">
      <c r="B112" s="8" t="str">
        <f t="shared" si="10"/>
        <v>012</v>
      </c>
      <c r="C112" s="10" t="s">
        <v>1768</v>
      </c>
      <c r="D112" s="9" t="s">
        <v>1769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1799</v>
      </c>
    </row>
    <row r="113" spans="2:24" ht="13.8" x14ac:dyDescent="0.2">
      <c r="B113" s="8" t="str">
        <f t="shared" si="10"/>
        <v>013</v>
      </c>
      <c r="C113" s="10" t="s">
        <v>1770</v>
      </c>
      <c r="D113" s="9" t="s">
        <v>1771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1800</v>
      </c>
    </row>
    <row r="114" spans="2:24" ht="13.8" x14ac:dyDescent="0.2">
      <c r="B114" s="8" t="str">
        <f t="shared" si="10"/>
        <v>014</v>
      </c>
      <c r="C114" s="10" t="s">
        <v>1772</v>
      </c>
      <c r="D114" s="9" t="s">
        <v>1773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1801</v>
      </c>
    </row>
    <row r="115" spans="2:24" ht="13.8" x14ac:dyDescent="0.2">
      <c r="B115" s="8" t="str">
        <f t="shared" si="10"/>
        <v>020</v>
      </c>
      <c r="C115" s="10" t="s">
        <v>1774</v>
      </c>
      <c r="D115" s="9" t="s">
        <v>1775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1802</v>
      </c>
    </row>
    <row r="116" spans="2:24" ht="13.8" x14ac:dyDescent="0.2">
      <c r="B116" s="8" t="str">
        <f t="shared" si="10"/>
        <v>021</v>
      </c>
      <c r="C116" s="10" t="s">
        <v>1776</v>
      </c>
      <c r="D116" s="9" t="s">
        <v>1777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1803</v>
      </c>
    </row>
    <row r="117" spans="2:24" ht="13.8" x14ac:dyDescent="0.2">
      <c r="B117" s="8" t="str">
        <f t="shared" si="10"/>
        <v>022</v>
      </c>
      <c r="C117" s="10" t="s">
        <v>1778</v>
      </c>
      <c r="D117" s="9" t="s">
        <v>1779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1804</v>
      </c>
    </row>
    <row r="118" spans="2:24" ht="13.8" x14ac:dyDescent="0.2">
      <c r="B118" s="8">
        <f t="shared" si="10"/>
        <v>120</v>
      </c>
      <c r="C118" s="10">
        <v>120</v>
      </c>
      <c r="D118" s="9" t="s">
        <v>1780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1805</v>
      </c>
    </row>
    <row r="119" spans="2:24" ht="13.8" x14ac:dyDescent="0.2">
      <c r="B119" s="8">
        <f t="shared" si="10"/>
        <v>121</v>
      </c>
      <c r="C119" s="10">
        <v>121</v>
      </c>
      <c r="D119" s="9" t="s">
        <v>1781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1806</v>
      </c>
    </row>
    <row r="120" spans="2:24" ht="13.8" x14ac:dyDescent="0.2">
      <c r="B120" s="8">
        <f t="shared" si="10"/>
        <v>124</v>
      </c>
      <c r="C120" s="10">
        <v>124</v>
      </c>
      <c r="D120" s="9" t="s">
        <v>1538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 t="s">
        <v>1807</v>
      </c>
    </row>
    <row r="121" spans="2:24" ht="13.8" x14ac:dyDescent="0.2">
      <c r="B121" s="8">
        <f t="shared" si="10"/>
        <v>125</v>
      </c>
      <c r="C121" s="10">
        <v>125</v>
      </c>
      <c r="D121" s="9" t="s">
        <v>1782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 t="s">
        <v>1808</v>
      </c>
    </row>
    <row r="122" spans="2:24" ht="13.8" x14ac:dyDescent="0.2">
      <c r="B122" s="8">
        <f t="shared" si="10"/>
        <v>128</v>
      </c>
      <c r="C122" s="10">
        <v>128</v>
      </c>
      <c r="D122" s="9" t="s">
        <v>1783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 t="s">
        <v>1809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>00</v>
      </c>
      <c r="C4" s="10" t="s">
        <v>272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294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206</v>
      </c>
    </row>
    <row r="6" spans="2:24" ht="13.8" x14ac:dyDescent="0.2">
      <c r="B6" s="8">
        <f t="shared" si="6"/>
        <v>1</v>
      </c>
      <c r="C6" s="10">
        <v>1</v>
      </c>
      <c r="D6" s="13" t="s">
        <v>1254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542</v>
      </c>
    </row>
    <row r="7" spans="2:24" ht="13.8" x14ac:dyDescent="0.2">
      <c r="B7" s="8">
        <f t="shared" si="6"/>
        <v>2</v>
      </c>
      <c r="C7" s="10">
        <v>2</v>
      </c>
      <c r="D7" s="13" t="s">
        <v>65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543</v>
      </c>
    </row>
    <row r="8" spans="2:24" ht="13.8" x14ac:dyDescent="0.2">
      <c r="B8" s="8">
        <f t="shared" si="6"/>
        <v>3</v>
      </c>
      <c r="C8" s="10">
        <v>3</v>
      </c>
      <c r="D8" s="13" t="s">
        <v>210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544</v>
      </c>
    </row>
    <row r="9" spans="2:24" ht="13.8" x14ac:dyDescent="0.2">
      <c r="B9" s="8">
        <f t="shared" si="6"/>
        <v>4</v>
      </c>
      <c r="C9" s="10">
        <v>4</v>
      </c>
      <c r="D9" s="13" t="s">
        <v>364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207</v>
      </c>
    </row>
    <row r="10" spans="2:24" ht="13.8" x14ac:dyDescent="0.2">
      <c r="B10" s="8">
        <f t="shared" si="6"/>
        <v>5</v>
      </c>
      <c r="C10" s="10">
        <v>5</v>
      </c>
      <c r="D10" s="13" t="s">
        <v>211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208</v>
      </c>
    </row>
    <row r="11" spans="2:24" ht="13.8" x14ac:dyDescent="0.2">
      <c r="B11" s="8">
        <f t="shared" si="6"/>
        <v>6</v>
      </c>
      <c r="C11" s="10">
        <v>6</v>
      </c>
      <c r="D11" s="13" t="s">
        <v>1249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1659</v>
      </c>
    </row>
    <row r="12" spans="2:24" ht="13.8" x14ac:dyDescent="0.2">
      <c r="B12" s="8">
        <f t="shared" si="6"/>
        <v>7</v>
      </c>
      <c r="C12" s="10">
        <v>7</v>
      </c>
      <c r="D12" s="13" t="s">
        <v>1714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545</v>
      </c>
    </row>
    <row r="13" spans="2:24" ht="13.8" x14ac:dyDescent="0.2">
      <c r="B13" s="8">
        <f t="shared" si="6"/>
        <v>8</v>
      </c>
      <c r="C13" s="10">
        <v>8</v>
      </c>
      <c r="D13" s="13" t="s">
        <v>212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546</v>
      </c>
    </row>
    <row r="14" spans="2:24" ht="13.8" x14ac:dyDescent="0.2">
      <c r="B14" s="8">
        <f t="shared" si="6"/>
        <v>9</v>
      </c>
      <c r="C14" s="10">
        <v>9</v>
      </c>
      <c r="D14" s="13" t="s">
        <v>1251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1250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547</v>
      </c>
    </row>
    <row r="17" spans="2:24" ht="13.8" x14ac:dyDescent="0.2">
      <c r="B17" s="8">
        <f t="shared" si="6"/>
        <v>12</v>
      </c>
      <c r="C17" s="10">
        <v>12</v>
      </c>
      <c r="D17" s="13" t="s">
        <v>1810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1810</v>
      </c>
    </row>
    <row r="18" spans="2:24" ht="13.8" x14ac:dyDescent="0.2">
      <c r="B18" s="8">
        <f t="shared" si="6"/>
        <v>13</v>
      </c>
      <c r="C18" s="10">
        <v>13</v>
      </c>
      <c r="D18" s="13" t="s">
        <v>213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548</v>
      </c>
    </row>
    <row r="19" spans="2:24" ht="13.8" x14ac:dyDescent="0.2">
      <c r="B19" s="8">
        <f t="shared" si="6"/>
        <v>14</v>
      </c>
      <c r="C19" s="10">
        <v>14</v>
      </c>
      <c r="D19" s="13" t="s">
        <v>214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549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215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550</v>
      </c>
    </row>
    <row r="22" spans="2:24" ht="13.8" x14ac:dyDescent="0.2">
      <c r="B22" s="8">
        <f t="shared" si="6"/>
        <v>17</v>
      </c>
      <c r="C22" s="10">
        <v>17</v>
      </c>
      <c r="D22" s="13" t="s">
        <v>1660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551</v>
      </c>
    </row>
    <row r="23" spans="2:24" ht="13.8" x14ac:dyDescent="0.2">
      <c r="B23" s="8">
        <f t="shared" si="6"/>
        <v>18</v>
      </c>
      <c r="C23" s="10">
        <v>18</v>
      </c>
      <c r="D23" s="13" t="s">
        <v>1158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552</v>
      </c>
    </row>
    <row r="24" spans="2:24" ht="13.8" x14ac:dyDescent="0.2">
      <c r="B24" s="8">
        <f t="shared" si="6"/>
        <v>19</v>
      </c>
      <c r="C24" s="10">
        <v>19</v>
      </c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20</v>
      </c>
      <c r="C25" s="10">
        <v>20</v>
      </c>
      <c r="D25" s="13" t="s">
        <v>216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553</v>
      </c>
    </row>
    <row r="26" spans="2:24" ht="13.8" x14ac:dyDescent="0.2">
      <c r="B26" s="8">
        <f t="shared" si="6"/>
        <v>21</v>
      </c>
      <c r="C26" s="10">
        <v>21</v>
      </c>
      <c r="D26" s="13" t="s">
        <v>365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554</v>
      </c>
    </row>
    <row r="27" spans="2:24" ht="13.8" x14ac:dyDescent="0.2">
      <c r="B27" s="8">
        <f t="shared" si="6"/>
        <v>22</v>
      </c>
      <c r="C27" s="10">
        <v>22</v>
      </c>
      <c r="D27" s="13" t="s">
        <v>146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1248</v>
      </c>
    </row>
    <row r="28" spans="2:24" ht="13.8" x14ac:dyDescent="0.2">
      <c r="B28" s="8">
        <f t="shared" si="6"/>
        <v>23</v>
      </c>
      <c r="C28" s="10">
        <v>23</v>
      </c>
      <c r="D28" s="13" t="s">
        <v>218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555</v>
      </c>
    </row>
    <row r="29" spans="2:24" ht="13.8" x14ac:dyDescent="0.2">
      <c r="B29" s="8">
        <f t="shared" si="6"/>
        <v>24</v>
      </c>
      <c r="C29" s="10">
        <v>24</v>
      </c>
      <c r="D29" s="13" t="s">
        <v>219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556</v>
      </c>
    </row>
    <row r="30" spans="2:24" ht="13.8" x14ac:dyDescent="0.2">
      <c r="B30" s="8">
        <f t="shared" si="6"/>
        <v>25</v>
      </c>
      <c r="C30" s="10">
        <v>25</v>
      </c>
      <c r="D30" s="13" t="s">
        <v>366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557</v>
      </c>
    </row>
    <row r="31" spans="2:24" ht="13.8" x14ac:dyDescent="0.2">
      <c r="B31" s="8">
        <f t="shared" si="6"/>
        <v>26</v>
      </c>
      <c r="C31" s="10">
        <v>26</v>
      </c>
      <c r="D31" s="13" t="s">
        <v>896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897</v>
      </c>
    </row>
    <row r="32" spans="2:24" ht="13.8" x14ac:dyDescent="0.2">
      <c r="B32" s="8">
        <f t="shared" si="6"/>
        <v>27</v>
      </c>
      <c r="C32" s="10">
        <v>27</v>
      </c>
      <c r="D32" s="13" t="s">
        <v>220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558</v>
      </c>
    </row>
    <row r="33" spans="2:24" ht="13.8" x14ac:dyDescent="0.2">
      <c r="B33" s="8">
        <f t="shared" si="6"/>
        <v>28</v>
      </c>
      <c r="C33" s="10">
        <v>28</v>
      </c>
      <c r="D33" s="13" t="s">
        <v>221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559</v>
      </c>
    </row>
    <row r="34" spans="2:24" ht="13.8" x14ac:dyDescent="0.2">
      <c r="B34" s="8">
        <f t="shared" si="6"/>
        <v>29</v>
      </c>
      <c r="C34" s="10">
        <v>29</v>
      </c>
      <c r="D34" s="13" t="s">
        <v>367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560</v>
      </c>
    </row>
    <row r="35" spans="2:24" ht="13.8" x14ac:dyDescent="0.2">
      <c r="B35" s="8">
        <f t="shared" si="6"/>
        <v>30</v>
      </c>
      <c r="C35" s="10">
        <v>30</v>
      </c>
      <c r="D35" s="13" t="s">
        <v>234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1247</v>
      </c>
    </row>
    <row r="36" spans="2:24" ht="13.8" x14ac:dyDescent="0.2">
      <c r="B36" s="8">
        <f t="shared" si="6"/>
        <v>31</v>
      </c>
      <c r="C36" s="10">
        <v>31</v>
      </c>
      <c r="D36" s="13" t="s">
        <v>222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 t="s">
        <v>561</v>
      </c>
    </row>
    <row r="37" spans="2:24" ht="13.8" x14ac:dyDescent="0.2">
      <c r="B37" s="8">
        <f t="shared" si="6"/>
        <v>32</v>
      </c>
      <c r="C37" s="10">
        <v>32</v>
      </c>
      <c r="D37" s="13" t="s">
        <v>368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 t="s">
        <v>368</v>
      </c>
    </row>
    <row r="38" spans="2:24" ht="13.8" x14ac:dyDescent="0.2">
      <c r="B38" s="8">
        <f t="shared" si="6"/>
        <v>33</v>
      </c>
      <c r="C38" s="10">
        <v>33</v>
      </c>
      <c r="D38" s="13" t="s">
        <v>223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 t="s">
        <v>223</v>
      </c>
    </row>
    <row r="39" spans="2:24" ht="13.8" x14ac:dyDescent="0.2">
      <c r="B39" s="8">
        <f t="shared" si="6"/>
        <v>34</v>
      </c>
      <c r="C39" s="10">
        <v>34</v>
      </c>
      <c r="D39" s="13" t="s">
        <v>224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 t="s">
        <v>562</v>
      </c>
    </row>
    <row r="40" spans="2:24" ht="13.8" x14ac:dyDescent="0.2">
      <c r="B40" s="8">
        <f t="shared" si="6"/>
        <v>35</v>
      </c>
      <c r="C40" s="10">
        <v>35</v>
      </c>
      <c r="D40" s="13" t="s">
        <v>1466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 t="s">
        <v>563</v>
      </c>
    </row>
    <row r="41" spans="2:24" ht="13.8" x14ac:dyDescent="0.2">
      <c r="B41" s="8">
        <f t="shared" si="6"/>
        <v>36</v>
      </c>
      <c r="C41" s="10">
        <v>36</v>
      </c>
      <c r="D41" s="13" t="s">
        <v>1811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 t="s">
        <v>1246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225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 t="s">
        <v>564</v>
      </c>
    </row>
    <row r="44" spans="2:24" ht="13.8" x14ac:dyDescent="0.2">
      <c r="B44" s="8">
        <f t="shared" si="6"/>
        <v>39</v>
      </c>
      <c r="C44" s="10">
        <v>39</v>
      </c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40</v>
      </c>
      <c r="C45" s="10">
        <v>40</v>
      </c>
      <c r="D45" s="13" t="s">
        <v>1712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 t="s">
        <v>565</v>
      </c>
    </row>
    <row r="46" spans="2:24" ht="13.8" x14ac:dyDescent="0.2">
      <c r="B46" s="8">
        <f t="shared" si="6"/>
        <v>41</v>
      </c>
      <c r="C46" s="10">
        <v>41</v>
      </c>
      <c r="D46" s="13" t="s">
        <v>217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 t="s">
        <v>566</v>
      </c>
    </row>
    <row r="47" spans="2:24" ht="13.8" x14ac:dyDescent="0.2">
      <c r="B47" s="8">
        <f t="shared" si="6"/>
        <v>42</v>
      </c>
      <c r="C47" s="10">
        <v>42</v>
      </c>
      <c r="D47" s="13" t="s">
        <v>1812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 t="s">
        <v>1812</v>
      </c>
    </row>
    <row r="48" spans="2:24" ht="13.8" x14ac:dyDescent="0.2">
      <c r="B48" s="8">
        <f t="shared" si="6"/>
        <v>43</v>
      </c>
      <c r="C48" s="10">
        <v>43</v>
      </c>
      <c r="D48" s="13" t="s">
        <v>226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 t="s">
        <v>567</v>
      </c>
    </row>
    <row r="49" spans="2:24" ht="13.8" x14ac:dyDescent="0.2">
      <c r="B49" s="8">
        <f t="shared" si="6"/>
        <v>44</v>
      </c>
      <c r="C49" s="10">
        <v>44</v>
      </c>
      <c r="D49" s="13" t="s">
        <v>1252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 t="s">
        <v>1245</v>
      </c>
    </row>
    <row r="50" spans="2:24" ht="13.8" x14ac:dyDescent="0.2">
      <c r="B50" s="8">
        <f t="shared" si="6"/>
        <v>45</v>
      </c>
      <c r="C50" s="10">
        <v>45</v>
      </c>
      <c r="D50" s="13" t="s">
        <v>1253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 t="s">
        <v>1244</v>
      </c>
    </row>
    <row r="51" spans="2:24" ht="13.8" x14ac:dyDescent="0.2">
      <c r="B51" s="8">
        <f t="shared" si="6"/>
        <v>46</v>
      </c>
      <c r="C51" s="10">
        <v>46</v>
      </c>
      <c r="D51" s="13" t="s">
        <v>1255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 t="s">
        <v>1243</v>
      </c>
    </row>
    <row r="52" spans="2:24" ht="13.8" x14ac:dyDescent="0.2">
      <c r="B52" s="8">
        <f t="shared" si="6"/>
        <v>47</v>
      </c>
      <c r="C52" s="10">
        <v>47</v>
      </c>
      <c r="D52" s="13" t="s">
        <v>1150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 t="s">
        <v>568</v>
      </c>
    </row>
    <row r="53" spans="2:24" ht="13.8" x14ac:dyDescent="0.2">
      <c r="B53" s="8">
        <f t="shared" si="6"/>
        <v>48</v>
      </c>
      <c r="C53" s="10">
        <v>48</v>
      </c>
      <c r="D53" s="13" t="s">
        <v>227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 t="s">
        <v>569</v>
      </c>
    </row>
    <row r="54" spans="2:24" ht="13.8" x14ac:dyDescent="0.2">
      <c r="B54" s="8">
        <f t="shared" si="6"/>
        <v>49</v>
      </c>
      <c r="C54" s="10">
        <v>49</v>
      </c>
      <c r="D54" s="13" t="s">
        <v>1256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 t="s">
        <v>1242</v>
      </c>
    </row>
    <row r="55" spans="2:24" ht="13.8" x14ac:dyDescent="0.2">
      <c r="B55" s="8">
        <f t="shared" si="6"/>
        <v>50</v>
      </c>
      <c r="C55" s="10">
        <v>50</v>
      </c>
      <c r="D55" s="13" t="s">
        <v>369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 t="s">
        <v>570</v>
      </c>
    </row>
    <row r="56" spans="2:24" ht="13.8" x14ac:dyDescent="0.2">
      <c r="B56" s="8">
        <f t="shared" si="6"/>
        <v>51</v>
      </c>
      <c r="C56" s="10">
        <v>51</v>
      </c>
      <c r="D56" s="13" t="s">
        <v>228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 t="s">
        <v>571</v>
      </c>
    </row>
    <row r="57" spans="2:24" ht="13.8" x14ac:dyDescent="0.2">
      <c r="B57" s="8">
        <f t="shared" si="6"/>
        <v>52</v>
      </c>
      <c r="C57" s="10">
        <v>52</v>
      </c>
      <c r="D57" s="13" t="s">
        <v>229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 t="s">
        <v>209</v>
      </c>
    </row>
    <row r="58" spans="2:24" ht="13.8" x14ac:dyDescent="0.2">
      <c r="B58" s="8">
        <f t="shared" si="6"/>
        <v>53</v>
      </c>
      <c r="C58" s="10">
        <v>53</v>
      </c>
      <c r="D58" s="13" t="s">
        <v>370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 t="s">
        <v>572</v>
      </c>
    </row>
    <row r="59" spans="2:24" ht="13.8" x14ac:dyDescent="0.2">
      <c r="B59" s="8">
        <f t="shared" si="6"/>
        <v>54</v>
      </c>
      <c r="C59" s="10">
        <v>54</v>
      </c>
      <c r="D59" s="13" t="s">
        <v>345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 t="s">
        <v>573</v>
      </c>
    </row>
    <row r="60" spans="2:24" ht="13.8" x14ac:dyDescent="0.2">
      <c r="B60" s="8">
        <f t="shared" si="6"/>
        <v>55</v>
      </c>
      <c r="C60" s="10">
        <v>55</v>
      </c>
      <c r="D60" s="13" t="s">
        <v>1257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 t="s">
        <v>1241</v>
      </c>
    </row>
    <row r="61" spans="2:24" ht="13.8" x14ac:dyDescent="0.2">
      <c r="B61" s="8">
        <f t="shared" si="6"/>
        <v>56</v>
      </c>
      <c r="C61" s="10">
        <v>56</v>
      </c>
      <c r="D61" s="13" t="s">
        <v>134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 t="s">
        <v>574</v>
      </c>
    </row>
    <row r="62" spans="2:24" ht="13.8" x14ac:dyDescent="0.2">
      <c r="B62" s="8">
        <f t="shared" si="6"/>
        <v>57</v>
      </c>
      <c r="C62" s="10">
        <v>57</v>
      </c>
      <c r="D62" s="13" t="s">
        <v>230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 t="s">
        <v>575</v>
      </c>
    </row>
    <row r="63" spans="2:24" ht="13.8" x14ac:dyDescent="0.2">
      <c r="B63" s="8">
        <f t="shared" si="6"/>
        <v>58</v>
      </c>
      <c r="C63" s="10">
        <v>58</v>
      </c>
      <c r="D63" s="13" t="s">
        <v>231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 t="s">
        <v>576</v>
      </c>
    </row>
    <row r="64" spans="2:24" ht="13.8" x14ac:dyDescent="0.2">
      <c r="B64" s="8">
        <f t="shared" si="6"/>
        <v>59</v>
      </c>
      <c r="C64" s="10">
        <v>59</v>
      </c>
      <c r="D64" s="13" t="s">
        <v>1258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 t="s">
        <v>1240</v>
      </c>
    </row>
    <row r="65" spans="2:24" ht="13.8" x14ac:dyDescent="0.2">
      <c r="B65" s="8">
        <f t="shared" si="6"/>
        <v>60</v>
      </c>
      <c r="C65" s="10">
        <v>60</v>
      </c>
      <c r="D65" s="13" t="s">
        <v>79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 t="s">
        <v>577</v>
      </c>
    </row>
    <row r="66" spans="2:24" ht="13.8" x14ac:dyDescent="0.2">
      <c r="B66" s="8">
        <f t="shared" si="6"/>
        <v>61</v>
      </c>
      <c r="C66" s="10">
        <v>61</v>
      </c>
      <c r="D66" s="13" t="s">
        <v>451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 t="s">
        <v>1239</v>
      </c>
    </row>
    <row r="67" spans="2:24" ht="13.8" x14ac:dyDescent="0.2">
      <c r="B67" s="8">
        <f t="shared" si="6"/>
        <v>62</v>
      </c>
      <c r="C67" s="10">
        <v>62</v>
      </c>
      <c r="D67" s="13" t="s">
        <v>232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 t="s">
        <v>578</v>
      </c>
    </row>
    <row r="68" spans="2:24" ht="13.8" x14ac:dyDescent="0.2">
      <c r="B68" s="8">
        <f t="shared" si="6"/>
        <v>63</v>
      </c>
      <c r="C68" s="10">
        <v>63</v>
      </c>
      <c r="D68" s="9" t="s">
        <v>290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 t="s">
        <v>579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371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 t="s">
        <v>580</v>
      </c>
    </row>
    <row r="70" spans="2:24" ht="13.8" x14ac:dyDescent="0.2">
      <c r="B70" s="8">
        <f t="shared" si="10"/>
        <v>65</v>
      </c>
      <c r="C70" s="10">
        <v>65</v>
      </c>
      <c r="D70" s="9" t="s">
        <v>147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 t="s">
        <v>581</v>
      </c>
    </row>
    <row r="71" spans="2:24" ht="13.8" x14ac:dyDescent="0.2">
      <c r="B71" s="8">
        <f t="shared" si="10"/>
        <v>66</v>
      </c>
      <c r="C71" s="10">
        <v>66</v>
      </c>
      <c r="D71" s="13" t="s">
        <v>233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 t="s">
        <v>582</v>
      </c>
    </row>
    <row r="72" spans="2:24" ht="13.8" x14ac:dyDescent="0.2">
      <c r="B72" s="8">
        <f t="shared" si="10"/>
        <v>67</v>
      </c>
      <c r="C72" s="10">
        <v>67</v>
      </c>
      <c r="D72" s="13" t="s">
        <v>1346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 t="s">
        <v>1238</v>
      </c>
    </row>
    <row r="73" spans="2:24" ht="13.8" x14ac:dyDescent="0.2">
      <c r="B73" s="8">
        <f t="shared" si="10"/>
        <v>68</v>
      </c>
      <c r="C73" s="10">
        <v>68</v>
      </c>
      <c r="D73" s="13" t="s">
        <v>372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 t="s">
        <v>583</v>
      </c>
    </row>
    <row r="74" spans="2:24" ht="13.8" x14ac:dyDescent="0.2">
      <c r="B74" s="8">
        <f t="shared" si="10"/>
        <v>69</v>
      </c>
      <c r="C74" s="10">
        <v>69</v>
      </c>
      <c r="D74" s="13" t="s">
        <v>373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 t="s">
        <v>584</v>
      </c>
    </row>
    <row r="75" spans="2:24" ht="13.8" x14ac:dyDescent="0.2">
      <c r="B75" s="8">
        <f t="shared" si="10"/>
        <v>70</v>
      </c>
      <c r="C75" s="10">
        <v>70</v>
      </c>
      <c r="D75" s="8" t="s">
        <v>1675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 t="s">
        <v>585</v>
      </c>
    </row>
    <row r="76" spans="2:24" ht="13.8" x14ac:dyDescent="0.2">
      <c r="B76" s="8">
        <f t="shared" si="10"/>
        <v>71</v>
      </c>
      <c r="C76" s="10">
        <v>71</v>
      </c>
      <c r="D76" s="8" t="s">
        <v>1259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 t="s">
        <v>1237</v>
      </c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1730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 t="s">
        <v>586</v>
      </c>
    </row>
    <row r="84" spans="2:24" ht="13.8" x14ac:dyDescent="0.2">
      <c r="B84" s="8">
        <f t="shared" si="10"/>
        <v>79</v>
      </c>
      <c r="C84" s="10">
        <v>79</v>
      </c>
      <c r="D84" s="9" t="s">
        <v>1260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 t="s">
        <v>1236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001</v>
      </c>
      <c r="C105" s="10" t="s">
        <v>1756</v>
      </c>
      <c r="D105" s="14" t="s">
        <v>1482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 t="s">
        <v>1225</v>
      </c>
    </row>
    <row r="106" spans="2:24" ht="13.8" x14ac:dyDescent="0.2">
      <c r="B106" s="8" t="str">
        <f t="shared" si="10"/>
        <v>004</v>
      </c>
      <c r="C106" s="10" t="s">
        <v>1761</v>
      </c>
      <c r="D106" s="9" t="s">
        <v>1813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 t="s">
        <v>1226</v>
      </c>
    </row>
    <row r="107" spans="2:24" ht="13.8" x14ac:dyDescent="0.2">
      <c r="B107" s="8" t="str">
        <f t="shared" si="10"/>
        <v>007</v>
      </c>
      <c r="C107" s="10" t="s">
        <v>1814</v>
      </c>
      <c r="D107" s="9" t="s">
        <v>1815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 t="s">
        <v>1227</v>
      </c>
    </row>
    <row r="108" spans="2:24" ht="13.8" x14ac:dyDescent="0.2">
      <c r="B108" s="8" t="str">
        <f t="shared" si="10"/>
        <v>008</v>
      </c>
      <c r="C108" s="10" t="s">
        <v>1765</v>
      </c>
      <c r="D108" s="9" t="s">
        <v>1816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 t="s">
        <v>1228</v>
      </c>
    </row>
    <row r="109" spans="2:24" ht="13.8" x14ac:dyDescent="0.2">
      <c r="B109" s="8" t="str">
        <f t="shared" si="10"/>
        <v>016</v>
      </c>
      <c r="C109" s="10" t="s">
        <v>1817</v>
      </c>
      <c r="D109" s="9" t="s">
        <v>1718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 t="s">
        <v>1229</v>
      </c>
    </row>
    <row r="110" spans="2:24" ht="13.8" x14ac:dyDescent="0.2">
      <c r="B110" s="8" t="str">
        <f t="shared" si="10"/>
        <v>017</v>
      </c>
      <c r="C110" s="10" t="s">
        <v>947</v>
      </c>
      <c r="D110" s="9" t="s">
        <v>1818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 t="s">
        <v>1230</v>
      </c>
    </row>
    <row r="111" spans="2:24" ht="13.8" x14ac:dyDescent="0.2">
      <c r="B111" s="8">
        <f t="shared" si="10"/>
        <v>122</v>
      </c>
      <c r="C111" s="10">
        <v>122</v>
      </c>
      <c r="D111" s="9" t="s">
        <v>1819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 t="s">
        <v>1231</v>
      </c>
    </row>
    <row r="112" spans="2:24" ht="13.8" x14ac:dyDescent="0.2">
      <c r="B112" s="8">
        <f t="shared" si="10"/>
        <v>130</v>
      </c>
      <c r="C112" s="10">
        <v>130</v>
      </c>
      <c r="D112" s="9" t="s">
        <v>1820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 t="s">
        <v>1232</v>
      </c>
    </row>
    <row r="113" spans="2:24" ht="13.8" x14ac:dyDescent="0.2">
      <c r="B113" s="8">
        <f t="shared" si="10"/>
        <v>135</v>
      </c>
      <c r="C113" s="10">
        <v>135</v>
      </c>
      <c r="D113" s="9" t="s">
        <v>1821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 t="s">
        <v>1233</v>
      </c>
    </row>
    <row r="114" spans="2:24" ht="13.8" x14ac:dyDescent="0.2">
      <c r="B114" s="8">
        <f t="shared" si="10"/>
        <v>137</v>
      </c>
      <c r="C114" s="10">
        <v>137</v>
      </c>
      <c r="D114" s="9" t="s">
        <v>1822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 t="s">
        <v>1234</v>
      </c>
    </row>
    <row r="115" spans="2:24" ht="13.8" x14ac:dyDescent="0.2">
      <c r="B115" s="8">
        <f t="shared" si="10"/>
        <v>140</v>
      </c>
      <c r="C115" s="10">
        <v>140</v>
      </c>
      <c r="D115" s="9" t="s">
        <v>1221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 t="s">
        <v>1221</v>
      </c>
    </row>
    <row r="116" spans="2:24" ht="13.8" x14ac:dyDescent="0.2">
      <c r="B116" s="8">
        <f t="shared" si="10"/>
        <v>141</v>
      </c>
      <c r="C116" s="10">
        <v>141</v>
      </c>
      <c r="D116" s="9" t="s">
        <v>1823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 t="s">
        <v>1235</v>
      </c>
    </row>
    <row r="117" spans="2:24" ht="13.8" x14ac:dyDescent="0.2">
      <c r="B117" s="8">
        <f t="shared" si="10"/>
        <v>142</v>
      </c>
      <c r="C117" s="10">
        <v>142</v>
      </c>
      <c r="D117" s="9" t="s">
        <v>1824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 t="s">
        <v>1224</v>
      </c>
    </row>
    <row r="118" spans="2:24" ht="13.8" x14ac:dyDescent="0.2">
      <c r="B118" s="8">
        <f t="shared" si="10"/>
        <v>144</v>
      </c>
      <c r="C118" s="10">
        <v>144</v>
      </c>
      <c r="D118" s="9" t="s">
        <v>1825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 t="s">
        <v>1223</v>
      </c>
    </row>
    <row r="119" spans="2:24" ht="13.8" x14ac:dyDescent="0.2">
      <c r="B119" s="8">
        <f t="shared" si="10"/>
        <v>152</v>
      </c>
      <c r="C119" s="10">
        <v>152</v>
      </c>
      <c r="D119" s="9" t="s">
        <v>1568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 t="s">
        <v>1222</v>
      </c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>
        <v>1</v>
      </c>
      <c r="C4" s="10">
        <v>18</v>
      </c>
      <c r="D4" s="13" t="s">
        <v>380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13" t="s">
        <v>495</v>
      </c>
    </row>
    <row r="5" spans="2:24" ht="13.8" x14ac:dyDescent="0.2">
      <c r="B5" s="8">
        <v>2</v>
      </c>
      <c r="C5" s="10">
        <v>13</v>
      </c>
      <c r="D5" s="13" t="s">
        <v>905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13" t="s">
        <v>805</v>
      </c>
    </row>
    <row r="6" spans="2:24" ht="13.8" x14ac:dyDescent="0.2">
      <c r="B6" s="8">
        <v>3</v>
      </c>
      <c r="C6" s="10">
        <v>75</v>
      </c>
      <c r="D6" s="13" t="s">
        <v>1826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13" t="s">
        <v>1826</v>
      </c>
    </row>
    <row r="7" spans="2:24" ht="13.8" x14ac:dyDescent="0.2">
      <c r="B7" s="8">
        <v>4</v>
      </c>
      <c r="C7" s="10">
        <v>17</v>
      </c>
      <c r="D7" s="13" t="s">
        <v>38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13" t="s">
        <v>768</v>
      </c>
    </row>
    <row r="8" spans="2:24" ht="13.8" x14ac:dyDescent="0.2">
      <c r="B8" s="8">
        <v>5</v>
      </c>
      <c r="C8" s="10">
        <v>20</v>
      </c>
      <c r="D8" s="13" t="s">
        <v>274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1525</v>
      </c>
    </row>
    <row r="9" spans="2:24" ht="13.8" x14ac:dyDescent="0.2">
      <c r="B9" s="8">
        <v>6</v>
      </c>
      <c r="C9" s="10">
        <v>47</v>
      </c>
      <c r="D9" s="13" t="s">
        <v>118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1571</v>
      </c>
    </row>
    <row r="10" spans="2:24" ht="13.8" x14ac:dyDescent="0.2">
      <c r="B10" s="8">
        <v>7</v>
      </c>
      <c r="C10" s="10">
        <v>49</v>
      </c>
      <c r="D10" s="13" t="s">
        <v>117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117</v>
      </c>
    </row>
    <row r="11" spans="2:24" ht="13.8" x14ac:dyDescent="0.2">
      <c r="B11" s="8">
        <v>8</v>
      </c>
      <c r="C11" s="10">
        <v>53</v>
      </c>
      <c r="D11" s="13" t="s">
        <v>63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1563</v>
      </c>
    </row>
    <row r="12" spans="2:24" ht="13.8" x14ac:dyDescent="0.2">
      <c r="B12" s="8">
        <v>9</v>
      </c>
      <c r="C12" s="10">
        <v>50</v>
      </c>
      <c r="D12" s="13" t="s">
        <v>418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13" t="s">
        <v>827</v>
      </c>
    </row>
    <row r="13" spans="2:24" ht="13.8" x14ac:dyDescent="0.2">
      <c r="B13" s="8">
        <v>10</v>
      </c>
      <c r="C13" s="10">
        <v>16</v>
      </c>
      <c r="D13" s="13" t="s">
        <v>1145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13" t="s">
        <v>1135</v>
      </c>
    </row>
    <row r="14" spans="2:24" ht="13.8" x14ac:dyDescent="0.2">
      <c r="B14" s="8">
        <v>11</v>
      </c>
      <c r="C14" s="10">
        <v>17</v>
      </c>
      <c r="D14" s="13" t="s">
        <v>23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863</v>
      </c>
    </row>
    <row r="15" spans="2:24" ht="13.8" x14ac:dyDescent="0.2">
      <c r="B15" s="8">
        <v>12</v>
      </c>
      <c r="C15" s="10">
        <v>19</v>
      </c>
      <c r="D15" s="13" t="s">
        <v>18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864</v>
      </c>
    </row>
    <row r="16" spans="2:24" ht="13.8" x14ac:dyDescent="0.2">
      <c r="B16" s="8">
        <v>13</v>
      </c>
      <c r="C16" s="10">
        <v>20</v>
      </c>
      <c r="D16" s="13" t="s">
        <v>381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13" t="s">
        <v>497</v>
      </c>
    </row>
    <row r="17" spans="2:24" ht="13.8" x14ac:dyDescent="0.2">
      <c r="B17" s="8">
        <v>14</v>
      </c>
      <c r="C17" s="10">
        <v>17</v>
      </c>
      <c r="D17" s="13" t="s">
        <v>1665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993</v>
      </c>
    </row>
    <row r="18" spans="2:24" ht="13.8" x14ac:dyDescent="0.2">
      <c r="B18" s="8">
        <v>15</v>
      </c>
      <c r="C18" s="10">
        <v>37</v>
      </c>
      <c r="D18" s="13" t="s">
        <v>444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444</v>
      </c>
    </row>
    <row r="19" spans="2:24" ht="13.8" x14ac:dyDescent="0.2">
      <c r="B19" s="8">
        <v>16</v>
      </c>
      <c r="C19" s="10">
        <v>2</v>
      </c>
      <c r="D19" s="13" t="s">
        <v>389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13" t="s">
        <v>385</v>
      </c>
    </row>
    <row r="20" spans="2:24" ht="13.8" x14ac:dyDescent="0.2">
      <c r="B20" s="8">
        <v>17</v>
      </c>
      <c r="C20" s="10">
        <v>35</v>
      </c>
      <c r="D20" s="8" t="s">
        <v>40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13" t="s">
        <v>779</v>
      </c>
    </row>
    <row r="21" spans="2:24" ht="13.8" x14ac:dyDescent="0.2">
      <c r="B21" s="8">
        <v>18</v>
      </c>
      <c r="C21" s="10">
        <v>2</v>
      </c>
      <c r="D21" s="13" t="s">
        <v>1027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998</v>
      </c>
    </row>
    <row r="22" spans="2:24" ht="13.8" x14ac:dyDescent="0.2">
      <c r="B22" s="8">
        <v>19</v>
      </c>
      <c r="C22" s="10">
        <v>31</v>
      </c>
      <c r="D22" s="13" t="s">
        <v>386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13" t="s">
        <v>386</v>
      </c>
    </row>
    <row r="23" spans="2:24" ht="13.8" x14ac:dyDescent="0.2">
      <c r="B23" s="8">
        <v>20</v>
      </c>
      <c r="C23" s="10">
        <v>66</v>
      </c>
      <c r="D23" s="13" t="s">
        <v>132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13" t="s">
        <v>132</v>
      </c>
    </row>
    <row r="24" spans="2:24" ht="13.8" x14ac:dyDescent="0.2">
      <c r="B24" s="8">
        <v>21</v>
      </c>
      <c r="C24" s="10">
        <v>1</v>
      </c>
      <c r="D24" s="13" t="s">
        <v>1658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984</v>
      </c>
    </row>
    <row r="25" spans="2:24" ht="13.8" x14ac:dyDescent="0.2">
      <c r="B25" s="8">
        <v>22</v>
      </c>
      <c r="C25" s="10">
        <v>33</v>
      </c>
      <c r="D25" s="13" t="s">
        <v>382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13" t="s">
        <v>478</v>
      </c>
    </row>
    <row r="26" spans="2:24" ht="13.8" x14ac:dyDescent="0.2">
      <c r="B26" s="8">
        <v>23</v>
      </c>
      <c r="C26" s="10">
        <v>55</v>
      </c>
      <c r="D26" s="13" t="s">
        <v>1694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1014</v>
      </c>
    </row>
    <row r="27" spans="2:24" ht="13.8" x14ac:dyDescent="0.2">
      <c r="B27" s="8">
        <v>24</v>
      </c>
      <c r="C27" s="10">
        <v>25</v>
      </c>
      <c r="D27" s="13" t="s">
        <v>1530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1531</v>
      </c>
    </row>
    <row r="28" spans="2:24" ht="13.8" x14ac:dyDescent="0.2">
      <c r="B28" s="8">
        <v>25</v>
      </c>
      <c r="C28" s="10">
        <v>51</v>
      </c>
      <c r="D28" s="13" t="s">
        <v>419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13" t="s">
        <v>828</v>
      </c>
    </row>
    <row r="29" spans="2:24" ht="13.8" x14ac:dyDescent="0.2">
      <c r="B29" s="8">
        <v>26</v>
      </c>
      <c r="C29" s="10">
        <v>6</v>
      </c>
      <c r="D29" s="13" t="s">
        <v>1511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1512</v>
      </c>
    </row>
    <row r="30" spans="2:24" ht="13.8" x14ac:dyDescent="0.2">
      <c r="B30" s="8">
        <v>27</v>
      </c>
      <c r="C30" s="10">
        <v>8</v>
      </c>
      <c r="D30" s="13" t="s">
        <v>394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13" t="s">
        <v>803</v>
      </c>
    </row>
    <row r="31" spans="2:24" ht="13.8" x14ac:dyDescent="0.2">
      <c r="B31" s="8">
        <v>28</v>
      </c>
      <c r="C31" s="10">
        <v>5</v>
      </c>
      <c r="D31" s="13" t="s">
        <v>392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13" t="s">
        <v>801</v>
      </c>
    </row>
    <row r="32" spans="2:24" ht="13.8" x14ac:dyDescent="0.2">
      <c r="B32" s="8">
        <v>29</v>
      </c>
      <c r="C32" s="10">
        <v>1</v>
      </c>
      <c r="D32" s="13" t="s">
        <v>379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13" t="s">
        <v>472</v>
      </c>
    </row>
    <row r="33" spans="2:24" ht="13.8" x14ac:dyDescent="0.2">
      <c r="B33" s="8">
        <v>30</v>
      </c>
      <c r="C33" s="10">
        <v>48</v>
      </c>
      <c r="D33" s="13" t="s">
        <v>277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277</v>
      </c>
    </row>
    <row r="34" spans="2:24" ht="13.8" x14ac:dyDescent="0.2">
      <c r="B34" s="8">
        <v>31</v>
      </c>
      <c r="C34" s="10">
        <v>8</v>
      </c>
      <c r="D34" s="13" t="s">
        <v>46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13" t="s">
        <v>763</v>
      </c>
    </row>
    <row r="35" spans="2:24" ht="13.8" x14ac:dyDescent="0.2">
      <c r="B35" s="8">
        <v>32</v>
      </c>
      <c r="C35" s="10">
        <v>7</v>
      </c>
      <c r="D35" s="13" t="s">
        <v>289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856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10">
        <v>1</v>
      </c>
      <c r="C4" s="10">
        <v>13</v>
      </c>
      <c r="D4" s="13" t="s">
        <v>1751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 t="s">
        <v>592</v>
      </c>
    </row>
    <row r="5" spans="2:24" ht="13.8" x14ac:dyDescent="0.2">
      <c r="B5" s="10">
        <v>2</v>
      </c>
      <c r="C5" s="10">
        <v>61</v>
      </c>
      <c r="D5" s="13" t="s">
        <v>1729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 t="s">
        <v>707</v>
      </c>
    </row>
    <row r="6" spans="2:24" ht="13.8" x14ac:dyDescent="0.2">
      <c r="B6" s="10">
        <v>3</v>
      </c>
      <c r="C6" s="10">
        <v>1</v>
      </c>
      <c r="D6" s="13" t="s">
        <v>1033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 t="s">
        <v>542</v>
      </c>
    </row>
    <row r="7" spans="2:24" ht="13.8" x14ac:dyDescent="0.2">
      <c r="B7" s="10">
        <v>4</v>
      </c>
      <c r="C7" s="10">
        <v>18</v>
      </c>
      <c r="D7" s="13" t="s">
        <v>1683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 t="s">
        <v>595</v>
      </c>
    </row>
    <row r="8" spans="2:24" ht="13.8" x14ac:dyDescent="0.2">
      <c r="B8" s="10">
        <v>5</v>
      </c>
      <c r="C8" s="10">
        <v>11</v>
      </c>
      <c r="D8" s="13" t="s">
        <v>141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 t="s">
        <v>720</v>
      </c>
    </row>
    <row r="9" spans="2:24" ht="13.8" x14ac:dyDescent="0.2">
      <c r="B9" s="10">
        <v>6</v>
      </c>
      <c r="C9" s="10">
        <v>11</v>
      </c>
      <c r="D9" s="13" t="s">
        <v>1552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 t="s">
        <v>235</v>
      </c>
    </row>
    <row r="10" spans="2:24" ht="13.8" x14ac:dyDescent="0.2">
      <c r="B10" s="10">
        <v>7</v>
      </c>
      <c r="C10" s="10">
        <v>52</v>
      </c>
      <c r="D10" s="13" t="s">
        <v>1340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 t="s">
        <v>658</v>
      </c>
    </row>
    <row r="11" spans="2:24" ht="13.8" x14ac:dyDescent="0.2">
      <c r="B11" s="10">
        <v>8</v>
      </c>
      <c r="C11" s="10">
        <v>11</v>
      </c>
      <c r="D11" s="13" t="s">
        <v>115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 t="s">
        <v>680</v>
      </c>
    </row>
    <row r="12" spans="2:24" ht="13.8" x14ac:dyDescent="0.2">
      <c r="B12" s="10">
        <v>9</v>
      </c>
      <c r="C12" s="10">
        <v>17</v>
      </c>
      <c r="D12" s="13" t="s">
        <v>292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 t="s">
        <v>683</v>
      </c>
    </row>
    <row r="13" spans="2:24" ht="13.8" x14ac:dyDescent="0.2">
      <c r="B13" s="10">
        <v>10</v>
      </c>
      <c r="C13" s="10">
        <v>14</v>
      </c>
      <c r="D13" s="13" t="s">
        <v>214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 t="s">
        <v>549</v>
      </c>
    </row>
    <row r="14" spans="2:24" ht="13.8" x14ac:dyDescent="0.2">
      <c r="B14" s="10">
        <v>11</v>
      </c>
      <c r="C14" s="10">
        <v>18</v>
      </c>
      <c r="D14" s="13" t="s">
        <v>1158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 t="s">
        <v>552</v>
      </c>
    </row>
    <row r="15" spans="2:24" ht="13.8" x14ac:dyDescent="0.2">
      <c r="B15" s="10">
        <v>12</v>
      </c>
      <c r="C15" s="10">
        <v>43</v>
      </c>
      <c r="D15" s="13" t="s">
        <v>226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 t="s">
        <v>567</v>
      </c>
    </row>
    <row r="16" spans="2:24" ht="13.8" x14ac:dyDescent="0.2">
      <c r="B16" s="10">
        <v>13</v>
      </c>
      <c r="C16" s="10">
        <v>15</v>
      </c>
      <c r="D16" s="13" t="s">
        <v>196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 t="s">
        <v>514</v>
      </c>
    </row>
    <row r="17" spans="2:24" ht="13.8" x14ac:dyDescent="0.2">
      <c r="B17" s="10">
        <v>14</v>
      </c>
      <c r="C17" s="10">
        <v>10</v>
      </c>
      <c r="D17" s="13" t="s">
        <v>1718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 t="s">
        <v>679</v>
      </c>
    </row>
    <row r="18" spans="2:24" ht="13.8" x14ac:dyDescent="0.2">
      <c r="B18" s="10">
        <v>15</v>
      </c>
      <c r="C18" s="10">
        <v>19</v>
      </c>
      <c r="D18" s="13" t="s">
        <v>142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 t="s">
        <v>724</v>
      </c>
    </row>
    <row r="19" spans="2:24" ht="13.8" x14ac:dyDescent="0.2">
      <c r="B19" s="10">
        <v>16</v>
      </c>
      <c r="C19" s="10">
        <v>31</v>
      </c>
      <c r="D19" s="13" t="s">
        <v>1146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 t="s">
        <v>1136</v>
      </c>
    </row>
    <row r="20" spans="2:24" ht="13.8" x14ac:dyDescent="0.2">
      <c r="B20" s="10">
        <v>17</v>
      </c>
      <c r="C20" s="10">
        <v>3</v>
      </c>
      <c r="D20" s="13" t="s">
        <v>181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 t="s">
        <v>673</v>
      </c>
    </row>
    <row r="21" spans="2:24" ht="13.8" x14ac:dyDescent="0.2">
      <c r="B21" s="10">
        <v>18</v>
      </c>
      <c r="C21" s="10">
        <v>3</v>
      </c>
      <c r="D21" s="13" t="s">
        <v>210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 t="s">
        <v>544</v>
      </c>
    </row>
    <row r="22" spans="2:24" ht="13.8" x14ac:dyDescent="0.2">
      <c r="B22" s="10">
        <v>19</v>
      </c>
      <c r="C22" s="10">
        <v>60</v>
      </c>
      <c r="D22" s="13" t="s">
        <v>899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 t="s">
        <v>706</v>
      </c>
    </row>
    <row r="23" spans="2:24" ht="13.8" x14ac:dyDescent="0.2">
      <c r="B23" s="10">
        <v>20</v>
      </c>
      <c r="C23" s="10">
        <v>5</v>
      </c>
      <c r="D23" s="13" t="s">
        <v>300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 t="s">
        <v>715</v>
      </c>
    </row>
    <row r="24" spans="2:24" ht="13.8" x14ac:dyDescent="0.2">
      <c r="B24" s="10">
        <v>21</v>
      </c>
      <c r="C24" s="10">
        <v>6</v>
      </c>
      <c r="D24" s="13" t="s">
        <v>112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 t="s">
        <v>676</v>
      </c>
    </row>
    <row r="25" spans="2:24" ht="13.8" x14ac:dyDescent="0.2">
      <c r="B25" s="10">
        <v>22</v>
      </c>
      <c r="C25" s="10">
        <v>8</v>
      </c>
      <c r="D25" s="13" t="s">
        <v>1479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 t="s">
        <v>634</v>
      </c>
    </row>
    <row r="26" spans="2:24" ht="13.8" x14ac:dyDescent="0.2">
      <c r="B26" s="10">
        <v>23</v>
      </c>
      <c r="C26" s="10">
        <v>39</v>
      </c>
      <c r="D26" s="13" t="s">
        <v>88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 t="s">
        <v>694</v>
      </c>
    </row>
    <row r="27" spans="2:24" ht="13.8" x14ac:dyDescent="0.2">
      <c r="B27" s="10">
        <v>24</v>
      </c>
      <c r="C27" s="10">
        <v>0</v>
      </c>
      <c r="D27" s="13" t="s">
        <v>294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 t="s">
        <v>206</v>
      </c>
    </row>
    <row r="28" spans="2:24" ht="13.8" x14ac:dyDescent="0.2">
      <c r="B28" s="10">
        <v>25</v>
      </c>
      <c r="C28" s="10">
        <v>34</v>
      </c>
      <c r="D28" s="13" t="s">
        <v>1271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 t="s">
        <v>1786</v>
      </c>
    </row>
    <row r="29" spans="2:24" ht="13.8" x14ac:dyDescent="0.2">
      <c r="B29" s="10">
        <v>26</v>
      </c>
      <c r="C29" s="10">
        <v>9</v>
      </c>
      <c r="D29" s="13" t="s">
        <v>97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 t="s">
        <v>719</v>
      </c>
    </row>
    <row r="30" spans="2:24" ht="13.8" x14ac:dyDescent="0.2">
      <c r="B30" s="10">
        <v>27</v>
      </c>
      <c r="C30" s="10">
        <v>79</v>
      </c>
      <c r="D30" s="13" t="s">
        <v>347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 t="s">
        <v>347</v>
      </c>
    </row>
    <row r="31" spans="2:24" ht="13.8" x14ac:dyDescent="0.2">
      <c r="B31" s="10">
        <v>28</v>
      </c>
      <c r="C31" s="10">
        <v>0</v>
      </c>
      <c r="D31" s="13" t="s">
        <v>238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 t="s">
        <v>629</v>
      </c>
    </row>
    <row r="32" spans="2:24" ht="13.8" x14ac:dyDescent="0.2">
      <c r="B32" s="10">
        <v>29</v>
      </c>
      <c r="C32" s="10">
        <v>35</v>
      </c>
      <c r="D32" s="13" t="s">
        <v>1466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 t="s">
        <v>563</v>
      </c>
    </row>
    <row r="33" spans="2:24" ht="13.8" x14ac:dyDescent="0.2">
      <c r="B33" s="10">
        <v>30</v>
      </c>
      <c r="C33" s="10">
        <v>8</v>
      </c>
      <c r="D33" s="13" t="s">
        <v>1538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 t="s">
        <v>508</v>
      </c>
    </row>
    <row r="34" spans="2:24" ht="13.8" x14ac:dyDescent="0.2">
      <c r="B34" s="10">
        <v>31</v>
      </c>
      <c r="C34" s="10">
        <v>99</v>
      </c>
      <c r="D34" s="9" t="s">
        <v>173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 t="s">
        <v>149</v>
      </c>
    </row>
    <row r="35" spans="2:24" ht="13.8" x14ac:dyDescent="0.2">
      <c r="B35" s="10">
        <v>32</v>
      </c>
      <c r="C35" s="10">
        <v>54</v>
      </c>
      <c r="D35" s="13" t="s">
        <v>341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 t="s">
        <v>341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85"/>
      <c r="C2" s="85"/>
      <c r="D2" s="85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84" t="s">
        <v>378</v>
      </c>
    </row>
    <row r="3" spans="2:24" x14ac:dyDescent="0.2">
      <c r="B3" s="55" t="s">
        <v>1274</v>
      </c>
      <c r="C3" s="56" t="s">
        <v>1502</v>
      </c>
      <c r="D3" s="56" t="s">
        <v>1503</v>
      </c>
      <c r="E3" s="57" t="s">
        <v>81</v>
      </c>
      <c r="F3" s="58" t="s">
        <v>0</v>
      </c>
      <c r="G3" s="55" t="s">
        <v>1</v>
      </c>
      <c r="H3" s="55" t="s">
        <v>539</v>
      </c>
      <c r="I3" s="55" t="s">
        <v>540</v>
      </c>
      <c r="J3" s="59" t="s">
        <v>1504</v>
      </c>
      <c r="K3" s="55" t="s">
        <v>1438</v>
      </c>
      <c r="L3" s="60" t="s">
        <v>2</v>
      </c>
      <c r="M3" s="61" t="s">
        <v>538</v>
      </c>
      <c r="N3" s="57" t="s">
        <v>541</v>
      </c>
      <c r="O3" s="62" t="s">
        <v>1433</v>
      </c>
      <c r="P3" s="55" t="s">
        <v>383</v>
      </c>
      <c r="Q3" s="55" t="s">
        <v>384</v>
      </c>
      <c r="R3" s="55" t="s">
        <v>1431</v>
      </c>
      <c r="S3" s="55" t="s">
        <v>1432</v>
      </c>
      <c r="T3" s="55" t="s">
        <v>1434</v>
      </c>
      <c r="U3" s="55" t="s">
        <v>1435</v>
      </c>
      <c r="V3" s="55" t="s">
        <v>1436</v>
      </c>
      <c r="W3" s="55" t="s">
        <v>1437</v>
      </c>
      <c r="X3" s="84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3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3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3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3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3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3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3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3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3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3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3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3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3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3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3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3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3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3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3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3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3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3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3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3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3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3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3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3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3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3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3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3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3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3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3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3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3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3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3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3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3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3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3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3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3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3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3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3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3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3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3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3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3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3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3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3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3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3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3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3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3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3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3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3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3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3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3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3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3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3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3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3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3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3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3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3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3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3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3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3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3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3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3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3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3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3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3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3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3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3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3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3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3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3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3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3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3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3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3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3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3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3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3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3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3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3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3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3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3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3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3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3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3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3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3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3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3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3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3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3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3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3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3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3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3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3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3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3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3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3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3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1502</v>
      </c>
      <c r="C1" s="1" t="s">
        <v>1503</v>
      </c>
      <c r="D1" s="1" t="s">
        <v>452</v>
      </c>
      <c r="E1" s="1" t="s">
        <v>453</v>
      </c>
      <c r="F1" s="1" t="s">
        <v>454</v>
      </c>
      <c r="G1" s="1" t="s">
        <v>455</v>
      </c>
      <c r="H1" s="1" t="s">
        <v>456</v>
      </c>
      <c r="I1" s="1" t="s">
        <v>539</v>
      </c>
      <c r="J1" s="1" t="s">
        <v>540</v>
      </c>
      <c r="K1" s="1" t="s">
        <v>1504</v>
      </c>
      <c r="L1" s="1" t="s">
        <v>457</v>
      </c>
      <c r="M1" s="1" t="s">
        <v>458</v>
      </c>
      <c r="N1" s="1" t="s">
        <v>459</v>
      </c>
      <c r="O1" s="1" t="s">
        <v>460</v>
      </c>
      <c r="P1" s="1" t="s">
        <v>461</v>
      </c>
      <c r="Q1" s="1" t="s">
        <v>462</v>
      </c>
      <c r="R1" s="1" t="s">
        <v>463</v>
      </c>
      <c r="S1" s="1" t="s">
        <v>464</v>
      </c>
      <c r="T1" s="1" t="s">
        <v>465</v>
      </c>
      <c r="U1" s="1" t="s">
        <v>1435</v>
      </c>
      <c r="V1" s="1" t="s">
        <v>1436</v>
      </c>
      <c r="W1" s="1" t="s">
        <v>538</v>
      </c>
      <c r="X1" s="1" t="s">
        <v>466</v>
      </c>
      <c r="Y1" s="1" t="s">
        <v>467</v>
      </c>
      <c r="Z1" s="1" t="s">
        <v>468</v>
      </c>
      <c r="AA1" s="1" t="s">
        <v>469</v>
      </c>
    </row>
    <row r="2" spans="2:27" x14ac:dyDescent="0.2">
      <c r="B2" s="15"/>
      <c r="D2" s="16"/>
      <c r="M2" s="17" t="s">
        <v>374</v>
      </c>
      <c r="N2" s="81" t="s">
        <v>1439</v>
      </c>
      <c r="O2" s="81"/>
      <c r="W2" s="16"/>
      <c r="X2" s="16"/>
      <c r="Y2" s="16"/>
      <c r="Z2" s="16"/>
    </row>
    <row r="3" spans="2:27" x14ac:dyDescent="0.2">
      <c r="B3" s="18" t="s">
        <v>375</v>
      </c>
      <c r="D3" s="16"/>
      <c r="F3" t="s">
        <v>376</v>
      </c>
      <c r="W3" s="16"/>
      <c r="X3" s="16"/>
      <c r="Y3" s="16"/>
      <c r="Z3" s="16"/>
    </row>
    <row r="4" spans="2:27" x14ac:dyDescent="0.2">
      <c r="B4" s="19" t="s">
        <v>377</v>
      </c>
      <c r="D4" s="16"/>
      <c r="W4" s="16"/>
      <c r="X4" s="16"/>
      <c r="Y4" s="16"/>
      <c r="Z4" s="16"/>
    </row>
    <row r="5" spans="2:27" x14ac:dyDescent="0.2"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2:27" x14ac:dyDescent="0.2">
      <c r="B6" s="15"/>
      <c r="D6" s="16"/>
      <c r="W6" s="16"/>
      <c r="X6" s="16"/>
      <c r="Y6" s="16"/>
      <c r="Z6" s="16"/>
    </row>
    <row r="7" spans="2:27" x14ac:dyDescent="0.2">
      <c r="B7" s="15"/>
      <c r="D7" s="16"/>
      <c r="W7" s="16"/>
      <c r="X7" s="16"/>
      <c r="Y7" s="16"/>
      <c r="Z7" s="16"/>
    </row>
    <row r="8" spans="2:27" x14ac:dyDescent="0.2">
      <c r="B8" s="15"/>
      <c r="D8" s="16"/>
      <c r="W8" s="16"/>
      <c r="X8" s="16"/>
      <c r="Y8" s="16"/>
      <c r="Z8" s="16"/>
    </row>
    <row r="9" spans="2:27" x14ac:dyDescent="0.2">
      <c r="B9" s="15"/>
      <c r="D9" s="16"/>
      <c r="W9" s="16"/>
      <c r="X9" s="16"/>
      <c r="Y9" s="16"/>
      <c r="Z9" s="16"/>
    </row>
    <row r="10" spans="2:27" x14ac:dyDescent="0.2">
      <c r="B10" s="15"/>
      <c r="D10" s="16"/>
      <c r="W10" s="16"/>
      <c r="X10" s="16"/>
      <c r="Y10" s="16"/>
      <c r="Z10" s="16"/>
    </row>
    <row r="11" spans="2:27" x14ac:dyDescent="0.2">
      <c r="B11" s="15"/>
      <c r="D11" s="16"/>
      <c r="W11" s="16"/>
      <c r="X11" s="16"/>
      <c r="Y11" s="16"/>
      <c r="Z11" s="16"/>
    </row>
    <row r="12" spans="2:27" x14ac:dyDescent="0.2">
      <c r="B12" s="15"/>
      <c r="D12" s="16"/>
      <c r="W12" s="16"/>
      <c r="X12" s="16"/>
      <c r="Y12" s="16"/>
      <c r="Z12" s="16"/>
    </row>
    <row r="13" spans="2:27" x14ac:dyDescent="0.2">
      <c r="B13" s="15"/>
      <c r="D13" s="16"/>
      <c r="W13" s="16"/>
      <c r="X13" s="16"/>
      <c r="Y13" s="16"/>
      <c r="Z13" s="16"/>
    </row>
    <row r="14" spans="2:27" x14ac:dyDescent="0.2">
      <c r="B14" s="15"/>
      <c r="D14" s="16"/>
      <c r="W14" s="16"/>
      <c r="X14" s="16"/>
      <c r="Y14" s="16"/>
      <c r="Z14" s="16"/>
    </row>
    <row r="15" spans="2:27" x14ac:dyDescent="0.2">
      <c r="B15" s="15"/>
      <c r="D15" s="16"/>
      <c r="W15" s="16"/>
      <c r="X15" s="16"/>
      <c r="Y15" s="16"/>
      <c r="Z15" s="16"/>
    </row>
    <row r="16" spans="2:27" x14ac:dyDescent="0.2">
      <c r="B16" s="15"/>
      <c r="D16" s="16"/>
      <c r="W16" s="16"/>
      <c r="X16" s="16"/>
      <c r="Y16" s="16"/>
      <c r="Z16" s="16"/>
    </row>
    <row r="17" spans="2:26" x14ac:dyDescent="0.2">
      <c r="B17" s="15"/>
      <c r="D17" s="16"/>
      <c r="W17" s="16"/>
      <c r="X17" s="16"/>
      <c r="Y17" s="16"/>
      <c r="Z17" s="16"/>
    </row>
    <row r="18" spans="2:26" x14ac:dyDescent="0.2">
      <c r="B18" s="15"/>
      <c r="D18" s="16"/>
      <c r="W18" s="16"/>
      <c r="X18" s="16"/>
      <c r="Y18" s="16"/>
      <c r="Z18" s="16"/>
    </row>
    <row r="19" spans="2:26" x14ac:dyDescent="0.2">
      <c r="B19" s="15"/>
      <c r="D19" s="16"/>
      <c r="W19" s="16"/>
      <c r="X19" s="16"/>
      <c r="Y19" s="16"/>
      <c r="Z19" s="16"/>
    </row>
    <row r="20" spans="2:26" x14ac:dyDescent="0.2">
      <c r="B20" s="15"/>
      <c r="D20" s="16"/>
      <c r="W20" s="16"/>
      <c r="X20" s="16"/>
      <c r="Y20" s="16"/>
      <c r="Z20" s="16"/>
    </row>
    <row r="21" spans="2:26" x14ac:dyDescent="0.2">
      <c r="B21" s="15"/>
      <c r="D21" s="16"/>
      <c r="W21" s="16"/>
      <c r="X21" s="16"/>
      <c r="Y21" s="16"/>
      <c r="Z21" s="16"/>
    </row>
    <row r="22" spans="2:26" x14ac:dyDescent="0.2">
      <c r="B22" s="15"/>
      <c r="D22" s="16"/>
      <c r="W22" s="16"/>
      <c r="X22" s="16"/>
      <c r="Y22" s="16"/>
      <c r="Z22" s="16"/>
    </row>
    <row r="23" spans="2:26" x14ac:dyDescent="0.2">
      <c r="B23" s="15"/>
      <c r="D23" s="16"/>
      <c r="W23" s="16"/>
      <c r="X23" s="16"/>
      <c r="Y23" s="16"/>
      <c r="Z23" s="16"/>
    </row>
    <row r="24" spans="2:26" x14ac:dyDescent="0.2">
      <c r="B24" s="15"/>
      <c r="D24" s="16"/>
      <c r="W24" s="16"/>
      <c r="X24" s="16"/>
      <c r="Y24" s="16"/>
      <c r="Z24" s="16"/>
    </row>
    <row r="25" spans="2:26" x14ac:dyDescent="0.2">
      <c r="B25" s="15"/>
      <c r="D25" s="16"/>
      <c r="W25" s="16"/>
      <c r="X25" s="16"/>
      <c r="Y25" s="16"/>
      <c r="Z25" s="16"/>
    </row>
    <row r="26" spans="2:26" x14ac:dyDescent="0.2">
      <c r="B26" s="15"/>
      <c r="D26" s="16"/>
      <c r="W26" s="16"/>
      <c r="X26" s="16"/>
      <c r="Y26" s="16"/>
      <c r="Z26" s="16"/>
    </row>
    <row r="27" spans="2:26" x14ac:dyDescent="0.2">
      <c r="B27" s="15"/>
      <c r="D27" s="16"/>
      <c r="W27" s="16"/>
      <c r="X27" s="16"/>
      <c r="Y27" s="16"/>
      <c r="Z27" s="16"/>
    </row>
    <row r="28" spans="2:26" x14ac:dyDescent="0.2">
      <c r="B28" s="15"/>
      <c r="D28" s="16"/>
      <c r="W28" s="16"/>
      <c r="X28" s="16"/>
      <c r="Y28" s="16"/>
      <c r="Z28" s="16"/>
    </row>
    <row r="29" spans="2:26" x14ac:dyDescent="0.2">
      <c r="B29" s="15"/>
      <c r="D29" s="16"/>
      <c r="W29" s="16"/>
      <c r="X29" s="16"/>
      <c r="Y29" s="16"/>
      <c r="Z29" s="16"/>
    </row>
    <row r="30" spans="2:26" x14ac:dyDescent="0.2">
      <c r="B30" s="15"/>
      <c r="D30" s="16"/>
      <c r="W30" s="16"/>
      <c r="X30" s="16"/>
      <c r="Y30" s="16"/>
      <c r="Z30" s="16"/>
    </row>
    <row r="31" spans="2:26" x14ac:dyDescent="0.2">
      <c r="B31" s="15"/>
      <c r="D31" s="16"/>
      <c r="W31" s="16"/>
      <c r="X31" s="16"/>
      <c r="Y31" s="16"/>
      <c r="Z31" s="16"/>
    </row>
    <row r="32" spans="2:26" x14ac:dyDescent="0.2">
      <c r="B32" s="15"/>
      <c r="D32" s="16"/>
      <c r="W32" s="16"/>
      <c r="X32" s="16"/>
      <c r="Y32" s="16"/>
      <c r="Z32" s="16"/>
    </row>
    <row r="33" spans="2:26" x14ac:dyDescent="0.2">
      <c r="B33" s="15"/>
      <c r="D33" s="16"/>
      <c r="W33" s="16"/>
      <c r="X33" s="16"/>
      <c r="Y33" s="16"/>
      <c r="Z33" s="16"/>
    </row>
    <row r="34" spans="2:26" x14ac:dyDescent="0.2">
      <c r="B34" s="15"/>
      <c r="D34" s="16"/>
      <c r="W34" s="16"/>
      <c r="X34" s="16"/>
      <c r="Y34" s="16"/>
      <c r="Z34" s="16"/>
    </row>
    <row r="35" spans="2:26" x14ac:dyDescent="0.2">
      <c r="B35" s="15"/>
      <c r="D35" s="16"/>
      <c r="W35" s="16"/>
      <c r="X35" s="16"/>
      <c r="Y35" s="16"/>
      <c r="Z35" s="16"/>
    </row>
    <row r="36" spans="2:26" x14ac:dyDescent="0.2">
      <c r="B36" s="15"/>
      <c r="D36" s="16"/>
      <c r="W36" s="16"/>
      <c r="X36" s="16"/>
      <c r="Y36" s="16"/>
      <c r="Z36" s="16"/>
    </row>
    <row r="37" spans="2:26" x14ac:dyDescent="0.2">
      <c r="B37" s="15"/>
      <c r="D37" s="16"/>
      <c r="W37" s="16"/>
      <c r="X37" s="16"/>
      <c r="Y37" s="16"/>
      <c r="Z37" s="16"/>
    </row>
    <row r="38" spans="2:26" x14ac:dyDescent="0.2">
      <c r="B38" s="15"/>
      <c r="D38" s="16"/>
      <c r="W38" s="16"/>
      <c r="X38" s="16"/>
      <c r="Y38" s="16"/>
      <c r="Z38" s="16"/>
    </row>
    <row r="39" spans="2:26" x14ac:dyDescent="0.2">
      <c r="B39" s="15"/>
      <c r="D39" s="16"/>
      <c r="W39" s="16"/>
      <c r="X39" s="16"/>
      <c r="Y39" s="16"/>
      <c r="Z39" s="16"/>
    </row>
    <row r="40" spans="2:26" x14ac:dyDescent="0.2">
      <c r="B40" s="15"/>
      <c r="D40" s="16"/>
      <c r="W40" s="16"/>
      <c r="X40" s="16"/>
      <c r="Y40" s="16"/>
      <c r="Z40" s="16"/>
    </row>
    <row r="41" spans="2:26" x14ac:dyDescent="0.2">
      <c r="B41" s="15"/>
      <c r="D41" s="16"/>
      <c r="W41" s="16"/>
      <c r="X41" s="16"/>
      <c r="Y41" s="16"/>
      <c r="Z41" s="16"/>
    </row>
    <row r="42" spans="2:26" x14ac:dyDescent="0.2">
      <c r="B42" s="15"/>
      <c r="D42" s="16"/>
      <c r="W42" s="16"/>
      <c r="X42" s="16"/>
      <c r="Y42" s="16"/>
      <c r="Z42" s="16"/>
    </row>
    <row r="43" spans="2:26" x14ac:dyDescent="0.2">
      <c r="B43" s="15"/>
      <c r="D43" s="16"/>
      <c r="W43" s="16"/>
      <c r="X43" s="16"/>
      <c r="Y43" s="16"/>
      <c r="Z43" s="16"/>
    </row>
    <row r="44" spans="2:26" x14ac:dyDescent="0.2">
      <c r="B44" s="15"/>
      <c r="D44" s="16"/>
      <c r="W44" s="16"/>
      <c r="X44" s="16"/>
      <c r="Y44" s="16"/>
      <c r="Z44" s="16"/>
    </row>
    <row r="45" spans="2:26" x14ac:dyDescent="0.2">
      <c r="B45" s="15"/>
      <c r="D45" s="16"/>
      <c r="W45" s="16"/>
      <c r="X45" s="16"/>
      <c r="Y45" s="16"/>
      <c r="Z45" s="16"/>
    </row>
    <row r="46" spans="2:26" x14ac:dyDescent="0.2">
      <c r="B46" s="15"/>
      <c r="D46" s="16"/>
      <c r="W46" s="16"/>
      <c r="X46" s="16"/>
      <c r="Y46" s="16"/>
      <c r="Z46" s="16"/>
    </row>
    <row r="47" spans="2:26" x14ac:dyDescent="0.2">
      <c r="B47" s="15"/>
      <c r="D47" s="16"/>
      <c r="W47" s="16"/>
      <c r="X47" s="16"/>
      <c r="Y47" s="16"/>
      <c r="Z47" s="16"/>
    </row>
    <row r="48" spans="2:26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2024-02-11T09:46:07Z</dcterms:modified>
</cp:coreProperties>
</file>