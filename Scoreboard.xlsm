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1FDCFA0B-D646-4527-8358-70C6C2DFDE1B}" xr6:coauthVersionLast="47" xr6:coauthVersionMax="47" xr10:uidLastSave="{00000000-0000-0000-0000-000000000000}"/>
  <bookViews>
    <workbookView xWindow="-108" yWindow="-108" windowWidth="23256" windowHeight="12576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豊川" sheetId="38" r:id="rId17"/>
    <sheet name="阿南光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39" l="1"/>
  <c r="N134" i="39" s="1"/>
  <c r="K134" i="39"/>
  <c r="E134" i="39"/>
  <c r="B134" i="39"/>
  <c r="M133" i="39"/>
  <c r="N133" i="39" s="1"/>
  <c r="K133" i="39"/>
  <c r="E133" i="39"/>
  <c r="B133" i="39"/>
  <c r="M132" i="39"/>
  <c r="N132" i="39" s="1"/>
  <c r="K132" i="39"/>
  <c r="E132" i="39"/>
  <c r="B132" i="39"/>
  <c r="M131" i="39"/>
  <c r="N131" i="39" s="1"/>
  <c r="K131" i="39"/>
  <c r="E131" i="39"/>
  <c r="B131" i="39"/>
  <c r="M130" i="39"/>
  <c r="N130" i="39" s="1"/>
  <c r="K130" i="39"/>
  <c r="E130" i="39"/>
  <c r="B130" i="39"/>
  <c r="M129" i="39"/>
  <c r="N129" i="39" s="1"/>
  <c r="K129" i="39"/>
  <c r="E129" i="39"/>
  <c r="B129" i="39"/>
  <c r="M128" i="39"/>
  <c r="N128" i="39" s="1"/>
  <c r="K128" i="39"/>
  <c r="E128" i="39"/>
  <c r="B128" i="39"/>
  <c r="M127" i="39"/>
  <c r="N127" i="39" s="1"/>
  <c r="K127" i="39"/>
  <c r="E127" i="39"/>
  <c r="B127" i="39"/>
  <c r="M126" i="39"/>
  <c r="N126" i="39" s="1"/>
  <c r="K126" i="39"/>
  <c r="E126" i="39"/>
  <c r="B126" i="39"/>
  <c r="M125" i="39"/>
  <c r="N125" i="39" s="1"/>
  <c r="K125" i="39"/>
  <c r="E125" i="39"/>
  <c r="B125" i="39"/>
  <c r="M124" i="39"/>
  <c r="N124" i="39" s="1"/>
  <c r="K124" i="39"/>
  <c r="E124" i="39"/>
  <c r="B124" i="39"/>
  <c r="M123" i="39"/>
  <c r="N123" i="39" s="1"/>
  <c r="K123" i="39"/>
  <c r="E123" i="39"/>
  <c r="B123" i="39"/>
  <c r="M122" i="39"/>
  <c r="N122" i="39" s="1"/>
  <c r="K122" i="39"/>
  <c r="E122" i="39"/>
  <c r="B122" i="39"/>
  <c r="M121" i="39"/>
  <c r="N121" i="39" s="1"/>
  <c r="K121" i="39"/>
  <c r="E121" i="39"/>
  <c r="B121" i="39"/>
  <c r="M120" i="39"/>
  <c r="N120" i="39" s="1"/>
  <c r="K120" i="39"/>
  <c r="E120" i="39"/>
  <c r="B120" i="39"/>
  <c r="M119" i="39"/>
  <c r="N119" i="39" s="1"/>
  <c r="K119" i="39"/>
  <c r="E119" i="39"/>
  <c r="B119" i="39"/>
  <c r="M118" i="39"/>
  <c r="N118" i="39" s="1"/>
  <c r="K118" i="39"/>
  <c r="E118" i="39"/>
  <c r="B118" i="39"/>
  <c r="M117" i="39"/>
  <c r="N117" i="39" s="1"/>
  <c r="K117" i="39"/>
  <c r="E117" i="39"/>
  <c r="B117" i="39"/>
  <c r="M116" i="39"/>
  <c r="N116" i="39" s="1"/>
  <c r="K116" i="39"/>
  <c r="E116" i="39"/>
  <c r="B116" i="39"/>
  <c r="M115" i="39"/>
  <c r="N115" i="39" s="1"/>
  <c r="K115" i="39"/>
  <c r="E115" i="39"/>
  <c r="B115" i="39"/>
  <c r="M114" i="39"/>
  <c r="N114" i="39" s="1"/>
  <c r="K114" i="39"/>
  <c r="E114" i="39"/>
  <c r="B114" i="39"/>
  <c r="M113" i="39"/>
  <c r="N113" i="39" s="1"/>
  <c r="K113" i="39"/>
  <c r="E113" i="39"/>
  <c r="B113" i="39"/>
  <c r="M112" i="39"/>
  <c r="N112" i="39" s="1"/>
  <c r="K112" i="39"/>
  <c r="E112" i="39"/>
  <c r="B112" i="39"/>
  <c r="M111" i="39"/>
  <c r="N111" i="39" s="1"/>
  <c r="K111" i="39"/>
  <c r="E111" i="39"/>
  <c r="B111" i="39"/>
  <c r="M110" i="39"/>
  <c r="N110" i="39" s="1"/>
  <c r="K110" i="39"/>
  <c r="E110" i="39"/>
  <c r="B110" i="39"/>
  <c r="M109" i="39"/>
  <c r="N109" i="39" s="1"/>
  <c r="K109" i="39"/>
  <c r="E109" i="39"/>
  <c r="B109" i="39"/>
  <c r="M108" i="39"/>
  <c r="N108" i="39" s="1"/>
  <c r="K108" i="39"/>
  <c r="E108" i="39"/>
  <c r="B108" i="39"/>
  <c r="M107" i="39"/>
  <c r="N107" i="39" s="1"/>
  <c r="K107" i="39"/>
  <c r="E107" i="39"/>
  <c r="B107" i="39"/>
  <c r="M106" i="39"/>
  <c r="N106" i="39" s="1"/>
  <c r="K106" i="39"/>
  <c r="E106" i="39"/>
  <c r="B106" i="39"/>
  <c r="M105" i="39"/>
  <c r="N105" i="39" s="1"/>
  <c r="K105" i="39"/>
  <c r="E105" i="39"/>
  <c r="B105" i="39"/>
  <c r="M104" i="39"/>
  <c r="N104" i="39" s="1"/>
  <c r="K104" i="39"/>
  <c r="E104" i="39"/>
  <c r="B104" i="39"/>
  <c r="M103" i="39"/>
  <c r="N103" i="39" s="1"/>
  <c r="K103" i="39"/>
  <c r="E103" i="39"/>
  <c r="B103" i="39"/>
  <c r="M102" i="39"/>
  <c r="N102" i="39" s="1"/>
  <c r="K102" i="39"/>
  <c r="E102" i="39"/>
  <c r="B102" i="39"/>
  <c r="M101" i="39"/>
  <c r="N101" i="39" s="1"/>
  <c r="K101" i="39"/>
  <c r="E101" i="39"/>
  <c r="B101" i="39"/>
  <c r="M100" i="39"/>
  <c r="N100" i="39" s="1"/>
  <c r="K100" i="39"/>
  <c r="E100" i="39"/>
  <c r="B100" i="39"/>
  <c r="M99" i="39"/>
  <c r="N99" i="39" s="1"/>
  <c r="K99" i="39"/>
  <c r="E99" i="39"/>
  <c r="B99" i="39"/>
  <c r="M98" i="39"/>
  <c r="N98" i="39" s="1"/>
  <c r="K98" i="39"/>
  <c r="E98" i="39"/>
  <c r="B98" i="39"/>
  <c r="M97" i="39"/>
  <c r="N97" i="39" s="1"/>
  <c r="K97" i="39"/>
  <c r="E97" i="39"/>
  <c r="B97" i="39"/>
  <c r="M96" i="39"/>
  <c r="N96" i="39" s="1"/>
  <c r="K96" i="39"/>
  <c r="E96" i="39"/>
  <c r="B96" i="39"/>
  <c r="M95" i="39"/>
  <c r="N95" i="39" s="1"/>
  <c r="K95" i="39"/>
  <c r="E95" i="39"/>
  <c r="B95" i="39"/>
  <c r="M94" i="39"/>
  <c r="N94" i="39" s="1"/>
  <c r="K94" i="39"/>
  <c r="E94" i="39"/>
  <c r="B94" i="39"/>
  <c r="M93" i="39"/>
  <c r="N93" i="39" s="1"/>
  <c r="K93" i="39"/>
  <c r="E93" i="39"/>
  <c r="B93" i="39"/>
  <c r="M92" i="39"/>
  <c r="N92" i="39" s="1"/>
  <c r="K92" i="39"/>
  <c r="E92" i="39"/>
  <c r="B92" i="39"/>
  <c r="M91" i="39"/>
  <c r="N91" i="39" s="1"/>
  <c r="K91" i="39"/>
  <c r="E91" i="39"/>
  <c r="B91" i="39"/>
  <c r="M90" i="39"/>
  <c r="N90" i="39" s="1"/>
  <c r="K90" i="39"/>
  <c r="E90" i="39"/>
  <c r="B90" i="39"/>
  <c r="M89" i="39"/>
  <c r="N89" i="39" s="1"/>
  <c r="K89" i="39"/>
  <c r="E89" i="39"/>
  <c r="B89" i="39"/>
  <c r="M88" i="39"/>
  <c r="N88" i="39" s="1"/>
  <c r="K88" i="39"/>
  <c r="E88" i="39"/>
  <c r="B88" i="39"/>
  <c r="M87" i="39"/>
  <c r="N87" i="39" s="1"/>
  <c r="K87" i="39"/>
  <c r="E87" i="39"/>
  <c r="B87" i="39"/>
  <c r="M86" i="39"/>
  <c r="N86" i="39" s="1"/>
  <c r="K86" i="39"/>
  <c r="E86" i="39"/>
  <c r="B86" i="39"/>
  <c r="M85" i="39"/>
  <c r="N85" i="39" s="1"/>
  <c r="K85" i="39"/>
  <c r="E85" i="39"/>
  <c r="B85" i="39"/>
  <c r="M84" i="39"/>
  <c r="N84" i="39" s="1"/>
  <c r="K84" i="39"/>
  <c r="E84" i="39"/>
  <c r="B84" i="39"/>
  <c r="M83" i="39"/>
  <c r="N83" i="39" s="1"/>
  <c r="K83" i="39"/>
  <c r="E83" i="39"/>
  <c r="B83" i="39"/>
  <c r="M82" i="39"/>
  <c r="N82" i="39" s="1"/>
  <c r="K82" i="39"/>
  <c r="E82" i="39"/>
  <c r="B82" i="39"/>
  <c r="M81" i="39"/>
  <c r="N81" i="39" s="1"/>
  <c r="K81" i="39"/>
  <c r="E81" i="39"/>
  <c r="B81" i="39"/>
  <c r="M80" i="39"/>
  <c r="N80" i="39" s="1"/>
  <c r="K80" i="39"/>
  <c r="E80" i="39"/>
  <c r="B80" i="39"/>
  <c r="M79" i="39"/>
  <c r="N79" i="39" s="1"/>
  <c r="K79" i="39"/>
  <c r="E79" i="39"/>
  <c r="B79" i="39"/>
  <c r="M78" i="39"/>
  <c r="N78" i="39" s="1"/>
  <c r="K78" i="39"/>
  <c r="E78" i="39"/>
  <c r="B78" i="39"/>
  <c r="M77" i="39"/>
  <c r="N77" i="39" s="1"/>
  <c r="K77" i="39"/>
  <c r="E77" i="39"/>
  <c r="B77" i="39"/>
  <c r="M76" i="39"/>
  <c r="N76" i="39" s="1"/>
  <c r="K76" i="39"/>
  <c r="E76" i="39"/>
  <c r="B76" i="39"/>
  <c r="M75" i="39"/>
  <c r="N75" i="39" s="1"/>
  <c r="K75" i="39"/>
  <c r="E75" i="39"/>
  <c r="B75" i="39"/>
  <c r="M74" i="39"/>
  <c r="N74" i="39" s="1"/>
  <c r="K74" i="39"/>
  <c r="E74" i="39"/>
  <c r="B74" i="39"/>
  <c r="M73" i="39"/>
  <c r="N73" i="39" s="1"/>
  <c r="K73" i="39"/>
  <c r="E73" i="39"/>
  <c r="B73" i="39"/>
  <c r="M72" i="39"/>
  <c r="N72" i="39" s="1"/>
  <c r="K72" i="39"/>
  <c r="E72" i="39"/>
  <c r="B72" i="39"/>
  <c r="M71" i="39"/>
  <c r="N71" i="39" s="1"/>
  <c r="K71" i="39"/>
  <c r="E71" i="39"/>
  <c r="B71" i="39"/>
  <c r="M70" i="39"/>
  <c r="N70" i="39" s="1"/>
  <c r="K70" i="39"/>
  <c r="E70" i="39"/>
  <c r="B70" i="39"/>
  <c r="M69" i="39"/>
  <c r="N69" i="39" s="1"/>
  <c r="K69" i="39"/>
  <c r="E69" i="39"/>
  <c r="B69" i="39"/>
  <c r="M68" i="39"/>
  <c r="N68" i="39" s="1"/>
  <c r="K68" i="39"/>
  <c r="E68" i="39"/>
  <c r="B68" i="39"/>
  <c r="M67" i="39"/>
  <c r="N67" i="39" s="1"/>
  <c r="K67" i="39"/>
  <c r="E67" i="39"/>
  <c r="B67" i="39"/>
  <c r="M66" i="39"/>
  <c r="N66" i="39" s="1"/>
  <c r="K66" i="39"/>
  <c r="E66" i="39"/>
  <c r="B66" i="39"/>
  <c r="M65" i="39"/>
  <c r="N65" i="39" s="1"/>
  <c r="K65" i="39"/>
  <c r="E65" i="39"/>
  <c r="B65" i="39"/>
  <c r="M64" i="39"/>
  <c r="N64" i="39" s="1"/>
  <c r="K64" i="39"/>
  <c r="E64" i="39"/>
  <c r="B64" i="39"/>
  <c r="M63" i="39"/>
  <c r="N63" i="39" s="1"/>
  <c r="K63" i="39"/>
  <c r="E63" i="39"/>
  <c r="B63" i="39"/>
  <c r="M62" i="39"/>
  <c r="N62" i="39" s="1"/>
  <c r="K62" i="39"/>
  <c r="E62" i="39"/>
  <c r="B62" i="39"/>
  <c r="M61" i="39"/>
  <c r="N61" i="39" s="1"/>
  <c r="K61" i="39"/>
  <c r="E61" i="39"/>
  <c r="B61" i="39"/>
  <c r="M60" i="39"/>
  <c r="N60" i="39" s="1"/>
  <c r="K60" i="39"/>
  <c r="E60" i="39"/>
  <c r="B60" i="39"/>
  <c r="M59" i="39"/>
  <c r="N59" i="39" s="1"/>
  <c r="K59" i="39"/>
  <c r="E59" i="39"/>
  <c r="B59" i="39"/>
  <c r="M58" i="39"/>
  <c r="N58" i="39" s="1"/>
  <c r="K58" i="39"/>
  <c r="E58" i="39"/>
  <c r="B58" i="39"/>
  <c r="M57" i="39"/>
  <c r="N57" i="39" s="1"/>
  <c r="K57" i="39"/>
  <c r="E57" i="39"/>
  <c r="B57" i="39"/>
  <c r="M56" i="39"/>
  <c r="N56" i="39" s="1"/>
  <c r="K56" i="39"/>
  <c r="E56" i="39"/>
  <c r="B56" i="39"/>
  <c r="M55" i="39"/>
  <c r="N55" i="39" s="1"/>
  <c r="K55" i="39"/>
  <c r="E55" i="39"/>
  <c r="B55" i="39"/>
  <c r="M54" i="39"/>
  <c r="N54" i="39" s="1"/>
  <c r="K54" i="39"/>
  <c r="E54" i="39"/>
  <c r="B54" i="39"/>
  <c r="M53" i="39"/>
  <c r="N53" i="39" s="1"/>
  <c r="K53" i="39"/>
  <c r="E53" i="39"/>
  <c r="B53" i="39"/>
  <c r="M52" i="39"/>
  <c r="N52" i="39" s="1"/>
  <c r="K52" i="39"/>
  <c r="E52" i="39"/>
  <c r="B52" i="39"/>
  <c r="M51" i="39"/>
  <c r="N51" i="39" s="1"/>
  <c r="K51" i="39"/>
  <c r="E51" i="39"/>
  <c r="B51" i="39"/>
  <c r="M50" i="39"/>
  <c r="N50" i="39" s="1"/>
  <c r="K50" i="39"/>
  <c r="E50" i="39"/>
  <c r="B50" i="39"/>
  <c r="M49" i="39"/>
  <c r="N49" i="39" s="1"/>
  <c r="K49" i="39"/>
  <c r="E49" i="39"/>
  <c r="B49" i="39"/>
  <c r="M48" i="39"/>
  <c r="N48" i="39" s="1"/>
  <c r="K48" i="39"/>
  <c r="E48" i="39"/>
  <c r="B48" i="39"/>
  <c r="M47" i="39"/>
  <c r="N47" i="39" s="1"/>
  <c r="K47" i="39"/>
  <c r="E47" i="39"/>
  <c r="B47" i="39"/>
  <c r="M46" i="39"/>
  <c r="N46" i="39" s="1"/>
  <c r="K46" i="39"/>
  <c r="E46" i="39"/>
  <c r="B46" i="39"/>
  <c r="M45" i="39"/>
  <c r="N45" i="39" s="1"/>
  <c r="K45" i="39"/>
  <c r="E45" i="39"/>
  <c r="B45" i="39"/>
  <c r="M44" i="39"/>
  <c r="N44" i="39" s="1"/>
  <c r="K44" i="39"/>
  <c r="E44" i="39"/>
  <c r="B44" i="39"/>
  <c r="M43" i="39"/>
  <c r="N43" i="39" s="1"/>
  <c r="K43" i="39"/>
  <c r="E43" i="39"/>
  <c r="B43" i="39"/>
  <c r="M42" i="39"/>
  <c r="N42" i="39" s="1"/>
  <c r="K42" i="39"/>
  <c r="E42" i="39"/>
  <c r="B42" i="39"/>
  <c r="M41" i="39"/>
  <c r="N41" i="39" s="1"/>
  <c r="K41" i="39"/>
  <c r="E41" i="39"/>
  <c r="B41" i="39"/>
  <c r="M40" i="39"/>
  <c r="N40" i="39" s="1"/>
  <c r="K40" i="39"/>
  <c r="E40" i="39"/>
  <c r="B40" i="39"/>
  <c r="M39" i="39"/>
  <c r="N39" i="39" s="1"/>
  <c r="K39" i="39"/>
  <c r="E39" i="39"/>
  <c r="B39" i="39"/>
  <c r="M38" i="39"/>
  <c r="N38" i="39" s="1"/>
  <c r="K38" i="39"/>
  <c r="E38" i="39"/>
  <c r="B38" i="39"/>
  <c r="M37" i="39"/>
  <c r="N37" i="39" s="1"/>
  <c r="K37" i="39"/>
  <c r="E37" i="39"/>
  <c r="B37" i="39"/>
  <c r="M36" i="39"/>
  <c r="N36" i="39" s="1"/>
  <c r="K36" i="39"/>
  <c r="E36" i="39"/>
  <c r="B36" i="39"/>
  <c r="M35" i="39"/>
  <c r="N35" i="39" s="1"/>
  <c r="K35" i="39"/>
  <c r="E35" i="39"/>
  <c r="B35" i="39"/>
  <c r="M34" i="39"/>
  <c r="N34" i="39" s="1"/>
  <c r="K34" i="39"/>
  <c r="E34" i="39"/>
  <c r="B34" i="39"/>
  <c r="M33" i="39"/>
  <c r="N33" i="39" s="1"/>
  <c r="K33" i="39"/>
  <c r="E33" i="39"/>
  <c r="B33" i="39"/>
  <c r="M32" i="39"/>
  <c r="N32" i="39" s="1"/>
  <c r="K32" i="39"/>
  <c r="E32" i="39"/>
  <c r="B32" i="39"/>
  <c r="M31" i="39"/>
  <c r="N31" i="39" s="1"/>
  <c r="K31" i="39"/>
  <c r="E31" i="39"/>
  <c r="B31" i="39"/>
  <c r="M30" i="39"/>
  <c r="N30" i="39" s="1"/>
  <c r="K30" i="39"/>
  <c r="E30" i="39"/>
  <c r="B30" i="39"/>
  <c r="M29" i="39"/>
  <c r="N29" i="39" s="1"/>
  <c r="K29" i="39"/>
  <c r="E29" i="39"/>
  <c r="B29" i="39"/>
  <c r="M28" i="39"/>
  <c r="N28" i="39" s="1"/>
  <c r="K28" i="39"/>
  <c r="E28" i="39"/>
  <c r="B28" i="39"/>
  <c r="M27" i="39"/>
  <c r="N27" i="39" s="1"/>
  <c r="K27" i="39"/>
  <c r="E27" i="39"/>
  <c r="B27" i="39"/>
  <c r="M26" i="39"/>
  <c r="N26" i="39" s="1"/>
  <c r="K26" i="39"/>
  <c r="E26" i="39"/>
  <c r="B26" i="39"/>
  <c r="M25" i="39"/>
  <c r="N25" i="39" s="1"/>
  <c r="K25" i="39"/>
  <c r="E25" i="39"/>
  <c r="B25" i="39"/>
  <c r="M24" i="39"/>
  <c r="N24" i="39" s="1"/>
  <c r="K24" i="39"/>
  <c r="E24" i="39"/>
  <c r="B24" i="39"/>
  <c r="M23" i="39"/>
  <c r="N23" i="39" s="1"/>
  <c r="K23" i="39"/>
  <c r="E23" i="39"/>
  <c r="B23" i="39"/>
  <c r="M22" i="39"/>
  <c r="N22" i="39" s="1"/>
  <c r="K22" i="39"/>
  <c r="E22" i="39"/>
  <c r="B22" i="39"/>
  <c r="M21" i="39"/>
  <c r="N21" i="39" s="1"/>
  <c r="K21" i="39"/>
  <c r="E21" i="39"/>
  <c r="B21" i="39"/>
  <c r="M20" i="39"/>
  <c r="N20" i="39" s="1"/>
  <c r="K20" i="39"/>
  <c r="E20" i="39"/>
  <c r="B20" i="39"/>
  <c r="M19" i="39"/>
  <c r="N19" i="39" s="1"/>
  <c r="K19" i="39"/>
  <c r="E19" i="39"/>
  <c r="B19" i="39"/>
  <c r="M18" i="39"/>
  <c r="N18" i="39" s="1"/>
  <c r="K18" i="39"/>
  <c r="E18" i="39"/>
  <c r="B18" i="39"/>
  <c r="M17" i="39"/>
  <c r="N17" i="39" s="1"/>
  <c r="K17" i="39"/>
  <c r="E17" i="39"/>
  <c r="B17" i="39"/>
  <c r="M16" i="39"/>
  <c r="N16" i="39" s="1"/>
  <c r="K16" i="39"/>
  <c r="E16" i="39"/>
  <c r="B16" i="39"/>
  <c r="M15" i="39"/>
  <c r="N15" i="39" s="1"/>
  <c r="K15" i="39"/>
  <c r="E15" i="39"/>
  <c r="B15" i="39"/>
  <c r="M14" i="39"/>
  <c r="N14" i="39" s="1"/>
  <c r="K14" i="39"/>
  <c r="E14" i="39"/>
  <c r="B14" i="39"/>
  <c r="M13" i="39"/>
  <c r="N13" i="39" s="1"/>
  <c r="K13" i="39"/>
  <c r="E13" i="39"/>
  <c r="B13" i="39"/>
  <c r="M12" i="39"/>
  <c r="N12" i="39" s="1"/>
  <c r="K12" i="39"/>
  <c r="E12" i="39"/>
  <c r="B12" i="39"/>
  <c r="M11" i="39"/>
  <c r="N11" i="39" s="1"/>
  <c r="K11" i="39"/>
  <c r="E11" i="39"/>
  <c r="B11" i="39"/>
  <c r="M10" i="39"/>
  <c r="N10" i="39" s="1"/>
  <c r="K10" i="39"/>
  <c r="E10" i="39"/>
  <c r="B10" i="39"/>
  <c r="M9" i="39"/>
  <c r="N9" i="39" s="1"/>
  <c r="K9" i="39"/>
  <c r="E9" i="39"/>
  <c r="B9" i="39"/>
  <c r="M8" i="39"/>
  <c r="N8" i="39" s="1"/>
  <c r="K8" i="39"/>
  <c r="E8" i="39"/>
  <c r="B8" i="39"/>
  <c r="M7" i="39"/>
  <c r="N7" i="39" s="1"/>
  <c r="K7" i="39"/>
  <c r="E7" i="39"/>
  <c r="B7" i="39"/>
  <c r="M6" i="39"/>
  <c r="N6" i="39" s="1"/>
  <c r="K6" i="39"/>
  <c r="E6" i="39"/>
  <c r="B6" i="39"/>
  <c r="M5" i="39"/>
  <c r="N5" i="39" s="1"/>
  <c r="K5" i="39"/>
  <c r="E5" i="39"/>
  <c r="B5" i="39"/>
  <c r="M4" i="39"/>
  <c r="N4" i="39" s="1"/>
  <c r="K4" i="39"/>
  <c r="E4" i="39"/>
  <c r="B4" i="39"/>
  <c r="V2" i="39"/>
  <c r="U2" i="39"/>
  <c r="T2" i="39"/>
  <c r="S2" i="39"/>
  <c r="R2" i="39"/>
  <c r="Q2" i="39"/>
  <c r="P2" i="39"/>
  <c r="O2" i="39"/>
  <c r="M2" i="39"/>
  <c r="L2" i="39"/>
  <c r="J2" i="39"/>
  <c r="I2" i="39"/>
  <c r="H2" i="39"/>
  <c r="G2" i="39"/>
  <c r="K2" i="39" s="1"/>
  <c r="F2" i="39"/>
  <c r="N2" i="39" s="1"/>
  <c r="E2" i="39"/>
  <c r="M134" i="38"/>
  <c r="N134" i="38" s="1"/>
  <c r="K134" i="38"/>
  <c r="E134" i="38"/>
  <c r="B134" i="38"/>
  <c r="N133" i="38"/>
  <c r="M133" i="38"/>
  <c r="K133" i="38"/>
  <c r="E133" i="38"/>
  <c r="B133" i="38"/>
  <c r="N132" i="38"/>
  <c r="M132" i="38"/>
  <c r="K132" i="38"/>
  <c r="E132" i="38"/>
  <c r="B132" i="38"/>
  <c r="N131" i="38"/>
  <c r="M131" i="38"/>
  <c r="K131" i="38"/>
  <c r="E131" i="38"/>
  <c r="B131" i="38"/>
  <c r="M130" i="38"/>
  <c r="N130" i="38" s="1"/>
  <c r="K130" i="38"/>
  <c r="E130" i="38"/>
  <c r="B130" i="38"/>
  <c r="N129" i="38"/>
  <c r="M129" i="38"/>
  <c r="K129" i="38"/>
  <c r="E129" i="38"/>
  <c r="B129" i="38"/>
  <c r="N128" i="38"/>
  <c r="M128" i="38"/>
  <c r="K128" i="38"/>
  <c r="E128" i="38"/>
  <c r="B128" i="38"/>
  <c r="N127" i="38"/>
  <c r="M127" i="38"/>
  <c r="K127" i="38"/>
  <c r="E127" i="38"/>
  <c r="B127" i="38"/>
  <c r="M126" i="38"/>
  <c r="N126" i="38" s="1"/>
  <c r="K126" i="38"/>
  <c r="E126" i="38"/>
  <c r="B126" i="38"/>
  <c r="N125" i="38"/>
  <c r="M125" i="38"/>
  <c r="K125" i="38"/>
  <c r="E125" i="38"/>
  <c r="B125" i="38"/>
  <c r="N124" i="38"/>
  <c r="M124" i="38"/>
  <c r="K124" i="38"/>
  <c r="E124" i="38"/>
  <c r="B124" i="38"/>
  <c r="N123" i="38"/>
  <c r="M123" i="38"/>
  <c r="K123" i="38"/>
  <c r="E123" i="38"/>
  <c r="B123" i="38"/>
  <c r="M122" i="38"/>
  <c r="N122" i="38" s="1"/>
  <c r="K122" i="38"/>
  <c r="E122" i="38"/>
  <c r="B122" i="38"/>
  <c r="N121" i="38"/>
  <c r="M121" i="38"/>
  <c r="K121" i="38"/>
  <c r="E121" i="38"/>
  <c r="B121" i="38"/>
  <c r="N120" i="38"/>
  <c r="M120" i="38"/>
  <c r="K120" i="38"/>
  <c r="E120" i="38"/>
  <c r="B120" i="38"/>
  <c r="N119" i="38"/>
  <c r="M119" i="38"/>
  <c r="K119" i="38"/>
  <c r="E119" i="38"/>
  <c r="B119" i="38"/>
  <c r="M118" i="38"/>
  <c r="N118" i="38" s="1"/>
  <c r="K118" i="38"/>
  <c r="E118" i="38"/>
  <c r="B118" i="38"/>
  <c r="N117" i="38"/>
  <c r="M117" i="38"/>
  <c r="K117" i="38"/>
  <c r="E117" i="38"/>
  <c r="B117" i="38"/>
  <c r="N116" i="38"/>
  <c r="M116" i="38"/>
  <c r="K116" i="38"/>
  <c r="E116" i="38"/>
  <c r="B116" i="38"/>
  <c r="N115" i="38"/>
  <c r="M115" i="38"/>
  <c r="K115" i="38"/>
  <c r="E115" i="38"/>
  <c r="B115" i="38"/>
  <c r="M114" i="38"/>
  <c r="N114" i="38" s="1"/>
  <c r="K114" i="38"/>
  <c r="E114" i="38"/>
  <c r="B114" i="38"/>
  <c r="N113" i="38"/>
  <c r="M113" i="38"/>
  <c r="K113" i="38"/>
  <c r="E113" i="38"/>
  <c r="B113" i="38"/>
  <c r="N112" i="38"/>
  <c r="M112" i="38"/>
  <c r="K112" i="38"/>
  <c r="E112" i="38"/>
  <c r="B112" i="38"/>
  <c r="N111" i="38"/>
  <c r="M111" i="38"/>
  <c r="K111" i="38"/>
  <c r="E111" i="38"/>
  <c r="B111" i="38"/>
  <c r="M110" i="38"/>
  <c r="N110" i="38" s="1"/>
  <c r="K110" i="38"/>
  <c r="E110" i="38"/>
  <c r="B110" i="38"/>
  <c r="N109" i="38"/>
  <c r="M109" i="38"/>
  <c r="K109" i="38"/>
  <c r="E109" i="38"/>
  <c r="B109" i="38"/>
  <c r="N108" i="38"/>
  <c r="M108" i="38"/>
  <c r="K108" i="38"/>
  <c r="E108" i="38"/>
  <c r="B108" i="38"/>
  <c r="N107" i="38"/>
  <c r="M107" i="38"/>
  <c r="K107" i="38"/>
  <c r="E107" i="38"/>
  <c r="B107" i="38"/>
  <c r="M106" i="38"/>
  <c r="N106" i="38" s="1"/>
  <c r="K106" i="38"/>
  <c r="E106" i="38"/>
  <c r="B106" i="38"/>
  <c r="N105" i="38"/>
  <c r="M105" i="38"/>
  <c r="K105" i="38"/>
  <c r="E105" i="38"/>
  <c r="B105" i="38"/>
  <c r="N104" i="38"/>
  <c r="M104" i="38"/>
  <c r="K104" i="38"/>
  <c r="E104" i="38"/>
  <c r="B104" i="38"/>
  <c r="N103" i="38"/>
  <c r="M103" i="38"/>
  <c r="K103" i="38"/>
  <c r="E103" i="38"/>
  <c r="B103" i="38"/>
  <c r="M102" i="38"/>
  <c r="N102" i="38" s="1"/>
  <c r="K102" i="38"/>
  <c r="E102" i="38"/>
  <c r="B102" i="38"/>
  <c r="N101" i="38"/>
  <c r="M101" i="38"/>
  <c r="K101" i="38"/>
  <c r="E101" i="38"/>
  <c r="B101" i="38"/>
  <c r="N100" i="38"/>
  <c r="M100" i="38"/>
  <c r="K100" i="38"/>
  <c r="E100" i="38"/>
  <c r="B100" i="38"/>
  <c r="M99" i="38"/>
  <c r="N99" i="38" s="1"/>
  <c r="K99" i="38"/>
  <c r="E99" i="38"/>
  <c r="B99" i="38"/>
  <c r="M98" i="38"/>
  <c r="N98" i="38" s="1"/>
  <c r="K98" i="38"/>
  <c r="E98" i="38"/>
  <c r="B98" i="38"/>
  <c r="N97" i="38"/>
  <c r="M97" i="38"/>
  <c r="K97" i="38"/>
  <c r="E97" i="38"/>
  <c r="B97" i="38"/>
  <c r="N96" i="38"/>
  <c r="M96" i="38"/>
  <c r="K96" i="38"/>
  <c r="E96" i="38"/>
  <c r="B96" i="38"/>
  <c r="M95" i="38"/>
  <c r="N95" i="38" s="1"/>
  <c r="K95" i="38"/>
  <c r="E95" i="38"/>
  <c r="B95" i="38"/>
  <c r="M94" i="38"/>
  <c r="N94" i="38" s="1"/>
  <c r="K94" i="38"/>
  <c r="E94" i="38"/>
  <c r="B94" i="38"/>
  <c r="N93" i="38"/>
  <c r="M93" i="38"/>
  <c r="K93" i="38"/>
  <c r="E93" i="38"/>
  <c r="B93" i="38"/>
  <c r="N92" i="38"/>
  <c r="M92" i="38"/>
  <c r="K92" i="38"/>
  <c r="E92" i="38"/>
  <c r="B92" i="38"/>
  <c r="M91" i="38"/>
  <c r="N91" i="38" s="1"/>
  <c r="K91" i="38"/>
  <c r="E91" i="38"/>
  <c r="B91" i="38"/>
  <c r="M90" i="38"/>
  <c r="N90" i="38" s="1"/>
  <c r="K90" i="38"/>
  <c r="E90" i="38"/>
  <c r="B90" i="38"/>
  <c r="N89" i="38"/>
  <c r="M89" i="38"/>
  <c r="K89" i="38"/>
  <c r="E89" i="38"/>
  <c r="B89" i="38"/>
  <c r="N88" i="38"/>
  <c r="M88" i="38"/>
  <c r="K88" i="38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N85" i="38"/>
  <c r="M85" i="38"/>
  <c r="K85" i="38"/>
  <c r="E85" i="38"/>
  <c r="B85" i="38"/>
  <c r="N84" i="38"/>
  <c r="M84" i="38"/>
  <c r="K84" i="38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N81" i="38"/>
  <c r="M81" i="38"/>
  <c r="K81" i="38"/>
  <c r="E81" i="38"/>
  <c r="B81" i="38"/>
  <c r="N80" i="38"/>
  <c r="M80" i="38"/>
  <c r="K80" i="38"/>
  <c r="E80" i="38"/>
  <c r="B80" i="38"/>
  <c r="M79" i="38"/>
  <c r="N79" i="38" s="1"/>
  <c r="K79" i="38"/>
  <c r="E79" i="38"/>
  <c r="B79" i="38"/>
  <c r="M78" i="38"/>
  <c r="N78" i="38" s="1"/>
  <c r="K78" i="38"/>
  <c r="E78" i="38"/>
  <c r="B78" i="38"/>
  <c r="N77" i="38"/>
  <c r="M77" i="38"/>
  <c r="K77" i="38"/>
  <c r="E77" i="38"/>
  <c r="B77" i="38"/>
  <c r="N76" i="38"/>
  <c r="M76" i="38"/>
  <c r="K76" i="38"/>
  <c r="E76" i="38"/>
  <c r="B76" i="38"/>
  <c r="M75" i="38"/>
  <c r="N75" i="38" s="1"/>
  <c r="K75" i="38"/>
  <c r="E75" i="38"/>
  <c r="B75" i="38"/>
  <c r="M74" i="38"/>
  <c r="N74" i="38" s="1"/>
  <c r="K74" i="38"/>
  <c r="E74" i="38"/>
  <c r="B74" i="38"/>
  <c r="N73" i="38"/>
  <c r="M73" i="38"/>
  <c r="K73" i="38"/>
  <c r="E73" i="38"/>
  <c r="B73" i="38"/>
  <c r="N72" i="38"/>
  <c r="M72" i="38"/>
  <c r="K72" i="38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N69" i="38"/>
  <c r="M69" i="38"/>
  <c r="K69" i="38"/>
  <c r="E69" i="38"/>
  <c r="B69" i="38"/>
  <c r="N68" i="38"/>
  <c r="M68" i="38"/>
  <c r="K68" i="38"/>
  <c r="E68" i="38"/>
  <c r="B68" i="38"/>
  <c r="M67" i="38"/>
  <c r="N67" i="38" s="1"/>
  <c r="K67" i="38"/>
  <c r="E67" i="38"/>
  <c r="B67" i="38"/>
  <c r="M66" i="38"/>
  <c r="N66" i="38" s="1"/>
  <c r="K66" i="38"/>
  <c r="E66" i="38"/>
  <c r="B66" i="38"/>
  <c r="N65" i="38"/>
  <c r="M65" i="38"/>
  <c r="K65" i="38"/>
  <c r="E65" i="38"/>
  <c r="B65" i="38"/>
  <c r="N64" i="38"/>
  <c r="M64" i="38"/>
  <c r="K64" i="38"/>
  <c r="E64" i="38"/>
  <c r="B64" i="38"/>
  <c r="M63" i="38"/>
  <c r="N63" i="38" s="1"/>
  <c r="K63" i="38"/>
  <c r="E63" i="38"/>
  <c r="B63" i="38"/>
  <c r="M62" i="38"/>
  <c r="N62" i="38" s="1"/>
  <c r="K62" i="38"/>
  <c r="E62" i="38"/>
  <c r="B62" i="38"/>
  <c r="N61" i="38"/>
  <c r="M61" i="38"/>
  <c r="K61" i="38"/>
  <c r="E61" i="38"/>
  <c r="B61" i="38"/>
  <c r="N60" i="38"/>
  <c r="M60" i="38"/>
  <c r="K60" i="38"/>
  <c r="E60" i="38"/>
  <c r="B60" i="38"/>
  <c r="M59" i="38"/>
  <c r="N59" i="38" s="1"/>
  <c r="K59" i="38"/>
  <c r="E59" i="38"/>
  <c r="B59" i="38"/>
  <c r="M58" i="38"/>
  <c r="N58" i="38" s="1"/>
  <c r="K58" i="38"/>
  <c r="E58" i="38"/>
  <c r="B58" i="38"/>
  <c r="N57" i="38"/>
  <c r="M57" i="38"/>
  <c r="K57" i="38"/>
  <c r="E57" i="38"/>
  <c r="B57" i="38"/>
  <c r="N56" i="38"/>
  <c r="M56" i="38"/>
  <c r="K56" i="38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N53" i="38"/>
  <c r="M53" i="38"/>
  <c r="K53" i="38"/>
  <c r="E53" i="38"/>
  <c r="B53" i="38"/>
  <c r="N52" i="38"/>
  <c r="M52" i="38"/>
  <c r="K52" i="38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N49" i="38"/>
  <c r="M49" i="38"/>
  <c r="K49" i="38"/>
  <c r="E49" i="38"/>
  <c r="B49" i="38"/>
  <c r="N48" i="38"/>
  <c r="M48" i="38"/>
  <c r="K48" i="38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N45" i="38"/>
  <c r="M45" i="38"/>
  <c r="K45" i="38"/>
  <c r="E45" i="38"/>
  <c r="B45" i="38"/>
  <c r="N44" i="38"/>
  <c r="M44" i="38"/>
  <c r="K44" i="38"/>
  <c r="E44" i="38"/>
  <c r="B44" i="38"/>
  <c r="M43" i="38"/>
  <c r="N43" i="38" s="1"/>
  <c r="K43" i="38"/>
  <c r="E43" i="38"/>
  <c r="B43" i="38"/>
  <c r="M42" i="38"/>
  <c r="N42" i="38" s="1"/>
  <c r="K42" i="38"/>
  <c r="E42" i="38"/>
  <c r="B42" i="38"/>
  <c r="N41" i="38"/>
  <c r="M41" i="38"/>
  <c r="K41" i="38"/>
  <c r="E41" i="38"/>
  <c r="B41" i="38"/>
  <c r="N40" i="38"/>
  <c r="M40" i="38"/>
  <c r="K40" i="38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N37" i="38"/>
  <c r="M37" i="38"/>
  <c r="K37" i="38"/>
  <c r="E37" i="38"/>
  <c r="B37" i="38"/>
  <c r="N36" i="38"/>
  <c r="M36" i="38"/>
  <c r="K36" i="38"/>
  <c r="E36" i="38"/>
  <c r="B36" i="38"/>
  <c r="M35" i="38"/>
  <c r="N35" i="38" s="1"/>
  <c r="K35" i="38"/>
  <c r="E35" i="38"/>
  <c r="B35" i="38"/>
  <c r="M34" i="38"/>
  <c r="N34" i="38" s="1"/>
  <c r="K34" i="38"/>
  <c r="E34" i="38"/>
  <c r="B34" i="38"/>
  <c r="N33" i="38"/>
  <c r="M33" i="38"/>
  <c r="K33" i="38"/>
  <c r="E33" i="38"/>
  <c r="B33" i="38"/>
  <c r="N32" i="38"/>
  <c r="M32" i="38"/>
  <c r="K32" i="38"/>
  <c r="E32" i="38"/>
  <c r="B32" i="38"/>
  <c r="M31" i="38"/>
  <c r="N31" i="38" s="1"/>
  <c r="K31" i="38"/>
  <c r="E31" i="38"/>
  <c r="B31" i="38"/>
  <c r="M30" i="38"/>
  <c r="N30" i="38" s="1"/>
  <c r="K30" i="38"/>
  <c r="E30" i="38"/>
  <c r="B30" i="38"/>
  <c r="N29" i="38"/>
  <c r="M29" i="38"/>
  <c r="K29" i="38"/>
  <c r="E29" i="38"/>
  <c r="B29" i="38"/>
  <c r="N28" i="38"/>
  <c r="M28" i="38"/>
  <c r="K28" i="38"/>
  <c r="E28" i="38"/>
  <c r="B28" i="38"/>
  <c r="M27" i="38"/>
  <c r="N27" i="38" s="1"/>
  <c r="K27" i="38"/>
  <c r="E27" i="38"/>
  <c r="B27" i="38"/>
  <c r="M26" i="38"/>
  <c r="N26" i="38" s="1"/>
  <c r="K26" i="38"/>
  <c r="E26" i="38"/>
  <c r="B26" i="38"/>
  <c r="N25" i="38"/>
  <c r="M25" i="38"/>
  <c r="K25" i="38"/>
  <c r="E25" i="38"/>
  <c r="B25" i="38"/>
  <c r="N24" i="38"/>
  <c r="M24" i="38"/>
  <c r="K24" i="38"/>
  <c r="E24" i="38"/>
  <c r="B24" i="38"/>
  <c r="M23" i="38"/>
  <c r="N23" i="38" s="1"/>
  <c r="K23" i="38"/>
  <c r="E23" i="38"/>
  <c r="B23" i="38"/>
  <c r="M22" i="38"/>
  <c r="N22" i="38" s="1"/>
  <c r="K22" i="38"/>
  <c r="E22" i="38"/>
  <c r="B22" i="38"/>
  <c r="N21" i="38"/>
  <c r="M21" i="38"/>
  <c r="K21" i="38"/>
  <c r="E21" i="38"/>
  <c r="B21" i="38"/>
  <c r="N20" i="38"/>
  <c r="M20" i="38"/>
  <c r="K20" i="38"/>
  <c r="E20" i="38"/>
  <c r="B20" i="38"/>
  <c r="M19" i="38"/>
  <c r="N19" i="38" s="1"/>
  <c r="K19" i="38"/>
  <c r="E19" i="38"/>
  <c r="B19" i="38"/>
  <c r="M18" i="38"/>
  <c r="N18" i="38" s="1"/>
  <c r="K18" i="38"/>
  <c r="E18" i="38"/>
  <c r="B18" i="38"/>
  <c r="N17" i="38"/>
  <c r="M17" i="38"/>
  <c r="K17" i="38"/>
  <c r="E17" i="38"/>
  <c r="B17" i="38"/>
  <c r="N16" i="38"/>
  <c r="M16" i="38"/>
  <c r="K16" i="38"/>
  <c r="E16" i="38"/>
  <c r="B16" i="38"/>
  <c r="M15" i="38"/>
  <c r="N15" i="38" s="1"/>
  <c r="K15" i="38"/>
  <c r="E15" i="38"/>
  <c r="B15" i="38"/>
  <c r="M14" i="38"/>
  <c r="N14" i="38" s="1"/>
  <c r="K14" i="38"/>
  <c r="E14" i="38"/>
  <c r="B14" i="38"/>
  <c r="N13" i="38"/>
  <c r="M13" i="38"/>
  <c r="K13" i="38"/>
  <c r="E13" i="38"/>
  <c r="B13" i="38"/>
  <c r="N12" i="38"/>
  <c r="M12" i="38"/>
  <c r="K12" i="38"/>
  <c r="E12" i="38"/>
  <c r="B12" i="38"/>
  <c r="M11" i="38"/>
  <c r="N11" i="38" s="1"/>
  <c r="K11" i="38"/>
  <c r="E11" i="38"/>
  <c r="B11" i="38"/>
  <c r="M10" i="38"/>
  <c r="N10" i="38" s="1"/>
  <c r="K10" i="38"/>
  <c r="E10" i="38"/>
  <c r="B10" i="38"/>
  <c r="N9" i="38"/>
  <c r="M9" i="38"/>
  <c r="K9" i="38"/>
  <c r="E9" i="38"/>
  <c r="B9" i="38"/>
  <c r="N8" i="38"/>
  <c r="M8" i="38"/>
  <c r="K8" i="38"/>
  <c r="E8" i="38"/>
  <c r="B8" i="38"/>
  <c r="M7" i="38"/>
  <c r="N7" i="38" s="1"/>
  <c r="K7" i="38"/>
  <c r="E7" i="38"/>
  <c r="B7" i="38"/>
  <c r="M6" i="38"/>
  <c r="K6" i="38"/>
  <c r="E6" i="38"/>
  <c r="B6" i="38"/>
  <c r="N5" i="38"/>
  <c r="M5" i="38"/>
  <c r="K5" i="38"/>
  <c r="E5" i="38"/>
  <c r="B5" i="38"/>
  <c r="M4" i="38"/>
  <c r="K4" i="38"/>
  <c r="N4" i="38" s="1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N133" i="37" s="1"/>
  <c r="K133" i="37"/>
  <c r="E133" i="37"/>
  <c r="B133" i="37"/>
  <c r="N132" i="37"/>
  <c r="M132" i="37"/>
  <c r="K132" i="37"/>
  <c r="E132" i="37"/>
  <c r="B132" i="37"/>
  <c r="N131" i="37"/>
  <c r="M131" i="37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N128" i="37"/>
  <c r="M128" i="37"/>
  <c r="K128" i="37"/>
  <c r="E128" i="37"/>
  <c r="B128" i="37"/>
  <c r="N127" i="37"/>
  <c r="M127" i="37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N124" i="37"/>
  <c r="M124" i="37"/>
  <c r="K124" i="37"/>
  <c r="E124" i="37"/>
  <c r="B124" i="37"/>
  <c r="N123" i="37"/>
  <c r="M123" i="37"/>
  <c r="K123" i="37"/>
  <c r="E123" i="37"/>
  <c r="B123" i="37"/>
  <c r="M122" i="37"/>
  <c r="N122" i="37" s="1"/>
  <c r="K122" i="37"/>
  <c r="E122" i="37"/>
  <c r="B122" i="37"/>
  <c r="M121" i="37"/>
  <c r="N121" i="37" s="1"/>
  <c r="K121" i="37"/>
  <c r="E121" i="37"/>
  <c r="B121" i="37"/>
  <c r="N120" i="37"/>
  <c r="M120" i="37"/>
  <c r="K120" i="37"/>
  <c r="E120" i="37"/>
  <c r="N119" i="37"/>
  <c r="M119" i="37"/>
  <c r="K119" i="37"/>
  <c r="E119" i="37"/>
  <c r="M118" i="37"/>
  <c r="N118" i="37" s="1"/>
  <c r="K118" i="37"/>
  <c r="E118" i="37"/>
  <c r="M117" i="37"/>
  <c r="N117" i="37" s="1"/>
  <c r="K117" i="37"/>
  <c r="E117" i="37"/>
  <c r="M116" i="37"/>
  <c r="N116" i="37" s="1"/>
  <c r="K116" i="37"/>
  <c r="E116" i="37"/>
  <c r="M115" i="37"/>
  <c r="N115" i="37" s="1"/>
  <c r="K115" i="37"/>
  <c r="E115" i="37"/>
  <c r="N114" i="37"/>
  <c r="M114" i="37"/>
  <c r="K114" i="37"/>
  <c r="E114" i="37"/>
  <c r="N113" i="37"/>
  <c r="M113" i="37"/>
  <c r="K113" i="37"/>
  <c r="E113" i="37"/>
  <c r="N112" i="37"/>
  <c r="M112" i="37"/>
  <c r="K112" i="37"/>
  <c r="E112" i="37"/>
  <c r="N111" i="37"/>
  <c r="M111" i="37"/>
  <c r="K111" i="37"/>
  <c r="E111" i="37"/>
  <c r="M110" i="37"/>
  <c r="N110" i="37" s="1"/>
  <c r="K110" i="37"/>
  <c r="E110" i="37"/>
  <c r="M109" i="37"/>
  <c r="N109" i="37" s="1"/>
  <c r="K109" i="37"/>
  <c r="E109" i="37"/>
  <c r="M108" i="37"/>
  <c r="N108" i="37" s="1"/>
  <c r="K108" i="37"/>
  <c r="E108" i="37"/>
  <c r="M107" i="37"/>
  <c r="N107" i="37" s="1"/>
  <c r="K107" i="37"/>
  <c r="E107" i="37"/>
  <c r="N106" i="37"/>
  <c r="M106" i="37"/>
  <c r="K106" i="37"/>
  <c r="E106" i="37"/>
  <c r="N105" i="37"/>
  <c r="M105" i="37"/>
  <c r="K105" i="37"/>
  <c r="E105" i="37"/>
  <c r="N104" i="37"/>
  <c r="M104" i="37"/>
  <c r="K104" i="37"/>
  <c r="E104" i="37"/>
  <c r="B104" i="37"/>
  <c r="N103" i="37"/>
  <c r="M103" i="37"/>
  <c r="K103" i="37"/>
  <c r="E103" i="37"/>
  <c r="B103" i="37"/>
  <c r="M102" i="37"/>
  <c r="N102" i="37" s="1"/>
  <c r="K102" i="37"/>
  <c r="E102" i="37"/>
  <c r="M101" i="37"/>
  <c r="N101" i="37" s="1"/>
  <c r="K101" i="37"/>
  <c r="E101" i="37"/>
  <c r="N100" i="37"/>
  <c r="M100" i="37"/>
  <c r="K100" i="37"/>
  <c r="E100" i="37"/>
  <c r="N99" i="37"/>
  <c r="M99" i="37"/>
  <c r="K99" i="37"/>
  <c r="E99" i="37"/>
  <c r="N98" i="37"/>
  <c r="M98" i="37"/>
  <c r="K98" i="37"/>
  <c r="E98" i="37"/>
  <c r="N97" i="37"/>
  <c r="M97" i="37"/>
  <c r="K97" i="37"/>
  <c r="E97" i="37"/>
  <c r="M96" i="37"/>
  <c r="N96" i="37" s="1"/>
  <c r="K96" i="37"/>
  <c r="E96" i="37"/>
  <c r="M95" i="37"/>
  <c r="N95" i="37" s="1"/>
  <c r="K95" i="37"/>
  <c r="E95" i="37"/>
  <c r="M94" i="37"/>
  <c r="N94" i="37" s="1"/>
  <c r="K94" i="37"/>
  <c r="E94" i="37"/>
  <c r="M93" i="37"/>
  <c r="N93" i="37" s="1"/>
  <c r="K93" i="37"/>
  <c r="E93" i="37"/>
  <c r="N92" i="37"/>
  <c r="M92" i="37"/>
  <c r="K92" i="37"/>
  <c r="E92" i="37"/>
  <c r="N91" i="37"/>
  <c r="M91" i="37"/>
  <c r="K91" i="37"/>
  <c r="E91" i="37"/>
  <c r="N90" i="37"/>
  <c r="M90" i="37"/>
  <c r="K90" i="37"/>
  <c r="E90" i="37"/>
  <c r="N89" i="37"/>
  <c r="M89" i="37"/>
  <c r="K89" i="37"/>
  <c r="E89" i="37"/>
  <c r="M88" i="37"/>
  <c r="N88" i="37" s="1"/>
  <c r="K88" i="37"/>
  <c r="E88" i="37"/>
  <c r="M87" i="37"/>
  <c r="N87" i="37" s="1"/>
  <c r="K87" i="37"/>
  <c r="E87" i="37"/>
  <c r="M86" i="37"/>
  <c r="N86" i="37" s="1"/>
  <c r="K86" i="37"/>
  <c r="E86" i="37"/>
  <c r="M85" i="37"/>
  <c r="N85" i="37" s="1"/>
  <c r="K85" i="37"/>
  <c r="E85" i="37"/>
  <c r="N84" i="37"/>
  <c r="M84" i="37"/>
  <c r="K84" i="37"/>
  <c r="E84" i="37"/>
  <c r="N83" i="37"/>
  <c r="M83" i="37"/>
  <c r="K83" i="37"/>
  <c r="E83" i="37"/>
  <c r="N82" i="37"/>
  <c r="M82" i="37"/>
  <c r="K82" i="37"/>
  <c r="E82" i="37"/>
  <c r="N81" i="37"/>
  <c r="M81" i="37"/>
  <c r="K81" i="37"/>
  <c r="E81" i="37"/>
  <c r="M80" i="37"/>
  <c r="N80" i="37" s="1"/>
  <c r="K80" i="37"/>
  <c r="E80" i="37"/>
  <c r="M79" i="37"/>
  <c r="N79" i="37" s="1"/>
  <c r="K79" i="37"/>
  <c r="E79" i="37"/>
  <c r="M78" i="37"/>
  <c r="N78" i="37" s="1"/>
  <c r="K78" i="37"/>
  <c r="E78" i="37"/>
  <c r="M77" i="37"/>
  <c r="N77" i="37" s="1"/>
  <c r="K77" i="37"/>
  <c r="E77" i="37"/>
  <c r="N76" i="37"/>
  <c r="M76" i="37"/>
  <c r="K76" i="37"/>
  <c r="E76" i="37"/>
  <c r="N75" i="37"/>
  <c r="M75" i="37"/>
  <c r="K75" i="37"/>
  <c r="E75" i="37"/>
  <c r="N74" i="37"/>
  <c r="M74" i="37"/>
  <c r="K74" i="37"/>
  <c r="E74" i="37"/>
  <c r="N73" i="37"/>
  <c r="M73" i="37"/>
  <c r="K73" i="37"/>
  <c r="E73" i="37"/>
  <c r="M72" i="37"/>
  <c r="N72" i="37" s="1"/>
  <c r="K72" i="37"/>
  <c r="E72" i="37"/>
  <c r="M71" i="37"/>
  <c r="N71" i="37" s="1"/>
  <c r="K71" i="37"/>
  <c r="E71" i="37"/>
  <c r="M70" i="37"/>
  <c r="N70" i="37" s="1"/>
  <c r="K70" i="37"/>
  <c r="E70" i="37"/>
  <c r="M69" i="37"/>
  <c r="N69" i="37" s="1"/>
  <c r="K69" i="37"/>
  <c r="E69" i="37"/>
  <c r="N68" i="37"/>
  <c r="M68" i="37"/>
  <c r="K68" i="37"/>
  <c r="E68" i="37"/>
  <c r="N67" i="37"/>
  <c r="M67" i="37"/>
  <c r="K67" i="37"/>
  <c r="E67" i="37"/>
  <c r="N66" i="37"/>
  <c r="M66" i="37"/>
  <c r="K66" i="37"/>
  <c r="E66" i="37"/>
  <c r="N65" i="37"/>
  <c r="M65" i="37"/>
  <c r="K65" i="37"/>
  <c r="E65" i="37"/>
  <c r="M64" i="37"/>
  <c r="N64" i="37" s="1"/>
  <c r="K64" i="37"/>
  <c r="E64" i="37"/>
  <c r="M63" i="37"/>
  <c r="N63" i="37" s="1"/>
  <c r="K63" i="37"/>
  <c r="E63" i="37"/>
  <c r="M62" i="37"/>
  <c r="N62" i="37" s="1"/>
  <c r="K62" i="37"/>
  <c r="E62" i="37"/>
  <c r="M61" i="37"/>
  <c r="N61" i="37" s="1"/>
  <c r="K61" i="37"/>
  <c r="E61" i="37"/>
  <c r="N60" i="37"/>
  <c r="M60" i="37"/>
  <c r="K60" i="37"/>
  <c r="E60" i="37"/>
  <c r="N59" i="37"/>
  <c r="M59" i="37"/>
  <c r="K59" i="37"/>
  <c r="E59" i="37"/>
  <c r="N58" i="37"/>
  <c r="M58" i="37"/>
  <c r="K58" i="37"/>
  <c r="E58" i="37"/>
  <c r="N57" i="37"/>
  <c r="M57" i="37"/>
  <c r="K57" i="37"/>
  <c r="E57" i="37"/>
  <c r="M56" i="37"/>
  <c r="N56" i="37" s="1"/>
  <c r="K56" i="37"/>
  <c r="E56" i="37"/>
  <c r="M55" i="37"/>
  <c r="N55" i="37" s="1"/>
  <c r="K55" i="37"/>
  <c r="E55" i="37"/>
  <c r="M54" i="37"/>
  <c r="N54" i="37" s="1"/>
  <c r="K54" i="37"/>
  <c r="E54" i="37"/>
  <c r="M53" i="37"/>
  <c r="N53" i="37" s="1"/>
  <c r="K53" i="37"/>
  <c r="E53" i="37"/>
  <c r="N52" i="37"/>
  <c r="M52" i="37"/>
  <c r="K52" i="37"/>
  <c r="E52" i="37"/>
  <c r="N51" i="37"/>
  <c r="M51" i="37"/>
  <c r="K51" i="37"/>
  <c r="E51" i="37"/>
  <c r="N50" i="37"/>
  <c r="M50" i="37"/>
  <c r="K50" i="37"/>
  <c r="E50" i="37"/>
  <c r="N49" i="37"/>
  <c r="M49" i="37"/>
  <c r="K49" i="37"/>
  <c r="E49" i="37"/>
  <c r="M48" i="37"/>
  <c r="N48" i="37" s="1"/>
  <c r="K48" i="37"/>
  <c r="E48" i="37"/>
  <c r="M47" i="37"/>
  <c r="N47" i="37" s="1"/>
  <c r="K47" i="37"/>
  <c r="E47" i="37"/>
  <c r="M46" i="37"/>
  <c r="N46" i="37" s="1"/>
  <c r="K46" i="37"/>
  <c r="E46" i="37"/>
  <c r="M45" i="37"/>
  <c r="N45" i="37" s="1"/>
  <c r="K45" i="37"/>
  <c r="E45" i="37"/>
  <c r="N44" i="37"/>
  <c r="M44" i="37"/>
  <c r="K44" i="37"/>
  <c r="E44" i="37"/>
  <c r="N43" i="37"/>
  <c r="M43" i="37"/>
  <c r="K43" i="37"/>
  <c r="E43" i="37"/>
  <c r="N42" i="37"/>
  <c r="M42" i="37"/>
  <c r="K42" i="37"/>
  <c r="E42" i="37"/>
  <c r="N41" i="37"/>
  <c r="M41" i="37"/>
  <c r="K41" i="37"/>
  <c r="E41" i="37"/>
  <c r="M40" i="37"/>
  <c r="N40" i="37" s="1"/>
  <c r="K40" i="37"/>
  <c r="E40" i="37"/>
  <c r="M39" i="37"/>
  <c r="N39" i="37" s="1"/>
  <c r="K39" i="37"/>
  <c r="E39" i="37"/>
  <c r="M38" i="37"/>
  <c r="N38" i="37" s="1"/>
  <c r="K38" i="37"/>
  <c r="E38" i="37"/>
  <c r="M37" i="37"/>
  <c r="N37" i="37" s="1"/>
  <c r="K37" i="37"/>
  <c r="E37" i="37"/>
  <c r="N36" i="37"/>
  <c r="M36" i="37"/>
  <c r="K36" i="37"/>
  <c r="E36" i="37"/>
  <c r="N35" i="37"/>
  <c r="M35" i="37"/>
  <c r="K35" i="37"/>
  <c r="E35" i="37"/>
  <c r="N34" i="37"/>
  <c r="M34" i="37"/>
  <c r="K34" i="37"/>
  <c r="E34" i="37"/>
  <c r="N33" i="37"/>
  <c r="M33" i="37"/>
  <c r="K33" i="37"/>
  <c r="E33" i="37"/>
  <c r="M32" i="37"/>
  <c r="N32" i="37" s="1"/>
  <c r="K32" i="37"/>
  <c r="E32" i="37"/>
  <c r="M31" i="37"/>
  <c r="N31" i="37" s="1"/>
  <c r="K31" i="37"/>
  <c r="E31" i="37"/>
  <c r="M30" i="37"/>
  <c r="N30" i="37" s="1"/>
  <c r="K30" i="37"/>
  <c r="E30" i="37"/>
  <c r="M29" i="37"/>
  <c r="N29" i="37" s="1"/>
  <c r="K29" i="37"/>
  <c r="E29" i="37"/>
  <c r="N28" i="37"/>
  <c r="M28" i="37"/>
  <c r="K28" i="37"/>
  <c r="E28" i="37"/>
  <c r="N27" i="37"/>
  <c r="M27" i="37"/>
  <c r="K27" i="37"/>
  <c r="E27" i="37"/>
  <c r="N26" i="37"/>
  <c r="M26" i="37"/>
  <c r="K26" i="37"/>
  <c r="E26" i="37"/>
  <c r="N25" i="37"/>
  <c r="M25" i="37"/>
  <c r="K25" i="37"/>
  <c r="E25" i="37"/>
  <c r="M24" i="37"/>
  <c r="N24" i="37" s="1"/>
  <c r="K24" i="37"/>
  <c r="E24" i="37"/>
  <c r="M23" i="37"/>
  <c r="N23" i="37" s="1"/>
  <c r="K23" i="37"/>
  <c r="E23" i="37"/>
  <c r="M22" i="37"/>
  <c r="N22" i="37" s="1"/>
  <c r="K22" i="37"/>
  <c r="E22" i="37"/>
  <c r="M21" i="37"/>
  <c r="N21" i="37" s="1"/>
  <c r="K21" i="37"/>
  <c r="E21" i="37"/>
  <c r="N20" i="37"/>
  <c r="M20" i="37"/>
  <c r="K20" i="37"/>
  <c r="E20" i="37"/>
  <c r="N19" i="37"/>
  <c r="M19" i="37"/>
  <c r="K19" i="37"/>
  <c r="E19" i="37"/>
  <c r="N18" i="37"/>
  <c r="M18" i="37"/>
  <c r="K18" i="37"/>
  <c r="E18" i="37"/>
  <c r="N17" i="37"/>
  <c r="M17" i="37"/>
  <c r="K17" i="37"/>
  <c r="E17" i="37"/>
  <c r="M16" i="37"/>
  <c r="N16" i="37" s="1"/>
  <c r="K16" i="37"/>
  <c r="E16" i="37"/>
  <c r="M15" i="37"/>
  <c r="N15" i="37" s="1"/>
  <c r="K15" i="37"/>
  <c r="E15" i="37"/>
  <c r="M14" i="37"/>
  <c r="N14" i="37" s="1"/>
  <c r="K14" i="37"/>
  <c r="E14" i="37"/>
  <c r="M13" i="37"/>
  <c r="N13" i="37" s="1"/>
  <c r="K13" i="37"/>
  <c r="E13" i="37"/>
  <c r="N12" i="37"/>
  <c r="M12" i="37"/>
  <c r="K12" i="37"/>
  <c r="E12" i="37"/>
  <c r="N11" i="37"/>
  <c r="M11" i="37"/>
  <c r="K11" i="37"/>
  <c r="E11" i="37"/>
  <c r="N10" i="37"/>
  <c r="M10" i="37"/>
  <c r="K10" i="37"/>
  <c r="E10" i="37"/>
  <c r="N9" i="37"/>
  <c r="M9" i="37"/>
  <c r="K9" i="37"/>
  <c r="E9" i="37"/>
  <c r="M8" i="37"/>
  <c r="N8" i="37" s="1"/>
  <c r="K8" i="37"/>
  <c r="E8" i="37"/>
  <c r="M7" i="37"/>
  <c r="N7" i="37" s="1"/>
  <c r="K7" i="37"/>
  <c r="E7" i="37"/>
  <c r="M6" i="37"/>
  <c r="N6" i="37" s="1"/>
  <c r="K6" i="37"/>
  <c r="E6" i="37"/>
  <c r="M5" i="37"/>
  <c r="N5" i="37" s="1"/>
  <c r="K5" i="37"/>
  <c r="E5" i="37"/>
  <c r="N4" i="37"/>
  <c r="M4" i="37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K2" i="37" s="1"/>
  <c r="H2" i="37"/>
  <c r="G2" i="37"/>
  <c r="F2" i="37"/>
  <c r="N134" i="36"/>
  <c r="M134" i="36"/>
  <c r="K134" i="36"/>
  <c r="E134" i="36"/>
  <c r="B134" i="36"/>
  <c r="M133" i="36"/>
  <c r="N133" i="36" s="1"/>
  <c r="K133" i="36"/>
  <c r="E133" i="36"/>
  <c r="B133" i="36"/>
  <c r="M132" i="36"/>
  <c r="N132" i="36" s="1"/>
  <c r="K132" i="36"/>
  <c r="E132" i="36"/>
  <c r="B132" i="36"/>
  <c r="N131" i="36"/>
  <c r="M131" i="36"/>
  <c r="K131" i="36"/>
  <c r="E131" i="36"/>
  <c r="B131" i="36"/>
  <c r="N130" i="36"/>
  <c r="M130" i="36"/>
  <c r="K130" i="36"/>
  <c r="E130" i="36"/>
  <c r="B130" i="36"/>
  <c r="M129" i="36"/>
  <c r="N129" i="36" s="1"/>
  <c r="K129" i="36"/>
  <c r="E129" i="36"/>
  <c r="B129" i="36"/>
  <c r="M128" i="36"/>
  <c r="N128" i="36" s="1"/>
  <c r="K128" i="36"/>
  <c r="E128" i="36"/>
  <c r="B128" i="36"/>
  <c r="N127" i="36"/>
  <c r="M127" i="36"/>
  <c r="K127" i="36"/>
  <c r="E127" i="36"/>
  <c r="B127" i="36"/>
  <c r="N126" i="36"/>
  <c r="M126" i="36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N123" i="36"/>
  <c r="M123" i="36"/>
  <c r="K123" i="36"/>
  <c r="E123" i="36"/>
  <c r="B123" i="36"/>
  <c r="N122" i="36"/>
  <c r="M122" i="36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M119" i="36"/>
  <c r="N119" i="36" s="1"/>
  <c r="K119" i="36"/>
  <c r="E119" i="36"/>
  <c r="M118" i="36"/>
  <c r="N118" i="36" s="1"/>
  <c r="K118" i="36"/>
  <c r="E118" i="36"/>
  <c r="M117" i="36"/>
  <c r="N117" i="36" s="1"/>
  <c r="K117" i="36"/>
  <c r="E117" i="36"/>
  <c r="N116" i="36"/>
  <c r="M116" i="36"/>
  <c r="K116" i="36"/>
  <c r="E116" i="36"/>
  <c r="N115" i="36"/>
  <c r="M115" i="36"/>
  <c r="K115" i="36"/>
  <c r="E115" i="36"/>
  <c r="N114" i="36"/>
  <c r="M114" i="36"/>
  <c r="K114" i="36"/>
  <c r="E114" i="36"/>
  <c r="N113" i="36"/>
  <c r="M113" i="36"/>
  <c r="K113" i="36"/>
  <c r="E113" i="36"/>
  <c r="M112" i="36"/>
  <c r="N112" i="36" s="1"/>
  <c r="K112" i="36"/>
  <c r="E112" i="36"/>
  <c r="M111" i="36"/>
  <c r="N111" i="36" s="1"/>
  <c r="K111" i="36"/>
  <c r="E111" i="36"/>
  <c r="M110" i="36"/>
  <c r="N110" i="36" s="1"/>
  <c r="K110" i="36"/>
  <c r="E110" i="36"/>
  <c r="M109" i="36"/>
  <c r="N109" i="36" s="1"/>
  <c r="K109" i="36"/>
  <c r="E109" i="36"/>
  <c r="N108" i="36"/>
  <c r="M108" i="36"/>
  <c r="K108" i="36"/>
  <c r="E108" i="36"/>
  <c r="N107" i="36"/>
  <c r="M107" i="36"/>
  <c r="K107" i="36"/>
  <c r="E107" i="36"/>
  <c r="N106" i="36"/>
  <c r="M106" i="36"/>
  <c r="K106" i="36"/>
  <c r="E106" i="36"/>
  <c r="N105" i="36"/>
  <c r="M105" i="36"/>
  <c r="K105" i="36"/>
  <c r="E105" i="36"/>
  <c r="M104" i="36"/>
  <c r="N104" i="36" s="1"/>
  <c r="K104" i="36"/>
  <c r="E104" i="36"/>
  <c r="B104" i="36"/>
  <c r="N103" i="36"/>
  <c r="M103" i="36"/>
  <c r="K103" i="36"/>
  <c r="E103" i="36"/>
  <c r="B103" i="36"/>
  <c r="N102" i="36"/>
  <c r="M102" i="36"/>
  <c r="K102" i="36"/>
  <c r="E102" i="36"/>
  <c r="N101" i="36"/>
  <c r="M101" i="36"/>
  <c r="K101" i="36"/>
  <c r="E101" i="36"/>
  <c r="N100" i="36"/>
  <c r="M100" i="36"/>
  <c r="K100" i="36"/>
  <c r="E100" i="36"/>
  <c r="N99" i="36"/>
  <c r="M99" i="36"/>
  <c r="K99" i="36"/>
  <c r="E99" i="36"/>
  <c r="M98" i="36"/>
  <c r="N98" i="36" s="1"/>
  <c r="K98" i="36"/>
  <c r="E98" i="36"/>
  <c r="M97" i="36"/>
  <c r="N97" i="36" s="1"/>
  <c r="K97" i="36"/>
  <c r="E97" i="36"/>
  <c r="M96" i="36"/>
  <c r="N96" i="36" s="1"/>
  <c r="K96" i="36"/>
  <c r="E96" i="36"/>
  <c r="M95" i="36"/>
  <c r="N95" i="36" s="1"/>
  <c r="K95" i="36"/>
  <c r="E95" i="36"/>
  <c r="N94" i="36"/>
  <c r="M94" i="36"/>
  <c r="K94" i="36"/>
  <c r="E94" i="36"/>
  <c r="N93" i="36"/>
  <c r="M93" i="36"/>
  <c r="K93" i="36"/>
  <c r="E93" i="36"/>
  <c r="N92" i="36"/>
  <c r="M92" i="36"/>
  <c r="K92" i="36"/>
  <c r="E92" i="36"/>
  <c r="N91" i="36"/>
  <c r="M91" i="36"/>
  <c r="K91" i="36"/>
  <c r="E91" i="36"/>
  <c r="M90" i="36"/>
  <c r="N90" i="36" s="1"/>
  <c r="K90" i="36"/>
  <c r="E90" i="36"/>
  <c r="M89" i="36"/>
  <c r="N89" i="36" s="1"/>
  <c r="K89" i="36"/>
  <c r="E89" i="36"/>
  <c r="M88" i="36"/>
  <c r="N88" i="36" s="1"/>
  <c r="K88" i="36"/>
  <c r="E88" i="36"/>
  <c r="M87" i="36"/>
  <c r="N87" i="36" s="1"/>
  <c r="K87" i="36"/>
  <c r="E87" i="36"/>
  <c r="N86" i="36"/>
  <c r="M86" i="36"/>
  <c r="K86" i="36"/>
  <c r="E86" i="36"/>
  <c r="N85" i="36"/>
  <c r="M85" i="36"/>
  <c r="K85" i="36"/>
  <c r="E85" i="36"/>
  <c r="N84" i="36"/>
  <c r="M84" i="36"/>
  <c r="K84" i="36"/>
  <c r="E84" i="36"/>
  <c r="N83" i="36"/>
  <c r="M83" i="36"/>
  <c r="K83" i="36"/>
  <c r="E83" i="36"/>
  <c r="M82" i="36"/>
  <c r="N82" i="36" s="1"/>
  <c r="K82" i="36"/>
  <c r="E82" i="36"/>
  <c r="M81" i="36"/>
  <c r="N81" i="36" s="1"/>
  <c r="K81" i="36"/>
  <c r="E81" i="36"/>
  <c r="M80" i="36"/>
  <c r="N80" i="36" s="1"/>
  <c r="K80" i="36"/>
  <c r="E80" i="36"/>
  <c r="M79" i="36"/>
  <c r="N79" i="36" s="1"/>
  <c r="K79" i="36"/>
  <c r="E79" i="36"/>
  <c r="N78" i="36"/>
  <c r="M78" i="36"/>
  <c r="K78" i="36"/>
  <c r="E78" i="36"/>
  <c r="N77" i="36"/>
  <c r="M77" i="36"/>
  <c r="K77" i="36"/>
  <c r="E77" i="36"/>
  <c r="N76" i="36"/>
  <c r="M76" i="36"/>
  <c r="K76" i="36"/>
  <c r="E76" i="36"/>
  <c r="N75" i="36"/>
  <c r="M75" i="36"/>
  <c r="K75" i="36"/>
  <c r="E75" i="36"/>
  <c r="M74" i="36"/>
  <c r="N74" i="36" s="1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N70" i="36"/>
  <c r="M70" i="36"/>
  <c r="K70" i="36"/>
  <c r="E70" i="36"/>
  <c r="N69" i="36"/>
  <c r="M69" i="36"/>
  <c r="K69" i="36"/>
  <c r="E69" i="36"/>
  <c r="N68" i="36"/>
  <c r="M68" i="36"/>
  <c r="K68" i="36"/>
  <c r="E68" i="36"/>
  <c r="N67" i="36"/>
  <c r="M67" i="36"/>
  <c r="K67" i="36"/>
  <c r="E67" i="36"/>
  <c r="M66" i="36"/>
  <c r="N66" i="36" s="1"/>
  <c r="K66" i="36"/>
  <c r="E66" i="36"/>
  <c r="M65" i="36"/>
  <c r="N65" i="36" s="1"/>
  <c r="K65" i="36"/>
  <c r="E65" i="36"/>
  <c r="M64" i="36"/>
  <c r="N64" i="36" s="1"/>
  <c r="K64" i="36"/>
  <c r="E64" i="36"/>
  <c r="M63" i="36"/>
  <c r="N63" i="36" s="1"/>
  <c r="K63" i="36"/>
  <c r="E63" i="36"/>
  <c r="N62" i="36"/>
  <c r="M62" i="36"/>
  <c r="K62" i="36"/>
  <c r="E62" i="36"/>
  <c r="N61" i="36"/>
  <c r="M61" i="36"/>
  <c r="K61" i="36"/>
  <c r="E61" i="36"/>
  <c r="N60" i="36"/>
  <c r="M60" i="36"/>
  <c r="K60" i="36"/>
  <c r="E60" i="36"/>
  <c r="N59" i="36"/>
  <c r="M59" i="36"/>
  <c r="K59" i="36"/>
  <c r="E59" i="36"/>
  <c r="M58" i="36"/>
  <c r="N58" i="36" s="1"/>
  <c r="K58" i="36"/>
  <c r="E58" i="36"/>
  <c r="M57" i="36"/>
  <c r="N57" i="36" s="1"/>
  <c r="K57" i="36"/>
  <c r="E57" i="36"/>
  <c r="M56" i="36"/>
  <c r="N56" i="36" s="1"/>
  <c r="K56" i="36"/>
  <c r="E56" i="36"/>
  <c r="M55" i="36"/>
  <c r="N55" i="36" s="1"/>
  <c r="K55" i="36"/>
  <c r="E55" i="36"/>
  <c r="N54" i="36"/>
  <c r="M54" i="36"/>
  <c r="K54" i="36"/>
  <c r="E54" i="36"/>
  <c r="N53" i="36"/>
  <c r="M53" i="36"/>
  <c r="K53" i="36"/>
  <c r="E53" i="36"/>
  <c r="N52" i="36"/>
  <c r="M52" i="36"/>
  <c r="K52" i="36"/>
  <c r="E52" i="36"/>
  <c r="N51" i="36"/>
  <c r="M51" i="36"/>
  <c r="K51" i="36"/>
  <c r="E51" i="36"/>
  <c r="M50" i="36"/>
  <c r="N50" i="36" s="1"/>
  <c r="K50" i="36"/>
  <c r="E50" i="36"/>
  <c r="M49" i="36"/>
  <c r="N49" i="36" s="1"/>
  <c r="K49" i="36"/>
  <c r="E49" i="36"/>
  <c r="M48" i="36"/>
  <c r="N48" i="36" s="1"/>
  <c r="K48" i="36"/>
  <c r="E48" i="36"/>
  <c r="M47" i="36"/>
  <c r="N47" i="36" s="1"/>
  <c r="K47" i="36"/>
  <c r="E47" i="36"/>
  <c r="N46" i="36"/>
  <c r="M46" i="36"/>
  <c r="K46" i="36"/>
  <c r="E46" i="36"/>
  <c r="N45" i="36"/>
  <c r="M45" i="36"/>
  <c r="K45" i="36"/>
  <c r="E45" i="36"/>
  <c r="N44" i="36"/>
  <c r="M44" i="36"/>
  <c r="K44" i="36"/>
  <c r="E44" i="36"/>
  <c r="N43" i="36"/>
  <c r="M43" i="36"/>
  <c r="K43" i="36"/>
  <c r="E43" i="36"/>
  <c r="M42" i="36"/>
  <c r="N42" i="36" s="1"/>
  <c r="K42" i="36"/>
  <c r="E42" i="36"/>
  <c r="M41" i="36"/>
  <c r="N41" i="36" s="1"/>
  <c r="K41" i="36"/>
  <c r="E41" i="36"/>
  <c r="M40" i="36"/>
  <c r="N40" i="36" s="1"/>
  <c r="K40" i="36"/>
  <c r="E40" i="36"/>
  <c r="M39" i="36"/>
  <c r="N39" i="36" s="1"/>
  <c r="K39" i="36"/>
  <c r="E39" i="36"/>
  <c r="N38" i="36"/>
  <c r="M38" i="36"/>
  <c r="K38" i="36"/>
  <c r="E38" i="36"/>
  <c r="N37" i="36"/>
  <c r="M37" i="36"/>
  <c r="K37" i="36"/>
  <c r="E37" i="36"/>
  <c r="N36" i="36"/>
  <c r="M36" i="36"/>
  <c r="K36" i="36"/>
  <c r="E36" i="36"/>
  <c r="N35" i="36"/>
  <c r="M35" i="36"/>
  <c r="K35" i="36"/>
  <c r="E35" i="36"/>
  <c r="M34" i="36"/>
  <c r="N34" i="36" s="1"/>
  <c r="K34" i="36"/>
  <c r="E34" i="36"/>
  <c r="M33" i="36"/>
  <c r="N33" i="36" s="1"/>
  <c r="K33" i="36"/>
  <c r="E33" i="36"/>
  <c r="M32" i="36"/>
  <c r="N32" i="36" s="1"/>
  <c r="K32" i="36"/>
  <c r="E32" i="36"/>
  <c r="M31" i="36"/>
  <c r="N31" i="36" s="1"/>
  <c r="K31" i="36"/>
  <c r="E31" i="36"/>
  <c r="N30" i="36"/>
  <c r="M30" i="36"/>
  <c r="K30" i="36"/>
  <c r="E30" i="36"/>
  <c r="N29" i="36"/>
  <c r="M29" i="36"/>
  <c r="K29" i="36"/>
  <c r="E29" i="36"/>
  <c r="N28" i="36"/>
  <c r="M28" i="36"/>
  <c r="K28" i="36"/>
  <c r="E28" i="36"/>
  <c r="N27" i="36"/>
  <c r="M27" i="36"/>
  <c r="K27" i="36"/>
  <c r="E27" i="36"/>
  <c r="M26" i="36"/>
  <c r="N26" i="36" s="1"/>
  <c r="K26" i="36"/>
  <c r="E26" i="36"/>
  <c r="M25" i="36"/>
  <c r="N25" i="36" s="1"/>
  <c r="K25" i="36"/>
  <c r="E25" i="36"/>
  <c r="M24" i="36"/>
  <c r="N24" i="36" s="1"/>
  <c r="K24" i="36"/>
  <c r="E24" i="36"/>
  <c r="M23" i="36"/>
  <c r="N23" i="36" s="1"/>
  <c r="K23" i="36"/>
  <c r="E23" i="36"/>
  <c r="N22" i="36"/>
  <c r="M22" i="36"/>
  <c r="K22" i="36"/>
  <c r="E22" i="36"/>
  <c r="N21" i="36"/>
  <c r="M21" i="36"/>
  <c r="K21" i="36"/>
  <c r="E21" i="36"/>
  <c r="N20" i="36"/>
  <c r="M20" i="36"/>
  <c r="K20" i="36"/>
  <c r="E20" i="36"/>
  <c r="N19" i="36"/>
  <c r="M19" i="36"/>
  <c r="K19" i="36"/>
  <c r="E19" i="36"/>
  <c r="M18" i="36"/>
  <c r="N18" i="36" s="1"/>
  <c r="K18" i="36"/>
  <c r="E18" i="36"/>
  <c r="M17" i="36"/>
  <c r="N17" i="36" s="1"/>
  <c r="K17" i="36"/>
  <c r="E17" i="36"/>
  <c r="M16" i="36"/>
  <c r="N16" i="36" s="1"/>
  <c r="K16" i="36"/>
  <c r="E16" i="36"/>
  <c r="M15" i="36"/>
  <c r="N15" i="36" s="1"/>
  <c r="K15" i="36"/>
  <c r="E15" i="36"/>
  <c r="N14" i="36"/>
  <c r="M14" i="36"/>
  <c r="K14" i="36"/>
  <c r="E14" i="36"/>
  <c r="N13" i="36"/>
  <c r="M13" i="36"/>
  <c r="K13" i="36"/>
  <c r="E13" i="36"/>
  <c r="N12" i="36"/>
  <c r="M12" i="36"/>
  <c r="K12" i="36"/>
  <c r="E12" i="36"/>
  <c r="N11" i="36"/>
  <c r="M11" i="36"/>
  <c r="K11" i="36"/>
  <c r="E11" i="36"/>
  <c r="M10" i="36"/>
  <c r="N10" i="36" s="1"/>
  <c r="K10" i="36"/>
  <c r="E10" i="36"/>
  <c r="M9" i="36"/>
  <c r="N9" i="36" s="1"/>
  <c r="K9" i="36"/>
  <c r="E9" i="36"/>
  <c r="M8" i="36"/>
  <c r="N8" i="36" s="1"/>
  <c r="K8" i="36"/>
  <c r="E8" i="36"/>
  <c r="M7" i="36"/>
  <c r="N7" i="36" s="1"/>
  <c r="K7" i="36"/>
  <c r="E7" i="36"/>
  <c r="N6" i="36"/>
  <c r="M6" i="36"/>
  <c r="K6" i="36"/>
  <c r="E6" i="36"/>
  <c r="N5" i="36"/>
  <c r="M5" i="36"/>
  <c r="K5" i="36"/>
  <c r="E5" i="36"/>
  <c r="N4" i="36"/>
  <c r="M4" i="36"/>
  <c r="K4" i="36"/>
  <c r="E4" i="36"/>
  <c r="V2" i="36"/>
  <c r="U2" i="36"/>
  <c r="T2" i="36"/>
  <c r="S2" i="36"/>
  <c r="R2" i="36"/>
  <c r="Q2" i="36"/>
  <c r="P2" i="36"/>
  <c r="O2" i="36"/>
  <c r="L2" i="36"/>
  <c r="K2" i="36"/>
  <c r="J2" i="36"/>
  <c r="I2" i="36"/>
  <c r="H2" i="36"/>
  <c r="G2" i="36"/>
  <c r="F2" i="36"/>
  <c r="E2" i="36" s="1"/>
  <c r="N134" i="35"/>
  <c r="M134" i="35"/>
  <c r="K134" i="35"/>
  <c r="E134" i="35"/>
  <c r="B134" i="35"/>
  <c r="N133" i="35"/>
  <c r="M133" i="35"/>
  <c r="K133" i="35"/>
  <c r="E133" i="35"/>
  <c r="B133" i="35"/>
  <c r="M132" i="35"/>
  <c r="N132" i="35" s="1"/>
  <c r="K132" i="35"/>
  <c r="E132" i="35"/>
  <c r="B132" i="35"/>
  <c r="M131" i="35"/>
  <c r="N131" i="35" s="1"/>
  <c r="K131" i="35"/>
  <c r="E131" i="35"/>
  <c r="B131" i="35"/>
  <c r="N130" i="35"/>
  <c r="M130" i="35"/>
  <c r="K130" i="35"/>
  <c r="E130" i="35"/>
  <c r="B130" i="35"/>
  <c r="N129" i="35"/>
  <c r="M129" i="35"/>
  <c r="K129" i="35"/>
  <c r="E129" i="35"/>
  <c r="B129" i="35"/>
  <c r="M128" i="35"/>
  <c r="N128" i="35" s="1"/>
  <c r="K128" i="35"/>
  <c r="E128" i="35"/>
  <c r="B128" i="35"/>
  <c r="M127" i="35"/>
  <c r="N127" i="35" s="1"/>
  <c r="K127" i="35"/>
  <c r="E127" i="35"/>
  <c r="B127" i="35"/>
  <c r="N126" i="35"/>
  <c r="M126" i="35"/>
  <c r="K126" i="35"/>
  <c r="E126" i="35"/>
  <c r="B126" i="35"/>
  <c r="N125" i="35"/>
  <c r="M125" i="35"/>
  <c r="K125" i="35"/>
  <c r="E125" i="35"/>
  <c r="B125" i="35"/>
  <c r="M124" i="35"/>
  <c r="N124" i="35" s="1"/>
  <c r="K124" i="35"/>
  <c r="E124" i="35"/>
  <c r="B124" i="35"/>
  <c r="M123" i="35"/>
  <c r="N123" i="35" s="1"/>
  <c r="K123" i="35"/>
  <c r="E123" i="35"/>
  <c r="B123" i="35"/>
  <c r="N122" i="35"/>
  <c r="M122" i="35"/>
  <c r="K122" i="35"/>
  <c r="E122" i="35"/>
  <c r="B122" i="35"/>
  <c r="N121" i="35"/>
  <c r="M121" i="35"/>
  <c r="K121" i="35"/>
  <c r="E121" i="35"/>
  <c r="B121" i="35"/>
  <c r="M120" i="35"/>
  <c r="N120" i="35" s="1"/>
  <c r="K120" i="35"/>
  <c r="E120" i="35"/>
  <c r="B120" i="35"/>
  <c r="M119" i="35"/>
  <c r="N119" i="35" s="1"/>
  <c r="K119" i="35"/>
  <c r="E119" i="35"/>
  <c r="B119" i="35"/>
  <c r="N118" i="35"/>
  <c r="M118" i="35"/>
  <c r="K118" i="35"/>
  <c r="E118" i="35"/>
  <c r="B118" i="35"/>
  <c r="N117" i="35"/>
  <c r="M117" i="35"/>
  <c r="K117" i="35"/>
  <c r="E117" i="35"/>
  <c r="B117" i="35"/>
  <c r="M116" i="35"/>
  <c r="N116" i="35" s="1"/>
  <c r="K116" i="35"/>
  <c r="E116" i="35"/>
  <c r="B116" i="35"/>
  <c r="M115" i="35"/>
  <c r="N115" i="35" s="1"/>
  <c r="K115" i="35"/>
  <c r="E115" i="35"/>
  <c r="B115" i="35"/>
  <c r="N114" i="35"/>
  <c r="M114" i="35"/>
  <c r="K114" i="35"/>
  <c r="E114" i="35"/>
  <c r="B114" i="35"/>
  <c r="N113" i="35"/>
  <c r="M113" i="35"/>
  <c r="K113" i="35"/>
  <c r="E113" i="35"/>
  <c r="B113" i="35"/>
  <c r="M112" i="35"/>
  <c r="N112" i="35" s="1"/>
  <c r="K112" i="35"/>
  <c r="E112" i="35"/>
  <c r="B112" i="35"/>
  <c r="M111" i="35"/>
  <c r="N111" i="35" s="1"/>
  <c r="K111" i="35"/>
  <c r="E111" i="35"/>
  <c r="B111" i="35"/>
  <c r="N110" i="35"/>
  <c r="M110" i="35"/>
  <c r="K110" i="35"/>
  <c r="E110" i="35"/>
  <c r="B110" i="35"/>
  <c r="N109" i="35"/>
  <c r="M109" i="35"/>
  <c r="K109" i="35"/>
  <c r="E109" i="35"/>
  <c r="B109" i="35"/>
  <c r="M108" i="35"/>
  <c r="N108" i="35" s="1"/>
  <c r="K108" i="35"/>
  <c r="E108" i="35"/>
  <c r="B108" i="35"/>
  <c r="M107" i="35"/>
  <c r="N107" i="35" s="1"/>
  <c r="K107" i="35"/>
  <c r="E107" i="35"/>
  <c r="B107" i="35"/>
  <c r="N106" i="35"/>
  <c r="M106" i="35"/>
  <c r="K106" i="35"/>
  <c r="E106" i="35"/>
  <c r="B106" i="35"/>
  <c r="N105" i="35"/>
  <c r="M105" i="35"/>
  <c r="K105" i="35"/>
  <c r="E105" i="35"/>
  <c r="B105" i="35"/>
  <c r="M104" i="35"/>
  <c r="N104" i="35" s="1"/>
  <c r="K104" i="35"/>
  <c r="E104" i="35"/>
  <c r="B104" i="35"/>
  <c r="M103" i="35"/>
  <c r="N103" i="35" s="1"/>
  <c r="K103" i="35"/>
  <c r="E103" i="35"/>
  <c r="B103" i="35"/>
  <c r="N102" i="35"/>
  <c r="M102" i="35"/>
  <c r="K102" i="35"/>
  <c r="E102" i="35"/>
  <c r="B102" i="35"/>
  <c r="N101" i="35"/>
  <c r="M101" i="35"/>
  <c r="K101" i="35"/>
  <c r="E101" i="35"/>
  <c r="B101" i="35"/>
  <c r="M100" i="35"/>
  <c r="N100" i="35" s="1"/>
  <c r="K100" i="35"/>
  <c r="E100" i="35"/>
  <c r="B100" i="35"/>
  <c r="M99" i="35"/>
  <c r="N99" i="35" s="1"/>
  <c r="K99" i="35"/>
  <c r="E99" i="35"/>
  <c r="B99" i="35"/>
  <c r="N98" i="35"/>
  <c r="M98" i="35"/>
  <c r="K98" i="35"/>
  <c r="E98" i="35"/>
  <c r="B98" i="35"/>
  <c r="N97" i="35"/>
  <c r="M97" i="35"/>
  <c r="K97" i="35"/>
  <c r="E97" i="35"/>
  <c r="B97" i="35"/>
  <c r="M96" i="35"/>
  <c r="N96" i="35" s="1"/>
  <c r="K96" i="35"/>
  <c r="E96" i="35"/>
  <c r="B96" i="35"/>
  <c r="M95" i="35"/>
  <c r="N95" i="35" s="1"/>
  <c r="K95" i="35"/>
  <c r="E95" i="35"/>
  <c r="B95" i="35"/>
  <c r="N94" i="35"/>
  <c r="M94" i="35"/>
  <c r="K94" i="35"/>
  <c r="E94" i="35"/>
  <c r="B94" i="35"/>
  <c r="N93" i="35"/>
  <c r="M93" i="35"/>
  <c r="K93" i="35"/>
  <c r="E93" i="35"/>
  <c r="B93" i="35"/>
  <c r="M92" i="35"/>
  <c r="N92" i="35" s="1"/>
  <c r="K92" i="35"/>
  <c r="E92" i="35"/>
  <c r="B92" i="35"/>
  <c r="M91" i="35"/>
  <c r="N91" i="35" s="1"/>
  <c r="K91" i="35"/>
  <c r="E91" i="35"/>
  <c r="B91" i="35"/>
  <c r="N90" i="35"/>
  <c r="M90" i="35"/>
  <c r="K90" i="35"/>
  <c r="E90" i="35"/>
  <c r="B90" i="35"/>
  <c r="N89" i="35"/>
  <c r="M89" i="35"/>
  <c r="K89" i="35"/>
  <c r="E89" i="35"/>
  <c r="B89" i="35"/>
  <c r="M88" i="35"/>
  <c r="N88" i="35" s="1"/>
  <c r="K88" i="35"/>
  <c r="E88" i="35"/>
  <c r="B88" i="35"/>
  <c r="N87" i="35"/>
  <c r="M87" i="35"/>
  <c r="K87" i="35"/>
  <c r="E87" i="35"/>
  <c r="B87" i="35"/>
  <c r="N86" i="35"/>
  <c r="M86" i="35"/>
  <c r="K86" i="35"/>
  <c r="E86" i="35"/>
  <c r="B86" i="35"/>
  <c r="M85" i="35"/>
  <c r="N85" i="35" s="1"/>
  <c r="K85" i="35"/>
  <c r="E85" i="35"/>
  <c r="B85" i="35"/>
  <c r="M84" i="35"/>
  <c r="N84" i="35" s="1"/>
  <c r="K84" i="35"/>
  <c r="E84" i="35"/>
  <c r="B84" i="35"/>
  <c r="N83" i="35"/>
  <c r="M83" i="35"/>
  <c r="K83" i="35"/>
  <c r="E83" i="35"/>
  <c r="B83" i="35"/>
  <c r="M82" i="35"/>
  <c r="N82" i="35" s="1"/>
  <c r="K82" i="35"/>
  <c r="E82" i="35"/>
  <c r="B82" i="35"/>
  <c r="M81" i="35"/>
  <c r="N81" i="35" s="1"/>
  <c r="K81" i="35"/>
  <c r="E81" i="35"/>
  <c r="B81" i="35"/>
  <c r="M80" i="35"/>
  <c r="N80" i="35" s="1"/>
  <c r="K80" i="35"/>
  <c r="E80" i="35"/>
  <c r="B80" i="35"/>
  <c r="N79" i="35"/>
  <c r="M79" i="35"/>
  <c r="K79" i="35"/>
  <c r="E79" i="35"/>
  <c r="B79" i="35"/>
  <c r="M78" i="35"/>
  <c r="N78" i="35" s="1"/>
  <c r="K78" i="35"/>
  <c r="E78" i="35"/>
  <c r="B78" i="35"/>
  <c r="M77" i="35"/>
  <c r="N77" i="35" s="1"/>
  <c r="K77" i="35"/>
  <c r="E77" i="35"/>
  <c r="B77" i="35"/>
  <c r="M76" i="35"/>
  <c r="N76" i="35" s="1"/>
  <c r="K76" i="35"/>
  <c r="E76" i="35"/>
  <c r="B76" i="35"/>
  <c r="N75" i="35"/>
  <c r="M75" i="35"/>
  <c r="K75" i="35"/>
  <c r="E75" i="35"/>
  <c r="B75" i="35"/>
  <c r="M74" i="35"/>
  <c r="N74" i="35" s="1"/>
  <c r="K74" i="35"/>
  <c r="E74" i="35"/>
  <c r="B74" i="35"/>
  <c r="M73" i="35"/>
  <c r="N73" i="35" s="1"/>
  <c r="K73" i="35"/>
  <c r="E73" i="35"/>
  <c r="B73" i="35"/>
  <c r="M72" i="35"/>
  <c r="N72" i="35" s="1"/>
  <c r="K72" i="35"/>
  <c r="E72" i="35"/>
  <c r="B72" i="35"/>
  <c r="N71" i="35"/>
  <c r="M71" i="35"/>
  <c r="K71" i="35"/>
  <c r="E71" i="35"/>
  <c r="B71" i="35"/>
  <c r="M70" i="35"/>
  <c r="N70" i="35" s="1"/>
  <c r="K70" i="35"/>
  <c r="E70" i="35"/>
  <c r="B70" i="35"/>
  <c r="M69" i="35"/>
  <c r="N69" i="35" s="1"/>
  <c r="K69" i="35"/>
  <c r="E69" i="35"/>
  <c r="B69" i="35"/>
  <c r="M68" i="35"/>
  <c r="N68" i="35" s="1"/>
  <c r="K68" i="35"/>
  <c r="E68" i="35"/>
  <c r="B68" i="35"/>
  <c r="N67" i="35"/>
  <c r="M67" i="35"/>
  <c r="K67" i="35"/>
  <c r="E67" i="35"/>
  <c r="B67" i="35"/>
  <c r="M66" i="35"/>
  <c r="N66" i="35" s="1"/>
  <c r="K66" i="35"/>
  <c r="E66" i="35"/>
  <c r="B66" i="35"/>
  <c r="M65" i="35"/>
  <c r="N65" i="35" s="1"/>
  <c r="K65" i="35"/>
  <c r="E65" i="35"/>
  <c r="B65" i="35"/>
  <c r="M64" i="35"/>
  <c r="N64" i="35" s="1"/>
  <c r="K64" i="35"/>
  <c r="E64" i="35"/>
  <c r="B64" i="35"/>
  <c r="N63" i="35"/>
  <c r="M63" i="35"/>
  <c r="K63" i="35"/>
  <c r="E63" i="35"/>
  <c r="B63" i="35"/>
  <c r="M62" i="35"/>
  <c r="N62" i="35" s="1"/>
  <c r="K62" i="35"/>
  <c r="E62" i="35"/>
  <c r="B62" i="35"/>
  <c r="M61" i="35"/>
  <c r="N61" i="35" s="1"/>
  <c r="K61" i="35"/>
  <c r="E61" i="35"/>
  <c r="B61" i="35"/>
  <c r="M60" i="35"/>
  <c r="N60" i="35" s="1"/>
  <c r="K60" i="35"/>
  <c r="E60" i="35"/>
  <c r="B60" i="35"/>
  <c r="N59" i="35"/>
  <c r="M59" i="35"/>
  <c r="K59" i="35"/>
  <c r="E59" i="35"/>
  <c r="B59" i="35"/>
  <c r="M58" i="35"/>
  <c r="N58" i="35" s="1"/>
  <c r="K58" i="35"/>
  <c r="E58" i="35"/>
  <c r="B58" i="35"/>
  <c r="M57" i="35"/>
  <c r="N57" i="35" s="1"/>
  <c r="K57" i="35"/>
  <c r="E57" i="35"/>
  <c r="B57" i="35"/>
  <c r="N56" i="35"/>
  <c r="M56" i="35"/>
  <c r="K56" i="35"/>
  <c r="E56" i="35"/>
  <c r="B56" i="35"/>
  <c r="N55" i="35"/>
  <c r="M55" i="35"/>
  <c r="K55" i="35"/>
  <c r="E55" i="35"/>
  <c r="B55" i="35"/>
  <c r="M54" i="35"/>
  <c r="N54" i="35" s="1"/>
  <c r="K54" i="35"/>
  <c r="E54" i="35"/>
  <c r="B54" i="35"/>
  <c r="M53" i="35"/>
  <c r="N53" i="35" s="1"/>
  <c r="K53" i="35"/>
  <c r="E53" i="35"/>
  <c r="B53" i="35"/>
  <c r="N52" i="35"/>
  <c r="M52" i="35"/>
  <c r="K52" i="35"/>
  <c r="E52" i="35"/>
  <c r="B52" i="35"/>
  <c r="N51" i="35"/>
  <c r="M51" i="35"/>
  <c r="K51" i="35"/>
  <c r="E51" i="35"/>
  <c r="B51" i="35"/>
  <c r="M50" i="35"/>
  <c r="N50" i="35" s="1"/>
  <c r="K50" i="35"/>
  <c r="E50" i="35"/>
  <c r="B50" i="35"/>
  <c r="M49" i="35"/>
  <c r="N49" i="35" s="1"/>
  <c r="K49" i="35"/>
  <c r="E49" i="35"/>
  <c r="B49" i="35"/>
  <c r="N48" i="35"/>
  <c r="M48" i="35"/>
  <c r="K48" i="35"/>
  <c r="E48" i="35"/>
  <c r="B48" i="35"/>
  <c r="N47" i="35"/>
  <c r="M47" i="35"/>
  <c r="K47" i="35"/>
  <c r="E47" i="35"/>
  <c r="B47" i="35"/>
  <c r="M46" i="35"/>
  <c r="N46" i="35" s="1"/>
  <c r="K46" i="35"/>
  <c r="E46" i="35"/>
  <c r="B46" i="35"/>
  <c r="M45" i="35"/>
  <c r="N45" i="35" s="1"/>
  <c r="K45" i="35"/>
  <c r="E45" i="35"/>
  <c r="B45" i="35"/>
  <c r="N44" i="35"/>
  <c r="M44" i="35"/>
  <c r="K44" i="35"/>
  <c r="E44" i="35"/>
  <c r="B44" i="35"/>
  <c r="N43" i="35"/>
  <c r="M43" i="35"/>
  <c r="K43" i="35"/>
  <c r="E43" i="35"/>
  <c r="B43" i="35"/>
  <c r="M42" i="35"/>
  <c r="N42" i="35" s="1"/>
  <c r="K42" i="35"/>
  <c r="E42" i="35"/>
  <c r="B42" i="35"/>
  <c r="M41" i="35"/>
  <c r="N41" i="35" s="1"/>
  <c r="K41" i="35"/>
  <c r="E41" i="35"/>
  <c r="B41" i="35"/>
  <c r="N40" i="35"/>
  <c r="M40" i="35"/>
  <c r="K40" i="35"/>
  <c r="E40" i="35"/>
  <c r="B40" i="35"/>
  <c r="N39" i="35"/>
  <c r="M39" i="35"/>
  <c r="K39" i="35"/>
  <c r="E39" i="35"/>
  <c r="B39" i="35"/>
  <c r="M38" i="35"/>
  <c r="N38" i="35" s="1"/>
  <c r="K38" i="35"/>
  <c r="E38" i="35"/>
  <c r="B38" i="35"/>
  <c r="M37" i="35"/>
  <c r="N37" i="35" s="1"/>
  <c r="K37" i="35"/>
  <c r="E37" i="35"/>
  <c r="B37" i="35"/>
  <c r="N36" i="35"/>
  <c r="M36" i="35"/>
  <c r="K36" i="35"/>
  <c r="E36" i="35"/>
  <c r="B36" i="35"/>
  <c r="N35" i="35"/>
  <c r="M35" i="35"/>
  <c r="K35" i="35"/>
  <c r="E35" i="35"/>
  <c r="B35" i="35"/>
  <c r="M34" i="35"/>
  <c r="N34" i="35" s="1"/>
  <c r="K34" i="35"/>
  <c r="E34" i="35"/>
  <c r="B34" i="35"/>
  <c r="M33" i="35"/>
  <c r="N33" i="35" s="1"/>
  <c r="K33" i="35"/>
  <c r="E33" i="35"/>
  <c r="B33" i="35"/>
  <c r="N32" i="35"/>
  <c r="M32" i="35"/>
  <c r="K32" i="35"/>
  <c r="E32" i="35"/>
  <c r="B32" i="35"/>
  <c r="N31" i="35"/>
  <c r="M31" i="35"/>
  <c r="K31" i="35"/>
  <c r="E31" i="35"/>
  <c r="B31" i="35"/>
  <c r="M30" i="35"/>
  <c r="N30" i="35" s="1"/>
  <c r="K30" i="35"/>
  <c r="E30" i="35"/>
  <c r="B30" i="35"/>
  <c r="M29" i="35"/>
  <c r="N29" i="35" s="1"/>
  <c r="K29" i="35"/>
  <c r="E29" i="35"/>
  <c r="B29" i="35"/>
  <c r="N28" i="35"/>
  <c r="M28" i="35"/>
  <c r="K28" i="35"/>
  <c r="E28" i="35"/>
  <c r="B28" i="35"/>
  <c r="M27" i="35"/>
  <c r="N27" i="35" s="1"/>
  <c r="K27" i="35"/>
  <c r="E27" i="35"/>
  <c r="B27" i="35"/>
  <c r="M26" i="35"/>
  <c r="N26" i="35" s="1"/>
  <c r="K26" i="35"/>
  <c r="E26" i="35"/>
  <c r="B26" i="35"/>
  <c r="M25" i="35"/>
  <c r="N25" i="35" s="1"/>
  <c r="K25" i="35"/>
  <c r="E25" i="35"/>
  <c r="B25" i="35"/>
  <c r="N24" i="35"/>
  <c r="M24" i="35"/>
  <c r="K24" i="35"/>
  <c r="E24" i="35"/>
  <c r="B24" i="35"/>
  <c r="M23" i="35"/>
  <c r="N23" i="35" s="1"/>
  <c r="K23" i="35"/>
  <c r="E23" i="35"/>
  <c r="B23" i="35"/>
  <c r="M22" i="35"/>
  <c r="N22" i="35" s="1"/>
  <c r="K22" i="35"/>
  <c r="E22" i="35"/>
  <c r="B22" i="35"/>
  <c r="M21" i="35"/>
  <c r="N21" i="35" s="1"/>
  <c r="K21" i="35"/>
  <c r="E21" i="35"/>
  <c r="B21" i="35"/>
  <c r="N20" i="35"/>
  <c r="M20" i="35"/>
  <c r="K20" i="35"/>
  <c r="E20" i="35"/>
  <c r="B20" i="35"/>
  <c r="M19" i="35"/>
  <c r="N19" i="35" s="1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N16" i="35"/>
  <c r="M16" i="35"/>
  <c r="K16" i="35"/>
  <c r="E16" i="35"/>
  <c r="B16" i="35"/>
  <c r="M15" i="35"/>
  <c r="N15" i="35" s="1"/>
  <c r="K15" i="35"/>
  <c r="E15" i="35"/>
  <c r="B15" i="35"/>
  <c r="M14" i="35"/>
  <c r="N14" i="35" s="1"/>
  <c r="K14" i="35"/>
  <c r="E14" i="35"/>
  <c r="B14" i="35"/>
  <c r="M13" i="35"/>
  <c r="N13" i="35" s="1"/>
  <c r="K13" i="35"/>
  <c r="E13" i="35"/>
  <c r="B13" i="35"/>
  <c r="N12" i="35"/>
  <c r="M12" i="35"/>
  <c r="K12" i="35"/>
  <c r="E12" i="35"/>
  <c r="B12" i="35"/>
  <c r="M11" i="35"/>
  <c r="N11" i="35" s="1"/>
  <c r="K11" i="35"/>
  <c r="E11" i="35"/>
  <c r="B11" i="35"/>
  <c r="M10" i="35"/>
  <c r="N10" i="35" s="1"/>
  <c r="K10" i="35"/>
  <c r="E10" i="35"/>
  <c r="B10" i="35"/>
  <c r="M9" i="35"/>
  <c r="N9" i="35" s="1"/>
  <c r="K9" i="35"/>
  <c r="E9" i="35"/>
  <c r="B9" i="35"/>
  <c r="N8" i="35"/>
  <c r="M8" i="35"/>
  <c r="K8" i="35"/>
  <c r="E8" i="35"/>
  <c r="B8" i="35"/>
  <c r="M7" i="35"/>
  <c r="N7" i="35" s="1"/>
  <c r="K7" i="35"/>
  <c r="E7" i="35"/>
  <c r="B7" i="35"/>
  <c r="M6" i="35"/>
  <c r="N6" i="35" s="1"/>
  <c r="K6" i="35"/>
  <c r="E6" i="35"/>
  <c r="B6" i="35"/>
  <c r="M5" i="35"/>
  <c r="N5" i="35" s="1"/>
  <c r="K5" i="35"/>
  <c r="E5" i="35"/>
  <c r="B5" i="35"/>
  <c r="N4" i="35"/>
  <c r="M4" i="35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F2" i="35"/>
  <c r="N134" i="34"/>
  <c r="M134" i="34"/>
  <c r="K134" i="34"/>
  <c r="E134" i="34"/>
  <c r="B134" i="34"/>
  <c r="M133" i="34"/>
  <c r="N133" i="34" s="1"/>
  <c r="K133" i="34"/>
  <c r="E133" i="34"/>
  <c r="B133" i="34"/>
  <c r="N132" i="34"/>
  <c r="M132" i="34"/>
  <c r="K132" i="34"/>
  <c r="E132" i="34"/>
  <c r="B132" i="34"/>
  <c r="N131" i="34"/>
  <c r="M131" i="34"/>
  <c r="K131" i="34"/>
  <c r="E131" i="34"/>
  <c r="B131" i="34"/>
  <c r="N130" i="34"/>
  <c r="M130" i="34"/>
  <c r="K130" i="34"/>
  <c r="E130" i="34"/>
  <c r="B130" i="34"/>
  <c r="M129" i="34"/>
  <c r="N129" i="34" s="1"/>
  <c r="K129" i="34"/>
  <c r="E129" i="34"/>
  <c r="B129" i="34"/>
  <c r="N128" i="34"/>
  <c r="M128" i="34"/>
  <c r="K128" i="34"/>
  <c r="E128" i="34"/>
  <c r="B128" i="34"/>
  <c r="N127" i="34"/>
  <c r="M127" i="34"/>
  <c r="K127" i="34"/>
  <c r="E127" i="34"/>
  <c r="B127" i="34"/>
  <c r="N126" i="34"/>
  <c r="M126" i="34"/>
  <c r="K126" i="34"/>
  <c r="E126" i="34"/>
  <c r="B126" i="34"/>
  <c r="M125" i="34"/>
  <c r="N125" i="34" s="1"/>
  <c r="K125" i="34"/>
  <c r="E125" i="34"/>
  <c r="B125" i="34"/>
  <c r="N124" i="34"/>
  <c r="M124" i="34"/>
  <c r="K124" i="34"/>
  <c r="E124" i="34"/>
  <c r="B124" i="34"/>
  <c r="N123" i="34"/>
  <c r="M123" i="34"/>
  <c r="K123" i="34"/>
  <c r="E123" i="34"/>
  <c r="B123" i="34"/>
  <c r="N122" i="34"/>
  <c r="M122" i="34"/>
  <c r="K122" i="34"/>
  <c r="E122" i="34"/>
  <c r="B122" i="34"/>
  <c r="M121" i="34"/>
  <c r="N121" i="34" s="1"/>
  <c r="K121" i="34"/>
  <c r="E121" i="34"/>
  <c r="B121" i="34"/>
  <c r="N120" i="34"/>
  <c r="M120" i="34"/>
  <c r="K120" i="34"/>
  <c r="E120" i="34"/>
  <c r="B120" i="34"/>
  <c r="N119" i="34"/>
  <c r="M119" i="34"/>
  <c r="K119" i="34"/>
  <c r="E119" i="34"/>
  <c r="B119" i="34"/>
  <c r="N118" i="34"/>
  <c r="M118" i="34"/>
  <c r="K118" i="34"/>
  <c r="E118" i="34"/>
  <c r="B118" i="34"/>
  <c r="M117" i="34"/>
  <c r="N117" i="34" s="1"/>
  <c r="K117" i="34"/>
  <c r="E117" i="34"/>
  <c r="B117" i="34"/>
  <c r="N116" i="34"/>
  <c r="M116" i="34"/>
  <c r="K116" i="34"/>
  <c r="E116" i="34"/>
  <c r="B116" i="34"/>
  <c r="N115" i="34"/>
  <c r="M115" i="34"/>
  <c r="K115" i="34"/>
  <c r="E115" i="34"/>
  <c r="B115" i="34"/>
  <c r="N114" i="34"/>
  <c r="M114" i="34"/>
  <c r="K114" i="34"/>
  <c r="E114" i="34"/>
  <c r="B114" i="34"/>
  <c r="M113" i="34"/>
  <c r="N113" i="34" s="1"/>
  <c r="K113" i="34"/>
  <c r="E113" i="34"/>
  <c r="B113" i="34"/>
  <c r="N112" i="34"/>
  <c r="M112" i="34"/>
  <c r="K112" i="34"/>
  <c r="E112" i="34"/>
  <c r="B112" i="34"/>
  <c r="N111" i="34"/>
  <c r="M111" i="34"/>
  <c r="K111" i="34"/>
  <c r="E111" i="34"/>
  <c r="B111" i="34"/>
  <c r="N110" i="34"/>
  <c r="M110" i="34"/>
  <c r="K110" i="34"/>
  <c r="E110" i="34"/>
  <c r="B110" i="34"/>
  <c r="M109" i="34"/>
  <c r="N109" i="34" s="1"/>
  <c r="K109" i="34"/>
  <c r="E109" i="34"/>
  <c r="B109" i="34"/>
  <c r="N108" i="34"/>
  <c r="M108" i="34"/>
  <c r="K108" i="34"/>
  <c r="E108" i="34"/>
  <c r="B108" i="34"/>
  <c r="N107" i="34"/>
  <c r="M107" i="34"/>
  <c r="K107" i="34"/>
  <c r="E107" i="34"/>
  <c r="B107" i="34"/>
  <c r="N106" i="34"/>
  <c r="M106" i="34"/>
  <c r="K106" i="34"/>
  <c r="E106" i="34"/>
  <c r="B106" i="34"/>
  <c r="M105" i="34"/>
  <c r="N105" i="34" s="1"/>
  <c r="K105" i="34"/>
  <c r="E105" i="34"/>
  <c r="B105" i="34"/>
  <c r="N104" i="34"/>
  <c r="M104" i="34"/>
  <c r="K104" i="34"/>
  <c r="E104" i="34"/>
  <c r="B104" i="34"/>
  <c r="N103" i="34"/>
  <c r="M103" i="34"/>
  <c r="K103" i="34"/>
  <c r="E103" i="34"/>
  <c r="B103" i="34"/>
  <c r="N102" i="34"/>
  <c r="M102" i="34"/>
  <c r="K102" i="34"/>
  <c r="E102" i="34"/>
  <c r="B102" i="34"/>
  <c r="M101" i="34"/>
  <c r="N101" i="34" s="1"/>
  <c r="K101" i="34"/>
  <c r="E101" i="34"/>
  <c r="B101" i="34"/>
  <c r="N100" i="34"/>
  <c r="M100" i="34"/>
  <c r="K100" i="34"/>
  <c r="E100" i="34"/>
  <c r="B100" i="34"/>
  <c r="N99" i="34"/>
  <c r="M99" i="34"/>
  <c r="K99" i="34"/>
  <c r="E99" i="34"/>
  <c r="B99" i="34"/>
  <c r="N98" i="34"/>
  <c r="M98" i="34"/>
  <c r="K98" i="34"/>
  <c r="E98" i="34"/>
  <c r="B98" i="34"/>
  <c r="M97" i="34"/>
  <c r="N97" i="34" s="1"/>
  <c r="K97" i="34"/>
  <c r="E97" i="34"/>
  <c r="B97" i="34"/>
  <c r="N96" i="34"/>
  <c r="M96" i="34"/>
  <c r="K96" i="34"/>
  <c r="E96" i="34"/>
  <c r="B96" i="34"/>
  <c r="N95" i="34"/>
  <c r="M95" i="34"/>
  <c r="K95" i="34"/>
  <c r="E95" i="34"/>
  <c r="B95" i="34"/>
  <c r="N94" i="34"/>
  <c r="M94" i="34"/>
  <c r="K94" i="34"/>
  <c r="E94" i="34"/>
  <c r="B94" i="34"/>
  <c r="M93" i="34"/>
  <c r="N93" i="34" s="1"/>
  <c r="K93" i="34"/>
  <c r="E93" i="34"/>
  <c r="B93" i="34"/>
  <c r="N92" i="34"/>
  <c r="M92" i="34"/>
  <c r="K92" i="34"/>
  <c r="E92" i="34"/>
  <c r="B92" i="34"/>
  <c r="N91" i="34"/>
  <c r="M91" i="34"/>
  <c r="K91" i="34"/>
  <c r="E91" i="34"/>
  <c r="B91" i="34"/>
  <c r="N90" i="34"/>
  <c r="M90" i="34"/>
  <c r="K90" i="34"/>
  <c r="E90" i="34"/>
  <c r="B90" i="34"/>
  <c r="M89" i="34"/>
  <c r="N89" i="34" s="1"/>
  <c r="K89" i="34"/>
  <c r="E89" i="34"/>
  <c r="B89" i="34"/>
  <c r="N88" i="34"/>
  <c r="M88" i="34"/>
  <c r="K88" i="34"/>
  <c r="E88" i="34"/>
  <c r="B88" i="34"/>
  <c r="N87" i="34"/>
  <c r="M87" i="34"/>
  <c r="K87" i="34"/>
  <c r="E87" i="34"/>
  <c r="B87" i="34"/>
  <c r="N86" i="34"/>
  <c r="M86" i="34"/>
  <c r="K86" i="34"/>
  <c r="E86" i="34"/>
  <c r="B86" i="34"/>
  <c r="M85" i="34"/>
  <c r="N85" i="34" s="1"/>
  <c r="K85" i="34"/>
  <c r="E85" i="34"/>
  <c r="B85" i="34"/>
  <c r="N84" i="34"/>
  <c r="M84" i="34"/>
  <c r="K84" i="34"/>
  <c r="E84" i="34"/>
  <c r="B84" i="34"/>
  <c r="N83" i="34"/>
  <c r="M83" i="34"/>
  <c r="K83" i="34"/>
  <c r="E83" i="34"/>
  <c r="B83" i="34"/>
  <c r="N82" i="34"/>
  <c r="M82" i="34"/>
  <c r="K82" i="34"/>
  <c r="E82" i="34"/>
  <c r="B82" i="34"/>
  <c r="M81" i="34"/>
  <c r="N81" i="34" s="1"/>
  <c r="K81" i="34"/>
  <c r="E81" i="34"/>
  <c r="B81" i="34"/>
  <c r="N80" i="34"/>
  <c r="M80" i="34"/>
  <c r="K80" i="34"/>
  <c r="E80" i="34"/>
  <c r="B80" i="34"/>
  <c r="N79" i="34"/>
  <c r="M79" i="34"/>
  <c r="K79" i="34"/>
  <c r="E79" i="34"/>
  <c r="B79" i="34"/>
  <c r="N78" i="34"/>
  <c r="M78" i="34"/>
  <c r="K78" i="34"/>
  <c r="E78" i="34"/>
  <c r="B78" i="34"/>
  <c r="M77" i="34"/>
  <c r="N77" i="34" s="1"/>
  <c r="K77" i="34"/>
  <c r="E77" i="34"/>
  <c r="B77" i="34"/>
  <c r="N76" i="34"/>
  <c r="M76" i="34"/>
  <c r="K76" i="34"/>
  <c r="E76" i="34"/>
  <c r="B76" i="34"/>
  <c r="N75" i="34"/>
  <c r="M75" i="34"/>
  <c r="K75" i="34"/>
  <c r="E75" i="34"/>
  <c r="B75" i="34"/>
  <c r="N74" i="34"/>
  <c r="M74" i="34"/>
  <c r="K74" i="34"/>
  <c r="E74" i="34"/>
  <c r="B74" i="34"/>
  <c r="M73" i="34"/>
  <c r="N73" i="34" s="1"/>
  <c r="K73" i="34"/>
  <c r="E73" i="34"/>
  <c r="B73" i="34"/>
  <c r="N72" i="34"/>
  <c r="M72" i="34"/>
  <c r="K72" i="34"/>
  <c r="E72" i="34"/>
  <c r="B72" i="34"/>
  <c r="N71" i="34"/>
  <c r="M71" i="34"/>
  <c r="K71" i="34"/>
  <c r="E71" i="34"/>
  <c r="B71" i="34"/>
  <c r="N70" i="34"/>
  <c r="M70" i="34"/>
  <c r="K70" i="34"/>
  <c r="E70" i="34"/>
  <c r="B70" i="34"/>
  <c r="M69" i="34"/>
  <c r="N69" i="34" s="1"/>
  <c r="K69" i="34"/>
  <c r="E69" i="34"/>
  <c r="B69" i="34"/>
  <c r="N68" i="34"/>
  <c r="M68" i="34"/>
  <c r="K68" i="34"/>
  <c r="E68" i="34"/>
  <c r="B68" i="34"/>
  <c r="N67" i="34"/>
  <c r="M67" i="34"/>
  <c r="K67" i="34"/>
  <c r="E67" i="34"/>
  <c r="B67" i="34"/>
  <c r="N66" i="34"/>
  <c r="M66" i="34"/>
  <c r="K66" i="34"/>
  <c r="E66" i="34"/>
  <c r="B66" i="34"/>
  <c r="M65" i="34"/>
  <c r="N65" i="34" s="1"/>
  <c r="K65" i="34"/>
  <c r="E65" i="34"/>
  <c r="B65" i="34"/>
  <c r="N64" i="34"/>
  <c r="M64" i="34"/>
  <c r="K64" i="34"/>
  <c r="E64" i="34"/>
  <c r="B64" i="34"/>
  <c r="N63" i="34"/>
  <c r="M63" i="34"/>
  <c r="K63" i="34"/>
  <c r="E63" i="34"/>
  <c r="B63" i="34"/>
  <c r="N62" i="34"/>
  <c r="M62" i="34"/>
  <c r="K62" i="34"/>
  <c r="E62" i="34"/>
  <c r="B62" i="34"/>
  <c r="M61" i="34"/>
  <c r="N61" i="34" s="1"/>
  <c r="K61" i="34"/>
  <c r="E61" i="34"/>
  <c r="B61" i="34"/>
  <c r="N60" i="34"/>
  <c r="M60" i="34"/>
  <c r="K60" i="34"/>
  <c r="E60" i="34"/>
  <c r="B60" i="34"/>
  <c r="N59" i="34"/>
  <c r="M59" i="34"/>
  <c r="K59" i="34"/>
  <c r="E59" i="34"/>
  <c r="B59" i="34"/>
  <c r="N58" i="34"/>
  <c r="M58" i="34"/>
  <c r="K58" i="34"/>
  <c r="E58" i="34"/>
  <c r="B58" i="34"/>
  <c r="M57" i="34"/>
  <c r="N57" i="34" s="1"/>
  <c r="K57" i="34"/>
  <c r="E57" i="34"/>
  <c r="B57" i="34"/>
  <c r="N56" i="34"/>
  <c r="M56" i="34"/>
  <c r="K56" i="34"/>
  <c r="E56" i="34"/>
  <c r="B56" i="34"/>
  <c r="N55" i="34"/>
  <c r="M55" i="34"/>
  <c r="K55" i="34"/>
  <c r="E55" i="34"/>
  <c r="B55" i="34"/>
  <c r="N54" i="34"/>
  <c r="M54" i="34"/>
  <c r="K54" i="34"/>
  <c r="E54" i="34"/>
  <c r="B54" i="34"/>
  <c r="M53" i="34"/>
  <c r="N53" i="34" s="1"/>
  <c r="K53" i="34"/>
  <c r="E53" i="34"/>
  <c r="B53" i="34"/>
  <c r="N52" i="34"/>
  <c r="M52" i="34"/>
  <c r="K52" i="34"/>
  <c r="E52" i="34"/>
  <c r="B52" i="34"/>
  <c r="N51" i="34"/>
  <c r="M51" i="34"/>
  <c r="K51" i="34"/>
  <c r="E51" i="34"/>
  <c r="B51" i="34"/>
  <c r="N50" i="34"/>
  <c r="M50" i="34"/>
  <c r="K50" i="34"/>
  <c r="E50" i="34"/>
  <c r="B50" i="34"/>
  <c r="M49" i="34"/>
  <c r="N49" i="34" s="1"/>
  <c r="K49" i="34"/>
  <c r="E49" i="34"/>
  <c r="B49" i="34"/>
  <c r="N48" i="34"/>
  <c r="M48" i="34"/>
  <c r="K48" i="34"/>
  <c r="E48" i="34"/>
  <c r="B48" i="34"/>
  <c r="N47" i="34"/>
  <c r="M47" i="34"/>
  <c r="K47" i="34"/>
  <c r="E47" i="34"/>
  <c r="B47" i="34"/>
  <c r="N46" i="34"/>
  <c r="M46" i="34"/>
  <c r="K46" i="34"/>
  <c r="E46" i="34"/>
  <c r="B46" i="34"/>
  <c r="M45" i="34"/>
  <c r="N45" i="34" s="1"/>
  <c r="K45" i="34"/>
  <c r="E45" i="34"/>
  <c r="B45" i="34"/>
  <c r="N44" i="34"/>
  <c r="M44" i="34"/>
  <c r="K44" i="34"/>
  <c r="E44" i="34"/>
  <c r="B44" i="34"/>
  <c r="N43" i="34"/>
  <c r="M43" i="34"/>
  <c r="K43" i="34"/>
  <c r="E43" i="34"/>
  <c r="B43" i="34"/>
  <c r="N42" i="34"/>
  <c r="M42" i="34"/>
  <c r="K42" i="34"/>
  <c r="E42" i="34"/>
  <c r="B42" i="34"/>
  <c r="M41" i="34"/>
  <c r="N41" i="34" s="1"/>
  <c r="K41" i="34"/>
  <c r="E41" i="34"/>
  <c r="B41" i="34"/>
  <c r="N40" i="34"/>
  <c r="M40" i="34"/>
  <c r="K40" i="34"/>
  <c r="E40" i="34"/>
  <c r="B40" i="34"/>
  <c r="N39" i="34"/>
  <c r="M39" i="34"/>
  <c r="K39" i="34"/>
  <c r="E39" i="34"/>
  <c r="B39" i="34"/>
  <c r="N38" i="34"/>
  <c r="M38" i="34"/>
  <c r="K38" i="34"/>
  <c r="E38" i="34"/>
  <c r="B38" i="34"/>
  <c r="M37" i="34"/>
  <c r="N37" i="34" s="1"/>
  <c r="K37" i="34"/>
  <c r="E37" i="34"/>
  <c r="B37" i="34"/>
  <c r="N36" i="34"/>
  <c r="M36" i="34"/>
  <c r="K36" i="34"/>
  <c r="E36" i="34"/>
  <c r="B36" i="34"/>
  <c r="N35" i="34"/>
  <c r="M35" i="34"/>
  <c r="K35" i="34"/>
  <c r="E35" i="34"/>
  <c r="B35" i="34"/>
  <c r="N34" i="34"/>
  <c r="M34" i="34"/>
  <c r="K34" i="34"/>
  <c r="E34" i="34"/>
  <c r="B34" i="34"/>
  <c r="M33" i="34"/>
  <c r="N33" i="34" s="1"/>
  <c r="K33" i="34"/>
  <c r="E33" i="34"/>
  <c r="B33" i="34"/>
  <c r="N32" i="34"/>
  <c r="M32" i="34"/>
  <c r="K32" i="34"/>
  <c r="E32" i="34"/>
  <c r="B32" i="34"/>
  <c r="N31" i="34"/>
  <c r="M31" i="34"/>
  <c r="K31" i="34"/>
  <c r="E31" i="34"/>
  <c r="B31" i="34"/>
  <c r="N30" i="34"/>
  <c r="M30" i="34"/>
  <c r="K30" i="34"/>
  <c r="E30" i="34"/>
  <c r="B30" i="34"/>
  <c r="M29" i="34"/>
  <c r="N29" i="34" s="1"/>
  <c r="K29" i="34"/>
  <c r="E29" i="34"/>
  <c r="B29" i="34"/>
  <c r="N28" i="34"/>
  <c r="M28" i="34"/>
  <c r="K28" i="34"/>
  <c r="E28" i="34"/>
  <c r="B28" i="34"/>
  <c r="N27" i="34"/>
  <c r="M27" i="34"/>
  <c r="K27" i="34"/>
  <c r="E27" i="34"/>
  <c r="B27" i="34"/>
  <c r="N26" i="34"/>
  <c r="M26" i="34"/>
  <c r="K26" i="34"/>
  <c r="E26" i="34"/>
  <c r="B26" i="34"/>
  <c r="M25" i="34"/>
  <c r="N25" i="34" s="1"/>
  <c r="K25" i="34"/>
  <c r="E25" i="34"/>
  <c r="B25" i="34"/>
  <c r="N24" i="34"/>
  <c r="M24" i="34"/>
  <c r="K24" i="34"/>
  <c r="E24" i="34"/>
  <c r="B24" i="34"/>
  <c r="N23" i="34"/>
  <c r="M23" i="34"/>
  <c r="K23" i="34"/>
  <c r="E23" i="34"/>
  <c r="B23" i="34"/>
  <c r="N22" i="34"/>
  <c r="M22" i="34"/>
  <c r="K22" i="34"/>
  <c r="E22" i="34"/>
  <c r="B22" i="34"/>
  <c r="M21" i="34"/>
  <c r="N21" i="34" s="1"/>
  <c r="K21" i="34"/>
  <c r="E21" i="34"/>
  <c r="B21" i="34"/>
  <c r="N20" i="34"/>
  <c r="M20" i="34"/>
  <c r="K20" i="34"/>
  <c r="E20" i="34"/>
  <c r="B20" i="34"/>
  <c r="N19" i="34"/>
  <c r="M19" i="34"/>
  <c r="K19" i="34"/>
  <c r="E19" i="34"/>
  <c r="B19" i="34"/>
  <c r="N18" i="34"/>
  <c r="M18" i="34"/>
  <c r="K18" i="34"/>
  <c r="E18" i="34"/>
  <c r="B18" i="34"/>
  <c r="M17" i="34"/>
  <c r="N17" i="34" s="1"/>
  <c r="K17" i="34"/>
  <c r="E17" i="34"/>
  <c r="B17" i="34"/>
  <c r="N16" i="34"/>
  <c r="M16" i="34"/>
  <c r="K16" i="34"/>
  <c r="E16" i="34"/>
  <c r="B16" i="34"/>
  <c r="N15" i="34"/>
  <c r="M15" i="34"/>
  <c r="K15" i="34"/>
  <c r="E15" i="34"/>
  <c r="B15" i="34"/>
  <c r="N14" i="34"/>
  <c r="M14" i="34"/>
  <c r="K14" i="34"/>
  <c r="E14" i="34"/>
  <c r="B14" i="34"/>
  <c r="M13" i="34"/>
  <c r="N13" i="34" s="1"/>
  <c r="K13" i="34"/>
  <c r="E13" i="34"/>
  <c r="B13" i="34"/>
  <c r="N12" i="34"/>
  <c r="M12" i="34"/>
  <c r="K12" i="34"/>
  <c r="E12" i="34"/>
  <c r="B12" i="34"/>
  <c r="N11" i="34"/>
  <c r="M11" i="34"/>
  <c r="K11" i="34"/>
  <c r="E11" i="34"/>
  <c r="B11" i="34"/>
  <c r="N10" i="34"/>
  <c r="M10" i="34"/>
  <c r="K10" i="34"/>
  <c r="E10" i="34"/>
  <c r="B10" i="34"/>
  <c r="M9" i="34"/>
  <c r="N9" i="34" s="1"/>
  <c r="K9" i="34"/>
  <c r="E9" i="34"/>
  <c r="B9" i="34"/>
  <c r="N8" i="34"/>
  <c r="M8" i="34"/>
  <c r="K8" i="34"/>
  <c r="E8" i="34"/>
  <c r="B8" i="34"/>
  <c r="N7" i="34"/>
  <c r="M7" i="34"/>
  <c r="K7" i="34"/>
  <c r="E7" i="34"/>
  <c r="B7" i="34"/>
  <c r="N6" i="34"/>
  <c r="M6" i="34"/>
  <c r="K6" i="34"/>
  <c r="E6" i="34"/>
  <c r="B6" i="34"/>
  <c r="M5" i="34"/>
  <c r="N5" i="34" s="1"/>
  <c r="K5" i="34"/>
  <c r="E5" i="34"/>
  <c r="B5" i="34"/>
  <c r="N4" i="34"/>
  <c r="M4" i="34"/>
  <c r="K4" i="34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H2" i="34"/>
  <c r="G2" i="34"/>
  <c r="K2" i="34" s="1"/>
  <c r="F2" i="34"/>
  <c r="N134" i="33"/>
  <c r="M134" i="33"/>
  <c r="K134" i="33"/>
  <c r="E134" i="33"/>
  <c r="B134" i="33"/>
  <c r="M133" i="33"/>
  <c r="N133" i="33" s="1"/>
  <c r="K133" i="33"/>
  <c r="E133" i="33"/>
  <c r="B133" i="33"/>
  <c r="M132" i="33"/>
  <c r="N132" i="33" s="1"/>
  <c r="K132" i="33"/>
  <c r="E132" i="33"/>
  <c r="B132" i="33"/>
  <c r="N131" i="33"/>
  <c r="M131" i="33"/>
  <c r="K131" i="33"/>
  <c r="E131" i="33"/>
  <c r="B131" i="33"/>
  <c r="N130" i="33"/>
  <c r="M130" i="33"/>
  <c r="K130" i="33"/>
  <c r="E130" i="33"/>
  <c r="B130" i="33"/>
  <c r="M129" i="33"/>
  <c r="N129" i="33" s="1"/>
  <c r="K129" i="33"/>
  <c r="E129" i="33"/>
  <c r="B129" i="33"/>
  <c r="M128" i="33"/>
  <c r="N128" i="33" s="1"/>
  <c r="K128" i="33"/>
  <c r="E128" i="33"/>
  <c r="B128" i="33"/>
  <c r="N127" i="33"/>
  <c r="M127" i="33"/>
  <c r="K127" i="33"/>
  <c r="E127" i="33"/>
  <c r="B127" i="33"/>
  <c r="N126" i="33"/>
  <c r="M126" i="33"/>
  <c r="K126" i="33"/>
  <c r="E126" i="33"/>
  <c r="B126" i="33"/>
  <c r="M125" i="33"/>
  <c r="N125" i="33" s="1"/>
  <c r="K125" i="33"/>
  <c r="E125" i="33"/>
  <c r="B125" i="33"/>
  <c r="M124" i="33"/>
  <c r="N124" i="33" s="1"/>
  <c r="K124" i="33"/>
  <c r="E124" i="33"/>
  <c r="B124" i="33"/>
  <c r="N123" i="33"/>
  <c r="M123" i="33"/>
  <c r="K123" i="33"/>
  <c r="E123" i="33"/>
  <c r="B123" i="33"/>
  <c r="N122" i="33"/>
  <c r="M122" i="33"/>
  <c r="K122" i="33"/>
  <c r="E122" i="33"/>
  <c r="B122" i="33"/>
  <c r="M121" i="33"/>
  <c r="N121" i="33" s="1"/>
  <c r="K121" i="33"/>
  <c r="E121" i="33"/>
  <c r="B121" i="33"/>
  <c r="M120" i="33"/>
  <c r="N120" i="33" s="1"/>
  <c r="K120" i="33"/>
  <c r="E120" i="33"/>
  <c r="B120" i="33"/>
  <c r="N119" i="33"/>
  <c r="M119" i="33"/>
  <c r="K119" i="33"/>
  <c r="E119" i="33"/>
  <c r="B119" i="33"/>
  <c r="N118" i="33"/>
  <c r="M118" i="33"/>
  <c r="K118" i="33"/>
  <c r="E118" i="33"/>
  <c r="B118" i="33"/>
  <c r="M117" i="33"/>
  <c r="N117" i="33" s="1"/>
  <c r="K117" i="33"/>
  <c r="E117" i="33"/>
  <c r="B117" i="33"/>
  <c r="M116" i="33"/>
  <c r="N116" i="33" s="1"/>
  <c r="K116" i="33"/>
  <c r="E116" i="33"/>
  <c r="B116" i="33"/>
  <c r="N115" i="33"/>
  <c r="M115" i="33"/>
  <c r="K115" i="33"/>
  <c r="E115" i="33"/>
  <c r="B115" i="33"/>
  <c r="N114" i="33"/>
  <c r="M114" i="33"/>
  <c r="K114" i="33"/>
  <c r="E114" i="33"/>
  <c r="B114" i="33"/>
  <c r="M113" i="33"/>
  <c r="N113" i="33" s="1"/>
  <c r="K113" i="33"/>
  <c r="E113" i="33"/>
  <c r="B113" i="33"/>
  <c r="M112" i="33"/>
  <c r="N112" i="33" s="1"/>
  <c r="K112" i="33"/>
  <c r="E112" i="33"/>
  <c r="B112" i="33"/>
  <c r="N111" i="33"/>
  <c r="M111" i="33"/>
  <c r="K111" i="33"/>
  <c r="E111" i="33"/>
  <c r="B111" i="33"/>
  <c r="N110" i="33"/>
  <c r="M110" i="33"/>
  <c r="K110" i="33"/>
  <c r="E110" i="33"/>
  <c r="B110" i="33"/>
  <c r="M109" i="33"/>
  <c r="N109" i="33" s="1"/>
  <c r="K109" i="33"/>
  <c r="E109" i="33"/>
  <c r="B109" i="33"/>
  <c r="M108" i="33"/>
  <c r="N108" i="33" s="1"/>
  <c r="K108" i="33"/>
  <c r="E108" i="33"/>
  <c r="B108" i="33"/>
  <c r="N107" i="33"/>
  <c r="M107" i="33"/>
  <c r="K107" i="33"/>
  <c r="E107" i="33"/>
  <c r="B107" i="33"/>
  <c r="N106" i="33"/>
  <c r="M106" i="33"/>
  <c r="K106" i="33"/>
  <c r="E106" i="33"/>
  <c r="B106" i="33"/>
  <c r="M105" i="33"/>
  <c r="N105" i="33" s="1"/>
  <c r="K105" i="33"/>
  <c r="E105" i="33"/>
  <c r="B105" i="33"/>
  <c r="M104" i="33"/>
  <c r="N104" i="33" s="1"/>
  <c r="K104" i="33"/>
  <c r="E104" i="33"/>
  <c r="B104" i="33"/>
  <c r="N103" i="33"/>
  <c r="M103" i="33"/>
  <c r="K103" i="33"/>
  <c r="E103" i="33"/>
  <c r="B103" i="33"/>
  <c r="N102" i="33"/>
  <c r="M102" i="33"/>
  <c r="K102" i="33"/>
  <c r="E102" i="33"/>
  <c r="B102" i="33"/>
  <c r="M101" i="33"/>
  <c r="N101" i="33" s="1"/>
  <c r="K101" i="33"/>
  <c r="E101" i="33"/>
  <c r="B101" i="33"/>
  <c r="M100" i="33"/>
  <c r="N100" i="33" s="1"/>
  <c r="K100" i="33"/>
  <c r="E100" i="33"/>
  <c r="B100" i="33"/>
  <c r="N99" i="33"/>
  <c r="M99" i="33"/>
  <c r="K99" i="33"/>
  <c r="E99" i="33"/>
  <c r="B99" i="33"/>
  <c r="N98" i="33"/>
  <c r="M98" i="33"/>
  <c r="K98" i="33"/>
  <c r="E98" i="33"/>
  <c r="B98" i="33"/>
  <c r="M97" i="33"/>
  <c r="N97" i="33" s="1"/>
  <c r="K97" i="33"/>
  <c r="E97" i="33"/>
  <c r="B97" i="33"/>
  <c r="M96" i="33"/>
  <c r="N96" i="33" s="1"/>
  <c r="K96" i="33"/>
  <c r="E96" i="33"/>
  <c r="B96" i="33"/>
  <c r="N95" i="33"/>
  <c r="M95" i="33"/>
  <c r="K95" i="33"/>
  <c r="E95" i="33"/>
  <c r="B95" i="33"/>
  <c r="N94" i="33"/>
  <c r="M94" i="33"/>
  <c r="K94" i="33"/>
  <c r="E94" i="33"/>
  <c r="B94" i="33"/>
  <c r="M93" i="33"/>
  <c r="N93" i="33" s="1"/>
  <c r="K93" i="33"/>
  <c r="E93" i="33"/>
  <c r="B93" i="33"/>
  <c r="M92" i="33"/>
  <c r="N92" i="33" s="1"/>
  <c r="K92" i="33"/>
  <c r="E92" i="33"/>
  <c r="B92" i="33"/>
  <c r="N91" i="33"/>
  <c r="M91" i="33"/>
  <c r="K91" i="33"/>
  <c r="E91" i="33"/>
  <c r="B91" i="33"/>
  <c r="N90" i="33"/>
  <c r="M90" i="33"/>
  <c r="K90" i="33"/>
  <c r="E90" i="33"/>
  <c r="B90" i="33"/>
  <c r="M89" i="33"/>
  <c r="N89" i="33" s="1"/>
  <c r="K89" i="33"/>
  <c r="E89" i="33"/>
  <c r="B89" i="33"/>
  <c r="M88" i="33"/>
  <c r="N88" i="33" s="1"/>
  <c r="K88" i="33"/>
  <c r="E88" i="33"/>
  <c r="B88" i="33"/>
  <c r="N87" i="33"/>
  <c r="M87" i="33"/>
  <c r="K87" i="33"/>
  <c r="E87" i="33"/>
  <c r="B87" i="33"/>
  <c r="N86" i="33"/>
  <c r="M86" i="33"/>
  <c r="K86" i="33"/>
  <c r="E86" i="33"/>
  <c r="B86" i="33"/>
  <c r="M85" i="33"/>
  <c r="N85" i="33" s="1"/>
  <c r="K85" i="33"/>
  <c r="E85" i="33"/>
  <c r="B85" i="33"/>
  <c r="M84" i="33"/>
  <c r="N84" i="33" s="1"/>
  <c r="K84" i="33"/>
  <c r="E84" i="33"/>
  <c r="B84" i="33"/>
  <c r="N83" i="33"/>
  <c r="M83" i="33"/>
  <c r="K83" i="33"/>
  <c r="E83" i="33"/>
  <c r="B83" i="33"/>
  <c r="N82" i="33"/>
  <c r="M82" i="33"/>
  <c r="K82" i="33"/>
  <c r="E82" i="33"/>
  <c r="B82" i="33"/>
  <c r="M81" i="33"/>
  <c r="N81" i="33" s="1"/>
  <c r="K81" i="33"/>
  <c r="E81" i="33"/>
  <c r="B81" i="33"/>
  <c r="M80" i="33"/>
  <c r="N80" i="33" s="1"/>
  <c r="K80" i="33"/>
  <c r="E80" i="33"/>
  <c r="B80" i="33"/>
  <c r="N79" i="33"/>
  <c r="M79" i="33"/>
  <c r="K79" i="33"/>
  <c r="E79" i="33"/>
  <c r="B79" i="33"/>
  <c r="N78" i="33"/>
  <c r="M78" i="33"/>
  <c r="K78" i="33"/>
  <c r="E78" i="33"/>
  <c r="B78" i="33"/>
  <c r="M77" i="33"/>
  <c r="N77" i="33" s="1"/>
  <c r="K77" i="33"/>
  <c r="E77" i="33"/>
  <c r="B77" i="33"/>
  <c r="M76" i="33"/>
  <c r="N76" i="33" s="1"/>
  <c r="K76" i="33"/>
  <c r="E76" i="33"/>
  <c r="B76" i="33"/>
  <c r="N75" i="33"/>
  <c r="M75" i="33"/>
  <c r="K75" i="33"/>
  <c r="E75" i="33"/>
  <c r="B75" i="33"/>
  <c r="N74" i="33"/>
  <c r="M74" i="33"/>
  <c r="K74" i="33"/>
  <c r="E74" i="33"/>
  <c r="B74" i="33"/>
  <c r="M73" i="33"/>
  <c r="N73" i="33" s="1"/>
  <c r="K73" i="33"/>
  <c r="E73" i="33"/>
  <c r="B73" i="33"/>
  <c r="M72" i="33"/>
  <c r="N72" i="33" s="1"/>
  <c r="K72" i="33"/>
  <c r="E72" i="33"/>
  <c r="B72" i="33"/>
  <c r="N71" i="33"/>
  <c r="M71" i="33"/>
  <c r="K71" i="33"/>
  <c r="E71" i="33"/>
  <c r="B71" i="33"/>
  <c r="N70" i="33"/>
  <c r="M70" i="33"/>
  <c r="K70" i="33"/>
  <c r="E70" i="33"/>
  <c r="B70" i="33"/>
  <c r="M69" i="33"/>
  <c r="N69" i="33" s="1"/>
  <c r="K69" i="33"/>
  <c r="E69" i="33"/>
  <c r="B69" i="33"/>
  <c r="M68" i="33"/>
  <c r="N68" i="33" s="1"/>
  <c r="K68" i="33"/>
  <c r="E68" i="33"/>
  <c r="B68" i="33"/>
  <c r="N67" i="33"/>
  <c r="M67" i="33"/>
  <c r="K67" i="33"/>
  <c r="E67" i="33"/>
  <c r="B67" i="33"/>
  <c r="M66" i="33"/>
  <c r="N66" i="33" s="1"/>
  <c r="K66" i="33"/>
  <c r="E66" i="33"/>
  <c r="B66" i="33"/>
  <c r="M65" i="33"/>
  <c r="N65" i="33" s="1"/>
  <c r="K65" i="33"/>
  <c r="E65" i="33"/>
  <c r="B65" i="33"/>
  <c r="M64" i="33"/>
  <c r="N64" i="33" s="1"/>
  <c r="K64" i="33"/>
  <c r="E64" i="33"/>
  <c r="B64" i="33"/>
  <c r="N63" i="33"/>
  <c r="M63" i="33"/>
  <c r="K63" i="33"/>
  <c r="E63" i="33"/>
  <c r="B63" i="33"/>
  <c r="M62" i="33"/>
  <c r="N62" i="33" s="1"/>
  <c r="K62" i="33"/>
  <c r="E62" i="33"/>
  <c r="B62" i="33"/>
  <c r="M61" i="33"/>
  <c r="N61" i="33" s="1"/>
  <c r="K61" i="33"/>
  <c r="E61" i="33"/>
  <c r="B61" i="33"/>
  <c r="M60" i="33"/>
  <c r="N60" i="33" s="1"/>
  <c r="K60" i="33"/>
  <c r="E60" i="33"/>
  <c r="B60" i="33"/>
  <c r="N59" i="33"/>
  <c r="M59" i="33"/>
  <c r="K59" i="33"/>
  <c r="E59" i="33"/>
  <c r="B59" i="33"/>
  <c r="M58" i="33"/>
  <c r="N58" i="33" s="1"/>
  <c r="K58" i="33"/>
  <c r="E58" i="33"/>
  <c r="B58" i="33"/>
  <c r="M57" i="33"/>
  <c r="N57" i="33" s="1"/>
  <c r="K57" i="33"/>
  <c r="E57" i="33"/>
  <c r="B57" i="33"/>
  <c r="M56" i="33"/>
  <c r="N56" i="33" s="1"/>
  <c r="K56" i="33"/>
  <c r="E56" i="33"/>
  <c r="B56" i="33"/>
  <c r="N55" i="33"/>
  <c r="M55" i="33"/>
  <c r="K55" i="33"/>
  <c r="E55" i="33"/>
  <c r="B55" i="33"/>
  <c r="M54" i="33"/>
  <c r="N54" i="33" s="1"/>
  <c r="K54" i="33"/>
  <c r="E54" i="33"/>
  <c r="B54" i="33"/>
  <c r="M53" i="33"/>
  <c r="N53" i="33" s="1"/>
  <c r="K53" i="33"/>
  <c r="E53" i="33"/>
  <c r="B53" i="33"/>
  <c r="M52" i="33"/>
  <c r="N52" i="33" s="1"/>
  <c r="K52" i="33"/>
  <c r="E52" i="33"/>
  <c r="B52" i="33"/>
  <c r="N51" i="33"/>
  <c r="M51" i="33"/>
  <c r="K51" i="33"/>
  <c r="E51" i="33"/>
  <c r="B51" i="33"/>
  <c r="M50" i="33"/>
  <c r="N50" i="33" s="1"/>
  <c r="K50" i="33"/>
  <c r="E50" i="33"/>
  <c r="B50" i="33"/>
  <c r="M49" i="33"/>
  <c r="N49" i="33" s="1"/>
  <c r="K49" i="33"/>
  <c r="E49" i="33"/>
  <c r="B49" i="33"/>
  <c r="M48" i="33"/>
  <c r="N48" i="33" s="1"/>
  <c r="K48" i="33"/>
  <c r="E48" i="33"/>
  <c r="B48" i="33"/>
  <c r="N47" i="33"/>
  <c r="M47" i="33"/>
  <c r="K47" i="33"/>
  <c r="E47" i="33"/>
  <c r="B47" i="33"/>
  <c r="M46" i="33"/>
  <c r="N46" i="33" s="1"/>
  <c r="K46" i="33"/>
  <c r="E46" i="33"/>
  <c r="B46" i="33"/>
  <c r="M45" i="33"/>
  <c r="N45" i="33" s="1"/>
  <c r="K45" i="33"/>
  <c r="E45" i="33"/>
  <c r="B45" i="33"/>
  <c r="M44" i="33"/>
  <c r="N44" i="33" s="1"/>
  <c r="K44" i="33"/>
  <c r="E44" i="33"/>
  <c r="B44" i="33"/>
  <c r="N43" i="33"/>
  <c r="M43" i="33"/>
  <c r="K43" i="33"/>
  <c r="E43" i="33"/>
  <c r="B43" i="33"/>
  <c r="M42" i="33"/>
  <c r="N42" i="33" s="1"/>
  <c r="K42" i="33"/>
  <c r="E42" i="33"/>
  <c r="B42" i="33"/>
  <c r="M41" i="33"/>
  <c r="N41" i="33" s="1"/>
  <c r="K41" i="33"/>
  <c r="E41" i="33"/>
  <c r="B41" i="33"/>
  <c r="M40" i="33"/>
  <c r="N40" i="33" s="1"/>
  <c r="K40" i="33"/>
  <c r="E40" i="33"/>
  <c r="B40" i="33"/>
  <c r="N39" i="33"/>
  <c r="M39" i="33"/>
  <c r="K39" i="33"/>
  <c r="E39" i="33"/>
  <c r="B39" i="33"/>
  <c r="M38" i="33"/>
  <c r="N38" i="33" s="1"/>
  <c r="K38" i="33"/>
  <c r="E38" i="33"/>
  <c r="B38" i="33"/>
  <c r="M37" i="33"/>
  <c r="N37" i="33" s="1"/>
  <c r="K37" i="33"/>
  <c r="E37" i="33"/>
  <c r="B37" i="33"/>
  <c r="M36" i="33"/>
  <c r="N36" i="33" s="1"/>
  <c r="K36" i="33"/>
  <c r="E36" i="33"/>
  <c r="B36" i="33"/>
  <c r="N35" i="33"/>
  <c r="M35" i="33"/>
  <c r="K35" i="33"/>
  <c r="E35" i="33"/>
  <c r="B35" i="33"/>
  <c r="M34" i="33"/>
  <c r="N34" i="33" s="1"/>
  <c r="K34" i="33"/>
  <c r="E34" i="33"/>
  <c r="B34" i="33"/>
  <c r="M33" i="33"/>
  <c r="N33" i="33" s="1"/>
  <c r="K33" i="33"/>
  <c r="E33" i="33"/>
  <c r="B33" i="33"/>
  <c r="M32" i="33"/>
  <c r="N32" i="33" s="1"/>
  <c r="K32" i="33"/>
  <c r="E32" i="33"/>
  <c r="B32" i="33"/>
  <c r="N31" i="33"/>
  <c r="M31" i="33"/>
  <c r="K31" i="33"/>
  <c r="E31" i="33"/>
  <c r="B31" i="33"/>
  <c r="M30" i="33"/>
  <c r="N30" i="33" s="1"/>
  <c r="K30" i="33"/>
  <c r="E30" i="33"/>
  <c r="B30" i="33"/>
  <c r="M29" i="33"/>
  <c r="N29" i="33" s="1"/>
  <c r="K29" i="33"/>
  <c r="E29" i="33"/>
  <c r="B29" i="33"/>
  <c r="M28" i="33"/>
  <c r="N28" i="33" s="1"/>
  <c r="K28" i="33"/>
  <c r="E28" i="33"/>
  <c r="B28" i="33"/>
  <c r="N27" i="33"/>
  <c r="M27" i="33"/>
  <c r="K27" i="33"/>
  <c r="E27" i="33"/>
  <c r="B27" i="33"/>
  <c r="M26" i="33"/>
  <c r="N26" i="33" s="1"/>
  <c r="K26" i="33"/>
  <c r="E26" i="33"/>
  <c r="B26" i="33"/>
  <c r="M25" i="33"/>
  <c r="N25" i="33" s="1"/>
  <c r="K25" i="33"/>
  <c r="E25" i="33"/>
  <c r="B25" i="33"/>
  <c r="M24" i="33"/>
  <c r="N24" i="33" s="1"/>
  <c r="K24" i="33"/>
  <c r="E24" i="33"/>
  <c r="B24" i="33"/>
  <c r="N23" i="33"/>
  <c r="M23" i="33"/>
  <c r="K23" i="33"/>
  <c r="E23" i="33"/>
  <c r="B23" i="33"/>
  <c r="M22" i="33"/>
  <c r="N22" i="33" s="1"/>
  <c r="K22" i="33"/>
  <c r="E22" i="33"/>
  <c r="B22" i="33"/>
  <c r="M21" i="33"/>
  <c r="N21" i="33" s="1"/>
  <c r="K21" i="33"/>
  <c r="E21" i="33"/>
  <c r="B21" i="33"/>
  <c r="M20" i="33"/>
  <c r="N20" i="33" s="1"/>
  <c r="K20" i="33"/>
  <c r="E20" i="33"/>
  <c r="B20" i="33"/>
  <c r="N19" i="33"/>
  <c r="M19" i="33"/>
  <c r="K19" i="33"/>
  <c r="E19" i="33"/>
  <c r="B19" i="33"/>
  <c r="M18" i="33"/>
  <c r="N18" i="33" s="1"/>
  <c r="K18" i="33"/>
  <c r="E18" i="33"/>
  <c r="B18" i="33"/>
  <c r="M17" i="33"/>
  <c r="N17" i="33" s="1"/>
  <c r="K17" i="33"/>
  <c r="E17" i="33"/>
  <c r="B17" i="33"/>
  <c r="M16" i="33"/>
  <c r="N16" i="33" s="1"/>
  <c r="K16" i="33"/>
  <c r="E16" i="33"/>
  <c r="B16" i="33"/>
  <c r="N15" i="33"/>
  <c r="M15" i="33"/>
  <c r="K15" i="33"/>
  <c r="E15" i="33"/>
  <c r="B15" i="33"/>
  <c r="M14" i="33"/>
  <c r="N14" i="33" s="1"/>
  <c r="K14" i="33"/>
  <c r="E14" i="33"/>
  <c r="B14" i="33"/>
  <c r="M13" i="33"/>
  <c r="N13" i="33" s="1"/>
  <c r="K13" i="33"/>
  <c r="E13" i="33"/>
  <c r="B13" i="33"/>
  <c r="M12" i="33"/>
  <c r="N12" i="33" s="1"/>
  <c r="K12" i="33"/>
  <c r="E12" i="33"/>
  <c r="B12" i="33"/>
  <c r="N11" i="33"/>
  <c r="M11" i="33"/>
  <c r="K11" i="33"/>
  <c r="E11" i="33"/>
  <c r="B11" i="33"/>
  <c r="M10" i="33"/>
  <c r="N10" i="33" s="1"/>
  <c r="K10" i="33"/>
  <c r="E10" i="33"/>
  <c r="B10" i="33"/>
  <c r="M9" i="33"/>
  <c r="N9" i="33" s="1"/>
  <c r="K9" i="33"/>
  <c r="E9" i="33"/>
  <c r="B9" i="33"/>
  <c r="M8" i="33"/>
  <c r="N8" i="33" s="1"/>
  <c r="K8" i="33"/>
  <c r="E8" i="33"/>
  <c r="B8" i="33"/>
  <c r="N7" i="33"/>
  <c r="M7" i="33"/>
  <c r="K7" i="33"/>
  <c r="E7" i="33"/>
  <c r="B7" i="33"/>
  <c r="M6" i="33"/>
  <c r="N6" i="33" s="1"/>
  <c r="K6" i="33"/>
  <c r="E6" i="33"/>
  <c r="B6" i="33"/>
  <c r="M5" i="33"/>
  <c r="N5" i="33" s="1"/>
  <c r="K5" i="33"/>
  <c r="E5" i="33"/>
  <c r="B5" i="33"/>
  <c r="M4" i="33"/>
  <c r="N4" i="33" s="1"/>
  <c r="K4" i="33"/>
  <c r="E4" i="33"/>
  <c r="B4" i="33"/>
  <c r="V2" i="33"/>
  <c r="U2" i="33"/>
  <c r="T2" i="33"/>
  <c r="S2" i="33"/>
  <c r="R2" i="33"/>
  <c r="Q2" i="33"/>
  <c r="P2" i="33"/>
  <c r="O2" i="33"/>
  <c r="L2" i="33"/>
  <c r="K2" i="33"/>
  <c r="J2" i="33"/>
  <c r="I2" i="33"/>
  <c r="H2" i="33"/>
  <c r="G2" i="33"/>
  <c r="F2" i="33"/>
  <c r="E2" i="33" s="1"/>
  <c r="N134" i="25"/>
  <c r="M134" i="25"/>
  <c r="K134" i="25"/>
  <c r="E134" i="25"/>
  <c r="B134" i="25"/>
  <c r="N133" i="25"/>
  <c r="M133" i="25"/>
  <c r="K133" i="25"/>
  <c r="E133" i="25"/>
  <c r="B133" i="25"/>
  <c r="M132" i="25"/>
  <c r="N132" i="25" s="1"/>
  <c r="K132" i="25"/>
  <c r="E132" i="25"/>
  <c r="B132" i="25"/>
  <c r="N131" i="25"/>
  <c r="M131" i="25"/>
  <c r="K131" i="25"/>
  <c r="E131" i="25"/>
  <c r="B131" i="25"/>
  <c r="N130" i="25"/>
  <c r="M130" i="25"/>
  <c r="K130" i="25"/>
  <c r="E130" i="25"/>
  <c r="B130" i="25"/>
  <c r="N129" i="25"/>
  <c r="M129" i="25"/>
  <c r="K129" i="25"/>
  <c r="E129" i="25"/>
  <c r="B129" i="25"/>
  <c r="M128" i="25"/>
  <c r="N128" i="25" s="1"/>
  <c r="K128" i="25"/>
  <c r="E128" i="25"/>
  <c r="B128" i="25"/>
  <c r="N127" i="25"/>
  <c r="M127" i="25"/>
  <c r="K127" i="25"/>
  <c r="E127" i="25"/>
  <c r="B127" i="25"/>
  <c r="N126" i="25"/>
  <c r="M126" i="25"/>
  <c r="K126" i="25"/>
  <c r="E126" i="25"/>
  <c r="B126" i="25"/>
  <c r="N125" i="25"/>
  <c r="M125" i="25"/>
  <c r="K125" i="25"/>
  <c r="E125" i="25"/>
  <c r="B125" i="25"/>
  <c r="M124" i="25"/>
  <c r="N124" i="25" s="1"/>
  <c r="K124" i="25"/>
  <c r="E124" i="25"/>
  <c r="B124" i="25"/>
  <c r="N123" i="25"/>
  <c r="M123" i="25"/>
  <c r="K123" i="25"/>
  <c r="E123" i="25"/>
  <c r="B123" i="25"/>
  <c r="N122" i="25"/>
  <c r="M122" i="25"/>
  <c r="K122" i="25"/>
  <c r="E122" i="25"/>
  <c r="B122" i="25"/>
  <c r="N121" i="25"/>
  <c r="M121" i="25"/>
  <c r="K121" i="25"/>
  <c r="E121" i="25"/>
  <c r="B121" i="25"/>
  <c r="M120" i="25"/>
  <c r="N120" i="25" s="1"/>
  <c r="K120" i="25"/>
  <c r="E120" i="25"/>
  <c r="B120" i="25"/>
  <c r="N119" i="25"/>
  <c r="M119" i="25"/>
  <c r="K119" i="25"/>
  <c r="E119" i="25"/>
  <c r="B119" i="25"/>
  <c r="N118" i="25"/>
  <c r="M118" i="25"/>
  <c r="K118" i="25"/>
  <c r="E118" i="25"/>
  <c r="B118" i="25"/>
  <c r="N117" i="25"/>
  <c r="M117" i="25"/>
  <c r="K117" i="25"/>
  <c r="E117" i="25"/>
  <c r="B117" i="25"/>
  <c r="M116" i="25"/>
  <c r="N116" i="25" s="1"/>
  <c r="K116" i="25"/>
  <c r="E116" i="25"/>
  <c r="B116" i="25"/>
  <c r="N115" i="25"/>
  <c r="M115" i="25"/>
  <c r="K115" i="25"/>
  <c r="E115" i="25"/>
  <c r="B115" i="25"/>
  <c r="N114" i="25"/>
  <c r="M114" i="25"/>
  <c r="K114" i="25"/>
  <c r="E114" i="25"/>
  <c r="B114" i="25"/>
  <c r="N113" i="25"/>
  <c r="M113" i="25"/>
  <c r="K113" i="25"/>
  <c r="E113" i="25"/>
  <c r="B113" i="25"/>
  <c r="M112" i="25"/>
  <c r="N112" i="25" s="1"/>
  <c r="K112" i="25"/>
  <c r="E112" i="25"/>
  <c r="B112" i="25"/>
  <c r="N111" i="25"/>
  <c r="M111" i="25"/>
  <c r="K111" i="25"/>
  <c r="E111" i="25"/>
  <c r="B111" i="25"/>
  <c r="N110" i="25"/>
  <c r="M110" i="25"/>
  <c r="K110" i="25"/>
  <c r="E110" i="25"/>
  <c r="B110" i="25"/>
  <c r="N109" i="25"/>
  <c r="M109" i="25"/>
  <c r="K109" i="25"/>
  <c r="E109" i="25"/>
  <c r="B109" i="25"/>
  <c r="M108" i="25"/>
  <c r="N108" i="25" s="1"/>
  <c r="K108" i="25"/>
  <c r="E108" i="25"/>
  <c r="B108" i="25"/>
  <c r="N107" i="25"/>
  <c r="M107" i="25"/>
  <c r="K107" i="25"/>
  <c r="E107" i="25"/>
  <c r="B107" i="25"/>
  <c r="N106" i="25"/>
  <c r="M106" i="25"/>
  <c r="K106" i="25"/>
  <c r="E106" i="25"/>
  <c r="B106" i="25"/>
  <c r="N105" i="25"/>
  <c r="M105" i="25"/>
  <c r="K105" i="25"/>
  <c r="E105" i="25"/>
  <c r="B105" i="25"/>
  <c r="M104" i="25"/>
  <c r="N104" i="25" s="1"/>
  <c r="K104" i="25"/>
  <c r="E104" i="25"/>
  <c r="B104" i="25"/>
  <c r="N103" i="25"/>
  <c r="M103" i="25"/>
  <c r="K103" i="25"/>
  <c r="E103" i="25"/>
  <c r="B103" i="25"/>
  <c r="N102" i="25"/>
  <c r="M102" i="25"/>
  <c r="K102" i="25"/>
  <c r="E102" i="25"/>
  <c r="B102" i="25"/>
  <c r="N101" i="25"/>
  <c r="M101" i="25"/>
  <c r="K101" i="25"/>
  <c r="E101" i="25"/>
  <c r="B101" i="25"/>
  <c r="M100" i="25"/>
  <c r="N100" i="25" s="1"/>
  <c r="K100" i="25"/>
  <c r="E100" i="25"/>
  <c r="B100" i="25"/>
  <c r="N99" i="25"/>
  <c r="M99" i="25"/>
  <c r="K99" i="25"/>
  <c r="E99" i="25"/>
  <c r="B99" i="25"/>
  <c r="N98" i="25"/>
  <c r="M98" i="25"/>
  <c r="K98" i="25"/>
  <c r="E98" i="25"/>
  <c r="B98" i="25"/>
  <c r="N97" i="25"/>
  <c r="M97" i="25"/>
  <c r="K97" i="25"/>
  <c r="E97" i="25"/>
  <c r="B97" i="25"/>
  <c r="M96" i="25"/>
  <c r="N96" i="25" s="1"/>
  <c r="K96" i="25"/>
  <c r="E96" i="25"/>
  <c r="B96" i="25"/>
  <c r="N95" i="25"/>
  <c r="M95" i="25"/>
  <c r="K95" i="25"/>
  <c r="E95" i="25"/>
  <c r="B95" i="25"/>
  <c r="N94" i="25"/>
  <c r="M94" i="25"/>
  <c r="K94" i="25"/>
  <c r="E94" i="25"/>
  <c r="B94" i="25"/>
  <c r="N93" i="25"/>
  <c r="M93" i="25"/>
  <c r="K93" i="25"/>
  <c r="E93" i="25"/>
  <c r="B93" i="25"/>
  <c r="M92" i="25"/>
  <c r="N92" i="25" s="1"/>
  <c r="K92" i="25"/>
  <c r="E92" i="25"/>
  <c r="B92" i="25"/>
  <c r="N91" i="25"/>
  <c r="M91" i="25"/>
  <c r="K91" i="25"/>
  <c r="E91" i="25"/>
  <c r="B91" i="25"/>
  <c r="N90" i="25"/>
  <c r="M90" i="25"/>
  <c r="K90" i="25"/>
  <c r="E90" i="25"/>
  <c r="B90" i="25"/>
  <c r="N89" i="25"/>
  <c r="M89" i="25"/>
  <c r="K89" i="25"/>
  <c r="E89" i="25"/>
  <c r="B89" i="25"/>
  <c r="M88" i="25"/>
  <c r="N88" i="25" s="1"/>
  <c r="K88" i="25"/>
  <c r="E88" i="25"/>
  <c r="B88" i="25"/>
  <c r="N87" i="25"/>
  <c r="M87" i="25"/>
  <c r="K87" i="25"/>
  <c r="E87" i="25"/>
  <c r="B87" i="25"/>
  <c r="N86" i="25"/>
  <c r="M86" i="25"/>
  <c r="K86" i="25"/>
  <c r="E86" i="25"/>
  <c r="B86" i="25"/>
  <c r="N85" i="25"/>
  <c r="M85" i="25"/>
  <c r="K85" i="25"/>
  <c r="E85" i="25"/>
  <c r="B85" i="25"/>
  <c r="M84" i="25"/>
  <c r="N84" i="25" s="1"/>
  <c r="K84" i="25"/>
  <c r="E84" i="25"/>
  <c r="B84" i="25"/>
  <c r="N83" i="25"/>
  <c r="M83" i="25"/>
  <c r="K83" i="25"/>
  <c r="E83" i="25"/>
  <c r="B83" i="25"/>
  <c r="N82" i="25"/>
  <c r="M82" i="25"/>
  <c r="K82" i="25"/>
  <c r="E82" i="25"/>
  <c r="B82" i="25"/>
  <c r="N81" i="25"/>
  <c r="M81" i="25"/>
  <c r="K81" i="25"/>
  <c r="E81" i="25"/>
  <c r="B81" i="25"/>
  <c r="M80" i="25"/>
  <c r="N80" i="25" s="1"/>
  <c r="K80" i="25"/>
  <c r="E80" i="25"/>
  <c r="B80" i="25"/>
  <c r="N79" i="25"/>
  <c r="M79" i="25"/>
  <c r="K79" i="25"/>
  <c r="E79" i="25"/>
  <c r="B79" i="25"/>
  <c r="N78" i="25"/>
  <c r="M78" i="25"/>
  <c r="K78" i="25"/>
  <c r="E78" i="25"/>
  <c r="B78" i="25"/>
  <c r="N77" i="25"/>
  <c r="M77" i="25"/>
  <c r="K77" i="25"/>
  <c r="E77" i="25"/>
  <c r="B77" i="25"/>
  <c r="M76" i="25"/>
  <c r="N76" i="25" s="1"/>
  <c r="K76" i="25"/>
  <c r="E76" i="25"/>
  <c r="B76" i="25"/>
  <c r="N75" i="25"/>
  <c r="M75" i="25"/>
  <c r="K75" i="25"/>
  <c r="E75" i="25"/>
  <c r="B75" i="25"/>
  <c r="N74" i="25"/>
  <c r="M74" i="25"/>
  <c r="K74" i="25"/>
  <c r="E74" i="25"/>
  <c r="B74" i="25"/>
  <c r="N73" i="25"/>
  <c r="M73" i="25"/>
  <c r="K73" i="25"/>
  <c r="E73" i="25"/>
  <c r="B73" i="25"/>
  <c r="M72" i="25"/>
  <c r="N72" i="25" s="1"/>
  <c r="K72" i="25"/>
  <c r="E72" i="25"/>
  <c r="B72" i="25"/>
  <c r="N71" i="25"/>
  <c r="M71" i="25"/>
  <c r="K71" i="25"/>
  <c r="E71" i="25"/>
  <c r="B71" i="25"/>
  <c r="N70" i="25"/>
  <c r="M70" i="25"/>
  <c r="K70" i="25"/>
  <c r="E70" i="25"/>
  <c r="B70" i="25"/>
  <c r="N69" i="25"/>
  <c r="M69" i="25"/>
  <c r="K69" i="25"/>
  <c r="E69" i="25"/>
  <c r="B69" i="25"/>
  <c r="M68" i="25"/>
  <c r="N68" i="25" s="1"/>
  <c r="K68" i="25"/>
  <c r="E68" i="25"/>
  <c r="B68" i="25"/>
  <c r="N67" i="25"/>
  <c r="M67" i="25"/>
  <c r="K67" i="25"/>
  <c r="E67" i="25"/>
  <c r="B67" i="25"/>
  <c r="N66" i="25"/>
  <c r="M66" i="25"/>
  <c r="K66" i="25"/>
  <c r="E66" i="25"/>
  <c r="B66" i="25"/>
  <c r="N65" i="25"/>
  <c r="M65" i="25"/>
  <c r="K65" i="25"/>
  <c r="E65" i="25"/>
  <c r="B65" i="25"/>
  <c r="M64" i="25"/>
  <c r="N64" i="25" s="1"/>
  <c r="K64" i="25"/>
  <c r="E64" i="25"/>
  <c r="B64" i="25"/>
  <c r="N63" i="25"/>
  <c r="M63" i="25"/>
  <c r="K63" i="25"/>
  <c r="E63" i="25"/>
  <c r="B63" i="25"/>
  <c r="N62" i="25"/>
  <c r="M62" i="25"/>
  <c r="K62" i="25"/>
  <c r="E62" i="25"/>
  <c r="B62" i="25"/>
  <c r="N61" i="25"/>
  <c r="M61" i="25"/>
  <c r="K61" i="25"/>
  <c r="E61" i="25"/>
  <c r="B61" i="25"/>
  <c r="M60" i="25"/>
  <c r="N60" i="25" s="1"/>
  <c r="K60" i="25"/>
  <c r="E60" i="25"/>
  <c r="B60" i="25"/>
  <c r="N59" i="25"/>
  <c r="M59" i="25"/>
  <c r="K59" i="25"/>
  <c r="E59" i="25"/>
  <c r="B59" i="25"/>
  <c r="N58" i="25"/>
  <c r="M58" i="25"/>
  <c r="K58" i="25"/>
  <c r="E58" i="25"/>
  <c r="B58" i="25"/>
  <c r="N57" i="25"/>
  <c r="M57" i="25"/>
  <c r="K57" i="25"/>
  <c r="E57" i="25"/>
  <c r="B57" i="25"/>
  <c r="M56" i="25"/>
  <c r="N56" i="25" s="1"/>
  <c r="K56" i="25"/>
  <c r="E56" i="25"/>
  <c r="B56" i="25"/>
  <c r="N55" i="25"/>
  <c r="M55" i="25"/>
  <c r="K55" i="25"/>
  <c r="E55" i="25"/>
  <c r="B55" i="25"/>
  <c r="N54" i="25"/>
  <c r="M54" i="25"/>
  <c r="K54" i="25"/>
  <c r="E54" i="25"/>
  <c r="B54" i="25"/>
  <c r="N53" i="25"/>
  <c r="M53" i="25"/>
  <c r="K53" i="25"/>
  <c r="E53" i="25"/>
  <c r="B53" i="25"/>
  <c r="M52" i="25"/>
  <c r="N52" i="25" s="1"/>
  <c r="K52" i="25"/>
  <c r="E52" i="25"/>
  <c r="B52" i="25"/>
  <c r="N51" i="25"/>
  <c r="M51" i="25"/>
  <c r="K51" i="25"/>
  <c r="E51" i="25"/>
  <c r="B51" i="25"/>
  <c r="N50" i="25"/>
  <c r="M50" i="25"/>
  <c r="K50" i="25"/>
  <c r="E50" i="25"/>
  <c r="B50" i="25"/>
  <c r="N49" i="25"/>
  <c r="M49" i="25"/>
  <c r="K49" i="25"/>
  <c r="E49" i="25"/>
  <c r="B49" i="25"/>
  <c r="M48" i="25"/>
  <c r="N48" i="25" s="1"/>
  <c r="K48" i="25"/>
  <c r="E48" i="25"/>
  <c r="B48" i="25"/>
  <c r="N47" i="25"/>
  <c r="M47" i="25"/>
  <c r="K47" i="25"/>
  <c r="E47" i="25"/>
  <c r="B47" i="25"/>
  <c r="N46" i="25"/>
  <c r="M46" i="25"/>
  <c r="K46" i="25"/>
  <c r="E46" i="25"/>
  <c r="B46" i="25"/>
  <c r="N45" i="25"/>
  <c r="M45" i="25"/>
  <c r="K45" i="25"/>
  <c r="E45" i="25"/>
  <c r="B45" i="25"/>
  <c r="M44" i="25"/>
  <c r="N44" i="25" s="1"/>
  <c r="K44" i="25"/>
  <c r="E44" i="25"/>
  <c r="B44" i="25"/>
  <c r="N43" i="25"/>
  <c r="M43" i="25"/>
  <c r="K43" i="25"/>
  <c r="E43" i="25"/>
  <c r="B43" i="25"/>
  <c r="N42" i="25"/>
  <c r="M42" i="25"/>
  <c r="K42" i="25"/>
  <c r="E42" i="25"/>
  <c r="B42" i="25"/>
  <c r="N41" i="25"/>
  <c r="M41" i="25"/>
  <c r="K41" i="25"/>
  <c r="E41" i="25"/>
  <c r="B41" i="25"/>
  <c r="M40" i="25"/>
  <c r="N40" i="25" s="1"/>
  <c r="K40" i="25"/>
  <c r="E40" i="25"/>
  <c r="B40" i="25"/>
  <c r="N39" i="25"/>
  <c r="M39" i="25"/>
  <c r="K39" i="25"/>
  <c r="E39" i="25"/>
  <c r="B39" i="25"/>
  <c r="N38" i="25"/>
  <c r="M38" i="25"/>
  <c r="K38" i="25"/>
  <c r="E38" i="25"/>
  <c r="B38" i="25"/>
  <c r="N37" i="25"/>
  <c r="M37" i="25"/>
  <c r="K37" i="25"/>
  <c r="E37" i="25"/>
  <c r="B37" i="25"/>
  <c r="M36" i="25"/>
  <c r="N36" i="25" s="1"/>
  <c r="K36" i="25"/>
  <c r="E36" i="25"/>
  <c r="B36" i="25"/>
  <c r="N35" i="25"/>
  <c r="M35" i="25"/>
  <c r="K35" i="25"/>
  <c r="E35" i="25"/>
  <c r="B35" i="25"/>
  <c r="N34" i="25"/>
  <c r="M34" i="25"/>
  <c r="K34" i="25"/>
  <c r="E34" i="25"/>
  <c r="B34" i="25"/>
  <c r="N33" i="25"/>
  <c r="M33" i="25"/>
  <c r="K33" i="25"/>
  <c r="E33" i="25"/>
  <c r="B33" i="25"/>
  <c r="M32" i="25"/>
  <c r="N32" i="25" s="1"/>
  <c r="K32" i="25"/>
  <c r="E32" i="25"/>
  <c r="B32" i="25"/>
  <c r="N31" i="25"/>
  <c r="M31" i="25"/>
  <c r="K31" i="25"/>
  <c r="E31" i="25"/>
  <c r="B31" i="25"/>
  <c r="N30" i="25"/>
  <c r="M30" i="25"/>
  <c r="K30" i="25"/>
  <c r="E30" i="25"/>
  <c r="B30" i="25"/>
  <c r="N29" i="25"/>
  <c r="M29" i="25"/>
  <c r="K29" i="25"/>
  <c r="E29" i="25"/>
  <c r="B29" i="25"/>
  <c r="M28" i="25"/>
  <c r="N28" i="25" s="1"/>
  <c r="K28" i="25"/>
  <c r="E28" i="25"/>
  <c r="B28" i="25"/>
  <c r="N27" i="25"/>
  <c r="M27" i="25"/>
  <c r="K27" i="25"/>
  <c r="E27" i="25"/>
  <c r="B27" i="25"/>
  <c r="N26" i="25"/>
  <c r="M26" i="25"/>
  <c r="K26" i="25"/>
  <c r="E26" i="25"/>
  <c r="B26" i="25"/>
  <c r="N25" i="25"/>
  <c r="M25" i="25"/>
  <c r="K25" i="25"/>
  <c r="E25" i="25"/>
  <c r="B25" i="25"/>
  <c r="M24" i="25"/>
  <c r="N24" i="25" s="1"/>
  <c r="K24" i="25"/>
  <c r="E24" i="25"/>
  <c r="B24" i="25"/>
  <c r="N23" i="25"/>
  <c r="M23" i="25"/>
  <c r="K23" i="25"/>
  <c r="E23" i="25"/>
  <c r="B23" i="25"/>
  <c r="N22" i="25"/>
  <c r="M22" i="25"/>
  <c r="K22" i="25"/>
  <c r="E22" i="25"/>
  <c r="B22" i="25"/>
  <c r="N21" i="25"/>
  <c r="M21" i="25"/>
  <c r="K21" i="25"/>
  <c r="E21" i="25"/>
  <c r="B21" i="25"/>
  <c r="M20" i="25"/>
  <c r="N20" i="25" s="1"/>
  <c r="K20" i="25"/>
  <c r="E20" i="25"/>
  <c r="B20" i="25"/>
  <c r="N19" i="25"/>
  <c r="M19" i="25"/>
  <c r="K19" i="25"/>
  <c r="E19" i="25"/>
  <c r="B19" i="25"/>
  <c r="N18" i="25"/>
  <c r="M18" i="25"/>
  <c r="K18" i="25"/>
  <c r="E18" i="25"/>
  <c r="B18" i="25"/>
  <c r="N17" i="25"/>
  <c r="M17" i="25"/>
  <c r="K17" i="25"/>
  <c r="E17" i="25"/>
  <c r="B17" i="25"/>
  <c r="M16" i="25"/>
  <c r="N16" i="25" s="1"/>
  <c r="K16" i="25"/>
  <c r="E16" i="25"/>
  <c r="B16" i="25"/>
  <c r="N15" i="25"/>
  <c r="M15" i="25"/>
  <c r="K15" i="25"/>
  <c r="E15" i="25"/>
  <c r="B15" i="25"/>
  <c r="N14" i="25"/>
  <c r="M14" i="25"/>
  <c r="K14" i="25"/>
  <c r="E14" i="25"/>
  <c r="B14" i="25"/>
  <c r="N13" i="25"/>
  <c r="M13" i="25"/>
  <c r="K13" i="25"/>
  <c r="E13" i="25"/>
  <c r="B13" i="25"/>
  <c r="M12" i="25"/>
  <c r="N12" i="25" s="1"/>
  <c r="K12" i="25"/>
  <c r="E12" i="25"/>
  <c r="B12" i="25"/>
  <c r="N11" i="25"/>
  <c r="M11" i="25"/>
  <c r="K11" i="25"/>
  <c r="E11" i="25"/>
  <c r="B11" i="25"/>
  <c r="N10" i="25"/>
  <c r="M10" i="25"/>
  <c r="K10" i="25"/>
  <c r="E10" i="25"/>
  <c r="B10" i="25"/>
  <c r="N9" i="25"/>
  <c r="M9" i="25"/>
  <c r="K9" i="25"/>
  <c r="E9" i="25"/>
  <c r="B9" i="25"/>
  <c r="M8" i="25"/>
  <c r="N8" i="25" s="1"/>
  <c r="K8" i="25"/>
  <c r="E8" i="25"/>
  <c r="B8" i="25"/>
  <c r="N7" i="25"/>
  <c r="M7" i="25"/>
  <c r="K7" i="25"/>
  <c r="E7" i="25"/>
  <c r="B7" i="25"/>
  <c r="N6" i="25"/>
  <c r="M6" i="25"/>
  <c r="K6" i="25"/>
  <c r="E6" i="25"/>
  <c r="B6" i="25"/>
  <c r="N5" i="25"/>
  <c r="M5" i="25"/>
  <c r="K5" i="25"/>
  <c r="E5" i="25"/>
  <c r="B5" i="25"/>
  <c r="M4" i="25"/>
  <c r="N4" i="25" s="1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K2" i="25" s="1"/>
  <c r="G2" i="25"/>
  <c r="F2" i="25"/>
  <c r="N134" i="32"/>
  <c r="M134" i="32"/>
  <c r="K134" i="32"/>
  <c r="E134" i="32"/>
  <c r="B134" i="32"/>
  <c r="N133" i="32"/>
  <c r="M133" i="32"/>
  <c r="K133" i="32"/>
  <c r="E133" i="32"/>
  <c r="B133" i="32"/>
  <c r="M132" i="32"/>
  <c r="N132" i="32" s="1"/>
  <c r="K132" i="32"/>
  <c r="E132" i="32"/>
  <c r="B132" i="32"/>
  <c r="M131" i="32"/>
  <c r="N131" i="32" s="1"/>
  <c r="K131" i="32"/>
  <c r="E131" i="32"/>
  <c r="B131" i="32"/>
  <c r="N130" i="32"/>
  <c r="M130" i="32"/>
  <c r="K130" i="32"/>
  <c r="E130" i="32"/>
  <c r="B130" i="32"/>
  <c r="N129" i="32"/>
  <c r="M129" i="32"/>
  <c r="K129" i="32"/>
  <c r="E129" i="32"/>
  <c r="B129" i="32"/>
  <c r="M128" i="32"/>
  <c r="N128" i="32" s="1"/>
  <c r="K128" i="32"/>
  <c r="E128" i="32"/>
  <c r="B128" i="32"/>
  <c r="M127" i="32"/>
  <c r="N127" i="32" s="1"/>
  <c r="K127" i="32"/>
  <c r="E127" i="32"/>
  <c r="B127" i="32"/>
  <c r="N126" i="32"/>
  <c r="M126" i="32"/>
  <c r="K126" i="32"/>
  <c r="E126" i="32"/>
  <c r="B126" i="32"/>
  <c r="N125" i="32"/>
  <c r="M125" i="32"/>
  <c r="K125" i="32"/>
  <c r="E125" i="32"/>
  <c r="B125" i="32"/>
  <c r="M124" i="32"/>
  <c r="N124" i="32" s="1"/>
  <c r="K124" i="32"/>
  <c r="E124" i="32"/>
  <c r="B124" i="32"/>
  <c r="M123" i="32"/>
  <c r="N123" i="32" s="1"/>
  <c r="K123" i="32"/>
  <c r="E123" i="32"/>
  <c r="B123" i="32"/>
  <c r="N122" i="32"/>
  <c r="M122" i="32"/>
  <c r="K122" i="32"/>
  <c r="E122" i="32"/>
  <c r="B122" i="32"/>
  <c r="N121" i="32"/>
  <c r="M121" i="32"/>
  <c r="K121" i="32"/>
  <c r="E121" i="32"/>
  <c r="B121" i="32"/>
  <c r="M120" i="32"/>
  <c r="N120" i="32" s="1"/>
  <c r="K120" i="32"/>
  <c r="E120" i="32"/>
  <c r="B120" i="32"/>
  <c r="M119" i="32"/>
  <c r="N119" i="32" s="1"/>
  <c r="K119" i="32"/>
  <c r="E119" i="32"/>
  <c r="B119" i="32"/>
  <c r="N118" i="32"/>
  <c r="M118" i="32"/>
  <c r="K118" i="32"/>
  <c r="E118" i="32"/>
  <c r="B118" i="32"/>
  <c r="N117" i="32"/>
  <c r="M117" i="32"/>
  <c r="K117" i="32"/>
  <c r="E117" i="32"/>
  <c r="B117" i="32"/>
  <c r="M116" i="32"/>
  <c r="N116" i="32" s="1"/>
  <c r="K116" i="32"/>
  <c r="E116" i="32"/>
  <c r="B116" i="32"/>
  <c r="M115" i="32"/>
  <c r="N115" i="32" s="1"/>
  <c r="K115" i="32"/>
  <c r="E115" i="32"/>
  <c r="B115" i="32"/>
  <c r="N114" i="32"/>
  <c r="M114" i="32"/>
  <c r="K114" i="32"/>
  <c r="E114" i="32"/>
  <c r="B114" i="32"/>
  <c r="N113" i="32"/>
  <c r="M113" i="32"/>
  <c r="K113" i="32"/>
  <c r="E113" i="32"/>
  <c r="B113" i="32"/>
  <c r="M112" i="32"/>
  <c r="N112" i="32" s="1"/>
  <c r="K112" i="32"/>
  <c r="E112" i="32"/>
  <c r="B112" i="32"/>
  <c r="M111" i="32"/>
  <c r="N111" i="32" s="1"/>
  <c r="K111" i="32"/>
  <c r="E111" i="32"/>
  <c r="B111" i="32"/>
  <c r="N110" i="32"/>
  <c r="M110" i="32"/>
  <c r="K110" i="32"/>
  <c r="E110" i="32"/>
  <c r="B110" i="32"/>
  <c r="N109" i="32"/>
  <c r="M109" i="32"/>
  <c r="K109" i="32"/>
  <c r="E109" i="32"/>
  <c r="B109" i="32"/>
  <c r="M108" i="32"/>
  <c r="N108" i="32" s="1"/>
  <c r="K108" i="32"/>
  <c r="E108" i="32"/>
  <c r="B108" i="32"/>
  <c r="M107" i="32"/>
  <c r="N107" i="32" s="1"/>
  <c r="K107" i="32"/>
  <c r="E107" i="32"/>
  <c r="B107" i="32"/>
  <c r="N106" i="32"/>
  <c r="M106" i="32"/>
  <c r="K106" i="32"/>
  <c r="E106" i="32"/>
  <c r="B106" i="32"/>
  <c r="N105" i="32"/>
  <c r="M105" i="32"/>
  <c r="K105" i="32"/>
  <c r="E105" i="32"/>
  <c r="B105" i="32"/>
  <c r="M104" i="32"/>
  <c r="N104" i="32" s="1"/>
  <c r="K104" i="32"/>
  <c r="E104" i="32"/>
  <c r="B104" i="32"/>
  <c r="M103" i="32"/>
  <c r="N103" i="32" s="1"/>
  <c r="K103" i="32"/>
  <c r="E103" i="32"/>
  <c r="B103" i="32"/>
  <c r="N102" i="32"/>
  <c r="M102" i="32"/>
  <c r="K102" i="32"/>
  <c r="E102" i="32"/>
  <c r="B102" i="32"/>
  <c r="N101" i="32"/>
  <c r="M101" i="32"/>
  <c r="K101" i="32"/>
  <c r="E101" i="32"/>
  <c r="B101" i="32"/>
  <c r="M100" i="32"/>
  <c r="N100" i="32" s="1"/>
  <c r="K100" i="32"/>
  <c r="E100" i="32"/>
  <c r="B100" i="32"/>
  <c r="M99" i="32"/>
  <c r="N99" i="32" s="1"/>
  <c r="K99" i="32"/>
  <c r="E99" i="32"/>
  <c r="B99" i="32"/>
  <c r="N98" i="32"/>
  <c r="M98" i="32"/>
  <c r="K98" i="32"/>
  <c r="E98" i="32"/>
  <c r="B98" i="32"/>
  <c r="M97" i="32"/>
  <c r="N97" i="32" s="1"/>
  <c r="K97" i="32"/>
  <c r="E97" i="32"/>
  <c r="B97" i="32"/>
  <c r="M96" i="32"/>
  <c r="N96" i="32" s="1"/>
  <c r="K96" i="32"/>
  <c r="E96" i="32"/>
  <c r="B96" i="32"/>
  <c r="M95" i="32"/>
  <c r="N95" i="32" s="1"/>
  <c r="K95" i="32"/>
  <c r="E95" i="32"/>
  <c r="B95" i="32"/>
  <c r="M94" i="32"/>
  <c r="N94" i="32" s="1"/>
  <c r="K94" i="32"/>
  <c r="E94" i="32"/>
  <c r="B94" i="32"/>
  <c r="M93" i="32"/>
  <c r="N93" i="32" s="1"/>
  <c r="K93" i="32"/>
  <c r="E93" i="32"/>
  <c r="B93" i="32"/>
  <c r="M92" i="32"/>
  <c r="N92" i="32" s="1"/>
  <c r="K92" i="32"/>
  <c r="E92" i="32"/>
  <c r="B92" i="32"/>
  <c r="M91" i="32"/>
  <c r="N91" i="32" s="1"/>
  <c r="K91" i="32"/>
  <c r="E91" i="32"/>
  <c r="B91" i="32"/>
  <c r="N90" i="32"/>
  <c r="M90" i="32"/>
  <c r="K90" i="32"/>
  <c r="E90" i="32"/>
  <c r="B90" i="32"/>
  <c r="M89" i="32"/>
  <c r="N89" i="32" s="1"/>
  <c r="K89" i="32"/>
  <c r="E89" i="32"/>
  <c r="B89" i="32"/>
  <c r="M88" i="32"/>
  <c r="N88" i="32" s="1"/>
  <c r="K88" i="32"/>
  <c r="E88" i="32"/>
  <c r="B88" i="32"/>
  <c r="M87" i="32"/>
  <c r="N87" i="32" s="1"/>
  <c r="K87" i="32"/>
  <c r="E87" i="32"/>
  <c r="B87" i="32"/>
  <c r="N86" i="32"/>
  <c r="M86" i="32"/>
  <c r="K86" i="32"/>
  <c r="E86" i="32"/>
  <c r="B86" i="32"/>
  <c r="M85" i="32"/>
  <c r="N85" i="32" s="1"/>
  <c r="K85" i="32"/>
  <c r="E85" i="32"/>
  <c r="B85" i="32"/>
  <c r="M84" i="32"/>
  <c r="N84" i="32" s="1"/>
  <c r="K84" i="32"/>
  <c r="E84" i="32"/>
  <c r="B84" i="32"/>
  <c r="M83" i="32"/>
  <c r="N83" i="32" s="1"/>
  <c r="K83" i="32"/>
  <c r="E83" i="32"/>
  <c r="B83" i="32"/>
  <c r="N82" i="32"/>
  <c r="M82" i="32"/>
  <c r="K82" i="32"/>
  <c r="E82" i="32"/>
  <c r="B82" i="32"/>
  <c r="M81" i="32"/>
  <c r="N81" i="32" s="1"/>
  <c r="K81" i="32"/>
  <c r="E81" i="32"/>
  <c r="B81" i="32"/>
  <c r="M80" i="32"/>
  <c r="N80" i="32" s="1"/>
  <c r="K80" i="32"/>
  <c r="E80" i="32"/>
  <c r="B80" i="32"/>
  <c r="M79" i="32"/>
  <c r="N79" i="32" s="1"/>
  <c r="K79" i="32"/>
  <c r="E79" i="32"/>
  <c r="B79" i="32"/>
  <c r="M78" i="32"/>
  <c r="N78" i="32" s="1"/>
  <c r="K78" i="32"/>
  <c r="E78" i="32"/>
  <c r="B78" i="32"/>
  <c r="M77" i="32"/>
  <c r="N77" i="32" s="1"/>
  <c r="K77" i="32"/>
  <c r="E77" i="32"/>
  <c r="B77" i="32"/>
  <c r="M76" i="32"/>
  <c r="N76" i="32" s="1"/>
  <c r="K76" i="32"/>
  <c r="E76" i="32"/>
  <c r="B76" i="32"/>
  <c r="M75" i="32"/>
  <c r="N75" i="32" s="1"/>
  <c r="K75" i="32"/>
  <c r="E75" i="32"/>
  <c r="B75" i="32"/>
  <c r="N74" i="32"/>
  <c r="M74" i="32"/>
  <c r="K74" i="32"/>
  <c r="E74" i="32"/>
  <c r="B74" i="32"/>
  <c r="M73" i="32"/>
  <c r="N73" i="32" s="1"/>
  <c r="K73" i="32"/>
  <c r="E73" i="32"/>
  <c r="B73" i="32"/>
  <c r="M72" i="32"/>
  <c r="N72" i="32" s="1"/>
  <c r="K72" i="32"/>
  <c r="E72" i="32"/>
  <c r="B72" i="32"/>
  <c r="M71" i="32"/>
  <c r="N71" i="32" s="1"/>
  <c r="K71" i="32"/>
  <c r="E71" i="32"/>
  <c r="B71" i="32"/>
  <c r="M70" i="32"/>
  <c r="N70" i="32" s="1"/>
  <c r="K70" i="32"/>
  <c r="E70" i="32"/>
  <c r="B70" i="32"/>
  <c r="M69" i="32"/>
  <c r="N69" i="32" s="1"/>
  <c r="K69" i="32"/>
  <c r="E69" i="32"/>
  <c r="B69" i="32"/>
  <c r="M68" i="32"/>
  <c r="N68" i="32" s="1"/>
  <c r="K68" i="32"/>
  <c r="E68" i="32"/>
  <c r="B68" i="32"/>
  <c r="M67" i="32"/>
  <c r="N67" i="32" s="1"/>
  <c r="K67" i="32"/>
  <c r="E67" i="32"/>
  <c r="B67" i="32"/>
  <c r="N66" i="32"/>
  <c r="M66" i="32"/>
  <c r="K66" i="32"/>
  <c r="E66" i="32"/>
  <c r="B66" i="32"/>
  <c r="M65" i="32"/>
  <c r="N65" i="32" s="1"/>
  <c r="K65" i="32"/>
  <c r="E65" i="32"/>
  <c r="B65" i="32"/>
  <c r="M64" i="32"/>
  <c r="N64" i="32" s="1"/>
  <c r="K64" i="32"/>
  <c r="E64" i="32"/>
  <c r="B64" i="32"/>
  <c r="M63" i="32"/>
  <c r="N63" i="32" s="1"/>
  <c r="K63" i="32"/>
  <c r="E63" i="32"/>
  <c r="B63" i="32"/>
  <c r="M62" i="32"/>
  <c r="N62" i="32" s="1"/>
  <c r="K62" i="32"/>
  <c r="E62" i="32"/>
  <c r="B62" i="32"/>
  <c r="M61" i="32"/>
  <c r="N61" i="32" s="1"/>
  <c r="K61" i="32"/>
  <c r="E61" i="32"/>
  <c r="B61" i="32"/>
  <c r="M60" i="32"/>
  <c r="N60" i="32" s="1"/>
  <c r="K60" i="32"/>
  <c r="E60" i="32"/>
  <c r="B60" i="32"/>
  <c r="M59" i="32"/>
  <c r="N59" i="32" s="1"/>
  <c r="K59" i="32"/>
  <c r="E59" i="32"/>
  <c r="B59" i="32"/>
  <c r="N58" i="32"/>
  <c r="M58" i="32"/>
  <c r="K58" i="32"/>
  <c r="E58" i="32"/>
  <c r="B58" i="32"/>
  <c r="M57" i="32"/>
  <c r="N57" i="32" s="1"/>
  <c r="K57" i="32"/>
  <c r="E57" i="32"/>
  <c r="B57" i="32"/>
  <c r="M56" i="32"/>
  <c r="N56" i="32" s="1"/>
  <c r="K56" i="32"/>
  <c r="E56" i="32"/>
  <c r="B56" i="32"/>
  <c r="M55" i="32"/>
  <c r="N55" i="32" s="1"/>
  <c r="K55" i="32"/>
  <c r="E55" i="32"/>
  <c r="B55" i="32"/>
  <c r="N54" i="32"/>
  <c r="M54" i="32"/>
  <c r="K54" i="32"/>
  <c r="E54" i="32"/>
  <c r="B54" i="32"/>
  <c r="M53" i="32"/>
  <c r="N53" i="32" s="1"/>
  <c r="K53" i="32"/>
  <c r="E53" i="32"/>
  <c r="B53" i="32"/>
  <c r="M52" i="32"/>
  <c r="N52" i="32" s="1"/>
  <c r="K52" i="32"/>
  <c r="E52" i="32"/>
  <c r="B52" i="32"/>
  <c r="M51" i="32"/>
  <c r="N51" i="32" s="1"/>
  <c r="K51" i="32"/>
  <c r="E51" i="32"/>
  <c r="B51" i="32"/>
  <c r="N50" i="32"/>
  <c r="M50" i="32"/>
  <c r="K50" i="32"/>
  <c r="E50" i="32"/>
  <c r="B50" i="32"/>
  <c r="M49" i="32"/>
  <c r="N49" i="32" s="1"/>
  <c r="K49" i="32"/>
  <c r="E49" i="32"/>
  <c r="B49" i="32"/>
  <c r="M48" i="32"/>
  <c r="N48" i="32" s="1"/>
  <c r="K48" i="32"/>
  <c r="E48" i="32"/>
  <c r="B48" i="32"/>
  <c r="M47" i="32"/>
  <c r="N47" i="32" s="1"/>
  <c r="K47" i="32"/>
  <c r="E47" i="32"/>
  <c r="B47" i="32"/>
  <c r="M46" i="32"/>
  <c r="N46" i="32" s="1"/>
  <c r="K46" i="32"/>
  <c r="E46" i="32"/>
  <c r="B46" i="32"/>
  <c r="M45" i="32"/>
  <c r="N45" i="32" s="1"/>
  <c r="K45" i="32"/>
  <c r="E45" i="32"/>
  <c r="B45" i="32"/>
  <c r="M44" i="32"/>
  <c r="N44" i="32" s="1"/>
  <c r="K44" i="32"/>
  <c r="E44" i="32"/>
  <c r="B44" i="32"/>
  <c r="M43" i="32"/>
  <c r="N43" i="32" s="1"/>
  <c r="K43" i="32"/>
  <c r="E43" i="32"/>
  <c r="B43" i="32"/>
  <c r="N42" i="32"/>
  <c r="M42" i="32"/>
  <c r="K42" i="32"/>
  <c r="E42" i="32"/>
  <c r="B42" i="32"/>
  <c r="M41" i="32"/>
  <c r="N41" i="32" s="1"/>
  <c r="K41" i="32"/>
  <c r="E41" i="32"/>
  <c r="B41" i="32"/>
  <c r="M40" i="32"/>
  <c r="N40" i="32" s="1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N37" i="32" s="1"/>
  <c r="K37" i="32"/>
  <c r="E37" i="32"/>
  <c r="B37" i="32"/>
  <c r="M36" i="32"/>
  <c r="N36" i="32" s="1"/>
  <c r="K36" i="32"/>
  <c r="E36" i="32"/>
  <c r="B36" i="32"/>
  <c r="M35" i="32"/>
  <c r="N35" i="32" s="1"/>
  <c r="K35" i="32"/>
  <c r="E35" i="32"/>
  <c r="B35" i="32"/>
  <c r="N34" i="32"/>
  <c r="M34" i="32"/>
  <c r="K34" i="32"/>
  <c r="E34" i="32"/>
  <c r="B34" i="32"/>
  <c r="M33" i="32"/>
  <c r="N33" i="32" s="1"/>
  <c r="K33" i="32"/>
  <c r="E33" i="32"/>
  <c r="B33" i="32"/>
  <c r="M32" i="32"/>
  <c r="N32" i="32" s="1"/>
  <c r="K32" i="32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N29" i="32" s="1"/>
  <c r="K29" i="32"/>
  <c r="E29" i="32"/>
  <c r="B29" i="32"/>
  <c r="M28" i="32"/>
  <c r="N28" i="32" s="1"/>
  <c r="K28" i="32"/>
  <c r="E28" i="32"/>
  <c r="B28" i="32"/>
  <c r="M27" i="32"/>
  <c r="N27" i="32" s="1"/>
  <c r="K27" i="32"/>
  <c r="E27" i="32"/>
  <c r="B27" i="32"/>
  <c r="M26" i="32"/>
  <c r="N26" i="32" s="1"/>
  <c r="K26" i="32"/>
  <c r="E26" i="32"/>
  <c r="B26" i="32"/>
  <c r="M25" i="32"/>
  <c r="N25" i="32" s="1"/>
  <c r="K25" i="32"/>
  <c r="E25" i="32"/>
  <c r="B25" i="32"/>
  <c r="M24" i="32"/>
  <c r="N24" i="32" s="1"/>
  <c r="K24" i="32"/>
  <c r="E24" i="32"/>
  <c r="B24" i="32"/>
  <c r="M23" i="32"/>
  <c r="N23" i="32" s="1"/>
  <c r="K23" i="32"/>
  <c r="E23" i="32"/>
  <c r="B23" i="32"/>
  <c r="N22" i="32"/>
  <c r="M22" i="32"/>
  <c r="K22" i="32"/>
  <c r="E22" i="32"/>
  <c r="B22" i="32"/>
  <c r="M21" i="32"/>
  <c r="N21" i="32" s="1"/>
  <c r="K21" i="32"/>
  <c r="E21" i="32"/>
  <c r="B21" i="32"/>
  <c r="M20" i="32"/>
  <c r="N20" i="32" s="1"/>
  <c r="K20" i="32"/>
  <c r="E20" i="32"/>
  <c r="B20" i="32"/>
  <c r="N19" i="32"/>
  <c r="M19" i="32"/>
  <c r="K19" i="32"/>
  <c r="E19" i="32"/>
  <c r="B19" i="32"/>
  <c r="N18" i="32"/>
  <c r="M18" i="32"/>
  <c r="K18" i="32"/>
  <c r="E18" i="32"/>
  <c r="B18" i="32"/>
  <c r="N17" i="32"/>
  <c r="M17" i="32"/>
  <c r="K17" i="32"/>
  <c r="E17" i="32"/>
  <c r="B17" i="32"/>
  <c r="M16" i="32"/>
  <c r="N16" i="32" s="1"/>
  <c r="K16" i="32"/>
  <c r="E16" i="32"/>
  <c r="B16" i="32"/>
  <c r="N15" i="32"/>
  <c r="M15" i="32"/>
  <c r="K15" i="32"/>
  <c r="E15" i="32"/>
  <c r="B15" i="32"/>
  <c r="N14" i="32"/>
  <c r="M14" i="32"/>
  <c r="K14" i="32"/>
  <c r="E14" i="32"/>
  <c r="B14" i="32"/>
  <c r="N13" i="32"/>
  <c r="M13" i="32"/>
  <c r="K13" i="32"/>
  <c r="E13" i="32"/>
  <c r="B13" i="32"/>
  <c r="M12" i="32"/>
  <c r="N12" i="32" s="1"/>
  <c r="K12" i="32"/>
  <c r="E12" i="32"/>
  <c r="B12" i="32"/>
  <c r="N11" i="32"/>
  <c r="M11" i="32"/>
  <c r="K11" i="32"/>
  <c r="E11" i="32"/>
  <c r="B11" i="32"/>
  <c r="N10" i="32"/>
  <c r="M10" i="32"/>
  <c r="K10" i="32"/>
  <c r="E10" i="32"/>
  <c r="B10" i="32"/>
  <c r="N9" i="32"/>
  <c r="M9" i="32"/>
  <c r="K9" i="32"/>
  <c r="E9" i="32"/>
  <c r="B9" i="32"/>
  <c r="M8" i="32"/>
  <c r="N8" i="32" s="1"/>
  <c r="K8" i="32"/>
  <c r="E8" i="32"/>
  <c r="B8" i="32"/>
  <c r="N7" i="32"/>
  <c r="M7" i="32"/>
  <c r="K7" i="32"/>
  <c r="E7" i="32"/>
  <c r="B7" i="32"/>
  <c r="N6" i="32"/>
  <c r="M6" i="32"/>
  <c r="K6" i="32"/>
  <c r="E6" i="32"/>
  <c r="B6" i="32"/>
  <c r="N5" i="32"/>
  <c r="M5" i="32"/>
  <c r="K5" i="32"/>
  <c r="E5" i="32"/>
  <c r="B5" i="32"/>
  <c r="M4" i="32"/>
  <c r="N4" i="32" s="1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K2" i="32" s="1"/>
  <c r="G2" i="32"/>
  <c r="M2" i="32" s="1"/>
  <c r="F2" i="32"/>
  <c r="N2" i="32" s="1"/>
  <c r="M165" i="31"/>
  <c r="N165" i="31" s="1"/>
  <c r="K165" i="31"/>
  <c r="E165" i="31"/>
  <c r="B165" i="31"/>
  <c r="M164" i="31"/>
  <c r="N164" i="31" s="1"/>
  <c r="K164" i="31"/>
  <c r="E164" i="31"/>
  <c r="B164" i="31"/>
  <c r="N163" i="31"/>
  <c r="M163" i="31"/>
  <c r="K163" i="31"/>
  <c r="E163" i="31"/>
  <c r="B163" i="31"/>
  <c r="M162" i="31"/>
  <c r="N162" i="31" s="1"/>
  <c r="K162" i="31"/>
  <c r="E162" i="31"/>
  <c r="B162" i="31"/>
  <c r="M161" i="31"/>
  <c r="N161" i="31" s="1"/>
  <c r="K161" i="31"/>
  <c r="E161" i="31"/>
  <c r="B161" i="31"/>
  <c r="M160" i="31"/>
  <c r="N160" i="31" s="1"/>
  <c r="K160" i="31"/>
  <c r="E160" i="31"/>
  <c r="B160" i="31"/>
  <c r="N159" i="31"/>
  <c r="M159" i="31"/>
  <c r="K159" i="31"/>
  <c r="E159" i="31"/>
  <c r="B159" i="31"/>
  <c r="M158" i="31"/>
  <c r="N158" i="31" s="1"/>
  <c r="K158" i="31"/>
  <c r="E158" i="31"/>
  <c r="B158" i="31"/>
  <c r="M157" i="31"/>
  <c r="N157" i="31" s="1"/>
  <c r="K157" i="31"/>
  <c r="E157" i="31"/>
  <c r="B157" i="31"/>
  <c r="M156" i="31"/>
  <c r="N156" i="31" s="1"/>
  <c r="K156" i="31"/>
  <c r="E156" i="31"/>
  <c r="B156" i="31"/>
  <c r="N155" i="31"/>
  <c r="M155" i="31"/>
  <c r="K155" i="31"/>
  <c r="E155" i="31"/>
  <c r="B155" i="31"/>
  <c r="M154" i="31"/>
  <c r="N154" i="31" s="1"/>
  <c r="K154" i="31"/>
  <c r="E154" i="31"/>
  <c r="B154" i="31"/>
  <c r="M153" i="31"/>
  <c r="N153" i="31" s="1"/>
  <c r="K153" i="31"/>
  <c r="E153" i="31"/>
  <c r="B153" i="31"/>
  <c r="M152" i="31"/>
  <c r="N152" i="31" s="1"/>
  <c r="K152" i="31"/>
  <c r="E152" i="31"/>
  <c r="B152" i="31"/>
  <c r="M151" i="31"/>
  <c r="N151" i="31" s="1"/>
  <c r="K151" i="31"/>
  <c r="E151" i="31"/>
  <c r="B151" i="31"/>
  <c r="M150" i="31"/>
  <c r="N150" i="31" s="1"/>
  <c r="K150" i="31"/>
  <c r="E150" i="31"/>
  <c r="B150" i="31"/>
  <c r="M149" i="31"/>
  <c r="N149" i="31" s="1"/>
  <c r="K149" i="31"/>
  <c r="E149" i="31"/>
  <c r="B149" i="31"/>
  <c r="M148" i="31"/>
  <c r="N148" i="31" s="1"/>
  <c r="K148" i="31"/>
  <c r="E148" i="31"/>
  <c r="B148" i="31"/>
  <c r="M147" i="31"/>
  <c r="N147" i="31" s="1"/>
  <c r="K147" i="31"/>
  <c r="E147" i="31"/>
  <c r="B147" i="31"/>
  <c r="M146" i="31"/>
  <c r="N146" i="31" s="1"/>
  <c r="K146" i="31"/>
  <c r="E146" i="31"/>
  <c r="B146" i="31"/>
  <c r="M145" i="31"/>
  <c r="N145" i="31" s="1"/>
  <c r="K145" i="31"/>
  <c r="E145" i="31"/>
  <c r="B145" i="31"/>
  <c r="M144" i="31"/>
  <c r="N144" i="31" s="1"/>
  <c r="K144" i="31"/>
  <c r="E144" i="31"/>
  <c r="B144" i="31"/>
  <c r="M143" i="31"/>
  <c r="N143" i="31" s="1"/>
  <c r="K143" i="31"/>
  <c r="E143" i="31"/>
  <c r="B143" i="31"/>
  <c r="M142" i="31"/>
  <c r="N142" i="31" s="1"/>
  <c r="K142" i="31"/>
  <c r="E142" i="31"/>
  <c r="B142" i="31"/>
  <c r="M141" i="31"/>
  <c r="N141" i="31" s="1"/>
  <c r="K141" i="31"/>
  <c r="E141" i="31"/>
  <c r="B141" i="31"/>
  <c r="M140" i="31"/>
  <c r="N140" i="31" s="1"/>
  <c r="K140" i="31"/>
  <c r="E140" i="31"/>
  <c r="B140" i="31"/>
  <c r="M139" i="31"/>
  <c r="N139" i="31" s="1"/>
  <c r="K139" i="31"/>
  <c r="E139" i="31"/>
  <c r="B139" i="31"/>
  <c r="M138" i="31"/>
  <c r="N138" i="31" s="1"/>
  <c r="K138" i="31"/>
  <c r="E138" i="31"/>
  <c r="B138" i="31"/>
  <c r="M137" i="31"/>
  <c r="N137" i="31" s="1"/>
  <c r="K137" i="31"/>
  <c r="E137" i="31"/>
  <c r="B137" i="31"/>
  <c r="M136" i="31"/>
  <c r="N136" i="31" s="1"/>
  <c r="K136" i="31"/>
  <c r="E136" i="31"/>
  <c r="B136" i="31"/>
  <c r="M135" i="31"/>
  <c r="N135" i="31" s="1"/>
  <c r="K135" i="31"/>
  <c r="E135" i="31"/>
  <c r="B135" i="31"/>
  <c r="M134" i="31"/>
  <c r="N134" i="31" s="1"/>
  <c r="K134" i="31"/>
  <c r="E134" i="31"/>
  <c r="B134" i="31"/>
  <c r="M133" i="31"/>
  <c r="N133" i="31" s="1"/>
  <c r="K133" i="31"/>
  <c r="E133" i="31"/>
  <c r="B133" i="31"/>
  <c r="M132" i="31"/>
  <c r="N132" i="31" s="1"/>
  <c r="K132" i="31"/>
  <c r="E132" i="31"/>
  <c r="B132" i="31"/>
  <c r="M131" i="31"/>
  <c r="N131" i="31" s="1"/>
  <c r="K131" i="31"/>
  <c r="E131" i="31"/>
  <c r="B131" i="31"/>
  <c r="M130" i="31"/>
  <c r="N130" i="31" s="1"/>
  <c r="K130" i="31"/>
  <c r="E130" i="31"/>
  <c r="B130" i="31"/>
  <c r="M129" i="31"/>
  <c r="N129" i="31" s="1"/>
  <c r="K129" i="31"/>
  <c r="E129" i="31"/>
  <c r="B129" i="31"/>
  <c r="M128" i="31"/>
  <c r="N128" i="31" s="1"/>
  <c r="K128" i="31"/>
  <c r="E128" i="31"/>
  <c r="B128" i="31"/>
  <c r="M127" i="31"/>
  <c r="N127" i="31" s="1"/>
  <c r="K127" i="31"/>
  <c r="E127" i="31"/>
  <c r="B127" i="31"/>
  <c r="M126" i="31"/>
  <c r="N126" i="31" s="1"/>
  <c r="K126" i="31"/>
  <c r="E126" i="31"/>
  <c r="B126" i="31"/>
  <c r="M125" i="31"/>
  <c r="N125" i="31" s="1"/>
  <c r="K125" i="31"/>
  <c r="E125" i="31"/>
  <c r="B125" i="31"/>
  <c r="M124" i="31"/>
  <c r="N124" i="31" s="1"/>
  <c r="K124" i="31"/>
  <c r="E124" i="31"/>
  <c r="B124" i="31"/>
  <c r="M123" i="31"/>
  <c r="N123" i="31" s="1"/>
  <c r="K123" i="31"/>
  <c r="E123" i="31"/>
  <c r="B123" i="31"/>
  <c r="M122" i="31"/>
  <c r="N122" i="31" s="1"/>
  <c r="K122" i="31"/>
  <c r="E122" i="31"/>
  <c r="B122" i="31"/>
  <c r="M121" i="31"/>
  <c r="N121" i="31" s="1"/>
  <c r="K121" i="31"/>
  <c r="E121" i="31"/>
  <c r="B121" i="31"/>
  <c r="M120" i="31"/>
  <c r="N120" i="31" s="1"/>
  <c r="K120" i="31"/>
  <c r="E120" i="31"/>
  <c r="B120" i="31"/>
  <c r="M119" i="31"/>
  <c r="N119" i="31" s="1"/>
  <c r="K119" i="31"/>
  <c r="E119" i="31"/>
  <c r="B119" i="31"/>
  <c r="M118" i="31"/>
  <c r="N118" i="31" s="1"/>
  <c r="K118" i="31"/>
  <c r="E118" i="31"/>
  <c r="B118" i="31"/>
  <c r="M117" i="31"/>
  <c r="N117" i="31" s="1"/>
  <c r="K117" i="31"/>
  <c r="E117" i="31"/>
  <c r="B117" i="31"/>
  <c r="M116" i="31"/>
  <c r="N116" i="31" s="1"/>
  <c r="K116" i="31"/>
  <c r="E116" i="31"/>
  <c r="B116" i="31"/>
  <c r="M115" i="31"/>
  <c r="N115" i="31" s="1"/>
  <c r="K115" i="31"/>
  <c r="E115" i="31"/>
  <c r="B115" i="31"/>
  <c r="M114" i="31"/>
  <c r="N114" i="31" s="1"/>
  <c r="K114" i="31"/>
  <c r="E114" i="31"/>
  <c r="B114" i="31"/>
  <c r="M113" i="31"/>
  <c r="N113" i="31" s="1"/>
  <c r="K113" i="31"/>
  <c r="E113" i="31"/>
  <c r="B113" i="31"/>
  <c r="M112" i="31"/>
  <c r="N112" i="31" s="1"/>
  <c r="K112" i="31"/>
  <c r="E112" i="31"/>
  <c r="B112" i="31"/>
  <c r="M111" i="31"/>
  <c r="N111" i="31" s="1"/>
  <c r="K111" i="31"/>
  <c r="E111" i="31"/>
  <c r="B111" i="31"/>
  <c r="M110" i="31"/>
  <c r="N110" i="31" s="1"/>
  <c r="K110" i="31"/>
  <c r="E110" i="31"/>
  <c r="B110" i="31"/>
  <c r="M109" i="31"/>
  <c r="N109" i="31" s="1"/>
  <c r="K109" i="31"/>
  <c r="E109" i="31"/>
  <c r="B109" i="31"/>
  <c r="M108" i="31"/>
  <c r="N108" i="31" s="1"/>
  <c r="K108" i="31"/>
  <c r="E108" i="31"/>
  <c r="B108" i="31"/>
  <c r="M107" i="31"/>
  <c r="N107" i="31" s="1"/>
  <c r="K107" i="31"/>
  <c r="E107" i="31"/>
  <c r="B107" i="31"/>
  <c r="M106" i="31"/>
  <c r="N106" i="31" s="1"/>
  <c r="K106" i="31"/>
  <c r="E106" i="31"/>
  <c r="B106" i="31"/>
  <c r="M105" i="31"/>
  <c r="N105" i="31" s="1"/>
  <c r="K105" i="31"/>
  <c r="E105" i="31"/>
  <c r="B105" i="31"/>
  <c r="M104" i="31"/>
  <c r="N104" i="31" s="1"/>
  <c r="K104" i="31"/>
  <c r="E104" i="31"/>
  <c r="B104" i="31"/>
  <c r="M103" i="31"/>
  <c r="N103" i="31" s="1"/>
  <c r="K103" i="31"/>
  <c r="E103" i="31"/>
  <c r="B103" i="31"/>
  <c r="M102" i="31"/>
  <c r="N102" i="31" s="1"/>
  <c r="K102" i="31"/>
  <c r="E102" i="31"/>
  <c r="B102" i="31"/>
  <c r="M101" i="31"/>
  <c r="N101" i="31" s="1"/>
  <c r="K101" i="31"/>
  <c r="E101" i="31"/>
  <c r="B101" i="31"/>
  <c r="M100" i="31"/>
  <c r="N100" i="31" s="1"/>
  <c r="K100" i="31"/>
  <c r="E100" i="31"/>
  <c r="B100" i="31"/>
  <c r="M99" i="31"/>
  <c r="N99" i="31" s="1"/>
  <c r="K99" i="31"/>
  <c r="E99" i="31"/>
  <c r="B99" i="31"/>
  <c r="M98" i="31"/>
  <c r="N98" i="31" s="1"/>
  <c r="K98" i="31"/>
  <c r="E98" i="31"/>
  <c r="B98" i="31"/>
  <c r="M97" i="31"/>
  <c r="N97" i="31" s="1"/>
  <c r="K97" i="31"/>
  <c r="E97" i="31"/>
  <c r="B97" i="31"/>
  <c r="M96" i="31"/>
  <c r="N96" i="31" s="1"/>
  <c r="K96" i="31"/>
  <c r="E96" i="31"/>
  <c r="B96" i="31"/>
  <c r="M95" i="31"/>
  <c r="N95" i="31" s="1"/>
  <c r="K95" i="31"/>
  <c r="E95" i="31"/>
  <c r="B95" i="31"/>
  <c r="M94" i="31"/>
  <c r="N94" i="31" s="1"/>
  <c r="K94" i="31"/>
  <c r="E94" i="31"/>
  <c r="B94" i="31"/>
  <c r="M93" i="31"/>
  <c r="N93" i="31" s="1"/>
  <c r="K93" i="31"/>
  <c r="E93" i="31"/>
  <c r="B93" i="31"/>
  <c r="M92" i="31"/>
  <c r="N92" i="31" s="1"/>
  <c r="K92" i="31"/>
  <c r="E92" i="31"/>
  <c r="B92" i="31"/>
  <c r="M91" i="31"/>
  <c r="N91" i="31" s="1"/>
  <c r="K91" i="31"/>
  <c r="E91" i="31"/>
  <c r="B91" i="31"/>
  <c r="M90" i="31"/>
  <c r="N90" i="31" s="1"/>
  <c r="K90" i="31"/>
  <c r="E90" i="31"/>
  <c r="B90" i="31"/>
  <c r="M89" i="31"/>
  <c r="N89" i="31" s="1"/>
  <c r="K89" i="31"/>
  <c r="E89" i="31"/>
  <c r="B89" i="31"/>
  <c r="M88" i="31"/>
  <c r="N88" i="31" s="1"/>
  <c r="K88" i="31"/>
  <c r="E88" i="31"/>
  <c r="B88" i="31"/>
  <c r="M87" i="31"/>
  <c r="N87" i="31" s="1"/>
  <c r="K87" i="31"/>
  <c r="E87" i="31"/>
  <c r="B87" i="31"/>
  <c r="M86" i="31"/>
  <c r="N86" i="31" s="1"/>
  <c r="K86" i="31"/>
  <c r="E86" i="31"/>
  <c r="B86" i="31"/>
  <c r="M85" i="31"/>
  <c r="N85" i="31" s="1"/>
  <c r="K85" i="31"/>
  <c r="E85" i="31"/>
  <c r="B85" i="31"/>
  <c r="M84" i="31"/>
  <c r="N84" i="31" s="1"/>
  <c r="K84" i="31"/>
  <c r="E84" i="31"/>
  <c r="B84" i="31"/>
  <c r="M83" i="31"/>
  <c r="N83" i="31" s="1"/>
  <c r="K83" i="31"/>
  <c r="E83" i="31"/>
  <c r="B83" i="31"/>
  <c r="M82" i="31"/>
  <c r="N82" i="31" s="1"/>
  <c r="K82" i="31"/>
  <c r="E82" i="31"/>
  <c r="B82" i="31"/>
  <c r="M81" i="31"/>
  <c r="N81" i="31" s="1"/>
  <c r="K81" i="31"/>
  <c r="E81" i="31"/>
  <c r="B81" i="31"/>
  <c r="M80" i="31"/>
  <c r="N80" i="31" s="1"/>
  <c r="K80" i="31"/>
  <c r="E80" i="31"/>
  <c r="B80" i="31"/>
  <c r="M79" i="31"/>
  <c r="N79" i="31" s="1"/>
  <c r="K79" i="31"/>
  <c r="E79" i="31"/>
  <c r="B79" i="31"/>
  <c r="M78" i="31"/>
  <c r="N78" i="31" s="1"/>
  <c r="K78" i="31"/>
  <c r="E78" i="31"/>
  <c r="B78" i="31"/>
  <c r="M77" i="31"/>
  <c r="N77" i="31" s="1"/>
  <c r="K77" i="31"/>
  <c r="E77" i="31"/>
  <c r="B77" i="31"/>
  <c r="M76" i="31"/>
  <c r="N76" i="31" s="1"/>
  <c r="K76" i="31"/>
  <c r="E76" i="31"/>
  <c r="B76" i="31"/>
  <c r="M75" i="31"/>
  <c r="N75" i="31" s="1"/>
  <c r="K75" i="31"/>
  <c r="E75" i="31"/>
  <c r="B75" i="31"/>
  <c r="M74" i="31"/>
  <c r="N74" i="31" s="1"/>
  <c r="K74" i="31"/>
  <c r="E74" i="31"/>
  <c r="B74" i="31"/>
  <c r="M73" i="31"/>
  <c r="N73" i="31" s="1"/>
  <c r="K73" i="31"/>
  <c r="E73" i="31"/>
  <c r="B73" i="31"/>
  <c r="M72" i="31"/>
  <c r="N72" i="31" s="1"/>
  <c r="K72" i="31"/>
  <c r="E72" i="31"/>
  <c r="B72" i="31"/>
  <c r="M71" i="31"/>
  <c r="N71" i="31" s="1"/>
  <c r="K71" i="31"/>
  <c r="E71" i="31"/>
  <c r="B71" i="31"/>
  <c r="M70" i="31"/>
  <c r="N70" i="31" s="1"/>
  <c r="K70" i="31"/>
  <c r="E70" i="31"/>
  <c r="B70" i="31"/>
  <c r="M69" i="31"/>
  <c r="N69" i="31" s="1"/>
  <c r="K69" i="31"/>
  <c r="E69" i="31"/>
  <c r="B69" i="31"/>
  <c r="M68" i="31"/>
  <c r="N68" i="31" s="1"/>
  <c r="K68" i="31"/>
  <c r="E68" i="31"/>
  <c r="B68" i="31"/>
  <c r="M67" i="31"/>
  <c r="N67" i="31" s="1"/>
  <c r="K67" i="31"/>
  <c r="E67" i="31"/>
  <c r="B67" i="31"/>
  <c r="M66" i="31"/>
  <c r="N66" i="31" s="1"/>
  <c r="K66" i="31"/>
  <c r="E66" i="31"/>
  <c r="B66" i="31"/>
  <c r="M65" i="31"/>
  <c r="N65" i="31" s="1"/>
  <c r="K65" i="31"/>
  <c r="E65" i="31"/>
  <c r="B65" i="31"/>
  <c r="M64" i="31"/>
  <c r="N64" i="31" s="1"/>
  <c r="K64" i="31"/>
  <c r="E64" i="31"/>
  <c r="B64" i="31"/>
  <c r="M63" i="31"/>
  <c r="N63" i="31" s="1"/>
  <c r="K63" i="31"/>
  <c r="E63" i="31"/>
  <c r="B63" i="31"/>
  <c r="M62" i="31"/>
  <c r="N62" i="31" s="1"/>
  <c r="K62" i="31"/>
  <c r="E62" i="31"/>
  <c r="B62" i="31"/>
  <c r="M61" i="31"/>
  <c r="N61" i="31" s="1"/>
  <c r="K61" i="31"/>
  <c r="E61" i="31"/>
  <c r="B61" i="31"/>
  <c r="M60" i="31"/>
  <c r="N60" i="31" s="1"/>
  <c r="K60" i="31"/>
  <c r="E60" i="31"/>
  <c r="B60" i="31"/>
  <c r="M59" i="31"/>
  <c r="N59" i="31" s="1"/>
  <c r="K59" i="31"/>
  <c r="E59" i="31"/>
  <c r="B59" i="31"/>
  <c r="M58" i="31"/>
  <c r="N58" i="31" s="1"/>
  <c r="K58" i="31"/>
  <c r="E58" i="31"/>
  <c r="B58" i="31"/>
  <c r="M57" i="31"/>
  <c r="N57" i="31" s="1"/>
  <c r="K57" i="31"/>
  <c r="E57" i="31"/>
  <c r="B57" i="31"/>
  <c r="M56" i="31"/>
  <c r="N56" i="31" s="1"/>
  <c r="K56" i="31"/>
  <c r="E56" i="31"/>
  <c r="B56" i="31"/>
  <c r="M55" i="31"/>
  <c r="N55" i="31" s="1"/>
  <c r="K55" i="31"/>
  <c r="E55" i="31"/>
  <c r="B55" i="31"/>
  <c r="M54" i="31"/>
  <c r="N54" i="31" s="1"/>
  <c r="K54" i="31"/>
  <c r="E54" i="31"/>
  <c r="B54" i="31"/>
  <c r="M53" i="31"/>
  <c r="N53" i="31" s="1"/>
  <c r="K53" i="31"/>
  <c r="E53" i="31"/>
  <c r="B53" i="31"/>
  <c r="M52" i="31"/>
  <c r="N52" i="31" s="1"/>
  <c r="K52" i="31"/>
  <c r="E52" i="31"/>
  <c r="B52" i="31"/>
  <c r="M51" i="31"/>
  <c r="N51" i="31" s="1"/>
  <c r="K51" i="31"/>
  <c r="E51" i="31"/>
  <c r="B51" i="31"/>
  <c r="M50" i="31"/>
  <c r="N50" i="31" s="1"/>
  <c r="K50" i="31"/>
  <c r="E50" i="31"/>
  <c r="B50" i="31"/>
  <c r="M49" i="31"/>
  <c r="N49" i="31" s="1"/>
  <c r="K49" i="31"/>
  <c r="E49" i="31"/>
  <c r="B49" i="31"/>
  <c r="M48" i="31"/>
  <c r="N48" i="31" s="1"/>
  <c r="K48" i="31"/>
  <c r="E48" i="31"/>
  <c r="B48" i="31"/>
  <c r="M47" i="31"/>
  <c r="N47" i="31" s="1"/>
  <c r="K47" i="31"/>
  <c r="E47" i="31"/>
  <c r="B47" i="31"/>
  <c r="M46" i="31"/>
  <c r="N46" i="31" s="1"/>
  <c r="K46" i="31"/>
  <c r="E46" i="31"/>
  <c r="B46" i="31"/>
  <c r="M45" i="31"/>
  <c r="N45" i="31" s="1"/>
  <c r="K45" i="31"/>
  <c r="E45" i="31"/>
  <c r="B45" i="31"/>
  <c r="M44" i="31"/>
  <c r="N44" i="31" s="1"/>
  <c r="K44" i="31"/>
  <c r="E44" i="31"/>
  <c r="B44" i="31"/>
  <c r="M43" i="31"/>
  <c r="N43" i="31" s="1"/>
  <c r="K43" i="31"/>
  <c r="E43" i="31"/>
  <c r="B43" i="31"/>
  <c r="M42" i="31"/>
  <c r="N42" i="31" s="1"/>
  <c r="K42" i="31"/>
  <c r="E42" i="31"/>
  <c r="B42" i="31"/>
  <c r="M41" i="31"/>
  <c r="N41" i="31" s="1"/>
  <c r="K41" i="31"/>
  <c r="E41" i="31"/>
  <c r="B41" i="31"/>
  <c r="M40" i="31"/>
  <c r="N40" i="31" s="1"/>
  <c r="K40" i="31"/>
  <c r="E40" i="31"/>
  <c r="B40" i="31"/>
  <c r="M39" i="31"/>
  <c r="N39" i="31" s="1"/>
  <c r="K39" i="31"/>
  <c r="E39" i="31"/>
  <c r="B39" i="31"/>
  <c r="M38" i="31"/>
  <c r="N38" i="31" s="1"/>
  <c r="K38" i="31"/>
  <c r="E38" i="31"/>
  <c r="B38" i="31"/>
  <c r="M37" i="31"/>
  <c r="N37" i="31" s="1"/>
  <c r="K37" i="31"/>
  <c r="E37" i="31"/>
  <c r="B37" i="31"/>
  <c r="M36" i="31"/>
  <c r="N36" i="31" s="1"/>
  <c r="K36" i="31"/>
  <c r="E36" i="31"/>
  <c r="B36" i="31"/>
  <c r="M35" i="31"/>
  <c r="N35" i="31" s="1"/>
  <c r="K35" i="31"/>
  <c r="E35" i="31"/>
  <c r="B35" i="31"/>
  <c r="M34" i="31"/>
  <c r="N34" i="31" s="1"/>
  <c r="K34" i="31"/>
  <c r="E34" i="31"/>
  <c r="B34" i="31"/>
  <c r="M33" i="31"/>
  <c r="N33" i="31" s="1"/>
  <c r="K33" i="31"/>
  <c r="E33" i="31"/>
  <c r="B33" i="31"/>
  <c r="M32" i="31"/>
  <c r="N32" i="31" s="1"/>
  <c r="K32" i="31"/>
  <c r="E32" i="31"/>
  <c r="B32" i="31"/>
  <c r="M31" i="31"/>
  <c r="N31" i="31" s="1"/>
  <c r="K31" i="31"/>
  <c r="E31" i="31"/>
  <c r="B31" i="31"/>
  <c r="M30" i="31"/>
  <c r="N30" i="31" s="1"/>
  <c r="K30" i="31"/>
  <c r="E30" i="31"/>
  <c r="B30" i="31"/>
  <c r="M29" i="31"/>
  <c r="N29" i="31" s="1"/>
  <c r="K29" i="31"/>
  <c r="E29" i="31"/>
  <c r="B29" i="31"/>
  <c r="M28" i="31"/>
  <c r="N28" i="31" s="1"/>
  <c r="K28" i="31"/>
  <c r="E28" i="31"/>
  <c r="B28" i="31"/>
  <c r="M27" i="31"/>
  <c r="N27" i="31" s="1"/>
  <c r="K27" i="31"/>
  <c r="E27" i="31"/>
  <c r="B27" i="31"/>
  <c r="M26" i="31"/>
  <c r="N26" i="31" s="1"/>
  <c r="K26" i="31"/>
  <c r="E26" i="31"/>
  <c r="B26" i="31"/>
  <c r="M25" i="31"/>
  <c r="N25" i="31" s="1"/>
  <c r="K25" i="31"/>
  <c r="E25" i="31"/>
  <c r="B25" i="31"/>
  <c r="M24" i="31"/>
  <c r="N24" i="31" s="1"/>
  <c r="K24" i="31"/>
  <c r="E24" i="31"/>
  <c r="B24" i="31"/>
  <c r="M23" i="31"/>
  <c r="N23" i="31" s="1"/>
  <c r="K23" i="31"/>
  <c r="E23" i="31"/>
  <c r="B23" i="31"/>
  <c r="M22" i="31"/>
  <c r="N22" i="31" s="1"/>
  <c r="K22" i="31"/>
  <c r="E22" i="31"/>
  <c r="B22" i="31"/>
  <c r="M21" i="31"/>
  <c r="N21" i="31" s="1"/>
  <c r="K21" i="31"/>
  <c r="E21" i="31"/>
  <c r="B21" i="31"/>
  <c r="M20" i="31"/>
  <c r="N20" i="31" s="1"/>
  <c r="K20" i="31"/>
  <c r="E20" i="31"/>
  <c r="B20" i="31"/>
  <c r="M19" i="31"/>
  <c r="N19" i="31" s="1"/>
  <c r="K19" i="31"/>
  <c r="E19" i="31"/>
  <c r="B19" i="31"/>
  <c r="M18" i="31"/>
  <c r="N18" i="31" s="1"/>
  <c r="K18" i="31"/>
  <c r="E18" i="31"/>
  <c r="B18" i="31"/>
  <c r="M17" i="31"/>
  <c r="N17" i="31" s="1"/>
  <c r="K17" i="31"/>
  <c r="E17" i="31"/>
  <c r="B17" i="31"/>
  <c r="M16" i="31"/>
  <c r="N16" i="31" s="1"/>
  <c r="K16" i="31"/>
  <c r="E16" i="31"/>
  <c r="B16" i="31"/>
  <c r="M15" i="31"/>
  <c r="N15" i="31" s="1"/>
  <c r="K15" i="31"/>
  <c r="E15" i="31"/>
  <c r="B15" i="31"/>
  <c r="M14" i="31"/>
  <c r="N14" i="31" s="1"/>
  <c r="K14" i="31"/>
  <c r="E14" i="31"/>
  <c r="B14" i="31"/>
  <c r="M13" i="31"/>
  <c r="N13" i="31" s="1"/>
  <c r="K13" i="31"/>
  <c r="E13" i="31"/>
  <c r="B13" i="31"/>
  <c r="M12" i="31"/>
  <c r="N12" i="31" s="1"/>
  <c r="K12" i="31"/>
  <c r="E12" i="31"/>
  <c r="B12" i="31"/>
  <c r="M11" i="31"/>
  <c r="N11" i="31" s="1"/>
  <c r="K11" i="31"/>
  <c r="E11" i="31"/>
  <c r="B11" i="31"/>
  <c r="M10" i="31"/>
  <c r="N10" i="31" s="1"/>
  <c r="K10" i="31"/>
  <c r="E10" i="31"/>
  <c r="B10" i="31"/>
  <c r="M9" i="31"/>
  <c r="N9" i="31" s="1"/>
  <c r="K9" i="31"/>
  <c r="E9" i="31"/>
  <c r="B9" i="31"/>
  <c r="M8" i="31"/>
  <c r="N8" i="31" s="1"/>
  <c r="K8" i="31"/>
  <c r="E8" i="31"/>
  <c r="B8" i="31"/>
  <c r="M7" i="31"/>
  <c r="N7" i="31" s="1"/>
  <c r="K7" i="31"/>
  <c r="E7" i="31"/>
  <c r="B7" i="31"/>
  <c r="M6" i="31"/>
  <c r="N6" i="31" s="1"/>
  <c r="K6" i="31"/>
  <c r="E6" i="31"/>
  <c r="B6" i="31"/>
  <c r="M5" i="31"/>
  <c r="N5" i="31" s="1"/>
  <c r="K5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M2" i="31" s="1"/>
  <c r="F2" i="31"/>
  <c r="N134" i="30"/>
  <c r="M134" i="30"/>
  <c r="K134" i="30"/>
  <c r="E134" i="30"/>
  <c r="B134" i="30"/>
  <c r="N133" i="30"/>
  <c r="M133" i="30"/>
  <c r="K133" i="30"/>
  <c r="E133" i="30"/>
  <c r="B133" i="30"/>
  <c r="N132" i="30"/>
  <c r="M132" i="30"/>
  <c r="K132" i="30"/>
  <c r="E132" i="30"/>
  <c r="B132" i="30"/>
  <c r="N131" i="30"/>
  <c r="M131" i="30"/>
  <c r="K131" i="30"/>
  <c r="E131" i="30"/>
  <c r="B131" i="30"/>
  <c r="N130" i="30"/>
  <c r="M130" i="30"/>
  <c r="K130" i="30"/>
  <c r="E130" i="30"/>
  <c r="B130" i="30"/>
  <c r="N129" i="30"/>
  <c r="M129" i="30"/>
  <c r="K129" i="30"/>
  <c r="E129" i="30"/>
  <c r="B129" i="30"/>
  <c r="N128" i="30"/>
  <c r="M128" i="30"/>
  <c r="K128" i="30"/>
  <c r="E128" i="30"/>
  <c r="B128" i="30"/>
  <c r="N127" i="30"/>
  <c r="M127" i="30"/>
  <c r="K127" i="30"/>
  <c r="E127" i="30"/>
  <c r="B127" i="30"/>
  <c r="N126" i="30"/>
  <c r="M126" i="30"/>
  <c r="K126" i="30"/>
  <c r="E126" i="30"/>
  <c r="B126" i="30"/>
  <c r="N125" i="30"/>
  <c r="M125" i="30"/>
  <c r="K125" i="30"/>
  <c r="E125" i="30"/>
  <c r="B125" i="30"/>
  <c r="N124" i="30"/>
  <c r="M124" i="30"/>
  <c r="E124" i="30"/>
  <c r="B124" i="30"/>
  <c r="M123" i="30"/>
  <c r="N123" i="30" s="1"/>
  <c r="K123" i="30"/>
  <c r="E123" i="30"/>
  <c r="B123" i="30"/>
  <c r="M122" i="30"/>
  <c r="N122" i="30" s="1"/>
  <c r="E122" i="30"/>
  <c r="B122" i="30"/>
  <c r="N121" i="30"/>
  <c r="M121" i="30"/>
  <c r="K121" i="30"/>
  <c r="E121" i="30"/>
  <c r="B121" i="30"/>
  <c r="N120" i="30"/>
  <c r="M120" i="30"/>
  <c r="K120" i="30"/>
  <c r="E120" i="30"/>
  <c r="B120" i="30"/>
  <c r="N119" i="30"/>
  <c r="M119" i="30"/>
  <c r="E119" i="30"/>
  <c r="B119" i="30"/>
  <c r="M118" i="30"/>
  <c r="N118" i="30" s="1"/>
  <c r="K118" i="30"/>
  <c r="E118" i="30"/>
  <c r="B118" i="30"/>
  <c r="M117" i="30"/>
  <c r="N117" i="30" s="1"/>
  <c r="K117" i="30"/>
  <c r="E117" i="30"/>
  <c r="B117" i="30"/>
  <c r="M116" i="30"/>
  <c r="N116" i="30" s="1"/>
  <c r="K116" i="30"/>
  <c r="E116" i="30"/>
  <c r="B116" i="30"/>
  <c r="M115" i="30"/>
  <c r="N115" i="30" s="1"/>
  <c r="K115" i="30"/>
  <c r="E115" i="30"/>
  <c r="B115" i="30"/>
  <c r="M114" i="30"/>
  <c r="N114" i="30" s="1"/>
  <c r="K114" i="30"/>
  <c r="E114" i="30"/>
  <c r="B114" i="30"/>
  <c r="M113" i="30"/>
  <c r="N113" i="30" s="1"/>
  <c r="E113" i="30"/>
  <c r="B113" i="30"/>
  <c r="N112" i="30"/>
  <c r="M112" i="30"/>
  <c r="K112" i="30"/>
  <c r="E112" i="30"/>
  <c r="B112" i="30"/>
  <c r="N111" i="30"/>
  <c r="M111" i="30"/>
  <c r="E111" i="30"/>
  <c r="B111" i="30"/>
  <c r="M110" i="30"/>
  <c r="N110" i="30" s="1"/>
  <c r="K110" i="30"/>
  <c r="E110" i="30"/>
  <c r="B110" i="30"/>
  <c r="M109" i="30"/>
  <c r="N109" i="30" s="1"/>
  <c r="K109" i="30"/>
  <c r="E109" i="30"/>
  <c r="B109" i="30"/>
  <c r="M108" i="30"/>
  <c r="N108" i="30" s="1"/>
  <c r="K108" i="30"/>
  <c r="E108" i="30"/>
  <c r="B108" i="30"/>
  <c r="M107" i="30"/>
  <c r="N107" i="30" s="1"/>
  <c r="K107" i="30"/>
  <c r="E107" i="30"/>
  <c r="B107" i="30"/>
  <c r="M106" i="30"/>
  <c r="N106" i="30" s="1"/>
  <c r="K106" i="30"/>
  <c r="E106" i="30"/>
  <c r="B106" i="30"/>
  <c r="M105" i="30"/>
  <c r="N105" i="30" s="1"/>
  <c r="K105" i="30"/>
  <c r="E105" i="30"/>
  <c r="B105" i="30"/>
  <c r="M104" i="30"/>
  <c r="N104" i="30" s="1"/>
  <c r="E104" i="30"/>
  <c r="B104" i="30"/>
  <c r="N103" i="30"/>
  <c r="M103" i="30"/>
  <c r="K103" i="30"/>
  <c r="E103" i="30"/>
  <c r="B103" i="30"/>
  <c r="N102" i="30"/>
  <c r="M102" i="30"/>
  <c r="E102" i="30"/>
  <c r="B102" i="30"/>
  <c r="M101" i="30"/>
  <c r="N101" i="30" s="1"/>
  <c r="K101" i="30"/>
  <c r="E101" i="30"/>
  <c r="B101" i="30"/>
  <c r="M100" i="30"/>
  <c r="N100" i="30" s="1"/>
  <c r="E100" i="30"/>
  <c r="B100" i="30"/>
  <c r="N99" i="30"/>
  <c r="M99" i="30"/>
  <c r="E99" i="30"/>
  <c r="B99" i="30"/>
  <c r="M98" i="30"/>
  <c r="N98" i="30" s="1"/>
  <c r="K98" i="30"/>
  <c r="E98" i="30"/>
  <c r="B98" i="30"/>
  <c r="M97" i="30"/>
  <c r="N97" i="30" s="1"/>
  <c r="K97" i="30"/>
  <c r="E97" i="30"/>
  <c r="B97" i="30"/>
  <c r="M96" i="30"/>
  <c r="N96" i="30" s="1"/>
  <c r="E96" i="30"/>
  <c r="B96" i="30"/>
  <c r="M95" i="30"/>
  <c r="N95" i="30" s="1"/>
  <c r="K95" i="30"/>
  <c r="E95" i="30"/>
  <c r="B95" i="30"/>
  <c r="N94" i="30"/>
  <c r="M94" i="30"/>
  <c r="K94" i="30"/>
  <c r="E94" i="30"/>
  <c r="B94" i="30"/>
  <c r="N93" i="30"/>
  <c r="M93" i="30"/>
  <c r="K93" i="30"/>
  <c r="E93" i="30"/>
  <c r="B93" i="30"/>
  <c r="N92" i="30"/>
  <c r="M92" i="30"/>
  <c r="K92" i="30"/>
  <c r="E92" i="30"/>
  <c r="B92" i="30"/>
  <c r="M91" i="30"/>
  <c r="N91" i="30" s="1"/>
  <c r="K91" i="30"/>
  <c r="E91" i="30"/>
  <c r="B91" i="30"/>
  <c r="N90" i="30"/>
  <c r="M90" i="30"/>
  <c r="K90" i="30"/>
  <c r="E90" i="30"/>
  <c r="B90" i="30"/>
  <c r="N89" i="30"/>
  <c r="M89" i="30"/>
  <c r="K89" i="30"/>
  <c r="E89" i="30"/>
  <c r="B89" i="30"/>
  <c r="N88" i="30"/>
  <c r="M88" i="30"/>
  <c r="K88" i="30"/>
  <c r="E88" i="30"/>
  <c r="B88" i="30"/>
  <c r="M87" i="30"/>
  <c r="N87" i="30" s="1"/>
  <c r="K87" i="30"/>
  <c r="E87" i="30"/>
  <c r="B87" i="30"/>
  <c r="N86" i="30"/>
  <c r="M86" i="30"/>
  <c r="K86" i="30"/>
  <c r="E86" i="30"/>
  <c r="B86" i="30"/>
  <c r="N85" i="30"/>
  <c r="M85" i="30"/>
  <c r="K85" i="30"/>
  <c r="E85" i="30"/>
  <c r="B85" i="30"/>
  <c r="N84" i="30"/>
  <c r="M84" i="30"/>
  <c r="K84" i="30"/>
  <c r="E84" i="30"/>
  <c r="B84" i="30"/>
  <c r="M83" i="30"/>
  <c r="N83" i="30" s="1"/>
  <c r="K83" i="30"/>
  <c r="E83" i="30"/>
  <c r="B83" i="30"/>
  <c r="N82" i="30"/>
  <c r="M82" i="30"/>
  <c r="K82" i="30"/>
  <c r="E82" i="30"/>
  <c r="B82" i="30"/>
  <c r="N81" i="30"/>
  <c r="M81" i="30"/>
  <c r="K81" i="30"/>
  <c r="E81" i="30"/>
  <c r="B81" i="30"/>
  <c r="N80" i="30"/>
  <c r="M80" i="30"/>
  <c r="K80" i="30"/>
  <c r="E80" i="30"/>
  <c r="B80" i="30"/>
  <c r="M79" i="30"/>
  <c r="N79" i="30" s="1"/>
  <c r="K79" i="30"/>
  <c r="E79" i="30"/>
  <c r="B79" i="30"/>
  <c r="N78" i="30"/>
  <c r="M78" i="30"/>
  <c r="K78" i="30"/>
  <c r="E78" i="30"/>
  <c r="B78" i="30"/>
  <c r="N77" i="30"/>
  <c r="M77" i="30"/>
  <c r="K77" i="30"/>
  <c r="E77" i="30"/>
  <c r="B77" i="30"/>
  <c r="N76" i="30"/>
  <c r="M76" i="30"/>
  <c r="K76" i="30"/>
  <c r="E76" i="30"/>
  <c r="B76" i="30"/>
  <c r="M75" i="30"/>
  <c r="N75" i="30" s="1"/>
  <c r="K75" i="30"/>
  <c r="E75" i="30"/>
  <c r="B75" i="30"/>
  <c r="N74" i="30"/>
  <c r="M74" i="30"/>
  <c r="K74" i="30"/>
  <c r="E74" i="30"/>
  <c r="B74" i="30"/>
  <c r="N73" i="30"/>
  <c r="M73" i="30"/>
  <c r="E73" i="30"/>
  <c r="B73" i="30"/>
  <c r="N72" i="30"/>
  <c r="M72" i="30"/>
  <c r="K72" i="30"/>
  <c r="E72" i="30"/>
  <c r="B72" i="30"/>
  <c r="M71" i="30"/>
  <c r="N71" i="30" s="1"/>
  <c r="E71" i="30"/>
  <c r="B71" i="30"/>
  <c r="N70" i="30"/>
  <c r="M70" i="30"/>
  <c r="K70" i="30"/>
  <c r="E70" i="30"/>
  <c r="B70" i="30"/>
  <c r="N69" i="30"/>
  <c r="M69" i="30"/>
  <c r="K69" i="30"/>
  <c r="E69" i="30"/>
  <c r="B69" i="30"/>
  <c r="M68" i="30"/>
  <c r="N68" i="30" s="1"/>
  <c r="E68" i="30"/>
  <c r="B68" i="30"/>
  <c r="M67" i="30"/>
  <c r="N67" i="30" s="1"/>
  <c r="K67" i="30"/>
  <c r="E67" i="30"/>
  <c r="B67" i="30"/>
  <c r="M66" i="30"/>
  <c r="N66" i="30" s="1"/>
  <c r="K66" i="30"/>
  <c r="E66" i="30"/>
  <c r="B66" i="30"/>
  <c r="N65" i="30"/>
  <c r="M65" i="30"/>
  <c r="E65" i="30"/>
  <c r="B65" i="30"/>
  <c r="N64" i="30"/>
  <c r="M64" i="30"/>
  <c r="K64" i="30"/>
  <c r="E64" i="30"/>
  <c r="B64" i="30"/>
  <c r="N63" i="30"/>
  <c r="M63" i="30"/>
  <c r="E63" i="30"/>
  <c r="B63" i="30"/>
  <c r="N62" i="30"/>
  <c r="M62" i="30"/>
  <c r="E62" i="30"/>
  <c r="B62" i="30"/>
  <c r="N61" i="30"/>
  <c r="M61" i="30"/>
  <c r="K61" i="30"/>
  <c r="E61" i="30"/>
  <c r="B61" i="30"/>
  <c r="N60" i="30"/>
  <c r="M60" i="30"/>
  <c r="E60" i="30"/>
  <c r="B60" i="30"/>
  <c r="N59" i="30"/>
  <c r="M59" i="30"/>
  <c r="K59" i="30"/>
  <c r="E59" i="30"/>
  <c r="B59" i="30"/>
  <c r="M58" i="30"/>
  <c r="N58" i="30" s="1"/>
  <c r="E58" i="30"/>
  <c r="B58" i="30"/>
  <c r="N57" i="30"/>
  <c r="M57" i="30"/>
  <c r="E57" i="30"/>
  <c r="B57" i="30"/>
  <c r="N56" i="30"/>
  <c r="M56" i="30"/>
  <c r="E56" i="30"/>
  <c r="B56" i="30"/>
  <c r="N55" i="30"/>
  <c r="M55" i="30"/>
  <c r="K55" i="30"/>
  <c r="E55" i="30"/>
  <c r="B55" i="30"/>
  <c r="N54" i="30"/>
  <c r="M54" i="30"/>
  <c r="E54" i="30"/>
  <c r="B54" i="30"/>
  <c r="N53" i="30"/>
  <c r="M53" i="30"/>
  <c r="E53" i="30"/>
  <c r="B53" i="30"/>
  <c r="N52" i="30"/>
  <c r="M52" i="30"/>
  <c r="K52" i="30"/>
  <c r="E52" i="30"/>
  <c r="B52" i="30"/>
  <c r="N51" i="30"/>
  <c r="M51" i="30"/>
  <c r="K51" i="30"/>
  <c r="E51" i="30"/>
  <c r="B51" i="30"/>
  <c r="N50" i="30"/>
  <c r="M50" i="30"/>
  <c r="E50" i="30"/>
  <c r="B50" i="30"/>
  <c r="M49" i="30"/>
  <c r="N49" i="30" s="1"/>
  <c r="E49" i="30"/>
  <c r="B49" i="30"/>
  <c r="N48" i="30"/>
  <c r="M48" i="30"/>
  <c r="E48" i="30"/>
  <c r="B48" i="30"/>
  <c r="M47" i="30"/>
  <c r="N47" i="30" s="1"/>
  <c r="E47" i="30"/>
  <c r="B47" i="30"/>
  <c r="N46" i="30"/>
  <c r="M46" i="30"/>
  <c r="K46" i="30"/>
  <c r="E46" i="30"/>
  <c r="B46" i="30"/>
  <c r="N45" i="30"/>
  <c r="M45" i="30"/>
  <c r="K45" i="30"/>
  <c r="E45" i="30"/>
  <c r="B45" i="30"/>
  <c r="N44" i="30"/>
  <c r="M44" i="30"/>
  <c r="E44" i="30"/>
  <c r="B44" i="30"/>
  <c r="M43" i="30"/>
  <c r="N43" i="30" s="1"/>
  <c r="E43" i="30"/>
  <c r="B43" i="30"/>
  <c r="N42" i="30"/>
  <c r="M42" i="30"/>
  <c r="E42" i="30"/>
  <c r="B42" i="30"/>
  <c r="M41" i="30"/>
  <c r="N41" i="30" s="1"/>
  <c r="K41" i="30"/>
  <c r="E41" i="30"/>
  <c r="B41" i="30"/>
  <c r="M40" i="30"/>
  <c r="N40" i="30" s="1"/>
  <c r="E40" i="30"/>
  <c r="B40" i="30"/>
  <c r="N39" i="30"/>
  <c r="M39" i="30"/>
  <c r="K39" i="30"/>
  <c r="E39" i="30"/>
  <c r="B39" i="30"/>
  <c r="N38" i="30"/>
  <c r="M38" i="30"/>
  <c r="K38" i="30"/>
  <c r="E38" i="30"/>
  <c r="B38" i="30"/>
  <c r="M37" i="30"/>
  <c r="N37" i="30" s="1"/>
  <c r="E37" i="30"/>
  <c r="B37" i="30"/>
  <c r="M36" i="30"/>
  <c r="N36" i="30" s="1"/>
  <c r="K36" i="30"/>
  <c r="E36" i="30"/>
  <c r="B36" i="30"/>
  <c r="M35" i="30"/>
  <c r="N35" i="30" s="1"/>
  <c r="E35" i="30"/>
  <c r="B35" i="30"/>
  <c r="M34" i="30"/>
  <c r="N34" i="30" s="1"/>
  <c r="E34" i="30"/>
  <c r="B34" i="30"/>
  <c r="M33" i="30"/>
  <c r="N33" i="30" s="1"/>
  <c r="K33" i="30"/>
  <c r="E33" i="30"/>
  <c r="B33" i="30"/>
  <c r="M32" i="30"/>
  <c r="N32" i="30" s="1"/>
  <c r="E32" i="30"/>
  <c r="B32" i="30"/>
  <c r="M31" i="30"/>
  <c r="N31" i="30" s="1"/>
  <c r="K31" i="30"/>
  <c r="E31" i="30"/>
  <c r="B31" i="30"/>
  <c r="N30" i="30"/>
  <c r="M30" i="30"/>
  <c r="E30" i="30"/>
  <c r="B30" i="30"/>
  <c r="M29" i="30"/>
  <c r="N29" i="30" s="1"/>
  <c r="K29" i="30"/>
  <c r="E29" i="30"/>
  <c r="B29" i="30"/>
  <c r="M28" i="30"/>
  <c r="N28" i="30" s="1"/>
  <c r="K28" i="30"/>
  <c r="E28" i="30"/>
  <c r="B28" i="30"/>
  <c r="M27" i="30"/>
  <c r="N27" i="30" s="1"/>
  <c r="E27" i="30"/>
  <c r="B27" i="30"/>
  <c r="N26" i="30"/>
  <c r="M26" i="30"/>
  <c r="K26" i="30"/>
  <c r="E26" i="30"/>
  <c r="B26" i="30"/>
  <c r="N25" i="30"/>
  <c r="M25" i="30"/>
  <c r="E25" i="30"/>
  <c r="B25" i="30"/>
  <c r="M24" i="30"/>
  <c r="N24" i="30" s="1"/>
  <c r="E24" i="30"/>
  <c r="B24" i="30"/>
  <c r="N23" i="30"/>
  <c r="M23" i="30"/>
  <c r="E23" i="30"/>
  <c r="B23" i="30"/>
  <c r="N22" i="30"/>
  <c r="M22" i="30"/>
  <c r="E22" i="30"/>
  <c r="B22" i="30"/>
  <c r="N21" i="30"/>
  <c r="M21" i="30"/>
  <c r="K21" i="30"/>
  <c r="E21" i="30"/>
  <c r="B21" i="30"/>
  <c r="N20" i="30"/>
  <c r="M20" i="30"/>
  <c r="K20" i="30"/>
  <c r="E20" i="30"/>
  <c r="B20" i="30"/>
  <c r="N19" i="30"/>
  <c r="M19" i="30"/>
  <c r="K19" i="30"/>
  <c r="E19" i="30"/>
  <c r="B19" i="30"/>
  <c r="M18" i="30"/>
  <c r="N18" i="30" s="1"/>
  <c r="E18" i="30"/>
  <c r="B18" i="30"/>
  <c r="M17" i="30"/>
  <c r="N17" i="30" s="1"/>
  <c r="K17" i="30"/>
  <c r="E17" i="30"/>
  <c r="B17" i="30"/>
  <c r="M16" i="30"/>
  <c r="N16" i="30" s="1"/>
  <c r="E16" i="30"/>
  <c r="B16" i="30"/>
  <c r="M15" i="30"/>
  <c r="N15" i="30" s="1"/>
  <c r="K15" i="30"/>
  <c r="E15" i="30"/>
  <c r="B15" i="30"/>
  <c r="N14" i="30"/>
  <c r="M14" i="30"/>
  <c r="E14" i="30"/>
  <c r="B14" i="30"/>
  <c r="M13" i="30"/>
  <c r="N13" i="30" s="1"/>
  <c r="E13" i="30"/>
  <c r="B13" i="30"/>
  <c r="M12" i="30"/>
  <c r="N12" i="30" s="1"/>
  <c r="K12" i="30"/>
  <c r="E12" i="30"/>
  <c r="B12" i="30"/>
  <c r="N11" i="30"/>
  <c r="M11" i="30"/>
  <c r="E11" i="30"/>
  <c r="B11" i="30"/>
  <c r="M10" i="30"/>
  <c r="N10" i="30" s="1"/>
  <c r="E10" i="30"/>
  <c r="B10" i="30"/>
  <c r="M9" i="30"/>
  <c r="N9" i="30" s="1"/>
  <c r="E9" i="30"/>
  <c r="B9" i="30"/>
  <c r="M8" i="30"/>
  <c r="N8" i="30" s="1"/>
  <c r="E8" i="30"/>
  <c r="B8" i="30"/>
  <c r="N7" i="30"/>
  <c r="M7" i="30"/>
  <c r="E7" i="30"/>
  <c r="B7" i="30"/>
  <c r="M6" i="30"/>
  <c r="N6" i="30" s="1"/>
  <c r="E6" i="30"/>
  <c r="B6" i="30"/>
  <c r="N5" i="30"/>
  <c r="M5" i="30"/>
  <c r="K5" i="30"/>
  <c r="E5" i="30"/>
  <c r="B5" i="30"/>
  <c r="N4" i="30"/>
  <c r="M4" i="30"/>
  <c r="E4" i="30"/>
  <c r="B4" i="30"/>
  <c r="V2" i="30"/>
  <c r="U2" i="30"/>
  <c r="T2" i="30"/>
  <c r="S2" i="30"/>
  <c r="R2" i="30"/>
  <c r="Q2" i="30"/>
  <c r="M2" i="30" s="1"/>
  <c r="P2" i="30"/>
  <c r="O2" i="30"/>
  <c r="L2" i="30"/>
  <c r="K2" i="30"/>
  <c r="J2" i="30"/>
  <c r="I2" i="30"/>
  <c r="H2" i="30"/>
  <c r="G2" i="30"/>
  <c r="F2" i="30"/>
  <c r="E2" i="30"/>
  <c r="N134" i="29"/>
  <c r="M134" i="29"/>
  <c r="K134" i="29"/>
  <c r="E134" i="29"/>
  <c r="B134" i="29"/>
  <c r="M133" i="29"/>
  <c r="N133" i="29" s="1"/>
  <c r="K133" i="29"/>
  <c r="E133" i="29"/>
  <c r="B133" i="29"/>
  <c r="N132" i="29"/>
  <c r="M132" i="29"/>
  <c r="K132" i="29"/>
  <c r="E132" i="29"/>
  <c r="B132" i="29"/>
  <c r="N131" i="29"/>
  <c r="M131" i="29"/>
  <c r="K131" i="29"/>
  <c r="E131" i="29"/>
  <c r="B131" i="29"/>
  <c r="N130" i="29"/>
  <c r="M130" i="29"/>
  <c r="K130" i="29"/>
  <c r="E130" i="29"/>
  <c r="B130" i="29"/>
  <c r="M129" i="29"/>
  <c r="N129" i="29" s="1"/>
  <c r="K129" i="29"/>
  <c r="E129" i="29"/>
  <c r="B129" i="29"/>
  <c r="N128" i="29"/>
  <c r="M128" i="29"/>
  <c r="K128" i="29"/>
  <c r="E128" i="29"/>
  <c r="B128" i="29"/>
  <c r="N127" i="29"/>
  <c r="M127" i="29"/>
  <c r="K127" i="29"/>
  <c r="E127" i="29"/>
  <c r="B127" i="29"/>
  <c r="N126" i="29"/>
  <c r="M126" i="29"/>
  <c r="K126" i="29"/>
  <c r="E126" i="29"/>
  <c r="B126" i="29"/>
  <c r="M125" i="29"/>
  <c r="N125" i="29" s="1"/>
  <c r="K125" i="29"/>
  <c r="E125" i="29"/>
  <c r="B125" i="29"/>
  <c r="N124" i="29"/>
  <c r="M124" i="29"/>
  <c r="K124" i="29"/>
  <c r="E124" i="29"/>
  <c r="B124" i="29"/>
  <c r="N123" i="29"/>
  <c r="M123" i="29"/>
  <c r="K123" i="29"/>
  <c r="E123" i="29"/>
  <c r="B123" i="29"/>
  <c r="N122" i="29"/>
  <c r="M122" i="29"/>
  <c r="K122" i="29"/>
  <c r="E122" i="29"/>
  <c r="B122" i="29"/>
  <c r="M121" i="29"/>
  <c r="N121" i="29" s="1"/>
  <c r="K121" i="29"/>
  <c r="E121" i="29"/>
  <c r="B121" i="29"/>
  <c r="N120" i="29"/>
  <c r="M120" i="29"/>
  <c r="K120" i="29"/>
  <c r="E120" i="29"/>
  <c r="B120" i="29"/>
  <c r="N119" i="29"/>
  <c r="M119" i="29"/>
  <c r="K119" i="29"/>
  <c r="E119" i="29"/>
  <c r="B119" i="29"/>
  <c r="N118" i="29"/>
  <c r="M118" i="29"/>
  <c r="K118" i="29"/>
  <c r="E118" i="29"/>
  <c r="B118" i="29"/>
  <c r="M117" i="29"/>
  <c r="N117" i="29" s="1"/>
  <c r="K117" i="29"/>
  <c r="E117" i="29"/>
  <c r="B117" i="29"/>
  <c r="N116" i="29"/>
  <c r="M116" i="29"/>
  <c r="K116" i="29"/>
  <c r="E116" i="29"/>
  <c r="B116" i="29"/>
  <c r="N115" i="29"/>
  <c r="M115" i="29"/>
  <c r="K115" i="29"/>
  <c r="E115" i="29"/>
  <c r="B115" i="29"/>
  <c r="N114" i="29"/>
  <c r="M114" i="29"/>
  <c r="K114" i="29"/>
  <c r="E114" i="29"/>
  <c r="B114" i="29"/>
  <c r="M113" i="29"/>
  <c r="N113" i="29" s="1"/>
  <c r="K113" i="29"/>
  <c r="E113" i="29"/>
  <c r="B113" i="29"/>
  <c r="N112" i="29"/>
  <c r="M112" i="29"/>
  <c r="K112" i="29"/>
  <c r="E112" i="29"/>
  <c r="B112" i="29"/>
  <c r="N111" i="29"/>
  <c r="M111" i="29"/>
  <c r="K111" i="29"/>
  <c r="E111" i="29"/>
  <c r="B111" i="29"/>
  <c r="N110" i="29"/>
  <c r="M110" i="29"/>
  <c r="K110" i="29"/>
  <c r="E110" i="29"/>
  <c r="B110" i="29"/>
  <c r="M109" i="29"/>
  <c r="N109" i="29" s="1"/>
  <c r="K109" i="29"/>
  <c r="E109" i="29"/>
  <c r="B109" i="29"/>
  <c r="N108" i="29"/>
  <c r="M108" i="29"/>
  <c r="K108" i="29"/>
  <c r="E108" i="29"/>
  <c r="B108" i="29"/>
  <c r="N107" i="29"/>
  <c r="M107" i="29"/>
  <c r="K107" i="29"/>
  <c r="E107" i="29"/>
  <c r="B107" i="29"/>
  <c r="N106" i="29"/>
  <c r="M106" i="29"/>
  <c r="K106" i="29"/>
  <c r="E106" i="29"/>
  <c r="B106" i="29"/>
  <c r="M105" i="29"/>
  <c r="N105" i="29" s="1"/>
  <c r="K105" i="29"/>
  <c r="E105" i="29"/>
  <c r="B105" i="29"/>
  <c r="N104" i="29"/>
  <c r="M104" i="29"/>
  <c r="K104" i="29"/>
  <c r="E104" i="29"/>
  <c r="B104" i="29"/>
  <c r="N103" i="29"/>
  <c r="M103" i="29"/>
  <c r="K103" i="29"/>
  <c r="E103" i="29"/>
  <c r="B103" i="29"/>
  <c r="N102" i="29"/>
  <c r="M102" i="29"/>
  <c r="K102" i="29"/>
  <c r="E102" i="29"/>
  <c r="B102" i="29"/>
  <c r="M101" i="29"/>
  <c r="N101" i="29" s="1"/>
  <c r="K101" i="29"/>
  <c r="E101" i="29"/>
  <c r="B101" i="29"/>
  <c r="N100" i="29"/>
  <c r="M100" i="29"/>
  <c r="K100" i="29"/>
  <c r="E100" i="29"/>
  <c r="B100" i="29"/>
  <c r="N99" i="29"/>
  <c r="M99" i="29"/>
  <c r="K99" i="29"/>
  <c r="E99" i="29"/>
  <c r="B99" i="29"/>
  <c r="N98" i="29"/>
  <c r="M98" i="29"/>
  <c r="K98" i="29"/>
  <c r="E98" i="29"/>
  <c r="B98" i="29"/>
  <c r="M97" i="29"/>
  <c r="N97" i="29" s="1"/>
  <c r="K97" i="29"/>
  <c r="E97" i="29"/>
  <c r="B97" i="29"/>
  <c r="N96" i="29"/>
  <c r="M96" i="29"/>
  <c r="K96" i="29"/>
  <c r="E96" i="29"/>
  <c r="B96" i="29"/>
  <c r="N95" i="29"/>
  <c r="M95" i="29"/>
  <c r="K95" i="29"/>
  <c r="E95" i="29"/>
  <c r="B95" i="29"/>
  <c r="N94" i="29"/>
  <c r="M94" i="29"/>
  <c r="K94" i="29"/>
  <c r="E94" i="29"/>
  <c r="B94" i="29"/>
  <c r="M93" i="29"/>
  <c r="N93" i="29" s="1"/>
  <c r="K93" i="29"/>
  <c r="E93" i="29"/>
  <c r="B93" i="29"/>
  <c r="N92" i="29"/>
  <c r="M92" i="29"/>
  <c r="K92" i="29"/>
  <c r="E92" i="29"/>
  <c r="B92" i="29"/>
  <c r="N91" i="29"/>
  <c r="M91" i="29"/>
  <c r="K91" i="29"/>
  <c r="E91" i="29"/>
  <c r="B91" i="29"/>
  <c r="N90" i="29"/>
  <c r="M90" i="29"/>
  <c r="K90" i="29"/>
  <c r="E90" i="29"/>
  <c r="B90" i="29"/>
  <c r="M89" i="29"/>
  <c r="N89" i="29" s="1"/>
  <c r="K89" i="29"/>
  <c r="E89" i="29"/>
  <c r="B89" i="29"/>
  <c r="N88" i="29"/>
  <c r="M88" i="29"/>
  <c r="K88" i="29"/>
  <c r="E88" i="29"/>
  <c r="B88" i="29"/>
  <c r="N87" i="29"/>
  <c r="M87" i="29"/>
  <c r="K87" i="29"/>
  <c r="E87" i="29"/>
  <c r="B87" i="29"/>
  <c r="N86" i="29"/>
  <c r="M86" i="29"/>
  <c r="K86" i="29"/>
  <c r="E86" i="29"/>
  <c r="B86" i="29"/>
  <c r="M85" i="29"/>
  <c r="N85" i="29" s="1"/>
  <c r="K85" i="29"/>
  <c r="E85" i="29"/>
  <c r="B85" i="29"/>
  <c r="N84" i="29"/>
  <c r="M84" i="29"/>
  <c r="K84" i="29"/>
  <c r="E84" i="29"/>
  <c r="B84" i="29"/>
  <c r="N83" i="29"/>
  <c r="M83" i="29"/>
  <c r="K83" i="29"/>
  <c r="E83" i="29"/>
  <c r="B83" i="29"/>
  <c r="N82" i="29"/>
  <c r="M82" i="29"/>
  <c r="K82" i="29"/>
  <c r="E82" i="29"/>
  <c r="B82" i="29"/>
  <c r="M81" i="29"/>
  <c r="N81" i="29" s="1"/>
  <c r="K81" i="29"/>
  <c r="E81" i="29"/>
  <c r="B81" i="29"/>
  <c r="N80" i="29"/>
  <c r="M80" i="29"/>
  <c r="K80" i="29"/>
  <c r="E80" i="29"/>
  <c r="B80" i="29"/>
  <c r="N79" i="29"/>
  <c r="M79" i="29"/>
  <c r="K79" i="29"/>
  <c r="E79" i="29"/>
  <c r="B79" i="29"/>
  <c r="N78" i="29"/>
  <c r="M78" i="29"/>
  <c r="K78" i="29"/>
  <c r="E78" i="29"/>
  <c r="B78" i="29"/>
  <c r="M77" i="29"/>
  <c r="N77" i="29" s="1"/>
  <c r="K77" i="29"/>
  <c r="E77" i="29"/>
  <c r="B77" i="29"/>
  <c r="N76" i="29"/>
  <c r="M76" i="29"/>
  <c r="K76" i="29"/>
  <c r="E76" i="29"/>
  <c r="B76" i="29"/>
  <c r="N75" i="29"/>
  <c r="M75" i="29"/>
  <c r="K75" i="29"/>
  <c r="E75" i="29"/>
  <c r="B75" i="29"/>
  <c r="N74" i="29"/>
  <c r="M74" i="29"/>
  <c r="K74" i="29"/>
  <c r="E74" i="29"/>
  <c r="B74" i="29"/>
  <c r="M73" i="29"/>
  <c r="N73" i="29" s="1"/>
  <c r="K73" i="29"/>
  <c r="E73" i="29"/>
  <c r="B73" i="29"/>
  <c r="N72" i="29"/>
  <c r="M72" i="29"/>
  <c r="K72" i="29"/>
  <c r="E72" i="29"/>
  <c r="B72" i="29"/>
  <c r="N71" i="29"/>
  <c r="M71" i="29"/>
  <c r="K71" i="29"/>
  <c r="E71" i="29"/>
  <c r="B71" i="29"/>
  <c r="N70" i="29"/>
  <c r="M70" i="29"/>
  <c r="K70" i="29"/>
  <c r="E70" i="29"/>
  <c r="B70" i="29"/>
  <c r="M69" i="29"/>
  <c r="N69" i="29" s="1"/>
  <c r="K69" i="29"/>
  <c r="E69" i="29"/>
  <c r="B69" i="29"/>
  <c r="M68" i="29"/>
  <c r="N68" i="29" s="1"/>
  <c r="K68" i="29"/>
  <c r="E68" i="29"/>
  <c r="B68" i="29"/>
  <c r="N67" i="29"/>
  <c r="M67" i="29"/>
  <c r="K67" i="29"/>
  <c r="E67" i="29"/>
  <c r="B67" i="29"/>
  <c r="N66" i="29"/>
  <c r="M66" i="29"/>
  <c r="K66" i="29"/>
  <c r="E66" i="29"/>
  <c r="B66" i="29"/>
  <c r="M65" i="29"/>
  <c r="N65" i="29" s="1"/>
  <c r="K65" i="29"/>
  <c r="E65" i="29"/>
  <c r="B65" i="29"/>
  <c r="M64" i="29"/>
  <c r="N64" i="29" s="1"/>
  <c r="K64" i="29"/>
  <c r="E64" i="29"/>
  <c r="B64" i="29"/>
  <c r="N63" i="29"/>
  <c r="M63" i="29"/>
  <c r="K63" i="29"/>
  <c r="E63" i="29"/>
  <c r="B63" i="29"/>
  <c r="N62" i="29"/>
  <c r="M62" i="29"/>
  <c r="K62" i="29"/>
  <c r="E62" i="29"/>
  <c r="B62" i="29"/>
  <c r="M61" i="29"/>
  <c r="N61" i="29" s="1"/>
  <c r="K61" i="29"/>
  <c r="E61" i="29"/>
  <c r="B61" i="29"/>
  <c r="M60" i="29"/>
  <c r="N60" i="29" s="1"/>
  <c r="K60" i="29"/>
  <c r="E60" i="29"/>
  <c r="B60" i="29"/>
  <c r="N59" i="29"/>
  <c r="M59" i="29"/>
  <c r="K59" i="29"/>
  <c r="E59" i="29"/>
  <c r="B59" i="29"/>
  <c r="N58" i="29"/>
  <c r="M58" i="29"/>
  <c r="K58" i="29"/>
  <c r="E58" i="29"/>
  <c r="B58" i="29"/>
  <c r="M57" i="29"/>
  <c r="N57" i="29" s="1"/>
  <c r="K57" i="29"/>
  <c r="E57" i="29"/>
  <c r="B57" i="29"/>
  <c r="M56" i="29"/>
  <c r="N56" i="29" s="1"/>
  <c r="K56" i="29"/>
  <c r="E56" i="29"/>
  <c r="B56" i="29"/>
  <c r="N55" i="29"/>
  <c r="M55" i="29"/>
  <c r="K55" i="29"/>
  <c r="E55" i="29"/>
  <c r="B55" i="29"/>
  <c r="N54" i="29"/>
  <c r="M54" i="29"/>
  <c r="K54" i="29"/>
  <c r="E54" i="29"/>
  <c r="B54" i="29"/>
  <c r="M53" i="29"/>
  <c r="N53" i="29" s="1"/>
  <c r="K53" i="29"/>
  <c r="E53" i="29"/>
  <c r="B53" i="29"/>
  <c r="M52" i="29"/>
  <c r="N52" i="29" s="1"/>
  <c r="K52" i="29"/>
  <c r="E52" i="29"/>
  <c r="B52" i="29"/>
  <c r="N51" i="29"/>
  <c r="M51" i="29"/>
  <c r="K51" i="29"/>
  <c r="E51" i="29"/>
  <c r="B51" i="29"/>
  <c r="N50" i="29"/>
  <c r="M50" i="29"/>
  <c r="K50" i="29"/>
  <c r="E50" i="29"/>
  <c r="B50" i="29"/>
  <c r="M49" i="29"/>
  <c r="N49" i="29" s="1"/>
  <c r="K49" i="29"/>
  <c r="E49" i="29"/>
  <c r="B49" i="29"/>
  <c r="M48" i="29"/>
  <c r="N48" i="29" s="1"/>
  <c r="K48" i="29"/>
  <c r="E48" i="29"/>
  <c r="B48" i="29"/>
  <c r="N47" i="29"/>
  <c r="M47" i="29"/>
  <c r="K47" i="29"/>
  <c r="E47" i="29"/>
  <c r="B47" i="29"/>
  <c r="N46" i="29"/>
  <c r="M46" i="29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N43" i="29"/>
  <c r="M43" i="29"/>
  <c r="K43" i="29"/>
  <c r="E43" i="29"/>
  <c r="B43" i="29"/>
  <c r="N42" i="29"/>
  <c r="M42" i="29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N39" i="29"/>
  <c r="M39" i="29"/>
  <c r="K39" i="29"/>
  <c r="E39" i="29"/>
  <c r="B39" i="29"/>
  <c r="N38" i="29"/>
  <c r="M38" i="29"/>
  <c r="K38" i="29"/>
  <c r="E38" i="29"/>
  <c r="B38" i="29"/>
  <c r="M37" i="29"/>
  <c r="N37" i="29" s="1"/>
  <c r="K37" i="29"/>
  <c r="E37" i="29"/>
  <c r="B37" i="29"/>
  <c r="M36" i="29"/>
  <c r="N36" i="29" s="1"/>
  <c r="K36" i="29"/>
  <c r="E36" i="29"/>
  <c r="B36" i="29"/>
  <c r="N35" i="29"/>
  <c r="M35" i="29"/>
  <c r="K35" i="29"/>
  <c r="E35" i="29"/>
  <c r="B35" i="29"/>
  <c r="N34" i="29"/>
  <c r="M34" i="29"/>
  <c r="K34" i="29"/>
  <c r="E34" i="29"/>
  <c r="B34" i="29"/>
  <c r="M33" i="29"/>
  <c r="N33" i="29" s="1"/>
  <c r="K33" i="29"/>
  <c r="E33" i="29"/>
  <c r="B33" i="29"/>
  <c r="M32" i="29"/>
  <c r="N32" i="29" s="1"/>
  <c r="K32" i="29"/>
  <c r="E32" i="29"/>
  <c r="B32" i="29"/>
  <c r="N31" i="29"/>
  <c r="M31" i="29"/>
  <c r="K31" i="29"/>
  <c r="E31" i="29"/>
  <c r="B31" i="29"/>
  <c r="N30" i="29"/>
  <c r="M30" i="29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N27" i="29"/>
  <c r="M27" i="29"/>
  <c r="K27" i="29"/>
  <c r="E27" i="29"/>
  <c r="B27" i="29"/>
  <c r="N26" i="29"/>
  <c r="M26" i="29"/>
  <c r="K26" i="29"/>
  <c r="E26" i="29"/>
  <c r="B26" i="29"/>
  <c r="M25" i="29"/>
  <c r="N25" i="29" s="1"/>
  <c r="K25" i="29"/>
  <c r="E25" i="29"/>
  <c r="B25" i="29"/>
  <c r="M24" i="29"/>
  <c r="N24" i="29" s="1"/>
  <c r="K24" i="29"/>
  <c r="E24" i="29"/>
  <c r="B24" i="29"/>
  <c r="N23" i="29"/>
  <c r="M23" i="29"/>
  <c r="K23" i="29"/>
  <c r="E23" i="29"/>
  <c r="B23" i="29"/>
  <c r="N22" i="29"/>
  <c r="M22" i="29"/>
  <c r="K22" i="29"/>
  <c r="E22" i="29"/>
  <c r="B22" i="29"/>
  <c r="M21" i="29"/>
  <c r="N21" i="29" s="1"/>
  <c r="K21" i="29"/>
  <c r="E21" i="29"/>
  <c r="B21" i="29"/>
  <c r="M20" i="29"/>
  <c r="N20" i="29" s="1"/>
  <c r="K20" i="29"/>
  <c r="E20" i="29"/>
  <c r="B20" i="29"/>
  <c r="N19" i="29"/>
  <c r="M19" i="29"/>
  <c r="K19" i="29"/>
  <c r="E19" i="29"/>
  <c r="B19" i="29"/>
  <c r="N18" i="29"/>
  <c r="M18" i="29"/>
  <c r="K18" i="29"/>
  <c r="E18" i="29"/>
  <c r="B18" i="29"/>
  <c r="M17" i="29"/>
  <c r="N17" i="29" s="1"/>
  <c r="K17" i="29"/>
  <c r="E17" i="29"/>
  <c r="B17" i="29"/>
  <c r="M16" i="29"/>
  <c r="N16" i="29" s="1"/>
  <c r="K16" i="29"/>
  <c r="E16" i="29"/>
  <c r="B16" i="29"/>
  <c r="N15" i="29"/>
  <c r="M15" i="29"/>
  <c r="K15" i="29"/>
  <c r="E15" i="29"/>
  <c r="B15" i="29"/>
  <c r="N14" i="29"/>
  <c r="M14" i="29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N11" i="29"/>
  <c r="M11" i="29"/>
  <c r="K11" i="29"/>
  <c r="E11" i="29"/>
  <c r="B11" i="29"/>
  <c r="N10" i="29"/>
  <c r="M10" i="29"/>
  <c r="K10" i="29"/>
  <c r="E10" i="29"/>
  <c r="B10" i="29"/>
  <c r="M9" i="29"/>
  <c r="N9" i="29" s="1"/>
  <c r="K9" i="29"/>
  <c r="E9" i="29"/>
  <c r="B9" i="29"/>
  <c r="M8" i="29"/>
  <c r="N8" i="29" s="1"/>
  <c r="K8" i="29"/>
  <c r="E8" i="29"/>
  <c r="B8" i="29"/>
  <c r="N7" i="29"/>
  <c r="M7" i="29"/>
  <c r="K7" i="29"/>
  <c r="E7" i="29"/>
  <c r="B7" i="29"/>
  <c r="N6" i="29"/>
  <c r="M6" i="29"/>
  <c r="K6" i="29"/>
  <c r="E6" i="29"/>
  <c r="B6" i="29"/>
  <c r="M5" i="29"/>
  <c r="N5" i="29" s="1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M133" i="28"/>
  <c r="N133" i="28" s="1"/>
  <c r="K133" i="28"/>
  <c r="E133" i="28"/>
  <c r="B133" i="28"/>
  <c r="N132" i="28"/>
  <c r="M132" i="28"/>
  <c r="K132" i="28"/>
  <c r="E132" i="28"/>
  <c r="B132" i="28"/>
  <c r="M131" i="28"/>
  <c r="N131" i="28" s="1"/>
  <c r="K131" i="28"/>
  <c r="E131" i="28"/>
  <c r="B131" i="28"/>
  <c r="N130" i="28"/>
  <c r="M130" i="28"/>
  <c r="K130" i="28"/>
  <c r="E130" i="28"/>
  <c r="B130" i="28"/>
  <c r="M129" i="28"/>
  <c r="N129" i="28" s="1"/>
  <c r="K129" i="28"/>
  <c r="E129" i="28"/>
  <c r="B129" i="28"/>
  <c r="N128" i="28"/>
  <c r="M128" i="28"/>
  <c r="K128" i="28"/>
  <c r="E128" i="28"/>
  <c r="B128" i="28"/>
  <c r="M127" i="28"/>
  <c r="N127" i="28" s="1"/>
  <c r="K127" i="28"/>
  <c r="E127" i="28"/>
  <c r="B127" i="28"/>
  <c r="M126" i="28"/>
  <c r="N126" i="28" s="1"/>
  <c r="K126" i="28"/>
  <c r="E126" i="28"/>
  <c r="B126" i="28"/>
  <c r="M125" i="28"/>
  <c r="N125" i="28" s="1"/>
  <c r="K125" i="28"/>
  <c r="E125" i="28"/>
  <c r="B125" i="28"/>
  <c r="N124" i="28"/>
  <c r="M124" i="28"/>
  <c r="K124" i="28"/>
  <c r="E124" i="28"/>
  <c r="B124" i="28"/>
  <c r="M123" i="28"/>
  <c r="N123" i="28" s="1"/>
  <c r="K123" i="28"/>
  <c r="E123" i="28"/>
  <c r="B123" i="28"/>
  <c r="N122" i="28"/>
  <c r="M122" i="28"/>
  <c r="K122" i="28"/>
  <c r="E122" i="28"/>
  <c r="B122" i="28"/>
  <c r="M121" i="28"/>
  <c r="N121" i="28" s="1"/>
  <c r="K121" i="28"/>
  <c r="E121" i="28"/>
  <c r="B121" i="28"/>
  <c r="N120" i="28"/>
  <c r="M120" i="28"/>
  <c r="K120" i="28"/>
  <c r="E120" i="28"/>
  <c r="B120" i="28"/>
  <c r="M119" i="28"/>
  <c r="N119" i="28" s="1"/>
  <c r="K119" i="28"/>
  <c r="E119" i="28"/>
  <c r="B119" i="28"/>
  <c r="M118" i="28"/>
  <c r="N118" i="28" s="1"/>
  <c r="K118" i="28"/>
  <c r="E118" i="28"/>
  <c r="B118" i="28"/>
  <c r="M117" i="28"/>
  <c r="N117" i="28" s="1"/>
  <c r="K117" i="28"/>
  <c r="E117" i="28"/>
  <c r="B117" i="28"/>
  <c r="N116" i="28"/>
  <c r="M116" i="28"/>
  <c r="K116" i="28"/>
  <c r="E116" i="28"/>
  <c r="B116" i="28"/>
  <c r="M115" i="28"/>
  <c r="N115" i="28" s="1"/>
  <c r="K115" i="28"/>
  <c r="E115" i="28"/>
  <c r="B115" i="28"/>
  <c r="N114" i="28"/>
  <c r="M114" i="28"/>
  <c r="K114" i="28"/>
  <c r="E114" i="28"/>
  <c r="B114" i="28"/>
  <c r="M113" i="28"/>
  <c r="N113" i="28" s="1"/>
  <c r="K113" i="28"/>
  <c r="E113" i="28"/>
  <c r="B113" i="28"/>
  <c r="N112" i="28"/>
  <c r="M112" i="28"/>
  <c r="K112" i="28"/>
  <c r="E112" i="28"/>
  <c r="B112" i="28"/>
  <c r="M111" i="28"/>
  <c r="N111" i="28" s="1"/>
  <c r="K111" i="28"/>
  <c r="E111" i="28"/>
  <c r="B111" i="28"/>
  <c r="M110" i="28"/>
  <c r="N110" i="28" s="1"/>
  <c r="K110" i="28"/>
  <c r="E110" i="28"/>
  <c r="B110" i="28"/>
  <c r="M109" i="28"/>
  <c r="N109" i="28" s="1"/>
  <c r="K109" i="28"/>
  <c r="E109" i="28"/>
  <c r="B109" i="28"/>
  <c r="N108" i="28"/>
  <c r="M108" i="28"/>
  <c r="K108" i="28"/>
  <c r="E108" i="28"/>
  <c r="B108" i="28"/>
  <c r="M107" i="28"/>
  <c r="N107" i="28" s="1"/>
  <c r="K107" i="28"/>
  <c r="E107" i="28"/>
  <c r="B107" i="28"/>
  <c r="N106" i="28"/>
  <c r="M106" i="28"/>
  <c r="K106" i="28"/>
  <c r="E106" i="28"/>
  <c r="B106" i="28"/>
  <c r="M105" i="28"/>
  <c r="N105" i="28" s="1"/>
  <c r="K105" i="28"/>
  <c r="E105" i="28"/>
  <c r="B105" i="28"/>
  <c r="N104" i="28"/>
  <c r="M104" i="28"/>
  <c r="K104" i="28"/>
  <c r="E104" i="28"/>
  <c r="B104" i="28"/>
  <c r="M103" i="28"/>
  <c r="N103" i="28" s="1"/>
  <c r="K103" i="28"/>
  <c r="E103" i="28"/>
  <c r="B103" i="28"/>
  <c r="M102" i="28"/>
  <c r="N102" i="28" s="1"/>
  <c r="K102" i="28"/>
  <c r="E102" i="28"/>
  <c r="B102" i="28"/>
  <c r="M101" i="28"/>
  <c r="N101" i="28" s="1"/>
  <c r="K101" i="28"/>
  <c r="E101" i="28"/>
  <c r="B101" i="28"/>
  <c r="N100" i="28"/>
  <c r="M100" i="28"/>
  <c r="K100" i="28"/>
  <c r="E100" i="28"/>
  <c r="B100" i="28"/>
  <c r="M99" i="28"/>
  <c r="N99" i="28" s="1"/>
  <c r="K99" i="28"/>
  <c r="E99" i="28"/>
  <c r="B99" i="28"/>
  <c r="N98" i="28"/>
  <c r="M98" i="28"/>
  <c r="K98" i="28"/>
  <c r="E98" i="28"/>
  <c r="B98" i="28"/>
  <c r="M97" i="28"/>
  <c r="N97" i="28" s="1"/>
  <c r="K97" i="28"/>
  <c r="E97" i="28"/>
  <c r="B97" i="28"/>
  <c r="M96" i="28"/>
  <c r="N96" i="28" s="1"/>
  <c r="K96" i="28"/>
  <c r="E96" i="28"/>
  <c r="B96" i="28"/>
  <c r="M95" i="28"/>
  <c r="N95" i="28" s="1"/>
  <c r="K95" i="28"/>
  <c r="E95" i="28"/>
  <c r="B95" i="28"/>
  <c r="M94" i="28"/>
  <c r="N94" i="28" s="1"/>
  <c r="K94" i="28"/>
  <c r="E94" i="28"/>
  <c r="B94" i="28"/>
  <c r="M93" i="28"/>
  <c r="N93" i="28" s="1"/>
  <c r="K93" i="28"/>
  <c r="E93" i="28"/>
  <c r="B93" i="28"/>
  <c r="M92" i="28"/>
  <c r="N92" i="28" s="1"/>
  <c r="K92" i="28"/>
  <c r="E92" i="28"/>
  <c r="B92" i="28"/>
  <c r="M91" i="28"/>
  <c r="N91" i="28" s="1"/>
  <c r="K91" i="28"/>
  <c r="E91" i="28"/>
  <c r="B91" i="28"/>
  <c r="M90" i="28"/>
  <c r="N90" i="28" s="1"/>
  <c r="K90" i="28"/>
  <c r="E90" i="28"/>
  <c r="B90" i="28"/>
  <c r="M89" i="28"/>
  <c r="N89" i="28" s="1"/>
  <c r="K89" i="28"/>
  <c r="E89" i="28"/>
  <c r="B89" i="28"/>
  <c r="M88" i="28"/>
  <c r="N88" i="28" s="1"/>
  <c r="K88" i="28"/>
  <c r="E88" i="28"/>
  <c r="B88" i="28"/>
  <c r="M87" i="28"/>
  <c r="N87" i="28" s="1"/>
  <c r="K87" i="28"/>
  <c r="E87" i="28"/>
  <c r="B87" i="28"/>
  <c r="M86" i="28"/>
  <c r="N86" i="28" s="1"/>
  <c r="K86" i="28"/>
  <c r="E86" i="28"/>
  <c r="B86" i="28"/>
  <c r="M85" i="28"/>
  <c r="N85" i="28" s="1"/>
  <c r="K85" i="28"/>
  <c r="E85" i="28"/>
  <c r="B85" i="28"/>
  <c r="M84" i="28"/>
  <c r="N84" i="28" s="1"/>
  <c r="K84" i="28"/>
  <c r="E84" i="28"/>
  <c r="B84" i="28"/>
  <c r="M83" i="28"/>
  <c r="N83" i="28" s="1"/>
  <c r="K83" i="28"/>
  <c r="E83" i="28"/>
  <c r="B83" i="28"/>
  <c r="N82" i="28"/>
  <c r="M82" i="28"/>
  <c r="K82" i="28"/>
  <c r="E82" i="28"/>
  <c r="B82" i="28"/>
  <c r="M81" i="28"/>
  <c r="N81" i="28" s="1"/>
  <c r="K81" i="28"/>
  <c r="E81" i="28"/>
  <c r="B81" i="28"/>
  <c r="M80" i="28"/>
  <c r="N80" i="28" s="1"/>
  <c r="K80" i="28"/>
  <c r="E80" i="28"/>
  <c r="B80" i="28"/>
  <c r="M79" i="28"/>
  <c r="N79" i="28" s="1"/>
  <c r="K79" i="28"/>
  <c r="E79" i="28"/>
  <c r="B79" i="28"/>
  <c r="M78" i="28"/>
  <c r="N78" i="28" s="1"/>
  <c r="K78" i="28"/>
  <c r="E78" i="28"/>
  <c r="B78" i="28"/>
  <c r="M77" i="28"/>
  <c r="N77" i="28" s="1"/>
  <c r="K77" i="28"/>
  <c r="E77" i="28"/>
  <c r="B77" i="28"/>
  <c r="M76" i="28"/>
  <c r="N76" i="28" s="1"/>
  <c r="K76" i="28"/>
  <c r="E76" i="28"/>
  <c r="B76" i="28"/>
  <c r="M75" i="28"/>
  <c r="N75" i="28" s="1"/>
  <c r="K75" i="28"/>
  <c r="E75" i="28"/>
  <c r="B75" i="28"/>
  <c r="M74" i="28"/>
  <c r="N74" i="28" s="1"/>
  <c r="K74" i="28"/>
  <c r="E74" i="28"/>
  <c r="B74" i="28"/>
  <c r="M73" i="28"/>
  <c r="N73" i="28" s="1"/>
  <c r="K73" i="28"/>
  <c r="E73" i="28"/>
  <c r="B73" i="28"/>
  <c r="M72" i="28"/>
  <c r="N72" i="28" s="1"/>
  <c r="K72" i="28"/>
  <c r="E72" i="28"/>
  <c r="B72" i="28"/>
  <c r="M71" i="28"/>
  <c r="N71" i="28" s="1"/>
  <c r="K71" i="28"/>
  <c r="E71" i="28"/>
  <c r="B71" i="28"/>
  <c r="N70" i="28"/>
  <c r="M70" i="28"/>
  <c r="K70" i="28"/>
  <c r="E70" i="28"/>
  <c r="B70" i="28"/>
  <c r="M69" i="28"/>
  <c r="N69" i="28" s="1"/>
  <c r="K69" i="28"/>
  <c r="E69" i="28"/>
  <c r="B69" i="28"/>
  <c r="M68" i="28"/>
  <c r="N68" i="28" s="1"/>
  <c r="K68" i="28"/>
  <c r="E68" i="28"/>
  <c r="B68" i="28"/>
  <c r="M67" i="28"/>
  <c r="N67" i="28" s="1"/>
  <c r="K67" i="28"/>
  <c r="E67" i="28"/>
  <c r="B67" i="28"/>
  <c r="N66" i="28"/>
  <c r="M66" i="28"/>
  <c r="K66" i="28"/>
  <c r="E66" i="28"/>
  <c r="B66" i="28"/>
  <c r="M65" i="28"/>
  <c r="N65" i="28" s="1"/>
  <c r="K65" i="28"/>
  <c r="E65" i="28"/>
  <c r="B65" i="28"/>
  <c r="M64" i="28"/>
  <c r="N64" i="28" s="1"/>
  <c r="K64" i="28"/>
  <c r="E64" i="28"/>
  <c r="B64" i="28"/>
  <c r="M63" i="28"/>
  <c r="N63" i="28" s="1"/>
  <c r="K63" i="28"/>
  <c r="E63" i="28"/>
  <c r="B63" i="28"/>
  <c r="M62" i="28"/>
  <c r="N62" i="28" s="1"/>
  <c r="K62" i="28"/>
  <c r="E62" i="28"/>
  <c r="B62" i="28"/>
  <c r="M61" i="28"/>
  <c r="N61" i="28" s="1"/>
  <c r="K61" i="28"/>
  <c r="E61" i="28"/>
  <c r="B61" i="28"/>
  <c r="M60" i="28"/>
  <c r="N60" i="28" s="1"/>
  <c r="K60" i="28"/>
  <c r="E60" i="28"/>
  <c r="B60" i="28"/>
  <c r="M59" i="28"/>
  <c r="N59" i="28" s="1"/>
  <c r="K59" i="28"/>
  <c r="E59" i="28"/>
  <c r="B59" i="28"/>
  <c r="M58" i="28"/>
  <c r="N58" i="28" s="1"/>
  <c r="K58" i="28"/>
  <c r="E58" i="28"/>
  <c r="B58" i="28"/>
  <c r="M57" i="28"/>
  <c r="N57" i="28" s="1"/>
  <c r="K57" i="28"/>
  <c r="E57" i="28"/>
  <c r="B57" i="28"/>
  <c r="M56" i="28"/>
  <c r="N56" i="28" s="1"/>
  <c r="K56" i="28"/>
  <c r="E56" i="28"/>
  <c r="B56" i="28"/>
  <c r="M55" i="28"/>
  <c r="N55" i="28" s="1"/>
  <c r="K55" i="28"/>
  <c r="E55" i="28"/>
  <c r="B55" i="28"/>
  <c r="M54" i="28"/>
  <c r="N54" i="28" s="1"/>
  <c r="K54" i="28"/>
  <c r="E54" i="28"/>
  <c r="B54" i="28"/>
  <c r="M53" i="28"/>
  <c r="N53" i="28" s="1"/>
  <c r="K53" i="28"/>
  <c r="E53" i="28"/>
  <c r="B53" i="28"/>
  <c r="M52" i="28"/>
  <c r="N52" i="28" s="1"/>
  <c r="K52" i="28"/>
  <c r="E52" i="28"/>
  <c r="B52" i="28"/>
  <c r="M51" i="28"/>
  <c r="N51" i="28" s="1"/>
  <c r="K51" i="28"/>
  <c r="E51" i="28"/>
  <c r="B51" i="28"/>
  <c r="N50" i="28"/>
  <c r="M50" i="28"/>
  <c r="K50" i="28"/>
  <c r="E50" i="28"/>
  <c r="B50" i="28"/>
  <c r="M49" i="28"/>
  <c r="N49" i="28" s="1"/>
  <c r="K49" i="28"/>
  <c r="E49" i="28"/>
  <c r="B49" i="28"/>
  <c r="M48" i="28"/>
  <c r="N48" i="28" s="1"/>
  <c r="K48" i="28"/>
  <c r="E48" i="28"/>
  <c r="B48" i="28"/>
  <c r="M47" i="28"/>
  <c r="N47" i="28" s="1"/>
  <c r="K47" i="28"/>
  <c r="E47" i="28"/>
  <c r="B47" i="28"/>
  <c r="N46" i="28"/>
  <c r="M46" i="28"/>
  <c r="K46" i="28"/>
  <c r="E46" i="28"/>
  <c r="B46" i="28"/>
  <c r="M45" i="28"/>
  <c r="N45" i="28" s="1"/>
  <c r="K45" i="28"/>
  <c r="E45" i="28"/>
  <c r="B45" i="28"/>
  <c r="M44" i="28"/>
  <c r="N44" i="28" s="1"/>
  <c r="K44" i="28"/>
  <c r="E44" i="28"/>
  <c r="B44" i="28"/>
  <c r="N43" i="28"/>
  <c r="M43" i="28"/>
  <c r="K43" i="28"/>
  <c r="E43" i="28"/>
  <c r="B43" i="28"/>
  <c r="M42" i="28"/>
  <c r="N42" i="28" s="1"/>
  <c r="K42" i="28"/>
  <c r="E42" i="28"/>
  <c r="B42" i="28"/>
  <c r="N41" i="28"/>
  <c r="M41" i="28"/>
  <c r="K41" i="28"/>
  <c r="E41" i="28"/>
  <c r="B41" i="28"/>
  <c r="M40" i="28"/>
  <c r="N40" i="28" s="1"/>
  <c r="K40" i="28"/>
  <c r="E40" i="28"/>
  <c r="B40" i="28"/>
  <c r="N39" i="28"/>
  <c r="M39" i="28"/>
  <c r="K39" i="28"/>
  <c r="E39" i="28"/>
  <c r="B39" i="28"/>
  <c r="M38" i="28"/>
  <c r="N38" i="28" s="1"/>
  <c r="K38" i="28"/>
  <c r="E38" i="28"/>
  <c r="B38" i="28"/>
  <c r="N37" i="28"/>
  <c r="M37" i="28"/>
  <c r="K37" i="28"/>
  <c r="E37" i="28"/>
  <c r="B37" i="28"/>
  <c r="M36" i="28"/>
  <c r="N36" i="28" s="1"/>
  <c r="K36" i="28"/>
  <c r="E36" i="28"/>
  <c r="B36" i="28"/>
  <c r="N35" i="28"/>
  <c r="M35" i="28"/>
  <c r="K35" i="28"/>
  <c r="E35" i="28"/>
  <c r="B35" i="28"/>
  <c r="M34" i="28"/>
  <c r="N34" i="28" s="1"/>
  <c r="K34" i="28"/>
  <c r="E34" i="28"/>
  <c r="B34" i="28"/>
  <c r="N33" i="28"/>
  <c r="M33" i="28"/>
  <c r="K33" i="28"/>
  <c r="E33" i="28"/>
  <c r="B33" i="28"/>
  <c r="M32" i="28"/>
  <c r="N32" i="28" s="1"/>
  <c r="K32" i="28"/>
  <c r="E32" i="28"/>
  <c r="B32" i="28"/>
  <c r="N31" i="28"/>
  <c r="M31" i="28"/>
  <c r="K31" i="28"/>
  <c r="E31" i="28"/>
  <c r="B31" i="28"/>
  <c r="M30" i="28"/>
  <c r="N30" i="28" s="1"/>
  <c r="K30" i="28"/>
  <c r="E30" i="28"/>
  <c r="B30" i="28"/>
  <c r="N29" i="28"/>
  <c r="M29" i="28"/>
  <c r="K29" i="28"/>
  <c r="E29" i="28"/>
  <c r="B29" i="28"/>
  <c r="M28" i="28"/>
  <c r="N28" i="28" s="1"/>
  <c r="K28" i="28"/>
  <c r="E28" i="28"/>
  <c r="B28" i="28"/>
  <c r="N27" i="28"/>
  <c r="M27" i="28"/>
  <c r="K27" i="28"/>
  <c r="E27" i="28"/>
  <c r="B27" i="28"/>
  <c r="M26" i="28"/>
  <c r="N26" i="28" s="1"/>
  <c r="K26" i="28"/>
  <c r="E26" i="28"/>
  <c r="B26" i="28"/>
  <c r="N25" i="28"/>
  <c r="M25" i="28"/>
  <c r="K25" i="28"/>
  <c r="E25" i="28"/>
  <c r="B25" i="28"/>
  <c r="M24" i="28"/>
  <c r="N24" i="28" s="1"/>
  <c r="K24" i="28"/>
  <c r="E24" i="28"/>
  <c r="B24" i="28"/>
  <c r="N23" i="28"/>
  <c r="M23" i="28"/>
  <c r="K23" i="28"/>
  <c r="E23" i="28"/>
  <c r="B23" i="28"/>
  <c r="M22" i="28"/>
  <c r="N22" i="28" s="1"/>
  <c r="K22" i="28"/>
  <c r="E22" i="28"/>
  <c r="B22" i="28"/>
  <c r="N21" i="28"/>
  <c r="M21" i="28"/>
  <c r="K21" i="28"/>
  <c r="E21" i="28"/>
  <c r="B21" i="28"/>
  <c r="M20" i="28"/>
  <c r="N20" i="28" s="1"/>
  <c r="K20" i="28"/>
  <c r="E20" i="28"/>
  <c r="B20" i="28"/>
  <c r="N19" i="28"/>
  <c r="M19" i="28"/>
  <c r="K19" i="28"/>
  <c r="E19" i="28"/>
  <c r="B19" i="28"/>
  <c r="M18" i="28"/>
  <c r="N18" i="28" s="1"/>
  <c r="K18" i="28"/>
  <c r="E18" i="28"/>
  <c r="B18" i="28"/>
  <c r="N17" i="28"/>
  <c r="M17" i="28"/>
  <c r="K17" i="28"/>
  <c r="E17" i="28"/>
  <c r="B17" i="28"/>
  <c r="M16" i="28"/>
  <c r="N16" i="28" s="1"/>
  <c r="K16" i="28"/>
  <c r="E16" i="28"/>
  <c r="B16" i="28"/>
  <c r="N15" i="28"/>
  <c r="M15" i="28"/>
  <c r="K15" i="28"/>
  <c r="E15" i="28"/>
  <c r="B15" i="28"/>
  <c r="M14" i="28"/>
  <c r="N14" i="28" s="1"/>
  <c r="K14" i="28"/>
  <c r="E14" i="28"/>
  <c r="B14" i="28"/>
  <c r="N13" i="28"/>
  <c r="M13" i="28"/>
  <c r="K13" i="28"/>
  <c r="E13" i="28"/>
  <c r="B13" i="28"/>
  <c r="M12" i="28"/>
  <c r="N12" i="28" s="1"/>
  <c r="K12" i="28"/>
  <c r="E12" i="28"/>
  <c r="B12" i="28"/>
  <c r="M11" i="28"/>
  <c r="N11" i="28" s="1"/>
  <c r="K11" i="28"/>
  <c r="E11" i="28"/>
  <c r="B11" i="28"/>
  <c r="M10" i="28"/>
  <c r="N10" i="28" s="1"/>
  <c r="K10" i="28"/>
  <c r="E10" i="28"/>
  <c r="B10" i="28"/>
  <c r="N9" i="28"/>
  <c r="M9" i="28"/>
  <c r="K9" i="28"/>
  <c r="E9" i="28"/>
  <c r="B9" i="28"/>
  <c r="M8" i="28"/>
  <c r="N8" i="28" s="1"/>
  <c r="K8" i="28"/>
  <c r="E8" i="28"/>
  <c r="B8" i="28"/>
  <c r="M7" i="28"/>
  <c r="N7" i="28" s="1"/>
  <c r="K7" i="28"/>
  <c r="E7" i="28"/>
  <c r="B7" i="28"/>
  <c r="M6" i="28"/>
  <c r="N6" i="28" s="1"/>
  <c r="K6" i="28"/>
  <c r="E6" i="28"/>
  <c r="B6" i="28"/>
  <c r="N5" i="28"/>
  <c r="M5" i="28"/>
  <c r="K5" i="28"/>
  <c r="E5" i="28"/>
  <c r="B5" i="28"/>
  <c r="M4" i="28"/>
  <c r="N4" i="28" s="1"/>
  <c r="K4" i="28"/>
  <c r="E4" i="28"/>
  <c r="B4" i="28"/>
  <c r="V2" i="28"/>
  <c r="U2" i="28"/>
  <c r="T2" i="28"/>
  <c r="S2" i="28"/>
  <c r="R2" i="28"/>
  <c r="Q2" i="28"/>
  <c r="P2" i="28"/>
  <c r="O2" i="28"/>
  <c r="L2" i="28"/>
  <c r="J2" i="28"/>
  <c r="K2" i="28" s="1"/>
  <c r="I2" i="28"/>
  <c r="H2" i="28"/>
  <c r="G2" i="28"/>
  <c r="M2" i="28" s="1"/>
  <c r="F2" i="28"/>
  <c r="M134" i="27"/>
  <c r="N134" i="27" s="1"/>
  <c r="K134" i="27"/>
  <c r="E134" i="27"/>
  <c r="B134" i="27"/>
  <c r="M133" i="27"/>
  <c r="N133" i="27" s="1"/>
  <c r="K133" i="27"/>
  <c r="E133" i="27"/>
  <c r="B133" i="27"/>
  <c r="N132" i="27"/>
  <c r="M132" i="27"/>
  <c r="K132" i="27"/>
  <c r="E132" i="27"/>
  <c r="B132" i="27"/>
  <c r="M131" i="27"/>
  <c r="N131" i="27" s="1"/>
  <c r="K131" i="27"/>
  <c r="E131" i="27"/>
  <c r="B131" i="27"/>
  <c r="M130" i="27"/>
  <c r="N130" i="27" s="1"/>
  <c r="K130" i="27"/>
  <c r="E130" i="27"/>
  <c r="B130" i="27"/>
  <c r="M129" i="27"/>
  <c r="N129" i="27" s="1"/>
  <c r="K129" i="27"/>
  <c r="E129" i="27"/>
  <c r="B129" i="27"/>
  <c r="N128" i="27"/>
  <c r="M128" i="27"/>
  <c r="K128" i="27"/>
  <c r="E128" i="27"/>
  <c r="B128" i="27"/>
  <c r="M127" i="27"/>
  <c r="N127" i="27" s="1"/>
  <c r="K127" i="27"/>
  <c r="E127" i="27"/>
  <c r="B127" i="27"/>
  <c r="M126" i="27"/>
  <c r="N126" i="27" s="1"/>
  <c r="K126" i="27"/>
  <c r="E126" i="27"/>
  <c r="B126" i="27"/>
  <c r="M125" i="27"/>
  <c r="N125" i="27" s="1"/>
  <c r="K125" i="27"/>
  <c r="E125" i="27"/>
  <c r="B125" i="27"/>
  <c r="N124" i="27"/>
  <c r="M124" i="27"/>
  <c r="K124" i="27"/>
  <c r="E124" i="27"/>
  <c r="B124" i="27"/>
  <c r="M123" i="27"/>
  <c r="N123" i="27" s="1"/>
  <c r="K123" i="27"/>
  <c r="E123" i="27"/>
  <c r="B123" i="27"/>
  <c r="M122" i="27"/>
  <c r="N122" i="27" s="1"/>
  <c r="K122" i="27"/>
  <c r="E122" i="27"/>
  <c r="B122" i="27"/>
  <c r="M121" i="27"/>
  <c r="N121" i="27" s="1"/>
  <c r="K121" i="27"/>
  <c r="E121" i="27"/>
  <c r="B121" i="27"/>
  <c r="N120" i="27"/>
  <c r="M120" i="27"/>
  <c r="K120" i="27"/>
  <c r="E120" i="27"/>
  <c r="B120" i="27"/>
  <c r="M119" i="27"/>
  <c r="N119" i="27" s="1"/>
  <c r="K119" i="27"/>
  <c r="E119" i="27"/>
  <c r="B119" i="27"/>
  <c r="M118" i="27"/>
  <c r="N118" i="27" s="1"/>
  <c r="K118" i="27"/>
  <c r="E118" i="27"/>
  <c r="B118" i="27"/>
  <c r="M117" i="27"/>
  <c r="N117" i="27" s="1"/>
  <c r="K117" i="27"/>
  <c r="E117" i="27"/>
  <c r="B117" i="27"/>
  <c r="N116" i="27"/>
  <c r="M116" i="27"/>
  <c r="K116" i="27"/>
  <c r="E116" i="27"/>
  <c r="B116" i="27"/>
  <c r="M115" i="27"/>
  <c r="N115" i="27" s="1"/>
  <c r="K115" i="27"/>
  <c r="E115" i="27"/>
  <c r="B115" i="27"/>
  <c r="M114" i="27"/>
  <c r="N114" i="27" s="1"/>
  <c r="K114" i="27"/>
  <c r="E114" i="27"/>
  <c r="B114" i="27"/>
  <c r="M113" i="27"/>
  <c r="N113" i="27" s="1"/>
  <c r="K113" i="27"/>
  <c r="E113" i="27"/>
  <c r="B113" i="27"/>
  <c r="N112" i="27"/>
  <c r="M112" i="27"/>
  <c r="K112" i="27"/>
  <c r="E112" i="27"/>
  <c r="B112" i="27"/>
  <c r="M111" i="27"/>
  <c r="N111" i="27" s="1"/>
  <c r="K111" i="27"/>
  <c r="E111" i="27"/>
  <c r="B111" i="27"/>
  <c r="M110" i="27"/>
  <c r="N110" i="27" s="1"/>
  <c r="K110" i="27"/>
  <c r="E110" i="27"/>
  <c r="B110" i="27"/>
  <c r="M109" i="27"/>
  <c r="N109" i="27" s="1"/>
  <c r="K109" i="27"/>
  <c r="E109" i="27"/>
  <c r="B109" i="27"/>
  <c r="N108" i="27"/>
  <c r="M108" i="27"/>
  <c r="K108" i="27"/>
  <c r="E108" i="27"/>
  <c r="B108" i="27"/>
  <c r="M107" i="27"/>
  <c r="N107" i="27" s="1"/>
  <c r="K107" i="27"/>
  <c r="E107" i="27"/>
  <c r="B107" i="27"/>
  <c r="M106" i="27"/>
  <c r="N106" i="27" s="1"/>
  <c r="K106" i="27"/>
  <c r="E106" i="27"/>
  <c r="B106" i="27"/>
  <c r="M105" i="27"/>
  <c r="N105" i="27" s="1"/>
  <c r="K105" i="27"/>
  <c r="E105" i="27"/>
  <c r="B105" i="27"/>
  <c r="N104" i="27"/>
  <c r="M104" i="27"/>
  <c r="K104" i="27"/>
  <c r="E104" i="27"/>
  <c r="B104" i="27"/>
  <c r="M103" i="27"/>
  <c r="N103" i="27" s="1"/>
  <c r="K103" i="27"/>
  <c r="E103" i="27"/>
  <c r="B103" i="27"/>
  <c r="M102" i="27"/>
  <c r="N102" i="27" s="1"/>
  <c r="K102" i="27"/>
  <c r="E102" i="27"/>
  <c r="B102" i="27"/>
  <c r="M101" i="27"/>
  <c r="N101" i="27" s="1"/>
  <c r="K101" i="27"/>
  <c r="E101" i="27"/>
  <c r="B101" i="27"/>
  <c r="N100" i="27"/>
  <c r="M100" i="27"/>
  <c r="K100" i="27"/>
  <c r="E100" i="27"/>
  <c r="B100" i="27"/>
  <c r="M99" i="27"/>
  <c r="N99" i="27" s="1"/>
  <c r="K99" i="27"/>
  <c r="E99" i="27"/>
  <c r="B99" i="27"/>
  <c r="M98" i="27"/>
  <c r="N98" i="27" s="1"/>
  <c r="K98" i="27"/>
  <c r="E98" i="27"/>
  <c r="B98" i="27"/>
  <c r="M97" i="27"/>
  <c r="N97" i="27" s="1"/>
  <c r="K97" i="27"/>
  <c r="E97" i="27"/>
  <c r="B97" i="27"/>
  <c r="N96" i="27"/>
  <c r="M96" i="27"/>
  <c r="K96" i="27"/>
  <c r="E96" i="27"/>
  <c r="B96" i="27"/>
  <c r="M95" i="27"/>
  <c r="N95" i="27" s="1"/>
  <c r="K95" i="27"/>
  <c r="E95" i="27"/>
  <c r="B95" i="27"/>
  <c r="M94" i="27"/>
  <c r="N94" i="27" s="1"/>
  <c r="K94" i="27"/>
  <c r="E94" i="27"/>
  <c r="B94" i="27"/>
  <c r="M93" i="27"/>
  <c r="N93" i="27" s="1"/>
  <c r="K93" i="27"/>
  <c r="E93" i="27"/>
  <c r="B93" i="27"/>
  <c r="N92" i="27"/>
  <c r="M92" i="27"/>
  <c r="K92" i="27"/>
  <c r="E92" i="27"/>
  <c r="B92" i="27"/>
  <c r="M91" i="27"/>
  <c r="N91" i="27" s="1"/>
  <c r="K91" i="27"/>
  <c r="E91" i="27"/>
  <c r="B91" i="27"/>
  <c r="M90" i="27"/>
  <c r="N90" i="27" s="1"/>
  <c r="K90" i="27"/>
  <c r="E90" i="27"/>
  <c r="B90" i="27"/>
  <c r="M89" i="27"/>
  <c r="N89" i="27" s="1"/>
  <c r="K89" i="27"/>
  <c r="E89" i="27"/>
  <c r="B89" i="27"/>
  <c r="N88" i="27"/>
  <c r="M88" i="27"/>
  <c r="K88" i="27"/>
  <c r="E88" i="27"/>
  <c r="B88" i="27"/>
  <c r="M87" i="27"/>
  <c r="N87" i="27" s="1"/>
  <c r="K87" i="27"/>
  <c r="E87" i="27"/>
  <c r="B87" i="27"/>
  <c r="M86" i="27"/>
  <c r="N86" i="27" s="1"/>
  <c r="K86" i="27"/>
  <c r="E86" i="27"/>
  <c r="B86" i="27"/>
  <c r="M85" i="27"/>
  <c r="N85" i="27" s="1"/>
  <c r="K85" i="27"/>
  <c r="E85" i="27"/>
  <c r="B85" i="27"/>
  <c r="N84" i="27"/>
  <c r="M84" i="27"/>
  <c r="K84" i="27"/>
  <c r="E84" i="27"/>
  <c r="B84" i="27"/>
  <c r="M83" i="27"/>
  <c r="N83" i="27" s="1"/>
  <c r="K83" i="27"/>
  <c r="E83" i="27"/>
  <c r="B83" i="27"/>
  <c r="M82" i="27"/>
  <c r="N82" i="27" s="1"/>
  <c r="K82" i="27"/>
  <c r="E82" i="27"/>
  <c r="B82" i="27"/>
  <c r="M81" i="27"/>
  <c r="N81" i="27" s="1"/>
  <c r="K81" i="27"/>
  <c r="E81" i="27"/>
  <c r="B81" i="27"/>
  <c r="N80" i="27"/>
  <c r="M80" i="27"/>
  <c r="K80" i="27"/>
  <c r="E80" i="27"/>
  <c r="B80" i="27"/>
  <c r="M79" i="27"/>
  <c r="N79" i="27" s="1"/>
  <c r="K79" i="27"/>
  <c r="E79" i="27"/>
  <c r="B79" i="27"/>
  <c r="M78" i="27"/>
  <c r="N78" i="27" s="1"/>
  <c r="K78" i="27"/>
  <c r="E78" i="27"/>
  <c r="B78" i="27"/>
  <c r="M77" i="27"/>
  <c r="N77" i="27" s="1"/>
  <c r="K77" i="27"/>
  <c r="E77" i="27"/>
  <c r="B77" i="27"/>
  <c r="N76" i="27"/>
  <c r="M76" i="27"/>
  <c r="K76" i="27"/>
  <c r="E76" i="27"/>
  <c r="B76" i="27"/>
  <c r="M75" i="27"/>
  <c r="N75" i="27" s="1"/>
  <c r="K75" i="27"/>
  <c r="E75" i="27"/>
  <c r="B75" i="27"/>
  <c r="M74" i="27"/>
  <c r="N74" i="27" s="1"/>
  <c r="K74" i="27"/>
  <c r="E74" i="27"/>
  <c r="B74" i="27"/>
  <c r="M73" i="27"/>
  <c r="N73" i="27" s="1"/>
  <c r="K73" i="27"/>
  <c r="E73" i="27"/>
  <c r="B73" i="27"/>
  <c r="N72" i="27"/>
  <c r="M72" i="27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M69" i="27"/>
  <c r="N69" i="27" s="1"/>
  <c r="K69" i="27"/>
  <c r="E69" i="27"/>
  <c r="B69" i="27"/>
  <c r="N68" i="27"/>
  <c r="M68" i="27"/>
  <c r="K68" i="27"/>
  <c r="E68" i="27"/>
  <c r="B68" i="27"/>
  <c r="M67" i="27"/>
  <c r="N67" i="27" s="1"/>
  <c r="K67" i="27"/>
  <c r="E67" i="27"/>
  <c r="B67" i="27"/>
  <c r="M66" i="27"/>
  <c r="N66" i="27" s="1"/>
  <c r="K66" i="27"/>
  <c r="E66" i="27"/>
  <c r="B66" i="27"/>
  <c r="M65" i="27"/>
  <c r="N65" i="27" s="1"/>
  <c r="K65" i="27"/>
  <c r="E65" i="27"/>
  <c r="B65" i="27"/>
  <c r="N64" i="27"/>
  <c r="M64" i="27"/>
  <c r="K64" i="27"/>
  <c r="E64" i="27"/>
  <c r="B64" i="27"/>
  <c r="M63" i="27"/>
  <c r="N63" i="27" s="1"/>
  <c r="K63" i="27"/>
  <c r="E63" i="27"/>
  <c r="B63" i="27"/>
  <c r="M62" i="27"/>
  <c r="N62" i="27" s="1"/>
  <c r="K62" i="27"/>
  <c r="E62" i="27"/>
  <c r="B62" i="27"/>
  <c r="M61" i="27"/>
  <c r="N61" i="27" s="1"/>
  <c r="K61" i="27"/>
  <c r="E61" i="27"/>
  <c r="B61" i="27"/>
  <c r="N60" i="27"/>
  <c r="M60" i="27"/>
  <c r="K60" i="27"/>
  <c r="E60" i="27"/>
  <c r="B60" i="27"/>
  <c r="M59" i="27"/>
  <c r="N59" i="27" s="1"/>
  <c r="K59" i="27"/>
  <c r="E59" i="27"/>
  <c r="B59" i="27"/>
  <c r="M58" i="27"/>
  <c r="N58" i="27" s="1"/>
  <c r="K58" i="27"/>
  <c r="E58" i="27"/>
  <c r="B58" i="27"/>
  <c r="M57" i="27"/>
  <c r="N57" i="27" s="1"/>
  <c r="K57" i="27"/>
  <c r="E57" i="27"/>
  <c r="B57" i="27"/>
  <c r="N56" i="27"/>
  <c r="M56" i="27"/>
  <c r="K56" i="27"/>
  <c r="E56" i="27"/>
  <c r="B56" i="27"/>
  <c r="M55" i="27"/>
  <c r="N55" i="27" s="1"/>
  <c r="K55" i="27"/>
  <c r="E55" i="27"/>
  <c r="B55" i="27"/>
  <c r="M54" i="27"/>
  <c r="N54" i="27" s="1"/>
  <c r="K54" i="27"/>
  <c r="E54" i="27"/>
  <c r="B54" i="27"/>
  <c r="M53" i="27"/>
  <c r="N53" i="27" s="1"/>
  <c r="K53" i="27"/>
  <c r="E53" i="27"/>
  <c r="B53" i="27"/>
  <c r="N52" i="27"/>
  <c r="M52" i="27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M49" i="27"/>
  <c r="N49" i="27" s="1"/>
  <c r="K49" i="27"/>
  <c r="E49" i="27"/>
  <c r="B49" i="27"/>
  <c r="N48" i="27"/>
  <c r="M48" i="27"/>
  <c r="K48" i="27"/>
  <c r="E48" i="27"/>
  <c r="B48" i="27"/>
  <c r="M47" i="27"/>
  <c r="N47" i="27" s="1"/>
  <c r="K47" i="27"/>
  <c r="E47" i="27"/>
  <c r="B47" i="27"/>
  <c r="M46" i="27"/>
  <c r="N46" i="27" s="1"/>
  <c r="K46" i="27"/>
  <c r="E46" i="27"/>
  <c r="B46" i="27"/>
  <c r="M45" i="27"/>
  <c r="N45" i="27" s="1"/>
  <c r="K45" i="27"/>
  <c r="E45" i="27"/>
  <c r="B45" i="27"/>
  <c r="N44" i="27"/>
  <c r="M44" i="27"/>
  <c r="K44" i="27"/>
  <c r="E44" i="27"/>
  <c r="B44" i="27"/>
  <c r="M43" i="27"/>
  <c r="N43" i="27" s="1"/>
  <c r="K43" i="27"/>
  <c r="E43" i="27"/>
  <c r="B43" i="27"/>
  <c r="M42" i="27"/>
  <c r="N42" i="27" s="1"/>
  <c r="K42" i="27"/>
  <c r="E42" i="27"/>
  <c r="B42" i="27"/>
  <c r="M41" i="27"/>
  <c r="N41" i="27" s="1"/>
  <c r="K41" i="27"/>
  <c r="E41" i="27"/>
  <c r="B41" i="27"/>
  <c r="N40" i="27"/>
  <c r="M40" i="27"/>
  <c r="K40" i="27"/>
  <c r="E40" i="27"/>
  <c r="B40" i="27"/>
  <c r="M39" i="27"/>
  <c r="N39" i="27" s="1"/>
  <c r="K39" i="27"/>
  <c r="E39" i="27"/>
  <c r="B39" i="27"/>
  <c r="M38" i="27"/>
  <c r="N38" i="27" s="1"/>
  <c r="K38" i="27"/>
  <c r="E38" i="27"/>
  <c r="B38" i="27"/>
  <c r="M37" i="27"/>
  <c r="N37" i="27" s="1"/>
  <c r="K37" i="27"/>
  <c r="E37" i="27"/>
  <c r="B37" i="27"/>
  <c r="N36" i="27"/>
  <c r="M36" i="27"/>
  <c r="K36" i="27"/>
  <c r="E36" i="27"/>
  <c r="B36" i="27"/>
  <c r="M35" i="27"/>
  <c r="N35" i="27" s="1"/>
  <c r="K35" i="27"/>
  <c r="E35" i="27"/>
  <c r="B35" i="27"/>
  <c r="M34" i="27"/>
  <c r="N34" i="27" s="1"/>
  <c r="K34" i="27"/>
  <c r="E34" i="27"/>
  <c r="B34" i="27"/>
  <c r="M33" i="27"/>
  <c r="N33" i="27" s="1"/>
  <c r="K33" i="27"/>
  <c r="E33" i="27"/>
  <c r="B33" i="27"/>
  <c r="N32" i="27"/>
  <c r="M32" i="27"/>
  <c r="K32" i="27"/>
  <c r="E32" i="27"/>
  <c r="B32" i="27"/>
  <c r="M31" i="27"/>
  <c r="N31" i="27" s="1"/>
  <c r="K31" i="27"/>
  <c r="E31" i="27"/>
  <c r="B31" i="27"/>
  <c r="M30" i="27"/>
  <c r="N30" i="27" s="1"/>
  <c r="K30" i="27"/>
  <c r="E30" i="27"/>
  <c r="B30" i="27"/>
  <c r="M29" i="27"/>
  <c r="N29" i="27" s="1"/>
  <c r="K29" i="27"/>
  <c r="E29" i="27"/>
  <c r="B29" i="27"/>
  <c r="N28" i="27"/>
  <c r="M28" i="27"/>
  <c r="K28" i="27"/>
  <c r="E28" i="27"/>
  <c r="B28" i="27"/>
  <c r="M27" i="27"/>
  <c r="N27" i="27" s="1"/>
  <c r="K27" i="27"/>
  <c r="E27" i="27"/>
  <c r="B27" i="27"/>
  <c r="M26" i="27"/>
  <c r="N26" i="27" s="1"/>
  <c r="K26" i="27"/>
  <c r="E26" i="27"/>
  <c r="B26" i="27"/>
  <c r="M25" i="27"/>
  <c r="N25" i="27" s="1"/>
  <c r="K25" i="27"/>
  <c r="E25" i="27"/>
  <c r="B25" i="27"/>
  <c r="N24" i="27"/>
  <c r="M24" i="27"/>
  <c r="K24" i="27"/>
  <c r="E24" i="27"/>
  <c r="B24" i="27"/>
  <c r="M23" i="27"/>
  <c r="N23" i="27" s="1"/>
  <c r="K23" i="27"/>
  <c r="E23" i="27"/>
  <c r="B23" i="27"/>
  <c r="M22" i="27"/>
  <c r="N22" i="27" s="1"/>
  <c r="K22" i="27"/>
  <c r="E22" i="27"/>
  <c r="B22" i="27"/>
  <c r="M21" i="27"/>
  <c r="N21" i="27" s="1"/>
  <c r="K21" i="27"/>
  <c r="E21" i="27"/>
  <c r="B21" i="27"/>
  <c r="N20" i="27"/>
  <c r="M20" i="27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M17" i="27"/>
  <c r="N17" i="27" s="1"/>
  <c r="K17" i="27"/>
  <c r="E17" i="27"/>
  <c r="B17" i="27"/>
  <c r="N16" i="27"/>
  <c r="M16" i="27"/>
  <c r="K16" i="27"/>
  <c r="E16" i="27"/>
  <c r="B16" i="27"/>
  <c r="M15" i="27"/>
  <c r="N15" i="27" s="1"/>
  <c r="K15" i="27"/>
  <c r="E15" i="27"/>
  <c r="B15" i="27"/>
  <c r="M14" i="27"/>
  <c r="N14" i="27" s="1"/>
  <c r="K14" i="27"/>
  <c r="E14" i="27"/>
  <c r="B14" i="27"/>
  <c r="M13" i="27"/>
  <c r="N13" i="27" s="1"/>
  <c r="K13" i="27"/>
  <c r="E13" i="27"/>
  <c r="B13" i="27"/>
  <c r="N12" i="27"/>
  <c r="M12" i="27"/>
  <c r="K12" i="27"/>
  <c r="E12" i="27"/>
  <c r="B12" i="27"/>
  <c r="M11" i="27"/>
  <c r="N11" i="27" s="1"/>
  <c r="K11" i="27"/>
  <c r="E11" i="27"/>
  <c r="B11" i="27"/>
  <c r="M10" i="27"/>
  <c r="N10" i="27" s="1"/>
  <c r="K10" i="27"/>
  <c r="E10" i="27"/>
  <c r="B10" i="27"/>
  <c r="M9" i="27"/>
  <c r="N9" i="27" s="1"/>
  <c r="K9" i="27"/>
  <c r="E9" i="27"/>
  <c r="B9" i="27"/>
  <c r="N8" i="27"/>
  <c r="M8" i="27"/>
  <c r="K8" i="27"/>
  <c r="E8" i="27"/>
  <c r="B8" i="27"/>
  <c r="M7" i="27"/>
  <c r="N7" i="27" s="1"/>
  <c r="K7" i="27"/>
  <c r="E7" i="27"/>
  <c r="B7" i="27"/>
  <c r="M6" i="27"/>
  <c r="N6" i="27" s="1"/>
  <c r="K6" i="27"/>
  <c r="E6" i="27"/>
  <c r="B6" i="27"/>
  <c r="M5" i="27"/>
  <c r="N5" i="27" s="1"/>
  <c r="K5" i="27"/>
  <c r="E5" i="27"/>
  <c r="B5" i="27"/>
  <c r="N4" i="27"/>
  <c r="M4" i="27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K2" i="27" s="1"/>
  <c r="F2" i="27"/>
  <c r="N150" i="26"/>
  <c r="M150" i="26"/>
  <c r="K150" i="26"/>
  <c r="E150" i="26"/>
  <c r="B150" i="26"/>
  <c r="M149" i="26"/>
  <c r="N149" i="26" s="1"/>
  <c r="K149" i="26"/>
  <c r="E149" i="26"/>
  <c r="B149" i="26"/>
  <c r="N148" i="26"/>
  <c r="M148" i="26"/>
  <c r="K148" i="26"/>
  <c r="E148" i="26"/>
  <c r="B148" i="26"/>
  <c r="M147" i="26"/>
  <c r="N147" i="26" s="1"/>
  <c r="K147" i="26"/>
  <c r="E147" i="26"/>
  <c r="B147" i="26"/>
  <c r="N146" i="26"/>
  <c r="M146" i="26"/>
  <c r="K146" i="26"/>
  <c r="E146" i="26"/>
  <c r="B146" i="26"/>
  <c r="M145" i="26"/>
  <c r="N145" i="26" s="1"/>
  <c r="E145" i="26"/>
  <c r="B145" i="26"/>
  <c r="M144" i="26"/>
  <c r="N144" i="26" s="1"/>
  <c r="E144" i="26"/>
  <c r="B144" i="26"/>
  <c r="N143" i="26"/>
  <c r="M143" i="26"/>
  <c r="K143" i="26"/>
  <c r="E143" i="26"/>
  <c r="B143" i="26"/>
  <c r="M142" i="26"/>
  <c r="N142" i="26" s="1"/>
  <c r="K142" i="26"/>
  <c r="E142" i="26"/>
  <c r="B142" i="26"/>
  <c r="N141" i="26"/>
  <c r="M141" i="26"/>
  <c r="K141" i="26"/>
  <c r="E141" i="26"/>
  <c r="B141" i="26"/>
  <c r="M140" i="26"/>
  <c r="N140" i="26" s="1"/>
  <c r="E140" i="26"/>
  <c r="B140" i="26"/>
  <c r="N139" i="26"/>
  <c r="M139" i="26"/>
  <c r="K139" i="26"/>
  <c r="E139" i="26"/>
  <c r="B139" i="26"/>
  <c r="M138" i="26"/>
  <c r="N138" i="26" s="1"/>
  <c r="E138" i="26"/>
  <c r="B138" i="26"/>
  <c r="M137" i="26"/>
  <c r="N137" i="26" s="1"/>
  <c r="E137" i="26"/>
  <c r="B137" i="26"/>
  <c r="N136" i="26"/>
  <c r="M136" i="26"/>
  <c r="K136" i="26"/>
  <c r="E136" i="26"/>
  <c r="B136" i="26"/>
  <c r="M135" i="26"/>
  <c r="N135" i="26" s="1"/>
  <c r="K135" i="26"/>
  <c r="E135" i="26"/>
  <c r="B135" i="26"/>
  <c r="M134" i="26"/>
  <c r="N134" i="26" s="1"/>
  <c r="E134" i="26"/>
  <c r="B134" i="26"/>
  <c r="N133" i="26"/>
  <c r="M133" i="26"/>
  <c r="E133" i="26"/>
  <c r="B133" i="26"/>
  <c r="M132" i="26"/>
  <c r="N132" i="26" s="1"/>
  <c r="K132" i="26"/>
  <c r="E132" i="26"/>
  <c r="B132" i="26"/>
  <c r="M131" i="26"/>
  <c r="N131" i="26" s="1"/>
  <c r="K131" i="26"/>
  <c r="E131" i="26"/>
  <c r="B131" i="26"/>
  <c r="M130" i="26"/>
  <c r="N130" i="26" s="1"/>
  <c r="E130" i="26"/>
  <c r="B130" i="26"/>
  <c r="M129" i="26"/>
  <c r="N129" i="26" s="1"/>
  <c r="K129" i="26"/>
  <c r="E129" i="26"/>
  <c r="B129" i="26"/>
  <c r="N128" i="26"/>
  <c r="M128" i="26"/>
  <c r="E128" i="26"/>
  <c r="B128" i="26"/>
  <c r="M127" i="26"/>
  <c r="N127" i="26" s="1"/>
  <c r="E127" i="26"/>
  <c r="B127" i="26"/>
  <c r="M126" i="26"/>
  <c r="N126" i="26" s="1"/>
  <c r="K126" i="26"/>
  <c r="E126" i="26"/>
  <c r="B126" i="26"/>
  <c r="N125" i="26"/>
  <c r="M125" i="26"/>
  <c r="E125" i="26"/>
  <c r="B125" i="26"/>
  <c r="M124" i="26"/>
  <c r="N124" i="26" s="1"/>
  <c r="K124" i="26"/>
  <c r="E124" i="26"/>
  <c r="B124" i="26"/>
  <c r="N123" i="26"/>
  <c r="M123" i="26"/>
  <c r="K123" i="26"/>
  <c r="E123" i="26"/>
  <c r="B123" i="26"/>
  <c r="M122" i="26"/>
  <c r="N122" i="26" s="1"/>
  <c r="K122" i="26"/>
  <c r="E122" i="26"/>
  <c r="B122" i="26"/>
  <c r="M121" i="26"/>
  <c r="N121" i="26" s="1"/>
  <c r="K121" i="26"/>
  <c r="E121" i="26"/>
  <c r="B121" i="26"/>
  <c r="M120" i="26"/>
  <c r="N120" i="26" s="1"/>
  <c r="K120" i="26"/>
  <c r="E120" i="26"/>
  <c r="B120" i="26"/>
  <c r="N119" i="26"/>
  <c r="M119" i="26"/>
  <c r="K119" i="26"/>
  <c r="E119" i="26"/>
  <c r="B119" i="26"/>
  <c r="M118" i="26"/>
  <c r="N118" i="26" s="1"/>
  <c r="K118" i="26"/>
  <c r="E118" i="26"/>
  <c r="B118" i="26"/>
  <c r="M117" i="26"/>
  <c r="N117" i="26" s="1"/>
  <c r="E117" i="26"/>
  <c r="B117" i="26"/>
  <c r="N116" i="26"/>
  <c r="M116" i="26"/>
  <c r="K116" i="26"/>
  <c r="E116" i="26"/>
  <c r="B116" i="26"/>
  <c r="M115" i="26"/>
  <c r="N115" i="26" s="1"/>
  <c r="K115" i="26"/>
  <c r="E115" i="26"/>
  <c r="B115" i="26"/>
  <c r="N114" i="26"/>
  <c r="M114" i="26"/>
  <c r="E114" i="26"/>
  <c r="B114" i="26"/>
  <c r="M113" i="26"/>
  <c r="N113" i="26" s="1"/>
  <c r="E113" i="26"/>
  <c r="B113" i="26"/>
  <c r="M112" i="26"/>
  <c r="N112" i="26" s="1"/>
  <c r="E112" i="26"/>
  <c r="B112" i="26"/>
  <c r="M111" i="26"/>
  <c r="N111" i="26" s="1"/>
  <c r="E111" i="26"/>
  <c r="B111" i="26"/>
  <c r="N110" i="26"/>
  <c r="M110" i="26"/>
  <c r="E110" i="26"/>
  <c r="B110" i="26"/>
  <c r="M109" i="26"/>
  <c r="N109" i="26" s="1"/>
  <c r="E109" i="26"/>
  <c r="B109" i="26"/>
  <c r="M108" i="26"/>
  <c r="N108" i="26" s="1"/>
  <c r="E108" i="26"/>
  <c r="B108" i="26"/>
  <c r="N107" i="26"/>
  <c r="M107" i="26"/>
  <c r="E107" i="26"/>
  <c r="B107" i="26"/>
  <c r="N106" i="26"/>
  <c r="M106" i="26"/>
  <c r="K106" i="26"/>
  <c r="E106" i="26"/>
  <c r="B106" i="26"/>
  <c r="M105" i="26"/>
  <c r="N105" i="26" s="1"/>
  <c r="E105" i="26"/>
  <c r="B105" i="26"/>
  <c r="N104" i="26"/>
  <c r="M104" i="26"/>
  <c r="K104" i="26"/>
  <c r="E104" i="26"/>
  <c r="B104" i="26"/>
  <c r="M103" i="26"/>
  <c r="N103" i="26" s="1"/>
  <c r="K103" i="26"/>
  <c r="E103" i="26"/>
  <c r="B103" i="26"/>
  <c r="M102" i="26"/>
  <c r="N102" i="26" s="1"/>
  <c r="E102" i="26"/>
  <c r="B102" i="26"/>
  <c r="N101" i="26"/>
  <c r="M101" i="26"/>
  <c r="K101" i="26"/>
  <c r="E101" i="26"/>
  <c r="B101" i="26"/>
  <c r="N100" i="26"/>
  <c r="M100" i="26"/>
  <c r="E100" i="26"/>
  <c r="B100" i="26"/>
  <c r="M99" i="26"/>
  <c r="N99" i="26" s="1"/>
  <c r="E99" i="26"/>
  <c r="B99" i="26"/>
  <c r="N98" i="26"/>
  <c r="M98" i="26"/>
  <c r="K98" i="26"/>
  <c r="E98" i="26"/>
  <c r="B98" i="26"/>
  <c r="N97" i="26"/>
  <c r="M97" i="26"/>
  <c r="K97" i="26"/>
  <c r="E97" i="26"/>
  <c r="B97" i="26"/>
  <c r="N96" i="26"/>
  <c r="M96" i="26"/>
  <c r="E96" i="26"/>
  <c r="B96" i="26"/>
  <c r="M95" i="26"/>
  <c r="N95" i="26" s="1"/>
  <c r="K95" i="26"/>
  <c r="E95" i="26"/>
  <c r="B95" i="26"/>
  <c r="N94" i="26"/>
  <c r="M94" i="26"/>
  <c r="K94" i="26"/>
  <c r="E94" i="26"/>
  <c r="B94" i="26"/>
  <c r="M93" i="26"/>
  <c r="N93" i="26" s="1"/>
  <c r="K93" i="26"/>
  <c r="E93" i="26"/>
  <c r="B93" i="26"/>
  <c r="M92" i="26"/>
  <c r="N92" i="26" s="1"/>
  <c r="K92" i="26"/>
  <c r="E92" i="26"/>
  <c r="B92" i="26"/>
  <c r="M91" i="26"/>
  <c r="N91" i="26" s="1"/>
  <c r="K91" i="26"/>
  <c r="E91" i="26"/>
  <c r="B91" i="26"/>
  <c r="N90" i="26"/>
  <c r="M90" i="26"/>
  <c r="K90" i="26"/>
  <c r="E90" i="26"/>
  <c r="B90" i="26"/>
  <c r="M89" i="26"/>
  <c r="N89" i="26" s="1"/>
  <c r="K89" i="26"/>
  <c r="E89" i="26"/>
  <c r="B89" i="26"/>
  <c r="M88" i="26"/>
  <c r="N88" i="26" s="1"/>
  <c r="K88" i="26"/>
  <c r="E88" i="26"/>
  <c r="B88" i="26"/>
  <c r="M87" i="26"/>
  <c r="N87" i="26" s="1"/>
  <c r="K87" i="26"/>
  <c r="E87" i="26"/>
  <c r="B87" i="26"/>
  <c r="N86" i="26"/>
  <c r="M86" i="26"/>
  <c r="K86" i="26"/>
  <c r="E86" i="26"/>
  <c r="B86" i="26"/>
  <c r="M85" i="26"/>
  <c r="N85" i="26" s="1"/>
  <c r="K85" i="26"/>
  <c r="E85" i="26"/>
  <c r="B85" i="26"/>
  <c r="M84" i="26"/>
  <c r="N84" i="26" s="1"/>
  <c r="K84" i="26"/>
  <c r="E84" i="26"/>
  <c r="B84" i="26"/>
  <c r="M83" i="26"/>
  <c r="N83" i="26" s="1"/>
  <c r="K83" i="26"/>
  <c r="E83" i="26"/>
  <c r="B83" i="26"/>
  <c r="N82" i="26"/>
  <c r="M82" i="26"/>
  <c r="K82" i="26"/>
  <c r="E82" i="26"/>
  <c r="B82" i="26"/>
  <c r="M81" i="26"/>
  <c r="N81" i="26" s="1"/>
  <c r="K81" i="26"/>
  <c r="E81" i="26"/>
  <c r="B81" i="26"/>
  <c r="M80" i="26"/>
  <c r="N80" i="26" s="1"/>
  <c r="K80" i="26"/>
  <c r="E80" i="26"/>
  <c r="B80" i="26"/>
  <c r="M79" i="26"/>
  <c r="N79" i="26" s="1"/>
  <c r="K79" i="26"/>
  <c r="E79" i="26"/>
  <c r="B79" i="26"/>
  <c r="N78" i="26"/>
  <c r="M78" i="26"/>
  <c r="K78" i="26"/>
  <c r="E78" i="26"/>
  <c r="B78" i="26"/>
  <c r="M77" i="26"/>
  <c r="N77" i="26" s="1"/>
  <c r="K77" i="26"/>
  <c r="E77" i="26"/>
  <c r="B77" i="26"/>
  <c r="M76" i="26"/>
  <c r="N76" i="26" s="1"/>
  <c r="K76" i="26"/>
  <c r="E76" i="26"/>
  <c r="B76" i="26"/>
  <c r="M75" i="26"/>
  <c r="N75" i="26" s="1"/>
  <c r="K75" i="26"/>
  <c r="E75" i="26"/>
  <c r="B75" i="26"/>
  <c r="N74" i="26"/>
  <c r="M74" i="26"/>
  <c r="K74" i="26"/>
  <c r="E74" i="26"/>
  <c r="B74" i="26"/>
  <c r="M73" i="26"/>
  <c r="N73" i="26" s="1"/>
  <c r="K73" i="26"/>
  <c r="E73" i="26"/>
  <c r="B73" i="26"/>
  <c r="M72" i="26"/>
  <c r="N72" i="26" s="1"/>
  <c r="E72" i="26"/>
  <c r="B72" i="26"/>
  <c r="N71" i="26"/>
  <c r="M71" i="26"/>
  <c r="K71" i="26"/>
  <c r="E71" i="26"/>
  <c r="B71" i="26"/>
  <c r="N70" i="26"/>
  <c r="M70" i="26"/>
  <c r="E70" i="26"/>
  <c r="B70" i="26"/>
  <c r="M69" i="26"/>
  <c r="N69" i="26" s="1"/>
  <c r="K69" i="26"/>
  <c r="E69" i="26"/>
  <c r="B69" i="26"/>
  <c r="M68" i="26"/>
  <c r="N68" i="26" s="1"/>
  <c r="K68" i="26"/>
  <c r="E68" i="26"/>
  <c r="B68" i="26"/>
  <c r="N67" i="26"/>
  <c r="M67" i="26"/>
  <c r="K67" i="26"/>
  <c r="E67" i="26"/>
  <c r="B67" i="26"/>
  <c r="M66" i="26"/>
  <c r="N66" i="26" s="1"/>
  <c r="E66" i="26"/>
  <c r="B66" i="26"/>
  <c r="M65" i="26"/>
  <c r="N65" i="26" s="1"/>
  <c r="E65" i="26"/>
  <c r="B65" i="26"/>
  <c r="N64" i="26"/>
  <c r="M64" i="26"/>
  <c r="E64" i="26"/>
  <c r="B64" i="26"/>
  <c r="N63" i="26"/>
  <c r="M63" i="26"/>
  <c r="K63" i="26"/>
  <c r="E63" i="26"/>
  <c r="B63" i="26"/>
  <c r="M62" i="26"/>
  <c r="N62" i="26" s="1"/>
  <c r="K62" i="26"/>
  <c r="E62" i="26"/>
  <c r="B62" i="26"/>
  <c r="N61" i="26"/>
  <c r="M61" i="26"/>
  <c r="K61" i="26"/>
  <c r="E61" i="26"/>
  <c r="B61" i="26"/>
  <c r="N60" i="26"/>
  <c r="M60" i="26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N57" i="26"/>
  <c r="M57" i="26"/>
  <c r="K57" i="26"/>
  <c r="E57" i="26"/>
  <c r="B57" i="26"/>
  <c r="M56" i="26"/>
  <c r="N56" i="26" s="1"/>
  <c r="E56" i="26"/>
  <c r="B56" i="26"/>
  <c r="M55" i="26"/>
  <c r="N55" i="26" s="1"/>
  <c r="E55" i="26"/>
  <c r="B55" i="26"/>
  <c r="N54" i="26"/>
  <c r="M54" i="26"/>
  <c r="K54" i="26"/>
  <c r="E54" i="26"/>
  <c r="B54" i="26"/>
  <c r="M53" i="26"/>
  <c r="N53" i="26" s="1"/>
  <c r="K53" i="26"/>
  <c r="E53" i="26"/>
  <c r="B53" i="26"/>
  <c r="M52" i="26"/>
  <c r="N52" i="26" s="1"/>
  <c r="K52" i="26"/>
  <c r="E52" i="26"/>
  <c r="B52" i="26"/>
  <c r="M51" i="26"/>
  <c r="N51" i="26" s="1"/>
  <c r="K51" i="26"/>
  <c r="E51" i="26"/>
  <c r="B51" i="26"/>
  <c r="N50" i="26"/>
  <c r="M50" i="26"/>
  <c r="K50" i="26"/>
  <c r="E50" i="26"/>
  <c r="B50" i="26"/>
  <c r="M49" i="26"/>
  <c r="N49" i="26" s="1"/>
  <c r="E49" i="26"/>
  <c r="B49" i="26"/>
  <c r="M48" i="26"/>
  <c r="N48" i="26" s="1"/>
  <c r="E48" i="26"/>
  <c r="B48" i="26"/>
  <c r="N47" i="26"/>
  <c r="M47" i="26"/>
  <c r="K47" i="26"/>
  <c r="E47" i="26"/>
  <c r="B47" i="26"/>
  <c r="M46" i="26"/>
  <c r="N46" i="26" s="1"/>
  <c r="K46" i="26"/>
  <c r="E46" i="26"/>
  <c r="B46" i="26"/>
  <c r="M45" i="26"/>
  <c r="N45" i="26" s="1"/>
  <c r="E45" i="26"/>
  <c r="B45" i="26"/>
  <c r="N44" i="26"/>
  <c r="M44" i="26"/>
  <c r="K44" i="26"/>
  <c r="E44" i="26"/>
  <c r="B44" i="26"/>
  <c r="N43" i="26"/>
  <c r="M43" i="26"/>
  <c r="E43" i="26"/>
  <c r="B43" i="26"/>
  <c r="M42" i="26"/>
  <c r="N42" i="26" s="1"/>
  <c r="E42" i="26"/>
  <c r="B42" i="26"/>
  <c r="N41" i="26"/>
  <c r="M41" i="26"/>
  <c r="K41" i="26"/>
  <c r="E41" i="26"/>
  <c r="B41" i="26"/>
  <c r="N40" i="26"/>
  <c r="M40" i="26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N37" i="26"/>
  <c r="M37" i="26"/>
  <c r="K37" i="26"/>
  <c r="E37" i="26"/>
  <c r="B37" i="26"/>
  <c r="M36" i="26"/>
  <c r="N36" i="26" s="1"/>
  <c r="K36" i="26"/>
  <c r="E36" i="26"/>
  <c r="B36" i="26"/>
  <c r="M35" i="26"/>
  <c r="N35" i="26" s="1"/>
  <c r="K35" i="26"/>
  <c r="E35" i="26"/>
  <c r="B35" i="26"/>
  <c r="M34" i="26"/>
  <c r="N34" i="26" s="1"/>
  <c r="E34" i="26"/>
  <c r="B34" i="26"/>
  <c r="N33" i="26"/>
  <c r="M33" i="26"/>
  <c r="E33" i="26"/>
  <c r="B33" i="26"/>
  <c r="M32" i="26"/>
  <c r="N32" i="26" s="1"/>
  <c r="E32" i="26"/>
  <c r="B32" i="26"/>
  <c r="N31" i="26"/>
  <c r="M31" i="26"/>
  <c r="K31" i="26"/>
  <c r="E31" i="26"/>
  <c r="B31" i="26"/>
  <c r="N30" i="26"/>
  <c r="M30" i="26"/>
  <c r="E30" i="26"/>
  <c r="B30" i="26"/>
  <c r="M29" i="26"/>
  <c r="N29" i="26" s="1"/>
  <c r="E29" i="26"/>
  <c r="B29" i="26"/>
  <c r="N28" i="26"/>
  <c r="M28" i="26"/>
  <c r="K28" i="26"/>
  <c r="E28" i="26"/>
  <c r="B28" i="26"/>
  <c r="N27" i="26"/>
  <c r="M27" i="26"/>
  <c r="E27" i="26"/>
  <c r="B27" i="26"/>
  <c r="M26" i="26"/>
  <c r="N26" i="26" s="1"/>
  <c r="K26" i="26"/>
  <c r="E26" i="26"/>
  <c r="B26" i="26"/>
  <c r="M25" i="26"/>
  <c r="N25" i="26" s="1"/>
  <c r="E25" i="26"/>
  <c r="B25" i="26"/>
  <c r="N24" i="26"/>
  <c r="M24" i="26"/>
  <c r="E24" i="26"/>
  <c r="B24" i="26"/>
  <c r="M23" i="26"/>
  <c r="N23" i="26" s="1"/>
  <c r="E23" i="26"/>
  <c r="B23" i="26"/>
  <c r="N22" i="26"/>
  <c r="M22" i="26"/>
  <c r="K22" i="26"/>
  <c r="E22" i="26"/>
  <c r="B22" i="26"/>
  <c r="N21" i="26"/>
  <c r="M21" i="26"/>
  <c r="K21" i="26"/>
  <c r="E21" i="26"/>
  <c r="B21" i="26"/>
  <c r="N20" i="26"/>
  <c r="M20" i="26"/>
  <c r="K20" i="26"/>
  <c r="E20" i="26"/>
  <c r="B20" i="26"/>
  <c r="M19" i="26"/>
  <c r="N19" i="26" s="1"/>
  <c r="K19" i="26"/>
  <c r="E19" i="26"/>
  <c r="B19" i="26"/>
  <c r="N18" i="26"/>
  <c r="M18" i="26"/>
  <c r="E18" i="26"/>
  <c r="B18" i="26"/>
  <c r="M17" i="26"/>
  <c r="N17" i="26" s="1"/>
  <c r="E17" i="26"/>
  <c r="B17" i="26"/>
  <c r="M16" i="26"/>
  <c r="N16" i="26" s="1"/>
  <c r="K16" i="26"/>
  <c r="E16" i="26"/>
  <c r="B16" i="26"/>
  <c r="N15" i="26"/>
  <c r="M15" i="26"/>
  <c r="K15" i="26"/>
  <c r="E15" i="26"/>
  <c r="B15" i="26"/>
  <c r="N14" i="26"/>
  <c r="M14" i="26"/>
  <c r="K14" i="26"/>
  <c r="E14" i="26"/>
  <c r="B14" i="26"/>
  <c r="N13" i="26"/>
  <c r="M13" i="26"/>
  <c r="E13" i="26"/>
  <c r="B13" i="26"/>
  <c r="M12" i="26"/>
  <c r="N12" i="26" s="1"/>
  <c r="E12" i="26"/>
  <c r="B12" i="26"/>
  <c r="N11" i="26"/>
  <c r="M11" i="26"/>
  <c r="E11" i="26"/>
  <c r="B11" i="26"/>
  <c r="M10" i="26"/>
  <c r="N10" i="26" s="1"/>
  <c r="E10" i="26"/>
  <c r="B10" i="26"/>
  <c r="N9" i="26"/>
  <c r="M9" i="26"/>
  <c r="K9" i="26"/>
  <c r="E9" i="26"/>
  <c r="B9" i="26"/>
  <c r="N8" i="26"/>
  <c r="M8" i="26"/>
  <c r="K8" i="26"/>
  <c r="E8" i="26"/>
  <c r="B8" i="26"/>
  <c r="N7" i="26"/>
  <c r="M7" i="26"/>
  <c r="E7" i="26"/>
  <c r="B7" i="26"/>
  <c r="M6" i="26"/>
  <c r="N6" i="26" s="1"/>
  <c r="K6" i="26"/>
  <c r="E6" i="26"/>
  <c r="B6" i="26"/>
  <c r="N5" i="26"/>
  <c r="M5" i="26"/>
  <c r="E5" i="26"/>
  <c r="B5" i="26"/>
  <c r="N4" i="26"/>
  <c r="M4" i="26"/>
  <c r="E4" i="26"/>
  <c r="B4" i="26"/>
  <c r="V2" i="26"/>
  <c r="U2" i="26"/>
  <c r="T2" i="26"/>
  <c r="S2" i="26"/>
  <c r="M2" i="26" s="1"/>
  <c r="R2" i="26"/>
  <c r="Q2" i="26"/>
  <c r="P2" i="26"/>
  <c r="O2" i="26"/>
  <c r="L2" i="26"/>
  <c r="K2" i="26"/>
  <c r="J2" i="26"/>
  <c r="I2" i="26"/>
  <c r="H2" i="26"/>
  <c r="G2" i="26"/>
  <c r="F2" i="26"/>
  <c r="E2" i="26"/>
  <c r="N134" i="3"/>
  <c r="M134" i="3"/>
  <c r="E134" i="3"/>
  <c r="B134" i="3"/>
  <c r="M133" i="3"/>
  <c r="N133" i="3" s="1"/>
  <c r="E133" i="3"/>
  <c r="B133" i="3"/>
  <c r="N132" i="3"/>
  <c r="M132" i="3"/>
  <c r="E132" i="3"/>
  <c r="B132" i="3"/>
  <c r="M131" i="3"/>
  <c r="N131" i="3" s="1"/>
  <c r="E131" i="3"/>
  <c r="B131" i="3"/>
  <c r="N130" i="3"/>
  <c r="M130" i="3"/>
  <c r="E130" i="3"/>
  <c r="B130" i="3"/>
  <c r="M129" i="3"/>
  <c r="N129" i="3" s="1"/>
  <c r="E129" i="3"/>
  <c r="B129" i="3"/>
  <c r="M128" i="3"/>
  <c r="N128" i="3" s="1"/>
  <c r="E128" i="3"/>
  <c r="B128" i="3"/>
  <c r="N127" i="3"/>
  <c r="M127" i="3"/>
  <c r="E127" i="3"/>
  <c r="B127" i="3"/>
  <c r="N126" i="3"/>
  <c r="M126" i="3"/>
  <c r="E126" i="3"/>
  <c r="B126" i="3"/>
  <c r="M125" i="3"/>
  <c r="N125" i="3" s="1"/>
  <c r="E125" i="3"/>
  <c r="B125" i="3"/>
  <c r="N124" i="3"/>
  <c r="M124" i="3"/>
  <c r="E124" i="3"/>
  <c r="B124" i="3"/>
  <c r="M123" i="3"/>
  <c r="N123" i="3" s="1"/>
  <c r="E123" i="3"/>
  <c r="B123" i="3"/>
  <c r="N122" i="3"/>
  <c r="M122" i="3"/>
  <c r="E122" i="3"/>
  <c r="B122" i="3"/>
  <c r="M121" i="3"/>
  <c r="N121" i="3" s="1"/>
  <c r="E121" i="3"/>
  <c r="B121" i="3"/>
  <c r="M120" i="3"/>
  <c r="N120" i="3" s="1"/>
  <c r="E120" i="3"/>
  <c r="B120" i="3"/>
  <c r="N119" i="3"/>
  <c r="M119" i="3"/>
  <c r="E119" i="3"/>
  <c r="B119" i="3"/>
  <c r="N118" i="3"/>
  <c r="M118" i="3"/>
  <c r="E118" i="3"/>
  <c r="B118" i="3"/>
  <c r="M117" i="3"/>
  <c r="N117" i="3" s="1"/>
  <c r="E117" i="3"/>
  <c r="B117" i="3"/>
  <c r="N116" i="3"/>
  <c r="M116" i="3"/>
  <c r="E116" i="3"/>
  <c r="B116" i="3"/>
  <c r="M115" i="3"/>
  <c r="N115" i="3" s="1"/>
  <c r="E115" i="3"/>
  <c r="B115" i="3"/>
  <c r="N114" i="3"/>
  <c r="M114" i="3"/>
  <c r="E114" i="3"/>
  <c r="B114" i="3"/>
  <c r="M113" i="3"/>
  <c r="N113" i="3" s="1"/>
  <c r="E113" i="3"/>
  <c r="B113" i="3"/>
  <c r="M112" i="3"/>
  <c r="N112" i="3" s="1"/>
  <c r="E112" i="3"/>
  <c r="B112" i="3"/>
  <c r="N111" i="3"/>
  <c r="M111" i="3"/>
  <c r="E111" i="3"/>
  <c r="B111" i="3"/>
  <c r="N110" i="3"/>
  <c r="M110" i="3"/>
  <c r="E110" i="3"/>
  <c r="B110" i="3"/>
  <c r="M109" i="3"/>
  <c r="N109" i="3" s="1"/>
  <c r="E109" i="3"/>
  <c r="B109" i="3"/>
  <c r="N108" i="3"/>
  <c r="M108" i="3"/>
  <c r="E108" i="3"/>
  <c r="B108" i="3"/>
  <c r="M107" i="3"/>
  <c r="N107" i="3" s="1"/>
  <c r="E107" i="3"/>
  <c r="B107" i="3"/>
  <c r="N106" i="3"/>
  <c r="M106" i="3"/>
  <c r="E106" i="3"/>
  <c r="B106" i="3"/>
  <c r="M105" i="3"/>
  <c r="N105" i="3" s="1"/>
  <c r="E105" i="3"/>
  <c r="B105" i="3"/>
  <c r="M104" i="3"/>
  <c r="N104" i="3" s="1"/>
  <c r="E104" i="3"/>
  <c r="B104" i="3"/>
  <c r="N103" i="3"/>
  <c r="M103" i="3"/>
  <c r="E103" i="3"/>
  <c r="B103" i="3"/>
  <c r="N102" i="3"/>
  <c r="M102" i="3"/>
  <c r="E102" i="3"/>
  <c r="B102" i="3"/>
  <c r="M101" i="3"/>
  <c r="N101" i="3" s="1"/>
  <c r="E101" i="3"/>
  <c r="B101" i="3"/>
  <c r="N100" i="3"/>
  <c r="M100" i="3"/>
  <c r="E100" i="3"/>
  <c r="B100" i="3"/>
  <c r="M99" i="3"/>
  <c r="N99" i="3" s="1"/>
  <c r="E99" i="3"/>
  <c r="B99" i="3"/>
  <c r="N98" i="3"/>
  <c r="M98" i="3"/>
  <c r="E98" i="3"/>
  <c r="B98" i="3"/>
  <c r="M97" i="3"/>
  <c r="N97" i="3" s="1"/>
  <c r="E97" i="3"/>
  <c r="B97" i="3"/>
  <c r="M96" i="3"/>
  <c r="N96" i="3" s="1"/>
  <c r="E96" i="3"/>
  <c r="B96" i="3"/>
  <c r="N95" i="3"/>
  <c r="M95" i="3"/>
  <c r="E95" i="3"/>
  <c r="B95" i="3"/>
  <c r="N94" i="3"/>
  <c r="M94" i="3"/>
  <c r="E94" i="3"/>
  <c r="B94" i="3"/>
  <c r="M93" i="3"/>
  <c r="N93" i="3" s="1"/>
  <c r="E93" i="3"/>
  <c r="B93" i="3"/>
  <c r="N92" i="3"/>
  <c r="M92" i="3"/>
  <c r="E92" i="3"/>
  <c r="B92" i="3"/>
  <c r="M91" i="3"/>
  <c r="N91" i="3" s="1"/>
  <c r="E91" i="3"/>
  <c r="B91" i="3"/>
  <c r="N90" i="3"/>
  <c r="M90" i="3"/>
  <c r="E90" i="3"/>
  <c r="B90" i="3"/>
  <c r="M89" i="3"/>
  <c r="N89" i="3" s="1"/>
  <c r="E89" i="3"/>
  <c r="B89" i="3"/>
  <c r="M88" i="3"/>
  <c r="N88" i="3" s="1"/>
  <c r="E88" i="3"/>
  <c r="B88" i="3"/>
  <c r="N87" i="3"/>
  <c r="M87" i="3"/>
  <c r="E87" i="3"/>
  <c r="B87" i="3"/>
  <c r="N86" i="3"/>
  <c r="M86" i="3"/>
  <c r="E86" i="3"/>
  <c r="B86" i="3"/>
  <c r="M85" i="3"/>
  <c r="N85" i="3" s="1"/>
  <c r="E85" i="3"/>
  <c r="B85" i="3"/>
  <c r="N84" i="3"/>
  <c r="M84" i="3"/>
  <c r="E84" i="3"/>
  <c r="B84" i="3"/>
  <c r="M83" i="3"/>
  <c r="N83" i="3" s="1"/>
  <c r="E83" i="3"/>
  <c r="B83" i="3"/>
  <c r="N82" i="3"/>
  <c r="M82" i="3"/>
  <c r="E82" i="3"/>
  <c r="B82" i="3"/>
  <c r="M81" i="3"/>
  <c r="N81" i="3" s="1"/>
  <c r="E81" i="3"/>
  <c r="B81" i="3"/>
  <c r="M80" i="3"/>
  <c r="N80" i="3" s="1"/>
  <c r="E80" i="3"/>
  <c r="B80" i="3"/>
  <c r="N79" i="3"/>
  <c r="M79" i="3"/>
  <c r="E79" i="3"/>
  <c r="B79" i="3"/>
  <c r="N78" i="3"/>
  <c r="M78" i="3"/>
  <c r="E78" i="3"/>
  <c r="B78" i="3"/>
  <c r="M77" i="3"/>
  <c r="N77" i="3" s="1"/>
  <c r="E77" i="3"/>
  <c r="B77" i="3"/>
  <c r="N76" i="3"/>
  <c r="M76" i="3"/>
  <c r="E76" i="3"/>
  <c r="B76" i="3"/>
  <c r="M75" i="3"/>
  <c r="N75" i="3" s="1"/>
  <c r="E75" i="3"/>
  <c r="B75" i="3"/>
  <c r="N74" i="3"/>
  <c r="M74" i="3"/>
  <c r="E74" i="3"/>
  <c r="B74" i="3"/>
  <c r="M73" i="3"/>
  <c r="N73" i="3" s="1"/>
  <c r="E73" i="3"/>
  <c r="B73" i="3"/>
  <c r="M72" i="3"/>
  <c r="N72" i="3" s="1"/>
  <c r="E72" i="3"/>
  <c r="B72" i="3"/>
  <c r="N71" i="3"/>
  <c r="M71" i="3"/>
  <c r="E71" i="3"/>
  <c r="B71" i="3"/>
  <c r="N70" i="3"/>
  <c r="M70" i="3"/>
  <c r="E70" i="3"/>
  <c r="B70" i="3"/>
  <c r="M69" i="3"/>
  <c r="N69" i="3" s="1"/>
  <c r="E69" i="3"/>
  <c r="B69" i="3"/>
  <c r="N68" i="3"/>
  <c r="M68" i="3"/>
  <c r="E68" i="3"/>
  <c r="B68" i="3"/>
  <c r="M67" i="3"/>
  <c r="N67" i="3" s="1"/>
  <c r="E67" i="3"/>
  <c r="B67" i="3"/>
  <c r="N66" i="3"/>
  <c r="M66" i="3"/>
  <c r="E66" i="3"/>
  <c r="B66" i="3"/>
  <c r="M65" i="3"/>
  <c r="N65" i="3" s="1"/>
  <c r="E65" i="3"/>
  <c r="B65" i="3"/>
  <c r="M64" i="3"/>
  <c r="N64" i="3" s="1"/>
  <c r="E64" i="3"/>
  <c r="B64" i="3"/>
  <c r="N63" i="3"/>
  <c r="M63" i="3"/>
  <c r="E63" i="3"/>
  <c r="B63" i="3"/>
  <c r="N62" i="3"/>
  <c r="M62" i="3"/>
  <c r="E62" i="3"/>
  <c r="B62" i="3"/>
  <c r="M61" i="3"/>
  <c r="N61" i="3" s="1"/>
  <c r="E61" i="3"/>
  <c r="B61" i="3"/>
  <c r="N60" i="3"/>
  <c r="M60" i="3"/>
  <c r="E60" i="3"/>
  <c r="B60" i="3"/>
  <c r="M59" i="3"/>
  <c r="N59" i="3" s="1"/>
  <c r="E59" i="3"/>
  <c r="B59" i="3"/>
  <c r="N58" i="3"/>
  <c r="M58" i="3"/>
  <c r="E58" i="3"/>
  <c r="B58" i="3"/>
  <c r="M57" i="3"/>
  <c r="N57" i="3" s="1"/>
  <c r="E57" i="3"/>
  <c r="B57" i="3"/>
  <c r="M56" i="3"/>
  <c r="N56" i="3" s="1"/>
  <c r="E56" i="3"/>
  <c r="B56" i="3"/>
  <c r="N55" i="3"/>
  <c r="M55" i="3"/>
  <c r="E55" i="3"/>
  <c r="B55" i="3"/>
  <c r="N54" i="3"/>
  <c r="M54" i="3"/>
  <c r="E54" i="3"/>
  <c r="B54" i="3"/>
  <c r="M53" i="3"/>
  <c r="N53" i="3" s="1"/>
  <c r="E53" i="3"/>
  <c r="B53" i="3"/>
  <c r="M52" i="3"/>
  <c r="N52" i="3" s="1"/>
  <c r="E52" i="3"/>
  <c r="B52" i="3"/>
  <c r="M51" i="3"/>
  <c r="N51" i="3" s="1"/>
  <c r="E51" i="3"/>
  <c r="B51" i="3"/>
  <c r="N50" i="3"/>
  <c r="M50" i="3"/>
  <c r="E50" i="3"/>
  <c r="B50" i="3"/>
  <c r="M49" i="3"/>
  <c r="N49" i="3" s="1"/>
  <c r="E49" i="3"/>
  <c r="B49" i="3"/>
  <c r="M48" i="3"/>
  <c r="N48" i="3" s="1"/>
  <c r="E48" i="3"/>
  <c r="B48" i="3"/>
  <c r="N47" i="3"/>
  <c r="M47" i="3"/>
  <c r="E47" i="3"/>
  <c r="B47" i="3"/>
  <c r="N46" i="3"/>
  <c r="M46" i="3"/>
  <c r="E46" i="3"/>
  <c r="B46" i="3"/>
  <c r="M45" i="3"/>
  <c r="N45" i="3" s="1"/>
  <c r="E45" i="3"/>
  <c r="B45" i="3"/>
  <c r="M44" i="3"/>
  <c r="N44" i="3" s="1"/>
  <c r="E44" i="3"/>
  <c r="B44" i="3"/>
  <c r="M43" i="3"/>
  <c r="N43" i="3" s="1"/>
  <c r="E43" i="3"/>
  <c r="B43" i="3"/>
  <c r="N42" i="3"/>
  <c r="M42" i="3"/>
  <c r="E42" i="3"/>
  <c r="B42" i="3"/>
  <c r="M41" i="3"/>
  <c r="N41" i="3" s="1"/>
  <c r="E41" i="3"/>
  <c r="B41" i="3"/>
  <c r="M40" i="3"/>
  <c r="N40" i="3" s="1"/>
  <c r="E40" i="3"/>
  <c r="B40" i="3"/>
  <c r="N39" i="3"/>
  <c r="M39" i="3"/>
  <c r="E39" i="3"/>
  <c r="B39" i="3"/>
  <c r="N38" i="3"/>
  <c r="M38" i="3"/>
  <c r="E38" i="3"/>
  <c r="B38" i="3"/>
  <c r="M37" i="3"/>
  <c r="N37" i="3" s="1"/>
  <c r="E37" i="3"/>
  <c r="B37" i="3"/>
  <c r="M36" i="3"/>
  <c r="N36" i="3" s="1"/>
  <c r="E36" i="3"/>
  <c r="B36" i="3"/>
  <c r="M35" i="3"/>
  <c r="N35" i="3" s="1"/>
  <c r="E35" i="3"/>
  <c r="B35" i="3"/>
  <c r="N34" i="3"/>
  <c r="M34" i="3"/>
  <c r="E34" i="3"/>
  <c r="B34" i="3"/>
  <c r="M33" i="3"/>
  <c r="N33" i="3" s="1"/>
  <c r="E33" i="3"/>
  <c r="B33" i="3"/>
  <c r="M32" i="3"/>
  <c r="N32" i="3" s="1"/>
  <c r="E32" i="3"/>
  <c r="B32" i="3"/>
  <c r="N31" i="3"/>
  <c r="M31" i="3"/>
  <c r="E31" i="3"/>
  <c r="B31" i="3"/>
  <c r="N30" i="3"/>
  <c r="M30" i="3"/>
  <c r="E30" i="3"/>
  <c r="B30" i="3"/>
  <c r="M29" i="3"/>
  <c r="N29" i="3" s="1"/>
  <c r="E29" i="3"/>
  <c r="B29" i="3"/>
  <c r="M28" i="3"/>
  <c r="N28" i="3" s="1"/>
  <c r="E28" i="3"/>
  <c r="B28" i="3"/>
  <c r="M27" i="3"/>
  <c r="N27" i="3" s="1"/>
  <c r="E27" i="3"/>
  <c r="B27" i="3"/>
  <c r="N26" i="3"/>
  <c r="M26" i="3"/>
  <c r="E26" i="3"/>
  <c r="B26" i="3"/>
  <c r="M25" i="3"/>
  <c r="N25" i="3" s="1"/>
  <c r="E25" i="3"/>
  <c r="B25" i="3"/>
  <c r="M24" i="3"/>
  <c r="N24" i="3" s="1"/>
  <c r="E24" i="3"/>
  <c r="B24" i="3"/>
  <c r="N23" i="3"/>
  <c r="M23" i="3"/>
  <c r="E23" i="3"/>
  <c r="B23" i="3"/>
  <c r="N22" i="3"/>
  <c r="M22" i="3"/>
  <c r="E22" i="3"/>
  <c r="B22" i="3"/>
  <c r="M21" i="3"/>
  <c r="N21" i="3" s="1"/>
  <c r="E21" i="3"/>
  <c r="B21" i="3"/>
  <c r="M20" i="3"/>
  <c r="N20" i="3" s="1"/>
  <c r="E20" i="3"/>
  <c r="B20" i="3"/>
  <c r="M19" i="3"/>
  <c r="N19" i="3" s="1"/>
  <c r="E19" i="3"/>
  <c r="B19" i="3"/>
  <c r="N18" i="3"/>
  <c r="M18" i="3"/>
  <c r="E18" i="3"/>
  <c r="B18" i="3"/>
  <c r="M17" i="3"/>
  <c r="N17" i="3" s="1"/>
  <c r="E17" i="3"/>
  <c r="B17" i="3"/>
  <c r="M16" i="3"/>
  <c r="N16" i="3" s="1"/>
  <c r="E16" i="3"/>
  <c r="B16" i="3"/>
  <c r="M15" i="3"/>
  <c r="N15" i="3" s="1"/>
  <c r="E15" i="3"/>
  <c r="B15" i="3"/>
  <c r="N14" i="3"/>
  <c r="M14" i="3"/>
  <c r="E14" i="3"/>
  <c r="B14" i="3"/>
  <c r="M13" i="3"/>
  <c r="N13" i="3" s="1"/>
  <c r="E13" i="3"/>
  <c r="B13" i="3"/>
  <c r="M12" i="3"/>
  <c r="N12" i="3" s="1"/>
  <c r="E12" i="3"/>
  <c r="B12" i="3"/>
  <c r="M11" i="3"/>
  <c r="N11" i="3" s="1"/>
  <c r="E11" i="3"/>
  <c r="B11" i="3"/>
  <c r="N10" i="3"/>
  <c r="M10" i="3"/>
  <c r="E10" i="3"/>
  <c r="B10" i="3"/>
  <c r="M9" i="3"/>
  <c r="N9" i="3" s="1"/>
  <c r="E9" i="3"/>
  <c r="B9" i="3"/>
  <c r="M8" i="3"/>
  <c r="N8" i="3" s="1"/>
  <c r="E8" i="3"/>
  <c r="B8" i="3"/>
  <c r="M7" i="3"/>
  <c r="N7" i="3" s="1"/>
  <c r="E7" i="3"/>
  <c r="B7" i="3"/>
  <c r="N6" i="3"/>
  <c r="M6" i="3"/>
  <c r="E6" i="3"/>
  <c r="B6" i="3"/>
  <c r="M5" i="3"/>
  <c r="N5" i="3" s="1"/>
  <c r="E5" i="3"/>
  <c r="B5" i="3"/>
  <c r="M4" i="3"/>
  <c r="N4" i="3" s="1"/>
  <c r="E4" i="3"/>
  <c r="B4" i="3"/>
  <c r="V2" i="3"/>
  <c r="U2" i="3"/>
  <c r="T2" i="3"/>
  <c r="S2" i="3"/>
  <c r="R2" i="3"/>
  <c r="Q2" i="3"/>
  <c r="P2" i="3"/>
  <c r="O2" i="3"/>
  <c r="M2" i="3"/>
  <c r="L2" i="3"/>
  <c r="J2" i="3"/>
  <c r="I2" i="3"/>
  <c r="H2" i="3"/>
  <c r="G2" i="3"/>
  <c r="K2" i="3" s="1"/>
  <c r="F2" i="3"/>
  <c r="E2" i="3"/>
  <c r="W134" i="39"/>
  <c r="W126" i="39"/>
  <c r="W118" i="39"/>
  <c r="W110" i="39"/>
  <c r="W102" i="39"/>
  <c r="W94" i="39"/>
  <c r="W86" i="39"/>
  <c r="W78" i="39"/>
  <c r="W70" i="39"/>
  <c r="W62" i="39"/>
  <c r="W54" i="39"/>
  <c r="W46" i="39"/>
  <c r="W38" i="39"/>
  <c r="W30" i="39"/>
  <c r="W22" i="39"/>
  <c r="W14" i="39"/>
  <c r="W6" i="39"/>
  <c r="W134" i="38"/>
  <c r="W127" i="38"/>
  <c r="W120" i="38"/>
  <c r="W113" i="38"/>
  <c r="W102" i="38"/>
  <c r="W86" i="38"/>
  <c r="W70" i="38"/>
  <c r="W54" i="38"/>
  <c r="W38" i="38"/>
  <c r="W22" i="38"/>
  <c r="W6" i="38"/>
  <c r="W2" i="38"/>
  <c r="W125" i="37"/>
  <c r="W119" i="37"/>
  <c r="W91" i="37"/>
  <c r="W75" i="37"/>
  <c r="W59" i="37"/>
  <c r="W43" i="37"/>
  <c r="W27" i="37"/>
  <c r="W11" i="37"/>
  <c r="W120" i="36"/>
  <c r="W118" i="36"/>
  <c r="W116" i="36"/>
  <c r="W111" i="36"/>
  <c r="W109" i="36"/>
  <c r="W104" i="36"/>
  <c r="W101" i="36"/>
  <c r="W85" i="36"/>
  <c r="W69" i="36"/>
  <c r="W53" i="36"/>
  <c r="W37" i="36"/>
  <c r="W21" i="36"/>
  <c r="W5" i="36"/>
  <c r="W133" i="35"/>
  <c r="W130" i="35"/>
  <c r="W120" i="35"/>
  <c r="W117" i="35"/>
  <c r="W114" i="35"/>
  <c r="W104" i="35"/>
  <c r="W101" i="35"/>
  <c r="W98" i="35"/>
  <c r="W88" i="35"/>
  <c r="W79" i="35"/>
  <c r="W76" i="35"/>
  <c r="W73" i="35"/>
  <c r="W70" i="35"/>
  <c r="W49" i="35"/>
  <c r="W33" i="35"/>
  <c r="W24" i="35"/>
  <c r="W21" i="35"/>
  <c r="W18" i="35"/>
  <c r="W15" i="35"/>
  <c r="W128" i="34"/>
  <c r="W117" i="34"/>
  <c r="W110" i="34"/>
  <c r="W103" i="34"/>
  <c r="W96" i="34"/>
  <c r="W85" i="34"/>
  <c r="W78" i="34"/>
  <c r="W71" i="34"/>
  <c r="W64" i="34"/>
  <c r="W53" i="34"/>
  <c r="W46" i="34"/>
  <c r="W39" i="34"/>
  <c r="W32" i="34"/>
  <c r="W21" i="34"/>
  <c r="W14" i="34"/>
  <c r="W7" i="34"/>
  <c r="W125" i="33"/>
  <c r="W122" i="33"/>
  <c r="W119" i="33"/>
  <c r="W109" i="33"/>
  <c r="W106" i="33"/>
  <c r="W103" i="33"/>
  <c r="W93" i="33"/>
  <c r="W90" i="33"/>
  <c r="W87" i="33"/>
  <c r="W129" i="39"/>
  <c r="W121" i="39"/>
  <c r="W113" i="39"/>
  <c r="W105" i="39"/>
  <c r="W97" i="39"/>
  <c r="W89" i="39"/>
  <c r="W81" i="39"/>
  <c r="W73" i="39"/>
  <c r="W65" i="39"/>
  <c r="W57" i="39"/>
  <c r="W49" i="39"/>
  <c r="W41" i="39"/>
  <c r="W33" i="39"/>
  <c r="W25" i="39"/>
  <c r="W17" i="39"/>
  <c r="W9" i="39"/>
  <c r="W131" i="38"/>
  <c r="W124" i="38"/>
  <c r="W117" i="38"/>
  <c r="W106" i="38"/>
  <c r="W99" i="38"/>
  <c r="W96" i="38"/>
  <c r="W93" i="38"/>
  <c r="W83" i="38"/>
  <c r="W80" i="38"/>
  <c r="W77" i="38"/>
  <c r="W67" i="38"/>
  <c r="W64" i="38"/>
  <c r="W61" i="38"/>
  <c r="W51" i="38"/>
  <c r="W48" i="38"/>
  <c r="W45" i="38"/>
  <c r="W35" i="38"/>
  <c r="W32" i="38"/>
  <c r="W29" i="38"/>
  <c r="W19" i="38"/>
  <c r="W16" i="38"/>
  <c r="W13" i="38"/>
  <c r="W132" i="37"/>
  <c r="W122" i="37"/>
  <c r="W117" i="37"/>
  <c r="W115" i="37"/>
  <c r="W110" i="37"/>
  <c r="W108" i="37"/>
  <c r="W106" i="37"/>
  <c r="W103" i="37"/>
  <c r="W98" i="37"/>
  <c r="W82" i="37"/>
  <c r="W66" i="37"/>
  <c r="W50" i="37"/>
  <c r="W34" i="37"/>
  <c r="W18" i="37"/>
  <c r="W133" i="36"/>
  <c r="W130" i="36"/>
  <c r="W127" i="36"/>
  <c r="W107" i="36"/>
  <c r="W92" i="36"/>
  <c r="W76" i="36"/>
  <c r="W60" i="36"/>
  <c r="W44" i="36"/>
  <c r="W28" i="36"/>
  <c r="W12" i="36"/>
  <c r="W127" i="35"/>
  <c r="W111" i="35"/>
  <c r="W95" i="35"/>
  <c r="W85" i="35"/>
  <c r="W82" i="35"/>
  <c r="W59" i="35"/>
  <c r="W56" i="35"/>
  <c r="W46" i="35"/>
  <c r="W43" i="35"/>
  <c r="W40" i="35"/>
  <c r="W30" i="35"/>
  <c r="W27" i="35"/>
  <c r="W4" i="35"/>
  <c r="W132" i="34"/>
  <c r="W121" i="34"/>
  <c r="W114" i="34"/>
  <c r="W107" i="34"/>
  <c r="W100" i="34"/>
  <c r="W89" i="34"/>
  <c r="W82" i="34"/>
  <c r="W75" i="34"/>
  <c r="W68" i="34"/>
  <c r="W57" i="34"/>
  <c r="W50" i="34"/>
  <c r="W43" i="34"/>
  <c r="W36" i="34"/>
  <c r="W25" i="34"/>
  <c r="W18" i="34"/>
  <c r="W11" i="34"/>
  <c r="W4" i="34"/>
  <c r="W132" i="33"/>
  <c r="W116" i="33"/>
  <c r="W100" i="33"/>
  <c r="W84" i="33"/>
  <c r="W132" i="39"/>
  <c r="W124" i="39"/>
  <c r="W116" i="39"/>
  <c r="W108" i="39"/>
  <c r="W100" i="39"/>
  <c r="W92" i="39"/>
  <c r="W84" i="39"/>
  <c r="W76" i="39"/>
  <c r="W68" i="39"/>
  <c r="W60" i="39"/>
  <c r="W52" i="39"/>
  <c r="W44" i="39"/>
  <c r="W36" i="39"/>
  <c r="W28" i="39"/>
  <c r="W20" i="39"/>
  <c r="W12" i="39"/>
  <c r="W4" i="39"/>
  <c r="W128" i="38"/>
  <c r="W121" i="38"/>
  <c r="W110" i="38"/>
  <c r="W103" i="38"/>
  <c r="W90" i="38"/>
  <c r="W74" i="38"/>
  <c r="W58" i="38"/>
  <c r="W42" i="38"/>
  <c r="W26" i="38"/>
  <c r="W10" i="38"/>
  <c r="W129" i="37"/>
  <c r="W113" i="37"/>
  <c r="W89" i="37"/>
  <c r="W73" i="37"/>
  <c r="W57" i="37"/>
  <c r="W41" i="37"/>
  <c r="W25" i="37"/>
  <c r="W9" i="37"/>
  <c r="W124" i="36"/>
  <c r="W114" i="36"/>
  <c r="W99" i="36"/>
  <c r="W83" i="36"/>
  <c r="W67" i="36"/>
  <c r="W51" i="36"/>
  <c r="W35" i="36"/>
  <c r="W19" i="36"/>
  <c r="W2" i="36"/>
  <c r="W134" i="35"/>
  <c r="W124" i="35"/>
  <c r="W121" i="35"/>
  <c r="W118" i="35"/>
  <c r="W108" i="35"/>
  <c r="W105" i="35"/>
  <c r="W102" i="35"/>
  <c r="W92" i="35"/>
  <c r="W89" i="35"/>
  <c r="W71" i="35"/>
  <c r="W68" i="35"/>
  <c r="W65" i="35"/>
  <c r="W62" i="35"/>
  <c r="W53" i="35"/>
  <c r="W37" i="35"/>
  <c r="W16" i="35"/>
  <c r="W13" i="35"/>
  <c r="W10" i="35"/>
  <c r="W7" i="35"/>
  <c r="W125" i="34"/>
  <c r="W118" i="34"/>
  <c r="W111" i="34"/>
  <c r="W104" i="34"/>
  <c r="W93" i="34"/>
  <c r="W86" i="34"/>
  <c r="W79" i="34"/>
  <c r="W72" i="34"/>
  <c r="W61" i="34"/>
  <c r="W54" i="34"/>
  <c r="W47" i="34"/>
  <c r="W40" i="34"/>
  <c r="W29" i="34"/>
  <c r="W22" i="34"/>
  <c r="W15" i="34"/>
  <c r="W8" i="34"/>
  <c r="W129" i="33"/>
  <c r="W126" i="33"/>
  <c r="W123" i="33"/>
  <c r="W113" i="33"/>
  <c r="W110" i="33"/>
  <c r="W107" i="33"/>
  <c r="W97" i="33"/>
  <c r="W127" i="39"/>
  <c r="W119" i="39"/>
  <c r="W111" i="39"/>
  <c r="W103" i="39"/>
  <c r="W95" i="39"/>
  <c r="W87" i="39"/>
  <c r="W79" i="39"/>
  <c r="W71" i="39"/>
  <c r="W63" i="39"/>
  <c r="W55" i="39"/>
  <c r="W47" i="39"/>
  <c r="W39" i="39"/>
  <c r="W31" i="39"/>
  <c r="W23" i="39"/>
  <c r="W15" i="39"/>
  <c r="W7" i="39"/>
  <c r="W132" i="38"/>
  <c r="W125" i="38"/>
  <c r="W114" i="38"/>
  <c r="W107" i="38"/>
  <c r="W100" i="38"/>
  <c r="W97" i="38"/>
  <c r="W87" i="38"/>
  <c r="W84" i="38"/>
  <c r="W81" i="38"/>
  <c r="W71" i="38"/>
  <c r="W68" i="38"/>
  <c r="W65" i="38"/>
  <c r="W55" i="38"/>
  <c r="W52" i="38"/>
  <c r="W49" i="38"/>
  <c r="W39" i="38"/>
  <c r="W36" i="38"/>
  <c r="W33" i="38"/>
  <c r="W23" i="38"/>
  <c r="W20" i="38"/>
  <c r="W17" i="38"/>
  <c r="W7" i="38"/>
  <c r="W4" i="38"/>
  <c r="W126" i="37"/>
  <c r="W123" i="37"/>
  <c r="W120" i="37"/>
  <c r="W104" i="37"/>
  <c r="W101" i="37"/>
  <c r="W96" i="37"/>
  <c r="W94" i="37"/>
  <c r="W92" i="37"/>
  <c r="W87" i="37"/>
  <c r="W85" i="37"/>
  <c r="W80" i="37"/>
  <c r="W78" i="37"/>
  <c r="W76" i="37"/>
  <c r="W71" i="37"/>
  <c r="W69" i="37"/>
  <c r="W64" i="37"/>
  <c r="W62" i="37"/>
  <c r="W60" i="37"/>
  <c r="W55" i="37"/>
  <c r="W53" i="37"/>
  <c r="W48" i="37"/>
  <c r="W46" i="37"/>
  <c r="W44" i="37"/>
  <c r="W39" i="37"/>
  <c r="W37" i="37"/>
  <c r="W32" i="37"/>
  <c r="W30" i="37"/>
  <c r="W28" i="37"/>
  <c r="W23" i="37"/>
  <c r="W21" i="37"/>
  <c r="W16" i="37"/>
  <c r="W14" i="37"/>
  <c r="W12" i="37"/>
  <c r="W7" i="37"/>
  <c r="W5" i="37"/>
  <c r="W134" i="36"/>
  <c r="W131" i="36"/>
  <c r="W121" i="36"/>
  <c r="W105" i="36"/>
  <c r="W102" i="36"/>
  <c r="W97" i="36"/>
  <c r="W95" i="36"/>
  <c r="W90" i="36"/>
  <c r="W88" i="36"/>
  <c r="W86" i="36"/>
  <c r="W81" i="36"/>
  <c r="W79" i="36"/>
  <c r="W74" i="36"/>
  <c r="W72" i="36"/>
  <c r="W70" i="36"/>
  <c r="W65" i="36"/>
  <c r="W63" i="36"/>
  <c r="W58" i="36"/>
  <c r="W56" i="36"/>
  <c r="W54" i="36"/>
  <c r="W49" i="36"/>
  <c r="W47" i="36"/>
  <c r="W42" i="36"/>
  <c r="W40" i="36"/>
  <c r="W38" i="36"/>
  <c r="W33" i="36"/>
  <c r="W31" i="36"/>
  <c r="W26" i="36"/>
  <c r="W24" i="36"/>
  <c r="W22" i="36"/>
  <c r="W17" i="36"/>
  <c r="W15" i="36"/>
  <c r="W10" i="36"/>
  <c r="W8" i="36"/>
  <c r="W6" i="36"/>
  <c r="W131" i="35"/>
  <c r="W115" i="35"/>
  <c r="W99" i="35"/>
  <c r="W86" i="35"/>
  <c r="W83" i="35"/>
  <c r="W80" i="35"/>
  <c r="W77" i="35"/>
  <c r="W74" i="35"/>
  <c r="W50" i="35"/>
  <c r="W47" i="35"/>
  <c r="W44" i="35"/>
  <c r="W34" i="35"/>
  <c r="W31" i="35"/>
  <c r="W130" i="39"/>
  <c r="W122" i="39"/>
  <c r="W114" i="39"/>
  <c r="W106" i="39"/>
  <c r="W98" i="39"/>
  <c r="W90" i="39"/>
  <c r="W82" i="39"/>
  <c r="W74" i="39"/>
  <c r="W66" i="39"/>
  <c r="W58" i="39"/>
  <c r="W50" i="39"/>
  <c r="W42" i="39"/>
  <c r="W34" i="39"/>
  <c r="W26" i="39"/>
  <c r="W18" i="39"/>
  <c r="W10" i="39"/>
  <c r="W129" i="38"/>
  <c r="W118" i="38"/>
  <c r="W111" i="38"/>
  <c r="W104" i="38"/>
  <c r="W94" i="38"/>
  <c r="W78" i="38"/>
  <c r="W62" i="38"/>
  <c r="W46" i="38"/>
  <c r="W30" i="38"/>
  <c r="W14" i="38"/>
  <c r="W133" i="37"/>
  <c r="W111" i="37"/>
  <c r="W99" i="37"/>
  <c r="W83" i="37"/>
  <c r="W67" i="37"/>
  <c r="W51" i="37"/>
  <c r="W35" i="37"/>
  <c r="W19" i="37"/>
  <c r="W2" i="37"/>
  <c r="W128" i="36"/>
  <c r="W119" i="36"/>
  <c r="W117" i="36"/>
  <c r="W112" i="36"/>
  <c r="W110" i="36"/>
  <c r="W108" i="36"/>
  <c r="W93" i="36"/>
  <c r="W77" i="36"/>
  <c r="W61" i="36"/>
  <c r="W45" i="36"/>
  <c r="W29" i="36"/>
  <c r="W13" i="36"/>
  <c r="W128" i="35"/>
  <c r="W125" i="35"/>
  <c r="W122" i="35"/>
  <c r="W112" i="35"/>
  <c r="W109" i="35"/>
  <c r="W106" i="35"/>
  <c r="W96" i="35"/>
  <c r="W93" i="35"/>
  <c r="W90" i="35"/>
  <c r="W63" i="35"/>
  <c r="W60" i="35"/>
  <c r="W57" i="35"/>
  <c r="W41" i="35"/>
  <c r="W8" i="35"/>
  <c r="W5" i="35"/>
  <c r="W133" i="34"/>
  <c r="W126" i="34"/>
  <c r="W119" i="34"/>
  <c r="W112" i="34"/>
  <c r="W101" i="34"/>
  <c r="W94" i="34"/>
  <c r="W87" i="34"/>
  <c r="W80" i="34"/>
  <c r="W69" i="34"/>
  <c r="W62" i="34"/>
  <c r="W55" i="34"/>
  <c r="W48" i="34"/>
  <c r="W37" i="34"/>
  <c r="W30" i="34"/>
  <c r="W23" i="34"/>
  <c r="W16" i="34"/>
  <c r="W5" i="34"/>
  <c r="W133" i="33"/>
  <c r="W130" i="33"/>
  <c r="W127" i="33"/>
  <c r="W117" i="33"/>
  <c r="W114" i="33"/>
  <c r="W111" i="33"/>
  <c r="W101" i="33"/>
  <c r="W98" i="33"/>
  <c r="W95" i="33"/>
  <c r="W85" i="33"/>
  <c r="W133" i="39"/>
  <c r="W125" i="39"/>
  <c r="W117" i="39"/>
  <c r="W109" i="39"/>
  <c r="W101" i="39"/>
  <c r="W93" i="39"/>
  <c r="W85" i="39"/>
  <c r="W77" i="39"/>
  <c r="W69" i="39"/>
  <c r="W61" i="39"/>
  <c r="W53" i="39"/>
  <c r="W45" i="39"/>
  <c r="W37" i="39"/>
  <c r="W29" i="39"/>
  <c r="W21" i="39"/>
  <c r="W13" i="39"/>
  <c r="W5" i="39"/>
  <c r="W133" i="38"/>
  <c r="W122" i="38"/>
  <c r="W115" i="38"/>
  <c r="W108" i="38"/>
  <c r="W101" i="38"/>
  <c r="W91" i="38"/>
  <c r="W88" i="38"/>
  <c r="W85" i="38"/>
  <c r="W75" i="38"/>
  <c r="W72" i="38"/>
  <c r="W69" i="38"/>
  <c r="W59" i="38"/>
  <c r="W56" i="38"/>
  <c r="W53" i="38"/>
  <c r="W43" i="38"/>
  <c r="W40" i="38"/>
  <c r="W37" i="38"/>
  <c r="W27" i="38"/>
  <c r="W24" i="38"/>
  <c r="W21" i="38"/>
  <c r="W11" i="38"/>
  <c r="W8" i="38"/>
  <c r="W5" i="38"/>
  <c r="W130" i="37"/>
  <c r="W127" i="37"/>
  <c r="W124" i="37"/>
  <c r="W118" i="37"/>
  <c r="W116" i="37"/>
  <c r="W114" i="37"/>
  <c r="W109" i="37"/>
  <c r="W107" i="37"/>
  <c r="W90" i="37"/>
  <c r="W74" i="37"/>
  <c r="W58" i="37"/>
  <c r="W42" i="37"/>
  <c r="W26" i="37"/>
  <c r="W10" i="37"/>
  <c r="W125" i="36"/>
  <c r="W122" i="36"/>
  <c r="W115" i="36"/>
  <c r="W103" i="36"/>
  <c r="W100" i="36"/>
  <c r="W84" i="36"/>
  <c r="W68" i="36"/>
  <c r="W52" i="36"/>
  <c r="W36" i="36"/>
  <c r="W20" i="36"/>
  <c r="W4" i="36"/>
  <c r="W119" i="35"/>
  <c r="W103" i="35"/>
  <c r="W87" i="35"/>
  <c r="W75" i="35"/>
  <c r="W72" i="35"/>
  <c r="W69" i="35"/>
  <c r="W66" i="35"/>
  <c r="W54" i="35"/>
  <c r="W51" i="35"/>
  <c r="W48" i="35"/>
  <c r="W38" i="35"/>
  <c r="W35" i="35"/>
  <c r="W32" i="35"/>
  <c r="W20" i="35"/>
  <c r="W17" i="35"/>
  <c r="W14" i="35"/>
  <c r="W11" i="35"/>
  <c r="W130" i="34"/>
  <c r="W123" i="34"/>
  <c r="W116" i="34"/>
  <c r="W105" i="34"/>
  <c r="W98" i="34"/>
  <c r="W91" i="34"/>
  <c r="W84" i="34"/>
  <c r="W73" i="34"/>
  <c r="W66" i="34"/>
  <c r="W59" i="34"/>
  <c r="W52" i="34"/>
  <c r="W41" i="34"/>
  <c r="W34" i="34"/>
  <c r="W27" i="34"/>
  <c r="W20" i="34"/>
  <c r="W9" i="34"/>
  <c r="W124" i="33"/>
  <c r="W108" i="33"/>
  <c r="W92" i="33"/>
  <c r="W128" i="39"/>
  <c r="W131" i="39"/>
  <c r="W123" i="39"/>
  <c r="W115" i="39"/>
  <c r="W107" i="39"/>
  <c r="W99" i="39"/>
  <c r="W91" i="39"/>
  <c r="W83" i="39"/>
  <c r="W75" i="39"/>
  <c r="W67" i="39"/>
  <c r="W59" i="39"/>
  <c r="W51" i="39"/>
  <c r="W43" i="39"/>
  <c r="W35" i="39"/>
  <c r="W27" i="39"/>
  <c r="W19" i="39"/>
  <c r="W11" i="39"/>
  <c r="W2" i="39"/>
  <c r="W130" i="38"/>
  <c r="W123" i="38"/>
  <c r="W116" i="38"/>
  <c r="W109" i="38"/>
  <c r="W95" i="38"/>
  <c r="W92" i="38"/>
  <c r="W89" i="38"/>
  <c r="W79" i="38"/>
  <c r="W76" i="38"/>
  <c r="W73" i="38"/>
  <c r="W63" i="38"/>
  <c r="W60" i="38"/>
  <c r="W57" i="38"/>
  <c r="W47" i="38"/>
  <c r="W44" i="38"/>
  <c r="W41" i="38"/>
  <c r="W31" i="38"/>
  <c r="W28" i="38"/>
  <c r="W25" i="38"/>
  <c r="W15" i="38"/>
  <c r="W12" i="38"/>
  <c r="W9" i="38"/>
  <c r="W134" i="37"/>
  <c r="W131" i="37"/>
  <c r="W128" i="37"/>
  <c r="W112" i="37"/>
  <c r="W102" i="37"/>
  <c r="W100" i="37"/>
  <c r="W95" i="37"/>
  <c r="W93" i="37"/>
  <c r="W88" i="37"/>
  <c r="W86" i="37"/>
  <c r="W84" i="37"/>
  <c r="W79" i="37"/>
  <c r="W77" i="37"/>
  <c r="W72" i="37"/>
  <c r="W70" i="37"/>
  <c r="W68" i="37"/>
  <c r="W63" i="37"/>
  <c r="W61" i="37"/>
  <c r="W56" i="37"/>
  <c r="W54" i="37"/>
  <c r="W52" i="37"/>
  <c r="W47" i="37"/>
  <c r="W45" i="37"/>
  <c r="W40" i="37"/>
  <c r="W38" i="37"/>
  <c r="W36" i="37"/>
  <c r="W31" i="37"/>
  <c r="W29" i="37"/>
  <c r="W24" i="37"/>
  <c r="W22" i="37"/>
  <c r="W20" i="37"/>
  <c r="W15" i="37"/>
  <c r="W13" i="37"/>
  <c r="W8" i="37"/>
  <c r="W6" i="37"/>
  <c r="W4" i="37"/>
  <c r="W129" i="36"/>
  <c r="W126" i="36"/>
  <c r="W123" i="36"/>
  <c r="W113" i="36"/>
  <c r="W98" i="36"/>
  <c r="W96" i="36"/>
  <c r="W94" i="36"/>
  <c r="W89" i="36"/>
  <c r="W87" i="36"/>
  <c r="W82" i="36"/>
  <c r="W80" i="36"/>
  <c r="W78" i="36"/>
  <c r="W73" i="36"/>
  <c r="W71" i="36"/>
  <c r="W66" i="36"/>
  <c r="W64" i="36"/>
  <c r="W62" i="36"/>
  <c r="W57" i="36"/>
  <c r="W55" i="36"/>
  <c r="W50" i="36"/>
  <c r="W48" i="36"/>
  <c r="W46" i="36"/>
  <c r="W41" i="36"/>
  <c r="W39" i="36"/>
  <c r="W34" i="36"/>
  <c r="W32" i="36"/>
  <c r="W30" i="36"/>
  <c r="W25" i="36"/>
  <c r="W23" i="36"/>
  <c r="W18" i="36"/>
  <c r="W16" i="36"/>
  <c r="W14" i="36"/>
  <c r="W9" i="36"/>
  <c r="W7" i="36"/>
  <c r="W123" i="35"/>
  <c r="W107" i="35"/>
  <c r="W91" i="35"/>
  <c r="W67" i="35"/>
  <c r="W64" i="35"/>
  <c r="W61" i="35"/>
  <c r="W58" i="35"/>
  <c r="W55" i="35"/>
  <c r="W52" i="35"/>
  <c r="W42" i="35"/>
  <c r="W39" i="35"/>
  <c r="W36" i="35"/>
  <c r="W12" i="35"/>
  <c r="W9" i="35"/>
  <c r="W6" i="35"/>
  <c r="W2" i="35"/>
  <c r="W131" i="34"/>
  <c r="W124" i="34"/>
  <c r="W72" i="39"/>
  <c r="W8" i="39"/>
  <c r="W18" i="38"/>
  <c r="W65" i="37"/>
  <c r="W27" i="36"/>
  <c r="W113" i="35"/>
  <c r="W84" i="35"/>
  <c r="W22" i="35"/>
  <c r="W115" i="34"/>
  <c r="W76" i="34"/>
  <c r="W51" i="34"/>
  <c r="W12" i="34"/>
  <c r="W120" i="33"/>
  <c r="W115" i="33"/>
  <c r="W105" i="33"/>
  <c r="W81" i="33"/>
  <c r="W78" i="33"/>
  <c r="W75" i="33"/>
  <c r="W51" i="33"/>
  <c r="W48" i="33"/>
  <c r="W45" i="33"/>
  <c r="W42" i="33"/>
  <c r="W19" i="33"/>
  <c r="W16" i="33"/>
  <c r="W13" i="33"/>
  <c r="W10" i="33"/>
  <c r="W132" i="25"/>
  <c r="W125" i="25"/>
  <c r="W118" i="25"/>
  <c r="W111" i="25"/>
  <c r="W100" i="25"/>
  <c r="W93" i="25"/>
  <c r="W86" i="25"/>
  <c r="W79" i="25"/>
  <c r="W68" i="25"/>
  <c r="W61" i="25"/>
  <c r="W54" i="25"/>
  <c r="W47" i="25"/>
  <c r="W36" i="25"/>
  <c r="W29" i="25"/>
  <c r="W22" i="25"/>
  <c r="W15" i="25"/>
  <c r="W4" i="25"/>
  <c r="W132" i="32"/>
  <c r="W129" i="32"/>
  <c r="W126" i="32"/>
  <c r="W116" i="32"/>
  <c r="W113" i="32"/>
  <c r="W110" i="32"/>
  <c r="W100" i="32"/>
  <c r="W97" i="32"/>
  <c r="W86" i="32"/>
  <c r="W83" i="32"/>
  <c r="W80" i="32"/>
  <c r="W69" i="32"/>
  <c r="W58" i="32"/>
  <c r="W55" i="32"/>
  <c r="W52" i="32"/>
  <c r="W49" i="32"/>
  <c r="W38" i="32"/>
  <c r="W27" i="32"/>
  <c r="W15" i="32"/>
  <c r="W4" i="32"/>
  <c r="W155" i="31"/>
  <c r="W152" i="31"/>
  <c r="W144" i="31"/>
  <c r="W136" i="31"/>
  <c r="W128" i="31"/>
  <c r="W120" i="31"/>
  <c r="W112" i="31"/>
  <c r="W104" i="31"/>
  <c r="W96" i="31"/>
  <c r="W88" i="31"/>
  <c r="W80" i="31"/>
  <c r="W72" i="31"/>
  <c r="W64" i="31"/>
  <c r="W56" i="31"/>
  <c r="W48" i="31"/>
  <c r="W40" i="31"/>
  <c r="W32" i="31"/>
  <c r="W24" i="31"/>
  <c r="W16" i="31"/>
  <c r="W8" i="31"/>
  <c r="W134" i="30"/>
  <c r="W130" i="30"/>
  <c r="W126" i="30"/>
  <c r="W120" i="30"/>
  <c r="W117" i="30"/>
  <c r="W112" i="30"/>
  <c r="W109" i="30"/>
  <c r="W101" i="30"/>
  <c r="W96" i="30"/>
  <c r="W90" i="30"/>
  <c r="W79" i="30"/>
  <c r="W64" i="30"/>
  <c r="W61" i="30"/>
  <c r="W49" i="30"/>
  <c r="W39" i="30"/>
  <c r="W36" i="30"/>
  <c r="W29" i="30"/>
  <c r="W13" i="30"/>
  <c r="W131" i="29"/>
  <c r="W124" i="29"/>
  <c r="W113" i="29"/>
  <c r="W106" i="29"/>
  <c r="W99" i="29"/>
  <c r="W92" i="29"/>
  <c r="W81" i="29"/>
  <c r="W74" i="29"/>
  <c r="W64" i="29"/>
  <c r="W48" i="29"/>
  <c r="W32" i="29"/>
  <c r="W16" i="29"/>
  <c r="W103" i="28"/>
  <c r="W97" i="28"/>
  <c r="W89" i="28"/>
  <c r="W64" i="39"/>
  <c r="W105" i="38"/>
  <c r="W49" i="37"/>
  <c r="W11" i="36"/>
  <c r="W94" i="35"/>
  <c r="W25" i="35"/>
  <c r="W134" i="34"/>
  <c r="W90" i="34"/>
  <c r="W65" i="34"/>
  <c r="W26" i="34"/>
  <c r="W72" i="33"/>
  <c r="W63" i="33"/>
  <c r="W60" i="33"/>
  <c r="W57" i="33"/>
  <c r="W54" i="33"/>
  <c r="W31" i="33"/>
  <c r="W28" i="33"/>
  <c r="W25" i="33"/>
  <c r="W22" i="33"/>
  <c r="W129" i="25"/>
  <c r="W122" i="25"/>
  <c r="W115" i="25"/>
  <c r="W104" i="25"/>
  <c r="W97" i="25"/>
  <c r="W90" i="25"/>
  <c r="W83" i="25"/>
  <c r="W72" i="25"/>
  <c r="W65" i="25"/>
  <c r="W58" i="25"/>
  <c r="W51" i="25"/>
  <c r="W40" i="25"/>
  <c r="W33" i="25"/>
  <c r="W26" i="25"/>
  <c r="W19" i="25"/>
  <c r="W8" i="25"/>
  <c r="W123" i="32"/>
  <c r="W107" i="32"/>
  <c r="W92" i="32"/>
  <c r="W89" i="32"/>
  <c r="W75" i="32"/>
  <c r="W72" i="32"/>
  <c r="W61" i="32"/>
  <c r="W44" i="32"/>
  <c r="W41" i="32"/>
  <c r="W30" i="32"/>
  <c r="W22" i="32"/>
  <c r="W19" i="32"/>
  <c r="W8" i="32"/>
  <c r="W164" i="31"/>
  <c r="W161" i="31"/>
  <c r="W158" i="31"/>
  <c r="W147" i="31"/>
  <c r="W139" i="31"/>
  <c r="W131" i="31"/>
  <c r="W123" i="31"/>
  <c r="W115" i="31"/>
  <c r="W107" i="31"/>
  <c r="W99" i="31"/>
  <c r="W91" i="31"/>
  <c r="W83" i="31"/>
  <c r="W75" i="31"/>
  <c r="W67" i="31"/>
  <c r="W59" i="31"/>
  <c r="W51" i="31"/>
  <c r="W43" i="31"/>
  <c r="W35" i="31"/>
  <c r="W27" i="31"/>
  <c r="W19" i="31"/>
  <c r="W11" i="31"/>
  <c r="W2" i="31"/>
  <c r="W123" i="30"/>
  <c r="W104" i="30"/>
  <c r="W99" i="30"/>
  <c r="W94" i="30"/>
  <c r="W83" i="30"/>
  <c r="W76" i="30"/>
  <c r="W70" i="30"/>
  <c r="W67" i="30"/>
  <c r="W58" i="30"/>
  <c r="W47" i="30"/>
  <c r="W44" i="30"/>
  <c r="W34" i="30"/>
  <c r="W24" i="30"/>
  <c r="W18" i="30"/>
  <c r="W11" i="30"/>
  <c r="W4" i="30"/>
  <c r="W128" i="29"/>
  <c r="W117" i="29"/>
  <c r="W110" i="29"/>
  <c r="W103" i="29"/>
  <c r="W96" i="29"/>
  <c r="W85" i="29"/>
  <c r="W78" i="29"/>
  <c r="W71" i="29"/>
  <c r="W61" i="29"/>
  <c r="W58" i="29"/>
  <c r="W55" i="29"/>
  <c r="W45" i="29"/>
  <c r="W42" i="29"/>
  <c r="W39" i="29"/>
  <c r="W29" i="29"/>
  <c r="W26" i="29"/>
  <c r="W23" i="29"/>
  <c r="W13" i="29"/>
  <c r="W10" i="29"/>
  <c r="W7" i="29"/>
  <c r="W131" i="28"/>
  <c r="W128" i="28"/>
  <c r="W125" i="28"/>
  <c r="W122" i="28"/>
  <c r="W116" i="28"/>
  <c r="W92" i="28"/>
  <c r="W120" i="39"/>
  <c r="W56" i="39"/>
  <c r="W33" i="37"/>
  <c r="W106" i="36"/>
  <c r="W116" i="35"/>
  <c r="W28" i="35"/>
  <c r="W129" i="34"/>
  <c r="W99" i="34"/>
  <c r="W60" i="34"/>
  <c r="W35" i="34"/>
  <c r="W128" i="33"/>
  <c r="W118" i="33"/>
  <c r="W82" i="33"/>
  <c r="W79" i="33"/>
  <c r="W69" i="33"/>
  <c r="W66" i="33"/>
  <c r="W43" i="33"/>
  <c r="W40" i="33"/>
  <c r="W37" i="33"/>
  <c r="W34" i="33"/>
  <c r="W11" i="33"/>
  <c r="W8" i="33"/>
  <c r="W5" i="33"/>
  <c r="W133" i="25"/>
  <c r="W126" i="25"/>
  <c r="W119" i="25"/>
  <c r="W108" i="25"/>
  <c r="W101" i="25"/>
  <c r="W94" i="25"/>
  <c r="W87" i="25"/>
  <c r="W76" i="25"/>
  <c r="W69" i="25"/>
  <c r="W62" i="25"/>
  <c r="W55" i="25"/>
  <c r="W44" i="25"/>
  <c r="W37" i="25"/>
  <c r="W30" i="25"/>
  <c r="W23" i="25"/>
  <c r="W12" i="25"/>
  <c r="W5" i="25"/>
  <c r="W133" i="32"/>
  <c r="W130" i="32"/>
  <c r="W120" i="32"/>
  <c r="W117" i="32"/>
  <c r="W114" i="32"/>
  <c r="W104" i="32"/>
  <c r="W101" i="32"/>
  <c r="W98" i="32"/>
  <c r="W95" i="32"/>
  <c r="W78" i="32"/>
  <c r="W67" i="32"/>
  <c r="W64" i="32"/>
  <c r="W50" i="32"/>
  <c r="W47" i="32"/>
  <c r="W36" i="32"/>
  <c r="W33" i="32"/>
  <c r="W25" i="32"/>
  <c r="W12" i="32"/>
  <c r="W5" i="32"/>
  <c r="W150" i="31"/>
  <c r="W142" i="31"/>
  <c r="W134" i="31"/>
  <c r="W126" i="31"/>
  <c r="W118" i="31"/>
  <c r="W110" i="31"/>
  <c r="W102" i="31"/>
  <c r="W94" i="31"/>
  <c r="W86" i="31"/>
  <c r="W78" i="31"/>
  <c r="W70" i="31"/>
  <c r="W62" i="31"/>
  <c r="W54" i="31"/>
  <c r="W46" i="31"/>
  <c r="W38" i="31"/>
  <c r="W30" i="31"/>
  <c r="W22" i="31"/>
  <c r="W14" i="31"/>
  <c r="W6" i="31"/>
  <c r="W131" i="30"/>
  <c r="W127" i="30"/>
  <c r="W121" i="30"/>
  <c r="W115" i="30"/>
  <c r="W107" i="30"/>
  <c r="W87" i="30"/>
  <c r="W80" i="30"/>
  <c r="W73" i="30"/>
  <c r="W56" i="30"/>
  <c r="W53" i="30"/>
  <c r="W42" i="30"/>
  <c r="W32" i="30"/>
  <c r="W27" i="30"/>
  <c r="W22" i="30"/>
  <c r="W16" i="30"/>
  <c r="W9" i="30"/>
  <c r="W7" i="30"/>
  <c r="W132" i="29"/>
  <c r="W121" i="29"/>
  <c r="W114" i="29"/>
  <c r="W107" i="29"/>
  <c r="W100" i="29"/>
  <c r="W89" i="29"/>
  <c r="W82" i="29"/>
  <c r="W75" i="29"/>
  <c r="W68" i="29"/>
  <c r="W52" i="29"/>
  <c r="W36" i="29"/>
  <c r="W20" i="29"/>
  <c r="W4" i="29"/>
  <c r="W119" i="28"/>
  <c r="W113" i="28"/>
  <c r="W110" i="28"/>
  <c r="W107" i="28"/>
  <c r="W104" i="28"/>
  <c r="W101" i="28"/>
  <c r="W98" i="28"/>
  <c r="W95" i="28"/>
  <c r="W87" i="28"/>
  <c r="W112" i="39"/>
  <c r="W48" i="39"/>
  <c r="W126" i="38"/>
  <c r="W98" i="38"/>
  <c r="W17" i="37"/>
  <c r="W132" i="36"/>
  <c r="W126" i="35"/>
  <c r="W97" i="35"/>
  <c r="W23" i="35"/>
  <c r="W113" i="34"/>
  <c r="W102" i="34"/>
  <c r="W88" i="34"/>
  <c r="W77" i="34"/>
  <c r="W74" i="34"/>
  <c r="W63" i="34"/>
  <c r="W49" i="34"/>
  <c r="W38" i="34"/>
  <c r="W24" i="34"/>
  <c r="W13" i="34"/>
  <c r="W10" i="34"/>
  <c r="W131" i="33"/>
  <c r="W121" i="33"/>
  <c r="W76" i="33"/>
  <c r="W55" i="33"/>
  <c r="W52" i="33"/>
  <c r="W49" i="33"/>
  <c r="W46" i="33"/>
  <c r="W23" i="33"/>
  <c r="W20" i="33"/>
  <c r="W17" i="33"/>
  <c r="W14" i="33"/>
  <c r="W130" i="25"/>
  <c r="W123" i="25"/>
  <c r="W112" i="25"/>
  <c r="W105" i="25"/>
  <c r="W98" i="25"/>
  <c r="W91" i="25"/>
  <c r="W80" i="25"/>
  <c r="W73" i="25"/>
  <c r="W66" i="25"/>
  <c r="W59" i="25"/>
  <c r="W48" i="25"/>
  <c r="W41" i="25"/>
  <c r="W34" i="25"/>
  <c r="W27" i="25"/>
  <c r="W16" i="25"/>
  <c r="W9" i="25"/>
  <c r="W127" i="32"/>
  <c r="W111" i="32"/>
  <c r="W90" i="32"/>
  <c r="W87" i="32"/>
  <c r="W84" i="32"/>
  <c r="W81" i="32"/>
  <c r="W70" i="32"/>
  <c r="W59" i="32"/>
  <c r="W56" i="32"/>
  <c r="W53" i="32"/>
  <c r="W42" i="32"/>
  <c r="W39" i="32"/>
  <c r="W28" i="32"/>
  <c r="W16" i="32"/>
  <c r="W9" i="32"/>
  <c r="W159" i="31"/>
  <c r="W156" i="31"/>
  <c r="W153" i="31"/>
  <c r="W145" i="31"/>
  <c r="W137" i="31"/>
  <c r="W129" i="31"/>
  <c r="W121" i="31"/>
  <c r="W113" i="31"/>
  <c r="W105" i="31"/>
  <c r="W97" i="31"/>
  <c r="W89" i="31"/>
  <c r="W81" i="31"/>
  <c r="W73" i="31"/>
  <c r="W65" i="31"/>
  <c r="W57" i="31"/>
  <c r="W49" i="31"/>
  <c r="W41" i="31"/>
  <c r="W33" i="31"/>
  <c r="W25" i="31"/>
  <c r="W17" i="31"/>
  <c r="W9" i="31"/>
  <c r="W118" i="30"/>
  <c r="W110" i="30"/>
  <c r="W102" i="30"/>
  <c r="W97" i="30"/>
  <c r="W91" i="30"/>
  <c r="W84" i="30"/>
  <c r="W77" i="30"/>
  <c r="W65" i="30"/>
  <c r="W62" i="30"/>
  <c r="W59" i="30"/>
  <c r="W50" i="30"/>
  <c r="W45" i="30"/>
  <c r="W30" i="30"/>
  <c r="W19" i="30"/>
  <c r="W14" i="30"/>
  <c r="W5" i="30"/>
  <c r="W125" i="29"/>
  <c r="W118" i="29"/>
  <c r="W111" i="29"/>
  <c r="W104" i="29"/>
  <c r="W93" i="29"/>
  <c r="W86" i="29"/>
  <c r="W79" i="29"/>
  <c r="W72" i="29"/>
  <c r="W65" i="29"/>
  <c r="W62" i="29"/>
  <c r="W59" i="29"/>
  <c r="W49" i="29"/>
  <c r="W46" i="29"/>
  <c r="W43" i="29"/>
  <c r="W33" i="29"/>
  <c r="W30" i="29"/>
  <c r="W27" i="29"/>
  <c r="W17" i="29"/>
  <c r="W14" i="29"/>
  <c r="W11" i="29"/>
  <c r="W132" i="28"/>
  <c r="W90" i="28"/>
  <c r="W82" i="28"/>
  <c r="W79" i="28"/>
  <c r="W71" i="28"/>
  <c r="W68" i="28"/>
  <c r="W65" i="28"/>
  <c r="W57" i="28"/>
  <c r="W104" i="39"/>
  <c r="W40" i="39"/>
  <c r="W82" i="38"/>
  <c r="W121" i="37"/>
  <c r="W91" i="36"/>
  <c r="W78" i="35"/>
  <c r="W45" i="35"/>
  <c r="W26" i="35"/>
  <c r="W127" i="34"/>
  <c r="W108" i="34"/>
  <c r="W83" i="34"/>
  <c r="W44" i="34"/>
  <c r="W19" i="34"/>
  <c r="W96" i="33"/>
  <c r="W91" i="33"/>
  <c r="W88" i="33"/>
  <c r="W83" i="33"/>
  <c r="W73" i="33"/>
  <c r="W70" i="33"/>
  <c r="W67" i="33"/>
  <c r="W64" i="33"/>
  <c r="W61" i="33"/>
  <c r="W58" i="33"/>
  <c r="W35" i="33"/>
  <c r="W32" i="33"/>
  <c r="W29" i="33"/>
  <c r="W26" i="33"/>
  <c r="W2" i="33"/>
  <c r="W134" i="25"/>
  <c r="W127" i="25"/>
  <c r="W116" i="25"/>
  <c r="W109" i="25"/>
  <c r="W102" i="25"/>
  <c r="W95" i="25"/>
  <c r="W84" i="25"/>
  <c r="W77" i="25"/>
  <c r="W70" i="25"/>
  <c r="W63" i="25"/>
  <c r="W52" i="25"/>
  <c r="W45" i="25"/>
  <c r="W38" i="25"/>
  <c r="W31" i="25"/>
  <c r="W20" i="25"/>
  <c r="W13" i="25"/>
  <c r="W6" i="25"/>
  <c r="W134" i="32"/>
  <c r="W124" i="32"/>
  <c r="W121" i="32"/>
  <c r="W118" i="32"/>
  <c r="W108" i="32"/>
  <c r="W105" i="32"/>
  <c r="W102" i="32"/>
  <c r="W93" i="32"/>
  <c r="W76" i="32"/>
  <c r="W73" i="32"/>
  <c r="W62" i="32"/>
  <c r="W45" i="32"/>
  <c r="W34" i="32"/>
  <c r="W31" i="32"/>
  <c r="W23" i="32"/>
  <c r="W20" i="32"/>
  <c r="W13" i="32"/>
  <c r="W6" i="32"/>
  <c r="W165" i="31"/>
  <c r="W162" i="31"/>
  <c r="W148" i="31"/>
  <c r="W140" i="31"/>
  <c r="W132" i="31"/>
  <c r="W124" i="31"/>
  <c r="W116" i="31"/>
  <c r="W108" i="31"/>
  <c r="W100" i="31"/>
  <c r="W92" i="31"/>
  <c r="W84" i="31"/>
  <c r="W76" i="31"/>
  <c r="W68" i="31"/>
  <c r="W60" i="31"/>
  <c r="W52" i="31"/>
  <c r="W44" i="31"/>
  <c r="W36" i="31"/>
  <c r="W28" i="31"/>
  <c r="W20" i="31"/>
  <c r="W12" i="31"/>
  <c r="W4" i="31"/>
  <c r="W132" i="30"/>
  <c r="W128" i="30"/>
  <c r="W124" i="30"/>
  <c r="W113" i="30"/>
  <c r="W105" i="30"/>
  <c r="W95" i="30"/>
  <c r="W88" i="30"/>
  <c r="W81" i="30"/>
  <c r="W74" i="30"/>
  <c r="W48" i="30"/>
  <c r="W40" i="30"/>
  <c r="W37" i="30"/>
  <c r="W25" i="30"/>
  <c r="W12" i="30"/>
  <c r="W129" i="29"/>
  <c r="W122" i="29"/>
  <c r="W115" i="29"/>
  <c r="W108" i="29"/>
  <c r="W97" i="29"/>
  <c r="W90" i="29"/>
  <c r="W83" i="29"/>
  <c r="W76" i="29"/>
  <c r="W56" i="29"/>
  <c r="W40" i="29"/>
  <c r="W24" i="29"/>
  <c r="W8" i="29"/>
  <c r="W129" i="28"/>
  <c r="W126" i="28"/>
  <c r="W123" i="28"/>
  <c r="W120" i="28"/>
  <c r="W117" i="28"/>
  <c r="W96" i="39"/>
  <c r="W32" i="39"/>
  <c r="W119" i="38"/>
  <c r="W66" i="38"/>
  <c r="W105" i="37"/>
  <c r="W75" i="36"/>
  <c r="W129" i="35"/>
  <c r="W100" i="35"/>
  <c r="W29" i="35"/>
  <c r="W122" i="34"/>
  <c r="W97" i="34"/>
  <c r="W58" i="34"/>
  <c r="W33" i="34"/>
  <c r="W134" i="33"/>
  <c r="W104" i="33"/>
  <c r="W99" i="33"/>
  <c r="W80" i="33"/>
  <c r="W47" i="33"/>
  <c r="W44" i="33"/>
  <c r="W41" i="33"/>
  <c r="W38" i="33"/>
  <c r="W15" i="33"/>
  <c r="W12" i="33"/>
  <c r="W9" i="33"/>
  <c r="W6" i="33"/>
  <c r="W131" i="25"/>
  <c r="W120" i="25"/>
  <c r="W113" i="25"/>
  <c r="W106" i="25"/>
  <c r="W99" i="25"/>
  <c r="W88" i="25"/>
  <c r="W81" i="25"/>
  <c r="W74" i="25"/>
  <c r="W67" i="25"/>
  <c r="W56" i="25"/>
  <c r="W49" i="25"/>
  <c r="W42" i="25"/>
  <c r="W35" i="25"/>
  <c r="W24" i="25"/>
  <c r="W17" i="25"/>
  <c r="W10" i="25"/>
  <c r="W2" i="25"/>
  <c r="W131" i="32"/>
  <c r="W115" i="32"/>
  <c r="W99" i="32"/>
  <c r="W96" i="32"/>
  <c r="W82" i="32"/>
  <c r="W79" i="32"/>
  <c r="W68" i="32"/>
  <c r="W65" i="32"/>
  <c r="W54" i="32"/>
  <c r="W51" i="32"/>
  <c r="W48" i="32"/>
  <c r="W37" i="32"/>
  <c r="W26" i="32"/>
  <c r="W17" i="32"/>
  <c r="W10" i="32"/>
  <c r="W2" i="32"/>
  <c r="W151" i="31"/>
  <c r="W143" i="31"/>
  <c r="W135" i="31"/>
  <c r="W127" i="31"/>
  <c r="W119" i="31"/>
  <c r="W111" i="31"/>
  <c r="W103" i="31"/>
  <c r="W95" i="31"/>
  <c r="W87" i="31"/>
  <c r="W79" i="31"/>
  <c r="W71" i="31"/>
  <c r="W63" i="31"/>
  <c r="W55" i="31"/>
  <c r="W47" i="31"/>
  <c r="W39" i="31"/>
  <c r="W31" i="31"/>
  <c r="W23" i="31"/>
  <c r="W15" i="31"/>
  <c r="W7" i="31"/>
  <c r="W116" i="30"/>
  <c r="W108" i="30"/>
  <c r="W103" i="30"/>
  <c r="W100" i="30"/>
  <c r="W92" i="30"/>
  <c r="W85" i="30"/>
  <c r="W78" i="30"/>
  <c r="W71" i="30"/>
  <c r="W68" i="30"/>
  <c r="W57" i="30"/>
  <c r="W54" i="30"/>
  <c r="W51" i="30"/>
  <c r="W46" i="30"/>
  <c r="W35" i="30"/>
  <c r="W33" i="30"/>
  <c r="W28" i="30"/>
  <c r="W23" i="30"/>
  <c r="W20" i="30"/>
  <c r="W17" i="30"/>
  <c r="W133" i="29"/>
  <c r="W126" i="29"/>
  <c r="W119" i="29"/>
  <c r="W112" i="29"/>
  <c r="W101" i="29"/>
  <c r="W94" i="29"/>
  <c r="W87" i="29"/>
  <c r="W80" i="29"/>
  <c r="W69" i="29"/>
  <c r="W66" i="29"/>
  <c r="W63" i="29"/>
  <c r="W53" i="29"/>
  <c r="W50" i="29"/>
  <c r="W47" i="29"/>
  <c r="W37" i="29"/>
  <c r="W34" i="29"/>
  <c r="W31" i="29"/>
  <c r="W21" i="29"/>
  <c r="W18" i="29"/>
  <c r="W15" i="29"/>
  <c r="W5" i="29"/>
  <c r="W111" i="28"/>
  <c r="W105" i="28"/>
  <c r="W102" i="28"/>
  <c r="W99" i="28"/>
  <c r="W96" i="28"/>
  <c r="W88" i="39"/>
  <c r="W24" i="39"/>
  <c r="W50" i="38"/>
  <c r="W97" i="37"/>
  <c r="W59" i="36"/>
  <c r="W110" i="35"/>
  <c r="W81" i="35"/>
  <c r="W19" i="35"/>
  <c r="W92" i="34"/>
  <c r="W67" i="34"/>
  <c r="W28" i="34"/>
  <c r="W2" i="34"/>
  <c r="W94" i="33"/>
  <c r="W86" i="33"/>
  <c r="W77" i="33"/>
  <c r="W74" i="33"/>
  <c r="W71" i="33"/>
  <c r="W59" i="33"/>
  <c r="W56" i="33"/>
  <c r="W53" i="33"/>
  <c r="W50" i="33"/>
  <c r="W27" i="33"/>
  <c r="W24" i="33"/>
  <c r="W21" i="33"/>
  <c r="W18" i="33"/>
  <c r="W124" i="25"/>
  <c r="W117" i="25"/>
  <c r="W110" i="25"/>
  <c r="W103" i="25"/>
  <c r="W92" i="25"/>
  <c r="W85" i="25"/>
  <c r="W78" i="25"/>
  <c r="W71" i="25"/>
  <c r="W60" i="25"/>
  <c r="W53" i="25"/>
  <c r="W46" i="25"/>
  <c r="W39" i="25"/>
  <c r="W28" i="25"/>
  <c r="W21" i="25"/>
  <c r="W14" i="25"/>
  <c r="W7" i="25"/>
  <c r="W128" i="32"/>
  <c r="W125" i="32"/>
  <c r="W122" i="32"/>
  <c r="W112" i="32"/>
  <c r="W109" i="32"/>
  <c r="W106" i="32"/>
  <c r="W91" i="32"/>
  <c r="W88" i="32"/>
  <c r="W85" i="32"/>
  <c r="W74" i="32"/>
  <c r="W71" i="32"/>
  <c r="W60" i="32"/>
  <c r="W57" i="32"/>
  <c r="W43" i="32"/>
  <c r="W40" i="32"/>
  <c r="W29" i="32"/>
  <c r="W14" i="32"/>
  <c r="W7" i="32"/>
  <c r="W163" i="31"/>
  <c r="W160" i="31"/>
  <c r="W157" i="31"/>
  <c r="W154" i="31"/>
  <c r="W146" i="31"/>
  <c r="W138" i="31"/>
  <c r="W130" i="31"/>
  <c r="W122" i="31"/>
  <c r="W114" i="31"/>
  <c r="W106" i="31"/>
  <c r="W98" i="31"/>
  <c r="W90" i="31"/>
  <c r="W82" i="31"/>
  <c r="W74" i="31"/>
  <c r="W66" i="31"/>
  <c r="W58" i="31"/>
  <c r="W50" i="31"/>
  <c r="W42" i="31"/>
  <c r="W34" i="31"/>
  <c r="W26" i="31"/>
  <c r="W18" i="31"/>
  <c r="W10" i="31"/>
  <c r="W133" i="30"/>
  <c r="W129" i="30"/>
  <c r="W125" i="30"/>
  <c r="W122" i="30"/>
  <c r="W119" i="30"/>
  <c r="W111" i="30"/>
  <c r="W98" i="30"/>
  <c r="W89" i="30"/>
  <c r="W82" i="30"/>
  <c r="W66" i="30"/>
  <c r="W63" i="30"/>
  <c r="W60" i="30"/>
  <c r="W43" i="30"/>
  <c r="W38" i="30"/>
  <c r="W31" i="30"/>
  <c r="W26" i="30"/>
  <c r="W15" i="30"/>
  <c r="W10" i="30"/>
  <c r="W8" i="30"/>
  <c r="W2" i="30"/>
  <c r="W130" i="29"/>
  <c r="W123" i="29"/>
  <c r="W116" i="29"/>
  <c r="W105" i="29"/>
  <c r="W98" i="29"/>
  <c r="W91" i="29"/>
  <c r="W84" i="29"/>
  <c r="W73" i="29"/>
  <c r="W60" i="29"/>
  <c r="W44" i="29"/>
  <c r="W28" i="29"/>
  <c r="W12" i="29"/>
  <c r="W133" i="28"/>
  <c r="W130" i="28"/>
  <c r="W124" i="28"/>
  <c r="W91" i="28"/>
  <c r="W83" i="28"/>
  <c r="W80" i="28"/>
  <c r="W72" i="28"/>
  <c r="W69" i="28"/>
  <c r="W58" i="28"/>
  <c r="W50" i="28"/>
  <c r="W81" i="37"/>
  <c r="W95" i="34"/>
  <c r="W68" i="33"/>
  <c r="W30" i="33"/>
  <c r="W4" i="33"/>
  <c r="W117" i="31"/>
  <c r="W53" i="31"/>
  <c r="W114" i="30"/>
  <c r="W41" i="30"/>
  <c r="W120" i="29"/>
  <c r="W102" i="29"/>
  <c r="W35" i="29"/>
  <c r="W6" i="29"/>
  <c r="W127" i="28"/>
  <c r="W75" i="28"/>
  <c r="W60" i="28"/>
  <c r="W38" i="28"/>
  <c r="W35" i="28"/>
  <c r="W22" i="28"/>
  <c r="W19" i="28"/>
  <c r="W112" i="27"/>
  <c r="W109" i="27"/>
  <c r="W106" i="27"/>
  <c r="W103" i="27"/>
  <c r="W80" i="27"/>
  <c r="W77" i="27"/>
  <c r="W74" i="27"/>
  <c r="W71" i="27"/>
  <c r="W48" i="27"/>
  <c r="W45" i="27"/>
  <c r="W42" i="27"/>
  <c r="W39" i="27"/>
  <c r="W16" i="27"/>
  <c r="W13" i="27"/>
  <c r="W10" i="27"/>
  <c r="W7" i="27"/>
  <c r="W145" i="26"/>
  <c r="W143" i="26"/>
  <c r="W125" i="26"/>
  <c r="W122" i="26"/>
  <c r="W99" i="26"/>
  <c r="W96" i="26"/>
  <c r="W93" i="26"/>
  <c r="W70" i="26"/>
  <c r="W62" i="26"/>
  <c r="W59" i="26"/>
  <c r="W56" i="26"/>
  <c r="W54" i="26"/>
  <c r="W51" i="26"/>
  <c r="W43" i="26"/>
  <c r="W27" i="26"/>
  <c r="W13" i="26"/>
  <c r="W8" i="26"/>
  <c r="W5" i="26"/>
  <c r="W133" i="3"/>
  <c r="W124" i="3"/>
  <c r="W117" i="3"/>
  <c r="W108" i="3"/>
  <c r="W101" i="3"/>
  <c r="W92" i="3"/>
  <c r="W85" i="3"/>
  <c r="W76" i="3"/>
  <c r="W69" i="3"/>
  <c r="W60" i="3"/>
  <c r="W53" i="3"/>
  <c r="W51" i="3"/>
  <c r="W40" i="3"/>
  <c r="W20" i="3"/>
  <c r="W18" i="3"/>
  <c r="W5" i="3"/>
  <c r="W2" i="3"/>
  <c r="P53" i="24"/>
  <c r="P45" i="24"/>
  <c r="Q40" i="24"/>
  <c r="Q36" i="24"/>
  <c r="Q32" i="24"/>
  <c r="Q28" i="24"/>
  <c r="Q24" i="24"/>
  <c r="Q20" i="24"/>
  <c r="Q16" i="24"/>
  <c r="Q12" i="24"/>
  <c r="P9" i="24"/>
  <c r="Q5" i="24"/>
  <c r="Q15" i="24"/>
  <c r="P8" i="24"/>
  <c r="W25" i="25"/>
  <c r="W86" i="30"/>
  <c r="W55" i="28"/>
  <c r="W12" i="28"/>
  <c r="W123" i="27"/>
  <c r="W97" i="27"/>
  <c r="W62" i="27"/>
  <c r="W27" i="27"/>
  <c r="W127" i="26"/>
  <c r="W87" i="26"/>
  <c r="W48" i="26"/>
  <c r="W94" i="3"/>
  <c r="W62" i="3"/>
  <c r="W9" i="3"/>
  <c r="P29" i="24"/>
  <c r="W112" i="38"/>
  <c r="W70" i="34"/>
  <c r="W42" i="34"/>
  <c r="W89" i="33"/>
  <c r="W128" i="25"/>
  <c r="W82" i="25"/>
  <c r="W64" i="25"/>
  <c r="W18" i="25"/>
  <c r="W63" i="32"/>
  <c r="W46" i="32"/>
  <c r="W109" i="31"/>
  <c r="W45" i="31"/>
  <c r="W106" i="30"/>
  <c r="W69" i="30"/>
  <c r="W57" i="29"/>
  <c r="W118" i="28"/>
  <c r="W108" i="28"/>
  <c r="W94" i="28"/>
  <c r="W85" i="28"/>
  <c r="W78" i="28"/>
  <c r="W63" i="28"/>
  <c r="W53" i="28"/>
  <c r="W32" i="28"/>
  <c r="W29" i="28"/>
  <c r="W16" i="28"/>
  <c r="W13" i="28"/>
  <c r="W10" i="28"/>
  <c r="W7" i="28"/>
  <c r="W4" i="28"/>
  <c r="W124" i="27"/>
  <c r="W121" i="27"/>
  <c r="W118" i="27"/>
  <c r="W115" i="27"/>
  <c r="W92" i="27"/>
  <c r="W89" i="27"/>
  <c r="W86" i="27"/>
  <c r="W83" i="27"/>
  <c r="W60" i="27"/>
  <c r="W57" i="27"/>
  <c r="W54" i="27"/>
  <c r="W51" i="27"/>
  <c r="W28" i="27"/>
  <c r="W25" i="27"/>
  <c r="W22" i="27"/>
  <c r="W19" i="27"/>
  <c r="W140" i="26"/>
  <c r="W135" i="26"/>
  <c r="W130" i="26"/>
  <c r="W114" i="26"/>
  <c r="W102" i="26"/>
  <c r="W82" i="26"/>
  <c r="W79" i="26"/>
  <c r="W76" i="26"/>
  <c r="W73" i="26"/>
  <c r="W65" i="26"/>
  <c r="W46" i="26"/>
  <c r="W41" i="26"/>
  <c r="W38" i="26"/>
  <c r="W35" i="26"/>
  <c r="W30" i="26"/>
  <c r="W19" i="26"/>
  <c r="W11" i="26"/>
  <c r="W131" i="3"/>
  <c r="W122" i="3"/>
  <c r="W115" i="3"/>
  <c r="W106" i="3"/>
  <c r="W99" i="3"/>
  <c r="W90" i="3"/>
  <c r="W83" i="3"/>
  <c r="W74" i="3"/>
  <c r="W67" i="3"/>
  <c r="W58" i="3"/>
  <c r="W49" i="3"/>
  <c r="W47" i="3"/>
  <c r="W38" i="3"/>
  <c r="W29" i="3"/>
  <c r="W27" i="3"/>
  <c r="W16" i="3"/>
  <c r="W14" i="3"/>
  <c r="P60" i="24"/>
  <c r="P52" i="24"/>
  <c r="P44" i="24"/>
  <c r="P40" i="24"/>
  <c r="P36" i="24"/>
  <c r="P32" i="24"/>
  <c r="P28" i="24"/>
  <c r="P24" i="24"/>
  <c r="P20" i="24"/>
  <c r="P16" i="24"/>
  <c r="P12" i="24"/>
  <c r="Q8" i="24"/>
  <c r="P5" i="24"/>
  <c r="P51" i="24"/>
  <c r="Q39" i="24"/>
  <c r="Q31" i="24"/>
  <c r="Q23" i="24"/>
  <c r="Q11" i="24"/>
  <c r="Q4" i="24"/>
  <c r="W41" i="28"/>
  <c r="W126" i="27"/>
  <c r="W65" i="27"/>
  <c r="W36" i="27"/>
  <c r="W90" i="26"/>
  <c r="W126" i="3"/>
  <c r="W33" i="3"/>
  <c r="P33" i="24"/>
  <c r="P17" i="24"/>
  <c r="W45" i="34"/>
  <c r="W17" i="34"/>
  <c r="W33" i="33"/>
  <c r="W7" i="33"/>
  <c r="W18" i="32"/>
  <c r="W101" i="31"/>
  <c r="W37" i="31"/>
  <c r="W52" i="30"/>
  <c r="W95" i="29"/>
  <c r="W77" i="29"/>
  <c r="W67" i="29"/>
  <c r="W38" i="29"/>
  <c r="W9" i="29"/>
  <c r="W73" i="28"/>
  <c r="W66" i="28"/>
  <c r="W56" i="28"/>
  <c r="W48" i="28"/>
  <c r="W45" i="28"/>
  <c r="W42" i="28"/>
  <c r="W39" i="28"/>
  <c r="W26" i="28"/>
  <c r="W23" i="28"/>
  <c r="W133" i="27"/>
  <c r="W130" i="27"/>
  <c r="W127" i="27"/>
  <c r="W104" i="27"/>
  <c r="W101" i="27"/>
  <c r="W98" i="27"/>
  <c r="W95" i="27"/>
  <c r="W72" i="27"/>
  <c r="W69" i="27"/>
  <c r="W66" i="27"/>
  <c r="W63" i="27"/>
  <c r="W40" i="27"/>
  <c r="W37" i="27"/>
  <c r="W34" i="27"/>
  <c r="W31" i="27"/>
  <c r="W8" i="27"/>
  <c r="W5" i="27"/>
  <c r="W149" i="26"/>
  <c r="W146" i="26"/>
  <c r="W133" i="26"/>
  <c r="W128" i="26"/>
  <c r="W123" i="26"/>
  <c r="W120" i="26"/>
  <c r="W117" i="26"/>
  <c r="W112" i="26"/>
  <c r="W110" i="26"/>
  <c r="W105" i="26"/>
  <c r="W97" i="26"/>
  <c r="W94" i="26"/>
  <c r="W91" i="26"/>
  <c r="W88" i="26"/>
  <c r="W85" i="26"/>
  <c r="W71" i="26"/>
  <c r="W68" i="26"/>
  <c r="W63" i="26"/>
  <c r="W57" i="26"/>
  <c r="W44" i="26"/>
  <c r="W33" i="26"/>
  <c r="W28" i="26"/>
  <c r="W25" i="26"/>
  <c r="W14" i="26"/>
  <c r="W9" i="26"/>
  <c r="W2" i="26"/>
  <c r="W129" i="3"/>
  <c r="W127" i="3"/>
  <c r="W120" i="3"/>
  <c r="W113" i="3"/>
  <c r="W111" i="3"/>
  <c r="W104" i="3"/>
  <c r="W97" i="3"/>
  <c r="W95" i="3"/>
  <c r="W88" i="3"/>
  <c r="W81" i="3"/>
  <c r="W79" i="3"/>
  <c r="W72" i="3"/>
  <c r="W65" i="3"/>
  <c r="W63" i="3"/>
  <c r="W56" i="3"/>
  <c r="W36" i="3"/>
  <c r="W34" i="3"/>
  <c r="W25" i="3"/>
  <c r="W23" i="3"/>
  <c r="W12" i="3"/>
  <c r="W10" i="3"/>
  <c r="P59" i="24"/>
  <c r="Q43" i="24"/>
  <c r="Q35" i="24"/>
  <c r="Q27" i="24"/>
  <c r="Q19" i="24"/>
  <c r="W115" i="28"/>
  <c r="W47" i="28"/>
  <c r="W28" i="28"/>
  <c r="W68" i="27"/>
  <c r="W33" i="27"/>
  <c r="W148" i="26"/>
  <c r="W81" i="26"/>
  <c r="W44" i="3"/>
  <c r="P37" i="24"/>
  <c r="P13" i="24"/>
  <c r="W80" i="39"/>
  <c r="W106" i="34"/>
  <c r="W121" i="25"/>
  <c r="W75" i="25"/>
  <c r="W57" i="25"/>
  <c r="W11" i="25"/>
  <c r="W66" i="32"/>
  <c r="W93" i="31"/>
  <c r="W29" i="31"/>
  <c r="W72" i="30"/>
  <c r="W19" i="29"/>
  <c r="W121" i="28"/>
  <c r="W106" i="28"/>
  <c r="W88" i="28"/>
  <c r="W76" i="28"/>
  <c r="W61" i="28"/>
  <c r="W51" i="28"/>
  <c r="W36" i="28"/>
  <c r="W33" i="28"/>
  <c r="W20" i="28"/>
  <c r="W17" i="28"/>
  <c r="W5" i="28"/>
  <c r="W116" i="27"/>
  <c r="W113" i="27"/>
  <c r="W110" i="27"/>
  <c r="W107" i="27"/>
  <c r="W84" i="27"/>
  <c r="W81" i="27"/>
  <c r="W78" i="27"/>
  <c r="W75" i="27"/>
  <c r="W52" i="27"/>
  <c r="W49" i="27"/>
  <c r="W46" i="27"/>
  <c r="W43" i="27"/>
  <c r="W20" i="27"/>
  <c r="W17" i="27"/>
  <c r="W14" i="27"/>
  <c r="W11" i="27"/>
  <c r="W141" i="26"/>
  <c r="W138" i="26"/>
  <c r="W136" i="26"/>
  <c r="W126" i="26"/>
  <c r="W108" i="26"/>
  <c r="W100" i="26"/>
  <c r="W74" i="26"/>
  <c r="W60" i="26"/>
  <c r="W52" i="26"/>
  <c r="W49" i="26"/>
  <c r="W47" i="26"/>
  <c r="W31" i="26"/>
  <c r="W23" i="26"/>
  <c r="W20" i="26"/>
  <c r="W17" i="26"/>
  <c r="W6" i="26"/>
  <c r="W134" i="3"/>
  <c r="W118" i="3"/>
  <c r="W102" i="3"/>
  <c r="W86" i="3"/>
  <c r="W70" i="3"/>
  <c r="W54" i="3"/>
  <c r="W45" i="3"/>
  <c r="W43" i="3"/>
  <c r="W32" i="3"/>
  <c r="W8" i="3"/>
  <c r="W6" i="3"/>
  <c r="P58" i="24"/>
  <c r="P50" i="24"/>
  <c r="P43" i="24"/>
  <c r="P39" i="24"/>
  <c r="P35" i="24"/>
  <c r="P31" i="24"/>
  <c r="P27" i="24"/>
  <c r="P23" i="24"/>
  <c r="P19" i="24"/>
  <c r="P15" i="24"/>
  <c r="P11" i="24"/>
  <c r="Q7" i="24"/>
  <c r="P4" i="24"/>
  <c r="P48" i="24"/>
  <c r="P30" i="24"/>
  <c r="P22" i="24"/>
  <c r="P10" i="24"/>
  <c r="W84" i="26"/>
  <c r="W40" i="26"/>
  <c r="W7" i="3"/>
  <c r="Q9" i="24"/>
  <c r="W16" i="39"/>
  <c r="W34" i="38"/>
  <c r="W109" i="34"/>
  <c r="W81" i="34"/>
  <c r="W56" i="34"/>
  <c r="W62" i="33"/>
  <c r="W36" i="33"/>
  <c r="W119" i="32"/>
  <c r="W21" i="32"/>
  <c r="W11" i="32"/>
  <c r="W149" i="31"/>
  <c r="W85" i="31"/>
  <c r="W21" i="31"/>
  <c r="W55" i="30"/>
  <c r="W134" i="29"/>
  <c r="W88" i="29"/>
  <c r="W70" i="29"/>
  <c r="W41" i="29"/>
  <c r="W114" i="28"/>
  <c r="W109" i="28"/>
  <c r="W86" i="28"/>
  <c r="W81" i="28"/>
  <c r="W64" i="28"/>
  <c r="W54" i="28"/>
  <c r="W46" i="28"/>
  <c r="W43" i="28"/>
  <c r="W30" i="28"/>
  <c r="W27" i="28"/>
  <c r="W14" i="28"/>
  <c r="W11" i="28"/>
  <c r="W8" i="28"/>
  <c r="W128" i="27"/>
  <c r="W125" i="27"/>
  <c r="W122" i="27"/>
  <c r="W119" i="27"/>
  <c r="W96" i="27"/>
  <c r="W93" i="27"/>
  <c r="W90" i="27"/>
  <c r="W87" i="27"/>
  <c r="W64" i="27"/>
  <c r="W61" i="27"/>
  <c r="W58" i="27"/>
  <c r="W55" i="27"/>
  <c r="W32" i="27"/>
  <c r="W29" i="27"/>
  <c r="W26" i="27"/>
  <c r="W23" i="27"/>
  <c r="W150" i="26"/>
  <c r="W144" i="26"/>
  <c r="W131" i="26"/>
  <c r="W115" i="26"/>
  <c r="W106" i="26"/>
  <c r="W103" i="26"/>
  <c r="W98" i="26"/>
  <c r="W86" i="26"/>
  <c r="W83" i="26"/>
  <c r="W80" i="26"/>
  <c r="W77" i="26"/>
  <c r="W55" i="26"/>
  <c r="W39" i="26"/>
  <c r="W36" i="26"/>
  <c r="W15" i="26"/>
  <c r="W132" i="3"/>
  <c r="W125" i="3"/>
  <c r="W116" i="3"/>
  <c r="W109" i="3"/>
  <c r="W100" i="3"/>
  <c r="W93" i="3"/>
  <c r="W84" i="3"/>
  <c r="W77" i="3"/>
  <c r="W68" i="3"/>
  <c r="W61" i="3"/>
  <c r="W52" i="3"/>
  <c r="W50" i="3"/>
  <c r="W41" i="3"/>
  <c r="W39" i="3"/>
  <c r="W30" i="3"/>
  <c r="W21" i="3"/>
  <c r="W19" i="3"/>
  <c r="W4" i="3"/>
  <c r="P57" i="24"/>
  <c r="P49" i="24"/>
  <c r="Q42" i="24"/>
  <c r="Q38" i="24"/>
  <c r="Q34" i="24"/>
  <c r="Q30" i="24"/>
  <c r="Q26" i="24"/>
  <c r="Q22" i="24"/>
  <c r="Q18" i="24"/>
  <c r="Q14" i="24"/>
  <c r="Q10" i="24"/>
  <c r="P7" i="24"/>
  <c r="W15" i="3"/>
  <c r="P34" i="24"/>
  <c r="P18" i="24"/>
  <c r="Q6" i="24"/>
  <c r="W107" i="25"/>
  <c r="W125" i="31"/>
  <c r="W54" i="29"/>
  <c r="W44" i="28"/>
  <c r="W132" i="27"/>
  <c r="W94" i="27"/>
  <c r="W59" i="27"/>
  <c r="W4" i="27"/>
  <c r="W109" i="26"/>
  <c r="W67" i="26"/>
  <c r="W22" i="26"/>
  <c r="W22" i="3"/>
  <c r="P46" i="24"/>
  <c r="P25" i="24"/>
  <c r="W132" i="35"/>
  <c r="W102" i="33"/>
  <c r="W114" i="25"/>
  <c r="W96" i="25"/>
  <c r="W50" i="25"/>
  <c r="W32" i="25"/>
  <c r="W103" i="32"/>
  <c r="W94" i="32"/>
  <c r="W77" i="32"/>
  <c r="W32" i="32"/>
  <c r="W141" i="31"/>
  <c r="W77" i="31"/>
  <c r="W13" i="31"/>
  <c r="W93" i="30"/>
  <c r="W75" i="30"/>
  <c r="W21" i="30"/>
  <c r="W51" i="29"/>
  <c r="W22" i="29"/>
  <c r="W74" i="28"/>
  <c r="W67" i="28"/>
  <c r="W59" i="28"/>
  <c r="W49" i="28"/>
  <c r="W40" i="28"/>
  <c r="W37" i="28"/>
  <c r="W24" i="28"/>
  <c r="W21" i="28"/>
  <c r="W134" i="27"/>
  <c r="W131" i="27"/>
  <c r="W108" i="27"/>
  <c r="W105" i="27"/>
  <c r="W102" i="27"/>
  <c r="W99" i="27"/>
  <c r="W76" i="27"/>
  <c r="W73" i="27"/>
  <c r="W70" i="27"/>
  <c r="W67" i="27"/>
  <c r="W44" i="27"/>
  <c r="W41" i="27"/>
  <c r="W38" i="27"/>
  <c r="W35" i="27"/>
  <c r="W12" i="27"/>
  <c r="W9" i="27"/>
  <c r="W6" i="27"/>
  <c r="W2" i="27"/>
  <c r="W147" i="26"/>
  <c r="W139" i="26"/>
  <c r="W129" i="26"/>
  <c r="W124" i="26"/>
  <c r="W121" i="26"/>
  <c r="W118" i="26"/>
  <c r="W101" i="26"/>
  <c r="W95" i="26"/>
  <c r="W92" i="26"/>
  <c r="W89" i="26"/>
  <c r="W69" i="26"/>
  <c r="W66" i="26"/>
  <c r="W64" i="26"/>
  <c r="W61" i="26"/>
  <c r="W58" i="26"/>
  <c r="W50" i="26"/>
  <c r="W42" i="26"/>
  <c r="W26" i="26"/>
  <c r="W21" i="26"/>
  <c r="W12" i="26"/>
  <c r="W4" i="26"/>
  <c r="W130" i="3"/>
  <c r="W123" i="3"/>
  <c r="W114" i="3"/>
  <c r="W107" i="3"/>
  <c r="W98" i="3"/>
  <c r="W91" i="3"/>
  <c r="W82" i="3"/>
  <c r="W75" i="3"/>
  <c r="W66" i="3"/>
  <c r="W59" i="3"/>
  <c r="W48" i="3"/>
  <c r="W28" i="3"/>
  <c r="W26" i="3"/>
  <c r="W17" i="3"/>
  <c r="P56" i="24"/>
  <c r="P42" i="24"/>
  <c r="P38" i="24"/>
  <c r="P26" i="24"/>
  <c r="P14" i="24"/>
  <c r="W43" i="25"/>
  <c r="W35" i="32"/>
  <c r="W70" i="28"/>
  <c r="W100" i="27"/>
  <c r="W30" i="27"/>
  <c r="W132" i="26"/>
  <c r="W107" i="26"/>
  <c r="W32" i="26"/>
  <c r="W78" i="3"/>
  <c r="W31" i="3"/>
  <c r="P54" i="24"/>
  <c r="L6" i="24"/>
  <c r="W120" i="34"/>
  <c r="W31" i="34"/>
  <c r="W65" i="33"/>
  <c r="W39" i="33"/>
  <c r="W24" i="32"/>
  <c r="W133" i="31"/>
  <c r="W69" i="31"/>
  <c r="W5" i="31"/>
  <c r="W127" i="29"/>
  <c r="W109" i="29"/>
  <c r="W2" i="29"/>
  <c r="W112" i="28"/>
  <c r="W100" i="28"/>
  <c r="W93" i="28"/>
  <c r="W84" i="28"/>
  <c r="W77" i="28"/>
  <c r="W62" i="28"/>
  <c r="W52" i="28"/>
  <c r="W34" i="28"/>
  <c r="W31" i="28"/>
  <c r="W18" i="28"/>
  <c r="W15" i="28"/>
  <c r="W9" i="28"/>
  <c r="W6" i="28"/>
  <c r="W2" i="28"/>
  <c r="W120" i="27"/>
  <c r="W117" i="27"/>
  <c r="W114" i="27"/>
  <c r="W111" i="27"/>
  <c r="W88" i="27"/>
  <c r="W85" i="27"/>
  <c r="W82" i="27"/>
  <c r="W79" i="27"/>
  <c r="W56" i="27"/>
  <c r="W53" i="27"/>
  <c r="W50" i="27"/>
  <c r="W47" i="27"/>
  <c r="W24" i="27"/>
  <c r="W21" i="27"/>
  <c r="W18" i="27"/>
  <c r="W15" i="27"/>
  <c r="W142" i="26"/>
  <c r="W134" i="26"/>
  <c r="W116" i="26"/>
  <c r="W113" i="26"/>
  <c r="W111" i="26"/>
  <c r="W104" i="26"/>
  <c r="W78" i="26"/>
  <c r="W75" i="26"/>
  <c r="W72" i="26"/>
  <c r="W53" i="26"/>
  <c r="W45" i="26"/>
  <c r="W37" i="26"/>
  <c r="W34" i="26"/>
  <c r="W29" i="26"/>
  <c r="W24" i="26"/>
  <c r="W18" i="26"/>
  <c r="W10" i="26"/>
  <c r="W7" i="26"/>
  <c r="W128" i="3"/>
  <c r="W121" i="3"/>
  <c r="W119" i="3"/>
  <c r="W112" i="3"/>
  <c r="W105" i="3"/>
  <c r="W103" i="3"/>
  <c r="W96" i="3"/>
  <c r="W89" i="3"/>
  <c r="W87" i="3"/>
  <c r="W80" i="3"/>
  <c r="W73" i="3"/>
  <c r="W71" i="3"/>
  <c r="W64" i="3"/>
  <c r="W57" i="3"/>
  <c r="W55" i="3"/>
  <c r="W46" i="3"/>
  <c r="W37" i="3"/>
  <c r="W35" i="3"/>
  <c r="W24" i="3"/>
  <c r="W13" i="3"/>
  <c r="W11" i="3"/>
  <c r="P55" i="24"/>
  <c r="P47" i="24"/>
  <c r="Q41" i="24"/>
  <c r="Q37" i="24"/>
  <c r="Q33" i="24"/>
  <c r="Q29" i="24"/>
  <c r="Q25" i="24"/>
  <c r="Q21" i="24"/>
  <c r="Q17" i="24"/>
  <c r="Q13" i="24"/>
  <c r="L10" i="24"/>
  <c r="P6" i="24"/>
  <c r="W43" i="36"/>
  <c r="W6" i="34"/>
  <c r="W112" i="33"/>
  <c r="W89" i="25"/>
  <c r="W61" i="31"/>
  <c r="W6" i="30"/>
  <c r="W25" i="29"/>
  <c r="W25" i="28"/>
  <c r="W129" i="27"/>
  <c r="W91" i="27"/>
  <c r="W137" i="26"/>
  <c r="W119" i="26"/>
  <c r="W16" i="26"/>
  <c r="W110" i="3"/>
  <c r="W42" i="3"/>
  <c r="P41" i="24"/>
  <c r="P21" i="24"/>
  <c r="N2" i="28" l="1"/>
  <c r="N2" i="27"/>
  <c r="N2" i="26"/>
  <c r="N2" i="3"/>
  <c r="E2" i="27"/>
  <c r="M2" i="27"/>
  <c r="N2" i="34"/>
  <c r="E2" i="28"/>
  <c r="M2" i="29"/>
  <c r="N2" i="29" s="1"/>
  <c r="N2" i="30"/>
  <c r="N2" i="31"/>
  <c r="M2" i="33"/>
  <c r="N2" i="33" s="1"/>
  <c r="M2" i="38"/>
  <c r="E2" i="38"/>
  <c r="K2" i="38"/>
  <c r="M2" i="35"/>
  <c r="N2" i="35" s="1"/>
  <c r="K2" i="31"/>
  <c r="K2" i="29"/>
  <c r="E2" i="32"/>
  <c r="E2" i="31"/>
  <c r="E2" i="29"/>
  <c r="M2" i="25"/>
  <c r="N2" i="25" s="1"/>
  <c r="E2" i="34"/>
  <c r="M2" i="34"/>
  <c r="N2" i="38"/>
  <c r="K2" i="35"/>
  <c r="N6" i="38"/>
  <c r="E2" i="35"/>
  <c r="M2" i="36"/>
  <c r="N2" i="36" s="1"/>
  <c r="M2" i="37"/>
  <c r="N2" i="37" s="1"/>
  <c r="E2" i="25"/>
  <c r="E2" i="37"/>
</calcChain>
</file>

<file path=xl/sharedStrings.xml><?xml version="1.0" encoding="utf-8"?>
<sst xmlns="http://schemas.openxmlformats.org/spreadsheetml/2006/main" count="4204" uniqueCount="2135">
  <si>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</si>
  <si>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</si>
  <si>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</si>
  <si>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</si>
  <si>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</si>
  <si>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</si>
  <si>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</si>
  <si>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</si>
  <si>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</si>
  <si>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</si>
  <si>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</si>
  <si>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</si>
  <si>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</si>
  <si>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</si>
  <si>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</si>
  <si>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</si>
  <si>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</si>
  <si>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</si>
  <si>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</si>
  <si>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</si>
  <si>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</si>
  <si>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</si>
  <si>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</si>
  <si>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</si>
  <si>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</si>
  <si>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</si>
  <si>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</si>
  <si>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</si>
  <si>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</si>
  <si>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</si>
  <si>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</si>
  <si>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</si>
  <si>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</si>
  <si>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</si>
  <si>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</si>
  <si>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</si>
  <si>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</si>
  <si>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</si>
  <si>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</si>
  <si>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</si>
  <si>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</si>
  <si>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</si>
  <si>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</si>
  <si>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</si>
  <si>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</si>
  <si>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</si>
  <si>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</si>
  <si>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</si>
  <si>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</si>
  <si>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</si>
  <si>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</si>
  <si>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</si>
  <si>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</si>
  <si>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</si>
  <si>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</si>
  <si>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</si>
  <si>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</si>
  <si>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</si>
  <si>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</si>
  <si>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</si>
  <si>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</si>
  <si>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</si>
  <si>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</si>
  <si>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</si>
  <si>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</si>
  <si>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</si>
  <si>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</si>
  <si>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</si>
  <si>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</si>
  <si>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</si>
  <si>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</si>
  <si>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</si>
  <si>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</si>
  <si>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</si>
  <si>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</si>
  <si>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</si>
  <si>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</si>
  <si>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</si>
  <si>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</si>
  <si>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</si>
  <si>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</si>
  <si>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</si>
  <si>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</si>
  <si>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</si>
  <si>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</si>
  <si>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</si>
  <si>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</si>
  <si>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</si>
  <si>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</si>
  <si>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</si>
  <si>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</si>
  <si>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</si>
  <si>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</si>
  <si>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</si>
  <si>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</si>
  <si>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</si>
  <si>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</si>
  <si>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</si>
  <si>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</si>
  <si>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</si>
  <si>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</si>
  <si>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</si>
  <si>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</si>
  <si>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</si>
  <si>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</si>
  <si>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</si>
  <si>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</si>
  <si>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</si>
  <si>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</si>
  <si>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</si>
  <si>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</si>
  <si>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</si>
  <si>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</si>
  <si>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</si>
  <si>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</si>
  <si>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</si>
  <si>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</si>
  <si>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</si>
  <si>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</si>
  <si>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</si>
  <si>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</si>
  <si>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</si>
  <si>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</si>
  <si>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</si>
  <si>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</si>
  <si>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</si>
  <si>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</si>
  <si>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</si>
  <si>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</si>
  <si>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</si>
  <si>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</si>
  <si>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</si>
  <si>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</si>
  <si>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</si>
  <si>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</si>
  <si>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</si>
  <si>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</si>
  <si>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</si>
  <si>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</si>
  <si>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</si>
  <si>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</si>
  <si>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</si>
  <si>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</si>
  <si>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</si>
  <si>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</si>
  <si>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</si>
  <si>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</si>
  <si>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</si>
  <si>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</si>
  <si>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</si>
  <si>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</si>
  <si>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</si>
  <si>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</si>
  <si>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</si>
  <si>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</si>
  <si>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</si>
  <si>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</si>
  <si>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</si>
  <si>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</si>
  <si>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</si>
  <si>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</si>
  <si>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</si>
  <si>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</si>
  <si>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</si>
  <si>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</si>
  <si>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</si>
  <si>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</si>
  <si>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</si>
  <si>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</si>
  <si>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</si>
  <si>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</si>
  <si>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</si>
  <si>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</si>
  <si>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</si>
  <si>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</si>
  <si>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</si>
  <si>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</si>
  <si>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</si>
  <si>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</si>
  <si>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</si>
  <si>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</si>
  <si>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</si>
  <si>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</si>
  <si>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</si>
  <si>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</si>
  <si>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</si>
  <si>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</si>
  <si>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</si>
  <si>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</si>
  <si>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</si>
  <si>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</si>
  <si>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</si>
  <si>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</si>
  <si>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</si>
  <si>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</si>
  <si>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</si>
  <si>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</si>
  <si>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</si>
  <si>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</si>
  <si>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</si>
  <si>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</si>
  <si>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</si>
  <si>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</si>
  <si>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</si>
  <si>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</si>
  <si>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</si>
  <si>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</si>
  <si>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</si>
  <si>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</si>
  <si>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</si>
  <si>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</si>
  <si>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</si>
  <si>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</si>
  <si>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</si>
  <si>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</si>
  <si>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</si>
  <si>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</si>
  <si>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</si>
  <si>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</si>
  <si>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</si>
  <si>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</si>
  <si>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</si>
  <si>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</si>
  <si>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</si>
  <si>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</si>
  <si>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</si>
  <si>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</si>
  <si>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</si>
  <si>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</si>
  <si>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</si>
  <si>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</si>
  <si>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</si>
  <si>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</si>
  <si>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</si>
  <si>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</si>
  <si>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</si>
  <si>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</si>
  <si>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</si>
  <si>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</si>
  <si>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</si>
  <si>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</si>
  <si>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</si>
  <si>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</si>
  <si>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</si>
  <si>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</si>
  <si>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</si>
  <si>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</si>
  <si>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</si>
  <si>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</si>
  <si>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</si>
  <si>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</si>
  <si>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</si>
  <si>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</si>
  <si>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</si>
  <si>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</si>
  <si>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</si>
  <si>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</si>
  <si>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</si>
  <si>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</si>
  <si>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</si>
  <si>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</si>
  <si>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</si>
  <si>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</si>
  <si>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</si>
  <si>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</si>
  <si>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</si>
  <si>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</si>
  <si>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</si>
  <si>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</si>
  <si>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</si>
  <si>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</si>
  <si>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</si>
  <si>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</si>
  <si>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</si>
  <si>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</si>
  <si>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</si>
  <si>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</si>
  <si>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</si>
  <si>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</si>
  <si>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</si>
  <si>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</si>
  <si>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</si>
  <si>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</si>
  <si>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</si>
  <si>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</si>
  <si>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</si>
  <si>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</si>
  <si>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</si>
  <si>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</si>
  <si>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</si>
  <si>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</si>
  <si>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</si>
  <si>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</si>
  <si>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</si>
  <si>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</si>
  <si>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</si>
  <si>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</si>
  <si>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</si>
  <si>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</si>
  <si>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</si>
  <si>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</si>
  <si>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</si>
  <si>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</si>
  <si>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</si>
  <si>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</si>
  <si>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</si>
  <si>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</si>
  <si>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</si>
  <si>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</si>
  <si>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</si>
  <si>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</si>
  <si>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</si>
  <si>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</si>
  <si>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</si>
  <si>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</si>
  <si>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</si>
  <si>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</si>
  <si>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</si>
  <si>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</si>
  <si>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</si>
  <si>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</si>
  <si>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</si>
  <si>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</si>
  <si>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</si>
  <si>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</si>
  <si>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</si>
  <si>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</si>
  <si>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</si>
  <si>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</si>
  <si>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</si>
  <si>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</si>
  <si>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</si>
  <si>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</si>
  <si>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</si>
  <si>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</si>
  <si>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</si>
  <si>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</si>
  <si>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</si>
  <si>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</si>
  <si>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</si>
  <si>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</si>
  <si>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</si>
  <si>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</si>
  <si>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</si>
  <si>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</si>
  <si>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</si>
  <si>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</si>
  <si>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</si>
  <si>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</si>
  <si>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</si>
  <si>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</si>
  <si>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</si>
  <si>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</si>
  <si>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</si>
  <si>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</si>
  <si>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</si>
  <si>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</si>
  <si>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</si>
  <si>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</si>
  <si>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</si>
  <si>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</si>
  <si>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</si>
  <si>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</si>
  <si>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</si>
  <si>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</si>
  <si>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</si>
  <si>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</si>
  <si>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</si>
  <si>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</si>
  <si>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</si>
  <si>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</si>
  <si>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</si>
  <si>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</si>
  <si>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</si>
  <si>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</si>
  <si>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</si>
  <si>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</si>
  <si>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</si>
  <si>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</si>
  <si>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</si>
  <si>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</si>
  <si>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</si>
  <si>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</si>
  <si>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</si>
  <si>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</si>
  <si>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</si>
  <si>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</si>
  <si>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</si>
  <si>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</si>
  <si>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</si>
  <si>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</si>
  <si>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</si>
  <si>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</si>
  <si>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</si>
  <si>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</si>
  <si>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</si>
  <si>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</si>
  <si>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</si>
  <si>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</si>
  <si>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</si>
  <si>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</si>
  <si>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</si>
  <si>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</si>
  <si>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</si>
  <si>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</si>
  <si>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</si>
  <si>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</si>
  <si>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</si>
  <si>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</si>
  <si>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</si>
  <si>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</si>
  <si>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</si>
  <si>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</si>
  <si>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</si>
  <si>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</si>
  <si>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</si>
  <si>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</si>
  <si>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</si>
  <si>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</si>
  <si>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</si>
  <si>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</si>
  <si>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</si>
  <si>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</si>
  <si>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</si>
  <si>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</si>
  <si>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</si>
  <si>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</si>
  <si>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</si>
  <si>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</si>
  <si>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</si>
  <si>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</si>
  <si>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</si>
  <si>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</si>
  <si>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</si>
  <si>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</si>
  <si>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</si>
  <si>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</si>
  <si>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</si>
  <si>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</si>
  <si>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</si>
  <si>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</si>
  <si>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</si>
  <si>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</si>
  <si>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</si>
  <si>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</si>
  <si>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</si>
  <si>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</si>
  <si>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</si>
  <si>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</si>
  <si>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</si>
  <si>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</si>
  <si>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</si>
  <si>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</si>
  <si>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</si>
  <si>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</si>
  <si>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</si>
  <si>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</si>
  <si>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</si>
  <si>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</si>
  <si>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</si>
  <si>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</si>
  <si>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</si>
  <si>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</si>
  <si>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</si>
  <si>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</si>
  <si>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</si>
  <si>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</si>
  <si>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</si>
  <si>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</si>
  <si>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</si>
  <si>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</si>
  <si>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</si>
  <si>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</si>
  <si>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</si>
  <si>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</si>
  <si>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</si>
  <si>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</si>
  <si>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</si>
  <si>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</si>
  <si>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</si>
  <si>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</si>
  <si>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</si>
  <si>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</si>
  <si>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</si>
  <si>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</si>
  <si>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</si>
  <si>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</si>
  <si>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</si>
  <si>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</si>
  <si>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</si>
  <si>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</si>
  <si>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</si>
  <si>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</si>
  <si>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</si>
  <si>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</si>
  <si>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</si>
  <si>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</si>
  <si>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</si>
  <si>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</si>
  <si>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</si>
  <si>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</si>
  <si>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</si>
  <si>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</si>
  <si>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</si>
  <si>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</si>
  <si>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</si>
  <si>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</si>
  <si>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</si>
  <si>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</si>
  <si>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</si>
  <si>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</si>
  <si>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</si>
  <si>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</si>
  <si>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</si>
  <si>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</si>
  <si>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</si>
  <si>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</si>
  <si>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</si>
  <si>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</si>
  <si>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</si>
  <si>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</si>
  <si>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</si>
  <si>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</si>
  <si>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</si>
  <si>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</si>
  <si>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</si>
  <si>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</si>
  <si>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</si>
  <si>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</si>
  <si>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</si>
  <si>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</si>
  <si>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</si>
  <si>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</si>
  <si>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</si>
  <si>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</si>
  <si>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</si>
  <si>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</si>
  <si>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</si>
  <si>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</si>
  <si>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</si>
  <si>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</si>
  <si>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</si>
  <si>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</si>
  <si>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</si>
  <si>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</si>
  <si>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</si>
  <si>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</si>
  <si>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</si>
  <si>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</si>
  <si>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</si>
  <si>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</si>
  <si>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</si>
  <si>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</si>
  <si>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</si>
  <si>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</si>
  <si>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</si>
  <si>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</si>
  <si>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</si>
  <si>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</si>
  <si>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</si>
  <si>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</si>
  <si>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</si>
  <si>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</si>
  <si>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</si>
  <si>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</si>
  <si>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</si>
  <si>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</si>
  <si>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</si>
  <si>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</si>
  <si>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</si>
  <si>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</si>
  <si>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</si>
  <si>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</si>
  <si>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</si>
  <si>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</si>
  <si>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</si>
  <si>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</si>
  <si>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</si>
  <si>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</si>
  <si>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</si>
  <si>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</si>
  <si>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</si>
  <si>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</si>
  <si>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</si>
  <si>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</si>
  <si>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</si>
  <si>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</si>
  <si>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</si>
  <si>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</si>
  <si>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</si>
  <si>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</si>
  <si>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</si>
  <si>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</si>
  <si>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</si>
  <si>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</si>
  <si>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</si>
  <si>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</si>
  <si>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</si>
  <si>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</si>
  <si>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</si>
  <si>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</si>
  <si>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</si>
  <si>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</si>
  <si>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</si>
  <si>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</si>
  <si>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</si>
  <si>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</si>
  <si>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</si>
  <si>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</si>
  <si>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</si>
  <si>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</si>
  <si>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</si>
  <si>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</si>
  <si>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</si>
  <si>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</si>
  <si>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</si>
  <si>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</si>
  <si>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</si>
  <si>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</si>
  <si>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</si>
  <si>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</si>
  <si>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</si>
  <si>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</si>
  <si>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</si>
  <si>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</si>
  <si>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</si>
  <si>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</si>
  <si>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</si>
  <si>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</si>
  <si>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</si>
  <si>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</si>
  <si>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</si>
  <si>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</si>
  <si>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</si>
  <si>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</si>
  <si>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</si>
  <si>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</si>
  <si>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</si>
  <si>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</si>
  <si>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</si>
  <si>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</si>
  <si>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</si>
  <si>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</si>
  <si>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</si>
  <si>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</si>
  <si>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</si>
  <si>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</si>
  <si>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</si>
  <si>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</si>
  <si>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</si>
  <si>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</si>
  <si>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</si>
  <si>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</si>
  <si>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</si>
  <si>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</si>
  <si>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</si>
  <si>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</si>
  <si>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</si>
  <si>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</si>
  <si>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</si>
  <si>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</si>
  <si>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</si>
  <si>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</si>
  <si>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</si>
  <si>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</si>
  <si>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</si>
  <si>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</si>
  <si>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</si>
  <si>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</si>
  <si>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</si>
  <si>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</si>
  <si>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</si>
  <si>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</si>
  <si>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</si>
  <si>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</si>
  <si>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</si>
  <si>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</si>
  <si>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</si>
  <si>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</si>
  <si>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</si>
  <si>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</si>
  <si>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</si>
  <si>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</si>
  <si>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</si>
  <si>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畠 世周</t>
    <phoneticPr fontId="1"/>
  </si>
  <si>
    <t>花田 侑樹</t>
    <phoneticPr fontId="1"/>
  </si>
  <si>
    <t>戸田 懐生</t>
    <phoneticPr fontId="1"/>
  </si>
  <si>
    <t>笠島 尚樹</t>
    <phoneticPr fontId="1"/>
  </si>
  <si>
    <t>川嵜 陽仁</t>
    <phoneticPr fontId="1"/>
  </si>
  <si>
    <t>木下 幹也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</si>
  <si>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</si>
  <si>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</si>
  <si>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</si>
  <si>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</si>
  <si>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</si>
  <si>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</si>
  <si>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</si>
  <si>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</si>
  <si>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</si>
  <si>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</si>
  <si>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</si>
  <si>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</si>
  <si>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</si>
  <si>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</si>
  <si>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</si>
  <si>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</si>
  <si>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</si>
  <si>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</si>
  <si>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</si>
  <si>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</si>
  <si>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</si>
  <si>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</si>
  <si>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</si>
  <si>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</si>
  <si>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</si>
  <si>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</si>
  <si>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</si>
  <si>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</si>
  <si>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</si>
  <si>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</si>
  <si>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</si>
  <si>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</si>
  <si>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</si>
  <si>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</si>
  <si>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</si>
  <si>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</si>
  <si>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</si>
  <si>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</si>
  <si>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</si>
  <si>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</si>
  <si>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</si>
  <si>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</si>
  <si>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</si>
  <si>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</si>
  <si>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</si>
  <si>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</si>
  <si>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</si>
  <si>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</si>
  <si>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</si>
  <si>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</si>
  <si>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</si>
  <si>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</si>
  <si>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</si>
  <si>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</si>
  <si>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</si>
  <si>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</si>
  <si>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</si>
  <si>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</si>
  <si>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</si>
  <si>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</si>
  <si>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</si>
  <si>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</si>
  <si>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</si>
  <si>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</si>
  <si>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</si>
  <si>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</si>
  <si>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</si>
  <si>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</si>
  <si>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</si>
  <si>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</si>
  <si>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</si>
  <si>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</si>
  <si>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</si>
  <si>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</si>
  <si>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</si>
  <si>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</si>
  <si>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</si>
  <si>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</si>
  <si>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</si>
  <si>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</si>
  <si>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</si>
  <si>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</si>
  <si>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</si>
  <si>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</si>
  <si>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</si>
  <si>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</si>
  <si>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</si>
  <si>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</si>
  <si>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</si>
  <si>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</si>
  <si>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</si>
  <si>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</si>
  <si>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</si>
  <si>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</si>
  <si>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</si>
  <si>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</si>
  <si>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</si>
  <si>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</si>
  <si>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</si>
  <si>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</si>
  <si>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</si>
  <si>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</si>
  <si>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</si>
  <si>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</si>
  <si>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</si>
  <si>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</si>
  <si>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</si>
  <si>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</si>
  <si>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</si>
  <si>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</si>
  <si>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</si>
  <si>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</si>
  <si>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</si>
  <si>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</si>
  <si>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</si>
  <si>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</si>
  <si>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</si>
  <si>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</si>
  <si>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</si>
  <si>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</si>
  <si>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</si>
  <si>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</si>
  <si>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</si>
  <si>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</si>
  <si>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</si>
  <si>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</si>
  <si>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</si>
  <si>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</si>
  <si>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</si>
  <si>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</si>
  <si>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</si>
  <si>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</si>
  <si>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</si>
  <si>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</si>
  <si>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</si>
  <si>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</si>
  <si>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</si>
  <si>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</si>
  <si>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</si>
  <si>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</si>
  <si>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</si>
  <si>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</si>
  <si>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</si>
  <si>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</si>
  <si>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</si>
  <si>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</si>
  <si>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</si>
  <si>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</si>
  <si>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</si>
  <si>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</si>
  <si>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</si>
  <si>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</si>
  <si>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</si>
  <si>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</si>
  <si>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</si>
  <si>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</si>
  <si>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</si>
  <si>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</si>
  <si>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</si>
  <si>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</si>
  <si>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</si>
  <si>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</si>
  <si>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</si>
  <si>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</si>
  <si>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</si>
  <si>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</si>
  <si>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</si>
  <si>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</si>
  <si>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</si>
  <si>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</si>
  <si>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</si>
  <si>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</si>
  <si>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</si>
  <si>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</si>
  <si>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</si>
  <si>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</si>
  <si>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</si>
  <si>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</si>
  <si>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</si>
  <si>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</si>
  <si>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</si>
  <si>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</si>
  <si>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</si>
  <si>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</si>
  <si>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</si>
  <si>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</si>
  <si>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</si>
  <si>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</si>
  <si>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</si>
  <si>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</si>
  <si>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</si>
  <si>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</si>
  <si>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</si>
  <si>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</si>
  <si>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</si>
  <si>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</si>
  <si>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</si>
  <si>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</si>
  <si>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</si>
  <si>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</si>
  <si>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</si>
  <si>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</si>
  <si>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</si>
  <si>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</si>
  <si>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</si>
  <si>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</si>
  <si>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</si>
  <si>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</si>
  <si>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</si>
  <si>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</si>
  <si>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</si>
  <si>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</si>
  <si>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</si>
  <si>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</si>
  <si>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</si>
  <si>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</si>
  <si>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</si>
  <si>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</si>
  <si>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</si>
  <si>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</si>
  <si>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</si>
  <si>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</si>
  <si>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</si>
  <si>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</si>
  <si>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</si>
  <si>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</si>
  <si>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</si>
  <si>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</si>
  <si>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</si>
  <si>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</si>
  <si>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</si>
  <si>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</si>
  <si>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</si>
  <si>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</si>
  <si>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</si>
  <si>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</si>
  <si>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</si>
  <si>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</si>
  <si>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</si>
  <si>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</si>
  <si>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</si>
  <si>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</si>
  <si>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</si>
  <si>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</si>
  <si>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</si>
  <si>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</si>
  <si>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</si>
  <si>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</si>
  <si>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</si>
  <si>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</si>
  <si>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</si>
  <si>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</si>
  <si>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</si>
  <si>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</si>
  <si>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</si>
  <si>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</si>
  <si>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</si>
  <si>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</si>
  <si>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</si>
  <si>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</si>
  <si>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</si>
  <si>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</si>
  <si>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</si>
  <si>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</si>
  <si>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</si>
  <si>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</si>
  <si>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</si>
  <si>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</si>
  <si>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</si>
  <si>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</si>
  <si>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</si>
  <si>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</si>
  <si>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</si>
  <si>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</si>
  <si>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</si>
  <si>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</si>
  <si>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</si>
  <si>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</si>
  <si>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</si>
  <si>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</si>
  <si>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</si>
  <si>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</si>
  <si>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</si>
  <si>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</si>
  <si>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</si>
  <si>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</si>
  <si>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</si>
  <si>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</si>
  <si>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</si>
  <si>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</si>
  <si>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</si>
  <si>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</si>
  <si>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</si>
  <si>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</si>
  <si>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</si>
  <si>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</si>
  <si>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</si>
  <si>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</si>
  <si>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</si>
  <si>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</si>
  <si>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</si>
  <si>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</si>
  <si>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</si>
  <si>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</si>
  <si>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</si>
  <si>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</si>
  <si>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</si>
  <si>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</si>
  <si>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</si>
  <si>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</si>
  <si>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</si>
  <si>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</si>
  <si>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</si>
  <si>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</si>
  <si>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</si>
  <si>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</si>
  <si>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</si>
  <si>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</si>
  <si>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</si>
  <si>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</si>
  <si>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</si>
  <si>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</si>
  <si>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</si>
  <si>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</si>
  <si>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</si>
  <si>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</si>
  <si>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</si>
  <si>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</si>
  <si>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</si>
  <si>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</si>
  <si>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</si>
  <si>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</si>
  <si>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</si>
  <si>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</si>
  <si>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</si>
  <si>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</si>
  <si>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</si>
  <si>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</si>
  <si>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</si>
  <si>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</si>
  <si>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</si>
  <si>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</si>
  <si>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</si>
  <si>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</si>
  <si>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</si>
  <si>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</si>
  <si>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</si>
  <si>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</si>
  <si>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</si>
  <si>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</si>
  <si>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</si>
  <si>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</si>
  <si>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</si>
  <si>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</si>
  <si>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</si>
  <si>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</si>
  <si>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</si>
  <si>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</si>
  <si>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</si>
  <si>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</si>
  <si>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</si>
  <si>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</si>
  <si>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馬場</t>
    <rPh sb="0" eb="2">
      <t>ババ</t>
    </rPh>
    <phoneticPr fontId="1"/>
  </si>
  <si>
    <t>岡田 悠希</t>
  </si>
  <si>
    <t>中山 礼都</t>
  </si>
  <si>
    <t>中川 皓太</t>
  </si>
  <si>
    <t>重信 慎之介</t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</si>
  <si>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</si>
  <si>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</si>
  <si>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</si>
  <si>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</si>
  <si>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</si>
  <si>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</si>
  <si>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</si>
  <si>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</si>
  <si>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</si>
  <si>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</si>
  <si>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</si>
  <si>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</si>
  <si>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</si>
  <si>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</si>
  <si>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</si>
  <si>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</si>
  <si>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</si>
  <si>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</si>
  <si>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</si>
  <si>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</si>
  <si>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</si>
  <si>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</si>
  <si>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</si>
  <si>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</si>
  <si>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</si>
  <si>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</si>
  <si>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</si>
  <si>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</si>
  <si>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</si>
  <si>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</si>
  <si>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</si>
  <si>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</si>
  <si>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</si>
  <si>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</si>
  <si>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</si>
  <si>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</si>
  <si>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</si>
  <si>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</si>
  <si>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</si>
  <si>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</si>
  <si>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</si>
  <si>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田上</t>
    <phoneticPr fontId="1"/>
  </si>
  <si>
    <t>宇都宮</t>
    <phoneticPr fontId="1"/>
  </si>
  <si>
    <t>相澤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</si>
  <si>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</si>
  <si>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</si>
  <si>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</si>
  <si>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</si>
  <si>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</si>
  <si>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</si>
  <si>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</si>
  <si>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田村 朋輝</t>
    <phoneticPr fontId="1"/>
  </si>
  <si>
    <t>吉村 優聖歩</t>
    <phoneticPr fontId="1"/>
  </si>
  <si>
    <t>北村</t>
    <phoneticPr fontId="1"/>
  </si>
  <si>
    <t>028</t>
    <phoneticPr fontId="1"/>
  </si>
  <si>
    <t>030</t>
    <phoneticPr fontId="1"/>
  </si>
  <si>
    <t>三塚</t>
    <phoneticPr fontId="1"/>
  </si>
  <si>
    <t>平山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</si>
  <si>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</si>
  <si>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</si>
  <si>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</si>
  <si>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</si>
  <si>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立岡</t>
    <phoneticPr fontId="1"/>
  </si>
  <si>
    <t>大城元</t>
    <phoneticPr fontId="1"/>
  </si>
  <si>
    <t>047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</si>
  <si>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</si>
  <si>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</si>
  <si>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</si>
  <si>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</si>
  <si>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</si>
  <si>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</si>
  <si>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萩原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</si>
  <si>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</si>
  <si>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</si>
  <si>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</si>
  <si>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</si>
  <si>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</si>
  <si>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</si>
  <si>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</si>
  <si>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</si>
  <si>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</si>
  <si>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</si>
  <si>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</si>
  <si>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</si>
  <si>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</si>
  <si>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</si>
  <si>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</si>
  <si>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</si>
  <si>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</si>
  <si>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</si>
  <si>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</si>
  <si>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</si>
  <si>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</si>
  <si>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</si>
  <si>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</si>
  <si>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</si>
  <si>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</si>
  <si>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</si>
  <si>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</si>
  <si>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</si>
  <si>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</si>
  <si>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</si>
  <si>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</si>
  <si>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</si>
  <si>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</si>
  <si>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</si>
  <si>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</si>
  <si>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</si>
  <si>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</si>
  <si>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</si>
  <si>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</si>
  <si>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</si>
  <si>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</si>
  <si>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</si>
  <si>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</si>
  <si>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</si>
  <si>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</si>
  <si>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</si>
  <si>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</si>
  <si>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</si>
  <si>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</si>
  <si>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</si>
  <si>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</si>
  <si>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</si>
  <si>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</si>
  <si>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</si>
  <si>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</si>
  <si>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</si>
  <si>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</si>
  <si>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</si>
  <si>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</si>
  <si>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</si>
  <si>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</si>
  <si>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</si>
  <si>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</si>
  <si>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</si>
  <si>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</si>
  <si>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</si>
  <si>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</si>
  <si>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</si>
  <si>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</si>
  <si>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</si>
  <si>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</si>
  <si>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</si>
  <si>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</si>
  <si>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</si>
  <si>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</si>
  <si>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</si>
  <si>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</si>
  <si>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</si>
  <si>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</si>
  <si>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</si>
  <si>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</si>
  <si>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</si>
  <si>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</si>
  <si>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</si>
  <si>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</si>
  <si>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</si>
  <si>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</si>
  <si>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</si>
  <si>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</si>
  <si>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</si>
  <si>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</si>
  <si>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</si>
  <si>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</si>
  <si>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</si>
  <si>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</si>
  <si>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</si>
  <si>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</si>
  <si>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</si>
  <si>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</si>
  <si>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</si>
  <si>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</si>
  <si>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</si>
  <si>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</si>
  <si>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</si>
  <si>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</si>
  <si>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</si>
  <si>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</si>
  <si>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</si>
  <si>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</si>
  <si>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</si>
  <si>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赤羽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</si>
  <si>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</si>
  <si>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</si>
  <si>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</si>
  <si>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</si>
  <si>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</si>
  <si>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村上</t>
    <phoneticPr fontId="1"/>
  </si>
  <si>
    <t>鈴木</t>
    <phoneticPr fontId="1"/>
  </si>
  <si>
    <t>今野</t>
    <phoneticPr fontId="1"/>
  </si>
  <si>
    <t>ヤフーレ</t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</si>
  <si>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</si>
  <si>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</si>
  <si>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</si>
  <si>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</si>
  <si>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</si>
  <si>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</si>
  <si>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</si>
  <si>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</si>
  <si>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</si>
  <si>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</si>
  <si>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</si>
  <si>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</si>
  <si>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</si>
  <si>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</si>
  <si>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</si>
  <si>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</si>
  <si>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</si>
  <si>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</si>
  <si>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</si>
  <si>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</si>
  <si>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</si>
  <si>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</si>
  <si>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</si>
  <si>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</si>
  <si>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</si>
  <si>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</si>
  <si>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</si>
  <si>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</si>
  <si>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</si>
  <si>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</si>
  <si>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</si>
  <si>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</si>
  <si>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</si>
  <si>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</si>
  <si>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</si>
  <si>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</si>
  <si>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</si>
  <si>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</si>
  <si>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</si>
  <si>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</si>
  <si>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</si>
  <si>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</si>
  <si>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</si>
  <si>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</si>
  <si>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</si>
  <si>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</si>
  <si>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</si>
  <si>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</si>
  <si>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</si>
  <si>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</si>
  <si>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</si>
  <si>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</si>
  <si>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</si>
  <si>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</si>
  <si>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</si>
  <si>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</si>
  <si>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</si>
  <si>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</si>
  <si>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</si>
  <si>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</si>
  <si>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</si>
  <si>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</si>
  <si>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</si>
  <si>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</si>
  <si>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</si>
  <si>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</si>
  <si>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</si>
  <si>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</si>
  <si>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</si>
  <si>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</si>
  <si>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</si>
  <si>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</si>
  <si>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</si>
  <si>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</si>
  <si>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</si>
  <si>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</si>
  <si>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</si>
  <si>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</si>
  <si>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</si>
  <si>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</si>
  <si>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</si>
  <si>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</si>
  <si>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</si>
  <si>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</si>
  <si>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</si>
  <si>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</si>
  <si>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</si>
  <si>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</si>
  <si>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</si>
  <si>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</si>
  <si>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</si>
  <si>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</si>
  <si>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</si>
  <si>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</si>
  <si>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</si>
  <si>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</si>
  <si>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</si>
  <si>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</si>
  <si>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</si>
  <si>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</si>
  <si>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</si>
  <si>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</si>
  <si>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</si>
  <si>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</si>
  <si>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</si>
  <si>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</si>
  <si>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</si>
  <si>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</si>
  <si>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</si>
  <si>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</si>
  <si>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</si>
  <si>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</si>
  <si>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</si>
  <si>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</si>
  <si>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</si>
  <si>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</si>
  <si>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</si>
  <si>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</si>
  <si>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</si>
  <si>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</si>
  <si>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</si>
  <si>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</si>
  <si>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</si>
  <si>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</si>
  <si>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</si>
  <si>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</si>
  <si>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</si>
  <si>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</si>
  <si>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</si>
  <si>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</si>
  <si>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</si>
  <si>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</si>
  <si>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</si>
  <si>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</si>
  <si>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</si>
  <si>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</si>
  <si>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</si>
  <si>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辻本</t>
    <phoneticPr fontId="1"/>
  </si>
  <si>
    <t>仲地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</si>
  <si>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</si>
  <si>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</si>
  <si>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</si>
  <si>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</si>
  <si>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</si>
  <si>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</si>
  <si>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</si>
  <si>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</si>
  <si>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</si>
  <si>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</si>
  <si>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</si>
  <si>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</si>
  <si>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</si>
  <si>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</si>
  <si>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</si>
  <si>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</si>
  <si>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</si>
  <si>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</si>
  <si>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</si>
  <si>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</si>
  <si>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</si>
  <si>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</si>
  <si>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</si>
  <si>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</si>
  <si>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</si>
  <si>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</si>
  <si>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</si>
  <si>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</si>
  <si>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</si>
  <si>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</si>
  <si>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</si>
  <si>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</si>
  <si>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</si>
  <si>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</si>
  <si>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</si>
  <si>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</si>
  <si>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</si>
  <si>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</si>
  <si>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</si>
  <si>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</si>
  <si>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</si>
  <si>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</si>
  <si>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</si>
  <si>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</si>
  <si>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</si>
  <si>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</si>
  <si>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</si>
  <si>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</si>
  <si>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</si>
  <si>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</si>
  <si>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</si>
  <si>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</si>
  <si>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</si>
  <si>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</si>
  <si>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</si>
  <si>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</si>
  <si>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</si>
  <si>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</si>
  <si>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</si>
  <si>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</si>
  <si>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</si>
  <si>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</si>
  <si>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</si>
  <si>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</si>
  <si>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</si>
  <si>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</si>
  <si>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</si>
  <si>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</si>
  <si>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</si>
  <si>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</si>
  <si>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</si>
  <si>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</si>
  <si>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</si>
  <si>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</si>
  <si>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</si>
  <si>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</si>
  <si>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</si>
  <si>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</si>
  <si>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</si>
  <si>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</si>
  <si>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</si>
  <si>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</si>
  <si>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</si>
  <si>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</si>
  <si>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</si>
  <si>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</si>
  <si>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</si>
  <si>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</si>
  <si>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</si>
  <si>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</si>
  <si>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</si>
  <si>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</si>
  <si>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</si>
  <si>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</si>
  <si>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</si>
  <si>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</si>
  <si>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</si>
  <si>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</si>
  <si>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</si>
  <si>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</si>
  <si>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</si>
  <si>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</si>
  <si>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</si>
  <si>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</si>
  <si>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</si>
  <si>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</si>
  <si>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</si>
  <si>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</si>
  <si>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</si>
  <si>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</si>
  <si>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</si>
  <si>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</si>
  <si>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</si>
  <si>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</si>
  <si>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</si>
  <si>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</si>
  <si>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</si>
  <si>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</si>
  <si>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</si>
  <si>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</si>
  <si>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</si>
  <si>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</si>
  <si>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</si>
  <si>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</si>
  <si>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</si>
  <si>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</si>
  <si>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</si>
  <si>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</si>
  <si>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</si>
  <si>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</si>
  <si>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</si>
  <si>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</si>
  <si>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</si>
  <si>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</si>
  <si>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</si>
  <si>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</si>
  <si>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</si>
  <si>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</si>
  <si>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</si>
  <si>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</si>
  <si>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</si>
  <si>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</si>
  <si>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</si>
  <si>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</si>
  <si>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</si>
  <si>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</si>
  <si>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</si>
  <si>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</si>
  <si>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</si>
  <si>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</si>
  <si>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</si>
  <si>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</si>
  <si>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</si>
  <si>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</si>
  <si>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</si>
  <si>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</si>
  <si>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</si>
  <si>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</si>
  <si>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</si>
  <si>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</si>
  <si>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</si>
  <si>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</si>
  <si>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</si>
  <si>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</si>
  <si>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</si>
  <si>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</si>
  <si>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</si>
  <si>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</si>
  <si>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</si>
  <si>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</si>
  <si>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</si>
  <si>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</si>
  <si>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</si>
  <si>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</si>
  <si>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</si>
  <si>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</si>
  <si>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</si>
  <si>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</si>
  <si>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</si>
  <si>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</si>
  <si>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</si>
  <si>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</si>
  <si>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</si>
  <si>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</si>
  <si>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</si>
  <si>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</si>
  <si>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</si>
  <si>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</si>
  <si>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</si>
  <si>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</si>
  <si>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</si>
  <si>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</si>
  <si>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</si>
  <si>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</si>
  <si>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</si>
  <si>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</si>
  <si>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</si>
  <si>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</si>
  <si>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</si>
  <si>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</si>
  <si>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</si>
  <si>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</si>
  <si>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</si>
  <si>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</si>
  <si>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</si>
  <si>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</si>
  <si>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</si>
  <si>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</si>
  <si>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</si>
  <si>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</si>
  <si>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</si>
  <si>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</si>
  <si>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</si>
  <si>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</si>
  <si>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</si>
  <si>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</si>
  <si>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</si>
  <si>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</si>
  <si>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</si>
  <si>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</si>
  <si>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</si>
  <si>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</si>
  <si>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</si>
  <si>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</si>
  <si>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</si>
  <si>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</si>
  <si>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</si>
  <si>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</si>
  <si>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</si>
  <si>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</si>
  <si>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</si>
  <si>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</si>
  <si>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</si>
  <si>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</si>
  <si>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</si>
  <si>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</si>
  <si>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</si>
  <si>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</si>
  <si>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</si>
  <si>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</si>
  <si>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</si>
  <si>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</si>
  <si>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</si>
  <si>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</si>
  <si>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</si>
  <si>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</si>
  <si>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</si>
  <si>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</si>
  <si>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</si>
  <si>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</si>
  <si>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</si>
  <si>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</si>
  <si>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</si>
  <si>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</si>
  <si>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</si>
  <si>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</si>
  <si>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</si>
  <si>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</si>
  <si>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</si>
  <si>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</si>
  <si>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</si>
  <si>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</si>
  <si>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</si>
  <si>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</si>
  <si>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</si>
  <si>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</si>
  <si>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</si>
  <si>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</si>
  <si>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</si>
  <si>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</si>
  <si>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</si>
  <si>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</si>
  <si>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</si>
  <si>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</si>
  <si>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</si>
  <si>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</si>
  <si>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</si>
  <si>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</si>
  <si>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</si>
  <si>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</si>
  <si>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</si>
  <si>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</si>
  <si>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</si>
  <si>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</si>
  <si>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</si>
  <si>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</si>
  <si>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</si>
  <si>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</si>
  <si>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</si>
  <si>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</si>
  <si>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</si>
  <si>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</si>
  <si>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</si>
  <si>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</si>
  <si>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</si>
  <si>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</si>
  <si>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</si>
  <si>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</si>
  <si>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</si>
  <si>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</si>
  <si>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</si>
  <si>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</si>
  <si>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</si>
  <si>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</si>
  <si>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</si>
  <si>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</si>
  <si>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</si>
  <si>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</si>
  <si>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</si>
  <si>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</si>
  <si>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</si>
  <si>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</si>
  <si>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</si>
  <si>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</si>
  <si>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</si>
  <si>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</si>
  <si>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</si>
  <si>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</si>
  <si>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</si>
  <si>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</si>
  <si>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</si>
  <si>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</si>
  <si>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</si>
  <si>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</si>
  <si>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</si>
  <si>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</si>
  <si>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</si>
  <si>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</si>
  <si>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</si>
  <si>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</si>
  <si>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</si>
  <si>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</si>
  <si>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</si>
  <si>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</si>
  <si>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</si>
  <si>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</si>
  <si>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</si>
  <si>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</si>
  <si>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</si>
  <si>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</si>
  <si>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</si>
  <si>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</si>
  <si>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</si>
  <si>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</si>
  <si>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</si>
  <si>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</si>
  <si>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</si>
  <si>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</si>
  <si>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</si>
  <si>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</si>
  <si>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</si>
  <si>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</si>
  <si>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</si>
  <si>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</si>
  <si>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</si>
  <si>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</si>
  <si>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</si>
  <si>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</si>
  <si>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</si>
  <si>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</si>
  <si>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</si>
  <si>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</si>
  <si>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</si>
  <si>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</si>
  <si>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</si>
  <si>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</si>
  <si>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</si>
  <si>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</si>
  <si>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</si>
  <si>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</si>
  <si>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</si>
  <si>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</si>
  <si>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</si>
  <si>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</si>
  <si>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</si>
  <si>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</si>
  <si>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</si>
  <si>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</si>
  <si>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</si>
  <si>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</si>
  <si>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</si>
  <si>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</si>
  <si>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</si>
  <si>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</si>
  <si>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</si>
  <si>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</si>
  <si>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</si>
  <si>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</si>
  <si>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</si>
  <si>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</si>
  <si>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</si>
  <si>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</si>
  <si>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</si>
  <si>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</si>
  <si>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</si>
  <si>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</si>
  <si>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</si>
  <si>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</si>
  <si>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</si>
  <si>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</si>
  <si>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</si>
  <si>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</si>
  <si>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</si>
  <si>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</si>
  <si>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</si>
  <si>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</si>
  <si>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</si>
  <si>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</si>
  <si>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</si>
  <si>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</si>
  <si>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</si>
  <si>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</si>
  <si>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</si>
  <si>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</si>
  <si>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</si>
  <si>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</si>
  <si>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</si>
  <si>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</si>
  <si>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</si>
  <si>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</si>
  <si>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</si>
  <si>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</si>
  <si>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</si>
  <si>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</si>
  <si>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</si>
  <si>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</si>
  <si>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</si>
  <si>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</si>
  <si>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</si>
  <si>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</si>
  <si>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</si>
  <si>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</si>
  <si>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</si>
  <si>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</si>
  <si>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</si>
  <si>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</si>
  <si>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</si>
  <si>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</si>
  <si>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</si>
  <si>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</si>
  <si>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</si>
  <si>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</si>
  <si>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</si>
  <si>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</si>
  <si>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</si>
  <si>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</si>
  <si>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</si>
  <si>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</si>
  <si>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</si>
  <si>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</si>
  <si>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</si>
  <si>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</si>
  <si>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</si>
  <si>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</si>
  <si>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</si>
  <si>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</si>
  <si>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</si>
  <si>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</si>
  <si>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</si>
  <si>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</si>
  <si>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</si>
  <si>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</si>
  <si>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</si>
  <si>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</si>
  <si>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</si>
  <si>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</si>
  <si>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</si>
  <si>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</si>
  <si>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</si>
  <si>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</si>
  <si>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</si>
  <si>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</si>
  <si>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</si>
  <si>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</si>
  <si>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</si>
  <si>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</si>
  <si>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</si>
  <si>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</si>
  <si>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</si>
  <si>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</si>
  <si>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</si>
  <si>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</si>
  <si>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</si>
  <si>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</si>
  <si>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</si>
  <si>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</si>
  <si>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</si>
  <si>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</si>
  <si>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</si>
  <si>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</si>
  <si>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</si>
  <si>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</si>
  <si>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</si>
  <si>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</si>
  <si>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</si>
  <si>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</si>
  <si>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</si>
  <si>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</si>
  <si>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</si>
  <si>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</si>
  <si>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</si>
  <si>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</si>
  <si>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</si>
  <si>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</si>
  <si>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</si>
  <si>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</si>
  <si>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</si>
  <si>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</si>
  <si>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</si>
  <si>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</si>
  <si>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</si>
  <si>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</si>
  <si>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</si>
  <si>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</si>
  <si>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</si>
  <si>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</si>
  <si>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</si>
  <si>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</si>
  <si>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</si>
  <si>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</si>
  <si>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</si>
  <si>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</si>
  <si>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</si>
  <si>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</si>
  <si>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</si>
  <si>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</si>
  <si>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</si>
  <si>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</si>
  <si>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</si>
  <si>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</si>
  <si>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</si>
  <si>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</si>
  <si>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</si>
  <si>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</si>
  <si>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</si>
  <si>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</si>
  <si>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</si>
  <si>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</si>
  <si>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</si>
  <si>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</si>
  <si>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</si>
  <si>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</si>
  <si>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</si>
  <si>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</si>
  <si>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</si>
  <si>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</si>
  <si>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</si>
  <si>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</si>
  <si>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</si>
  <si>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</si>
  <si>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</si>
  <si>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</si>
  <si>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</si>
  <si>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</si>
  <si>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</si>
  <si>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</si>
  <si>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</si>
  <si>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</si>
  <si>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</si>
  <si>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</si>
  <si>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</si>
  <si>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</si>
  <si>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</si>
  <si>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</si>
  <si>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</si>
  <si>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</si>
  <si>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</si>
  <si>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</si>
  <si>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</si>
  <si>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</si>
  <si>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</si>
  <si>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</si>
  <si>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</si>
  <si>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</si>
  <si>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</si>
  <si>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</si>
  <si>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</si>
  <si>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</si>
  <si>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</si>
  <si>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</si>
  <si>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</si>
  <si>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</si>
  <si>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</si>
  <si>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</si>
  <si>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</si>
  <si>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</si>
  <si>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</si>
  <si>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</si>
  <si>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</si>
  <si>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</si>
  <si>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</si>
  <si>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</si>
  <si>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</si>
  <si>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</si>
  <si>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</si>
  <si>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</si>
  <si>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</si>
  <si>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</si>
  <si>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田中 貴也</t>
  </si>
  <si>
    <t>安田 悠馬</t>
  </si>
  <si>
    <t>山﨑 剛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</si>
  <si>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</si>
  <si>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</si>
  <si>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</si>
  <si>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</si>
  <si>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</si>
  <si>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</si>
  <si>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若林</t>
    <rPh sb="0" eb="2">
      <t>ワカバヤシ</t>
    </rPh>
    <phoneticPr fontId="1"/>
  </si>
  <si>
    <t>若林 晃弘</t>
    <rPh sb="0" eb="2">
      <t>ワカバヤシ</t>
    </rPh>
    <rPh sb="3" eb="5">
      <t>アキヒロ</t>
    </rPh>
    <phoneticPr fontId="1"/>
  </si>
  <si>
    <t>山田</t>
    <rPh sb="0" eb="2">
      <t>ヤマダ</t>
    </rPh>
    <phoneticPr fontId="1"/>
  </si>
  <si>
    <t>山田 遥楓</t>
    <rPh sb="0" eb="2">
      <t>ヤマダ</t>
    </rPh>
    <rPh sb="3" eb="4">
      <t>ハル</t>
    </rPh>
    <rPh sb="4" eb="5">
      <t>カエデ</t>
    </rPh>
    <phoneticPr fontId="1"/>
  </si>
  <si>
    <t>鈴木 爽太</t>
    <phoneticPr fontId="1"/>
  </si>
  <si>
    <t>高橋 賢</t>
    <phoneticPr fontId="1"/>
  </si>
  <si>
    <t>中村 丈</t>
    <phoneticPr fontId="1"/>
  </si>
  <si>
    <t>山田 時之介</t>
    <phoneticPr fontId="1"/>
  </si>
  <si>
    <t>北田 真心</t>
    <phoneticPr fontId="1"/>
  </si>
  <si>
    <t>鈴木 貫太</t>
    <phoneticPr fontId="1"/>
  </si>
  <si>
    <t>林 優翔</t>
    <phoneticPr fontId="1"/>
  </si>
  <si>
    <t>モイセエフ ニキータ</t>
    <phoneticPr fontId="1"/>
  </si>
  <si>
    <t>山本 羚王</t>
    <phoneticPr fontId="1"/>
  </si>
  <si>
    <t>平野 将馬</t>
    <phoneticPr fontId="1"/>
  </si>
  <si>
    <t>中西 浩平</t>
    <phoneticPr fontId="1"/>
  </si>
  <si>
    <t>近藤 慎之介</t>
    <phoneticPr fontId="1"/>
  </si>
  <si>
    <t>三浦 康生</t>
    <phoneticPr fontId="1"/>
  </si>
  <si>
    <t>八木 七遼</t>
    <phoneticPr fontId="1"/>
  </si>
  <si>
    <t>島田 拓実</t>
    <phoneticPr fontId="1"/>
  </si>
  <si>
    <t>竹内 雄惺</t>
    <phoneticPr fontId="1"/>
  </si>
  <si>
    <t>柴田 啓汰</t>
    <phoneticPr fontId="1"/>
  </si>
  <si>
    <t>森 陸</t>
    <phoneticPr fontId="1"/>
  </si>
  <si>
    <t>糸魚川 司</t>
    <phoneticPr fontId="1"/>
  </si>
  <si>
    <t>林 優大</t>
    <phoneticPr fontId="1"/>
  </si>
  <si>
    <t>鈴木爽</t>
    <rPh sb="0" eb="2">
      <t>スズキ</t>
    </rPh>
    <rPh sb="2" eb="3">
      <t>ソウ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</si>
  <si>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</si>
  <si>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</si>
  <si>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北田</t>
    <rPh sb="0" eb="2">
      <t>キタダ</t>
    </rPh>
    <phoneticPr fontId="1"/>
  </si>
  <si>
    <t>鈴木貫</t>
    <rPh sb="0" eb="2">
      <t>スズキ</t>
    </rPh>
    <rPh sb="2" eb="3">
      <t>ヌキ</t>
    </rPh>
    <phoneticPr fontId="1"/>
  </si>
  <si>
    <t>ニキータ</t>
    <phoneticPr fontId="1"/>
  </si>
  <si>
    <t>山本</t>
    <rPh sb="0" eb="2">
      <t>ヤマモト</t>
    </rPh>
    <phoneticPr fontId="1"/>
  </si>
  <si>
    <t>平野</t>
    <rPh sb="0" eb="2">
      <t>ヒラノ</t>
    </rPh>
    <phoneticPr fontId="1"/>
  </si>
  <si>
    <t>中西</t>
    <rPh sb="0" eb="2">
      <t>ナカニシ</t>
    </rPh>
    <phoneticPr fontId="1"/>
  </si>
  <si>
    <t>近藤</t>
    <rPh sb="0" eb="2">
      <t>コンドウ</t>
    </rPh>
    <phoneticPr fontId="1"/>
  </si>
  <si>
    <t>三浦</t>
    <rPh sb="0" eb="2">
      <t>ミウラ</t>
    </rPh>
    <phoneticPr fontId="1"/>
  </si>
  <si>
    <t>島田</t>
    <rPh sb="0" eb="2">
      <t>シマダ</t>
    </rPh>
    <phoneticPr fontId="1"/>
  </si>
  <si>
    <t>林優翔</t>
    <phoneticPr fontId="1"/>
  </si>
  <si>
    <t>竹内</t>
    <rPh sb="0" eb="2">
      <t>タケウチ</t>
    </rPh>
    <phoneticPr fontId="1"/>
  </si>
  <si>
    <t>森</t>
    <rPh sb="0" eb="1">
      <t>モリ</t>
    </rPh>
    <phoneticPr fontId="1"/>
  </si>
  <si>
    <t>糸魚川</t>
    <rPh sb="0" eb="3">
      <t>イトイガワ</t>
    </rPh>
    <phoneticPr fontId="1"/>
  </si>
  <si>
    <t>林優大</t>
    <phoneticPr fontId="1"/>
  </si>
  <si>
    <t>吉岡 暖</t>
    <phoneticPr fontId="1"/>
  </si>
  <si>
    <t>井坂 琉星</t>
    <phoneticPr fontId="1"/>
  </si>
  <si>
    <t>西村 幸盛</t>
    <phoneticPr fontId="1"/>
  </si>
  <si>
    <t>芝山 拓人</t>
    <phoneticPr fontId="1"/>
  </si>
  <si>
    <t>住江 慶次郎</t>
    <phoneticPr fontId="1"/>
  </si>
  <si>
    <t>矢藤 颯太</t>
    <phoneticPr fontId="1"/>
  </si>
  <si>
    <t>福嶋 稟之介</t>
    <phoneticPr fontId="1"/>
  </si>
  <si>
    <t>福田 修盛</t>
    <phoneticPr fontId="1"/>
  </si>
  <si>
    <t>下込 獅土</t>
    <phoneticPr fontId="1"/>
  </si>
  <si>
    <t>奥田 日向汰</t>
    <phoneticPr fontId="1"/>
  </si>
  <si>
    <t>戸田 大貴</t>
    <phoneticPr fontId="1"/>
  </si>
  <si>
    <t>天野 慧</t>
    <phoneticPr fontId="1"/>
  </si>
  <si>
    <t>児島 優磨</t>
    <phoneticPr fontId="1"/>
  </si>
  <si>
    <t>加治本 隆斗</t>
    <phoneticPr fontId="1"/>
  </si>
  <si>
    <t>福原 迅</t>
    <phoneticPr fontId="1"/>
  </si>
  <si>
    <t>国吉 比呂</t>
    <phoneticPr fontId="1"/>
  </si>
  <si>
    <t>伊藤 虎太郎</t>
    <phoneticPr fontId="1"/>
  </si>
  <si>
    <t>大坂 将太</t>
    <phoneticPr fontId="1"/>
  </si>
  <si>
    <t>藤崎 健</t>
    <phoneticPr fontId="1"/>
  </si>
  <si>
    <t>卯月 勇駕</t>
    <phoneticPr fontId="1"/>
  </si>
  <si>
    <t>吉岡</t>
    <rPh sb="0" eb="2">
      <t>ヨシオカ</t>
    </rPh>
    <phoneticPr fontId="1"/>
  </si>
  <si>
    <t>井坂</t>
    <rPh sb="0" eb="2">
      <t>イサカ</t>
    </rPh>
    <phoneticPr fontId="1"/>
  </si>
  <si>
    <t>西村</t>
    <rPh sb="0" eb="2">
      <t>ニシムラ</t>
    </rPh>
    <phoneticPr fontId="1"/>
  </si>
  <si>
    <t>柴山</t>
    <rPh sb="0" eb="2">
      <t>シバヤマ</t>
    </rPh>
    <phoneticPr fontId="1"/>
  </si>
  <si>
    <t>住江</t>
    <rPh sb="0" eb="2">
      <t>スミエ</t>
    </rPh>
    <phoneticPr fontId="1"/>
  </si>
  <si>
    <t>矢藤</t>
    <rPh sb="0" eb="2">
      <t>ヤフジ</t>
    </rPh>
    <phoneticPr fontId="1"/>
  </si>
  <si>
    <t>福嶋</t>
    <rPh sb="0" eb="2">
      <t>フクシマ</t>
    </rPh>
    <phoneticPr fontId="1"/>
  </si>
  <si>
    <t>福田</t>
    <rPh sb="0" eb="2">
      <t>フクダ</t>
    </rPh>
    <phoneticPr fontId="1"/>
  </si>
  <si>
    <t>下込</t>
    <rPh sb="0" eb="2">
      <t>シモコメ</t>
    </rPh>
    <phoneticPr fontId="1"/>
  </si>
  <si>
    <t>奥田</t>
    <rPh sb="0" eb="2">
      <t>オクダ</t>
    </rPh>
    <phoneticPr fontId="1"/>
  </si>
  <si>
    <t>戸田</t>
    <rPh sb="0" eb="2">
      <t>トダ</t>
    </rPh>
    <phoneticPr fontId="1"/>
  </si>
  <si>
    <t>天野</t>
    <rPh sb="0" eb="2">
      <t>アマノ</t>
    </rPh>
    <phoneticPr fontId="1"/>
  </si>
  <si>
    <t>児島</t>
    <rPh sb="0" eb="2">
      <t>コジマ</t>
    </rPh>
    <phoneticPr fontId="1"/>
  </si>
  <si>
    <t>加治本</t>
    <rPh sb="0" eb="2">
      <t>カジ</t>
    </rPh>
    <rPh sb="2" eb="3">
      <t>モト</t>
    </rPh>
    <phoneticPr fontId="1"/>
  </si>
  <si>
    <t>福原</t>
    <rPh sb="0" eb="2">
      <t>フクハラ</t>
    </rPh>
    <phoneticPr fontId="1"/>
  </si>
  <si>
    <t>伊藤</t>
    <rPh sb="0" eb="2">
      <t>イトウ</t>
    </rPh>
    <phoneticPr fontId="1"/>
  </si>
  <si>
    <t>大坂</t>
    <rPh sb="0" eb="2">
      <t>オオサカ</t>
    </rPh>
    <phoneticPr fontId="1"/>
  </si>
  <si>
    <t>藤崎</t>
    <rPh sb="0" eb="2">
      <t>フジサキ</t>
    </rPh>
    <phoneticPr fontId="1"/>
  </si>
  <si>
    <t>卯月</t>
    <rPh sb="0" eb="2">
      <t>ウヅキ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</si>
  <si>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</si>
  <si>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</si>
  <si>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</si>
  <si>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標準</t>
    <rPh sb="0" eb="2">
      <t>ヒョウジュン</t>
    </rPh>
    <phoneticPr fontId="1"/>
  </si>
  <si>
    <t>甲子園</t>
    <rPh sb="0" eb="3">
      <t>コウシエン</t>
    </rPh>
    <phoneticPr fontId="1"/>
  </si>
  <si>
    <t>西武</t>
  </si>
  <si>
    <t>古賀 悠斗</t>
  </si>
  <si>
    <t>平沼 翔太</t>
  </si>
  <si>
    <t>モンテル</t>
  </si>
  <si>
    <t>ジョセフ</t>
  </si>
  <si>
    <t>一塁側</t>
  </si>
  <si>
    <t>先攻略称（得点経過）</t>
    <rPh sb="0" eb="2">
      <t>センコウ</t>
    </rPh>
    <rPh sb="2" eb="4">
      <t>リャクショウ</t>
    </rPh>
    <rPh sb="5" eb="9">
      <t>トクテンケイカ</t>
    </rPh>
    <phoneticPr fontId="1"/>
  </si>
  <si>
    <t>後攻略称（得点経過）</t>
    <rPh sb="0" eb="2">
      <t>コウコウ</t>
    </rPh>
    <rPh sb="2" eb="4">
      <t>リャクショウ</t>
    </rPh>
    <rPh sb="3" eb="4">
      <t>コウリャク</t>
    </rPh>
    <rPh sb="5" eb="9">
      <t>トクテンケイカ</t>
    </rPh>
    <phoneticPr fontId="1"/>
  </si>
  <si>
    <t>捕</t>
  </si>
  <si>
    <t>-</t>
  </si>
  <si>
    <t>外</t>
  </si>
  <si>
    <t>投</t>
  </si>
  <si>
    <t>門脇 誠</t>
  </si>
  <si>
    <t>泉口 友汰</t>
  </si>
  <si>
    <t>中田 歩夢</t>
  </si>
  <si>
    <t>佐々木 俊輔</t>
  </si>
  <si>
    <t>山﨑 伊織</t>
  </si>
  <si>
    <t>高橋 礼</t>
  </si>
  <si>
    <t>006</t>
  </si>
  <si>
    <t>010</t>
  </si>
  <si>
    <t>大津 綾也</t>
  </si>
  <si>
    <t>亀田 啓太</t>
  </si>
  <si>
    <t>前田 研輝</t>
  </si>
  <si>
    <t>069</t>
  </si>
  <si>
    <t>萩原 哲</t>
  </si>
  <si>
    <t>加藤 廉</t>
  </si>
  <si>
    <t>村山 源</t>
  </si>
  <si>
    <t>田上 優弥</t>
  </si>
  <si>
    <t>宇都宮 葵星</t>
  </si>
  <si>
    <t>相澤 白虎</t>
  </si>
  <si>
    <t>岡本 大翔</t>
  </si>
  <si>
    <t>027</t>
  </si>
  <si>
    <t>北村 流音</t>
  </si>
  <si>
    <t>098</t>
  </si>
  <si>
    <t>鈴木 大和</t>
  </si>
  <si>
    <t>009</t>
  </si>
  <si>
    <t>笹原 操希</t>
  </si>
  <si>
    <t>三塚 琉生</t>
  </si>
  <si>
    <t>033</t>
  </si>
  <si>
    <t>平山 功太</t>
  </si>
  <si>
    <t>039</t>
  </si>
  <si>
    <t>立岡 宗一郎</t>
  </si>
  <si>
    <t>大城 元</t>
  </si>
  <si>
    <t>051</t>
  </si>
  <si>
    <t>舟越 秀虎</t>
  </si>
  <si>
    <t>巨人</t>
  </si>
  <si>
    <t>広島</t>
  </si>
  <si>
    <t>ラミレス</t>
  </si>
  <si>
    <t>ロベルト</t>
  </si>
  <si>
    <t>しない</t>
  </si>
  <si>
    <t>SWALLOWS</t>
    <phoneticPr fontId="1"/>
  </si>
  <si>
    <t>ヤ</t>
    <phoneticPr fontId="1"/>
  </si>
  <si>
    <t>巨人</t>
    <rPh sb="0" eb="2">
      <t>キョジン</t>
    </rPh>
    <phoneticPr fontId="1"/>
  </si>
  <si>
    <t>GIANTS</t>
    <phoneticPr fontId="1"/>
  </si>
  <si>
    <t>巨</t>
    <rPh sb="0" eb="1">
      <t>キョ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</si>
</sst>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1E4430"/>
      <color rgb="FF00FF00"/>
      <color rgb="FF789E22"/>
      <color rgb="FFE6E6E6"/>
      <color rgb="FFFF71FF"/>
      <color rgb="FFF6AB00"/>
      <color rgb="FF870011"/>
      <color rgb="FF60000B"/>
      <color rgb="FFB8A536"/>
      <color rgb="FF0003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L8" sqref="L8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21.664062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856</v>
      </c>
      <c r="E3" s="2" t="s">
        <v>857</v>
      </c>
      <c r="P3" s="2" t="s">
        <v>856</v>
      </c>
      <c r="Q3" s="2" t="s">
        <v>857</v>
      </c>
    </row>
    <row r="4" spans="2:18" ht="13.2" customHeight="1" x14ac:dyDescent="0.2">
      <c r="B4" s="138" t="s">
        <v>825</v>
      </c>
      <c r="C4" s="2" t="s">
        <v>827</v>
      </c>
      <c r="D4" s="69" t="s">
        <v>831</v>
      </c>
      <c r="E4" s="73" t="s">
        <v>831</v>
      </c>
      <c r="G4" s="142" t="s">
        <v>845</v>
      </c>
      <c r="H4" s="2" t="s">
        <v>827</v>
      </c>
      <c r="I4" s="40" t="s">
        <v>846</v>
      </c>
      <c r="K4" s="3" t="s">
        <v>851</v>
      </c>
      <c r="L4" s="3" t="s">
        <v>2132</v>
      </c>
      <c r="N4" s="130" t="s">
        <v>825</v>
      </c>
      <c r="O4" s="43" t="s">
        <v>858</v>
      </c>
      <c r="P4" s="3" t="str">
        <f>textcolor(D4)</f>
        <v>#000000</v>
      </c>
      <c r="Q4" s="3" t="str">
        <f>textcolor(E4)</f>
        <v>#94C52B</v>
      </c>
      <c r="R4" t="s">
        <v>871</v>
      </c>
    </row>
    <row r="5" spans="2:18" x14ac:dyDescent="0.2">
      <c r="B5" s="139"/>
      <c r="C5" s="2" t="s">
        <v>828</v>
      </c>
      <c r="D5" s="71"/>
      <c r="E5" s="74"/>
      <c r="G5" s="143"/>
      <c r="H5" s="2" t="s">
        <v>828</v>
      </c>
      <c r="I5" s="37"/>
      <c r="K5" s="3" t="s">
        <v>869</v>
      </c>
      <c r="L5" s="3" t="s">
        <v>2133</v>
      </c>
      <c r="N5" s="131"/>
      <c r="O5" s="43" t="s">
        <v>865</v>
      </c>
      <c r="P5" s="3" t="str">
        <f>BackGroundColor(D4,D5,D6,D7,D8,FALSE)</f>
        <v>linear-gradient(to bottom, #F79727 0%, #F79727 40%, #D77907 60%, #D77907 100%)</v>
      </c>
      <c r="Q5" s="3" t="str">
        <f>BackGroundColor(E4,E5,E6,E7,E8,FALSE)</f>
        <v>linear-gradient(to bottom, #001443 0%, #001443 40%, #000C26 60%, #000C26 100%)</v>
      </c>
      <c r="R5" t="s">
        <v>871</v>
      </c>
    </row>
    <row r="6" spans="2:18" x14ac:dyDescent="0.2">
      <c r="B6" s="139"/>
      <c r="C6" s="2" t="s">
        <v>823</v>
      </c>
      <c r="D6" s="2" t="s">
        <v>824</v>
      </c>
      <c r="E6" s="2" t="s">
        <v>824</v>
      </c>
      <c r="G6" s="143"/>
      <c r="H6" s="2" t="s">
        <v>823</v>
      </c>
      <c r="I6" s="2"/>
      <c r="K6" s="3" t="s">
        <v>883</v>
      </c>
      <c r="L6" s="42">
        <f>GetLastRow(L4)</f>
        <v>145</v>
      </c>
      <c r="N6" s="144" t="s">
        <v>842</v>
      </c>
      <c r="O6" s="43" t="s">
        <v>858</v>
      </c>
      <c r="P6" s="3" t="str">
        <f>textcolor(D9)</f>
        <v>#FFFFFF</v>
      </c>
      <c r="Q6" s="3" t="str">
        <f>textcolor(E9)</f>
        <v>#FFFFFF</v>
      </c>
      <c r="R6" t="s">
        <v>871</v>
      </c>
    </row>
    <row r="7" spans="2:18" x14ac:dyDescent="0.2">
      <c r="B7" s="139"/>
      <c r="C7" s="2" t="s">
        <v>832</v>
      </c>
      <c r="D7" s="34">
        <v>0.4</v>
      </c>
      <c r="E7" s="34">
        <v>0.4</v>
      </c>
      <c r="G7" s="143"/>
      <c r="H7" s="2" t="s">
        <v>832</v>
      </c>
      <c r="I7" s="34"/>
      <c r="K7" s="3" t="s">
        <v>2086</v>
      </c>
      <c r="L7" s="3" t="s">
        <v>2134</v>
      </c>
      <c r="N7" s="145"/>
      <c r="O7" s="43" t="s">
        <v>865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871</v>
      </c>
    </row>
    <row r="8" spans="2:18" x14ac:dyDescent="0.2">
      <c r="B8" s="140"/>
      <c r="C8" s="2" t="s">
        <v>833</v>
      </c>
      <c r="D8" s="34">
        <v>0.6</v>
      </c>
      <c r="E8" s="34">
        <v>0.6</v>
      </c>
      <c r="G8" s="143"/>
      <c r="H8" s="2" t="s">
        <v>833</v>
      </c>
      <c r="I8" s="34"/>
      <c r="K8" s="3" t="s">
        <v>852</v>
      </c>
      <c r="L8" s="3" t="s">
        <v>1944</v>
      </c>
      <c r="N8" s="47" t="s">
        <v>826</v>
      </c>
      <c r="O8" s="43" t="s">
        <v>868</v>
      </c>
      <c r="P8" s="3" t="str">
        <f t="shared" ref="P8:Q10" si="0">BackGroundColorSingle(D14)</f>
        <v>#F79727</v>
      </c>
      <c r="Q8" s="3" t="str">
        <f t="shared" si="0"/>
        <v>#94C52B</v>
      </c>
      <c r="R8" t="s">
        <v>871</v>
      </c>
    </row>
    <row r="9" spans="2:18" x14ac:dyDescent="0.2">
      <c r="B9" s="138" t="s">
        <v>842</v>
      </c>
      <c r="C9" s="2" t="s">
        <v>827</v>
      </c>
      <c r="D9" s="29" t="s">
        <v>831</v>
      </c>
      <c r="E9" s="29" t="s">
        <v>831</v>
      </c>
      <c r="G9" s="142" t="s">
        <v>847</v>
      </c>
      <c r="H9" s="2" t="s">
        <v>827</v>
      </c>
      <c r="I9" s="119" t="s">
        <v>846</v>
      </c>
      <c r="K9" s="3" t="s">
        <v>870</v>
      </c>
      <c r="L9" s="3" t="s">
        <v>2130</v>
      </c>
      <c r="N9" s="47" t="s">
        <v>876</v>
      </c>
      <c r="O9" s="43" t="s">
        <v>868</v>
      </c>
      <c r="P9" s="3" t="str">
        <f t="shared" si="0"/>
        <v>#7F7F7F</v>
      </c>
      <c r="Q9" s="3" t="str">
        <f t="shared" si="0"/>
        <v>#7F7F7F</v>
      </c>
      <c r="R9" t="s">
        <v>871</v>
      </c>
    </row>
    <row r="10" spans="2:18" x14ac:dyDescent="0.2">
      <c r="B10" s="139"/>
      <c r="C10" s="2" t="s">
        <v>828</v>
      </c>
      <c r="D10" s="37"/>
      <c r="E10" s="37"/>
      <c r="G10" s="143"/>
      <c r="H10" s="2" t="s">
        <v>828</v>
      </c>
      <c r="I10" s="37"/>
      <c r="K10" s="3" t="s">
        <v>884</v>
      </c>
      <c r="L10" s="42">
        <f>GetLastRow(L8)</f>
        <v>112</v>
      </c>
      <c r="N10" s="47" t="s">
        <v>875</v>
      </c>
      <c r="O10" s="43" t="s">
        <v>868</v>
      </c>
      <c r="P10" s="3" t="str">
        <f t="shared" si="0"/>
        <v>#FFFFFF</v>
      </c>
      <c r="Q10" s="3" t="str">
        <f t="shared" si="0"/>
        <v>#FFFFFF</v>
      </c>
      <c r="R10" t="s">
        <v>871</v>
      </c>
    </row>
    <row r="11" spans="2:18" x14ac:dyDescent="0.2">
      <c r="B11" s="139"/>
      <c r="C11" s="2" t="s">
        <v>823</v>
      </c>
      <c r="D11" s="2"/>
      <c r="E11" s="2"/>
      <c r="G11" s="143"/>
      <c r="H11" s="2" t="s">
        <v>823</v>
      </c>
      <c r="I11" s="2"/>
      <c r="K11" s="3" t="s">
        <v>2087</v>
      </c>
      <c r="L11" s="3" t="s">
        <v>2131</v>
      </c>
      <c r="N11" s="130" t="s">
        <v>829</v>
      </c>
      <c r="O11" s="43" t="s">
        <v>858</v>
      </c>
      <c r="P11" s="3" t="str">
        <f>textcolor(D17)</f>
        <v>#FFFFFF</v>
      </c>
      <c r="Q11" s="3" t="str">
        <f>textcolor(E16)</f>
        <v>#FFFFFF</v>
      </c>
      <c r="R11" t="s">
        <v>871</v>
      </c>
    </row>
    <row r="12" spans="2:18" x14ac:dyDescent="0.2">
      <c r="B12" s="139"/>
      <c r="C12" s="2" t="s">
        <v>832</v>
      </c>
      <c r="D12" s="34"/>
      <c r="E12" s="34"/>
      <c r="G12" s="143"/>
      <c r="H12" s="2" t="s">
        <v>832</v>
      </c>
      <c r="I12" s="34"/>
      <c r="K12" s="3" t="s">
        <v>854</v>
      </c>
      <c r="L12" s="42">
        <v>12</v>
      </c>
      <c r="N12" s="131"/>
      <c r="O12" s="43" t="s">
        <v>865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871</v>
      </c>
    </row>
    <row r="13" spans="2:18" x14ac:dyDescent="0.2">
      <c r="B13" s="140"/>
      <c r="C13" s="2" t="s">
        <v>833</v>
      </c>
      <c r="D13" s="34"/>
      <c r="E13" s="34"/>
      <c r="G13" s="143"/>
      <c r="H13" s="2" t="s">
        <v>833</v>
      </c>
      <c r="I13" s="34"/>
      <c r="K13" s="3" t="s">
        <v>855</v>
      </c>
      <c r="L13" s="3" t="s">
        <v>2129</v>
      </c>
      <c r="N13" s="130" t="s">
        <v>830</v>
      </c>
      <c r="O13" s="43" t="s">
        <v>858</v>
      </c>
      <c r="P13" s="3" t="str">
        <f>textcolor(D22)</f>
        <v>#FFFFFF</v>
      </c>
      <c r="Q13" s="3" t="str">
        <f>textcolor(E22)</f>
        <v>#FFFFFF</v>
      </c>
      <c r="R13" t="s">
        <v>871</v>
      </c>
    </row>
    <row r="14" spans="2:18" ht="13.2" customHeight="1" x14ac:dyDescent="0.2">
      <c r="B14" s="28" t="s">
        <v>826</v>
      </c>
      <c r="C14" s="2" t="s">
        <v>868</v>
      </c>
      <c r="D14" s="70"/>
      <c r="E14" s="72"/>
      <c r="G14" s="142" t="s">
        <v>848</v>
      </c>
      <c r="H14" s="2" t="s">
        <v>827</v>
      </c>
      <c r="I14" s="38" t="s">
        <v>846</v>
      </c>
      <c r="K14" s="3" t="s">
        <v>882</v>
      </c>
      <c r="L14" s="3" t="s">
        <v>2085</v>
      </c>
      <c r="N14" s="141"/>
      <c r="O14" s="43" t="s">
        <v>865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871</v>
      </c>
    </row>
    <row r="15" spans="2:18" ht="13.2" customHeight="1" x14ac:dyDescent="0.2">
      <c r="B15" s="28" t="s">
        <v>876</v>
      </c>
      <c r="C15" s="2" t="s">
        <v>868</v>
      </c>
      <c r="D15" s="51"/>
      <c r="E15" s="51"/>
      <c r="G15" s="143"/>
      <c r="H15" s="2" t="s">
        <v>828</v>
      </c>
      <c r="I15" s="37"/>
      <c r="K15" s="3" t="s">
        <v>2075</v>
      </c>
      <c r="L15" s="42"/>
      <c r="N15" s="131"/>
      <c r="O15" s="43" t="s">
        <v>1977</v>
      </c>
      <c r="P15" s="3" t="str">
        <f>BackGroundColorSingle(D27)</f>
        <v/>
      </c>
      <c r="Q15" s="3" t="str">
        <f>BackGroundColorSingle(E27)</f>
        <v/>
      </c>
      <c r="R15" t="s">
        <v>871</v>
      </c>
    </row>
    <row r="16" spans="2:18" x14ac:dyDescent="0.2">
      <c r="B16" s="28" t="s">
        <v>875</v>
      </c>
      <c r="C16" s="2" t="s">
        <v>868</v>
      </c>
      <c r="D16" s="50"/>
      <c r="E16" s="50"/>
      <c r="G16" s="143"/>
      <c r="H16" s="2" t="s">
        <v>823</v>
      </c>
      <c r="I16" s="2"/>
      <c r="K16" s="3" t="s">
        <v>2076</v>
      </c>
      <c r="L16" s="42"/>
      <c r="N16" s="130" t="s">
        <v>835</v>
      </c>
      <c r="O16" s="43" t="s">
        <v>858</v>
      </c>
      <c r="P16" s="3" t="str">
        <f>textcolor(D28)</f>
        <v>#000000</v>
      </c>
      <c r="Q16" s="3" t="str">
        <f>textcolor(E28)</f>
        <v>#001443</v>
      </c>
      <c r="R16" t="s">
        <v>871</v>
      </c>
    </row>
    <row r="17" spans="2:18" x14ac:dyDescent="0.2">
      <c r="B17" s="138" t="s">
        <v>829</v>
      </c>
      <c r="C17" s="2" t="s">
        <v>827</v>
      </c>
      <c r="D17" s="29" t="s">
        <v>837</v>
      </c>
      <c r="E17" s="29" t="s">
        <v>837</v>
      </c>
      <c r="G17" s="143"/>
      <c r="H17" s="2" t="s">
        <v>832</v>
      </c>
      <c r="I17" s="34"/>
      <c r="K17" s="3" t="s">
        <v>2077</v>
      </c>
      <c r="L17" s="42"/>
      <c r="N17" s="131"/>
      <c r="O17" s="43" t="s">
        <v>865</v>
      </c>
      <c r="P17" s="3" t="str">
        <f>BackGroundColor(D28,D29,D30,D31,D32,FALSE)</f>
        <v>linear-gradient(to bottom, #F79727 0%, #F79727 40%, #D77907 60%, #D77907 100%)</v>
      </c>
      <c r="Q17" s="3" t="str">
        <f>BackGroundColor(E28,E29,E30,E31,E32,FALSE)</f>
        <v>linear-gradient(to bottom, #94C52B 0%, #94C52B 40%, #789E22 60%, #789E22 100%)</v>
      </c>
      <c r="R17" t="s">
        <v>871</v>
      </c>
    </row>
    <row r="18" spans="2:18" x14ac:dyDescent="0.2">
      <c r="B18" s="139"/>
      <c r="C18" s="2" t="s">
        <v>828</v>
      </c>
      <c r="D18" s="30"/>
      <c r="E18" s="30"/>
      <c r="G18" s="143"/>
      <c r="H18" s="2" t="s">
        <v>833</v>
      </c>
      <c r="I18" s="34"/>
      <c r="N18" s="130" t="s">
        <v>836</v>
      </c>
      <c r="O18" s="43" t="s">
        <v>858</v>
      </c>
      <c r="P18" s="3" t="str">
        <f>textcolor(D33)</f>
        <v>#000000</v>
      </c>
      <c r="Q18" s="3" t="str">
        <f>textcolor(E33)</f>
        <v>#001443</v>
      </c>
      <c r="R18" t="s">
        <v>871</v>
      </c>
    </row>
    <row r="19" spans="2:18" x14ac:dyDescent="0.2">
      <c r="B19" s="139"/>
      <c r="C19" s="2" t="s">
        <v>823</v>
      </c>
      <c r="D19" s="2" t="s">
        <v>824</v>
      </c>
      <c r="E19" s="2" t="s">
        <v>824</v>
      </c>
      <c r="G19" s="142" t="s">
        <v>866</v>
      </c>
      <c r="H19" s="2" t="s">
        <v>827</v>
      </c>
      <c r="I19" s="63">
        <v>1</v>
      </c>
      <c r="N19" s="141"/>
      <c r="O19" s="43" t="s">
        <v>865</v>
      </c>
      <c r="P19" s="3" t="str">
        <f>BackGroundColor(D33,D34,D35,D36,D37,FALSE)</f>
        <v>linear-gradient(to bottom, #F79727 0%, #F79727 40%, #D77907 60%, #D77907 100%)</v>
      </c>
      <c r="Q19" s="3" t="str">
        <f>BackGroundColor(E33,E34,E35,E36,E37,FALSE)</f>
        <v>linear-gradient(to bottom, #94C52B 0%, #94C52B 40%, #789E22 60%, #789E22 100%)</v>
      </c>
      <c r="R19" t="s">
        <v>871</v>
      </c>
    </row>
    <row r="20" spans="2:18" ht="13.2" customHeight="1" x14ac:dyDescent="0.2">
      <c r="B20" s="139"/>
      <c r="C20" s="2" t="s">
        <v>832</v>
      </c>
      <c r="D20" s="34">
        <v>0.4</v>
      </c>
      <c r="E20" s="34">
        <v>0.4</v>
      </c>
      <c r="G20" s="143"/>
      <c r="H20" s="2" t="s">
        <v>828</v>
      </c>
      <c r="I20" s="37"/>
      <c r="N20" s="131"/>
      <c r="O20" s="43" t="s">
        <v>1977</v>
      </c>
      <c r="P20" s="3" t="str">
        <f>BackGroundColorSingle(D38)</f>
        <v>#F79727</v>
      </c>
      <c r="Q20" s="3" t="str">
        <f>BackGroundColorSingle(E38)</f>
        <v>#94C52B</v>
      </c>
      <c r="R20" t="s">
        <v>871</v>
      </c>
    </row>
    <row r="21" spans="2:18" x14ac:dyDescent="0.2">
      <c r="B21" s="140"/>
      <c r="C21" s="2" t="s">
        <v>833</v>
      </c>
      <c r="D21" s="34">
        <v>0.6</v>
      </c>
      <c r="E21" s="34">
        <v>0.6</v>
      </c>
      <c r="G21" s="143"/>
      <c r="H21" s="2" t="s">
        <v>823</v>
      </c>
      <c r="I21" s="2"/>
      <c r="N21" s="130" t="s">
        <v>838</v>
      </c>
      <c r="O21" s="43" t="s">
        <v>858</v>
      </c>
      <c r="P21" s="3" t="str">
        <f>textcolor(D39)</f>
        <v>#FFFFFF</v>
      </c>
      <c r="Q21" s="3" t="str">
        <f>textcolor(E39)</f>
        <v>#FFFFFF</v>
      </c>
      <c r="R21" t="s">
        <v>871</v>
      </c>
    </row>
    <row r="22" spans="2:18" ht="13.2" customHeight="1" x14ac:dyDescent="0.2">
      <c r="B22" s="138" t="s">
        <v>830</v>
      </c>
      <c r="C22" s="2" t="s">
        <v>827</v>
      </c>
      <c r="D22" s="52" t="s">
        <v>834</v>
      </c>
      <c r="E22" s="52" t="s">
        <v>834</v>
      </c>
      <c r="G22" s="143"/>
      <c r="H22" s="2" t="s">
        <v>832</v>
      </c>
      <c r="I22" s="34"/>
      <c r="N22" s="131"/>
      <c r="O22" s="43" t="s">
        <v>865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871</v>
      </c>
    </row>
    <row r="23" spans="2:18" x14ac:dyDescent="0.2">
      <c r="B23" s="139"/>
      <c r="C23" s="2" t="s">
        <v>828</v>
      </c>
      <c r="D23" s="35" t="s">
        <v>834</v>
      </c>
      <c r="E23" s="35" t="s">
        <v>834</v>
      </c>
      <c r="G23" s="143"/>
      <c r="H23" s="2" t="s">
        <v>833</v>
      </c>
      <c r="I23" s="34"/>
      <c r="N23" s="130" t="s">
        <v>839</v>
      </c>
      <c r="O23" s="43" t="s">
        <v>858</v>
      </c>
      <c r="P23" s="3" t="str">
        <f>textcolor(D44)</f>
        <v>#00FF00</v>
      </c>
      <c r="Q23" s="3" t="str">
        <f>textcolor(E44)</f>
        <v>#00FF00</v>
      </c>
      <c r="R23" t="s">
        <v>871</v>
      </c>
    </row>
    <row r="24" spans="2:18" x14ac:dyDescent="0.2">
      <c r="B24" s="139"/>
      <c r="C24" s="2" t="s">
        <v>823</v>
      </c>
      <c r="D24" s="2"/>
      <c r="E24" s="2"/>
      <c r="G24" s="142" t="s">
        <v>849</v>
      </c>
      <c r="H24" s="2" t="s">
        <v>827</v>
      </c>
      <c r="I24" s="39" t="s">
        <v>850</v>
      </c>
      <c r="N24" s="141"/>
      <c r="O24" s="43" t="s">
        <v>865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871</v>
      </c>
    </row>
    <row r="25" spans="2:18" ht="13.2" customHeight="1" x14ac:dyDescent="0.2">
      <c r="B25" s="139"/>
      <c r="C25" s="2" t="s">
        <v>832</v>
      </c>
      <c r="D25" s="34"/>
      <c r="E25" s="34"/>
      <c r="G25" s="143"/>
      <c r="H25" s="2" t="s">
        <v>828</v>
      </c>
      <c r="I25" s="37"/>
      <c r="N25" s="131"/>
      <c r="O25" s="43" t="s">
        <v>1977</v>
      </c>
      <c r="P25" s="3" t="str">
        <f>BackGroundColorSingle(D49)</f>
        <v/>
      </c>
      <c r="Q25" s="3" t="str">
        <f>BackGroundColorSingle(E49)</f>
        <v/>
      </c>
      <c r="R25" t="s">
        <v>871</v>
      </c>
    </row>
    <row r="26" spans="2:18" x14ac:dyDescent="0.2">
      <c r="B26" s="139"/>
      <c r="C26" s="2" t="s">
        <v>833</v>
      </c>
      <c r="D26" s="34"/>
      <c r="E26" s="34"/>
      <c r="G26" s="143"/>
      <c r="H26" s="2" t="s">
        <v>823</v>
      </c>
      <c r="I26" s="2"/>
      <c r="N26" s="130" t="s">
        <v>874</v>
      </c>
      <c r="O26" s="43" t="s">
        <v>858</v>
      </c>
      <c r="P26" s="3" t="str">
        <f>textcolor(D50)</f>
        <v>#000000</v>
      </c>
      <c r="Q26" s="3" t="str">
        <f>textcolor(E50)</f>
        <v>#001443</v>
      </c>
      <c r="R26" t="s">
        <v>871</v>
      </c>
    </row>
    <row r="27" spans="2:18" x14ac:dyDescent="0.2">
      <c r="B27" s="140"/>
      <c r="C27" s="2" t="s">
        <v>1977</v>
      </c>
      <c r="D27" s="34"/>
      <c r="E27" s="34"/>
      <c r="G27" s="143"/>
      <c r="H27" s="2" t="s">
        <v>832</v>
      </c>
      <c r="I27" s="34"/>
      <c r="N27" s="131"/>
      <c r="O27" s="43" t="s">
        <v>865</v>
      </c>
      <c r="P27" s="3" t="str">
        <f>BackGroundColor(D50,D51,D52,D53,D54,FALSE)</f>
        <v>linear-gradient(to bottom, #F79727 0%, #F79727 40%, #D77907 60%, #D77907 100%)</v>
      </c>
      <c r="Q27" s="3" t="str">
        <f>BackGroundColor(E50,E51,E52,E53,E54,FALSE)</f>
        <v>linear-gradient(to bottom, #94C52B 0%, #94C52B 40%, #789E22 60%, #789E22 100%)</v>
      </c>
      <c r="R27" t="s">
        <v>871</v>
      </c>
    </row>
    <row r="28" spans="2:18" x14ac:dyDescent="0.2">
      <c r="B28" s="138" t="s">
        <v>835</v>
      </c>
      <c r="C28" s="2" t="s">
        <v>827</v>
      </c>
      <c r="D28" s="106" t="s">
        <v>837</v>
      </c>
      <c r="E28" s="107" t="s">
        <v>837</v>
      </c>
      <c r="G28" s="143"/>
      <c r="H28" s="2" t="s">
        <v>833</v>
      </c>
      <c r="I28" s="34"/>
      <c r="N28" s="130" t="s">
        <v>873</v>
      </c>
      <c r="O28" s="43" t="s">
        <v>858</v>
      </c>
      <c r="P28" s="3" t="str">
        <f>textcolor(D55)</f>
        <v>#FFFFFF</v>
      </c>
      <c r="Q28" s="3" t="str">
        <f>textcolor(E55)</f>
        <v>#FFFFFF</v>
      </c>
      <c r="R28" t="s">
        <v>871</v>
      </c>
    </row>
    <row r="29" spans="2:18" x14ac:dyDescent="0.2">
      <c r="B29" s="139"/>
      <c r="C29" s="2" t="s">
        <v>828</v>
      </c>
      <c r="D29" s="71"/>
      <c r="E29" s="120"/>
      <c r="G29" s="138" t="s">
        <v>865</v>
      </c>
      <c r="H29" s="2" t="s">
        <v>827</v>
      </c>
      <c r="I29" s="41"/>
      <c r="N29" s="141"/>
      <c r="O29" s="43" t="s">
        <v>865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871</v>
      </c>
    </row>
    <row r="30" spans="2:18" x14ac:dyDescent="0.2">
      <c r="B30" s="139"/>
      <c r="C30" s="2" t="s">
        <v>823</v>
      </c>
      <c r="D30" s="2" t="s">
        <v>824</v>
      </c>
      <c r="E30" s="2" t="s">
        <v>824</v>
      </c>
      <c r="G30" s="139"/>
      <c r="H30" s="2" t="s">
        <v>828</v>
      </c>
      <c r="I30" s="37"/>
      <c r="N30" s="131"/>
      <c r="O30" s="43" t="s">
        <v>1977</v>
      </c>
      <c r="P30" s="3" t="str">
        <f>BackGroundColorSingle(D60)</f>
        <v/>
      </c>
      <c r="Q30" s="3" t="str">
        <f>BackGroundColorSingle(E60)</f>
        <v/>
      </c>
      <c r="R30" t="s">
        <v>871</v>
      </c>
    </row>
    <row r="31" spans="2:18" ht="13.2" customHeight="1" x14ac:dyDescent="0.2">
      <c r="B31" s="139"/>
      <c r="C31" s="2" t="s">
        <v>832</v>
      </c>
      <c r="D31" s="34">
        <v>0.4</v>
      </c>
      <c r="E31" s="34">
        <v>0.4</v>
      </c>
      <c r="G31" s="139"/>
      <c r="H31" s="2" t="s">
        <v>823</v>
      </c>
      <c r="I31" s="2"/>
      <c r="N31" s="132" t="s">
        <v>840</v>
      </c>
      <c r="O31" s="43" t="s">
        <v>858</v>
      </c>
      <c r="P31" s="3" t="str">
        <f>textcolor(D61)</f>
        <v>#F79727</v>
      </c>
      <c r="Q31" s="3" t="str">
        <f>textcolor(E61)</f>
        <v>#001443</v>
      </c>
      <c r="R31" t="s">
        <v>871</v>
      </c>
    </row>
    <row r="32" spans="2:18" x14ac:dyDescent="0.2">
      <c r="B32" s="140"/>
      <c r="C32" s="2" t="s">
        <v>833</v>
      </c>
      <c r="D32" s="34">
        <v>0.6</v>
      </c>
      <c r="E32" s="34">
        <v>0.6</v>
      </c>
      <c r="G32" s="139"/>
      <c r="H32" s="2" t="s">
        <v>832</v>
      </c>
      <c r="I32" s="34"/>
      <c r="N32" s="133"/>
      <c r="O32" s="43" t="s">
        <v>865</v>
      </c>
      <c r="P32" s="3" t="str">
        <f>BackGroundColor(D61,D62,D63,D64,D65,TRUE)</f>
        <v>linear-gradient(to bottom, #3B3B3B 0%, #3B3B3B 40%, #262626 60%, #262626 100%)</v>
      </c>
      <c r="Q32" s="3" t="str">
        <f>BackGroundColor(E61,E62,E63,E64,E65,TRUE)</f>
        <v>linear-gradient(to bottom, #94C52B 0%, #94C52B 40%, #789E22 60%, #789E22 100%)</v>
      </c>
      <c r="R32" t="s">
        <v>871</v>
      </c>
    </row>
    <row r="33" spans="2:18" ht="13.2" customHeight="1" x14ac:dyDescent="0.2">
      <c r="B33" s="138" t="s">
        <v>836</v>
      </c>
      <c r="C33" s="2" t="s">
        <v>827</v>
      </c>
      <c r="D33" s="69" t="s">
        <v>834</v>
      </c>
      <c r="E33" s="75" t="s">
        <v>834</v>
      </c>
      <c r="G33" s="140"/>
      <c r="H33" s="2" t="s">
        <v>833</v>
      </c>
      <c r="I33" s="34"/>
      <c r="N33" s="134"/>
      <c r="O33" s="43" t="s">
        <v>1977</v>
      </c>
      <c r="P33" s="3" t="str">
        <f>BackGroundColorSingle(D66)</f>
        <v>#3B3B3B</v>
      </c>
      <c r="Q33" s="3" t="str">
        <f>BackGroundColorSingle(E66)</f>
        <v>#94C52B</v>
      </c>
      <c r="R33" t="s">
        <v>871</v>
      </c>
    </row>
    <row r="34" spans="2:18" x14ac:dyDescent="0.2">
      <c r="B34" s="139"/>
      <c r="C34" s="2" t="s">
        <v>828</v>
      </c>
      <c r="D34" s="71"/>
      <c r="E34" s="120"/>
      <c r="G34" s="2" t="s">
        <v>867</v>
      </c>
      <c r="H34" s="2" t="s">
        <v>868</v>
      </c>
      <c r="I34" s="46"/>
      <c r="N34" s="135" t="s">
        <v>843</v>
      </c>
      <c r="O34" s="43" t="s">
        <v>858</v>
      </c>
      <c r="P34" s="3" t="str">
        <f>textcolor(D67)</f>
        <v>#F79727</v>
      </c>
      <c r="Q34" s="3" t="str">
        <f>textcolor(E67)</f>
        <v>#001443</v>
      </c>
      <c r="R34" t="s">
        <v>871</v>
      </c>
    </row>
    <row r="35" spans="2:18" x14ac:dyDescent="0.2">
      <c r="B35" s="139"/>
      <c r="C35" s="2" t="s">
        <v>823</v>
      </c>
      <c r="D35" s="2" t="s">
        <v>824</v>
      </c>
      <c r="E35" s="2" t="s">
        <v>824</v>
      </c>
      <c r="G35" s="2" t="s">
        <v>877</v>
      </c>
      <c r="H35" s="2" t="s">
        <v>868</v>
      </c>
      <c r="I35" s="51"/>
      <c r="N35" s="136"/>
      <c r="O35" s="43" t="s">
        <v>865</v>
      </c>
      <c r="P35" s="3" t="str">
        <f>BackGroundColor(D67,D68,D69,D70,D71,FALSE)</f>
        <v>linear-gradient(to bottom, #3B3B3B 0%, #3B3B3B 40%, #262626 60%, #262626 100%)</v>
      </c>
      <c r="Q35" s="3" t="str">
        <f>BackGroundColor(E67,E68,E69,E70,E71,FALSE)</f>
        <v>linear-gradient(to bottom, #94C52B 0%, #94C52B 40%, #789E22 60%, #789E22 100%)</v>
      </c>
      <c r="R35" t="s">
        <v>871</v>
      </c>
    </row>
    <row r="36" spans="2:18" ht="13.2" customHeight="1" x14ac:dyDescent="0.2">
      <c r="B36" s="139"/>
      <c r="C36" s="2" t="s">
        <v>832</v>
      </c>
      <c r="D36" s="34">
        <v>0.4</v>
      </c>
      <c r="E36" s="34">
        <v>0.4</v>
      </c>
      <c r="G36" s="138" t="s">
        <v>878</v>
      </c>
      <c r="H36" s="2" t="s">
        <v>827</v>
      </c>
      <c r="I36" s="39" t="s">
        <v>837</v>
      </c>
      <c r="N36" s="137"/>
      <c r="O36" s="43" t="s">
        <v>1977</v>
      </c>
      <c r="P36" s="3" t="str">
        <f>BackGroundColorSingle(D72)</f>
        <v/>
      </c>
      <c r="Q36" s="3" t="str">
        <f>BackGroundColorSingle(E72)</f>
        <v>#94C52B</v>
      </c>
      <c r="R36" t="s">
        <v>871</v>
      </c>
    </row>
    <row r="37" spans="2:18" x14ac:dyDescent="0.2">
      <c r="B37" s="139"/>
      <c r="C37" s="2" t="s">
        <v>833</v>
      </c>
      <c r="D37" s="34">
        <v>0.6</v>
      </c>
      <c r="E37" s="34">
        <v>0.6</v>
      </c>
      <c r="G37" s="139"/>
      <c r="H37" s="2" t="s">
        <v>828</v>
      </c>
      <c r="I37" s="37"/>
      <c r="N37" s="135" t="s">
        <v>844</v>
      </c>
      <c r="O37" s="43" t="s">
        <v>858</v>
      </c>
      <c r="P37" s="3" t="str">
        <f>textcolor(D73)</f>
        <v>#00FF00</v>
      </c>
      <c r="Q37" s="3" t="str">
        <f>textcolor(E73)</f>
        <v>#00FF00</v>
      </c>
      <c r="R37" t="s">
        <v>871</v>
      </c>
    </row>
    <row r="38" spans="2:18" x14ac:dyDescent="0.2">
      <c r="B38" s="140"/>
      <c r="C38" s="2" t="s">
        <v>1977</v>
      </c>
      <c r="D38" s="69"/>
      <c r="E38" s="75"/>
      <c r="G38" s="139"/>
      <c r="H38" s="2" t="s">
        <v>823</v>
      </c>
      <c r="I38" s="2"/>
      <c r="N38" s="136"/>
      <c r="O38" s="43" t="s">
        <v>865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871</v>
      </c>
    </row>
    <row r="39" spans="2:18" x14ac:dyDescent="0.2">
      <c r="B39" s="138" t="s">
        <v>838</v>
      </c>
      <c r="C39" s="2" t="s">
        <v>827</v>
      </c>
      <c r="D39" s="29" t="s">
        <v>837</v>
      </c>
      <c r="E39" s="29" t="s">
        <v>837</v>
      </c>
      <c r="G39" s="139"/>
      <c r="H39" s="2" t="s">
        <v>832</v>
      </c>
      <c r="I39" s="34"/>
      <c r="N39" s="137"/>
      <c r="O39" s="43" t="s">
        <v>1977</v>
      </c>
      <c r="P39" s="3" t="str">
        <f>BackGroundColorSingle(D78)</f>
        <v/>
      </c>
      <c r="Q39" s="3" t="str">
        <f>BackGroundColorSingle(E78)</f>
        <v/>
      </c>
      <c r="R39" t="s">
        <v>871</v>
      </c>
    </row>
    <row r="40" spans="2:18" x14ac:dyDescent="0.2">
      <c r="B40" s="139"/>
      <c r="C40" s="2" t="s">
        <v>828</v>
      </c>
      <c r="D40" s="30"/>
      <c r="E40" s="30"/>
      <c r="G40" s="140"/>
      <c r="H40" s="2" t="s">
        <v>833</v>
      </c>
      <c r="I40" s="34"/>
      <c r="N40" s="146" t="s">
        <v>841</v>
      </c>
      <c r="O40" s="43" t="s">
        <v>858</v>
      </c>
      <c r="P40" s="3" t="str">
        <f>textcolor(D79)</f>
        <v>#F79727</v>
      </c>
      <c r="Q40" s="3" t="str">
        <f>textcolor(E79)</f>
        <v>#001443</v>
      </c>
      <c r="R40" t="s">
        <v>871</v>
      </c>
    </row>
    <row r="41" spans="2:18" x14ac:dyDescent="0.2">
      <c r="B41" s="139"/>
      <c r="C41" s="2" t="s">
        <v>823</v>
      </c>
      <c r="D41" s="2" t="s">
        <v>824</v>
      </c>
      <c r="E41" s="2" t="s">
        <v>824</v>
      </c>
      <c r="G41" s="142" t="s">
        <v>879</v>
      </c>
      <c r="H41" s="2" t="s">
        <v>827</v>
      </c>
      <c r="I41" s="52" t="s">
        <v>834</v>
      </c>
      <c r="N41" s="147"/>
      <c r="O41" s="43" t="s">
        <v>865</v>
      </c>
      <c r="P41" s="3" t="str">
        <f>BackGroundColor(D79,D80,D81,D82,D83,TRUE)</f>
        <v>linear-gradient(to bottom, #3B3B3B 0%, #3B3B3B 40%, #262626 60%, #262626 100%)</v>
      </c>
      <c r="Q41" s="3" t="str">
        <f>BackGroundColor(E79,E80,E81,E82,E83,TRUE)</f>
        <v>linear-gradient(to bottom, #94C52B 0%, #94C52B 40%, #789E22 60%, #789E22 100%)</v>
      </c>
      <c r="R41" t="s">
        <v>871</v>
      </c>
    </row>
    <row r="42" spans="2:18" ht="13.2" customHeight="1" x14ac:dyDescent="0.2">
      <c r="B42" s="139"/>
      <c r="C42" s="2" t="s">
        <v>832</v>
      </c>
      <c r="D42" s="34">
        <v>0.4</v>
      </c>
      <c r="E42" s="34">
        <v>0.4</v>
      </c>
      <c r="G42" s="142"/>
      <c r="H42" s="2" t="s">
        <v>828</v>
      </c>
      <c r="I42" s="37"/>
      <c r="N42" s="148"/>
      <c r="O42" s="43" t="s">
        <v>1977</v>
      </c>
      <c r="P42" s="3" t="str">
        <f>BackGroundColorSingle(D84)</f>
        <v/>
      </c>
      <c r="Q42" s="3" t="str">
        <f>BackGroundColorSingle(E84)</f>
        <v>#94C52B</v>
      </c>
      <c r="R42" t="s">
        <v>871</v>
      </c>
    </row>
    <row r="43" spans="2:18" x14ac:dyDescent="0.2">
      <c r="B43" s="140"/>
      <c r="C43" s="2" t="s">
        <v>833</v>
      </c>
      <c r="D43" s="34">
        <v>0.6</v>
      </c>
      <c r="E43" s="34">
        <v>0.6</v>
      </c>
      <c r="G43" s="142"/>
      <c r="H43" s="2" t="s">
        <v>823</v>
      </c>
      <c r="I43" s="2"/>
      <c r="N43" s="47" t="s">
        <v>859</v>
      </c>
      <c r="O43" s="43" t="s">
        <v>858</v>
      </c>
      <c r="P43" s="3" t="str">
        <f>textcolor(D85)</f>
        <v>#FFFF00</v>
      </c>
      <c r="Q43" s="3" t="str">
        <f>textcolor(E85)</f>
        <v>#FFFF00</v>
      </c>
      <c r="R43" t="s">
        <v>871</v>
      </c>
    </row>
    <row r="44" spans="2:18" ht="13.2" customHeight="1" x14ac:dyDescent="0.2">
      <c r="B44" s="138" t="s">
        <v>839</v>
      </c>
      <c r="C44" s="2" t="s">
        <v>827</v>
      </c>
      <c r="D44" s="53" t="s">
        <v>834</v>
      </c>
      <c r="E44" s="53" t="s">
        <v>834</v>
      </c>
      <c r="G44" s="142"/>
      <c r="H44" s="2" t="s">
        <v>832</v>
      </c>
      <c r="I44" s="34"/>
      <c r="N44" s="144" t="s">
        <v>861</v>
      </c>
      <c r="O44" s="43" t="s">
        <v>858</v>
      </c>
      <c r="P44" s="3" t="str">
        <f>textcolor(I4)</f>
        <v>#000000</v>
      </c>
      <c r="Q44" t="s">
        <v>871</v>
      </c>
      <c r="R44" t="s">
        <v>871</v>
      </c>
    </row>
    <row r="45" spans="2:18" x14ac:dyDescent="0.2">
      <c r="B45" s="139"/>
      <c r="C45" s="2" t="s">
        <v>828</v>
      </c>
      <c r="D45" s="31" t="s">
        <v>834</v>
      </c>
      <c r="E45" s="31" t="s">
        <v>834</v>
      </c>
      <c r="G45" s="142"/>
      <c r="H45" s="2" t="s">
        <v>833</v>
      </c>
      <c r="I45" s="34"/>
      <c r="N45" s="145"/>
      <c r="O45" s="43" t="s">
        <v>865</v>
      </c>
      <c r="P45" s="3" t="str">
        <f>BackGroundColor(I4,I5,I6,I7,I8,TRUE)</f>
        <v>#FFFFFF</v>
      </c>
      <c r="Q45" t="s">
        <v>871</v>
      </c>
      <c r="R45" t="s">
        <v>871</v>
      </c>
    </row>
    <row r="46" spans="2:18" x14ac:dyDescent="0.2">
      <c r="B46" s="139"/>
      <c r="C46" s="2" t="s">
        <v>823</v>
      </c>
      <c r="D46" s="2"/>
      <c r="E46" s="2"/>
      <c r="N46" s="144" t="s">
        <v>862</v>
      </c>
      <c r="O46" s="43" t="s">
        <v>858</v>
      </c>
      <c r="P46" s="3" t="str">
        <f>textcolor(I9)</f>
        <v>#000000</v>
      </c>
      <c r="Q46" t="s">
        <v>871</v>
      </c>
      <c r="R46" t="s">
        <v>871</v>
      </c>
    </row>
    <row r="47" spans="2:18" ht="13.2" customHeight="1" x14ac:dyDescent="0.2">
      <c r="B47" s="139"/>
      <c r="C47" s="2" t="s">
        <v>832</v>
      </c>
      <c r="D47" s="34"/>
      <c r="E47" s="34"/>
      <c r="N47" s="145"/>
      <c r="O47" s="43" t="s">
        <v>865</v>
      </c>
      <c r="P47" s="3" t="str">
        <f>BackGroundColor(I9,I10,I11,I12,I13,TRUE)</f>
        <v>#E6E6E6</v>
      </c>
      <c r="Q47" t="s">
        <v>871</v>
      </c>
      <c r="R47" t="s">
        <v>871</v>
      </c>
    </row>
    <row r="48" spans="2:18" x14ac:dyDescent="0.2">
      <c r="B48" s="139"/>
      <c r="C48" s="2" t="s">
        <v>833</v>
      </c>
      <c r="D48" s="34"/>
      <c r="E48" s="34"/>
      <c r="N48" s="144" t="s">
        <v>863</v>
      </c>
      <c r="O48" s="43" t="s">
        <v>858</v>
      </c>
      <c r="P48" s="3" t="str">
        <f>textcolor(I14)</f>
        <v>#FFFF00</v>
      </c>
      <c r="Q48" t="s">
        <v>871</v>
      </c>
      <c r="R48" t="s">
        <v>871</v>
      </c>
    </row>
    <row r="49" spans="2:18" x14ac:dyDescent="0.2">
      <c r="B49" s="140"/>
      <c r="C49" s="2" t="s">
        <v>1977</v>
      </c>
      <c r="D49" s="3"/>
      <c r="E49" s="3"/>
      <c r="N49" s="145"/>
      <c r="O49" s="43" t="s">
        <v>865</v>
      </c>
      <c r="P49" s="3" t="str">
        <f>BackGroundColor(I14,I15,I16,I17,I18,TRUE)</f>
        <v>#000000</v>
      </c>
      <c r="Q49" t="s">
        <v>871</v>
      </c>
      <c r="R49" t="s">
        <v>871</v>
      </c>
    </row>
    <row r="50" spans="2:18" x14ac:dyDescent="0.2">
      <c r="B50" s="138" t="s">
        <v>874</v>
      </c>
      <c r="C50" s="2" t="s">
        <v>827</v>
      </c>
      <c r="D50" s="69" t="s">
        <v>837</v>
      </c>
      <c r="E50" s="75" t="s">
        <v>837</v>
      </c>
      <c r="N50" s="144" t="s">
        <v>872</v>
      </c>
      <c r="O50" s="43" t="s">
        <v>858</v>
      </c>
      <c r="P50" s="3" t="str">
        <f>textcolor(I19)</f>
        <v>#FFFFFF</v>
      </c>
      <c r="Q50" t="s">
        <v>871</v>
      </c>
      <c r="R50" t="s">
        <v>871</v>
      </c>
    </row>
    <row r="51" spans="2:18" x14ac:dyDescent="0.2">
      <c r="B51" s="139"/>
      <c r="C51" s="2" t="s">
        <v>828</v>
      </c>
      <c r="D51" s="71"/>
      <c r="E51" s="120"/>
      <c r="N51" s="145"/>
      <c r="O51" s="43" t="s">
        <v>865</v>
      </c>
      <c r="P51" s="3" t="str">
        <f>BackGroundColor(I19,I20,I21,I22,I23,FALSE)</f>
        <v>#595959</v>
      </c>
      <c r="Q51" t="s">
        <v>871</v>
      </c>
      <c r="R51" t="s">
        <v>871</v>
      </c>
    </row>
    <row r="52" spans="2:18" x14ac:dyDescent="0.2">
      <c r="B52" s="139"/>
      <c r="C52" s="2" t="s">
        <v>823</v>
      </c>
      <c r="D52" s="2" t="s">
        <v>824</v>
      </c>
      <c r="E52" s="2" t="s">
        <v>824</v>
      </c>
      <c r="N52" s="144" t="s">
        <v>864</v>
      </c>
      <c r="O52" s="43" t="s">
        <v>858</v>
      </c>
      <c r="P52" s="3" t="str">
        <f>textcolor(I24)</f>
        <v>#000000</v>
      </c>
      <c r="Q52" t="s">
        <v>871</v>
      </c>
      <c r="R52" t="s">
        <v>871</v>
      </c>
    </row>
    <row r="53" spans="2:18" x14ac:dyDescent="0.2">
      <c r="B53" s="139"/>
      <c r="C53" s="2" t="s">
        <v>832</v>
      </c>
      <c r="D53" s="34">
        <v>0.4</v>
      </c>
      <c r="E53" s="34">
        <v>0.4</v>
      </c>
      <c r="N53" s="145"/>
      <c r="O53" s="43" t="s">
        <v>865</v>
      </c>
      <c r="P53" s="3" t="str">
        <f>BackGroundColor(I24,I25,I26,I27,I28,FALSE)</f>
        <v>#FFFFFF</v>
      </c>
      <c r="Q53" t="s">
        <v>871</v>
      </c>
      <c r="R53" t="s">
        <v>871</v>
      </c>
    </row>
    <row r="54" spans="2:18" x14ac:dyDescent="0.2">
      <c r="B54" s="140"/>
      <c r="C54" s="2" t="s">
        <v>833</v>
      </c>
      <c r="D54" s="34">
        <v>0.6</v>
      </c>
      <c r="E54" s="34">
        <v>0.6</v>
      </c>
      <c r="N54" s="49" t="s">
        <v>865</v>
      </c>
      <c r="O54" s="43" t="s">
        <v>868</v>
      </c>
      <c r="P54" s="3" t="str">
        <f>BackGroundColor(I29,I30,I31,I32,I33,FALSE)</f>
        <v>#000000</v>
      </c>
      <c r="Q54" t="s">
        <v>871</v>
      </c>
      <c r="R54" t="s">
        <v>871</v>
      </c>
    </row>
    <row r="55" spans="2:18" ht="13.2" customHeight="1" x14ac:dyDescent="0.2">
      <c r="B55" s="138" t="s">
        <v>873</v>
      </c>
      <c r="C55" s="2" t="s">
        <v>827</v>
      </c>
      <c r="D55" s="52" t="s">
        <v>834</v>
      </c>
      <c r="E55" s="52" t="s">
        <v>834</v>
      </c>
      <c r="N55" s="48" t="s">
        <v>867</v>
      </c>
      <c r="O55" s="43" t="s">
        <v>868</v>
      </c>
      <c r="P55" s="3" t="str">
        <f>BackGroundColorSingle(I34)</f>
        <v>#FF0000</v>
      </c>
      <c r="Q55" t="s">
        <v>871</v>
      </c>
      <c r="R55" t="s">
        <v>871</v>
      </c>
    </row>
    <row r="56" spans="2:18" x14ac:dyDescent="0.2">
      <c r="B56" s="139"/>
      <c r="C56" s="2" t="s">
        <v>828</v>
      </c>
      <c r="D56" s="31" t="s">
        <v>834</v>
      </c>
      <c r="E56" s="31" t="s">
        <v>834</v>
      </c>
      <c r="N56" s="48" t="s">
        <v>877</v>
      </c>
      <c r="O56" s="43" t="s">
        <v>868</v>
      </c>
      <c r="P56" s="3" t="str">
        <f>BackGroundColorSingle(I35)</f>
        <v>#7F7F7F</v>
      </c>
      <c r="Q56" t="s">
        <v>871</v>
      </c>
      <c r="R56" t="s">
        <v>871</v>
      </c>
    </row>
    <row r="57" spans="2:18" x14ac:dyDescent="0.2">
      <c r="B57" s="139"/>
      <c r="C57" s="2" t="s">
        <v>823</v>
      </c>
      <c r="D57" s="2"/>
      <c r="E57" s="2"/>
      <c r="N57" s="144" t="s">
        <v>880</v>
      </c>
      <c r="O57" s="43" t="s">
        <v>858</v>
      </c>
      <c r="P57" s="3" t="str">
        <f>textcolor(I36)</f>
        <v>#000000</v>
      </c>
      <c r="Q57" t="s">
        <v>871</v>
      </c>
      <c r="R57" t="s">
        <v>871</v>
      </c>
    </row>
    <row r="58" spans="2:18" x14ac:dyDescent="0.2">
      <c r="B58" s="139"/>
      <c r="C58" s="2" t="s">
        <v>832</v>
      </c>
      <c r="D58" s="34"/>
      <c r="E58" s="34"/>
      <c r="N58" s="145"/>
      <c r="O58" s="43" t="s">
        <v>865</v>
      </c>
      <c r="P58" s="3" t="str">
        <f>BackGroundColor(I36,I37,I38,I39,I40,FALSE)</f>
        <v>#FFFFFF</v>
      </c>
      <c r="Q58" t="s">
        <v>871</v>
      </c>
      <c r="R58" t="s">
        <v>871</v>
      </c>
    </row>
    <row r="59" spans="2:18" x14ac:dyDescent="0.2">
      <c r="B59" s="139"/>
      <c r="C59" s="2" t="s">
        <v>833</v>
      </c>
      <c r="D59" s="34"/>
      <c r="E59" s="34"/>
      <c r="N59" s="144" t="s">
        <v>881</v>
      </c>
      <c r="O59" s="43" t="s">
        <v>858</v>
      </c>
      <c r="P59" s="3" t="str">
        <f>textcolor(I41)</f>
        <v>#FFFFFF</v>
      </c>
      <c r="Q59" t="s">
        <v>871</v>
      </c>
      <c r="R59" t="s">
        <v>871</v>
      </c>
    </row>
    <row r="60" spans="2:18" x14ac:dyDescent="0.2">
      <c r="B60" s="140"/>
      <c r="C60" s="2" t="s">
        <v>1977</v>
      </c>
      <c r="D60" s="3"/>
      <c r="E60" s="3"/>
      <c r="N60" s="145"/>
      <c r="O60" s="43" t="s">
        <v>865</v>
      </c>
      <c r="P60" s="3" t="str">
        <f>BackGroundColor(I41,I42,I43,I44,I45,FALSE)</f>
        <v>#404040</v>
      </c>
      <c r="Q60" t="s">
        <v>871</v>
      </c>
    </row>
    <row r="61" spans="2:18" x14ac:dyDescent="0.2">
      <c r="B61" s="138" t="s">
        <v>840</v>
      </c>
      <c r="C61" s="2" t="s">
        <v>827</v>
      </c>
      <c r="D61" s="76" t="s">
        <v>834</v>
      </c>
      <c r="E61" s="75" t="s">
        <v>834</v>
      </c>
    </row>
    <row r="62" spans="2:18" x14ac:dyDescent="0.2">
      <c r="B62" s="139"/>
      <c r="C62" s="2" t="s">
        <v>828</v>
      </c>
      <c r="D62" s="94"/>
      <c r="E62" s="120"/>
    </row>
    <row r="63" spans="2:18" x14ac:dyDescent="0.2">
      <c r="B63" s="139"/>
      <c r="C63" s="2" t="s">
        <v>823</v>
      </c>
      <c r="D63" s="2" t="s">
        <v>824</v>
      </c>
      <c r="E63" s="2" t="s">
        <v>824</v>
      </c>
    </row>
    <row r="64" spans="2:18" x14ac:dyDescent="0.2">
      <c r="B64" s="139"/>
      <c r="C64" s="2" t="s">
        <v>832</v>
      </c>
      <c r="D64" s="34">
        <v>0.4</v>
      </c>
      <c r="E64" s="34">
        <v>0.4</v>
      </c>
    </row>
    <row r="65" spans="2:5" x14ac:dyDescent="0.2">
      <c r="B65" s="139"/>
      <c r="C65" s="2" t="s">
        <v>833</v>
      </c>
      <c r="D65" s="34">
        <v>0.6</v>
      </c>
      <c r="E65" s="34">
        <v>0.6</v>
      </c>
    </row>
    <row r="66" spans="2:5" x14ac:dyDescent="0.2">
      <c r="B66" s="140"/>
      <c r="C66" s="2" t="s">
        <v>1977</v>
      </c>
      <c r="D66" s="76"/>
      <c r="E66" s="75"/>
    </row>
    <row r="67" spans="2:5" ht="13.2" customHeight="1" x14ac:dyDescent="0.2">
      <c r="B67" s="138" t="s">
        <v>843</v>
      </c>
      <c r="C67" s="2" t="s">
        <v>827</v>
      </c>
      <c r="D67" s="76" t="s">
        <v>834</v>
      </c>
      <c r="E67" s="75" t="s">
        <v>834</v>
      </c>
    </row>
    <row r="68" spans="2:5" x14ac:dyDescent="0.2">
      <c r="B68" s="139"/>
      <c r="C68" s="2" t="s">
        <v>828</v>
      </c>
      <c r="D68" s="94"/>
      <c r="E68" s="120"/>
    </row>
    <row r="69" spans="2:5" x14ac:dyDescent="0.2">
      <c r="B69" s="139"/>
      <c r="C69" s="2" t="s">
        <v>823</v>
      </c>
      <c r="D69" s="2" t="s">
        <v>824</v>
      </c>
      <c r="E69" s="2" t="s">
        <v>824</v>
      </c>
    </row>
    <row r="70" spans="2:5" x14ac:dyDescent="0.2">
      <c r="B70" s="139"/>
      <c r="C70" s="2" t="s">
        <v>832</v>
      </c>
      <c r="D70" s="34">
        <v>0.4</v>
      </c>
      <c r="E70" s="34">
        <v>0.4</v>
      </c>
    </row>
    <row r="71" spans="2:5" x14ac:dyDescent="0.2">
      <c r="B71" s="139"/>
      <c r="C71" s="2" t="s">
        <v>833</v>
      </c>
      <c r="D71" s="34">
        <v>0.6</v>
      </c>
      <c r="E71" s="34">
        <v>0.6</v>
      </c>
    </row>
    <row r="72" spans="2:5" x14ac:dyDescent="0.2">
      <c r="B72" s="140"/>
      <c r="C72" s="2" t="s">
        <v>1977</v>
      </c>
      <c r="D72" s="3"/>
      <c r="E72" s="75"/>
    </row>
    <row r="73" spans="2:5" ht="13.2" customHeight="1" x14ac:dyDescent="0.2">
      <c r="B73" s="138" t="s">
        <v>844</v>
      </c>
      <c r="C73" s="2" t="s">
        <v>827</v>
      </c>
      <c r="D73" s="105" t="s">
        <v>834</v>
      </c>
      <c r="E73" s="105" t="s">
        <v>834</v>
      </c>
    </row>
    <row r="74" spans="2:5" x14ac:dyDescent="0.2">
      <c r="B74" s="139"/>
      <c r="C74" s="2" t="s">
        <v>828</v>
      </c>
      <c r="D74" s="31" t="s">
        <v>834</v>
      </c>
      <c r="E74" s="31" t="s">
        <v>834</v>
      </c>
    </row>
    <row r="75" spans="2:5" x14ac:dyDescent="0.2">
      <c r="B75" s="139"/>
      <c r="C75" s="2" t="s">
        <v>823</v>
      </c>
      <c r="D75" s="2"/>
      <c r="E75" s="2"/>
    </row>
    <row r="76" spans="2:5" x14ac:dyDescent="0.2">
      <c r="B76" s="139"/>
      <c r="C76" s="2" t="s">
        <v>832</v>
      </c>
      <c r="D76" s="34"/>
      <c r="E76" s="34"/>
    </row>
    <row r="77" spans="2:5" x14ac:dyDescent="0.2">
      <c r="B77" s="139"/>
      <c r="C77" s="2" t="s">
        <v>833</v>
      </c>
      <c r="D77" s="34"/>
      <c r="E77" s="34"/>
    </row>
    <row r="78" spans="2:5" x14ac:dyDescent="0.2">
      <c r="B78" s="140"/>
      <c r="C78" s="2" t="s">
        <v>1977</v>
      </c>
      <c r="D78" s="3"/>
      <c r="E78" s="3"/>
    </row>
    <row r="79" spans="2:5" x14ac:dyDescent="0.2">
      <c r="B79" s="138" t="s">
        <v>841</v>
      </c>
      <c r="C79" s="2" t="s">
        <v>827</v>
      </c>
      <c r="D79" s="76" t="s">
        <v>834</v>
      </c>
      <c r="E79" s="75" t="s">
        <v>834</v>
      </c>
    </row>
    <row r="80" spans="2:5" x14ac:dyDescent="0.2">
      <c r="B80" s="139"/>
      <c r="C80" s="2" t="s">
        <v>828</v>
      </c>
      <c r="D80" s="94"/>
      <c r="E80" s="120"/>
    </row>
    <row r="81" spans="2:5" x14ac:dyDescent="0.2">
      <c r="B81" s="139"/>
      <c r="C81" s="2" t="s">
        <v>823</v>
      </c>
      <c r="D81" s="2" t="s">
        <v>824</v>
      </c>
      <c r="E81" s="2" t="s">
        <v>824</v>
      </c>
    </row>
    <row r="82" spans="2:5" x14ac:dyDescent="0.2">
      <c r="B82" s="139"/>
      <c r="C82" s="2" t="s">
        <v>832</v>
      </c>
      <c r="D82" s="34">
        <v>0.4</v>
      </c>
      <c r="E82" s="34">
        <v>0.4</v>
      </c>
    </row>
    <row r="83" spans="2:5" x14ac:dyDescent="0.2">
      <c r="B83" s="139"/>
      <c r="C83" s="2" t="s">
        <v>833</v>
      </c>
      <c r="D83" s="34">
        <v>0.6</v>
      </c>
      <c r="E83" s="34">
        <v>0.6</v>
      </c>
    </row>
    <row r="84" spans="2:5" x14ac:dyDescent="0.2">
      <c r="B84" s="140"/>
      <c r="C84" s="2" t="s">
        <v>1977</v>
      </c>
      <c r="D84" s="3"/>
      <c r="E84" s="75"/>
    </row>
    <row r="85" spans="2:5" x14ac:dyDescent="0.2">
      <c r="B85" s="28" t="s">
        <v>859</v>
      </c>
      <c r="C85" s="2" t="s">
        <v>860</v>
      </c>
      <c r="D85" s="44" t="s">
        <v>858</v>
      </c>
      <c r="E85" s="45" t="s">
        <v>858</v>
      </c>
    </row>
  </sheetData>
  <mergeCells count="43"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6:N17"/>
    <mergeCell ref="N21:N22"/>
    <mergeCell ref="N26:N27"/>
    <mergeCell ref="N31:N33"/>
    <mergeCell ref="N34:N36"/>
  </mergeCells>
  <phoneticPr fontId="1"/>
  <dataValidations count="4">
    <dataValidation type="list" allowBlank="1" showInputMessage="1" showErrorMessage="1" sqref="I11 I16 I21 I26 I31 I43 I38 I6 D19:E19 D41:E41 D35:E35 D46:E46 D30:E30 D6:E6 D24:E24 D52:E52 D57:E57 D11:E11 D75:E75 D81:E81 D69:E69 D63:E63" xr:uid="{D5F97FF2-898C-40D7-9B01-C10686DBAF5C}">
      <formula1>"縦(上→下),横(左→右)"</formula1>
    </dataValidation>
    <dataValidation type="list" allowBlank="1" showInputMessage="1" showErrorMessage="1" sqref="L13" xr:uid="{D4136EE2-ABDE-4608-944D-C756BA3ED2C0}">
      <formula1>"する,しない"</formula1>
    </dataValidation>
    <dataValidation type="list" allowBlank="1" showInputMessage="1" showErrorMessage="1" sqref="L14" xr:uid="{597F7367-EBE6-46BE-82B3-BD968D45CF8E}">
      <formula1>"一塁側,三塁側"</formula1>
    </dataValidation>
    <dataValidation type="list" allowBlank="1" showInputMessage="1" showErrorMessage="1" sqref="L17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P129"/>
  <sheetViews>
    <sheetView topLeftCell="A78" zoomScaleNormal="100" workbookViewId="0">
      <selection activeCell="E3" sqref="E3:E84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6" x14ac:dyDescent="0.2">
      <c r="D2" s="67" t="s">
        <v>2126</v>
      </c>
      <c r="E2" s="68" t="s">
        <v>2125</v>
      </c>
      <c r="F2" s="68" t="s">
        <v>1944</v>
      </c>
      <c r="G2" s="68" t="s">
        <v>1945</v>
      </c>
      <c r="H2" s="68" t="s">
        <v>1946</v>
      </c>
      <c r="I2" s="68" t="s">
        <v>1947</v>
      </c>
      <c r="J2" s="68" t="s">
        <v>1948</v>
      </c>
      <c r="K2" s="68" t="s">
        <v>2080</v>
      </c>
      <c r="L2" s="68" t="s">
        <v>853</v>
      </c>
      <c r="M2" s="68" t="s">
        <v>1949</v>
      </c>
      <c r="N2" s="68" t="s">
        <v>1950</v>
      </c>
      <c r="O2" s="68" t="s">
        <v>1994</v>
      </c>
      <c r="P2" s="68" t="s">
        <v>2079</v>
      </c>
    </row>
    <row r="3" spans="2:16" x14ac:dyDescent="0.2">
      <c r="B3" s="138" t="s">
        <v>825</v>
      </c>
      <c r="C3" s="2" t="s">
        <v>827</v>
      </c>
      <c r="D3" s="33" t="s">
        <v>831</v>
      </c>
      <c r="E3" s="69" t="s">
        <v>831</v>
      </c>
      <c r="F3" s="73" t="s">
        <v>831</v>
      </c>
      <c r="G3" s="81" t="s">
        <v>831</v>
      </c>
      <c r="H3" s="79" t="s">
        <v>831</v>
      </c>
      <c r="I3" s="87" t="s">
        <v>831</v>
      </c>
      <c r="J3" s="84" t="s">
        <v>831</v>
      </c>
      <c r="K3" s="92" t="s">
        <v>831</v>
      </c>
      <c r="L3" s="66" t="s">
        <v>831</v>
      </c>
      <c r="M3" s="89" t="s">
        <v>831</v>
      </c>
      <c r="N3" s="99" t="s">
        <v>831</v>
      </c>
      <c r="O3" s="102" t="s">
        <v>831</v>
      </c>
      <c r="P3" s="121" t="s">
        <v>831</v>
      </c>
    </row>
    <row r="4" spans="2:16" x14ac:dyDescent="0.2">
      <c r="B4" s="139"/>
      <c r="C4" s="2" t="s">
        <v>828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</row>
    <row r="5" spans="2:16" x14ac:dyDescent="0.2">
      <c r="B5" s="139"/>
      <c r="C5" s="2" t="s">
        <v>823</v>
      </c>
      <c r="D5" s="2" t="s">
        <v>824</v>
      </c>
      <c r="E5" s="2" t="s">
        <v>824</v>
      </c>
      <c r="F5" s="2" t="s">
        <v>824</v>
      </c>
      <c r="G5" s="2" t="s">
        <v>824</v>
      </c>
      <c r="H5" s="2" t="s">
        <v>824</v>
      </c>
      <c r="I5" s="2" t="s">
        <v>824</v>
      </c>
      <c r="J5" s="2" t="s">
        <v>824</v>
      </c>
      <c r="K5" s="2" t="s">
        <v>824</v>
      </c>
      <c r="L5" s="2" t="s">
        <v>824</v>
      </c>
      <c r="M5" s="2" t="s">
        <v>824</v>
      </c>
      <c r="N5" s="2" t="s">
        <v>824</v>
      </c>
      <c r="O5" s="2" t="s">
        <v>824</v>
      </c>
      <c r="P5" s="2"/>
    </row>
    <row r="6" spans="2:16" x14ac:dyDescent="0.2">
      <c r="B6" s="139"/>
      <c r="C6" s="2" t="s">
        <v>832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</row>
    <row r="7" spans="2:16" x14ac:dyDescent="0.2">
      <c r="B7" s="140"/>
      <c r="C7" s="2" t="s">
        <v>833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</row>
    <row r="8" spans="2:16" x14ac:dyDescent="0.2">
      <c r="B8" s="138" t="s">
        <v>842</v>
      </c>
      <c r="C8" s="2" t="s">
        <v>827</v>
      </c>
      <c r="D8" s="29" t="s">
        <v>831</v>
      </c>
      <c r="E8" s="29" t="s">
        <v>831</v>
      </c>
      <c r="F8" s="29" t="s">
        <v>831</v>
      </c>
      <c r="G8" s="29" t="s">
        <v>831</v>
      </c>
      <c r="H8" s="29" t="s">
        <v>831</v>
      </c>
      <c r="I8" s="29" t="s">
        <v>831</v>
      </c>
      <c r="J8" s="29" t="s">
        <v>831</v>
      </c>
      <c r="K8" s="29" t="s">
        <v>831</v>
      </c>
      <c r="L8" s="29" t="s">
        <v>831</v>
      </c>
      <c r="M8" s="29" t="s">
        <v>831</v>
      </c>
      <c r="N8" s="29" t="s">
        <v>831</v>
      </c>
      <c r="O8" s="29" t="s">
        <v>831</v>
      </c>
      <c r="P8" s="122" t="s">
        <v>831</v>
      </c>
    </row>
    <row r="9" spans="2:16" x14ac:dyDescent="0.2">
      <c r="B9" s="139"/>
      <c r="C9" s="2" t="s">
        <v>828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2:16" x14ac:dyDescent="0.2">
      <c r="B10" s="139"/>
      <c r="C10" s="2" t="s">
        <v>823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2:16" x14ac:dyDescent="0.2">
      <c r="B11" s="139"/>
      <c r="C11" s="2" t="s">
        <v>832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</row>
    <row r="12" spans="2:16" x14ac:dyDescent="0.2">
      <c r="B12" s="140"/>
      <c r="C12" s="2" t="s">
        <v>833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</row>
    <row r="13" spans="2:16" x14ac:dyDescent="0.2">
      <c r="B13" s="28" t="s">
        <v>826</v>
      </c>
      <c r="C13" s="2" t="s">
        <v>868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</row>
    <row r="14" spans="2:16" x14ac:dyDescent="0.2">
      <c r="B14" s="28" t="s">
        <v>876</v>
      </c>
      <c r="C14" s="2" t="s">
        <v>868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</row>
    <row r="15" spans="2:16" x14ac:dyDescent="0.2">
      <c r="B15" s="28" t="s">
        <v>875</v>
      </c>
      <c r="C15" s="2" t="s">
        <v>868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37"/>
    </row>
    <row r="16" spans="2:16" x14ac:dyDescent="0.2">
      <c r="B16" s="138" t="s">
        <v>829</v>
      </c>
      <c r="C16" s="2" t="s">
        <v>827</v>
      </c>
      <c r="D16" s="29" t="s">
        <v>837</v>
      </c>
      <c r="E16" s="29" t="s">
        <v>837</v>
      </c>
      <c r="F16" s="29" t="s">
        <v>837</v>
      </c>
      <c r="G16" s="29" t="s">
        <v>837</v>
      </c>
      <c r="H16" s="29" t="s">
        <v>837</v>
      </c>
      <c r="I16" s="29" t="s">
        <v>837</v>
      </c>
      <c r="J16" s="29" t="s">
        <v>837</v>
      </c>
      <c r="K16" s="29" t="s">
        <v>837</v>
      </c>
      <c r="L16" s="29" t="s">
        <v>837</v>
      </c>
      <c r="M16" s="29" t="s">
        <v>837</v>
      </c>
      <c r="N16" s="29" t="s">
        <v>837</v>
      </c>
      <c r="O16" s="29" t="s">
        <v>837</v>
      </c>
      <c r="P16" s="121" t="s">
        <v>837</v>
      </c>
    </row>
    <row r="17" spans="2:16" x14ac:dyDescent="0.2">
      <c r="B17" s="139"/>
      <c r="C17" s="2" t="s">
        <v>828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</row>
    <row r="18" spans="2:16" x14ac:dyDescent="0.2">
      <c r="B18" s="139"/>
      <c r="C18" s="2" t="s">
        <v>823</v>
      </c>
      <c r="D18" s="2" t="s">
        <v>824</v>
      </c>
      <c r="E18" s="2" t="s">
        <v>824</v>
      </c>
      <c r="F18" s="2" t="s">
        <v>824</v>
      </c>
      <c r="G18" s="2" t="s">
        <v>824</v>
      </c>
      <c r="H18" s="2" t="s">
        <v>824</v>
      </c>
      <c r="I18" s="2" t="s">
        <v>824</v>
      </c>
      <c r="J18" s="2" t="s">
        <v>824</v>
      </c>
      <c r="K18" s="2" t="s">
        <v>824</v>
      </c>
      <c r="L18" s="2" t="s">
        <v>824</v>
      </c>
      <c r="M18" s="2" t="s">
        <v>824</v>
      </c>
      <c r="N18" s="2" t="s">
        <v>824</v>
      </c>
      <c r="O18" s="2" t="s">
        <v>824</v>
      </c>
      <c r="P18" s="2"/>
    </row>
    <row r="19" spans="2:16" x14ac:dyDescent="0.2">
      <c r="B19" s="139"/>
      <c r="C19" s="2" t="s">
        <v>832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</row>
    <row r="20" spans="2:16" x14ac:dyDescent="0.2">
      <c r="B20" s="140"/>
      <c r="C20" s="2" t="s">
        <v>833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</row>
    <row r="21" spans="2:16" x14ac:dyDescent="0.2">
      <c r="B21" s="138" t="s">
        <v>830</v>
      </c>
      <c r="C21" s="2" t="s">
        <v>827</v>
      </c>
      <c r="D21" s="52" t="s">
        <v>834</v>
      </c>
      <c r="E21" s="52" t="s">
        <v>834</v>
      </c>
      <c r="F21" s="52" t="s">
        <v>834</v>
      </c>
      <c r="G21" s="52" t="s">
        <v>834</v>
      </c>
      <c r="H21" s="52" t="s">
        <v>834</v>
      </c>
      <c r="I21" s="52" t="s">
        <v>834</v>
      </c>
      <c r="J21" s="52" t="s">
        <v>834</v>
      </c>
      <c r="K21" s="52" t="s">
        <v>834</v>
      </c>
      <c r="L21" s="52" t="s">
        <v>834</v>
      </c>
      <c r="M21" s="52" t="s">
        <v>834</v>
      </c>
      <c r="N21" s="52" t="s">
        <v>834</v>
      </c>
      <c r="O21" s="52" t="s">
        <v>834</v>
      </c>
      <c r="P21" s="121" t="s">
        <v>834</v>
      </c>
    </row>
    <row r="22" spans="2:16" x14ac:dyDescent="0.2">
      <c r="B22" s="139"/>
      <c r="C22" s="2" t="s">
        <v>828</v>
      </c>
      <c r="D22" s="35" t="s">
        <v>834</v>
      </c>
      <c r="E22" s="35" t="s">
        <v>834</v>
      </c>
      <c r="F22" s="35" t="s">
        <v>834</v>
      </c>
      <c r="G22" s="35" t="s">
        <v>834</v>
      </c>
      <c r="H22" s="35" t="s">
        <v>834</v>
      </c>
      <c r="I22" s="35" t="s">
        <v>834</v>
      </c>
      <c r="J22" s="35" t="s">
        <v>834</v>
      </c>
      <c r="K22" s="35" t="s">
        <v>834</v>
      </c>
      <c r="L22" s="35" t="s">
        <v>834</v>
      </c>
      <c r="M22" s="35" t="s">
        <v>834</v>
      </c>
      <c r="N22" s="35" t="s">
        <v>834</v>
      </c>
      <c r="O22" s="35" t="s">
        <v>834</v>
      </c>
      <c r="P22" s="35" t="s">
        <v>834</v>
      </c>
    </row>
    <row r="23" spans="2:16" x14ac:dyDescent="0.2">
      <c r="B23" s="139"/>
      <c r="C23" s="2" t="s">
        <v>823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2:16" x14ac:dyDescent="0.2">
      <c r="B24" s="139"/>
      <c r="C24" s="2" t="s">
        <v>832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</row>
    <row r="25" spans="2:16" x14ac:dyDescent="0.2">
      <c r="B25" s="139"/>
      <c r="C25" s="2" t="s">
        <v>833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</row>
    <row r="26" spans="2:16" x14ac:dyDescent="0.2">
      <c r="B26" s="140"/>
      <c r="C26" s="2" t="s">
        <v>1977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</row>
    <row r="27" spans="2:16" x14ac:dyDescent="0.2">
      <c r="B27" s="138" t="s">
        <v>835</v>
      </c>
      <c r="C27" s="2" t="s">
        <v>827</v>
      </c>
      <c r="D27" s="27" t="s">
        <v>837</v>
      </c>
      <c r="E27" s="106" t="s">
        <v>837</v>
      </c>
      <c r="F27" s="107" t="s">
        <v>837</v>
      </c>
      <c r="G27" s="108" t="s">
        <v>837</v>
      </c>
      <c r="H27" s="109" t="s">
        <v>837</v>
      </c>
      <c r="I27" s="88" t="s">
        <v>837</v>
      </c>
      <c r="J27" s="110" t="s">
        <v>837</v>
      </c>
      <c r="K27" s="111" t="s">
        <v>837</v>
      </c>
      <c r="L27" s="112" t="s">
        <v>837</v>
      </c>
      <c r="M27" s="113" t="s">
        <v>837</v>
      </c>
      <c r="N27" s="114" t="s">
        <v>837</v>
      </c>
      <c r="O27" s="115" t="s">
        <v>837</v>
      </c>
      <c r="P27" s="33" t="s">
        <v>837</v>
      </c>
    </row>
    <row r="28" spans="2:16" x14ac:dyDescent="0.2">
      <c r="B28" s="139"/>
      <c r="C28" s="2" t="s">
        <v>828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</row>
    <row r="29" spans="2:16" x14ac:dyDescent="0.2">
      <c r="B29" s="139"/>
      <c r="C29" s="2" t="s">
        <v>823</v>
      </c>
      <c r="D29" s="2" t="s">
        <v>824</v>
      </c>
      <c r="E29" s="2" t="s">
        <v>824</v>
      </c>
      <c r="F29" s="2" t="s">
        <v>824</v>
      </c>
      <c r="G29" s="2" t="s">
        <v>824</v>
      </c>
      <c r="H29" s="2" t="s">
        <v>824</v>
      </c>
      <c r="I29" s="2" t="s">
        <v>824</v>
      </c>
      <c r="J29" s="2" t="s">
        <v>824</v>
      </c>
      <c r="K29" s="2" t="s">
        <v>824</v>
      </c>
      <c r="L29" s="2" t="s">
        <v>824</v>
      </c>
      <c r="M29" s="2" t="s">
        <v>824</v>
      </c>
      <c r="N29" s="2" t="s">
        <v>824</v>
      </c>
      <c r="O29" s="2" t="s">
        <v>824</v>
      </c>
      <c r="P29" s="2"/>
    </row>
    <row r="30" spans="2:16" x14ac:dyDescent="0.2">
      <c r="B30" s="139"/>
      <c r="C30" s="2" t="s">
        <v>832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</row>
    <row r="31" spans="2:16" x14ac:dyDescent="0.2">
      <c r="B31" s="140"/>
      <c r="C31" s="2" t="s">
        <v>833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</row>
    <row r="32" spans="2:16" x14ac:dyDescent="0.2">
      <c r="B32" s="138" t="s">
        <v>836</v>
      </c>
      <c r="C32" s="2" t="s">
        <v>827</v>
      </c>
      <c r="D32" s="33" t="s">
        <v>834</v>
      </c>
      <c r="E32" s="69" t="s">
        <v>834</v>
      </c>
      <c r="F32" s="75" t="s">
        <v>834</v>
      </c>
      <c r="G32" s="81" t="s">
        <v>834</v>
      </c>
      <c r="H32" s="79" t="s">
        <v>834</v>
      </c>
      <c r="I32" s="87" t="s">
        <v>834</v>
      </c>
      <c r="J32" s="84" t="s">
        <v>834</v>
      </c>
      <c r="K32" s="95" t="s">
        <v>834</v>
      </c>
      <c r="L32" s="64" t="s">
        <v>834</v>
      </c>
      <c r="M32" s="89" t="s">
        <v>834</v>
      </c>
      <c r="N32" s="98" t="s">
        <v>834</v>
      </c>
      <c r="O32" s="102" t="s">
        <v>834</v>
      </c>
      <c r="P32" s="121" t="s">
        <v>834</v>
      </c>
    </row>
    <row r="33" spans="2:16" x14ac:dyDescent="0.2">
      <c r="B33" s="139"/>
      <c r="C33" s="2" t="s">
        <v>828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</row>
    <row r="34" spans="2:16" x14ac:dyDescent="0.2">
      <c r="B34" s="139"/>
      <c r="C34" s="2" t="s">
        <v>823</v>
      </c>
      <c r="D34" s="2" t="s">
        <v>824</v>
      </c>
      <c r="E34" s="2" t="s">
        <v>824</v>
      </c>
      <c r="F34" s="2" t="s">
        <v>824</v>
      </c>
      <c r="G34" s="2" t="s">
        <v>824</v>
      </c>
      <c r="H34" s="2" t="s">
        <v>824</v>
      </c>
      <c r="I34" s="2" t="s">
        <v>824</v>
      </c>
      <c r="J34" s="2" t="s">
        <v>824</v>
      </c>
      <c r="K34" s="2" t="s">
        <v>824</v>
      </c>
      <c r="L34" s="2" t="s">
        <v>824</v>
      </c>
      <c r="M34" s="2" t="s">
        <v>824</v>
      </c>
      <c r="N34" s="2" t="s">
        <v>824</v>
      </c>
      <c r="O34" s="2" t="s">
        <v>824</v>
      </c>
      <c r="P34" s="2"/>
    </row>
    <row r="35" spans="2:16" x14ac:dyDescent="0.2">
      <c r="B35" s="139"/>
      <c r="C35" s="2" t="s">
        <v>832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</row>
    <row r="36" spans="2:16" x14ac:dyDescent="0.2">
      <c r="B36" s="139"/>
      <c r="C36" s="2" t="s">
        <v>833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</row>
    <row r="37" spans="2:16" x14ac:dyDescent="0.2">
      <c r="B37" s="140"/>
      <c r="C37" s="2" t="s">
        <v>1977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</row>
    <row r="38" spans="2:16" x14ac:dyDescent="0.2">
      <c r="B38" s="138" t="s">
        <v>838</v>
      </c>
      <c r="C38" s="2" t="s">
        <v>827</v>
      </c>
      <c r="D38" s="29" t="s">
        <v>837</v>
      </c>
      <c r="E38" s="29" t="s">
        <v>837</v>
      </c>
      <c r="F38" s="29" t="s">
        <v>837</v>
      </c>
      <c r="G38" s="29" t="s">
        <v>837</v>
      </c>
      <c r="H38" s="29" t="s">
        <v>837</v>
      </c>
      <c r="I38" s="29" t="s">
        <v>837</v>
      </c>
      <c r="J38" s="29" t="s">
        <v>837</v>
      </c>
      <c r="K38" s="29" t="s">
        <v>837</v>
      </c>
      <c r="L38" s="29" t="s">
        <v>837</v>
      </c>
      <c r="M38" s="29" t="s">
        <v>837</v>
      </c>
      <c r="N38" s="29" t="s">
        <v>837</v>
      </c>
      <c r="O38" s="29" t="s">
        <v>837</v>
      </c>
      <c r="P38" s="121" t="s">
        <v>837</v>
      </c>
    </row>
    <row r="39" spans="2:16" x14ac:dyDescent="0.2">
      <c r="B39" s="139"/>
      <c r="C39" s="2" t="s">
        <v>828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</row>
    <row r="40" spans="2:16" x14ac:dyDescent="0.2">
      <c r="B40" s="139"/>
      <c r="C40" s="2" t="s">
        <v>823</v>
      </c>
      <c r="D40" s="2" t="s">
        <v>824</v>
      </c>
      <c r="E40" s="2" t="s">
        <v>824</v>
      </c>
      <c r="F40" s="2" t="s">
        <v>824</v>
      </c>
      <c r="G40" s="2" t="s">
        <v>824</v>
      </c>
      <c r="H40" s="2" t="s">
        <v>824</v>
      </c>
      <c r="I40" s="2" t="s">
        <v>824</v>
      </c>
      <c r="J40" s="2" t="s">
        <v>824</v>
      </c>
      <c r="K40" s="2" t="s">
        <v>824</v>
      </c>
      <c r="L40" s="2" t="s">
        <v>824</v>
      </c>
      <c r="M40" s="2" t="s">
        <v>824</v>
      </c>
      <c r="N40" s="2" t="s">
        <v>824</v>
      </c>
      <c r="O40" s="2" t="s">
        <v>824</v>
      </c>
      <c r="P40" s="2"/>
    </row>
    <row r="41" spans="2:16" x14ac:dyDescent="0.2">
      <c r="B41" s="139"/>
      <c r="C41" s="2" t="s">
        <v>832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</row>
    <row r="42" spans="2:16" x14ac:dyDescent="0.2">
      <c r="B42" s="140"/>
      <c r="C42" s="2" t="s">
        <v>833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</row>
    <row r="43" spans="2:16" x14ac:dyDescent="0.2">
      <c r="B43" s="138" t="s">
        <v>839</v>
      </c>
      <c r="C43" s="2" t="s">
        <v>827</v>
      </c>
      <c r="D43" s="53" t="s">
        <v>834</v>
      </c>
      <c r="E43" s="53" t="s">
        <v>834</v>
      </c>
      <c r="F43" s="53" t="s">
        <v>834</v>
      </c>
      <c r="G43" s="53" t="s">
        <v>834</v>
      </c>
      <c r="H43" s="53" t="s">
        <v>834</v>
      </c>
      <c r="I43" s="53" t="s">
        <v>834</v>
      </c>
      <c r="J43" s="53" t="s">
        <v>834</v>
      </c>
      <c r="K43" s="53" t="s">
        <v>834</v>
      </c>
      <c r="L43" s="53" t="s">
        <v>834</v>
      </c>
      <c r="M43" s="53" t="s">
        <v>834</v>
      </c>
      <c r="N43" s="53" t="s">
        <v>834</v>
      </c>
      <c r="O43" s="53" t="s">
        <v>834</v>
      </c>
      <c r="P43" s="124" t="s">
        <v>834</v>
      </c>
    </row>
    <row r="44" spans="2:16" x14ac:dyDescent="0.2">
      <c r="B44" s="139"/>
      <c r="C44" s="2" t="s">
        <v>828</v>
      </c>
      <c r="D44" s="31" t="s">
        <v>834</v>
      </c>
      <c r="E44" s="31" t="s">
        <v>834</v>
      </c>
      <c r="F44" s="31" t="s">
        <v>834</v>
      </c>
      <c r="G44" s="31" t="s">
        <v>834</v>
      </c>
      <c r="H44" s="31" t="s">
        <v>834</v>
      </c>
      <c r="I44" s="31" t="s">
        <v>834</v>
      </c>
      <c r="J44" s="31" t="s">
        <v>834</v>
      </c>
      <c r="K44" s="31" t="s">
        <v>834</v>
      </c>
      <c r="L44" s="31" t="s">
        <v>834</v>
      </c>
      <c r="M44" s="31" t="s">
        <v>834</v>
      </c>
      <c r="N44" s="31" t="s">
        <v>834</v>
      </c>
      <c r="O44" s="31" t="s">
        <v>834</v>
      </c>
      <c r="P44" s="35" t="s">
        <v>834</v>
      </c>
    </row>
    <row r="45" spans="2:16" x14ac:dyDescent="0.2">
      <c r="B45" s="139"/>
      <c r="C45" s="2" t="s">
        <v>823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2:16" x14ac:dyDescent="0.2">
      <c r="B46" s="139"/>
      <c r="C46" s="2" t="s">
        <v>832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</row>
    <row r="47" spans="2:16" x14ac:dyDescent="0.2">
      <c r="B47" s="139"/>
      <c r="C47" s="2" t="s">
        <v>833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</row>
    <row r="48" spans="2:16" x14ac:dyDescent="0.2">
      <c r="B48" s="140"/>
      <c r="C48" s="2" t="s">
        <v>1977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4"/>
    </row>
    <row r="49" spans="2:16" x14ac:dyDescent="0.2">
      <c r="B49" s="138" t="s">
        <v>874</v>
      </c>
      <c r="C49" s="2" t="s">
        <v>827</v>
      </c>
      <c r="D49" s="33" t="s">
        <v>837</v>
      </c>
      <c r="E49" s="69" t="s">
        <v>837</v>
      </c>
      <c r="F49" s="75" t="s">
        <v>837</v>
      </c>
      <c r="G49" s="81" t="s">
        <v>837</v>
      </c>
      <c r="H49" s="79" t="s">
        <v>837</v>
      </c>
      <c r="I49" s="87" t="s">
        <v>837</v>
      </c>
      <c r="J49" s="84" t="s">
        <v>837</v>
      </c>
      <c r="K49" s="95" t="s">
        <v>837</v>
      </c>
      <c r="L49" s="64" t="s">
        <v>837</v>
      </c>
      <c r="M49" s="89" t="s">
        <v>837</v>
      </c>
      <c r="N49" s="98" t="s">
        <v>837</v>
      </c>
      <c r="O49" s="102" t="s">
        <v>837</v>
      </c>
      <c r="P49" s="125" t="s">
        <v>837</v>
      </c>
    </row>
    <row r="50" spans="2:16" x14ac:dyDescent="0.2">
      <c r="B50" s="139"/>
      <c r="C50" s="2" t="s">
        <v>828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</row>
    <row r="51" spans="2:16" x14ac:dyDescent="0.2">
      <c r="B51" s="139"/>
      <c r="C51" s="2" t="s">
        <v>823</v>
      </c>
      <c r="D51" s="2" t="s">
        <v>824</v>
      </c>
      <c r="E51" s="2" t="s">
        <v>824</v>
      </c>
      <c r="F51" s="2" t="s">
        <v>824</v>
      </c>
      <c r="G51" s="2" t="s">
        <v>824</v>
      </c>
      <c r="H51" s="2" t="s">
        <v>824</v>
      </c>
      <c r="I51" s="2" t="s">
        <v>824</v>
      </c>
      <c r="J51" s="2" t="s">
        <v>824</v>
      </c>
      <c r="K51" s="2" t="s">
        <v>824</v>
      </c>
      <c r="L51" s="2" t="s">
        <v>824</v>
      </c>
      <c r="M51" s="2" t="s">
        <v>824</v>
      </c>
      <c r="N51" s="2" t="s">
        <v>824</v>
      </c>
      <c r="O51" s="2" t="s">
        <v>824</v>
      </c>
      <c r="P51" s="2"/>
    </row>
    <row r="52" spans="2:16" x14ac:dyDescent="0.2">
      <c r="B52" s="139"/>
      <c r="C52" s="2" t="s">
        <v>832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</row>
    <row r="53" spans="2:16" x14ac:dyDescent="0.2">
      <c r="B53" s="140"/>
      <c r="C53" s="2" t="s">
        <v>833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</row>
    <row r="54" spans="2:16" x14ac:dyDescent="0.2">
      <c r="B54" s="138" t="s">
        <v>873</v>
      </c>
      <c r="C54" s="2" t="s">
        <v>827</v>
      </c>
      <c r="D54" s="52" t="s">
        <v>834</v>
      </c>
      <c r="E54" s="52" t="s">
        <v>834</v>
      </c>
      <c r="F54" s="52" t="s">
        <v>834</v>
      </c>
      <c r="G54" s="52" t="s">
        <v>834</v>
      </c>
      <c r="H54" s="52" t="s">
        <v>834</v>
      </c>
      <c r="I54" s="52" t="s">
        <v>834</v>
      </c>
      <c r="J54" s="52" t="s">
        <v>834</v>
      </c>
      <c r="K54" s="52" t="s">
        <v>834</v>
      </c>
      <c r="L54" s="52" t="s">
        <v>834</v>
      </c>
      <c r="M54" s="52" t="s">
        <v>834</v>
      </c>
      <c r="N54" s="52" t="s">
        <v>834</v>
      </c>
      <c r="O54" s="52" t="s">
        <v>834</v>
      </c>
      <c r="P54" s="121" t="s">
        <v>834</v>
      </c>
    </row>
    <row r="55" spans="2:16" x14ac:dyDescent="0.2">
      <c r="B55" s="139"/>
      <c r="C55" s="2" t="s">
        <v>828</v>
      </c>
      <c r="D55" s="31" t="s">
        <v>834</v>
      </c>
      <c r="E55" s="31" t="s">
        <v>834</v>
      </c>
      <c r="F55" s="31" t="s">
        <v>834</v>
      </c>
      <c r="G55" s="31" t="s">
        <v>834</v>
      </c>
      <c r="H55" s="31" t="s">
        <v>834</v>
      </c>
      <c r="I55" s="31" t="s">
        <v>834</v>
      </c>
      <c r="J55" s="31" t="s">
        <v>834</v>
      </c>
      <c r="K55" s="31" t="s">
        <v>834</v>
      </c>
      <c r="L55" s="31" t="s">
        <v>834</v>
      </c>
      <c r="M55" s="31" t="s">
        <v>834</v>
      </c>
      <c r="N55" s="31" t="s">
        <v>834</v>
      </c>
      <c r="O55" s="31" t="s">
        <v>834</v>
      </c>
      <c r="P55" s="35" t="s">
        <v>834</v>
      </c>
    </row>
    <row r="56" spans="2:16" x14ac:dyDescent="0.2">
      <c r="B56" s="139"/>
      <c r="C56" s="2" t="s">
        <v>823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2:16" x14ac:dyDescent="0.2">
      <c r="B57" s="139"/>
      <c r="C57" s="2" t="s">
        <v>832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</row>
    <row r="58" spans="2:16" x14ac:dyDescent="0.2">
      <c r="B58" s="139"/>
      <c r="C58" s="2" t="s">
        <v>833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</row>
    <row r="59" spans="2:16" x14ac:dyDescent="0.2">
      <c r="B59" s="140"/>
      <c r="C59" s="2" t="s">
        <v>1977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</row>
    <row r="60" spans="2:16" x14ac:dyDescent="0.2">
      <c r="B60" s="138" t="s">
        <v>840</v>
      </c>
      <c r="C60" s="2" t="s">
        <v>827</v>
      </c>
      <c r="D60" s="33" t="s">
        <v>834</v>
      </c>
      <c r="E60" s="76" t="s">
        <v>834</v>
      </c>
      <c r="F60" s="75" t="s">
        <v>834</v>
      </c>
      <c r="G60" s="81" t="s">
        <v>834</v>
      </c>
      <c r="H60" s="79" t="s">
        <v>834</v>
      </c>
      <c r="I60" s="87" t="s">
        <v>834</v>
      </c>
      <c r="J60" s="84" t="s">
        <v>834</v>
      </c>
      <c r="K60" s="92" t="s">
        <v>834</v>
      </c>
      <c r="L60" s="66" t="s">
        <v>834</v>
      </c>
      <c r="M60" s="90" t="s">
        <v>834</v>
      </c>
      <c r="N60" s="99" t="s">
        <v>834</v>
      </c>
      <c r="O60" s="102" t="s">
        <v>834</v>
      </c>
      <c r="P60" s="126" t="s">
        <v>834</v>
      </c>
    </row>
    <row r="61" spans="2:16" x14ac:dyDescent="0.2">
      <c r="B61" s="139"/>
      <c r="C61" s="2" t="s">
        <v>828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834</v>
      </c>
    </row>
    <row r="62" spans="2:16" x14ac:dyDescent="0.2">
      <c r="B62" s="139"/>
      <c r="C62" s="2" t="s">
        <v>823</v>
      </c>
      <c r="D62" s="2" t="s">
        <v>824</v>
      </c>
      <c r="E62" s="2" t="s">
        <v>824</v>
      </c>
      <c r="F62" s="2" t="s">
        <v>824</v>
      </c>
      <c r="G62" s="2" t="s">
        <v>824</v>
      </c>
      <c r="H62" s="2" t="s">
        <v>824</v>
      </c>
      <c r="I62" s="2" t="s">
        <v>824</v>
      </c>
      <c r="J62" s="2" t="s">
        <v>824</v>
      </c>
      <c r="K62" s="2" t="s">
        <v>824</v>
      </c>
      <c r="L62" s="2" t="s">
        <v>824</v>
      </c>
      <c r="M62" s="2" t="s">
        <v>824</v>
      </c>
      <c r="N62" s="2" t="s">
        <v>824</v>
      </c>
      <c r="O62" s="2" t="s">
        <v>824</v>
      </c>
      <c r="P62" s="2"/>
    </row>
    <row r="63" spans="2:16" x14ac:dyDescent="0.2">
      <c r="B63" s="139"/>
      <c r="C63" s="2" t="s">
        <v>832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</row>
    <row r="64" spans="2:16" x14ac:dyDescent="0.2">
      <c r="B64" s="139"/>
      <c r="C64" s="2" t="s">
        <v>833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</row>
    <row r="65" spans="2:16" x14ac:dyDescent="0.2">
      <c r="B65" s="140"/>
      <c r="C65" s="2" t="s">
        <v>1977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</row>
    <row r="66" spans="2:16" x14ac:dyDescent="0.2">
      <c r="B66" s="138" t="s">
        <v>843</v>
      </c>
      <c r="C66" s="2" t="s">
        <v>827</v>
      </c>
      <c r="D66" s="33" t="s">
        <v>834</v>
      </c>
      <c r="E66" s="76" t="s">
        <v>834</v>
      </c>
      <c r="F66" s="75" t="s">
        <v>834</v>
      </c>
      <c r="G66" s="81" t="s">
        <v>834</v>
      </c>
      <c r="H66" s="79" t="s">
        <v>834</v>
      </c>
      <c r="I66" s="87" t="s">
        <v>834</v>
      </c>
      <c r="J66" s="84" t="s">
        <v>834</v>
      </c>
      <c r="K66" s="92" t="s">
        <v>834</v>
      </c>
      <c r="L66" s="66" t="s">
        <v>834</v>
      </c>
      <c r="M66" s="90" t="s">
        <v>834</v>
      </c>
      <c r="N66" s="99" t="s">
        <v>834</v>
      </c>
      <c r="O66" s="102" t="s">
        <v>834</v>
      </c>
      <c r="P66" s="127" t="s">
        <v>834</v>
      </c>
    </row>
    <row r="67" spans="2:16" x14ac:dyDescent="0.2">
      <c r="B67" s="139"/>
      <c r="C67" s="2" t="s">
        <v>828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</row>
    <row r="68" spans="2:16" x14ac:dyDescent="0.2">
      <c r="B68" s="139"/>
      <c r="C68" s="2" t="s">
        <v>823</v>
      </c>
      <c r="D68" s="2" t="s">
        <v>824</v>
      </c>
      <c r="E68" s="2" t="s">
        <v>824</v>
      </c>
      <c r="F68" s="2" t="s">
        <v>824</v>
      </c>
      <c r="G68" s="2" t="s">
        <v>824</v>
      </c>
      <c r="H68" s="2" t="s">
        <v>824</v>
      </c>
      <c r="I68" s="2" t="s">
        <v>824</v>
      </c>
      <c r="J68" s="2" t="s">
        <v>824</v>
      </c>
      <c r="K68" s="2" t="s">
        <v>824</v>
      </c>
      <c r="L68" s="2" t="s">
        <v>824</v>
      </c>
      <c r="M68" s="2" t="s">
        <v>824</v>
      </c>
      <c r="N68" s="2" t="s">
        <v>824</v>
      </c>
      <c r="O68" s="2" t="s">
        <v>824</v>
      </c>
      <c r="P68" s="2"/>
    </row>
    <row r="69" spans="2:16" x14ac:dyDescent="0.2">
      <c r="B69" s="139"/>
      <c r="C69" s="2" t="s">
        <v>832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</row>
    <row r="70" spans="2:16" x14ac:dyDescent="0.2">
      <c r="B70" s="139"/>
      <c r="C70" s="2" t="s">
        <v>833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</row>
    <row r="71" spans="2:16" x14ac:dyDescent="0.2">
      <c r="B71" s="140"/>
      <c r="C71" s="2" t="s">
        <v>1977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</row>
    <row r="72" spans="2:16" x14ac:dyDescent="0.2">
      <c r="B72" s="138" t="s">
        <v>844</v>
      </c>
      <c r="C72" s="2" t="s">
        <v>827</v>
      </c>
      <c r="D72" s="105" t="s">
        <v>834</v>
      </c>
      <c r="E72" s="105" t="s">
        <v>834</v>
      </c>
      <c r="F72" s="105" t="s">
        <v>834</v>
      </c>
      <c r="G72" s="105" t="s">
        <v>834</v>
      </c>
      <c r="H72" s="105" t="s">
        <v>834</v>
      </c>
      <c r="I72" s="105" t="s">
        <v>834</v>
      </c>
      <c r="J72" s="105" t="s">
        <v>834</v>
      </c>
      <c r="K72" s="105" t="s">
        <v>834</v>
      </c>
      <c r="L72" s="105" t="s">
        <v>834</v>
      </c>
      <c r="M72" s="105" t="s">
        <v>834</v>
      </c>
      <c r="N72" s="105" t="s">
        <v>834</v>
      </c>
      <c r="O72" s="105" t="s">
        <v>834</v>
      </c>
      <c r="P72" s="123" t="s">
        <v>834</v>
      </c>
    </row>
    <row r="73" spans="2:16" x14ac:dyDescent="0.2">
      <c r="B73" s="139"/>
      <c r="C73" s="2" t="s">
        <v>828</v>
      </c>
      <c r="D73" s="31" t="s">
        <v>834</v>
      </c>
      <c r="E73" s="31" t="s">
        <v>834</v>
      </c>
      <c r="F73" s="31" t="s">
        <v>834</v>
      </c>
      <c r="G73" s="31" t="s">
        <v>834</v>
      </c>
      <c r="H73" s="31" t="s">
        <v>834</v>
      </c>
      <c r="I73" s="31" t="s">
        <v>834</v>
      </c>
      <c r="J73" s="31" t="s">
        <v>834</v>
      </c>
      <c r="K73" s="31" t="s">
        <v>834</v>
      </c>
      <c r="L73" s="31" t="s">
        <v>834</v>
      </c>
      <c r="M73" s="31" t="s">
        <v>834</v>
      </c>
      <c r="N73" s="31" t="s">
        <v>834</v>
      </c>
      <c r="O73" s="31" t="s">
        <v>834</v>
      </c>
      <c r="P73" s="31" t="s">
        <v>834</v>
      </c>
    </row>
    <row r="74" spans="2:16" x14ac:dyDescent="0.2">
      <c r="B74" s="139"/>
      <c r="C74" s="2" t="s">
        <v>823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2:16" x14ac:dyDescent="0.2">
      <c r="B75" s="139"/>
      <c r="C75" s="2" t="s">
        <v>832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</row>
    <row r="76" spans="2:16" x14ac:dyDescent="0.2">
      <c r="B76" s="139"/>
      <c r="C76" s="2" t="s">
        <v>833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</row>
    <row r="77" spans="2:16" x14ac:dyDescent="0.2">
      <c r="B77" s="140"/>
      <c r="C77" s="2" t="s">
        <v>1977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</row>
    <row r="78" spans="2:16" x14ac:dyDescent="0.2">
      <c r="B78" s="138" t="s">
        <v>841</v>
      </c>
      <c r="C78" s="2" t="s">
        <v>827</v>
      </c>
      <c r="D78" s="33" t="s">
        <v>834</v>
      </c>
      <c r="E78" s="76" t="s">
        <v>834</v>
      </c>
      <c r="F78" s="75" t="s">
        <v>834</v>
      </c>
      <c r="G78" s="81" t="s">
        <v>834</v>
      </c>
      <c r="H78" s="79" t="s">
        <v>834</v>
      </c>
      <c r="I78" s="87" t="s">
        <v>834</v>
      </c>
      <c r="J78" s="84" t="s">
        <v>834</v>
      </c>
      <c r="K78" s="92" t="s">
        <v>834</v>
      </c>
      <c r="L78" s="66" t="s">
        <v>834</v>
      </c>
      <c r="M78" s="90" t="s">
        <v>834</v>
      </c>
      <c r="N78" s="99" t="s">
        <v>834</v>
      </c>
      <c r="O78" s="102" t="s">
        <v>834</v>
      </c>
      <c r="P78" s="126" t="s">
        <v>834</v>
      </c>
    </row>
    <row r="79" spans="2:16" x14ac:dyDescent="0.2">
      <c r="B79" s="139"/>
      <c r="C79" s="2" t="s">
        <v>828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834</v>
      </c>
    </row>
    <row r="80" spans="2:16" x14ac:dyDescent="0.2">
      <c r="B80" s="139"/>
      <c r="C80" s="2" t="s">
        <v>823</v>
      </c>
      <c r="D80" s="2" t="s">
        <v>824</v>
      </c>
      <c r="E80" s="2" t="s">
        <v>824</v>
      </c>
      <c r="F80" s="2" t="s">
        <v>824</v>
      </c>
      <c r="G80" s="2" t="s">
        <v>824</v>
      </c>
      <c r="H80" s="2" t="s">
        <v>824</v>
      </c>
      <c r="I80" s="2" t="s">
        <v>824</v>
      </c>
      <c r="J80" s="2" t="s">
        <v>824</v>
      </c>
      <c r="K80" s="2" t="s">
        <v>824</v>
      </c>
      <c r="L80" s="2" t="s">
        <v>824</v>
      </c>
      <c r="M80" s="2" t="s">
        <v>824</v>
      </c>
      <c r="N80" s="2" t="s">
        <v>824</v>
      </c>
      <c r="O80" s="2" t="s">
        <v>824</v>
      </c>
      <c r="P80" s="2"/>
    </row>
    <row r="81" spans="2:16" x14ac:dyDescent="0.2">
      <c r="B81" s="139"/>
      <c r="C81" s="2" t="s">
        <v>832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</row>
    <row r="82" spans="2:16" x14ac:dyDescent="0.2">
      <c r="B82" s="139"/>
      <c r="C82" s="2" t="s">
        <v>833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</row>
    <row r="83" spans="2:16" x14ac:dyDescent="0.2">
      <c r="B83" s="140"/>
      <c r="C83" s="2" t="s">
        <v>1977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</row>
    <row r="84" spans="2:16" x14ac:dyDescent="0.2">
      <c r="B84" s="28" t="s">
        <v>859</v>
      </c>
      <c r="C84" s="2" t="s">
        <v>860</v>
      </c>
      <c r="D84" s="44" t="s">
        <v>858</v>
      </c>
      <c r="E84" s="44" t="s">
        <v>858</v>
      </c>
      <c r="F84" s="45" t="s">
        <v>858</v>
      </c>
      <c r="G84" s="104" t="s">
        <v>858</v>
      </c>
      <c r="H84" s="104" t="s">
        <v>858</v>
      </c>
      <c r="I84" s="44" t="s">
        <v>858</v>
      </c>
      <c r="J84" s="104" t="s">
        <v>858</v>
      </c>
      <c r="K84" s="44" t="s">
        <v>858</v>
      </c>
      <c r="L84" s="45" t="s">
        <v>858</v>
      </c>
      <c r="M84" s="45" t="s">
        <v>858</v>
      </c>
      <c r="N84" s="44" t="s">
        <v>858</v>
      </c>
      <c r="O84" s="45" t="s">
        <v>858</v>
      </c>
      <c r="P84" s="44" t="s">
        <v>858</v>
      </c>
    </row>
    <row r="87" spans="2:16" x14ac:dyDescent="0.2">
      <c r="D87" s="2" t="s">
        <v>2078</v>
      </c>
      <c r="E87" s="2" t="s">
        <v>2079</v>
      </c>
    </row>
    <row r="88" spans="2:16" x14ac:dyDescent="0.2">
      <c r="B88" s="142" t="s">
        <v>845</v>
      </c>
      <c r="C88" s="2" t="s">
        <v>827</v>
      </c>
      <c r="D88" s="40" t="s">
        <v>846</v>
      </c>
      <c r="E88" s="122" t="s">
        <v>846</v>
      </c>
    </row>
    <row r="89" spans="2:16" x14ac:dyDescent="0.2">
      <c r="B89" s="143"/>
      <c r="C89" s="2" t="s">
        <v>828</v>
      </c>
      <c r="D89" s="37"/>
      <c r="E89" s="37"/>
    </row>
    <row r="90" spans="2:16" x14ac:dyDescent="0.2">
      <c r="B90" s="143"/>
      <c r="C90" s="2" t="s">
        <v>823</v>
      </c>
      <c r="D90" s="2"/>
      <c r="E90" s="2"/>
    </row>
    <row r="91" spans="2:16" x14ac:dyDescent="0.2">
      <c r="B91" s="143"/>
      <c r="C91" s="2" t="s">
        <v>832</v>
      </c>
      <c r="D91" s="34"/>
      <c r="E91" s="34"/>
    </row>
    <row r="92" spans="2:16" x14ac:dyDescent="0.2">
      <c r="B92" s="143"/>
      <c r="C92" s="2" t="s">
        <v>833</v>
      </c>
      <c r="D92" s="34"/>
      <c r="E92" s="34"/>
    </row>
    <row r="93" spans="2:16" x14ac:dyDescent="0.2">
      <c r="B93" s="142" t="s">
        <v>847</v>
      </c>
      <c r="C93" s="2" t="s">
        <v>827</v>
      </c>
      <c r="D93" s="119" t="s">
        <v>846</v>
      </c>
      <c r="E93" s="128" t="s">
        <v>846</v>
      </c>
    </row>
    <row r="94" spans="2:16" x14ac:dyDescent="0.2">
      <c r="B94" s="143"/>
      <c r="C94" s="2" t="s">
        <v>828</v>
      </c>
      <c r="D94" s="37"/>
      <c r="E94" s="37"/>
    </row>
    <row r="95" spans="2:16" x14ac:dyDescent="0.2">
      <c r="B95" s="143"/>
      <c r="C95" s="2" t="s">
        <v>823</v>
      </c>
      <c r="D95" s="2"/>
      <c r="E95" s="2"/>
    </row>
    <row r="96" spans="2:16" x14ac:dyDescent="0.2">
      <c r="B96" s="143"/>
      <c r="C96" s="2" t="s">
        <v>832</v>
      </c>
      <c r="D96" s="34"/>
      <c r="E96" s="34"/>
    </row>
    <row r="97" spans="2:5" x14ac:dyDescent="0.2">
      <c r="B97" s="143"/>
      <c r="C97" s="2" t="s">
        <v>833</v>
      </c>
      <c r="D97" s="34"/>
      <c r="E97" s="34"/>
    </row>
    <row r="98" spans="2:5" x14ac:dyDescent="0.2">
      <c r="B98" s="142" t="s">
        <v>848</v>
      </c>
      <c r="C98" s="2" t="s">
        <v>827</v>
      </c>
      <c r="D98" s="38" t="s">
        <v>846</v>
      </c>
      <c r="E98" s="129" t="s">
        <v>846</v>
      </c>
    </row>
    <row r="99" spans="2:5" x14ac:dyDescent="0.2">
      <c r="B99" s="143"/>
      <c r="C99" s="2" t="s">
        <v>828</v>
      </c>
      <c r="D99" s="37"/>
      <c r="E99" s="37"/>
    </row>
    <row r="100" spans="2:5" x14ac:dyDescent="0.2">
      <c r="B100" s="143"/>
      <c r="C100" s="2" t="s">
        <v>823</v>
      </c>
      <c r="D100" s="2"/>
      <c r="E100" s="2"/>
    </row>
    <row r="101" spans="2:5" x14ac:dyDescent="0.2">
      <c r="B101" s="143"/>
      <c r="C101" s="2" t="s">
        <v>832</v>
      </c>
      <c r="D101" s="34"/>
      <c r="E101" s="34"/>
    </row>
    <row r="102" spans="2:5" x14ac:dyDescent="0.2">
      <c r="B102" s="143"/>
      <c r="C102" s="2" t="s">
        <v>833</v>
      </c>
      <c r="D102" s="34"/>
      <c r="E102" s="34"/>
    </row>
    <row r="103" spans="2:5" x14ac:dyDescent="0.2">
      <c r="B103" s="142" t="s">
        <v>866</v>
      </c>
      <c r="C103" s="2" t="s">
        <v>827</v>
      </c>
      <c r="D103" s="63">
        <v>1</v>
      </c>
      <c r="E103" s="122">
        <v>1</v>
      </c>
    </row>
    <row r="104" spans="2:5" x14ac:dyDescent="0.2">
      <c r="B104" s="143"/>
      <c r="C104" s="2" t="s">
        <v>828</v>
      </c>
      <c r="D104" s="37"/>
      <c r="E104" s="37"/>
    </row>
    <row r="105" spans="2:5" x14ac:dyDescent="0.2">
      <c r="B105" s="143"/>
      <c r="C105" s="2" t="s">
        <v>823</v>
      </c>
      <c r="D105" s="2"/>
      <c r="E105" s="2"/>
    </row>
    <row r="106" spans="2:5" x14ac:dyDescent="0.2">
      <c r="B106" s="143"/>
      <c r="C106" s="2" t="s">
        <v>832</v>
      </c>
      <c r="D106" s="34"/>
      <c r="E106" s="34"/>
    </row>
    <row r="107" spans="2:5" x14ac:dyDescent="0.2">
      <c r="B107" s="143"/>
      <c r="C107" s="2" t="s">
        <v>833</v>
      </c>
      <c r="D107" s="34"/>
      <c r="E107" s="34"/>
    </row>
    <row r="108" spans="2:5" x14ac:dyDescent="0.2">
      <c r="B108" s="142" t="s">
        <v>849</v>
      </c>
      <c r="C108" s="2" t="s">
        <v>827</v>
      </c>
      <c r="D108" s="39" t="s">
        <v>850</v>
      </c>
      <c r="E108" s="129" t="s">
        <v>850</v>
      </c>
    </row>
    <row r="109" spans="2:5" x14ac:dyDescent="0.2">
      <c r="B109" s="143"/>
      <c r="C109" s="2" t="s">
        <v>828</v>
      </c>
      <c r="D109" s="37"/>
      <c r="E109" s="37"/>
    </row>
    <row r="110" spans="2:5" x14ac:dyDescent="0.2">
      <c r="B110" s="143"/>
      <c r="C110" s="2" t="s">
        <v>823</v>
      </c>
      <c r="D110" s="2"/>
      <c r="E110" s="2"/>
    </row>
    <row r="111" spans="2:5" x14ac:dyDescent="0.2">
      <c r="B111" s="143"/>
      <c r="C111" s="2" t="s">
        <v>832</v>
      </c>
      <c r="D111" s="34"/>
      <c r="E111" s="34"/>
    </row>
    <row r="112" spans="2:5" x14ac:dyDescent="0.2">
      <c r="B112" s="143"/>
      <c r="C112" s="2" t="s">
        <v>833</v>
      </c>
      <c r="D112" s="34"/>
      <c r="E112" s="34"/>
    </row>
    <row r="113" spans="2:5" x14ac:dyDescent="0.2">
      <c r="B113" s="138" t="s">
        <v>865</v>
      </c>
      <c r="C113" s="2" t="s">
        <v>827</v>
      </c>
      <c r="D113" s="41"/>
      <c r="E113" s="41"/>
    </row>
    <row r="114" spans="2:5" x14ac:dyDescent="0.2">
      <c r="B114" s="139"/>
      <c r="C114" s="2" t="s">
        <v>828</v>
      </c>
      <c r="D114" s="37"/>
      <c r="E114" s="37"/>
    </row>
    <row r="115" spans="2:5" x14ac:dyDescent="0.2">
      <c r="B115" s="139"/>
      <c r="C115" s="2" t="s">
        <v>823</v>
      </c>
      <c r="D115" s="2"/>
      <c r="E115" s="2"/>
    </row>
    <row r="116" spans="2:5" x14ac:dyDescent="0.2">
      <c r="B116" s="139"/>
      <c r="C116" s="2" t="s">
        <v>832</v>
      </c>
      <c r="D116" s="34"/>
      <c r="E116" s="34"/>
    </row>
    <row r="117" spans="2:5" x14ac:dyDescent="0.2">
      <c r="B117" s="140"/>
      <c r="C117" s="2" t="s">
        <v>833</v>
      </c>
      <c r="D117" s="34"/>
      <c r="E117" s="34"/>
    </row>
    <row r="118" spans="2:5" x14ac:dyDescent="0.2">
      <c r="B118" s="2" t="s">
        <v>867</v>
      </c>
      <c r="C118" s="2" t="s">
        <v>868</v>
      </c>
      <c r="D118" s="46"/>
      <c r="E118" s="46"/>
    </row>
    <row r="119" spans="2:5" x14ac:dyDescent="0.2">
      <c r="B119" s="2" t="s">
        <v>877</v>
      </c>
      <c r="C119" s="2" t="s">
        <v>868</v>
      </c>
      <c r="D119" s="51"/>
      <c r="E119" s="122"/>
    </row>
    <row r="120" spans="2:5" x14ac:dyDescent="0.2">
      <c r="B120" s="138" t="s">
        <v>878</v>
      </c>
      <c r="C120" s="2" t="s">
        <v>827</v>
      </c>
      <c r="D120" s="39" t="s">
        <v>837</v>
      </c>
      <c r="E120" s="129" t="s">
        <v>837</v>
      </c>
    </row>
    <row r="121" spans="2:5" x14ac:dyDescent="0.2">
      <c r="B121" s="139"/>
      <c r="C121" s="2" t="s">
        <v>828</v>
      </c>
      <c r="D121" s="37"/>
      <c r="E121" s="37"/>
    </row>
    <row r="122" spans="2:5" x14ac:dyDescent="0.2">
      <c r="B122" s="139"/>
      <c r="C122" s="2" t="s">
        <v>823</v>
      </c>
      <c r="D122" s="2"/>
      <c r="E122" s="2"/>
    </row>
    <row r="123" spans="2:5" x14ac:dyDescent="0.2">
      <c r="B123" s="139"/>
      <c r="C123" s="2" t="s">
        <v>832</v>
      </c>
      <c r="D123" s="34"/>
      <c r="E123" s="34"/>
    </row>
    <row r="124" spans="2:5" x14ac:dyDescent="0.2">
      <c r="B124" s="140"/>
      <c r="C124" s="2" t="s">
        <v>833</v>
      </c>
      <c r="D124" s="34"/>
      <c r="E124" s="34"/>
    </row>
    <row r="125" spans="2:5" x14ac:dyDescent="0.2">
      <c r="B125" s="142" t="s">
        <v>879</v>
      </c>
      <c r="C125" s="2" t="s">
        <v>827</v>
      </c>
      <c r="D125" s="52" t="s">
        <v>834</v>
      </c>
      <c r="E125" s="121" t="s">
        <v>834</v>
      </c>
    </row>
    <row r="126" spans="2:5" x14ac:dyDescent="0.2">
      <c r="B126" s="142"/>
      <c r="C126" s="2" t="s">
        <v>828</v>
      </c>
      <c r="D126" s="37"/>
      <c r="E126" s="37"/>
    </row>
    <row r="127" spans="2:5" x14ac:dyDescent="0.2">
      <c r="B127" s="142"/>
      <c r="C127" s="2" t="s">
        <v>823</v>
      </c>
      <c r="D127" s="2"/>
      <c r="E127" s="2"/>
    </row>
    <row r="128" spans="2:5" x14ac:dyDescent="0.2">
      <c r="B128" s="142"/>
      <c r="C128" s="2" t="s">
        <v>832</v>
      </c>
      <c r="D128" s="34"/>
      <c r="E128" s="34"/>
    </row>
    <row r="129" spans="2:5" x14ac:dyDescent="0.2">
      <c r="B129" s="142"/>
      <c r="C129" s="2" t="s">
        <v>833</v>
      </c>
      <c r="D129" s="34"/>
      <c r="E129" s="34"/>
    </row>
  </sheetData>
  <mergeCells count="22">
    <mergeCell ref="B113:B117"/>
    <mergeCell ref="B120:B124"/>
    <mergeCell ref="B125:B129"/>
    <mergeCell ref="B88:B92"/>
    <mergeCell ref="B93:B97"/>
    <mergeCell ref="B98:B102"/>
    <mergeCell ref="B103:B107"/>
    <mergeCell ref="B108:B112"/>
    <mergeCell ref="B72:B77"/>
    <mergeCell ref="B78:B83"/>
    <mergeCell ref="B38:B42"/>
    <mergeCell ref="B43:B48"/>
    <mergeCell ref="B49:B53"/>
    <mergeCell ref="B54:B59"/>
    <mergeCell ref="B60:B65"/>
    <mergeCell ref="B66:B71"/>
    <mergeCell ref="B32:B37"/>
    <mergeCell ref="B3:B7"/>
    <mergeCell ref="B8:B12"/>
    <mergeCell ref="B16:B20"/>
    <mergeCell ref="B21:B26"/>
    <mergeCell ref="B27:B31"/>
  </mergeCells>
  <phoneticPr fontId="1"/>
  <dataValidations count="1">
    <dataValidation type="list" allowBlank="1" showInputMessage="1" showErrorMessage="1" sqref="D56:P56 D10:P10 D74:P74 D80:P80 D68:P68 D62:P62 D18:P18 D40:P40 D34:P34 D45:P45 D29:P29 D5:P5 D23:P23 D51:P51 D122:E122 D90:E90 D95:E95 D100:E100 D105:E105 D110:E110 D115:E115 D127:E127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0.22958693563880883</v>
      </c>
      <c r="F2" s="5">
        <f t="shared" ref="F2:L2" si="0">SUM(F4:F104)</f>
        <v>1041</v>
      </c>
      <c r="G2" s="5">
        <f t="shared" si="0"/>
        <v>239</v>
      </c>
      <c r="H2" s="5">
        <f t="shared" si="0"/>
        <v>35</v>
      </c>
      <c r="I2" s="5">
        <f t="shared" si="0"/>
        <v>6</v>
      </c>
      <c r="J2" s="6">
        <f t="shared" si="0"/>
        <v>12</v>
      </c>
      <c r="K2" s="12">
        <f>((G2-H2-I2-J2)+(H2*2)+(I2*3)+(J2*4))</f>
        <v>322</v>
      </c>
      <c r="L2" s="7">
        <f t="shared" si="0"/>
        <v>83</v>
      </c>
      <c r="M2" s="11">
        <f t="shared" ref="M2:M4" si="1">IFERROR(IF((G2+P2+Q2)/(F2+P2+Q2+S2)=1,"1.00",(G2+P2+Q2)/(F2+P2+Q2+S2)),0)</f>
        <v>0.28125</v>
      </c>
      <c r="N2" s="11">
        <f>IF(F2=0,IF(M2="1.00","1.000",M2),SUM(ROUND(K2/F2,3),M2))</f>
        <v>0.59024999999999994</v>
      </c>
      <c r="O2" s="5">
        <f>SUM(O4:O104)</f>
        <v>222</v>
      </c>
      <c r="P2" s="5">
        <f>SUM(P4:P104)</f>
        <v>63</v>
      </c>
      <c r="Q2" s="5">
        <f>SUM(Q4:Q104)</f>
        <v>13</v>
      </c>
      <c r="R2" s="5">
        <f>SUM(R4:R104)</f>
        <v>23</v>
      </c>
      <c r="S2" s="5">
        <f>SUM(S4:S104)</f>
        <v>3</v>
      </c>
      <c r="T2" s="5">
        <f t="shared" ref="T2:V2" si="2">SUM(T4:T104)</f>
        <v>13</v>
      </c>
      <c r="U2" s="5">
        <f t="shared" si="2"/>
        <v>18</v>
      </c>
      <c r="V2" s="5">
        <f t="shared" si="2"/>
        <v>24</v>
      </c>
      <c r="W2" s="20">
        <f>IFERROR(CalcRC27(F2,G2,K2,O2,P2,Q2,R2,S2,T2,U2,V2),"-")</f>
        <v>2.5272258122907023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964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965</v>
      </c>
      <c r="E5" s="11">
        <f t="shared" si="3"/>
        <v>0.28947368421052633</v>
      </c>
      <c r="F5" s="5">
        <v>38</v>
      </c>
      <c r="G5" s="5">
        <v>11</v>
      </c>
      <c r="H5" s="5">
        <v>0</v>
      </c>
      <c r="I5" s="5">
        <v>0</v>
      </c>
      <c r="J5" s="6">
        <v>0</v>
      </c>
      <c r="K5" s="12">
        <v>11</v>
      </c>
      <c r="L5" s="7">
        <v>2</v>
      </c>
      <c r="M5" s="11">
        <f t="shared" ref="M5:M68" si="5">IFERROR(IF((G5+P5+Q5)/(F5+P5+Q5+S5)=1,"1.00",(G5+P5+Q5)/(F5+P5+Q5+S5)),0)</f>
        <v>0.34146341463414637</v>
      </c>
      <c r="N5" s="11">
        <f t="shared" ref="N5:N68" si="6">IF(F5=0,IF(M5="1.00","1.000",M5),SUM(ROUND(K5/F5,3),M5))</f>
        <v>0.63046341463414635</v>
      </c>
      <c r="O5" s="20">
        <v>5</v>
      </c>
      <c r="P5" s="21">
        <v>2</v>
      </c>
      <c r="Q5" s="21">
        <v>1</v>
      </c>
      <c r="R5" s="22">
        <v>0</v>
      </c>
      <c r="S5" s="22">
        <v>0</v>
      </c>
      <c r="T5" s="20">
        <v>0</v>
      </c>
      <c r="U5" s="20">
        <v>1</v>
      </c>
      <c r="V5" s="20">
        <v>1</v>
      </c>
      <c r="W5" s="62">
        <f>IFERROR(CalcRC27(F5,G5,K5,O5,P5,Q5,R5,S5,T5,U5,V5),"-")</f>
        <v>3.1464726661059688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5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1687</v>
      </c>
      <c r="E7" s="11">
        <f t="shared" si="3"/>
        <v>0.21052631578947367</v>
      </c>
      <c r="F7" s="5">
        <v>38</v>
      </c>
      <c r="G7" s="5">
        <v>8</v>
      </c>
      <c r="H7" s="5">
        <v>1</v>
      </c>
      <c r="I7" s="5">
        <v>0</v>
      </c>
      <c r="J7" s="6">
        <v>1</v>
      </c>
      <c r="K7" s="12">
        <v>12</v>
      </c>
      <c r="L7" s="7">
        <v>2</v>
      </c>
      <c r="M7" s="11">
        <f t="shared" si="5"/>
        <v>0.2857142857142857</v>
      </c>
      <c r="N7" s="11">
        <f t="shared" si="6"/>
        <v>0.60171428571428565</v>
      </c>
      <c r="O7" s="20">
        <v>11</v>
      </c>
      <c r="P7" s="21">
        <v>3</v>
      </c>
      <c r="Q7" s="21">
        <v>1</v>
      </c>
      <c r="R7" s="22">
        <v>0</v>
      </c>
      <c r="S7" s="22">
        <v>0</v>
      </c>
      <c r="T7" s="20">
        <v>1</v>
      </c>
      <c r="U7" s="20">
        <v>1</v>
      </c>
      <c r="V7" s="20">
        <v>1</v>
      </c>
      <c r="W7" s="62">
        <f>IFERROR(CalcRC27(F7,G7,K7,O7,P7,Q7,R7,S7,T7,U7,V7),"-")</f>
        <v>2.5704910714285694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5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5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5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5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966</v>
      </c>
      <c r="E12" s="11">
        <f t="shared" si="3"/>
        <v>0.20987654320987653</v>
      </c>
      <c r="F12" s="5">
        <v>81</v>
      </c>
      <c r="G12" s="5">
        <v>17</v>
      </c>
      <c r="H12" s="5">
        <v>1</v>
      </c>
      <c r="I12" s="5">
        <v>0</v>
      </c>
      <c r="J12" s="6">
        <v>0</v>
      </c>
      <c r="K12" s="12">
        <v>18</v>
      </c>
      <c r="L12" s="7">
        <v>5</v>
      </c>
      <c r="M12" s="11">
        <f t="shared" si="5"/>
        <v>0.25287356321839083</v>
      </c>
      <c r="N12" s="11">
        <f t="shared" si="6"/>
        <v>0.4748735632183908</v>
      </c>
      <c r="O12" s="20">
        <v>23</v>
      </c>
      <c r="P12" s="21">
        <v>5</v>
      </c>
      <c r="Q12" s="21">
        <v>0</v>
      </c>
      <c r="R12" s="22">
        <v>4</v>
      </c>
      <c r="S12" s="22">
        <v>1</v>
      </c>
      <c r="T12" s="20">
        <v>0</v>
      </c>
      <c r="U12" s="20">
        <v>2</v>
      </c>
      <c r="V12" s="20">
        <v>1</v>
      </c>
      <c r="W12" s="62">
        <f>IFERROR(CalcRC27(F12,G12,K12,O12,P12,Q12,R12,S12,T12,U12,V12),"-")</f>
        <v>1.2734542124542108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5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803</v>
      </c>
      <c r="E14" s="11">
        <f t="shared" si="3"/>
        <v>0.28971962616822428</v>
      </c>
      <c r="F14" s="5">
        <v>107</v>
      </c>
      <c r="G14" s="5">
        <v>31</v>
      </c>
      <c r="H14" s="5">
        <v>5</v>
      </c>
      <c r="I14" s="5">
        <v>0</v>
      </c>
      <c r="J14" s="6">
        <v>1</v>
      </c>
      <c r="K14" s="12">
        <v>39</v>
      </c>
      <c r="L14" s="7">
        <v>5</v>
      </c>
      <c r="M14" s="11">
        <f t="shared" si="5"/>
        <v>0.32743362831858408</v>
      </c>
      <c r="N14" s="11">
        <f t="shared" si="6"/>
        <v>0.69143362831858401</v>
      </c>
      <c r="O14" s="20">
        <v>27</v>
      </c>
      <c r="P14" s="21">
        <v>6</v>
      </c>
      <c r="Q14" s="21">
        <v>0</v>
      </c>
      <c r="R14" s="22">
        <v>1</v>
      </c>
      <c r="S14" s="22">
        <v>0</v>
      </c>
      <c r="T14" s="20">
        <v>1</v>
      </c>
      <c r="U14" s="20">
        <v>1</v>
      </c>
      <c r="V14" s="20">
        <v>0</v>
      </c>
      <c r="W14" s="62">
        <f>IFERROR(CalcRC27(F14,G14,K14,O14,P14,Q14,R14,S14,T14,U14,V14),"-")</f>
        <v>4.4819271255060711</v>
      </c>
      <c r="X14" s="13" t="s">
        <v>894</v>
      </c>
    </row>
    <row r="15" spans="2:24" ht="13.8" x14ac:dyDescent="0.2">
      <c r="B15" s="8">
        <f t="shared" si="4"/>
        <v>10</v>
      </c>
      <c r="C15" s="10">
        <v>10</v>
      </c>
      <c r="D15" s="13" t="s">
        <v>967</v>
      </c>
      <c r="E15" s="11">
        <f t="shared" si="3"/>
        <v>0</v>
      </c>
      <c r="F15" s="5">
        <v>4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1</v>
      </c>
      <c r="M15" s="11">
        <f t="shared" si="5"/>
        <v>0.16666666666666666</v>
      </c>
      <c r="N15" s="11">
        <f t="shared" si="6"/>
        <v>0.16666666666666666</v>
      </c>
      <c r="O15" s="20">
        <v>2</v>
      </c>
      <c r="P15" s="21">
        <v>1</v>
      </c>
      <c r="Q15" s="21">
        <v>0</v>
      </c>
      <c r="R15" s="22">
        <v>0</v>
      </c>
      <c r="S15" s="22">
        <v>1</v>
      </c>
      <c r="T15" s="20">
        <v>0</v>
      </c>
      <c r="U15" s="20">
        <v>0</v>
      </c>
      <c r="V15" s="20">
        <v>1</v>
      </c>
      <c r="W15" s="62">
        <f>IFERROR(CalcRC27(F15,G15,K15,O15,P15,Q15,R15,S15,T15,U15,V15),"-")</f>
        <v>-1.8240000000000014</v>
      </c>
      <c r="X15" s="13" t="s">
        <v>1002</v>
      </c>
    </row>
    <row r="16" spans="2:24" ht="13.8" x14ac:dyDescent="0.2">
      <c r="B16" s="8">
        <f t="shared" si="4"/>
        <v>11</v>
      </c>
      <c r="C16" s="10">
        <v>11</v>
      </c>
      <c r="D16" s="13" t="s">
        <v>968</v>
      </c>
      <c r="E16" s="11">
        <f t="shared" si="3"/>
        <v>0</v>
      </c>
      <c r="F16" s="5">
        <v>14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5"/>
        <v>0</v>
      </c>
      <c r="N16" s="11">
        <f t="shared" si="6"/>
        <v>0</v>
      </c>
      <c r="O16" s="20">
        <v>8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-2.8234285714285727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969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5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970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5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971</v>
      </c>
      <c r="E19" s="11">
        <f t="shared" si="3"/>
        <v>0.22222222222222221</v>
      </c>
      <c r="F19" s="5">
        <v>9</v>
      </c>
      <c r="G19" s="5">
        <v>2</v>
      </c>
      <c r="H19" s="5">
        <v>0</v>
      </c>
      <c r="I19" s="5">
        <v>0</v>
      </c>
      <c r="J19" s="6">
        <v>0</v>
      </c>
      <c r="K19" s="12">
        <v>2</v>
      </c>
      <c r="L19" s="7">
        <v>0</v>
      </c>
      <c r="M19" s="11">
        <f t="shared" si="5"/>
        <v>0.22222222222222221</v>
      </c>
      <c r="N19" s="11">
        <f t="shared" si="6"/>
        <v>0.44422222222222219</v>
      </c>
      <c r="O19" s="20">
        <v>7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1.111619047619046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5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2033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5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672</v>
      </c>
    </row>
    <row r="22" spans="2:24" ht="13.8" x14ac:dyDescent="0.2">
      <c r="B22" s="8">
        <f t="shared" si="4"/>
        <v>17</v>
      </c>
      <c r="C22" s="10">
        <v>17</v>
      </c>
      <c r="D22" s="13" t="s">
        <v>972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5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1003</v>
      </c>
    </row>
    <row r="23" spans="2:24" ht="13.8" x14ac:dyDescent="0.2">
      <c r="B23" s="8">
        <f t="shared" si="4"/>
        <v>18</v>
      </c>
      <c r="C23" s="10">
        <v>18</v>
      </c>
      <c r="D23" s="13" t="s">
        <v>1268</v>
      </c>
      <c r="E23" s="11">
        <f t="shared" si="3"/>
        <v>0.44444444444444442</v>
      </c>
      <c r="F23" s="5">
        <v>9</v>
      </c>
      <c r="G23" s="5">
        <v>4</v>
      </c>
      <c r="H23" s="5">
        <v>1</v>
      </c>
      <c r="I23" s="5">
        <v>0</v>
      </c>
      <c r="J23" s="6">
        <v>0</v>
      </c>
      <c r="K23" s="12">
        <v>5</v>
      </c>
      <c r="L23" s="7">
        <v>0</v>
      </c>
      <c r="M23" s="11">
        <f t="shared" si="5"/>
        <v>0.5</v>
      </c>
      <c r="N23" s="11">
        <f t="shared" si="6"/>
        <v>1.056</v>
      </c>
      <c r="O23" s="20">
        <v>2</v>
      </c>
      <c r="P23" s="21">
        <v>1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12.647999999999996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1628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5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973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5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974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5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1004</v>
      </c>
    </row>
    <row r="27" spans="2:24" ht="13.8" x14ac:dyDescent="0.2">
      <c r="B27" s="8">
        <f t="shared" si="4"/>
        <v>22</v>
      </c>
      <c r="C27" s="10">
        <v>22</v>
      </c>
      <c r="D27" s="13" t="s">
        <v>975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5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1005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5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661</v>
      </c>
      <c r="E29" s="11" t="str">
        <f t="shared" si="3"/>
        <v>1.00</v>
      </c>
      <c r="F29" s="5">
        <v>1</v>
      </c>
      <c r="G29" s="5">
        <v>1</v>
      </c>
      <c r="H29" s="5">
        <v>0</v>
      </c>
      <c r="I29" s="5">
        <v>1</v>
      </c>
      <c r="J29" s="6">
        <v>0</v>
      </c>
      <c r="K29" s="12">
        <v>3</v>
      </c>
      <c r="L29" s="7">
        <v>1</v>
      </c>
      <c r="M29" s="11" t="str">
        <f t="shared" si="5"/>
        <v>1.00</v>
      </c>
      <c r="N29" s="11">
        <f t="shared" si="6"/>
        <v>3</v>
      </c>
      <c r="O29" s="20">
        <v>0</v>
      </c>
      <c r="P29" s="21">
        <v>0</v>
      </c>
      <c r="Q29" s="21">
        <v>0</v>
      </c>
      <c r="R29" s="22">
        <v>1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34.311</v>
      </c>
      <c r="X29" s="13" t="s">
        <v>673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5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885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5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895</v>
      </c>
    </row>
    <row r="32" spans="2:24" ht="13.8" x14ac:dyDescent="0.2">
      <c r="B32" s="8">
        <f t="shared" si="4"/>
        <v>27</v>
      </c>
      <c r="C32" s="10">
        <v>27</v>
      </c>
      <c r="D32" s="13" t="s">
        <v>976</v>
      </c>
      <c r="E32" s="11">
        <f t="shared" si="3"/>
        <v>0.13953488372093023</v>
      </c>
      <c r="F32" s="5">
        <v>43</v>
      </c>
      <c r="G32" s="5">
        <v>6</v>
      </c>
      <c r="H32" s="5">
        <v>3</v>
      </c>
      <c r="I32" s="5">
        <v>0</v>
      </c>
      <c r="J32" s="6">
        <v>0</v>
      </c>
      <c r="K32" s="12">
        <v>9</v>
      </c>
      <c r="L32" s="7">
        <v>6</v>
      </c>
      <c r="M32" s="11">
        <f t="shared" si="5"/>
        <v>0.15909090909090909</v>
      </c>
      <c r="N32" s="11">
        <f t="shared" si="6"/>
        <v>0.36809090909090908</v>
      </c>
      <c r="O32" s="20">
        <v>9</v>
      </c>
      <c r="P32" s="21">
        <v>0</v>
      </c>
      <c r="Q32" s="21">
        <v>1</v>
      </c>
      <c r="R32" s="22">
        <v>0</v>
      </c>
      <c r="S32" s="22">
        <v>0</v>
      </c>
      <c r="T32" s="20">
        <v>0</v>
      </c>
      <c r="U32" s="20">
        <v>0</v>
      </c>
      <c r="V32" s="20">
        <v>3</v>
      </c>
      <c r="W32" s="62">
        <f>IFERROR(CalcRC27(F32,G32,K32,O32,P32,Q32,R32,S32,T32,U32,V32),"-")</f>
        <v>-0.39050454545454705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977</v>
      </c>
      <c r="E33" s="11">
        <f t="shared" si="3"/>
        <v>0.30769230769230771</v>
      </c>
      <c r="F33" s="5">
        <v>13</v>
      </c>
      <c r="G33" s="5">
        <v>4</v>
      </c>
      <c r="H33" s="5">
        <v>0</v>
      </c>
      <c r="I33" s="5">
        <v>0</v>
      </c>
      <c r="J33" s="6">
        <v>0</v>
      </c>
      <c r="K33" s="12">
        <v>4</v>
      </c>
      <c r="L33" s="7">
        <v>1</v>
      </c>
      <c r="M33" s="11">
        <f t="shared" si="5"/>
        <v>0.30769230769230771</v>
      </c>
      <c r="N33" s="11">
        <f t="shared" si="6"/>
        <v>0.61569230769230776</v>
      </c>
      <c r="O33" s="20">
        <v>4</v>
      </c>
      <c r="P33" s="21">
        <v>0</v>
      </c>
      <c r="Q33" s="21">
        <v>0</v>
      </c>
      <c r="R33" s="22">
        <v>2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3.1836363636363618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5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978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5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1006</v>
      </c>
    </row>
    <row r="36" spans="2:24" ht="13.8" x14ac:dyDescent="0.2">
      <c r="B36" s="8">
        <f t="shared" si="4"/>
        <v>31</v>
      </c>
      <c r="C36" s="10">
        <v>31</v>
      </c>
      <c r="D36" s="13" t="s">
        <v>979</v>
      </c>
      <c r="E36" s="11">
        <f t="shared" si="3"/>
        <v>0.17073170731707318</v>
      </c>
      <c r="F36" s="5">
        <v>82</v>
      </c>
      <c r="G36" s="5">
        <v>14</v>
      </c>
      <c r="H36" s="5">
        <v>2</v>
      </c>
      <c r="I36" s="5">
        <v>0</v>
      </c>
      <c r="J36" s="6">
        <v>2</v>
      </c>
      <c r="K36" s="12">
        <v>22</v>
      </c>
      <c r="L36" s="7">
        <v>7</v>
      </c>
      <c r="M36" s="11">
        <f t="shared" si="5"/>
        <v>0.24444444444444444</v>
      </c>
      <c r="N36" s="11">
        <f t="shared" si="6"/>
        <v>0.51244444444444448</v>
      </c>
      <c r="O36" s="20">
        <v>15</v>
      </c>
      <c r="P36" s="21">
        <v>7</v>
      </c>
      <c r="Q36" s="21">
        <v>1</v>
      </c>
      <c r="R36" s="22">
        <v>0</v>
      </c>
      <c r="S36" s="22">
        <v>0</v>
      </c>
      <c r="T36" s="20">
        <v>2</v>
      </c>
      <c r="U36" s="20">
        <v>1</v>
      </c>
      <c r="V36" s="20">
        <v>5</v>
      </c>
      <c r="W36" s="62">
        <f>IFERROR(CalcRC27(F36,G36,K36,O36,P36,Q36,R36,S36,T36,U36,V36),"-")</f>
        <v>1.2653693693693675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1143</v>
      </c>
      <c r="E37" s="11">
        <f t="shared" si="3"/>
        <v>0.8</v>
      </c>
      <c r="F37" s="5">
        <v>5</v>
      </c>
      <c r="G37" s="5">
        <v>4</v>
      </c>
      <c r="H37" s="5">
        <v>1</v>
      </c>
      <c r="I37" s="5">
        <v>0</v>
      </c>
      <c r="J37" s="6">
        <v>1</v>
      </c>
      <c r="K37" s="12">
        <v>8</v>
      </c>
      <c r="L37" s="7">
        <v>1</v>
      </c>
      <c r="M37" s="11">
        <f t="shared" si="5"/>
        <v>0.83333333333333337</v>
      </c>
      <c r="N37" s="11">
        <f t="shared" si="6"/>
        <v>2.4333333333333336</v>
      </c>
      <c r="O37" s="20">
        <v>0</v>
      </c>
      <c r="P37" s="21">
        <v>0</v>
      </c>
      <c r="Q37" s="21">
        <v>1</v>
      </c>
      <c r="R37" s="22">
        <v>1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54.111857142857126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980</v>
      </c>
      <c r="E38" s="11">
        <f t="shared" si="3"/>
        <v>0.21568627450980393</v>
      </c>
      <c r="F38" s="5">
        <v>102</v>
      </c>
      <c r="G38" s="5">
        <v>22</v>
      </c>
      <c r="H38" s="5">
        <v>5</v>
      </c>
      <c r="I38" s="5">
        <v>0</v>
      </c>
      <c r="J38" s="6">
        <v>1</v>
      </c>
      <c r="K38" s="12">
        <v>30</v>
      </c>
      <c r="L38" s="7">
        <v>10</v>
      </c>
      <c r="M38" s="11">
        <f t="shared" si="5"/>
        <v>0.26605504587155965</v>
      </c>
      <c r="N38" s="11">
        <f t="shared" si="6"/>
        <v>0.56005504587155963</v>
      </c>
      <c r="O38" s="20">
        <v>13</v>
      </c>
      <c r="P38" s="21">
        <v>6</v>
      </c>
      <c r="Q38" s="21">
        <v>1</v>
      </c>
      <c r="R38" s="22">
        <v>4</v>
      </c>
      <c r="S38" s="22">
        <v>0</v>
      </c>
      <c r="T38" s="20">
        <v>0</v>
      </c>
      <c r="U38" s="20">
        <v>1</v>
      </c>
      <c r="V38" s="20">
        <v>3</v>
      </c>
      <c r="W38" s="62">
        <f>IFERROR(CalcRC27(F38,G38,K38,O38,P38,Q38,R38,S38,T38,U38,V38),"-")</f>
        <v>2.0878147626709551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981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5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982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5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1007</v>
      </c>
    </row>
    <row r="41" spans="2:24" ht="13.8" x14ac:dyDescent="0.2">
      <c r="B41" s="8">
        <f t="shared" si="4"/>
        <v>36</v>
      </c>
      <c r="C41" s="10">
        <v>36</v>
      </c>
      <c r="D41" s="13" t="s">
        <v>983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5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984</v>
      </c>
      <c r="E42" s="11">
        <f t="shared" si="3"/>
        <v>0.26732673267326734</v>
      </c>
      <c r="F42" s="5">
        <v>101</v>
      </c>
      <c r="G42" s="5">
        <v>27</v>
      </c>
      <c r="H42" s="5">
        <v>7</v>
      </c>
      <c r="I42" s="5">
        <v>2</v>
      </c>
      <c r="J42" s="6">
        <v>0</v>
      </c>
      <c r="K42" s="12">
        <v>38</v>
      </c>
      <c r="L42" s="7">
        <v>8</v>
      </c>
      <c r="M42" s="11">
        <f t="shared" si="5"/>
        <v>0.32110091743119268</v>
      </c>
      <c r="N42" s="11">
        <f t="shared" si="6"/>
        <v>0.69710091743119262</v>
      </c>
      <c r="O42" s="20">
        <v>8</v>
      </c>
      <c r="P42" s="21">
        <v>7</v>
      </c>
      <c r="Q42" s="21">
        <v>1</v>
      </c>
      <c r="R42" s="22">
        <v>0</v>
      </c>
      <c r="S42" s="22">
        <v>0</v>
      </c>
      <c r="T42" s="20">
        <v>3</v>
      </c>
      <c r="U42" s="20">
        <v>2</v>
      </c>
      <c r="V42" s="20">
        <v>2</v>
      </c>
      <c r="W42" s="62">
        <f>IFERROR(CalcRC27(F42,G42,K42,O42,P42,Q42,R42,S42,T42,U42,V42),"-")</f>
        <v>4.1154114326040911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985</v>
      </c>
      <c r="E43" s="11">
        <f t="shared" si="3"/>
        <v>0.2413793103448276</v>
      </c>
      <c r="F43" s="5">
        <v>29</v>
      </c>
      <c r="G43" s="5">
        <v>7</v>
      </c>
      <c r="H43" s="5">
        <v>0</v>
      </c>
      <c r="I43" s="5">
        <v>0</v>
      </c>
      <c r="J43" s="6">
        <v>3</v>
      </c>
      <c r="K43" s="12">
        <v>16</v>
      </c>
      <c r="L43" s="7">
        <v>6</v>
      </c>
      <c r="M43" s="11">
        <f t="shared" si="5"/>
        <v>0.33333333333333331</v>
      </c>
      <c r="N43" s="11">
        <f t="shared" si="6"/>
        <v>0.88533333333333331</v>
      </c>
      <c r="O43" s="20">
        <v>11</v>
      </c>
      <c r="P43" s="21">
        <v>3</v>
      </c>
      <c r="Q43" s="21">
        <v>1</v>
      </c>
      <c r="R43" s="22">
        <v>0</v>
      </c>
      <c r="S43" s="22">
        <v>0</v>
      </c>
      <c r="T43" s="20">
        <v>1</v>
      </c>
      <c r="U43" s="20">
        <v>1</v>
      </c>
      <c r="V43" s="20">
        <v>1</v>
      </c>
      <c r="W43" s="62">
        <f>IFERROR(CalcRC27(F43,G43,K43,O43,P43,Q43,R43,S43,T43,U43,V43),"-")</f>
        <v>5.458977272727271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886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5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896</v>
      </c>
    </row>
    <row r="45" spans="2:24" ht="13.8" x14ac:dyDescent="0.2">
      <c r="B45" s="8">
        <f t="shared" si="4"/>
        <v>40</v>
      </c>
      <c r="C45" s="10">
        <v>40</v>
      </c>
      <c r="D45" s="13" t="s">
        <v>986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5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987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5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988</v>
      </c>
      <c r="E47" s="11">
        <f t="shared" si="3"/>
        <v>0</v>
      </c>
      <c r="F47" s="5">
        <v>2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5"/>
        <v>0</v>
      </c>
      <c r="N47" s="11">
        <f t="shared" si="6"/>
        <v>0</v>
      </c>
      <c r="O47" s="20">
        <v>2</v>
      </c>
      <c r="P47" s="21">
        <v>0</v>
      </c>
      <c r="Q47" s="21">
        <v>0</v>
      </c>
      <c r="R47" s="22">
        <v>1</v>
      </c>
      <c r="S47" s="22">
        <v>0</v>
      </c>
      <c r="T47" s="20">
        <v>0</v>
      </c>
      <c r="U47" s="20">
        <v>0</v>
      </c>
      <c r="V47" s="20">
        <v>0</v>
      </c>
      <c r="W47" s="62">
        <f>IFERROR(CalcRC27(F47,G47,K47,O47,P47,Q47,R47,S47,T47,U47,V47),"-")</f>
        <v>-1.5720000000000014</v>
      </c>
      <c r="X47" s="13" t="s">
        <v>1008</v>
      </c>
    </row>
    <row r="48" spans="2:24" ht="13.8" x14ac:dyDescent="0.2">
      <c r="B48" s="8">
        <f t="shared" si="4"/>
        <v>43</v>
      </c>
      <c r="C48" s="10">
        <v>43</v>
      </c>
      <c r="D48" s="13" t="s">
        <v>989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5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1258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5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1267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5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674</v>
      </c>
    </row>
    <row r="51" spans="2:24" ht="13.8" x14ac:dyDescent="0.2">
      <c r="B51" s="8">
        <f t="shared" si="4"/>
        <v>46</v>
      </c>
      <c r="C51" s="10">
        <v>46</v>
      </c>
      <c r="D51" s="13" t="s">
        <v>1781</v>
      </c>
      <c r="E51" s="11">
        <f t="shared" si="3"/>
        <v>0</v>
      </c>
      <c r="F51" s="5">
        <v>1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5"/>
        <v>0</v>
      </c>
      <c r="N51" s="11">
        <f t="shared" si="6"/>
        <v>0</v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>
        <f>IFERROR(CalcRC27(F51,G51,K51,O51,P51,Q51,R51,S51,T51,U51,V51),"-")</f>
        <v>-2.9160000000000013</v>
      </c>
      <c r="X51" s="13" t="s">
        <v>897</v>
      </c>
    </row>
    <row r="52" spans="2:24" ht="13.8" x14ac:dyDescent="0.2">
      <c r="B52" s="8">
        <f t="shared" si="4"/>
        <v>47</v>
      </c>
      <c r="C52" s="10">
        <v>47</v>
      </c>
      <c r="D52" s="13" t="s">
        <v>887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5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898</v>
      </c>
    </row>
    <row r="53" spans="2:24" ht="13.8" x14ac:dyDescent="0.2">
      <c r="B53" s="8">
        <f t="shared" si="4"/>
        <v>48</v>
      </c>
      <c r="C53" s="10">
        <v>48</v>
      </c>
      <c r="D53" s="13" t="s">
        <v>663</v>
      </c>
      <c r="E53" s="11">
        <f t="shared" si="3"/>
        <v>0.1111111111111111</v>
      </c>
      <c r="F53" s="5">
        <v>9</v>
      </c>
      <c r="G53" s="5">
        <v>1</v>
      </c>
      <c r="H53" s="5">
        <v>0</v>
      </c>
      <c r="I53" s="5">
        <v>0</v>
      </c>
      <c r="J53" s="6">
        <v>0</v>
      </c>
      <c r="K53" s="12">
        <v>1</v>
      </c>
      <c r="L53" s="7">
        <v>0</v>
      </c>
      <c r="M53" s="11">
        <f t="shared" si="5"/>
        <v>0.1111111111111111</v>
      </c>
      <c r="N53" s="11">
        <f t="shared" si="6"/>
        <v>0.22211111111111109</v>
      </c>
      <c r="O53" s="20">
        <v>5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-1.1120833333333351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888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5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899</v>
      </c>
    </row>
    <row r="55" spans="2:24" ht="13.8" x14ac:dyDescent="0.2">
      <c r="B55" s="8">
        <f t="shared" si="4"/>
        <v>50</v>
      </c>
      <c r="C55" s="10">
        <v>50</v>
      </c>
      <c r="D55" s="13" t="s">
        <v>664</v>
      </c>
      <c r="E55" s="11">
        <f t="shared" si="3"/>
        <v>0.14285714285714285</v>
      </c>
      <c r="F55" s="5">
        <v>14</v>
      </c>
      <c r="G55" s="5">
        <v>2</v>
      </c>
      <c r="H55" s="5">
        <v>0</v>
      </c>
      <c r="I55" s="5">
        <v>0</v>
      </c>
      <c r="J55" s="6">
        <v>1</v>
      </c>
      <c r="K55" s="12">
        <v>5</v>
      </c>
      <c r="L55" s="7">
        <v>2</v>
      </c>
      <c r="M55" s="11">
        <f t="shared" si="5"/>
        <v>0.14285714285714285</v>
      </c>
      <c r="N55" s="11">
        <f t="shared" si="6"/>
        <v>0.49985714285714283</v>
      </c>
      <c r="O55" s="20">
        <v>4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>
        <f>IFERROR(CalcRC27(F55,G55,K55,O55,P55,Q55,R55,S55,T55,U55,V55),"-")</f>
        <v>1.4522857142857124</v>
      </c>
      <c r="X55" s="13" t="s">
        <v>675</v>
      </c>
    </row>
    <row r="56" spans="2:24" ht="13.8" x14ac:dyDescent="0.2">
      <c r="B56" s="8">
        <f t="shared" si="4"/>
        <v>51</v>
      </c>
      <c r="C56" s="10">
        <v>51</v>
      </c>
      <c r="D56" s="13" t="s">
        <v>990</v>
      </c>
      <c r="E56" s="11">
        <f t="shared" si="3"/>
        <v>0.27868852459016391</v>
      </c>
      <c r="F56" s="5">
        <v>122</v>
      </c>
      <c r="G56" s="5">
        <v>34</v>
      </c>
      <c r="H56" s="5">
        <v>2</v>
      </c>
      <c r="I56" s="5">
        <v>1</v>
      </c>
      <c r="J56" s="6">
        <v>0</v>
      </c>
      <c r="K56" s="12">
        <v>37</v>
      </c>
      <c r="L56" s="7">
        <v>13</v>
      </c>
      <c r="M56" s="11">
        <f t="shared" si="5"/>
        <v>0.33582089552238809</v>
      </c>
      <c r="N56" s="11">
        <f t="shared" si="6"/>
        <v>0.63882089552238808</v>
      </c>
      <c r="O56" s="20">
        <v>8</v>
      </c>
      <c r="P56" s="21">
        <v>9</v>
      </c>
      <c r="Q56" s="21">
        <v>2</v>
      </c>
      <c r="R56" s="22">
        <v>0</v>
      </c>
      <c r="S56" s="22">
        <v>1</v>
      </c>
      <c r="T56" s="20">
        <v>2</v>
      </c>
      <c r="U56" s="20">
        <v>4</v>
      </c>
      <c r="V56" s="20">
        <v>1</v>
      </c>
      <c r="W56" s="62">
        <f>IFERROR(CalcRC27(F56,G56,K56,O56,P56,Q56,R56,S56,T56,U56,V56),"-")</f>
        <v>3.5489094950778002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665</v>
      </c>
      <c r="E57" s="11">
        <f t="shared" si="3"/>
        <v>0.45454545454545453</v>
      </c>
      <c r="F57" s="5">
        <v>11</v>
      </c>
      <c r="G57" s="5">
        <v>5</v>
      </c>
      <c r="H57" s="5">
        <v>1</v>
      </c>
      <c r="I57" s="5">
        <v>0</v>
      </c>
      <c r="J57" s="6">
        <v>0</v>
      </c>
      <c r="K57" s="12">
        <v>5</v>
      </c>
      <c r="L57" s="7">
        <v>1</v>
      </c>
      <c r="M57" s="11">
        <f t="shared" si="5"/>
        <v>0.45454545454545453</v>
      </c>
      <c r="N57" s="11">
        <f t="shared" si="6"/>
        <v>0.90954545454545455</v>
      </c>
      <c r="O57" s="20">
        <v>3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1</v>
      </c>
      <c r="V57" s="20">
        <v>0</v>
      </c>
      <c r="W57" s="62">
        <f>IFERROR(CalcRC27(F57,G57,K57,O57,P57,Q57,R57,S57,T57,U57,V57),"-")</f>
        <v>6.7154805194805176</v>
      </c>
      <c r="X57" s="13" t="s">
        <v>676</v>
      </c>
    </row>
    <row r="58" spans="2:24" ht="13.8" x14ac:dyDescent="0.2">
      <c r="B58" s="8">
        <f t="shared" si="4"/>
        <v>53</v>
      </c>
      <c r="C58" s="10">
        <v>53</v>
      </c>
      <c r="D58" s="13" t="s">
        <v>1515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5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991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5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1900</v>
      </c>
      <c r="E60" s="11">
        <f t="shared" si="3"/>
        <v>0.29166666666666669</v>
      </c>
      <c r="F60" s="5">
        <v>24</v>
      </c>
      <c r="G60" s="5">
        <v>7</v>
      </c>
      <c r="H60" s="5">
        <v>2</v>
      </c>
      <c r="I60" s="5">
        <v>0</v>
      </c>
      <c r="J60" s="6">
        <v>1</v>
      </c>
      <c r="K60" s="12">
        <v>12</v>
      </c>
      <c r="L60" s="7">
        <v>6</v>
      </c>
      <c r="M60" s="11">
        <f t="shared" si="5"/>
        <v>0.32</v>
      </c>
      <c r="N60" s="11">
        <f t="shared" si="6"/>
        <v>0.82000000000000006</v>
      </c>
      <c r="O60" s="20">
        <v>3</v>
      </c>
      <c r="P60" s="21">
        <v>1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1</v>
      </c>
      <c r="W60" s="62">
        <f>IFERROR(CalcRC27(F60,G60,K60,O60,P60,Q60,R60,S60,T60,U60,V60),"-")</f>
        <v>5.1859333333333311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889</v>
      </c>
      <c r="E61" s="11">
        <f t="shared" si="3"/>
        <v>5.8823529411764705E-2</v>
      </c>
      <c r="F61" s="5">
        <v>17</v>
      </c>
      <c r="G61" s="5">
        <v>1</v>
      </c>
      <c r="H61" s="5">
        <v>0</v>
      </c>
      <c r="I61" s="5">
        <v>0</v>
      </c>
      <c r="J61" s="6">
        <v>0</v>
      </c>
      <c r="K61" s="12">
        <v>1</v>
      </c>
      <c r="L61" s="7">
        <v>0</v>
      </c>
      <c r="M61" s="11">
        <f t="shared" si="5"/>
        <v>0.1111111111111111</v>
      </c>
      <c r="N61" s="11">
        <f t="shared" si="6"/>
        <v>0.1701111111111111</v>
      </c>
      <c r="O61" s="20">
        <v>8</v>
      </c>
      <c r="P61" s="21">
        <v>0</v>
      </c>
      <c r="Q61" s="21">
        <v>1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>
        <f>IFERROR(CalcRC27(F61,G61,K61,O61,P61,Q61,R61,S61,T61,U61,V61),"-")</f>
        <v>-1.4322500000000016</v>
      </c>
      <c r="X61" s="13" t="s">
        <v>900</v>
      </c>
    </row>
    <row r="62" spans="2:24" ht="13.8" x14ac:dyDescent="0.2">
      <c r="B62" s="8">
        <f t="shared" si="4"/>
        <v>57</v>
      </c>
      <c r="C62" s="10">
        <v>57</v>
      </c>
      <c r="D62" s="13" t="s">
        <v>670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5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1514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5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1009</v>
      </c>
    </row>
    <row r="64" spans="2:24" ht="13.8" x14ac:dyDescent="0.2">
      <c r="B64" s="8">
        <f t="shared" si="4"/>
        <v>59</v>
      </c>
      <c r="C64" s="10">
        <v>59</v>
      </c>
      <c r="D64" s="13" t="s">
        <v>992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5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1601</v>
      </c>
      <c r="E65" s="11">
        <f t="shared" si="3"/>
        <v>0.18181818181818182</v>
      </c>
      <c r="F65" s="5">
        <v>66</v>
      </c>
      <c r="G65" s="5">
        <v>12</v>
      </c>
      <c r="H65" s="5">
        <v>2</v>
      </c>
      <c r="I65" s="5">
        <v>2</v>
      </c>
      <c r="J65" s="6">
        <v>0</v>
      </c>
      <c r="K65" s="12">
        <v>18</v>
      </c>
      <c r="L65" s="7">
        <v>2</v>
      </c>
      <c r="M65" s="11">
        <f t="shared" si="5"/>
        <v>0.21739130434782608</v>
      </c>
      <c r="N65" s="11">
        <f t="shared" si="6"/>
        <v>0.49039130434782607</v>
      </c>
      <c r="O65" s="20">
        <v>19</v>
      </c>
      <c r="P65" s="21">
        <v>2</v>
      </c>
      <c r="Q65" s="21">
        <v>1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1.2871729323308256</v>
      </c>
      <c r="X65" s="13" t="s">
        <v>677</v>
      </c>
    </row>
    <row r="66" spans="2:24" ht="13.8" x14ac:dyDescent="0.2">
      <c r="B66" s="8">
        <f t="shared" si="4"/>
        <v>61</v>
      </c>
      <c r="C66" s="10">
        <v>61</v>
      </c>
      <c r="D66" s="13" t="s">
        <v>993</v>
      </c>
      <c r="E66" s="11">
        <f t="shared" si="3"/>
        <v>0.22222222222222221</v>
      </c>
      <c r="F66" s="5">
        <v>63</v>
      </c>
      <c r="G66" s="5">
        <v>14</v>
      </c>
      <c r="H66" s="5">
        <v>1</v>
      </c>
      <c r="I66" s="5">
        <v>0</v>
      </c>
      <c r="J66" s="6">
        <v>0</v>
      </c>
      <c r="K66" s="12">
        <v>15</v>
      </c>
      <c r="L66" s="7">
        <v>3</v>
      </c>
      <c r="M66" s="11">
        <f t="shared" si="5"/>
        <v>0.30985915492957744</v>
      </c>
      <c r="N66" s="11">
        <f t="shared" si="6"/>
        <v>0.54785915492957749</v>
      </c>
      <c r="O66" s="20">
        <v>18</v>
      </c>
      <c r="P66" s="21">
        <v>7</v>
      </c>
      <c r="Q66" s="21">
        <v>1</v>
      </c>
      <c r="R66" s="22">
        <v>5</v>
      </c>
      <c r="S66" s="22">
        <v>0</v>
      </c>
      <c r="T66" s="20">
        <v>2</v>
      </c>
      <c r="U66" s="20">
        <v>1</v>
      </c>
      <c r="V66" s="20">
        <v>2</v>
      </c>
      <c r="W66" s="62">
        <f>IFERROR(CalcRC27(F66,G66,K66,O66,P66,Q66,R66,S66,T66,U66,V66),"-")</f>
        <v>2.2550263157894719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1135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5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901</v>
      </c>
    </row>
    <row r="68" spans="2:24" ht="13.8" x14ac:dyDescent="0.2">
      <c r="B68" s="8">
        <f t="shared" si="4"/>
        <v>63</v>
      </c>
      <c r="C68" s="10">
        <v>63</v>
      </c>
      <c r="D68" s="13" t="s">
        <v>890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5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1010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666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678</v>
      </c>
    </row>
    <row r="70" spans="2:24" ht="13.8" x14ac:dyDescent="0.2">
      <c r="B70" s="8">
        <f t="shared" si="8"/>
        <v>65</v>
      </c>
      <c r="C70" s="10">
        <v>65</v>
      </c>
      <c r="D70" s="13" t="s">
        <v>1237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325</v>
      </c>
    </row>
    <row r="71" spans="2:24" ht="13.8" x14ac:dyDescent="0.2">
      <c r="B71" s="8">
        <f t="shared" si="8"/>
        <v>66</v>
      </c>
      <c r="C71" s="10">
        <v>66</v>
      </c>
      <c r="D71" s="13" t="s">
        <v>994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8"/>
        <v>67</v>
      </c>
      <c r="C72" s="10">
        <v>67</v>
      </c>
      <c r="D72" s="13" t="s">
        <v>1171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1984</v>
      </c>
    </row>
    <row r="73" spans="2:24" ht="13.8" x14ac:dyDescent="0.2">
      <c r="B73" s="8">
        <f t="shared" si="8"/>
        <v>68</v>
      </c>
      <c r="C73" s="10">
        <v>68</v>
      </c>
      <c r="D73" s="13" t="s">
        <v>995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1011</v>
      </c>
    </row>
    <row r="74" spans="2:24" ht="13.8" x14ac:dyDescent="0.2">
      <c r="B74" s="8">
        <f t="shared" si="8"/>
        <v>69</v>
      </c>
      <c r="C74" s="10">
        <v>69</v>
      </c>
      <c r="D74" s="13" t="s">
        <v>996</v>
      </c>
      <c r="E74" s="11">
        <f t="shared" si="9"/>
        <v>0</v>
      </c>
      <c r="F74" s="5">
        <v>5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1</v>
      </c>
      <c r="P74" s="21">
        <v>0</v>
      </c>
      <c r="Q74" s="21">
        <v>0</v>
      </c>
      <c r="R74" s="22">
        <v>0</v>
      </c>
      <c r="S74" s="22">
        <v>0</v>
      </c>
      <c r="T74" s="20">
        <v>1</v>
      </c>
      <c r="U74" s="20">
        <v>1</v>
      </c>
      <c r="V74" s="20">
        <v>0</v>
      </c>
      <c r="W74" s="62">
        <f>IFERROR(CalcRC27(F74,G74,K74,O74,P74,Q74,R74,S74,T74,U74,V74),"-")</f>
        <v>-3.0790000000000015</v>
      </c>
      <c r="X74" s="13" t="s">
        <v>270</v>
      </c>
    </row>
    <row r="75" spans="2:24" ht="13.8" x14ac:dyDescent="0.2">
      <c r="B75" s="8">
        <f t="shared" si="8"/>
        <v>70</v>
      </c>
      <c r="C75" s="10">
        <v>70</v>
      </c>
      <c r="D75" s="13" t="s">
        <v>1238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1978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8"/>
        <v>94</v>
      </c>
      <c r="C99" s="10">
        <v>94</v>
      </c>
      <c r="D99" s="13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8"/>
        <v>95</v>
      </c>
      <c r="C100" s="10">
        <v>95</v>
      </c>
      <c r="D100" s="13" t="s">
        <v>997</v>
      </c>
      <c r="E100" s="11">
        <f t="shared" si="9"/>
        <v>0.2</v>
      </c>
      <c r="F100" s="5">
        <v>5</v>
      </c>
      <c r="G100" s="5">
        <v>1</v>
      </c>
      <c r="H100" s="5">
        <v>1</v>
      </c>
      <c r="I100" s="5">
        <v>0</v>
      </c>
      <c r="J100" s="6">
        <v>0</v>
      </c>
      <c r="K100" s="12">
        <v>2</v>
      </c>
      <c r="L100" s="7">
        <v>0</v>
      </c>
      <c r="M100" s="11">
        <f t="shared" si="10"/>
        <v>0.2</v>
      </c>
      <c r="N100" s="11">
        <f t="shared" si="11"/>
        <v>0.60000000000000009</v>
      </c>
      <c r="O100" s="20">
        <v>1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2.7164999999999981</v>
      </c>
      <c r="X100" s="13" t="s">
        <v>1012</v>
      </c>
    </row>
    <row r="101" spans="2:24" ht="13.8" x14ac:dyDescent="0.2">
      <c r="B101" s="8">
        <f t="shared" si="8"/>
        <v>96</v>
      </c>
      <c r="C101" s="10">
        <v>96</v>
      </c>
      <c r="D101" s="13" t="s">
        <v>998</v>
      </c>
      <c r="E101" s="11">
        <f t="shared" si="9"/>
        <v>0</v>
      </c>
      <c r="F101" s="5">
        <v>4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>
        <f>IFERROR(CalcRC27(F101,G101,K101,O101,P101,Q101,R101,S101,T101,U101,V101),"-")</f>
        <v>-2.7000000000000011</v>
      </c>
      <c r="X101" s="13" t="s">
        <v>296</v>
      </c>
    </row>
    <row r="102" spans="2:24" ht="13.8" x14ac:dyDescent="0.2">
      <c r="B102" s="8">
        <f t="shared" si="8"/>
        <v>97</v>
      </c>
      <c r="C102" s="10">
        <v>97</v>
      </c>
      <c r="D102" s="13" t="s">
        <v>891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902</v>
      </c>
    </row>
    <row r="103" spans="2:24" ht="13.8" x14ac:dyDescent="0.2">
      <c r="B103" s="8">
        <f t="shared" si="8"/>
        <v>98</v>
      </c>
      <c r="C103" s="10">
        <v>98</v>
      </c>
      <c r="D103" s="13" t="s">
        <v>667</v>
      </c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1013</v>
      </c>
    </row>
    <row r="104" spans="2:24" ht="13.8" x14ac:dyDescent="0.2">
      <c r="B104" s="8">
        <f t="shared" si="8"/>
        <v>99</v>
      </c>
      <c r="C104" s="10">
        <v>99</v>
      </c>
      <c r="D104" s="13" t="s">
        <v>668</v>
      </c>
      <c r="E104" s="11">
        <f t="shared" si="9"/>
        <v>0.18181818181818182</v>
      </c>
      <c r="F104" s="5">
        <v>22</v>
      </c>
      <c r="G104" s="5">
        <v>4</v>
      </c>
      <c r="H104" s="5">
        <v>0</v>
      </c>
      <c r="I104" s="5">
        <v>0</v>
      </c>
      <c r="J104" s="6">
        <v>1</v>
      </c>
      <c r="K104" s="12">
        <v>7</v>
      </c>
      <c r="L104" s="7">
        <v>1</v>
      </c>
      <c r="M104" s="11">
        <f t="shared" si="10"/>
        <v>0.28000000000000003</v>
      </c>
      <c r="N104" s="11">
        <f t="shared" si="11"/>
        <v>0.59800000000000009</v>
      </c>
      <c r="O104" s="20">
        <v>4</v>
      </c>
      <c r="P104" s="21">
        <v>3</v>
      </c>
      <c r="Q104" s="21">
        <v>0</v>
      </c>
      <c r="R104" s="22">
        <v>3</v>
      </c>
      <c r="S104" s="22">
        <v>0</v>
      </c>
      <c r="T104" s="20">
        <v>0</v>
      </c>
      <c r="U104" s="20">
        <v>0</v>
      </c>
      <c r="V104" s="20">
        <v>1</v>
      </c>
      <c r="W104" s="62">
        <f>IFERROR(CalcRC27(F104,G104,K104,O104,P104,Q104,R104,S104,T104,U104,V104),"-")</f>
        <v>2.3157467532467519</v>
      </c>
      <c r="X104" s="13" t="s">
        <v>310</v>
      </c>
    </row>
    <row r="105" spans="2:24" ht="13.8" x14ac:dyDescent="0.2">
      <c r="B105" s="8">
        <f t="shared" si="8"/>
        <v>120</v>
      </c>
      <c r="C105" s="10">
        <v>120</v>
      </c>
      <c r="D105" s="23" t="s">
        <v>999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1014</v>
      </c>
    </row>
    <row r="106" spans="2:24" ht="13.8" x14ac:dyDescent="0.2">
      <c r="B106" s="8">
        <f t="shared" si="8"/>
        <v>121</v>
      </c>
      <c r="C106" s="10">
        <v>121</v>
      </c>
      <c r="D106" s="13" t="s">
        <v>892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903</v>
      </c>
    </row>
    <row r="107" spans="2:24" ht="13.8" x14ac:dyDescent="0.2">
      <c r="B107" s="8">
        <f t="shared" si="8"/>
        <v>122</v>
      </c>
      <c r="C107" s="10">
        <v>122</v>
      </c>
      <c r="D107" s="13" t="s">
        <v>669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679</v>
      </c>
    </row>
    <row r="108" spans="2:24" ht="13.8" x14ac:dyDescent="0.2">
      <c r="B108" s="8">
        <f t="shared" si="8"/>
        <v>123</v>
      </c>
      <c r="C108" s="10">
        <v>123</v>
      </c>
      <c r="D108" s="13" t="s">
        <v>1414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8"/>
        <v>124</v>
      </c>
      <c r="C109" s="10">
        <v>124</v>
      </c>
      <c r="D109" s="13" t="s">
        <v>1000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1015</v>
      </c>
    </row>
    <row r="110" spans="2:24" ht="13.8" x14ac:dyDescent="0.2">
      <c r="B110" s="8">
        <f t="shared" si="8"/>
        <v>125</v>
      </c>
      <c r="C110" s="10">
        <v>125</v>
      </c>
      <c r="D110" s="13" t="s">
        <v>893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904</v>
      </c>
    </row>
    <row r="111" spans="2:24" ht="13.8" x14ac:dyDescent="0.2">
      <c r="B111" s="8">
        <f t="shared" si="8"/>
        <v>126</v>
      </c>
      <c r="C111" s="10">
        <v>126</v>
      </c>
      <c r="D111" s="13" t="s">
        <v>671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680</v>
      </c>
    </row>
    <row r="112" spans="2:24" ht="13.8" x14ac:dyDescent="0.2">
      <c r="B112" s="8">
        <f t="shared" si="8"/>
        <v>127</v>
      </c>
      <c r="C112" s="10">
        <v>127</v>
      </c>
      <c r="D112" s="13" t="s">
        <v>650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681</v>
      </c>
    </row>
    <row r="113" spans="2:24" ht="13.8" x14ac:dyDescent="0.2">
      <c r="B113" s="8">
        <f t="shared" si="8"/>
        <v>128</v>
      </c>
      <c r="C113" s="10">
        <v>128</v>
      </c>
      <c r="D113" s="13" t="s">
        <v>1001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1016</v>
      </c>
    </row>
    <row r="114" spans="2:24" ht="13.8" x14ac:dyDescent="0.2">
      <c r="B114" s="8">
        <f t="shared" si="8"/>
        <v>129</v>
      </c>
      <c r="C114" s="10">
        <v>129</v>
      </c>
      <c r="D114" s="9" t="s">
        <v>1979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1980</v>
      </c>
    </row>
    <row r="115" spans="2:24" ht="13.8" x14ac:dyDescent="0.2">
      <c r="B115" s="8">
        <f t="shared" si="8"/>
        <v>130</v>
      </c>
      <c r="C115" s="10">
        <v>130</v>
      </c>
      <c r="D115" s="9" t="s">
        <v>2127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1981</v>
      </c>
    </row>
    <row r="116" spans="2:24" ht="13.8" x14ac:dyDescent="0.2">
      <c r="B116" s="8">
        <f t="shared" si="8"/>
        <v>131</v>
      </c>
      <c r="C116" s="10">
        <v>131</v>
      </c>
      <c r="D116" s="9" t="s">
        <v>2128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1982</v>
      </c>
    </row>
    <row r="117" spans="2:24" ht="13.8" x14ac:dyDescent="0.2">
      <c r="B117" s="8" t="str">
        <f t="shared" si="8"/>
        <v/>
      </c>
      <c r="C117" s="10"/>
      <c r="D117" s="8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8"/>
        <v/>
      </c>
      <c r="C118" s="10"/>
      <c r="D118" s="8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8"/>
        <v/>
      </c>
      <c r="C119" s="10"/>
      <c r="D119" s="8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8"/>
        <v/>
      </c>
      <c r="C120" s="10"/>
      <c r="D120" s="8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8"/>
        <v/>
      </c>
      <c r="C121" s="10"/>
      <c r="D121" s="8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8"/>
        <v/>
      </c>
      <c r="C122" s="10"/>
      <c r="D122" s="8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8"/>
        <v/>
      </c>
      <c r="C123" s="10"/>
      <c r="D123" s="8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8"/>
        <v/>
      </c>
      <c r="C124" s="10"/>
      <c r="D124" s="8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19" activePane="bottomRight" state="frozen"/>
      <selection pane="topRight" activeCell="E1" sqref="E1"/>
      <selection pane="bottomLeft" activeCell="A4" sqref="A4"/>
      <selection pane="bottomRight" activeCell="X42" sqref="X4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0.25105485232067509</v>
      </c>
      <c r="F2" s="5">
        <f t="shared" ref="F2:L2" si="0">SUM(F4:F104)</f>
        <v>474</v>
      </c>
      <c r="G2" s="5">
        <f t="shared" si="0"/>
        <v>119</v>
      </c>
      <c r="H2" s="5">
        <f t="shared" si="0"/>
        <v>16</v>
      </c>
      <c r="I2" s="5">
        <f t="shared" si="0"/>
        <v>1</v>
      </c>
      <c r="J2" s="6">
        <f t="shared" si="0"/>
        <v>8</v>
      </c>
      <c r="K2" s="12">
        <f t="shared" ref="K2:K63" si="1">((G2-H2-I2-J2)+(H2*2)+(I2*3)+(J2*4))</f>
        <v>161</v>
      </c>
      <c r="L2" s="7">
        <f t="shared" si="0"/>
        <v>46</v>
      </c>
      <c r="M2" s="11">
        <f t="shared" ref="M2:M4" si="2">IFERROR(IF((G2+P2+Q2)/(F2+P2+Q2+S2)=1,"1.00",(G2+P2+Q2)/(F2+P2+Q2+S2)),0)</f>
        <v>0.31417624521072796</v>
      </c>
      <c r="N2" s="11">
        <f>IF(F2=0,IF(M2="1.00","1.000",M2),SUM(ROUND(K2/F2,3),M2))</f>
        <v>0.65417624521072804</v>
      </c>
      <c r="O2" s="5">
        <f>SUM(O4:O104)</f>
        <v>103</v>
      </c>
      <c r="P2" s="5">
        <f>SUM(P4:P104)</f>
        <v>40</v>
      </c>
      <c r="Q2" s="5">
        <f>SUM(Q4:Q104)</f>
        <v>5</v>
      </c>
      <c r="R2" s="5">
        <f>SUM(R4:R104)</f>
        <v>12</v>
      </c>
      <c r="S2" s="5">
        <f>SUM(S4:S104)</f>
        <v>3</v>
      </c>
      <c r="T2" s="5">
        <f t="shared" ref="T2:V2" si="3">SUM(T4:T104)</f>
        <v>6</v>
      </c>
      <c r="U2" s="5">
        <f t="shared" si="3"/>
        <v>1</v>
      </c>
      <c r="V2" s="5">
        <f t="shared" si="3"/>
        <v>8</v>
      </c>
      <c r="W2" s="20">
        <f>IFERROR(CalcRC27(F2,G2,K2,O2,P2,Q2,R2,S2,T2,U2,V2),"-")</f>
        <v>3.7394213038451252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1022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1023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1024</v>
      </c>
      <c r="E7" s="11">
        <f t="shared" si="5"/>
        <v>0.23076923076923078</v>
      </c>
      <c r="F7" s="5">
        <v>52</v>
      </c>
      <c r="G7" s="5">
        <v>12</v>
      </c>
      <c r="H7" s="5">
        <v>1</v>
      </c>
      <c r="I7" s="5">
        <v>1</v>
      </c>
      <c r="J7" s="6">
        <v>0</v>
      </c>
      <c r="K7" s="12">
        <v>14</v>
      </c>
      <c r="L7" s="7">
        <v>5</v>
      </c>
      <c r="M7" s="11">
        <f t="shared" si="6"/>
        <v>0.2807017543859649</v>
      </c>
      <c r="N7" s="11">
        <f t="shared" si="7"/>
        <v>0.54970175438596491</v>
      </c>
      <c r="O7" s="20">
        <v>7</v>
      </c>
      <c r="P7" s="21">
        <v>4</v>
      </c>
      <c r="Q7" s="21">
        <v>0</v>
      </c>
      <c r="R7" s="22">
        <v>1</v>
      </c>
      <c r="S7" s="22">
        <v>1</v>
      </c>
      <c r="T7" s="20">
        <v>1</v>
      </c>
      <c r="U7" s="20">
        <v>0</v>
      </c>
      <c r="V7" s="20">
        <v>0</v>
      </c>
      <c r="W7" s="62">
        <f>IFERROR(CalcRC27(F7,G7,K7,O7,P7,Q7,R7,S7,T7,U7,V7),"-")</f>
        <v>2.8594285714285688</v>
      </c>
      <c r="X7" s="13" t="s">
        <v>1025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1026</v>
      </c>
      <c r="E10" s="11">
        <f t="shared" si="5"/>
        <v>0.30188679245283018</v>
      </c>
      <c r="F10" s="5">
        <v>53</v>
      </c>
      <c r="G10" s="5">
        <v>16</v>
      </c>
      <c r="H10" s="5">
        <v>0</v>
      </c>
      <c r="I10" s="5">
        <v>0</v>
      </c>
      <c r="J10" s="6">
        <v>0</v>
      </c>
      <c r="K10" s="12">
        <v>15</v>
      </c>
      <c r="L10" s="7">
        <v>2</v>
      </c>
      <c r="M10" s="11">
        <f t="shared" si="6"/>
        <v>0.36206896551724138</v>
      </c>
      <c r="N10" s="11">
        <f t="shared" si="7"/>
        <v>0.64506896551724136</v>
      </c>
      <c r="O10" s="20">
        <v>10</v>
      </c>
      <c r="P10" s="21">
        <v>5</v>
      </c>
      <c r="Q10" s="21">
        <v>0</v>
      </c>
      <c r="R10" s="22">
        <v>5</v>
      </c>
      <c r="S10" s="22">
        <v>0</v>
      </c>
      <c r="T10" s="20">
        <v>2</v>
      </c>
      <c r="U10" s="20">
        <v>0</v>
      </c>
      <c r="V10" s="20">
        <v>0</v>
      </c>
      <c r="W10" s="62">
        <f>IFERROR(CalcRC27(F10,G10,K10,O10,P10,Q10,R10,S10,T10,U10,V10),"-")</f>
        <v>4.3410952380952361</v>
      </c>
      <c r="X10" s="13" t="s">
        <v>2092</v>
      </c>
    </row>
    <row r="11" spans="2:24" ht="13.8" x14ac:dyDescent="0.2">
      <c r="B11" s="8">
        <f t="shared" si="4"/>
        <v>6</v>
      </c>
      <c r="C11" s="10">
        <v>6</v>
      </c>
      <c r="D11" s="13" t="s">
        <v>1688</v>
      </c>
      <c r="E11" s="11">
        <f t="shared" si="5"/>
        <v>0.26530612244897961</v>
      </c>
      <c r="F11" s="5">
        <v>49</v>
      </c>
      <c r="G11" s="5">
        <v>13</v>
      </c>
      <c r="H11" s="5">
        <v>0</v>
      </c>
      <c r="I11" s="5">
        <v>0</v>
      </c>
      <c r="J11" s="6">
        <v>2</v>
      </c>
      <c r="K11" s="12">
        <v>19</v>
      </c>
      <c r="L11" s="7">
        <v>5</v>
      </c>
      <c r="M11" s="11">
        <f t="shared" si="6"/>
        <v>0.35714285714285715</v>
      </c>
      <c r="N11" s="11">
        <f t="shared" si="7"/>
        <v>0.74514285714285711</v>
      </c>
      <c r="O11" s="20">
        <v>10</v>
      </c>
      <c r="P11" s="21">
        <v>6</v>
      </c>
      <c r="Q11" s="21">
        <v>1</v>
      </c>
      <c r="R11" s="22">
        <v>0</v>
      </c>
      <c r="S11" s="22">
        <v>0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4.6929248120300731</v>
      </c>
      <c r="X11" s="13" t="s">
        <v>1027</v>
      </c>
    </row>
    <row r="12" spans="2:24" ht="13.8" x14ac:dyDescent="0.2">
      <c r="B12" s="8">
        <f t="shared" si="4"/>
        <v>7</v>
      </c>
      <c r="C12" s="10">
        <v>7</v>
      </c>
      <c r="D12" s="13" t="s">
        <v>1028</v>
      </c>
      <c r="E12" s="11">
        <f t="shared" si="5"/>
        <v>0.125</v>
      </c>
      <c r="F12" s="5">
        <v>8</v>
      </c>
      <c r="G12" s="5">
        <v>1</v>
      </c>
      <c r="H12" s="5">
        <v>0</v>
      </c>
      <c r="I12" s="5">
        <v>0</v>
      </c>
      <c r="J12" s="6">
        <v>0</v>
      </c>
      <c r="K12" s="12">
        <v>1</v>
      </c>
      <c r="L12" s="7">
        <v>0</v>
      </c>
      <c r="M12" s="11">
        <f t="shared" si="6"/>
        <v>0.22222222222222221</v>
      </c>
      <c r="N12" s="11">
        <f t="shared" si="7"/>
        <v>0.34722222222222221</v>
      </c>
      <c r="O12" s="20">
        <v>2</v>
      </c>
      <c r="P12" s="21">
        <v>1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0.44857142857142668</v>
      </c>
      <c r="X12" s="13" t="s">
        <v>1029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>
        <f t="shared" si="5"/>
        <v>0.23684210526315788</v>
      </c>
      <c r="F13" s="5">
        <v>38</v>
      </c>
      <c r="G13" s="5">
        <v>9</v>
      </c>
      <c r="H13" s="5">
        <v>0</v>
      </c>
      <c r="I13" s="5">
        <v>0</v>
      </c>
      <c r="J13" s="6">
        <v>0</v>
      </c>
      <c r="K13" s="12">
        <v>8</v>
      </c>
      <c r="L13" s="7">
        <v>2</v>
      </c>
      <c r="M13" s="11">
        <f t="shared" si="6"/>
        <v>0.29268292682926828</v>
      </c>
      <c r="N13" s="11">
        <f t="shared" si="7"/>
        <v>0.5036829268292683</v>
      </c>
      <c r="O13" s="20">
        <v>3</v>
      </c>
      <c r="P13" s="21">
        <v>3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1</v>
      </c>
      <c r="W13" s="62">
        <f>IFERROR(CalcRC27(F13,G13,K13,O13,P13,Q13,R13,S13,T13,U13,V13),"-")</f>
        <v>1.9287463414634125</v>
      </c>
      <c r="X13" s="13" t="s">
        <v>1030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1031</v>
      </c>
    </row>
    <row r="17" spans="2:24" ht="13.8" x14ac:dyDescent="0.2">
      <c r="B17" s="8">
        <f t="shared" si="4"/>
        <v>12</v>
      </c>
      <c r="C17" s="10">
        <v>12</v>
      </c>
      <c r="D17" s="13" t="s">
        <v>1032</v>
      </c>
      <c r="E17" s="11">
        <f t="shared" si="5"/>
        <v>0.26829268292682928</v>
      </c>
      <c r="F17" s="5">
        <v>41</v>
      </c>
      <c r="G17" s="5">
        <v>11</v>
      </c>
      <c r="H17" s="5">
        <v>3</v>
      </c>
      <c r="I17" s="5">
        <v>0</v>
      </c>
      <c r="J17" s="6">
        <v>2</v>
      </c>
      <c r="K17" s="12">
        <v>16</v>
      </c>
      <c r="L17" s="7">
        <v>6</v>
      </c>
      <c r="M17" s="11">
        <f t="shared" si="6"/>
        <v>0.30232558139534882</v>
      </c>
      <c r="N17" s="11">
        <f t="shared" si="7"/>
        <v>0.69232558139534883</v>
      </c>
      <c r="O17" s="20">
        <v>11</v>
      </c>
      <c r="P17" s="21">
        <v>2</v>
      </c>
      <c r="Q17" s="21">
        <v>0</v>
      </c>
      <c r="R17" s="22">
        <v>0</v>
      </c>
      <c r="S17" s="22">
        <v>0</v>
      </c>
      <c r="T17" s="20">
        <v>0</v>
      </c>
      <c r="U17" s="20">
        <v>1</v>
      </c>
      <c r="V17" s="20">
        <v>0</v>
      </c>
      <c r="W17" s="62">
        <f>IFERROR(CalcRC27(F17,G17,K17,O17,P17,Q17,R17,S17,T17,U17,V17),"-")</f>
        <v>3.9362070517629388</v>
      </c>
      <c r="X17" s="13" t="s">
        <v>1033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>
        <f t="shared" si="5"/>
        <v>0.14285714285714285</v>
      </c>
      <c r="F18" s="5">
        <v>7</v>
      </c>
      <c r="G18" s="5">
        <v>1</v>
      </c>
      <c r="H18" s="5">
        <v>0</v>
      </c>
      <c r="I18" s="5">
        <v>0</v>
      </c>
      <c r="J18" s="6">
        <v>1</v>
      </c>
      <c r="K18" s="12">
        <v>4</v>
      </c>
      <c r="L18" s="7">
        <v>2</v>
      </c>
      <c r="M18" s="11">
        <f t="shared" si="6"/>
        <v>0.25</v>
      </c>
      <c r="N18" s="11">
        <f t="shared" si="7"/>
        <v>0.82099999999999995</v>
      </c>
      <c r="O18" s="20">
        <v>2</v>
      </c>
      <c r="P18" s="21">
        <v>1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1</v>
      </c>
      <c r="W18" s="62">
        <f>IFERROR(CalcRC27(F18,G18,K18,O18,P18,Q18,R18,S18,T18,U18,V18),"-")</f>
        <v>2.7449999999999983</v>
      </c>
      <c r="X18" s="13" t="s">
        <v>1034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1035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1035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1133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1036</v>
      </c>
    </row>
    <row r="23" spans="2:24" ht="13.8" x14ac:dyDescent="0.2">
      <c r="B23" s="8">
        <f t="shared" si="4"/>
        <v>18</v>
      </c>
      <c r="C23" s="10">
        <v>18</v>
      </c>
      <c r="D23" s="13" t="s">
        <v>1714</v>
      </c>
      <c r="E23" s="11">
        <f t="shared" si="5"/>
        <v>0</v>
      </c>
      <c r="F23" s="5">
        <v>4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0.2</v>
      </c>
      <c r="N23" s="11">
        <f t="shared" si="7"/>
        <v>0.2</v>
      </c>
      <c r="O23" s="20">
        <v>3</v>
      </c>
      <c r="P23" s="21">
        <v>1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-0.79350000000000176</v>
      </c>
      <c r="X23" s="13" t="s">
        <v>1037</v>
      </c>
    </row>
    <row r="24" spans="2:24" ht="13.8" x14ac:dyDescent="0.2">
      <c r="B24" s="8">
        <f t="shared" si="4"/>
        <v>19</v>
      </c>
      <c r="C24" s="10">
        <v>19</v>
      </c>
      <c r="D24" s="13" t="s">
        <v>1983</v>
      </c>
      <c r="E24" s="11">
        <f t="shared" si="5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1</v>
      </c>
      <c r="M24" s="11">
        <f t="shared" si="6"/>
        <v>0.2</v>
      </c>
      <c r="N24" s="11">
        <f t="shared" si="7"/>
        <v>0.4</v>
      </c>
      <c r="O24" s="20">
        <v>1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0.86999999999999822</v>
      </c>
      <c r="X24" s="13" t="s">
        <v>2096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>
        <f t="shared" si="5"/>
        <v>0</v>
      </c>
      <c r="F25" s="5">
        <v>5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2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-2.7864000000000013</v>
      </c>
      <c r="X25" s="13" t="s">
        <v>1038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1515</v>
      </c>
      <c r="E27" s="11">
        <f t="shared" si="5"/>
        <v>0.1</v>
      </c>
      <c r="F27" s="5">
        <v>10</v>
      </c>
      <c r="G27" s="5">
        <v>1</v>
      </c>
      <c r="H27" s="5">
        <v>0</v>
      </c>
      <c r="I27" s="5">
        <v>0</v>
      </c>
      <c r="J27" s="6">
        <v>0</v>
      </c>
      <c r="K27" s="12">
        <v>1</v>
      </c>
      <c r="L27" s="7">
        <v>1</v>
      </c>
      <c r="M27" s="11">
        <f t="shared" si="6"/>
        <v>0.18181818181818182</v>
      </c>
      <c r="N27" s="11">
        <f t="shared" si="7"/>
        <v>0.28181818181818186</v>
      </c>
      <c r="O27" s="20">
        <v>2</v>
      </c>
      <c r="P27" s="21">
        <v>0</v>
      </c>
      <c r="Q27" s="21">
        <v>1</v>
      </c>
      <c r="R27" s="22">
        <v>2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1.9552447552446006E-2</v>
      </c>
      <c r="X27" s="13" t="s">
        <v>1039</v>
      </c>
    </row>
    <row r="28" spans="2:24" ht="13.8" x14ac:dyDescent="0.2">
      <c r="B28" s="8">
        <f t="shared" si="4"/>
        <v>23</v>
      </c>
      <c r="C28" s="10">
        <v>23</v>
      </c>
      <c r="D28" s="13" t="s">
        <v>1953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1954</v>
      </c>
    </row>
    <row r="29" spans="2:24" ht="13.8" x14ac:dyDescent="0.2">
      <c r="B29" s="8">
        <f t="shared" si="4"/>
        <v>24</v>
      </c>
      <c r="C29" s="10">
        <v>24</v>
      </c>
      <c r="D29" s="13" t="s">
        <v>1500</v>
      </c>
      <c r="E29" s="11">
        <f t="shared" si="5"/>
        <v>0.26315789473684209</v>
      </c>
      <c r="F29" s="5">
        <v>38</v>
      </c>
      <c r="G29" s="5">
        <v>10</v>
      </c>
      <c r="H29" s="5">
        <v>2</v>
      </c>
      <c r="I29" s="5">
        <v>0</v>
      </c>
      <c r="J29" s="6">
        <v>0</v>
      </c>
      <c r="K29" s="12">
        <v>12</v>
      </c>
      <c r="L29" s="7">
        <v>2</v>
      </c>
      <c r="M29" s="11">
        <f t="shared" si="6"/>
        <v>0.28205128205128205</v>
      </c>
      <c r="N29" s="11">
        <f t="shared" si="7"/>
        <v>0.598051282051282</v>
      </c>
      <c r="O29" s="20">
        <v>5</v>
      </c>
      <c r="P29" s="21">
        <v>1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2</v>
      </c>
      <c r="W29" s="62">
        <f>IFERROR(CalcRC27(F29,G29,K29,O29,P29,Q29,R29,S29,T29,U29,V29),"-")</f>
        <v>2.3758615384615367</v>
      </c>
      <c r="X29" s="13" t="s">
        <v>1040</v>
      </c>
    </row>
    <row r="30" spans="2:24" ht="13.8" x14ac:dyDescent="0.2">
      <c r="B30" s="8">
        <f t="shared" si="4"/>
        <v>25</v>
      </c>
      <c r="C30" s="10">
        <v>25</v>
      </c>
      <c r="D30" s="13" t="s">
        <v>1041</v>
      </c>
      <c r="E30" s="11">
        <f t="shared" si="5"/>
        <v>0.3888888888888889</v>
      </c>
      <c r="F30" s="5">
        <v>54</v>
      </c>
      <c r="G30" s="5">
        <v>21</v>
      </c>
      <c r="H30" s="5">
        <v>7</v>
      </c>
      <c r="I30" s="5">
        <v>0</v>
      </c>
      <c r="J30" s="6">
        <v>3</v>
      </c>
      <c r="K30" s="12">
        <v>37</v>
      </c>
      <c r="L30" s="7">
        <v>12</v>
      </c>
      <c r="M30" s="11">
        <f t="shared" si="6"/>
        <v>0.46774193548387094</v>
      </c>
      <c r="N30" s="11">
        <f t="shared" si="7"/>
        <v>1.152741935483871</v>
      </c>
      <c r="O30" s="20">
        <v>12</v>
      </c>
      <c r="P30" s="21">
        <v>7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1</v>
      </c>
      <c r="W30" s="62">
        <f>IFERROR(CalcRC27(F30,G30,K30,O30,P30,Q30,R30,S30,T30,U30,V30),"-")</f>
        <v>12.230686907020869</v>
      </c>
      <c r="X30" s="13" t="s">
        <v>1042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1043</v>
      </c>
    </row>
    <row r="32" spans="2:24" ht="13.8" x14ac:dyDescent="0.2">
      <c r="B32" s="8">
        <f t="shared" si="4"/>
        <v>27</v>
      </c>
      <c r="C32" s="10">
        <v>27</v>
      </c>
      <c r="D32" s="13" t="s">
        <v>1044</v>
      </c>
      <c r="E32" s="11">
        <f t="shared" si="5"/>
        <v>0.5</v>
      </c>
      <c r="F32" s="5">
        <v>6</v>
      </c>
      <c r="G32" s="5">
        <v>3</v>
      </c>
      <c r="H32" s="5">
        <v>0</v>
      </c>
      <c r="I32" s="5">
        <v>0</v>
      </c>
      <c r="J32" s="6">
        <v>0</v>
      </c>
      <c r="K32" s="12">
        <v>3</v>
      </c>
      <c r="L32" s="7">
        <v>0</v>
      </c>
      <c r="M32" s="11">
        <f t="shared" si="6"/>
        <v>0.5714285714285714</v>
      </c>
      <c r="N32" s="11">
        <f t="shared" si="7"/>
        <v>1.0714285714285714</v>
      </c>
      <c r="O32" s="20">
        <v>2</v>
      </c>
      <c r="P32" s="21">
        <v>0</v>
      </c>
      <c r="Q32" s="21">
        <v>1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15.208571428571423</v>
      </c>
      <c r="X32" s="13" t="s">
        <v>1045</v>
      </c>
    </row>
    <row r="33" spans="2:24" ht="13.8" x14ac:dyDescent="0.2">
      <c r="B33" s="8">
        <f t="shared" si="4"/>
        <v>28</v>
      </c>
      <c r="C33" s="10">
        <v>28</v>
      </c>
      <c r="D33" s="13" t="s">
        <v>1046</v>
      </c>
      <c r="E33" s="11">
        <f t="shared" si="5"/>
        <v>0.16666666666666666</v>
      </c>
      <c r="F33" s="5">
        <v>6</v>
      </c>
      <c r="G33" s="5">
        <v>1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0.16666666666666666</v>
      </c>
      <c r="N33" s="11">
        <f t="shared" si="7"/>
        <v>0.16666666666666666</v>
      </c>
      <c r="O33" s="20">
        <v>1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-1.4862000000000017</v>
      </c>
      <c r="X33" s="13" t="s">
        <v>2097</v>
      </c>
    </row>
    <row r="34" spans="2:24" ht="13.8" x14ac:dyDescent="0.2">
      <c r="B34" s="8">
        <f t="shared" si="4"/>
        <v>29</v>
      </c>
      <c r="C34" s="10">
        <v>29</v>
      </c>
      <c r="D34" s="13" t="s">
        <v>1047</v>
      </c>
      <c r="E34" s="11">
        <f t="shared" si="5"/>
        <v>0</v>
      </c>
      <c r="F34" s="5">
        <v>2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1</v>
      </c>
      <c r="P34" s="21">
        <v>0</v>
      </c>
      <c r="Q34" s="21">
        <v>0</v>
      </c>
      <c r="R34" s="22">
        <v>1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-1.5000000000000013</v>
      </c>
      <c r="X34" s="13" t="s">
        <v>1868</v>
      </c>
    </row>
    <row r="35" spans="2:24" ht="13.8" x14ac:dyDescent="0.2">
      <c r="B35" s="8">
        <f t="shared" si="4"/>
        <v>30</v>
      </c>
      <c r="C35" s="10">
        <v>30</v>
      </c>
      <c r="D35" s="13" t="s">
        <v>2028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1210</v>
      </c>
    </row>
    <row r="36" spans="2:24" ht="13.8" x14ac:dyDescent="0.2">
      <c r="B36" s="8">
        <f t="shared" si="4"/>
        <v>31</v>
      </c>
      <c r="C36" s="10">
        <v>31</v>
      </c>
      <c r="D36" s="13" t="s">
        <v>1048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1049</v>
      </c>
    </row>
    <row r="37" spans="2:24" ht="13.8" x14ac:dyDescent="0.2">
      <c r="B37" s="8">
        <f t="shared" si="4"/>
        <v>32</v>
      </c>
      <c r="C37" s="10">
        <v>32</v>
      </c>
      <c r="D37" s="13" t="s">
        <v>1246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1050</v>
      </c>
    </row>
    <row r="38" spans="2:24" ht="13.8" x14ac:dyDescent="0.2">
      <c r="B38" s="8">
        <f t="shared" si="4"/>
        <v>33</v>
      </c>
      <c r="C38" s="10">
        <v>33</v>
      </c>
      <c r="D38" s="13" t="s">
        <v>1173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1869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1051</v>
      </c>
      <c r="E40" s="11">
        <f t="shared" si="5"/>
        <v>0</v>
      </c>
      <c r="F40" s="5">
        <v>8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0.27272727272727271</v>
      </c>
      <c r="N40" s="11">
        <f t="shared" si="7"/>
        <v>0.27272727272727271</v>
      </c>
      <c r="O40" s="20">
        <v>3</v>
      </c>
      <c r="P40" s="21">
        <v>3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0.35406818181817995</v>
      </c>
      <c r="X40" s="13" t="s">
        <v>2093</v>
      </c>
    </row>
    <row r="41" spans="2:24" ht="13.8" x14ac:dyDescent="0.2">
      <c r="B41" s="8">
        <f t="shared" si="4"/>
        <v>36</v>
      </c>
      <c r="C41" s="10">
        <v>36</v>
      </c>
      <c r="D41" s="13" t="s">
        <v>1052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572</v>
      </c>
    </row>
    <row r="42" spans="2:24" ht="13.8" x14ac:dyDescent="0.2">
      <c r="B42" s="8">
        <f t="shared" si="4"/>
        <v>37</v>
      </c>
      <c r="C42" s="10">
        <v>37</v>
      </c>
      <c r="D42" s="13" t="s">
        <v>133</v>
      </c>
      <c r="E42" s="11">
        <f t="shared" si="5"/>
        <v>0</v>
      </c>
      <c r="F42" s="5">
        <v>1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1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-2.9160000000000013</v>
      </c>
      <c r="X42" s="2" t="s">
        <v>353</v>
      </c>
    </row>
    <row r="43" spans="2:24" ht="13.8" x14ac:dyDescent="0.2">
      <c r="B43" s="8">
        <f t="shared" si="4"/>
        <v>38</v>
      </c>
      <c r="C43" s="10">
        <v>38</v>
      </c>
      <c r="D43" s="13" t="s">
        <v>1414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1053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1961</v>
      </c>
      <c r="E45" s="11">
        <f t="shared" si="5"/>
        <v>0</v>
      </c>
      <c r="F45" s="5">
        <v>1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>
        <f>IFERROR(CalcRC27(F45,G45,K45,O45,P45,Q45,R45,S45,T45,U45,V45),"-")</f>
        <v>-2.7000000000000011</v>
      </c>
      <c r="X45" s="13" t="s">
        <v>1054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1055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>
        <f t="shared" si="5"/>
        <v>0.25</v>
      </c>
      <c r="F48" s="5">
        <v>4</v>
      </c>
      <c r="G48" s="5">
        <v>1</v>
      </c>
      <c r="H48" s="5">
        <v>0</v>
      </c>
      <c r="I48" s="5">
        <v>0</v>
      </c>
      <c r="J48" s="6">
        <v>0</v>
      </c>
      <c r="K48" s="12">
        <v>1</v>
      </c>
      <c r="L48" s="7">
        <v>0</v>
      </c>
      <c r="M48" s="11">
        <f t="shared" si="6"/>
        <v>0.25</v>
      </c>
      <c r="N48" s="11">
        <f t="shared" si="7"/>
        <v>0.5</v>
      </c>
      <c r="O48" s="20">
        <v>2</v>
      </c>
      <c r="P48" s="21">
        <v>0</v>
      </c>
      <c r="Q48" s="21">
        <v>0</v>
      </c>
      <c r="R48" s="22">
        <v>0</v>
      </c>
      <c r="S48" s="22">
        <v>0</v>
      </c>
      <c r="T48" s="20">
        <v>1</v>
      </c>
      <c r="U48" s="20">
        <v>0</v>
      </c>
      <c r="V48" s="20">
        <v>0</v>
      </c>
      <c r="W48" s="62">
        <f>IFERROR(CalcRC27(F48,G48,K48,O48,P48,Q48,R48,S48,T48,U48,V48),"-")</f>
        <v>3.586999999999998</v>
      </c>
      <c r="X48" s="13" t="s">
        <v>1056</v>
      </c>
    </row>
    <row r="49" spans="2:24" ht="13.8" x14ac:dyDescent="0.2">
      <c r="B49" s="8">
        <f t="shared" si="4"/>
        <v>44</v>
      </c>
      <c r="C49" s="10">
        <v>44</v>
      </c>
      <c r="D49" s="13" t="s">
        <v>1271</v>
      </c>
      <c r="E49" s="11">
        <f t="shared" si="5"/>
        <v>0.26315789473684209</v>
      </c>
      <c r="F49" s="5">
        <v>38</v>
      </c>
      <c r="G49" s="5">
        <v>10</v>
      </c>
      <c r="H49" s="5">
        <v>2</v>
      </c>
      <c r="I49" s="5">
        <v>0</v>
      </c>
      <c r="J49" s="6">
        <v>0</v>
      </c>
      <c r="K49" s="12">
        <v>10</v>
      </c>
      <c r="L49" s="7">
        <v>3</v>
      </c>
      <c r="M49" s="11">
        <f t="shared" si="6"/>
        <v>0.29268292682926828</v>
      </c>
      <c r="N49" s="11">
        <f t="shared" si="7"/>
        <v>0.55568292682926823</v>
      </c>
      <c r="O49" s="20">
        <v>11</v>
      </c>
      <c r="P49" s="21">
        <v>2</v>
      </c>
      <c r="Q49" s="21">
        <v>0</v>
      </c>
      <c r="R49" s="22">
        <v>1</v>
      </c>
      <c r="S49" s="22">
        <v>1</v>
      </c>
      <c r="T49" s="20">
        <v>2</v>
      </c>
      <c r="U49" s="20">
        <v>0</v>
      </c>
      <c r="V49" s="20">
        <v>0</v>
      </c>
      <c r="W49" s="62">
        <f>IFERROR(CalcRC27(F49,G49,K49,O49,P49,Q49,R49,S49,T49,U49,V49),"-")</f>
        <v>3.1851999999999974</v>
      </c>
      <c r="X49" s="13" t="s">
        <v>2095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684</v>
      </c>
    </row>
    <row r="51" spans="2:24" ht="13.8" x14ac:dyDescent="0.2">
      <c r="B51" s="8">
        <f t="shared" si="4"/>
        <v>46</v>
      </c>
      <c r="C51" s="10">
        <v>46</v>
      </c>
      <c r="D51" s="13" t="s">
        <v>1057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1058</v>
      </c>
    </row>
    <row r="52" spans="2:24" ht="13.8" x14ac:dyDescent="0.2">
      <c r="B52" s="8">
        <f t="shared" si="4"/>
        <v>47</v>
      </c>
      <c r="C52" s="10">
        <v>47</v>
      </c>
      <c r="D52" s="13" t="s">
        <v>1059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1060</v>
      </c>
    </row>
    <row r="53" spans="2:24" ht="13.8" x14ac:dyDescent="0.2">
      <c r="B53" s="8">
        <f t="shared" si="4"/>
        <v>48</v>
      </c>
      <c r="C53" s="10">
        <v>48</v>
      </c>
      <c r="D53" s="13" t="s">
        <v>1061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1062</v>
      </c>
    </row>
    <row r="54" spans="2:24" ht="13.8" x14ac:dyDescent="0.2">
      <c r="B54" s="8">
        <f t="shared" si="4"/>
        <v>49</v>
      </c>
      <c r="C54" s="10">
        <v>49</v>
      </c>
      <c r="D54" s="13" t="s">
        <v>1063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1870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>
        <f t="shared" si="5"/>
        <v>0.31578947368421051</v>
      </c>
      <c r="F55" s="5">
        <v>19</v>
      </c>
      <c r="G55" s="5">
        <v>6</v>
      </c>
      <c r="H55" s="5">
        <v>1</v>
      </c>
      <c r="I55" s="5">
        <v>0</v>
      </c>
      <c r="J55" s="6">
        <v>0</v>
      </c>
      <c r="K55" s="12">
        <v>7</v>
      </c>
      <c r="L55" s="7">
        <v>2</v>
      </c>
      <c r="M55" s="11">
        <f t="shared" si="6"/>
        <v>0.38095238095238093</v>
      </c>
      <c r="N55" s="11">
        <f t="shared" si="7"/>
        <v>0.74895238095238093</v>
      </c>
      <c r="O55" s="20">
        <v>5</v>
      </c>
      <c r="P55" s="21">
        <v>1</v>
      </c>
      <c r="Q55" s="21">
        <v>1</v>
      </c>
      <c r="R55" s="22">
        <v>1</v>
      </c>
      <c r="S55" s="22">
        <v>0</v>
      </c>
      <c r="T55" s="20">
        <v>0</v>
      </c>
      <c r="U55" s="20">
        <v>0</v>
      </c>
      <c r="V55" s="20">
        <v>1</v>
      </c>
      <c r="W55" s="62">
        <f>IFERROR(CalcRC27(F55,G55,K55,O55,P55,Q55,R55,S55,T55,U55,V55),"-")</f>
        <v>4.5347272727272694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1064</v>
      </c>
      <c r="E56" s="11">
        <f t="shared" si="5"/>
        <v>0</v>
      </c>
      <c r="F56" s="5">
        <v>9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1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1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-2.3184000000000013</v>
      </c>
      <c r="X56" s="13" t="s">
        <v>1065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1066</v>
      </c>
    </row>
    <row r="59" spans="2:24" ht="13.8" x14ac:dyDescent="0.2">
      <c r="B59" s="8">
        <f t="shared" si="4"/>
        <v>54</v>
      </c>
      <c r="C59" s="10">
        <v>54</v>
      </c>
      <c r="D59" s="13" t="s">
        <v>1067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1068</v>
      </c>
    </row>
    <row r="60" spans="2:24" ht="13.8" x14ac:dyDescent="0.2">
      <c r="B60" s="8">
        <f t="shared" si="4"/>
        <v>55</v>
      </c>
      <c r="C60" s="10">
        <v>55</v>
      </c>
      <c r="D60" s="13" t="s">
        <v>1069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1070</v>
      </c>
    </row>
    <row r="61" spans="2:24" ht="13.8" x14ac:dyDescent="0.2">
      <c r="B61" s="8">
        <f t="shared" si="4"/>
        <v>56</v>
      </c>
      <c r="C61" s="10">
        <v>56</v>
      </c>
      <c r="D61" s="13" t="s">
        <v>1071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1072</v>
      </c>
    </row>
    <row r="62" spans="2:24" ht="13.8" x14ac:dyDescent="0.2">
      <c r="B62" s="8">
        <f t="shared" si="4"/>
        <v>57</v>
      </c>
      <c r="C62" s="10">
        <v>57</v>
      </c>
      <c r="D62" s="13" t="s">
        <v>1073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1074</v>
      </c>
    </row>
    <row r="63" spans="2:24" ht="13.8" x14ac:dyDescent="0.2">
      <c r="B63" s="8">
        <f t="shared" si="4"/>
        <v>58</v>
      </c>
      <c r="C63" s="10">
        <v>58</v>
      </c>
      <c r="D63" s="13" t="s">
        <v>1075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1076</v>
      </c>
    </row>
    <row r="64" spans="2:24" ht="13.8" x14ac:dyDescent="0.2">
      <c r="B64" s="8">
        <f t="shared" si="4"/>
        <v>59</v>
      </c>
      <c r="C64" s="10">
        <v>59</v>
      </c>
      <c r="D64" s="13" t="s">
        <v>1355</v>
      </c>
      <c r="E64" s="11">
        <f t="shared" si="5"/>
        <v>0.15384615384615385</v>
      </c>
      <c r="F64" s="5">
        <v>13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2</v>
      </c>
      <c r="M64" s="11">
        <f t="shared" si="6"/>
        <v>0.3125</v>
      </c>
      <c r="N64" s="11">
        <f t="shared" si="7"/>
        <v>0.46650000000000003</v>
      </c>
      <c r="O64" s="20">
        <v>5</v>
      </c>
      <c r="P64" s="21">
        <v>3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2.1092386363636342</v>
      </c>
      <c r="X64" s="13" t="s">
        <v>1077</v>
      </c>
    </row>
    <row r="65" spans="2:24" ht="13.8" x14ac:dyDescent="0.2">
      <c r="B65" s="8">
        <f t="shared" si="4"/>
        <v>60</v>
      </c>
      <c r="C65" s="10">
        <v>60</v>
      </c>
      <c r="D65" s="13" t="s">
        <v>1419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1078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1079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ref="K67:K129" si="8">((G67-H67-I67-J67)+(H67*2)+(I67*3)+(J67*4))</f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1080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1776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1081</v>
      </c>
    </row>
    <row r="70" spans="2:24" ht="13.8" x14ac:dyDescent="0.2">
      <c r="B70" s="8">
        <f t="shared" si="9"/>
        <v>65</v>
      </c>
      <c r="C70" s="10">
        <v>65</v>
      </c>
      <c r="D70" s="13" t="s">
        <v>1082</v>
      </c>
      <c r="E70" s="11">
        <f t="shared" si="10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-2.9160000000000013</v>
      </c>
      <c r="X70" s="13" t="s">
        <v>1871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1031</v>
      </c>
    </row>
    <row r="72" spans="2:24" ht="13.8" x14ac:dyDescent="0.2">
      <c r="B72" s="8">
        <f t="shared" si="9"/>
        <v>67</v>
      </c>
      <c r="C72" s="10">
        <v>67</v>
      </c>
      <c r="D72" s="13" t="s">
        <v>1083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1084</v>
      </c>
    </row>
    <row r="73" spans="2:24" ht="13.8" x14ac:dyDescent="0.2">
      <c r="B73" s="8">
        <f t="shared" si="9"/>
        <v>68</v>
      </c>
      <c r="C73" s="10">
        <v>68</v>
      </c>
      <c r="D73" s="13" t="s">
        <v>1085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1086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1997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1087</v>
      </c>
    </row>
    <row r="96" spans="2:24" ht="13.8" x14ac:dyDescent="0.2">
      <c r="B96" s="8">
        <f t="shared" si="9"/>
        <v>91</v>
      </c>
      <c r="C96" s="10">
        <v>91</v>
      </c>
      <c r="D96" s="13" t="s">
        <v>1088</v>
      </c>
      <c r="E96" s="11">
        <f t="shared" si="10"/>
        <v>0</v>
      </c>
      <c r="F96" s="5">
        <v>1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1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-2.9160000000000013</v>
      </c>
      <c r="X96" s="13" t="s">
        <v>1089</v>
      </c>
    </row>
    <row r="97" spans="2:24" ht="13.8" x14ac:dyDescent="0.2">
      <c r="B97" s="8">
        <f t="shared" si="9"/>
        <v>92</v>
      </c>
      <c r="C97" s="10">
        <v>92</v>
      </c>
      <c r="D97" s="13" t="s">
        <v>1090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1091</v>
      </c>
    </row>
    <row r="98" spans="2:24" ht="13.8" x14ac:dyDescent="0.2">
      <c r="B98" s="8">
        <f t="shared" si="9"/>
        <v>93</v>
      </c>
      <c r="C98" s="10">
        <v>93</v>
      </c>
      <c r="D98" s="13" t="s">
        <v>1092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1093</v>
      </c>
    </row>
    <row r="99" spans="2:24" ht="13.8" x14ac:dyDescent="0.2">
      <c r="B99" s="8">
        <f t="shared" si="9"/>
        <v>94</v>
      </c>
      <c r="C99" s="10">
        <v>94</v>
      </c>
      <c r="D99" s="13" t="s">
        <v>707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1094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1684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1095</v>
      </c>
    </row>
    <row r="102" spans="2:24" ht="13.8" x14ac:dyDescent="0.2">
      <c r="B102" s="8">
        <f t="shared" si="9"/>
        <v>97</v>
      </c>
      <c r="C102" s="10">
        <v>97</v>
      </c>
      <c r="D102" s="13" t="s">
        <v>1278</v>
      </c>
      <c r="E102" s="11">
        <f t="shared" si="10"/>
        <v>0</v>
      </c>
      <c r="F102" s="5">
        <v>1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>
        <f>IFERROR(CalcRC27(F102,G102,K102,O102,P102,Q102,R102,S102,T102,U102,V102),"-")</f>
        <v>-2.7000000000000011</v>
      </c>
      <c r="X102" s="13" t="s">
        <v>1096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1097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1872</v>
      </c>
    </row>
    <row r="105" spans="2:24" ht="13.8" x14ac:dyDescent="0.2">
      <c r="B105" s="8" t="str">
        <f t="shared" si="9"/>
        <v>001</v>
      </c>
      <c r="C105" s="10" t="s">
        <v>1181</v>
      </c>
      <c r="D105" s="23" t="s">
        <v>1395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2105</v>
      </c>
    </row>
    <row r="106" spans="2:24" ht="13.8" x14ac:dyDescent="0.2">
      <c r="B106" s="8" t="str">
        <f t="shared" si="9"/>
        <v>002</v>
      </c>
      <c r="C106" s="10" t="s">
        <v>1182</v>
      </c>
      <c r="D106" s="13" t="s">
        <v>1381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2094</v>
      </c>
    </row>
    <row r="107" spans="2:24" ht="13.8" x14ac:dyDescent="0.2">
      <c r="B107" s="8" t="str">
        <f t="shared" si="9"/>
        <v>003</v>
      </c>
      <c r="C107" s="10" t="s">
        <v>1183</v>
      </c>
      <c r="D107" s="13" t="s">
        <v>1246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2114</v>
      </c>
    </row>
    <row r="108" spans="2:24" ht="13.8" x14ac:dyDescent="0.2">
      <c r="B108" s="8" t="str">
        <f t="shared" si="9"/>
        <v>004</v>
      </c>
      <c r="C108" s="10" t="s">
        <v>1184</v>
      </c>
      <c r="D108" s="13" t="s">
        <v>1710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2106</v>
      </c>
    </row>
    <row r="109" spans="2:24" ht="13.8" x14ac:dyDescent="0.2">
      <c r="B109" s="8" t="str">
        <f t="shared" si="9"/>
        <v>005</v>
      </c>
      <c r="C109" s="10" t="s">
        <v>1185</v>
      </c>
      <c r="D109" s="13" t="s">
        <v>1098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2107</v>
      </c>
    </row>
    <row r="110" spans="2:24" ht="13.8" x14ac:dyDescent="0.2">
      <c r="B110" s="8" t="str">
        <f t="shared" si="9"/>
        <v>006</v>
      </c>
      <c r="C110" s="10" t="s">
        <v>2098</v>
      </c>
      <c r="D110" s="13" t="s">
        <v>694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1027</v>
      </c>
    </row>
    <row r="111" spans="2:24" ht="13.8" x14ac:dyDescent="0.2">
      <c r="B111" s="8" t="str">
        <f t="shared" si="9"/>
        <v>007</v>
      </c>
      <c r="C111" s="10" t="s">
        <v>1212</v>
      </c>
      <c r="D111" s="13" t="s">
        <v>1099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2108</v>
      </c>
    </row>
    <row r="112" spans="2:24" ht="13.8" x14ac:dyDescent="0.2">
      <c r="B112" s="8" t="str">
        <f t="shared" si="9"/>
        <v>008</v>
      </c>
      <c r="C112" s="10" t="s">
        <v>1186</v>
      </c>
      <c r="D112" s="13" t="s">
        <v>1100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2109</v>
      </c>
    </row>
    <row r="113" spans="2:24" ht="13.8" x14ac:dyDescent="0.2">
      <c r="B113" s="8" t="str">
        <f t="shared" si="9"/>
        <v>009</v>
      </c>
      <c r="C113" s="10" t="s">
        <v>2115</v>
      </c>
      <c r="D113" s="13" t="s">
        <v>695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2116</v>
      </c>
    </row>
    <row r="114" spans="2:24" ht="13.8" x14ac:dyDescent="0.2">
      <c r="B114" s="8" t="str">
        <f t="shared" si="9"/>
        <v>010</v>
      </c>
      <c r="C114" s="10" t="s">
        <v>2099</v>
      </c>
      <c r="D114" s="26" t="s">
        <v>696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2100</v>
      </c>
    </row>
    <row r="115" spans="2:24" ht="13.8" x14ac:dyDescent="0.2">
      <c r="B115" s="8" t="str">
        <f t="shared" si="9"/>
        <v>011</v>
      </c>
      <c r="C115" s="10" t="s">
        <v>1187</v>
      </c>
      <c r="D115" s="26" t="s">
        <v>697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687</v>
      </c>
    </row>
    <row r="116" spans="2:24" ht="13.8" x14ac:dyDescent="0.2">
      <c r="B116" s="8" t="str">
        <f t="shared" si="9"/>
        <v>012</v>
      </c>
      <c r="C116" s="10" t="s">
        <v>1188</v>
      </c>
      <c r="D116" s="26" t="s">
        <v>2029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1101</v>
      </c>
    </row>
    <row r="117" spans="2:24" ht="13.8" x14ac:dyDescent="0.2">
      <c r="B117" s="8" t="str">
        <f t="shared" si="9"/>
        <v>013</v>
      </c>
      <c r="C117" s="10" t="s">
        <v>1189</v>
      </c>
      <c r="D117" s="8" t="s">
        <v>683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1873</v>
      </c>
    </row>
    <row r="118" spans="2:24" ht="13.8" x14ac:dyDescent="0.2">
      <c r="B118" s="8" t="str">
        <f t="shared" si="9"/>
        <v>014</v>
      </c>
      <c r="C118" s="10" t="s">
        <v>1190</v>
      </c>
      <c r="D118" s="26" t="s">
        <v>698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1102</v>
      </c>
    </row>
    <row r="119" spans="2:24" ht="13.8" x14ac:dyDescent="0.2">
      <c r="B119" s="8" t="str">
        <f t="shared" si="9"/>
        <v>015</v>
      </c>
      <c r="C119" s="10" t="s">
        <v>1249</v>
      </c>
      <c r="D119" s="26" t="s">
        <v>699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688</v>
      </c>
    </row>
    <row r="120" spans="2:24" ht="13.8" x14ac:dyDescent="0.2">
      <c r="B120" s="8" t="str">
        <f t="shared" si="9"/>
        <v>016</v>
      </c>
      <c r="C120" s="10" t="s">
        <v>1213</v>
      </c>
      <c r="D120" s="26" t="s">
        <v>1103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1104</v>
      </c>
    </row>
    <row r="121" spans="2:24" ht="13.8" x14ac:dyDescent="0.2">
      <c r="B121" s="8" t="str">
        <f t="shared" si="9"/>
        <v>018</v>
      </c>
      <c r="C121" s="10" t="s">
        <v>1105</v>
      </c>
      <c r="D121" s="26" t="s">
        <v>701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689</v>
      </c>
    </row>
    <row r="122" spans="2:24" ht="13.8" x14ac:dyDescent="0.2">
      <c r="B122" s="8" t="str">
        <f t="shared" si="9"/>
        <v>019</v>
      </c>
      <c r="C122" s="10" t="s">
        <v>1250</v>
      </c>
      <c r="D122" s="26" t="s">
        <v>1106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1107</v>
      </c>
    </row>
    <row r="123" spans="2:24" ht="13.8" x14ac:dyDescent="0.2">
      <c r="B123" s="8" t="str">
        <f t="shared" si="9"/>
        <v>020</v>
      </c>
      <c r="C123" s="10" t="s">
        <v>1191</v>
      </c>
      <c r="D123" s="26" t="s">
        <v>2066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686</v>
      </c>
    </row>
    <row r="124" spans="2:24" ht="13.8" x14ac:dyDescent="0.2">
      <c r="B124" s="8" t="str">
        <f t="shared" si="9"/>
        <v>021</v>
      </c>
      <c r="C124" s="10" t="s">
        <v>1192</v>
      </c>
      <c r="D124" s="26" t="s">
        <v>1178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797</v>
      </c>
    </row>
    <row r="125" spans="2:24" ht="13.8" x14ac:dyDescent="0.2">
      <c r="B125" s="8" t="str">
        <f t="shared" si="9"/>
        <v>022</v>
      </c>
      <c r="C125" s="10" t="s">
        <v>1193</v>
      </c>
      <c r="D125" s="26" t="s">
        <v>702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2101</v>
      </c>
    </row>
    <row r="126" spans="2:24" ht="13.8" x14ac:dyDescent="0.2">
      <c r="B126" s="8" t="str">
        <f t="shared" si="9"/>
        <v>023</v>
      </c>
      <c r="C126" s="10" t="s">
        <v>1251</v>
      </c>
      <c r="D126" s="26" t="s">
        <v>1601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1108</v>
      </c>
    </row>
    <row r="127" spans="2:24" ht="13.8" x14ac:dyDescent="0.2">
      <c r="B127" s="8" t="str">
        <f t="shared" si="9"/>
        <v>024</v>
      </c>
      <c r="C127" s="10" t="s">
        <v>1253</v>
      </c>
      <c r="D127" s="26" t="s">
        <v>1477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2102</v>
      </c>
    </row>
    <row r="128" spans="2:24" ht="13.8" x14ac:dyDescent="0.2">
      <c r="B128" s="8" t="str">
        <f t="shared" si="9"/>
        <v>025</v>
      </c>
      <c r="C128" s="10" t="s">
        <v>1255</v>
      </c>
      <c r="D128" s="26" t="s">
        <v>703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2110</v>
      </c>
    </row>
    <row r="129" spans="2:24" ht="13.8" x14ac:dyDescent="0.2">
      <c r="B129" s="8" t="str">
        <f t="shared" si="9"/>
        <v>026</v>
      </c>
      <c r="C129" s="10" t="s">
        <v>1256</v>
      </c>
      <c r="D129" s="26" t="s">
        <v>1136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1109</v>
      </c>
    </row>
    <row r="130" spans="2:24" ht="13.8" x14ac:dyDescent="0.2">
      <c r="B130" s="8" t="str">
        <f t="shared" si="9"/>
        <v>027</v>
      </c>
      <c r="C130" s="10" t="s">
        <v>2111</v>
      </c>
      <c r="D130" s="26" t="s">
        <v>1110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2112</v>
      </c>
    </row>
    <row r="131" spans="2:24" ht="13.8" x14ac:dyDescent="0.2">
      <c r="B131" s="8" t="str">
        <f t="shared" si="9"/>
        <v>028</v>
      </c>
      <c r="C131" s="10" t="s">
        <v>1111</v>
      </c>
      <c r="D131" s="26" t="s">
        <v>704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ref="K131:K150" si="13">((G131-H131-I131-J131)+(H131*2)+(I131*3)+(J131*4))</f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690</v>
      </c>
    </row>
    <row r="132" spans="2:24" ht="13.8" x14ac:dyDescent="0.2">
      <c r="B132" s="8" t="str">
        <f t="shared" si="9"/>
        <v>030</v>
      </c>
      <c r="C132" s="10" t="s">
        <v>1112</v>
      </c>
      <c r="D132" s="26" t="s">
        <v>705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691</v>
      </c>
    </row>
    <row r="133" spans="2:24" ht="13.8" x14ac:dyDescent="0.2">
      <c r="B133" s="8" t="str">
        <f t="shared" ref="B133:B150" si="14">IF(C133="","",C133)</f>
        <v>031</v>
      </c>
      <c r="C133" s="10" t="s">
        <v>1769</v>
      </c>
      <c r="D133" s="26" t="s">
        <v>1113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2117</v>
      </c>
    </row>
    <row r="134" spans="2:24" ht="13.8" x14ac:dyDescent="0.2">
      <c r="B134" s="8" t="str">
        <f t="shared" si="14"/>
        <v>033</v>
      </c>
      <c r="C134" s="10" t="s">
        <v>2118</v>
      </c>
      <c r="D134" s="26" t="s">
        <v>1114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2119</v>
      </c>
    </row>
    <row r="135" spans="2:24" ht="13.8" x14ac:dyDescent="0.2">
      <c r="B135" s="8" t="str">
        <f t="shared" si="14"/>
        <v>034</v>
      </c>
      <c r="C135" s="10" t="s">
        <v>1772</v>
      </c>
      <c r="D135" s="26" t="s">
        <v>1115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1116</v>
      </c>
    </row>
    <row r="136" spans="2:24" ht="13.8" x14ac:dyDescent="0.2">
      <c r="B136" s="8" t="str">
        <f t="shared" si="14"/>
        <v>035</v>
      </c>
      <c r="C136" s="10" t="s">
        <v>1117</v>
      </c>
      <c r="D136" s="8" t="s">
        <v>1118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1874</v>
      </c>
    </row>
    <row r="137" spans="2:24" ht="13.8" x14ac:dyDescent="0.2">
      <c r="B137" s="8" t="str">
        <f t="shared" si="14"/>
        <v>039</v>
      </c>
      <c r="C137" s="10" t="s">
        <v>2120</v>
      </c>
      <c r="D137" s="26" t="s">
        <v>1119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2121</v>
      </c>
    </row>
    <row r="138" spans="2:24" ht="13.8" x14ac:dyDescent="0.2">
      <c r="B138" s="8" t="str">
        <f t="shared" si="14"/>
        <v>044</v>
      </c>
      <c r="C138" s="10" t="s">
        <v>1778</v>
      </c>
      <c r="D138" s="26" t="s">
        <v>1120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2122</v>
      </c>
    </row>
    <row r="139" spans="2:24" ht="13.8" x14ac:dyDescent="0.2">
      <c r="B139" s="8" t="str">
        <f t="shared" si="14"/>
        <v>047</v>
      </c>
      <c r="C139" s="10" t="s">
        <v>1121</v>
      </c>
      <c r="D139" s="26" t="s">
        <v>706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692</v>
      </c>
    </row>
    <row r="140" spans="2:24" ht="13.8" x14ac:dyDescent="0.2">
      <c r="B140" s="8" t="str">
        <f t="shared" si="14"/>
        <v>051</v>
      </c>
      <c r="C140" s="10" t="s">
        <v>2123</v>
      </c>
      <c r="D140" s="26" t="s">
        <v>1122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2124</v>
      </c>
    </row>
    <row r="141" spans="2:24" ht="13.8" x14ac:dyDescent="0.2">
      <c r="B141" s="8" t="str">
        <f t="shared" si="14"/>
        <v>056</v>
      </c>
      <c r="C141" s="10" t="s">
        <v>1123</v>
      </c>
      <c r="D141" s="26" t="s">
        <v>2071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693</v>
      </c>
    </row>
    <row r="142" spans="2:24" ht="13.8" x14ac:dyDescent="0.2">
      <c r="B142" s="8" t="str">
        <f t="shared" si="14"/>
        <v>057</v>
      </c>
      <c r="C142" s="10" t="s">
        <v>1124</v>
      </c>
      <c r="D142" s="8" t="s">
        <v>1125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1875</v>
      </c>
    </row>
    <row r="143" spans="2:24" ht="13.8" x14ac:dyDescent="0.2">
      <c r="B143" s="8" t="str">
        <f t="shared" si="14"/>
        <v>063</v>
      </c>
      <c r="C143" s="10" t="s">
        <v>1126</v>
      </c>
      <c r="D143" s="26" t="s">
        <v>1127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685</v>
      </c>
    </row>
    <row r="144" spans="2:24" ht="13.8" x14ac:dyDescent="0.2">
      <c r="B144" s="8" t="str">
        <f t="shared" si="14"/>
        <v>069</v>
      </c>
      <c r="C144" s="10" t="s">
        <v>2103</v>
      </c>
      <c r="D144" s="26" t="s">
        <v>1128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2104</v>
      </c>
    </row>
    <row r="145" spans="2:24" ht="13.8" x14ac:dyDescent="0.2">
      <c r="B145" s="8" t="str">
        <f t="shared" si="14"/>
        <v>098</v>
      </c>
      <c r="C145" s="10" t="s">
        <v>2113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1876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1239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1257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708</v>
      </c>
    </row>
    <row r="6" spans="2:24" ht="13.8" x14ac:dyDescent="0.2">
      <c r="B6" s="8">
        <f t="shared" si="4"/>
        <v>1</v>
      </c>
      <c r="C6" s="10">
        <v>1</v>
      </c>
      <c r="D6" s="13" t="s">
        <v>1997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709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1240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1129</v>
      </c>
    </row>
    <row r="9" spans="2:24" ht="13.8" x14ac:dyDescent="0.2">
      <c r="B9" s="8">
        <f t="shared" si="4"/>
        <v>4</v>
      </c>
      <c r="C9" s="10">
        <v>4</v>
      </c>
      <c r="D9" s="13" t="s">
        <v>751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710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711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741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1130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712</v>
      </c>
    </row>
    <row r="15" spans="2:24" ht="13.8" x14ac:dyDescent="0.2">
      <c r="B15" s="8">
        <f t="shared" si="4"/>
        <v>10</v>
      </c>
      <c r="C15" s="10">
        <v>10</v>
      </c>
      <c r="D15" s="13" t="s">
        <v>1131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730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714</v>
      </c>
    </row>
    <row r="18" spans="2:24" ht="13.8" x14ac:dyDescent="0.2">
      <c r="B18" s="8">
        <f t="shared" si="4"/>
        <v>13</v>
      </c>
      <c r="C18" s="10">
        <v>13</v>
      </c>
      <c r="D18" s="13" t="s">
        <v>1132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1877</v>
      </c>
    </row>
    <row r="19" spans="2:24" ht="13.8" x14ac:dyDescent="0.2">
      <c r="B19" s="8">
        <f t="shared" si="4"/>
        <v>14</v>
      </c>
      <c r="C19" s="10">
        <v>14</v>
      </c>
      <c r="D19" s="13" t="s">
        <v>1133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1134</v>
      </c>
    </row>
    <row r="20" spans="2:24" ht="13.8" x14ac:dyDescent="0.2">
      <c r="B20" s="8">
        <f t="shared" si="4"/>
        <v>15</v>
      </c>
      <c r="C20" s="10">
        <v>15</v>
      </c>
      <c r="D20" s="2" t="s">
        <v>1241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716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717</v>
      </c>
    </row>
    <row r="22" spans="2:24" ht="13.8" x14ac:dyDescent="0.2">
      <c r="B22" s="8">
        <f t="shared" si="4"/>
        <v>17</v>
      </c>
      <c r="C22" s="10">
        <v>17</v>
      </c>
      <c r="D22" s="13" t="s">
        <v>1135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718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713</v>
      </c>
    </row>
    <row r="24" spans="2:24" ht="13.8" x14ac:dyDescent="0.2">
      <c r="B24" s="8">
        <f t="shared" si="4"/>
        <v>19</v>
      </c>
      <c r="C24" s="10">
        <v>19</v>
      </c>
      <c r="D24" s="13" t="s">
        <v>1242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719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720</v>
      </c>
    </row>
    <row r="26" spans="2:24" ht="13.8" x14ac:dyDescent="0.2">
      <c r="B26" s="8">
        <f t="shared" si="4"/>
        <v>21</v>
      </c>
      <c r="C26" s="10">
        <v>21</v>
      </c>
      <c r="D26" s="13" t="s">
        <v>1136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1137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721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722</v>
      </c>
    </row>
    <row r="30" spans="2:24" ht="13.8" x14ac:dyDescent="0.2">
      <c r="B30" s="8">
        <f t="shared" si="4"/>
        <v>25</v>
      </c>
      <c r="C30" s="10">
        <v>25</v>
      </c>
      <c r="D30" s="13" t="s">
        <v>1138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1878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1139</v>
      </c>
    </row>
    <row r="32" spans="2:24" ht="13.8" x14ac:dyDescent="0.2">
      <c r="B32" s="8">
        <f t="shared" si="4"/>
        <v>27</v>
      </c>
      <c r="C32" s="10">
        <v>27</v>
      </c>
      <c r="D32" s="9" t="s">
        <v>2021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723</v>
      </c>
    </row>
    <row r="33" spans="2:24" ht="13.8" x14ac:dyDescent="0.2">
      <c r="B33" s="8">
        <f t="shared" si="4"/>
        <v>28</v>
      </c>
      <c r="C33" s="10">
        <v>28</v>
      </c>
      <c r="D33" s="13" t="s">
        <v>1140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1141</v>
      </c>
    </row>
    <row r="34" spans="2:24" ht="13.8" x14ac:dyDescent="0.2">
      <c r="B34" s="8">
        <f t="shared" si="4"/>
        <v>29</v>
      </c>
      <c r="C34" s="10">
        <v>29</v>
      </c>
      <c r="D34" s="13" t="s">
        <v>1243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724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725</v>
      </c>
    </row>
    <row r="36" spans="2:24" ht="13.8" x14ac:dyDescent="0.2">
      <c r="B36" s="8">
        <f t="shared" si="4"/>
        <v>31</v>
      </c>
      <c r="C36" s="10">
        <v>31</v>
      </c>
      <c r="D36" s="13" t="s">
        <v>1142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726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727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728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729</v>
      </c>
    </row>
    <row r="40" spans="2:24" ht="13.8" x14ac:dyDescent="0.2">
      <c r="B40" s="8">
        <f t="shared" si="4"/>
        <v>35</v>
      </c>
      <c r="C40" s="10">
        <v>35</v>
      </c>
      <c r="D40" s="13" t="s">
        <v>1143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1144</v>
      </c>
    </row>
    <row r="41" spans="2:24" ht="13.8" x14ac:dyDescent="0.2">
      <c r="B41" s="8">
        <f t="shared" si="4"/>
        <v>36</v>
      </c>
      <c r="C41" s="10">
        <v>36</v>
      </c>
      <c r="D41" s="13" t="s">
        <v>2058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1145</v>
      </c>
    </row>
    <row r="42" spans="2:24" ht="13.8" x14ac:dyDescent="0.2">
      <c r="B42" s="8">
        <f t="shared" si="4"/>
        <v>37</v>
      </c>
      <c r="C42" s="10">
        <v>37</v>
      </c>
      <c r="D42" s="13" t="s">
        <v>1174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1879</v>
      </c>
    </row>
    <row r="43" spans="2:24" ht="13.8" x14ac:dyDescent="0.2">
      <c r="B43" s="8">
        <f t="shared" si="4"/>
        <v>38</v>
      </c>
      <c r="C43" s="10">
        <v>38</v>
      </c>
      <c r="D43" s="13" t="s">
        <v>1146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1147</v>
      </c>
    </row>
    <row r="44" spans="2:24" ht="13.8" x14ac:dyDescent="0.2">
      <c r="B44" s="8">
        <f t="shared" si="4"/>
        <v>39</v>
      </c>
      <c r="C44" s="10">
        <v>39</v>
      </c>
      <c r="D44" s="13" t="s">
        <v>1244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1880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715</v>
      </c>
    </row>
    <row r="46" spans="2:24" ht="13.8" x14ac:dyDescent="0.2">
      <c r="B46" s="8">
        <f t="shared" si="4"/>
        <v>41</v>
      </c>
      <c r="C46" s="10">
        <v>41</v>
      </c>
      <c r="D46" s="13" t="s">
        <v>752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731</v>
      </c>
    </row>
    <row r="47" spans="2:24" ht="13.8" x14ac:dyDescent="0.2">
      <c r="B47" s="8">
        <f t="shared" si="4"/>
        <v>42</v>
      </c>
      <c r="C47" s="10">
        <v>42</v>
      </c>
      <c r="D47" s="13" t="s">
        <v>1148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1149</v>
      </c>
    </row>
    <row r="48" spans="2:24" ht="13.8" x14ac:dyDescent="0.2">
      <c r="B48" s="8">
        <f t="shared" si="4"/>
        <v>43</v>
      </c>
      <c r="C48" s="10">
        <v>43</v>
      </c>
      <c r="D48" s="13" t="s">
        <v>2025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1150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732</v>
      </c>
    </row>
    <row r="50" spans="2:24" ht="13.8" x14ac:dyDescent="0.2">
      <c r="B50" s="8">
        <f t="shared" si="4"/>
        <v>45</v>
      </c>
      <c r="C50" s="10">
        <v>45</v>
      </c>
      <c r="D50" s="13" t="s">
        <v>1151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747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733</v>
      </c>
    </row>
    <row r="52" spans="2:24" ht="13.8" x14ac:dyDescent="0.2">
      <c r="B52" s="8">
        <f t="shared" si="4"/>
        <v>47</v>
      </c>
      <c r="C52" s="10">
        <v>47</v>
      </c>
      <c r="D52" s="13" t="s">
        <v>2020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734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735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1152</v>
      </c>
    </row>
    <row r="55" spans="2:24" ht="13.8" x14ac:dyDescent="0.2">
      <c r="B55" s="8">
        <f t="shared" si="4"/>
        <v>50</v>
      </c>
      <c r="C55" s="10">
        <v>50</v>
      </c>
      <c r="D55" s="13" t="s">
        <v>1153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1154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736</v>
      </c>
    </row>
    <row r="57" spans="2:24" ht="13.8" x14ac:dyDescent="0.2">
      <c r="B57" s="8">
        <f t="shared" si="4"/>
        <v>52</v>
      </c>
      <c r="C57" s="10">
        <v>52</v>
      </c>
      <c r="D57" s="13" t="s">
        <v>1155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1156</v>
      </c>
    </row>
    <row r="58" spans="2:24" ht="13.8" x14ac:dyDescent="0.2">
      <c r="B58" s="8">
        <f t="shared" si="4"/>
        <v>53</v>
      </c>
      <c r="C58" s="10">
        <v>53</v>
      </c>
      <c r="D58" s="13" t="s">
        <v>1481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738</v>
      </c>
    </row>
    <row r="59" spans="2:24" ht="13.8" x14ac:dyDescent="0.2">
      <c r="B59" s="8">
        <f t="shared" si="4"/>
        <v>54</v>
      </c>
      <c r="C59" s="10">
        <v>54</v>
      </c>
      <c r="D59" s="13" t="s">
        <v>1157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1157</v>
      </c>
    </row>
    <row r="60" spans="2:24" ht="13.8" x14ac:dyDescent="0.2">
      <c r="B60" s="8">
        <f t="shared" si="4"/>
        <v>55</v>
      </c>
      <c r="C60" s="10">
        <v>55</v>
      </c>
      <c r="D60" s="13" t="s">
        <v>1245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739</v>
      </c>
    </row>
    <row r="61" spans="2:24" ht="13.8" x14ac:dyDescent="0.2">
      <c r="B61" s="8">
        <f t="shared" si="4"/>
        <v>56</v>
      </c>
      <c r="C61" s="10">
        <v>56</v>
      </c>
      <c r="D61" s="13" t="s">
        <v>1688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1158</v>
      </c>
    </row>
    <row r="62" spans="2:24" ht="13.8" x14ac:dyDescent="0.2">
      <c r="B62" s="8">
        <f t="shared" si="4"/>
        <v>57</v>
      </c>
      <c r="C62" s="10">
        <v>57</v>
      </c>
      <c r="D62" s="13" t="s">
        <v>1835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740</v>
      </c>
    </row>
    <row r="63" spans="2:24" ht="13.8" x14ac:dyDescent="0.2">
      <c r="B63" s="8">
        <f t="shared" si="4"/>
        <v>58</v>
      </c>
      <c r="C63" s="10">
        <v>58</v>
      </c>
      <c r="D63" s="13" t="s">
        <v>1159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1160</v>
      </c>
    </row>
    <row r="64" spans="2:24" ht="13.8" x14ac:dyDescent="0.2">
      <c r="B64" s="8">
        <f t="shared" si="4"/>
        <v>59</v>
      </c>
      <c r="C64" s="10">
        <v>59</v>
      </c>
      <c r="D64" s="13" t="s">
        <v>753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742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743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1161</v>
      </c>
    </row>
    <row r="67" spans="2:24" ht="13.8" x14ac:dyDescent="0.2">
      <c r="B67" s="8">
        <f t="shared" si="4"/>
        <v>62</v>
      </c>
      <c r="C67" s="10">
        <v>62</v>
      </c>
      <c r="D67" s="13" t="s">
        <v>754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744</v>
      </c>
    </row>
    <row r="68" spans="2:24" ht="13.8" x14ac:dyDescent="0.2">
      <c r="B68" s="8">
        <f t="shared" si="4"/>
        <v>63</v>
      </c>
      <c r="C68" s="10">
        <v>63</v>
      </c>
      <c r="D68" s="9" t="s">
        <v>1162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1163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1246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1164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1165</v>
      </c>
    </row>
    <row r="72" spans="2:24" ht="13.8" x14ac:dyDescent="0.2">
      <c r="B72" s="8">
        <f t="shared" si="10"/>
        <v>67</v>
      </c>
      <c r="C72" s="10">
        <v>67</v>
      </c>
      <c r="D72" s="13" t="s">
        <v>2071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1166</v>
      </c>
    </row>
    <row r="73" spans="2:24" ht="13.8" x14ac:dyDescent="0.2">
      <c r="B73" s="8">
        <f t="shared" si="10"/>
        <v>68</v>
      </c>
      <c r="C73" s="10">
        <v>68</v>
      </c>
      <c r="D73" s="13" t="s">
        <v>755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748</v>
      </c>
    </row>
    <row r="74" spans="2:24" ht="13.8" x14ac:dyDescent="0.2">
      <c r="B74" s="8">
        <f t="shared" si="10"/>
        <v>69</v>
      </c>
      <c r="C74" s="10">
        <v>69</v>
      </c>
      <c r="D74" s="13" t="s">
        <v>1247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746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1248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1881</v>
      </c>
    </row>
    <row r="105" spans="2:24" ht="13.8" x14ac:dyDescent="0.2">
      <c r="B105" s="8" t="str">
        <f t="shared" si="10"/>
        <v>012</v>
      </c>
      <c r="C105" s="10" t="s">
        <v>1188</v>
      </c>
      <c r="D105" s="14" t="s">
        <v>2028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737</v>
      </c>
    </row>
    <row r="106" spans="2:24" ht="13.8" x14ac:dyDescent="0.2">
      <c r="B106" s="8" t="str">
        <f t="shared" si="10"/>
        <v>013</v>
      </c>
      <c r="C106" s="10" t="s">
        <v>1189</v>
      </c>
      <c r="D106" s="9" t="s">
        <v>1167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745</v>
      </c>
    </row>
    <row r="107" spans="2:24" ht="13.8" x14ac:dyDescent="0.2">
      <c r="B107" s="8" t="str">
        <f t="shared" si="10"/>
        <v>015</v>
      </c>
      <c r="C107" s="10" t="s">
        <v>1249</v>
      </c>
      <c r="D107" s="9" t="s">
        <v>1090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1091</v>
      </c>
    </row>
    <row r="108" spans="2:24" ht="13.8" x14ac:dyDescent="0.2">
      <c r="B108" s="8" t="str">
        <f t="shared" si="10"/>
        <v>019</v>
      </c>
      <c r="C108" s="10" t="s">
        <v>1250</v>
      </c>
      <c r="D108" s="9" t="s">
        <v>756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749</v>
      </c>
    </row>
    <row r="109" spans="2:24" ht="13.8" x14ac:dyDescent="0.2">
      <c r="B109" s="8" t="str">
        <f t="shared" si="10"/>
        <v>023</v>
      </c>
      <c r="C109" s="10" t="s">
        <v>1251</v>
      </c>
      <c r="D109" s="9" t="s">
        <v>1252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1168</v>
      </c>
    </row>
    <row r="110" spans="2:24" ht="13.8" x14ac:dyDescent="0.2">
      <c r="B110" s="8" t="str">
        <f t="shared" si="10"/>
        <v>024</v>
      </c>
      <c r="C110" s="10" t="s">
        <v>1253</v>
      </c>
      <c r="D110" s="9" t="s">
        <v>1254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750</v>
      </c>
    </row>
    <row r="111" spans="2:24" ht="13.8" x14ac:dyDescent="0.2">
      <c r="B111" s="8" t="str">
        <f t="shared" si="10"/>
        <v>025</v>
      </c>
      <c r="C111" s="10" t="s">
        <v>1255</v>
      </c>
      <c r="D111" s="9" t="s">
        <v>1169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1169</v>
      </c>
    </row>
    <row r="112" spans="2:24" ht="13.8" x14ac:dyDescent="0.2">
      <c r="B112" s="8" t="str">
        <f t="shared" si="10"/>
        <v>026</v>
      </c>
      <c r="C112" s="10" t="s">
        <v>1256</v>
      </c>
      <c r="D112" s="13" t="s">
        <v>1686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1170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1258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1299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1259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1300</v>
      </c>
    </row>
    <row r="6" spans="2:24" ht="13.8" x14ac:dyDescent="0.2">
      <c r="B6" s="8">
        <f t="shared" si="5"/>
        <v>1</v>
      </c>
      <c r="C6" s="10">
        <v>1</v>
      </c>
      <c r="D6" s="13" t="s">
        <v>1492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606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607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1882</v>
      </c>
    </row>
    <row r="9" spans="2:24" ht="13.8" x14ac:dyDescent="0.2">
      <c r="B9" s="8">
        <f t="shared" si="5"/>
        <v>4</v>
      </c>
      <c r="C9" s="10">
        <v>4</v>
      </c>
      <c r="D9" s="13" t="s">
        <v>1260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1301</v>
      </c>
    </row>
    <row r="10" spans="2:24" ht="13.8" x14ac:dyDescent="0.2">
      <c r="B10" s="8">
        <f t="shared" si="5"/>
        <v>5</v>
      </c>
      <c r="C10" s="10">
        <v>5</v>
      </c>
      <c r="D10" s="13" t="s">
        <v>1261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1302</v>
      </c>
    </row>
    <row r="11" spans="2:24" ht="13.8" x14ac:dyDescent="0.2">
      <c r="B11" s="8">
        <f t="shared" si="5"/>
        <v>6</v>
      </c>
      <c r="C11" s="10">
        <v>6</v>
      </c>
      <c r="D11" s="13" t="s">
        <v>1262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608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609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610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611</v>
      </c>
    </row>
    <row r="16" spans="2:24" ht="13.8" x14ac:dyDescent="0.2">
      <c r="B16" s="8">
        <f t="shared" si="5"/>
        <v>11</v>
      </c>
      <c r="C16" s="10">
        <v>11</v>
      </c>
      <c r="D16" s="13" t="s">
        <v>1263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613</v>
      </c>
    </row>
    <row r="19" spans="2:24" ht="13.8" x14ac:dyDescent="0.2">
      <c r="B19" s="8">
        <f t="shared" si="5"/>
        <v>14</v>
      </c>
      <c r="C19" s="10">
        <v>14</v>
      </c>
      <c r="D19" s="13" t="s">
        <v>1264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614</v>
      </c>
    </row>
    <row r="20" spans="2:24" ht="13.8" x14ac:dyDescent="0.2">
      <c r="B20" s="8">
        <f t="shared" si="5"/>
        <v>15</v>
      </c>
      <c r="C20" s="10">
        <v>15</v>
      </c>
      <c r="D20" s="2" t="s">
        <v>760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1303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615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616</v>
      </c>
    </row>
    <row r="23" spans="2:24" ht="13.8" x14ac:dyDescent="0.2">
      <c r="B23" s="8">
        <f t="shared" si="5"/>
        <v>18</v>
      </c>
      <c r="C23" s="10">
        <v>18</v>
      </c>
      <c r="D23" s="9" t="s">
        <v>990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1304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617</v>
      </c>
    </row>
    <row r="25" spans="2:24" ht="13.8" x14ac:dyDescent="0.2">
      <c r="B25" s="8">
        <f t="shared" si="5"/>
        <v>20</v>
      </c>
      <c r="C25" s="10">
        <v>20</v>
      </c>
      <c r="D25" s="13" t="s">
        <v>1688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619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1265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1305</v>
      </c>
    </row>
    <row r="30" spans="2:24" ht="13.8" x14ac:dyDescent="0.2">
      <c r="B30" s="8">
        <f t="shared" si="5"/>
        <v>25</v>
      </c>
      <c r="C30" s="10">
        <v>25</v>
      </c>
      <c r="D30" s="13"/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620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758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1306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621</v>
      </c>
    </row>
    <row r="35" spans="2:24" ht="13.8" x14ac:dyDescent="0.2">
      <c r="B35" s="8">
        <f t="shared" si="5"/>
        <v>30</v>
      </c>
      <c r="C35" s="10">
        <v>30</v>
      </c>
      <c r="D35" s="13" t="s">
        <v>2029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1307</v>
      </c>
    </row>
    <row r="36" spans="2:24" ht="13.8" x14ac:dyDescent="0.2">
      <c r="B36" s="8">
        <f t="shared" si="5"/>
        <v>31</v>
      </c>
      <c r="C36" s="10">
        <v>31</v>
      </c>
      <c r="D36" s="13" t="s">
        <v>752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622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623</v>
      </c>
    </row>
    <row r="38" spans="2:24" ht="13.8" x14ac:dyDescent="0.2">
      <c r="B38" s="8">
        <f t="shared" si="5"/>
        <v>33</v>
      </c>
      <c r="C38" s="10">
        <v>33</v>
      </c>
      <c r="D38" s="13" t="s">
        <v>1266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1308</v>
      </c>
    </row>
    <row r="39" spans="2:24" ht="13.8" x14ac:dyDescent="0.2">
      <c r="B39" s="8">
        <f t="shared" si="5"/>
        <v>34</v>
      </c>
      <c r="C39" s="10">
        <v>34</v>
      </c>
      <c r="D39" s="13" t="s">
        <v>1267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1309</v>
      </c>
    </row>
    <row r="40" spans="2:24" ht="13.8" x14ac:dyDescent="0.2">
      <c r="B40" s="8">
        <f t="shared" si="5"/>
        <v>35</v>
      </c>
      <c r="C40" s="10">
        <v>35</v>
      </c>
      <c r="D40" s="13" t="s">
        <v>1252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1310</v>
      </c>
    </row>
    <row r="41" spans="2:24" ht="13.8" x14ac:dyDescent="0.2">
      <c r="B41" s="8">
        <f t="shared" si="5"/>
        <v>36</v>
      </c>
      <c r="C41" s="10">
        <v>36</v>
      </c>
      <c r="D41" s="13" t="s">
        <v>1268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1311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624</v>
      </c>
    </row>
    <row r="43" spans="2:24" ht="13.8" x14ac:dyDescent="0.2">
      <c r="B43" s="8">
        <f t="shared" si="5"/>
        <v>38</v>
      </c>
      <c r="C43" s="10">
        <v>38</v>
      </c>
      <c r="D43" s="13" t="s">
        <v>1269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515</v>
      </c>
    </row>
    <row r="44" spans="2:24" ht="13.8" x14ac:dyDescent="0.2">
      <c r="B44" s="8">
        <f t="shared" si="5"/>
        <v>39</v>
      </c>
      <c r="C44" s="10">
        <v>39</v>
      </c>
      <c r="D44" s="13" t="s">
        <v>1270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1312</v>
      </c>
    </row>
    <row r="45" spans="2:24" ht="13.8" x14ac:dyDescent="0.2">
      <c r="B45" s="8">
        <f t="shared" si="5"/>
        <v>40</v>
      </c>
      <c r="C45" s="10">
        <v>40</v>
      </c>
      <c r="D45" s="13" t="s">
        <v>1267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1271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1272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1883</v>
      </c>
    </row>
    <row r="48" spans="2:24" ht="13.8" x14ac:dyDescent="0.2">
      <c r="B48" s="8">
        <f t="shared" si="5"/>
        <v>43</v>
      </c>
      <c r="C48" s="10">
        <v>43</v>
      </c>
      <c r="D48" s="13" t="s">
        <v>761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1313</v>
      </c>
    </row>
    <row r="49" spans="2:24" ht="13.8" x14ac:dyDescent="0.2">
      <c r="B49" s="8">
        <f t="shared" si="5"/>
        <v>44</v>
      </c>
      <c r="C49" s="10">
        <v>44</v>
      </c>
      <c r="D49" s="13" t="s">
        <v>1273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1314</v>
      </c>
    </row>
    <row r="50" spans="2:24" ht="13.8" x14ac:dyDescent="0.2">
      <c r="B50" s="8">
        <f t="shared" si="5"/>
        <v>45</v>
      </c>
      <c r="C50" s="10">
        <v>45</v>
      </c>
      <c r="D50" s="13" t="s">
        <v>1274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1274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1315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628</v>
      </c>
    </row>
    <row r="54" spans="2:24" ht="13.8" x14ac:dyDescent="0.2">
      <c r="B54" s="8">
        <f t="shared" si="5"/>
        <v>49</v>
      </c>
      <c r="C54" s="10">
        <v>49</v>
      </c>
      <c r="D54" s="9" t="s">
        <v>1275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1884</v>
      </c>
    </row>
    <row r="55" spans="2:24" ht="13.8" x14ac:dyDescent="0.2">
      <c r="B55" s="8">
        <f t="shared" si="5"/>
        <v>50</v>
      </c>
      <c r="C55" s="10">
        <v>50</v>
      </c>
      <c r="D55" s="13" t="s">
        <v>2025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629</v>
      </c>
    </row>
    <row r="56" spans="2:24" ht="13.8" x14ac:dyDescent="0.2">
      <c r="B56" s="8">
        <f t="shared" si="5"/>
        <v>51</v>
      </c>
      <c r="C56" s="10">
        <v>51</v>
      </c>
      <c r="D56" s="13" t="s">
        <v>1520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630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1276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1277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1316</v>
      </c>
    </row>
    <row r="60" spans="2:24" ht="13.8" x14ac:dyDescent="0.2">
      <c r="B60" s="8">
        <f t="shared" si="5"/>
        <v>55</v>
      </c>
      <c r="C60" s="10">
        <v>55</v>
      </c>
      <c r="D60" s="13" t="s">
        <v>1278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1317</v>
      </c>
    </row>
    <row r="61" spans="2:24" ht="13.8" x14ac:dyDescent="0.2">
      <c r="B61" s="8">
        <f t="shared" si="5"/>
        <v>56</v>
      </c>
      <c r="C61" s="10">
        <v>56</v>
      </c>
      <c r="D61" s="13" t="s">
        <v>700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632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633</v>
      </c>
    </row>
    <row r="63" spans="2:24" ht="13.8" x14ac:dyDescent="0.2">
      <c r="B63" s="8">
        <f t="shared" si="5"/>
        <v>58</v>
      </c>
      <c r="C63" s="10">
        <v>58</v>
      </c>
      <c r="D63" s="13" t="s">
        <v>762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1318</v>
      </c>
    </row>
    <row r="64" spans="2:24" ht="13.8" x14ac:dyDescent="0.2">
      <c r="B64" s="8">
        <f t="shared" si="5"/>
        <v>59</v>
      </c>
      <c r="C64" s="10">
        <v>59</v>
      </c>
      <c r="D64" s="13" t="s">
        <v>1279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1319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634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635</v>
      </c>
    </row>
    <row r="67" spans="2:24" ht="13.8" x14ac:dyDescent="0.2">
      <c r="B67" s="8">
        <f t="shared" si="5"/>
        <v>62</v>
      </c>
      <c r="C67" s="10">
        <v>62</v>
      </c>
      <c r="D67" s="13" t="s">
        <v>1280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1885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636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763</v>
      </c>
      <c r="E69" s="11" t="str">
        <f t="shared" ref="E69:E131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1320</v>
      </c>
    </row>
    <row r="70" spans="2:24" ht="13.8" x14ac:dyDescent="0.2">
      <c r="B70" s="8">
        <f t="shared" si="9"/>
        <v>65</v>
      </c>
      <c r="C70" s="10">
        <v>65</v>
      </c>
      <c r="D70" s="9" t="s">
        <v>1281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759</v>
      </c>
    </row>
    <row r="71" spans="2:24" ht="13.8" x14ac:dyDescent="0.2">
      <c r="B71" s="8">
        <f t="shared" si="9"/>
        <v>66</v>
      </c>
      <c r="C71" s="10">
        <v>66</v>
      </c>
      <c r="D71" s="13" t="s">
        <v>1282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1321</v>
      </c>
    </row>
    <row r="72" spans="2:24" ht="13.8" x14ac:dyDescent="0.2">
      <c r="B72" s="8">
        <f t="shared" si="9"/>
        <v>67</v>
      </c>
      <c r="C72" s="10">
        <v>67</v>
      </c>
      <c r="D72" s="13" t="s">
        <v>1283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9"/>
        <v>68</v>
      </c>
      <c r="C73" s="10">
        <v>68</v>
      </c>
      <c r="D73" s="13" t="s">
        <v>1284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1886</v>
      </c>
    </row>
    <row r="74" spans="2:24" ht="13.8" x14ac:dyDescent="0.2">
      <c r="B74" s="8">
        <f t="shared" si="9"/>
        <v>69</v>
      </c>
      <c r="C74" s="10">
        <v>69</v>
      </c>
      <c r="D74" s="8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13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13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13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13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13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13" t="s">
        <v>1285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534</v>
      </c>
    </row>
    <row r="104" spans="2:24" ht="13.8" x14ac:dyDescent="0.2">
      <c r="B104" s="8">
        <f t="shared" si="9"/>
        <v>99</v>
      </c>
      <c r="C104" s="10">
        <v>99</v>
      </c>
      <c r="D104" s="13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9"/>
        <v>100</v>
      </c>
      <c r="C105" s="10">
        <v>100</v>
      </c>
      <c r="D105" s="9" t="s">
        <v>1286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1286</v>
      </c>
    </row>
    <row r="106" spans="2:24" ht="13.8" x14ac:dyDescent="0.2">
      <c r="B106" s="8">
        <f t="shared" si="9"/>
        <v>101</v>
      </c>
      <c r="C106" s="10">
        <v>101</v>
      </c>
      <c r="D106" s="9" t="s">
        <v>1287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1322</v>
      </c>
    </row>
    <row r="107" spans="2:24" ht="13.8" x14ac:dyDescent="0.2">
      <c r="B107" s="8">
        <f t="shared" si="9"/>
        <v>102</v>
      </c>
      <c r="C107" s="10">
        <v>102</v>
      </c>
      <c r="D107" s="9" t="s">
        <v>1288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1323</v>
      </c>
    </row>
    <row r="108" spans="2:24" ht="13.8" x14ac:dyDescent="0.2">
      <c r="B108" s="8">
        <f t="shared" si="9"/>
        <v>103</v>
      </c>
      <c r="C108" s="10">
        <v>103</v>
      </c>
      <c r="D108" s="9" t="s">
        <v>1289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1324</v>
      </c>
    </row>
    <row r="109" spans="2:24" ht="13.8" x14ac:dyDescent="0.2">
      <c r="B109" s="8">
        <f t="shared" si="9"/>
        <v>105</v>
      </c>
      <c r="C109" s="10">
        <v>105</v>
      </c>
      <c r="D109" s="9" t="s">
        <v>1290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1887</v>
      </c>
    </row>
    <row r="110" spans="2:24" ht="13.8" x14ac:dyDescent="0.2">
      <c r="B110" s="8">
        <f t="shared" si="9"/>
        <v>106</v>
      </c>
      <c r="C110" s="10">
        <v>106</v>
      </c>
      <c r="D110" s="9" t="s">
        <v>1291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1325</v>
      </c>
    </row>
    <row r="111" spans="2:24" ht="13.8" x14ac:dyDescent="0.2">
      <c r="B111" s="8">
        <f t="shared" si="9"/>
        <v>107</v>
      </c>
      <c r="C111" s="10">
        <v>107</v>
      </c>
      <c r="D111" s="9" t="s">
        <v>1292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1888</v>
      </c>
    </row>
    <row r="112" spans="2:24" ht="13.8" x14ac:dyDescent="0.2">
      <c r="B112" s="8">
        <f t="shared" si="9"/>
        <v>108</v>
      </c>
      <c r="C112" s="10">
        <v>108</v>
      </c>
      <c r="D112" s="9" t="s">
        <v>1247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1326</v>
      </c>
    </row>
    <row r="113" spans="2:24" ht="13.8" x14ac:dyDescent="0.2">
      <c r="B113" s="8">
        <f t="shared" si="9"/>
        <v>109</v>
      </c>
      <c r="C113" s="10">
        <v>109</v>
      </c>
      <c r="D113" s="9" t="s">
        <v>185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1889</v>
      </c>
    </row>
    <row r="114" spans="2:24" ht="13.8" x14ac:dyDescent="0.2">
      <c r="B114" s="8">
        <f t="shared" si="9"/>
        <v>110</v>
      </c>
      <c r="C114" s="10">
        <v>110</v>
      </c>
      <c r="D114" s="8" t="s">
        <v>905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1890</v>
      </c>
    </row>
    <row r="115" spans="2:24" ht="13.8" x14ac:dyDescent="0.2">
      <c r="B115" s="8">
        <f t="shared" si="9"/>
        <v>111</v>
      </c>
      <c r="C115" s="10">
        <v>111</v>
      </c>
      <c r="D115" s="26" t="s">
        <v>1293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1327</v>
      </c>
    </row>
    <row r="116" spans="2:24" ht="13.8" x14ac:dyDescent="0.2">
      <c r="B116" s="8">
        <f t="shared" si="9"/>
        <v>116</v>
      </c>
      <c r="C116" s="10">
        <v>116</v>
      </c>
      <c r="D116" s="26" t="s">
        <v>1294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527</v>
      </c>
    </row>
    <row r="117" spans="2:24" ht="13.8" x14ac:dyDescent="0.2">
      <c r="B117" s="8">
        <f t="shared" si="9"/>
        <v>122</v>
      </c>
      <c r="C117" s="10">
        <v>122</v>
      </c>
      <c r="D117" s="26" t="s">
        <v>1295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1328</v>
      </c>
    </row>
    <row r="118" spans="2:24" ht="13.8" x14ac:dyDescent="0.2">
      <c r="B118" s="8">
        <f t="shared" si="9"/>
        <v>125</v>
      </c>
      <c r="C118" s="10">
        <v>125</v>
      </c>
      <c r="D118" s="26" t="s">
        <v>1296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1329</v>
      </c>
    </row>
    <row r="119" spans="2:24" ht="13.8" x14ac:dyDescent="0.2">
      <c r="B119" s="8">
        <f t="shared" si="9"/>
        <v>130</v>
      </c>
      <c r="C119" s="10">
        <v>130</v>
      </c>
      <c r="D119" s="26" t="s">
        <v>2028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1330</v>
      </c>
    </row>
    <row r="120" spans="2:24" ht="13.8" x14ac:dyDescent="0.2">
      <c r="B120" s="8">
        <f t="shared" si="9"/>
        <v>133</v>
      </c>
      <c r="C120" s="10">
        <v>133</v>
      </c>
      <c r="D120" s="26" t="s">
        <v>1297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1331</v>
      </c>
    </row>
    <row r="121" spans="2:24" ht="13.8" x14ac:dyDescent="0.2">
      <c r="B121" s="8">
        <f t="shared" si="9"/>
        <v>144</v>
      </c>
      <c r="C121" s="10">
        <v>144</v>
      </c>
      <c r="D121" s="26" t="s">
        <v>1298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9"/>
        <v/>
      </c>
      <c r="C122" s="10"/>
      <c r="D122" s="8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9"/>
        <v/>
      </c>
      <c r="C123" s="10"/>
      <c r="D123" s="8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9"/>
        <v/>
      </c>
      <c r="C124" s="10"/>
      <c r="D124" s="8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ref="E132:E133" si="14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5">IF(C133="","",C133)</f>
        <v/>
      </c>
      <c r="C133" s="10"/>
      <c r="D133" s="8"/>
      <c r="E133" s="11" t="str">
        <f t="shared" si="14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" si="16">((G133-H133-I133-J133)+(H133*2)+(I133*3)+(J133*4))</f>
        <v>0</v>
      </c>
      <c r="L133" s="7">
        <v>0</v>
      </c>
      <c r="M133" s="11">
        <f t="shared" ref="M133" si="17">IFERROR(IF((G133+P133+Q133)/(F133+P133+Q133+S133)=1,"1.00",(G133+P133+Q133)/(F133+P133+Q133+S133)),0)</f>
        <v>0</v>
      </c>
      <c r="N133" s="11">
        <f t="shared" ref="N133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1332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1892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563</v>
      </c>
    </row>
    <row r="6" spans="2:24" ht="13.8" x14ac:dyDescent="0.2">
      <c r="B6" s="8">
        <f t="shared" si="5"/>
        <v>1</v>
      </c>
      <c r="C6" s="10">
        <v>1</v>
      </c>
      <c r="D6" s="13" t="s">
        <v>1268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1361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564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565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566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1333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1891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567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568</v>
      </c>
    </row>
    <row r="19" spans="2:24" ht="13.8" x14ac:dyDescent="0.2">
      <c r="B19" s="8">
        <f t="shared" si="5"/>
        <v>14</v>
      </c>
      <c r="C19" s="10">
        <v>14</v>
      </c>
      <c r="D19" s="13" t="s">
        <v>1334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571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569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570</v>
      </c>
    </row>
    <row r="22" spans="2:24" ht="13.8" x14ac:dyDescent="0.2">
      <c r="B22" s="8">
        <f t="shared" si="5"/>
        <v>17</v>
      </c>
      <c r="C22" s="10">
        <v>17</v>
      </c>
      <c r="D22" s="13" t="s">
        <v>1335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588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1336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1362</v>
      </c>
    </row>
    <row r="25" spans="2:24" ht="13.8" x14ac:dyDescent="0.2">
      <c r="B25" s="8">
        <f t="shared" si="5"/>
        <v>20</v>
      </c>
      <c r="C25" s="10">
        <v>20</v>
      </c>
      <c r="D25" s="13" t="s">
        <v>648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653</v>
      </c>
    </row>
    <row r="26" spans="2:24" ht="13.8" x14ac:dyDescent="0.2">
      <c r="B26" s="8">
        <f t="shared" si="5"/>
        <v>21</v>
      </c>
      <c r="C26" s="10">
        <v>21</v>
      </c>
      <c r="D26" s="13" t="s">
        <v>803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1337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1363</v>
      </c>
    </row>
    <row r="31" spans="2:24" ht="13.8" x14ac:dyDescent="0.2">
      <c r="B31" s="8">
        <f t="shared" si="5"/>
        <v>26</v>
      </c>
      <c r="C31" s="10">
        <v>26</v>
      </c>
      <c r="D31" s="13" t="s">
        <v>1338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1364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574</v>
      </c>
    </row>
    <row r="33" spans="2:24" ht="13.8" x14ac:dyDescent="0.2">
      <c r="B33" s="8">
        <f t="shared" si="5"/>
        <v>28</v>
      </c>
      <c r="C33" s="10">
        <v>28</v>
      </c>
      <c r="D33" s="13" t="s">
        <v>1246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654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1339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1365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578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579</v>
      </c>
    </row>
    <row r="39" spans="2:24" ht="13.8" x14ac:dyDescent="0.2">
      <c r="B39" s="8">
        <f t="shared" si="5"/>
        <v>34</v>
      </c>
      <c r="C39" s="10">
        <v>34</v>
      </c>
      <c r="D39" s="13" t="s">
        <v>1340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1341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603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580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581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582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583</v>
      </c>
    </row>
    <row r="45" spans="2:24" ht="13.8" x14ac:dyDescent="0.2">
      <c r="B45" s="8">
        <f t="shared" si="5"/>
        <v>40</v>
      </c>
      <c r="C45" s="10">
        <v>40</v>
      </c>
      <c r="D45" s="13" t="s">
        <v>1342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1366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584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1343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1367</v>
      </c>
    </row>
    <row r="49" spans="2:24" ht="13.8" x14ac:dyDescent="0.2">
      <c r="B49" s="8">
        <f t="shared" si="5"/>
        <v>44</v>
      </c>
      <c r="C49" s="10">
        <v>44</v>
      </c>
      <c r="D49" s="13" t="s">
        <v>1344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1368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585</v>
      </c>
    </row>
    <row r="51" spans="2:24" ht="13.8" x14ac:dyDescent="0.2">
      <c r="B51" s="8">
        <f t="shared" si="5"/>
        <v>46</v>
      </c>
      <c r="C51" s="10">
        <v>46</v>
      </c>
      <c r="D51" s="13" t="s">
        <v>1345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602</v>
      </c>
    </row>
    <row r="52" spans="2:24" ht="13.8" x14ac:dyDescent="0.2">
      <c r="B52" s="8">
        <f t="shared" si="5"/>
        <v>47</v>
      </c>
      <c r="C52" s="10">
        <v>47</v>
      </c>
      <c r="D52" s="13" t="s">
        <v>649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655</v>
      </c>
    </row>
    <row r="53" spans="2:24" ht="13.8" x14ac:dyDescent="0.2">
      <c r="B53" s="8">
        <f t="shared" si="5"/>
        <v>48</v>
      </c>
      <c r="C53" s="10">
        <v>48</v>
      </c>
      <c r="D53" s="13" t="s">
        <v>1346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1369</v>
      </c>
    </row>
    <row r="54" spans="2:24" ht="13.8" x14ac:dyDescent="0.2">
      <c r="B54" s="8">
        <f t="shared" si="5"/>
        <v>49</v>
      </c>
      <c r="C54" s="10">
        <v>49</v>
      </c>
      <c r="D54" s="13" t="s">
        <v>1347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704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1370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589</v>
      </c>
    </row>
    <row r="57" spans="2:24" ht="13.8" x14ac:dyDescent="0.2">
      <c r="B57" s="8">
        <f t="shared" si="5"/>
        <v>52</v>
      </c>
      <c r="C57" s="10">
        <v>52</v>
      </c>
      <c r="D57" s="13" t="s">
        <v>1997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1371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590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591</v>
      </c>
    </row>
    <row r="60" spans="2:24" ht="13.8" x14ac:dyDescent="0.2">
      <c r="B60" s="8">
        <f t="shared" si="5"/>
        <v>55</v>
      </c>
      <c r="C60" s="10">
        <v>55</v>
      </c>
      <c r="D60" s="13" t="s">
        <v>1348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1893</v>
      </c>
    </row>
    <row r="61" spans="2:24" ht="13.8" x14ac:dyDescent="0.2">
      <c r="B61" s="8">
        <f t="shared" si="5"/>
        <v>56</v>
      </c>
      <c r="C61" s="10">
        <v>56</v>
      </c>
      <c r="D61" s="13" t="s">
        <v>1349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1372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593</v>
      </c>
    </row>
    <row r="63" spans="2:24" ht="13.8" x14ac:dyDescent="0.2">
      <c r="B63" s="8">
        <f t="shared" si="5"/>
        <v>58</v>
      </c>
      <c r="C63" s="10">
        <v>58</v>
      </c>
      <c r="D63" s="13" t="s">
        <v>650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656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594</v>
      </c>
    </row>
    <row r="65" spans="2:24" ht="13.8" x14ac:dyDescent="0.2">
      <c r="B65" s="8">
        <f t="shared" si="5"/>
        <v>60</v>
      </c>
      <c r="C65" s="10">
        <v>60</v>
      </c>
      <c r="D65" s="13" t="s">
        <v>1350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605</v>
      </c>
    </row>
    <row r="66" spans="2:24" ht="13.8" x14ac:dyDescent="0.2">
      <c r="B66" s="8">
        <f t="shared" si="5"/>
        <v>61</v>
      </c>
      <c r="C66" s="10">
        <v>61</v>
      </c>
      <c r="D66" s="13" t="s">
        <v>651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657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595</v>
      </c>
    </row>
    <row r="68" spans="2:24" ht="13.8" x14ac:dyDescent="0.2">
      <c r="B68" s="8">
        <f t="shared" si="5"/>
        <v>63</v>
      </c>
      <c r="C68" s="10">
        <v>63</v>
      </c>
      <c r="D68" s="13" t="s">
        <v>1351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1373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658</v>
      </c>
    </row>
    <row r="70" spans="2:24" ht="13.8" x14ac:dyDescent="0.2">
      <c r="B70" s="8">
        <f t="shared" si="10"/>
        <v>65</v>
      </c>
      <c r="C70" s="10">
        <v>65</v>
      </c>
      <c r="D70" s="13" t="s">
        <v>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596</v>
      </c>
    </row>
    <row r="71" spans="2:24" ht="13.8" x14ac:dyDescent="0.2">
      <c r="B71" s="8">
        <f t="shared" si="10"/>
        <v>66</v>
      </c>
      <c r="C71" s="10">
        <v>66</v>
      </c>
      <c r="D71" s="13" t="s">
        <v>1352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1374</v>
      </c>
    </row>
    <row r="72" spans="2:24" ht="13.8" x14ac:dyDescent="0.2">
      <c r="B72" s="8">
        <f t="shared" si="10"/>
        <v>67</v>
      </c>
      <c r="C72" s="10">
        <v>67</v>
      </c>
      <c r="D72" s="13" t="s">
        <v>263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598</v>
      </c>
    </row>
    <row r="73" spans="2:24" ht="13.8" x14ac:dyDescent="0.2">
      <c r="B73" s="8">
        <f t="shared" si="10"/>
        <v>68</v>
      </c>
      <c r="C73" s="10">
        <v>68</v>
      </c>
      <c r="D73" s="13" t="s">
        <v>1276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659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599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1254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604</v>
      </c>
    </row>
    <row r="99" spans="2:24" ht="13.8" x14ac:dyDescent="0.2">
      <c r="B99" s="8">
        <f t="shared" si="10"/>
        <v>94</v>
      </c>
      <c r="C99" s="10">
        <v>94</v>
      </c>
      <c r="D99" s="13" t="s">
        <v>265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600</v>
      </c>
    </row>
    <row r="100" spans="2:24" ht="13.8" x14ac:dyDescent="0.2">
      <c r="B100" s="8">
        <f t="shared" si="10"/>
        <v>95</v>
      </c>
      <c r="C100" s="10">
        <v>95</v>
      </c>
      <c r="D100" s="13" t="s">
        <v>266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601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1353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1375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1354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1894</v>
      </c>
    </row>
    <row r="105" spans="2:24" ht="13.8" x14ac:dyDescent="0.2">
      <c r="B105" s="8">
        <f t="shared" si="10"/>
        <v>122</v>
      </c>
      <c r="C105" s="10">
        <v>122</v>
      </c>
      <c r="D105" s="13" t="s">
        <v>1243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597</v>
      </c>
    </row>
    <row r="106" spans="2:24" ht="13.8" x14ac:dyDescent="0.2">
      <c r="B106" s="8">
        <f t="shared" si="10"/>
        <v>123</v>
      </c>
      <c r="C106" s="10">
        <v>123</v>
      </c>
      <c r="D106" s="13" t="s">
        <v>1355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1376</v>
      </c>
    </row>
    <row r="107" spans="2:24" ht="13.8" x14ac:dyDescent="0.2">
      <c r="B107" s="8">
        <f t="shared" si="10"/>
        <v>125</v>
      </c>
      <c r="C107" s="10">
        <v>125</v>
      </c>
      <c r="D107" s="13" t="s">
        <v>1356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660</v>
      </c>
    </row>
    <row r="108" spans="2:24" ht="13.8" x14ac:dyDescent="0.2">
      <c r="B108" s="8">
        <f t="shared" si="10"/>
        <v>126</v>
      </c>
      <c r="C108" s="10">
        <v>126</v>
      </c>
      <c r="D108" s="13" t="s">
        <v>1357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1377</v>
      </c>
    </row>
    <row r="109" spans="2:24" ht="13.8" x14ac:dyDescent="0.2">
      <c r="B109" s="8">
        <f t="shared" si="10"/>
        <v>127</v>
      </c>
      <c r="C109" s="10">
        <v>127</v>
      </c>
      <c r="D109" s="13" t="s">
        <v>1358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587</v>
      </c>
    </row>
    <row r="110" spans="2:24" ht="13.8" x14ac:dyDescent="0.2">
      <c r="B110" s="8">
        <f t="shared" si="10"/>
        <v>128</v>
      </c>
      <c r="C110" s="10">
        <v>128</v>
      </c>
      <c r="D110" s="13" t="s">
        <v>1359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576</v>
      </c>
    </row>
    <row r="111" spans="2:24" ht="13.8" x14ac:dyDescent="0.2">
      <c r="B111" s="8">
        <f t="shared" si="10"/>
        <v>130</v>
      </c>
      <c r="C111" s="10">
        <v>130</v>
      </c>
      <c r="D111" s="26" t="s">
        <v>1360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577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0.24324324324324326</v>
      </c>
      <c r="F2" s="5">
        <f t="shared" ref="F2:L2" si="0">SUM(F4:F104)</f>
        <v>1221</v>
      </c>
      <c r="G2" s="5">
        <f t="shared" si="0"/>
        <v>297</v>
      </c>
      <c r="H2" s="5">
        <f t="shared" si="0"/>
        <v>41</v>
      </c>
      <c r="I2" s="5">
        <f t="shared" si="0"/>
        <v>3</v>
      </c>
      <c r="J2" s="6">
        <f t="shared" si="0"/>
        <v>18</v>
      </c>
      <c r="K2" s="12">
        <f t="shared" ref="K2:K67" si="1">((G2-H2-I2-J2)+(H2*2)+(I2*3)+(J2*4))</f>
        <v>398</v>
      </c>
      <c r="L2" s="7">
        <f t="shared" si="0"/>
        <v>90</v>
      </c>
      <c r="M2" s="11">
        <f t="shared" ref="M2:M5" si="2">IFERROR(IF((G2+P2+Q2)/(F2+P2+Q2+S2)=1,"1.00",(G2+P2+Q2)/(F2+P2+Q2+S2)),0)</f>
        <v>0.28943338437978561</v>
      </c>
      <c r="N2" s="11">
        <f>IF(F2=0,IF(M2="1.00","1.000",M2),SUM(ROUND(K2/F2,3),M2))</f>
        <v>0.61543338437978568</v>
      </c>
      <c r="O2" s="5">
        <f>SUM(O4:O104)</f>
        <v>248</v>
      </c>
      <c r="P2" s="5">
        <f>SUM(P4:P104)</f>
        <v>75</v>
      </c>
      <c r="Q2" s="5">
        <f>SUM(Q4:Q104)</f>
        <v>6</v>
      </c>
      <c r="R2" s="5">
        <f>SUM(R4:R104)</f>
        <v>35</v>
      </c>
      <c r="S2" s="5">
        <f>SUM(S4:S104)</f>
        <v>4</v>
      </c>
      <c r="T2" s="5">
        <f t="shared" ref="T2:V2" si="3">SUM(T4:T104)</f>
        <v>3</v>
      </c>
      <c r="U2" s="5">
        <f t="shared" si="3"/>
        <v>6</v>
      </c>
      <c r="V2" s="5">
        <f t="shared" si="3"/>
        <v>18</v>
      </c>
      <c r="W2" s="20">
        <f>IFERROR(CalcRC27(F2,G2,K2,O2,P2,Q2,R2,S2,T2,U2,V2),"-")</f>
        <v>3.0754640392212846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>
        <f t="shared" ref="E4:E68" si="4">IFERROR(IF(G4/F4=1,"1.00",G4/F4),"---")</f>
        <v>0</v>
      </c>
      <c r="F4" s="5">
        <v>9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3</v>
      </c>
      <c r="P4" s="21">
        <v>0</v>
      </c>
      <c r="Q4" s="21">
        <v>0</v>
      </c>
      <c r="R4" s="22">
        <v>0</v>
      </c>
      <c r="S4" s="22">
        <v>0</v>
      </c>
      <c r="T4" s="20">
        <v>2</v>
      </c>
      <c r="U4" s="20">
        <v>0</v>
      </c>
      <c r="V4" s="20">
        <v>0</v>
      </c>
      <c r="W4" s="62">
        <f>IFERROR(CalcRC27(F4,G4,K4,O4,P4,Q4,R4,S4,T4,U4,V4),"-")</f>
        <v>-1.7480000000000013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1378</v>
      </c>
      <c r="E6" s="11">
        <f t="shared" si="4"/>
        <v>0.16129032258064516</v>
      </c>
      <c r="F6" s="5">
        <v>62</v>
      </c>
      <c r="G6" s="5">
        <v>10</v>
      </c>
      <c r="H6" s="5">
        <v>1</v>
      </c>
      <c r="I6" s="5">
        <v>0</v>
      </c>
      <c r="J6" s="6">
        <v>0</v>
      </c>
      <c r="K6" s="12">
        <v>10</v>
      </c>
      <c r="L6" s="7">
        <v>1</v>
      </c>
      <c r="M6" s="11">
        <f t="shared" ref="M6:M69" si="7">IFERROR(IF((G6+P6+Q6)/(F6+P6+Q6+S6)=1,"1.00",(G6+P6+Q6)/(F6+P6+Q6+S6)),0)</f>
        <v>0.23529411764705882</v>
      </c>
      <c r="N6" s="11">
        <f t="shared" si="6"/>
        <v>0.3962941176470588</v>
      </c>
      <c r="O6" s="20">
        <v>11</v>
      </c>
      <c r="P6" s="21">
        <v>6</v>
      </c>
      <c r="Q6" s="21">
        <v>0</v>
      </c>
      <c r="R6" s="22">
        <v>1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0.9538277276456093</v>
      </c>
      <c r="X6" s="13" t="s">
        <v>560</v>
      </c>
    </row>
    <row r="7" spans="2:24" ht="13.8" x14ac:dyDescent="0.2">
      <c r="B7" s="8">
        <f t="shared" si="5"/>
        <v>2</v>
      </c>
      <c r="C7" s="10">
        <v>2</v>
      </c>
      <c r="D7" s="13" t="s">
        <v>1379</v>
      </c>
      <c r="E7" s="11">
        <f t="shared" si="4"/>
        <v>0.20754716981132076</v>
      </c>
      <c r="F7" s="5">
        <v>106</v>
      </c>
      <c r="G7" s="5">
        <v>22</v>
      </c>
      <c r="H7" s="5">
        <v>3</v>
      </c>
      <c r="I7" s="5">
        <v>0</v>
      </c>
      <c r="J7" s="6">
        <v>0</v>
      </c>
      <c r="K7" s="12">
        <v>25</v>
      </c>
      <c r="L7" s="7">
        <v>6</v>
      </c>
      <c r="M7" s="11">
        <f t="shared" si="7"/>
        <v>0.25</v>
      </c>
      <c r="N7" s="11">
        <f t="shared" si="6"/>
        <v>0.48599999999999999</v>
      </c>
      <c r="O7" s="20">
        <v>14</v>
      </c>
      <c r="P7" s="21">
        <v>6</v>
      </c>
      <c r="Q7" s="21">
        <v>0</v>
      </c>
      <c r="R7" s="22">
        <v>6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1.8375096045197719</v>
      </c>
      <c r="X7" s="13" t="s">
        <v>1424</v>
      </c>
    </row>
    <row r="8" spans="2:24" ht="13.8" x14ac:dyDescent="0.2">
      <c r="B8" s="8">
        <f t="shared" si="5"/>
        <v>3</v>
      </c>
      <c r="C8" s="10">
        <v>3</v>
      </c>
      <c r="D8" s="13" t="s">
        <v>2020</v>
      </c>
      <c r="E8" s="11">
        <f t="shared" si="4"/>
        <v>0.265625</v>
      </c>
      <c r="F8" s="5">
        <v>64</v>
      </c>
      <c r="G8" s="5">
        <v>17</v>
      </c>
      <c r="H8" s="5">
        <v>2</v>
      </c>
      <c r="I8" s="5">
        <v>0</v>
      </c>
      <c r="J8" s="6">
        <v>0</v>
      </c>
      <c r="K8" s="12">
        <v>19</v>
      </c>
      <c r="L8" s="7">
        <v>4</v>
      </c>
      <c r="M8" s="11">
        <f t="shared" si="7"/>
        <v>0.265625</v>
      </c>
      <c r="N8" s="11">
        <f t="shared" si="6"/>
        <v>0.56262499999999993</v>
      </c>
      <c r="O8" s="20">
        <v>11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1</v>
      </c>
      <c r="W8" s="62">
        <f>IFERROR(CalcRC27(F8,G8,K8,O8,P8,Q8,R8,S8,T8,U8,V8),"-")</f>
        <v>2.4922187499999979</v>
      </c>
      <c r="X8" s="13" t="s">
        <v>536</v>
      </c>
    </row>
    <row r="9" spans="2:24" ht="13.8" x14ac:dyDescent="0.2">
      <c r="B9" s="8">
        <f t="shared" si="5"/>
        <v>4</v>
      </c>
      <c r="C9" s="10">
        <v>4</v>
      </c>
      <c r="D9" s="13" t="s">
        <v>764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1425</v>
      </c>
    </row>
    <row r="10" spans="2:24" ht="13.8" x14ac:dyDescent="0.2">
      <c r="B10" s="8">
        <f t="shared" si="5"/>
        <v>5</v>
      </c>
      <c r="C10" s="10">
        <v>5</v>
      </c>
      <c r="D10" s="13" t="s">
        <v>1380</v>
      </c>
      <c r="E10" s="11">
        <f t="shared" si="4"/>
        <v>0.375</v>
      </c>
      <c r="F10" s="5">
        <v>88</v>
      </c>
      <c r="G10" s="5">
        <v>33</v>
      </c>
      <c r="H10" s="5">
        <v>4</v>
      </c>
      <c r="I10" s="5">
        <v>1</v>
      </c>
      <c r="J10" s="6">
        <v>0</v>
      </c>
      <c r="K10" s="12">
        <v>39</v>
      </c>
      <c r="L10" s="7">
        <v>9</v>
      </c>
      <c r="M10" s="11">
        <f t="shared" si="7"/>
        <v>0.42857142857142855</v>
      </c>
      <c r="N10" s="11">
        <f t="shared" si="6"/>
        <v>0.87157142857142855</v>
      </c>
      <c r="O10" s="20">
        <v>14</v>
      </c>
      <c r="P10" s="21">
        <v>9</v>
      </c>
      <c r="Q10" s="21">
        <v>0</v>
      </c>
      <c r="R10" s="22">
        <v>2</v>
      </c>
      <c r="S10" s="22">
        <v>1</v>
      </c>
      <c r="T10" s="20">
        <v>1</v>
      </c>
      <c r="U10" s="20">
        <v>2</v>
      </c>
      <c r="V10" s="20">
        <v>1</v>
      </c>
      <c r="W10" s="62">
        <f>IFERROR(CalcRC27(F10,G10,K10,O10,P10,Q10,R10,S10,T10,U10,V10),"-")</f>
        <v>7.2486147540983588</v>
      </c>
      <c r="X10" s="13" t="s">
        <v>1426</v>
      </c>
    </row>
    <row r="11" spans="2:24" ht="13.8" x14ac:dyDescent="0.2">
      <c r="B11" s="8">
        <f t="shared" si="5"/>
        <v>6</v>
      </c>
      <c r="C11" s="10">
        <v>6</v>
      </c>
      <c r="D11" s="13" t="s">
        <v>1381</v>
      </c>
      <c r="E11" s="11">
        <f t="shared" si="4"/>
        <v>0.27272727272727271</v>
      </c>
      <c r="F11" s="5">
        <v>121</v>
      </c>
      <c r="G11" s="5">
        <v>33</v>
      </c>
      <c r="H11" s="5">
        <v>6</v>
      </c>
      <c r="I11" s="5">
        <v>0</v>
      </c>
      <c r="J11" s="6">
        <v>3</v>
      </c>
      <c r="K11" s="12">
        <v>46</v>
      </c>
      <c r="L11" s="7">
        <v>16</v>
      </c>
      <c r="M11" s="11">
        <f t="shared" si="7"/>
        <v>0.31060606060606061</v>
      </c>
      <c r="N11" s="11">
        <f t="shared" si="6"/>
        <v>0.69060606060606067</v>
      </c>
      <c r="O11" s="20">
        <v>17</v>
      </c>
      <c r="P11" s="21">
        <v>7</v>
      </c>
      <c r="Q11" s="21">
        <v>1</v>
      </c>
      <c r="R11" s="22">
        <v>0</v>
      </c>
      <c r="S11" s="22">
        <v>3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4.2164046920821097</v>
      </c>
      <c r="X11" s="13" t="s">
        <v>1427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538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>
        <f t="shared" si="4"/>
        <v>0.22222222222222221</v>
      </c>
      <c r="F13" s="5">
        <v>54</v>
      </c>
      <c r="G13" s="5">
        <v>12</v>
      </c>
      <c r="H13" s="5">
        <v>2</v>
      </c>
      <c r="I13" s="5">
        <v>0</v>
      </c>
      <c r="J13" s="6">
        <v>0</v>
      </c>
      <c r="K13" s="12">
        <v>13</v>
      </c>
      <c r="L13" s="7">
        <v>1</v>
      </c>
      <c r="M13" s="11">
        <f t="shared" si="7"/>
        <v>0.31147540983606559</v>
      </c>
      <c r="N13" s="11">
        <f t="shared" si="6"/>
        <v>0.55247540983606558</v>
      </c>
      <c r="O13" s="20">
        <v>4</v>
      </c>
      <c r="P13" s="21">
        <v>7</v>
      </c>
      <c r="Q13" s="21">
        <v>0</v>
      </c>
      <c r="R13" s="22">
        <v>0</v>
      </c>
      <c r="S13" s="22">
        <v>0</v>
      </c>
      <c r="T13" s="20">
        <v>0</v>
      </c>
      <c r="U13" s="20">
        <v>1</v>
      </c>
      <c r="V13" s="20">
        <v>0</v>
      </c>
      <c r="W13" s="62">
        <f>IFERROR(CalcRC27(F13,G13,K13,O13,P13,Q13,R13,S13,T13,U13,V13),"-")</f>
        <v>2.7012352268394948</v>
      </c>
      <c r="X13" s="13" t="s">
        <v>539</v>
      </c>
    </row>
    <row r="14" spans="2:24" ht="13.8" x14ac:dyDescent="0.2">
      <c r="B14" s="8">
        <f t="shared" si="5"/>
        <v>9</v>
      </c>
      <c r="C14" s="10">
        <v>9</v>
      </c>
      <c r="D14" s="13" t="s">
        <v>1382</v>
      </c>
      <c r="E14" s="11">
        <f t="shared" si="4"/>
        <v>0</v>
      </c>
      <c r="F14" s="5">
        <v>4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1</v>
      </c>
      <c r="M14" s="11">
        <f t="shared" si="7"/>
        <v>0.2</v>
      </c>
      <c r="N14" s="11">
        <f t="shared" si="6"/>
        <v>0.2</v>
      </c>
      <c r="O14" s="20">
        <v>3</v>
      </c>
      <c r="P14" s="21">
        <v>0</v>
      </c>
      <c r="Q14" s="21">
        <v>1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>
        <f>IFERROR(CalcRC27(F14,G14,K14,O14,P14,Q14,R14,S14,T14,U14,V14),"-")</f>
        <v>-0.79350000000000176</v>
      </c>
      <c r="X14" s="13" t="s">
        <v>1428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1296</v>
      </c>
      <c r="E16" s="11">
        <f t="shared" si="4"/>
        <v>0</v>
      </c>
      <c r="F16" s="5">
        <v>9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4</v>
      </c>
      <c r="P16" s="21">
        <v>0</v>
      </c>
      <c r="Q16" s="21">
        <v>0</v>
      </c>
      <c r="R16" s="22">
        <v>3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-1.8180000000000014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540</v>
      </c>
    </row>
    <row r="18" spans="2:24" ht="13.8" x14ac:dyDescent="0.2">
      <c r="B18" s="8">
        <f t="shared" si="5"/>
        <v>13</v>
      </c>
      <c r="C18" s="10">
        <v>13</v>
      </c>
      <c r="D18" s="13" t="s">
        <v>1252</v>
      </c>
      <c r="E18" s="11">
        <f t="shared" si="4"/>
        <v>0</v>
      </c>
      <c r="F18" s="5">
        <v>1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1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>
        <f>IFERROR(CalcRC27(F18,G18,K18,O18,P18,Q18,R18,S18,T18,U18,V18),"-")</f>
        <v>-2.9160000000000013</v>
      </c>
      <c r="X18" s="13" t="s">
        <v>541</v>
      </c>
    </row>
    <row r="19" spans="2:24" ht="13.8" x14ac:dyDescent="0.2">
      <c r="B19" s="8">
        <f t="shared" si="5"/>
        <v>14</v>
      </c>
      <c r="C19" s="10">
        <v>14</v>
      </c>
      <c r="D19" s="13" t="s">
        <v>1383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1429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>
        <f t="shared" si="4"/>
        <v>0.27272727272727271</v>
      </c>
      <c r="F22" s="5">
        <v>11</v>
      </c>
      <c r="G22" s="5">
        <v>3</v>
      </c>
      <c r="H22" s="5">
        <v>2</v>
      </c>
      <c r="I22" s="5">
        <v>0</v>
      </c>
      <c r="J22" s="6">
        <v>0</v>
      </c>
      <c r="K22" s="12">
        <v>3</v>
      </c>
      <c r="L22" s="7">
        <v>0</v>
      </c>
      <c r="M22" s="11">
        <f t="shared" si="7"/>
        <v>0.33333333333333331</v>
      </c>
      <c r="N22" s="11">
        <f t="shared" si="6"/>
        <v>0.60633333333333339</v>
      </c>
      <c r="O22" s="20">
        <v>4</v>
      </c>
      <c r="P22" s="21">
        <v>1</v>
      </c>
      <c r="Q22" s="21">
        <v>0</v>
      </c>
      <c r="R22" s="22">
        <v>2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3.203999999999998</v>
      </c>
      <c r="X22" s="13" t="s">
        <v>542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>
        <f t="shared" si="4"/>
        <v>0</v>
      </c>
      <c r="F23" s="5">
        <v>6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3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-2.8080000000000016</v>
      </c>
      <c r="X23" s="13" t="s">
        <v>543</v>
      </c>
    </row>
    <row r="24" spans="2:24" ht="13.8" x14ac:dyDescent="0.2">
      <c r="B24" s="8">
        <f t="shared" si="5"/>
        <v>19</v>
      </c>
      <c r="C24" s="10">
        <v>19</v>
      </c>
      <c r="D24" s="13" t="s">
        <v>2020</v>
      </c>
      <c r="E24" s="11">
        <f t="shared" si="4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0</v>
      </c>
      <c r="M24" s="11">
        <f t="shared" si="7"/>
        <v>0.2</v>
      </c>
      <c r="N24" s="11">
        <f t="shared" si="6"/>
        <v>0.4</v>
      </c>
      <c r="O24" s="20">
        <v>2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0.8237999999999982</v>
      </c>
      <c r="X24" s="13" t="s">
        <v>544</v>
      </c>
    </row>
    <row r="25" spans="2:24" ht="13.8" x14ac:dyDescent="0.2">
      <c r="B25" s="8">
        <f t="shared" si="5"/>
        <v>20</v>
      </c>
      <c r="C25" s="10">
        <v>20</v>
      </c>
      <c r="D25" s="13" t="s">
        <v>1384</v>
      </c>
      <c r="E25" s="11">
        <f t="shared" si="4"/>
        <v>0</v>
      </c>
      <c r="F25" s="5">
        <v>10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4</v>
      </c>
      <c r="P25" s="21">
        <v>0</v>
      </c>
      <c r="Q25" s="21">
        <v>0</v>
      </c>
      <c r="R25" s="22">
        <v>1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-2.4316363636363652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>
        <f t="shared" si="4"/>
        <v>0</v>
      </c>
      <c r="F27" s="5">
        <v>2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7"/>
        <v>0.33333333333333331</v>
      </c>
      <c r="N27" s="11">
        <f t="shared" si="6"/>
        <v>0.33333333333333331</v>
      </c>
      <c r="O27" s="20">
        <v>0</v>
      </c>
      <c r="P27" s="21">
        <v>1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1.515999999999998</v>
      </c>
      <c r="X27" s="13" t="s">
        <v>1430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546</v>
      </c>
    </row>
    <row r="30" spans="2:24" ht="13.8" x14ac:dyDescent="0.2">
      <c r="B30" s="8">
        <f t="shared" si="5"/>
        <v>25</v>
      </c>
      <c r="C30" s="10">
        <v>25</v>
      </c>
      <c r="D30" s="13" t="s">
        <v>1385</v>
      </c>
      <c r="E30" s="11">
        <f t="shared" si="4"/>
        <v>0.29032258064516131</v>
      </c>
      <c r="F30" s="5">
        <v>31</v>
      </c>
      <c r="G30" s="5">
        <v>9</v>
      </c>
      <c r="H30" s="5">
        <v>0</v>
      </c>
      <c r="I30" s="5">
        <v>0</v>
      </c>
      <c r="J30" s="6">
        <v>1</v>
      </c>
      <c r="K30" s="12">
        <v>12</v>
      </c>
      <c r="L30" s="7">
        <v>2</v>
      </c>
      <c r="M30" s="11">
        <f t="shared" si="7"/>
        <v>0.3125</v>
      </c>
      <c r="N30" s="11">
        <f t="shared" si="6"/>
        <v>0.69950000000000001</v>
      </c>
      <c r="O30" s="20">
        <v>6</v>
      </c>
      <c r="P30" s="21">
        <v>0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>
        <f>IFERROR(CalcRC27(F30,G30,K30,O30,P30,Q30,R30,S30,T30,U30,V30),"-")</f>
        <v>4.6318636363636339</v>
      </c>
      <c r="X30" s="13" t="s">
        <v>535</v>
      </c>
    </row>
    <row r="31" spans="2:24" ht="13.8" x14ac:dyDescent="0.2">
      <c r="B31" s="8">
        <f t="shared" si="5"/>
        <v>26</v>
      </c>
      <c r="C31" s="10">
        <v>26</v>
      </c>
      <c r="D31" s="13" t="s">
        <v>765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1431</v>
      </c>
    </row>
    <row r="32" spans="2:24" ht="13.8" x14ac:dyDescent="0.2">
      <c r="B32" s="8">
        <f t="shared" si="5"/>
        <v>27</v>
      </c>
      <c r="C32" s="10">
        <v>27</v>
      </c>
      <c r="D32" s="13" t="s">
        <v>1352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1432</v>
      </c>
    </row>
    <row r="33" spans="2:24" ht="13.8" x14ac:dyDescent="0.2">
      <c r="B33" s="8">
        <f t="shared" si="5"/>
        <v>28</v>
      </c>
      <c r="C33" s="10">
        <v>28</v>
      </c>
      <c r="D33" s="13" t="s">
        <v>2033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547</v>
      </c>
    </row>
    <row r="34" spans="2:24" ht="13.8" x14ac:dyDescent="0.2">
      <c r="B34" s="8">
        <f t="shared" si="5"/>
        <v>29</v>
      </c>
      <c r="C34" s="10">
        <v>29</v>
      </c>
      <c r="D34" s="13" t="s">
        <v>1386</v>
      </c>
      <c r="E34" s="11">
        <f t="shared" si="4"/>
        <v>0</v>
      </c>
      <c r="F34" s="5">
        <v>3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-2.7000000000000015</v>
      </c>
      <c r="X34" s="13" t="s">
        <v>1433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>
        <f t="shared" si="4"/>
        <v>0.23376623376623376</v>
      </c>
      <c r="F35" s="5">
        <v>77</v>
      </c>
      <c r="G35" s="5">
        <v>18</v>
      </c>
      <c r="H35" s="5">
        <v>2</v>
      </c>
      <c r="I35" s="5">
        <v>1</v>
      </c>
      <c r="J35" s="6">
        <v>0</v>
      </c>
      <c r="K35" s="12">
        <v>22</v>
      </c>
      <c r="L35" s="7">
        <v>3</v>
      </c>
      <c r="M35" s="11">
        <f t="shared" si="7"/>
        <v>0.28048780487804881</v>
      </c>
      <c r="N35" s="11">
        <f t="shared" si="6"/>
        <v>0.56648780487804884</v>
      </c>
      <c r="O35" s="20">
        <v>21</v>
      </c>
      <c r="P35" s="21">
        <v>4</v>
      </c>
      <c r="Q35" s="21">
        <v>1</v>
      </c>
      <c r="R35" s="22">
        <v>1</v>
      </c>
      <c r="S35" s="22">
        <v>0</v>
      </c>
      <c r="T35" s="20">
        <v>0</v>
      </c>
      <c r="U35" s="20">
        <v>0</v>
      </c>
      <c r="V35" s="20">
        <v>2</v>
      </c>
      <c r="W35" s="62">
        <f>IFERROR(CalcRC27(F35,G35,K35,O35,P35,Q35,R35,S35,T35,U35,V35),"-")</f>
        <v>2.4120909444228511</v>
      </c>
      <c r="X35" s="13" t="s">
        <v>548</v>
      </c>
    </row>
    <row r="36" spans="2:24" ht="13.8" x14ac:dyDescent="0.2">
      <c r="B36" s="8">
        <f t="shared" si="5"/>
        <v>31</v>
      </c>
      <c r="C36" s="10">
        <v>31</v>
      </c>
      <c r="D36" s="13" t="s">
        <v>1387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1434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>
        <f t="shared" si="4"/>
        <v>0.33333333333333331</v>
      </c>
      <c r="F37" s="5">
        <v>3</v>
      </c>
      <c r="G37" s="5">
        <v>1</v>
      </c>
      <c r="H37" s="5">
        <v>1</v>
      </c>
      <c r="I37" s="5">
        <v>0</v>
      </c>
      <c r="J37" s="6">
        <v>0</v>
      </c>
      <c r="K37" s="12">
        <v>2</v>
      </c>
      <c r="L37" s="7">
        <v>0</v>
      </c>
      <c r="M37" s="11">
        <f t="shared" si="7"/>
        <v>0.33333333333333331</v>
      </c>
      <c r="N37" s="11">
        <f t="shared" si="6"/>
        <v>1.0003333333333333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8.6499999999999986</v>
      </c>
      <c r="X37" s="13" t="s">
        <v>549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550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>
        <f t="shared" si="4"/>
        <v>0.14285714285714285</v>
      </c>
      <c r="F40" s="5">
        <v>63</v>
      </c>
      <c r="G40" s="5">
        <v>9</v>
      </c>
      <c r="H40" s="5">
        <v>1</v>
      </c>
      <c r="I40" s="5">
        <v>0</v>
      </c>
      <c r="J40" s="6">
        <v>1</v>
      </c>
      <c r="K40" s="12">
        <v>13</v>
      </c>
      <c r="L40" s="7">
        <v>2</v>
      </c>
      <c r="M40" s="11">
        <f t="shared" si="7"/>
        <v>0.15625</v>
      </c>
      <c r="N40" s="11">
        <f t="shared" si="6"/>
        <v>0.36224999999999996</v>
      </c>
      <c r="O40" s="20">
        <v>9</v>
      </c>
      <c r="P40" s="21">
        <v>1</v>
      </c>
      <c r="Q40" s="21">
        <v>0</v>
      </c>
      <c r="R40" s="22">
        <v>7</v>
      </c>
      <c r="S40" s="22">
        <v>0</v>
      </c>
      <c r="T40" s="20">
        <v>0</v>
      </c>
      <c r="U40" s="20">
        <v>0</v>
      </c>
      <c r="V40" s="20">
        <v>3</v>
      </c>
      <c r="W40" s="62">
        <f>IFERROR(CalcRC27(F40,G40,K40,O40,P40,Q40,R40,S40,T40,U40,V40),"-")</f>
        <v>-5.500880281690311E-2</v>
      </c>
      <c r="X40" s="13" t="s">
        <v>551</v>
      </c>
    </row>
    <row r="41" spans="2:24" ht="13.8" x14ac:dyDescent="0.2">
      <c r="B41" s="8">
        <f t="shared" si="5"/>
        <v>36</v>
      </c>
      <c r="C41" s="10">
        <v>36</v>
      </c>
      <c r="D41" s="13" t="s">
        <v>2063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1435</v>
      </c>
    </row>
    <row r="42" spans="2:24" ht="13.8" x14ac:dyDescent="0.2">
      <c r="B42" s="8">
        <f t="shared" si="5"/>
        <v>37</v>
      </c>
      <c r="C42" s="10">
        <v>37</v>
      </c>
      <c r="D42" s="13" t="s">
        <v>1388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1436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>
        <f t="shared" si="4"/>
        <v>0.3</v>
      </c>
      <c r="F43" s="5">
        <v>10</v>
      </c>
      <c r="G43" s="5">
        <v>3</v>
      </c>
      <c r="H43" s="5">
        <v>0</v>
      </c>
      <c r="I43" s="5">
        <v>0</v>
      </c>
      <c r="J43" s="6">
        <v>0</v>
      </c>
      <c r="K43" s="12">
        <v>3</v>
      </c>
      <c r="L43" s="7">
        <v>1</v>
      </c>
      <c r="M43" s="11">
        <f t="shared" si="7"/>
        <v>0.3</v>
      </c>
      <c r="N43" s="11">
        <f t="shared" si="6"/>
        <v>0.6</v>
      </c>
      <c r="O43" s="20">
        <v>4</v>
      </c>
      <c r="P43" s="21">
        <v>0</v>
      </c>
      <c r="Q43" s="21">
        <v>0</v>
      </c>
      <c r="R43" s="22">
        <v>1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3.0802499999999982</v>
      </c>
      <c r="X43" s="13" t="s">
        <v>552</v>
      </c>
    </row>
    <row r="44" spans="2:24" ht="13.8" x14ac:dyDescent="0.2">
      <c r="B44" s="8">
        <f t="shared" si="5"/>
        <v>39</v>
      </c>
      <c r="C44" s="10">
        <v>39</v>
      </c>
      <c r="D44" s="13" t="s">
        <v>1389</v>
      </c>
      <c r="E44" s="11">
        <f t="shared" si="4"/>
        <v>0.23684210526315788</v>
      </c>
      <c r="F44" s="5">
        <v>38</v>
      </c>
      <c r="G44" s="5">
        <v>9</v>
      </c>
      <c r="H44" s="5">
        <v>2</v>
      </c>
      <c r="I44" s="5">
        <v>0</v>
      </c>
      <c r="J44" s="6">
        <v>0</v>
      </c>
      <c r="K44" s="12">
        <v>11</v>
      </c>
      <c r="L44" s="7">
        <v>3</v>
      </c>
      <c r="M44" s="11">
        <f t="shared" si="7"/>
        <v>0.25641025641025639</v>
      </c>
      <c r="N44" s="11">
        <f t="shared" si="6"/>
        <v>0.54541025641025631</v>
      </c>
      <c r="O44" s="20">
        <v>11</v>
      </c>
      <c r="P44" s="21">
        <v>1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2.4759893899204224</v>
      </c>
      <c r="X44" s="13" t="s">
        <v>1437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553</v>
      </c>
    </row>
    <row r="47" spans="2:24" ht="13.8" x14ac:dyDescent="0.2">
      <c r="B47" s="8">
        <f t="shared" si="5"/>
        <v>42</v>
      </c>
      <c r="C47" s="10">
        <v>42</v>
      </c>
      <c r="D47" s="13" t="s">
        <v>1175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1438</v>
      </c>
    </row>
    <row r="48" spans="2:24" ht="13.8" x14ac:dyDescent="0.2">
      <c r="B48" s="8">
        <f t="shared" si="5"/>
        <v>43</v>
      </c>
      <c r="C48" s="10">
        <v>43</v>
      </c>
      <c r="D48" s="13" t="s">
        <v>766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1439</v>
      </c>
    </row>
    <row r="49" spans="2:24" ht="13.8" x14ac:dyDescent="0.2">
      <c r="B49" s="8">
        <f t="shared" si="5"/>
        <v>44</v>
      </c>
      <c r="C49" s="10">
        <v>44</v>
      </c>
      <c r="D49" s="13" t="s">
        <v>1390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494</v>
      </c>
    </row>
    <row r="50" spans="2:24" ht="13.8" x14ac:dyDescent="0.2">
      <c r="B50" s="8">
        <f t="shared" si="5"/>
        <v>45</v>
      </c>
      <c r="C50" s="10">
        <v>45</v>
      </c>
      <c r="D50" s="13" t="s">
        <v>1391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1391</v>
      </c>
    </row>
    <row r="51" spans="2:24" ht="13.8" x14ac:dyDescent="0.2">
      <c r="B51" s="8">
        <f t="shared" si="5"/>
        <v>46</v>
      </c>
      <c r="C51" s="10">
        <v>46</v>
      </c>
      <c r="D51" s="13" t="s">
        <v>1392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1440</v>
      </c>
    </row>
    <row r="52" spans="2:24" ht="13.8" x14ac:dyDescent="0.2">
      <c r="B52" s="8">
        <f t="shared" si="5"/>
        <v>47</v>
      </c>
      <c r="C52" s="10">
        <v>47</v>
      </c>
      <c r="D52" s="13" t="s">
        <v>1393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627</v>
      </c>
    </row>
    <row r="53" spans="2:24" ht="13.8" x14ac:dyDescent="0.2">
      <c r="B53" s="8">
        <f t="shared" si="5"/>
        <v>48</v>
      </c>
      <c r="C53" s="10">
        <v>48</v>
      </c>
      <c r="D53" s="13" t="s">
        <v>1394</v>
      </c>
      <c r="E53" s="11">
        <f t="shared" si="4"/>
        <v>0</v>
      </c>
      <c r="F53" s="5">
        <v>2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1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-2.8080000000000012</v>
      </c>
      <c r="X53" s="13" t="s">
        <v>1441</v>
      </c>
    </row>
    <row r="54" spans="2:24" ht="13.8" x14ac:dyDescent="0.2">
      <c r="B54" s="8">
        <f t="shared" si="5"/>
        <v>49</v>
      </c>
      <c r="C54" s="10">
        <v>49</v>
      </c>
      <c r="D54" s="13" t="s">
        <v>1395</v>
      </c>
      <c r="E54" s="11">
        <f t="shared" si="4"/>
        <v>0.14814814814814814</v>
      </c>
      <c r="F54" s="5">
        <v>27</v>
      </c>
      <c r="G54" s="5">
        <v>4</v>
      </c>
      <c r="H54" s="5">
        <v>0</v>
      </c>
      <c r="I54" s="5">
        <v>1</v>
      </c>
      <c r="J54" s="6">
        <v>0</v>
      </c>
      <c r="K54" s="12">
        <v>6</v>
      </c>
      <c r="L54" s="7">
        <v>1</v>
      </c>
      <c r="M54" s="11">
        <f t="shared" si="7"/>
        <v>0.20689655172413793</v>
      </c>
      <c r="N54" s="11">
        <f t="shared" si="6"/>
        <v>0.42889655172413793</v>
      </c>
      <c r="O54" s="20">
        <v>13</v>
      </c>
      <c r="P54" s="21">
        <v>2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>
        <f>IFERROR(CalcRC27(F54,G54,K54,O54,P54,Q54,R54,S54,T54,U54,V54),"-")</f>
        <v>1.0278620689655154</v>
      </c>
      <c r="X54" s="13" t="s">
        <v>642</v>
      </c>
    </row>
    <row r="55" spans="2:24" ht="13.8" x14ac:dyDescent="0.2">
      <c r="B55" s="8">
        <f t="shared" si="5"/>
        <v>50</v>
      </c>
      <c r="C55" s="10">
        <v>50</v>
      </c>
      <c r="D55" s="13" t="s">
        <v>1135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556</v>
      </c>
    </row>
    <row r="56" spans="2:24" ht="13.8" x14ac:dyDescent="0.2">
      <c r="B56" s="8">
        <f t="shared" si="5"/>
        <v>51</v>
      </c>
      <c r="C56" s="10">
        <v>51</v>
      </c>
      <c r="D56" s="13" t="s">
        <v>1396</v>
      </c>
      <c r="E56" s="11">
        <f t="shared" si="4"/>
        <v>0.22368421052631579</v>
      </c>
      <c r="F56" s="5">
        <v>76</v>
      </c>
      <c r="G56" s="5">
        <v>17</v>
      </c>
      <c r="H56" s="5">
        <v>1</v>
      </c>
      <c r="I56" s="5">
        <v>0</v>
      </c>
      <c r="J56" s="6">
        <v>1</v>
      </c>
      <c r="K56" s="12">
        <v>21</v>
      </c>
      <c r="L56" s="7">
        <v>3</v>
      </c>
      <c r="M56" s="11">
        <f t="shared" si="7"/>
        <v>0.28915662650602408</v>
      </c>
      <c r="N56" s="11">
        <f t="shared" si="6"/>
        <v>0.56515662650602416</v>
      </c>
      <c r="O56" s="20">
        <v>16</v>
      </c>
      <c r="P56" s="21">
        <v>7</v>
      </c>
      <c r="Q56" s="21">
        <v>0</v>
      </c>
      <c r="R56" s="22">
        <v>1</v>
      </c>
      <c r="S56" s="22">
        <v>0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2.8911142857142837</v>
      </c>
      <c r="X56" s="13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638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1442</v>
      </c>
    </row>
    <row r="58" spans="2:24" ht="13.8" x14ac:dyDescent="0.2">
      <c r="B58" s="8">
        <f t="shared" si="5"/>
        <v>53</v>
      </c>
      <c r="C58" s="10">
        <v>53</v>
      </c>
      <c r="D58" s="13" t="s">
        <v>1397</v>
      </c>
      <c r="E58" s="11">
        <f t="shared" si="4"/>
        <v>0</v>
      </c>
      <c r="F58" s="5">
        <v>6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7"/>
        <v>0.14285714285714285</v>
      </c>
      <c r="N58" s="11">
        <f t="shared" si="6"/>
        <v>0.14285714285714285</v>
      </c>
      <c r="O58" s="20">
        <v>1</v>
      </c>
      <c r="P58" s="21">
        <v>1</v>
      </c>
      <c r="Q58" s="21">
        <v>0</v>
      </c>
      <c r="R58" s="22">
        <v>1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-0.9775714285714302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557</v>
      </c>
    </row>
    <row r="60" spans="2:24" ht="13.8" x14ac:dyDescent="0.2">
      <c r="B60" s="8">
        <f t="shared" si="5"/>
        <v>55</v>
      </c>
      <c r="C60" s="10">
        <v>55</v>
      </c>
      <c r="D60" s="13" t="s">
        <v>1423</v>
      </c>
      <c r="E60" s="11">
        <f t="shared" si="4"/>
        <v>0.30714285714285716</v>
      </c>
      <c r="F60" s="5">
        <v>140</v>
      </c>
      <c r="G60" s="5">
        <v>43</v>
      </c>
      <c r="H60" s="5">
        <v>10</v>
      </c>
      <c r="I60" s="5">
        <v>0</v>
      </c>
      <c r="J60" s="6">
        <v>8</v>
      </c>
      <c r="K60" s="12">
        <v>76</v>
      </c>
      <c r="L60" s="7">
        <v>23</v>
      </c>
      <c r="M60" s="11">
        <f t="shared" si="7"/>
        <v>0.35761589403973509</v>
      </c>
      <c r="N60" s="11">
        <f t="shared" si="6"/>
        <v>0.90061589403973508</v>
      </c>
      <c r="O60" s="20">
        <v>29</v>
      </c>
      <c r="P60" s="21">
        <v>10</v>
      </c>
      <c r="Q60" s="21">
        <v>1</v>
      </c>
      <c r="R60" s="22">
        <v>0</v>
      </c>
      <c r="S60" s="22">
        <v>0</v>
      </c>
      <c r="T60" s="20">
        <v>0</v>
      </c>
      <c r="U60" s="20">
        <v>1</v>
      </c>
      <c r="V60" s="20">
        <v>7</v>
      </c>
      <c r="W60" s="62">
        <f>IFERROR(CalcRC27(F60,G60,K60,O60,P60,Q60,R60,S60,T60,U60,V60),"-")</f>
        <v>6.0867012298959295</v>
      </c>
      <c r="X60" s="13" t="s">
        <v>631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1398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1443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558</v>
      </c>
    </row>
    <row r="64" spans="2:24" ht="13.8" x14ac:dyDescent="0.2">
      <c r="B64" s="8">
        <f t="shared" si="5"/>
        <v>59</v>
      </c>
      <c r="C64" s="10">
        <v>59</v>
      </c>
      <c r="D64" s="13" t="s">
        <v>1399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2025</v>
      </c>
      <c r="E65" s="11">
        <f t="shared" si="4"/>
        <v>0.31034482758620691</v>
      </c>
      <c r="F65" s="5">
        <v>58</v>
      </c>
      <c r="G65" s="5">
        <v>18</v>
      </c>
      <c r="H65" s="5">
        <v>1</v>
      </c>
      <c r="I65" s="5">
        <v>0</v>
      </c>
      <c r="J65" s="6">
        <v>1</v>
      </c>
      <c r="K65" s="12">
        <v>21</v>
      </c>
      <c r="L65" s="7">
        <v>5</v>
      </c>
      <c r="M65" s="11">
        <f t="shared" si="7"/>
        <v>0.375</v>
      </c>
      <c r="N65" s="11">
        <f t="shared" si="6"/>
        <v>0.73699999999999999</v>
      </c>
      <c r="O65" s="20">
        <v>9</v>
      </c>
      <c r="P65" s="21">
        <v>6</v>
      </c>
      <c r="Q65" s="21">
        <v>0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4.8831413237924846</v>
      </c>
      <c r="X65" s="13" t="s">
        <v>562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>
        <f t="shared" si="4"/>
        <v>0.33333333333333331</v>
      </c>
      <c r="F68" s="5">
        <v>3</v>
      </c>
      <c r="G68" s="5">
        <v>1</v>
      </c>
      <c r="H68" s="5">
        <v>0</v>
      </c>
      <c r="I68" s="5">
        <v>0</v>
      </c>
      <c r="J68" s="6">
        <v>0</v>
      </c>
      <c r="K68" s="12">
        <v>1</v>
      </c>
      <c r="L68" s="7">
        <v>0</v>
      </c>
      <c r="M68" s="11">
        <f t="shared" si="7"/>
        <v>0.33333333333333331</v>
      </c>
      <c r="N68" s="11">
        <f t="shared" si="6"/>
        <v>0.66633333333333333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>
        <f>IFERROR(CalcRC27(F68,G68,K68,O68,P68,Q68,R68,S68,T68,U68,V68),"-")</f>
        <v>4.5499999999999972</v>
      </c>
      <c r="X68" s="13"/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1357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0">((G69-H69-I69-J69)+(H69*2)+(I69*3)+(J69*4))</f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1444</v>
      </c>
    </row>
    <row r="70" spans="2:24" ht="13.8" x14ac:dyDescent="0.2">
      <c r="B70" s="8">
        <f t="shared" si="8"/>
        <v>65</v>
      </c>
      <c r="C70" s="10">
        <v>65</v>
      </c>
      <c r="D70" s="13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8"/>
        <v>66</v>
      </c>
      <c r="C71" s="10">
        <v>66</v>
      </c>
      <c r="D71" s="13" t="s">
        <v>89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1895</v>
      </c>
    </row>
    <row r="72" spans="2:24" ht="13.8" x14ac:dyDescent="0.2">
      <c r="B72" s="8">
        <f t="shared" si="8"/>
        <v>67</v>
      </c>
      <c r="C72" s="10">
        <v>67</v>
      </c>
      <c r="D72" s="13" t="s">
        <v>1400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1445</v>
      </c>
    </row>
    <row r="73" spans="2:24" ht="13.8" x14ac:dyDescent="0.2">
      <c r="B73" s="8">
        <f t="shared" si="8"/>
        <v>68</v>
      </c>
      <c r="C73" s="10">
        <v>68</v>
      </c>
      <c r="D73" s="13" t="s">
        <v>1401</v>
      </c>
      <c r="E73" s="11">
        <f t="shared" si="9"/>
        <v>0.23529411764705882</v>
      </c>
      <c r="F73" s="5">
        <v>17</v>
      </c>
      <c r="G73" s="5">
        <v>4</v>
      </c>
      <c r="H73" s="5">
        <v>2</v>
      </c>
      <c r="I73" s="5">
        <v>0</v>
      </c>
      <c r="J73" s="6">
        <v>0</v>
      </c>
      <c r="K73" s="12">
        <v>6</v>
      </c>
      <c r="L73" s="7">
        <v>0</v>
      </c>
      <c r="M73" s="11">
        <f t="shared" si="12"/>
        <v>0.35</v>
      </c>
      <c r="N73" s="11">
        <f t="shared" si="11"/>
        <v>0.70299999999999996</v>
      </c>
      <c r="O73" s="20">
        <v>6</v>
      </c>
      <c r="P73" s="21">
        <v>3</v>
      </c>
      <c r="Q73" s="21">
        <v>0</v>
      </c>
      <c r="R73" s="22">
        <v>1</v>
      </c>
      <c r="S73" s="22">
        <v>0</v>
      </c>
      <c r="T73" s="20">
        <v>0</v>
      </c>
      <c r="U73" s="20">
        <v>0</v>
      </c>
      <c r="V73" s="20">
        <v>0</v>
      </c>
      <c r="W73" s="62">
        <f>IFERROR(CalcRC27(F73,G73,K73,O73,P73,Q73,R73,S73,T73,U73,V73),"-")</f>
        <v>4.626142857142856</v>
      </c>
      <c r="X73" s="13" t="s">
        <v>1446</v>
      </c>
    </row>
    <row r="74" spans="2:24" ht="13.8" x14ac:dyDescent="0.2">
      <c r="B74" s="8">
        <f t="shared" si="8"/>
        <v>69</v>
      </c>
      <c r="C74" s="10">
        <v>69</v>
      </c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8"/>
        <v>70</v>
      </c>
      <c r="C75" s="10">
        <v>70</v>
      </c>
      <c r="D75" s="13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 t="s">
        <v>1900</v>
      </c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1447</v>
      </c>
    </row>
    <row r="96" spans="2:24" ht="13.8" x14ac:dyDescent="0.2">
      <c r="B96" s="8">
        <f t="shared" si="8"/>
        <v>91</v>
      </c>
      <c r="C96" s="10">
        <v>91</v>
      </c>
      <c r="D96" s="13" t="s">
        <v>1901</v>
      </c>
      <c r="E96" s="11">
        <f t="shared" si="9"/>
        <v>0</v>
      </c>
      <c r="F96" s="5">
        <v>3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2</v>
      </c>
      <c r="P96" s="21">
        <v>0</v>
      </c>
      <c r="Q96" s="21">
        <v>0</v>
      </c>
      <c r="R96" s="22">
        <v>4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-0.58114285714285852</v>
      </c>
      <c r="X96" s="13" t="s">
        <v>1896</v>
      </c>
    </row>
    <row r="97" spans="2:24" ht="13.8" x14ac:dyDescent="0.2">
      <c r="B97" s="8">
        <f t="shared" si="8"/>
        <v>92</v>
      </c>
      <c r="C97" s="10">
        <v>92</v>
      </c>
      <c r="D97" s="13" t="s">
        <v>1402</v>
      </c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1897</v>
      </c>
    </row>
    <row r="98" spans="2:24" ht="13.8" x14ac:dyDescent="0.2">
      <c r="B98" s="8">
        <f t="shared" si="8"/>
        <v>93</v>
      </c>
      <c r="C98" s="10">
        <v>93</v>
      </c>
      <c r="D98" s="13" t="s">
        <v>1902</v>
      </c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1898</v>
      </c>
    </row>
    <row r="99" spans="2:24" ht="13.8" x14ac:dyDescent="0.2">
      <c r="B99" s="8">
        <f t="shared" si="8"/>
        <v>94</v>
      </c>
      <c r="C99" s="10">
        <v>94</v>
      </c>
      <c r="D99" s="13" t="s">
        <v>1903</v>
      </c>
      <c r="E99" s="11">
        <f t="shared" si="9"/>
        <v>0.33333333333333331</v>
      </c>
      <c r="F99" s="5">
        <v>3</v>
      </c>
      <c r="G99" s="5">
        <v>1</v>
      </c>
      <c r="H99" s="5">
        <v>0</v>
      </c>
      <c r="I99" s="5">
        <v>0</v>
      </c>
      <c r="J99" s="6">
        <v>0</v>
      </c>
      <c r="K99" s="12">
        <v>1</v>
      </c>
      <c r="L99" s="7">
        <v>0</v>
      </c>
      <c r="M99" s="11">
        <f t="shared" si="12"/>
        <v>0.5</v>
      </c>
      <c r="N99" s="11">
        <f t="shared" si="11"/>
        <v>0.83299999999999996</v>
      </c>
      <c r="O99" s="20">
        <v>0</v>
      </c>
      <c r="P99" s="21">
        <v>0</v>
      </c>
      <c r="Q99" s="21">
        <v>1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>
        <f>IFERROR(CalcRC27(F99,G99,K99,O99,P99,Q99,R99,S99,T99,U99,V99),"-")</f>
        <v>9.080999999999996</v>
      </c>
      <c r="X99" s="13" t="s">
        <v>1899</v>
      </c>
    </row>
    <row r="100" spans="2:24" ht="13.8" x14ac:dyDescent="0.2">
      <c r="B100" s="8">
        <f t="shared" si="8"/>
        <v>95</v>
      </c>
      <c r="C100" s="10">
        <v>95</v>
      </c>
      <c r="D100" s="13"/>
      <c r="E100" s="11">
        <f t="shared" si="9"/>
        <v>0.13636363636363635</v>
      </c>
      <c r="F100" s="5">
        <v>22</v>
      </c>
      <c r="G100" s="5">
        <v>3</v>
      </c>
      <c r="H100" s="5">
        <v>0</v>
      </c>
      <c r="I100" s="5">
        <v>0</v>
      </c>
      <c r="J100" s="6">
        <v>0</v>
      </c>
      <c r="K100" s="12">
        <v>3</v>
      </c>
      <c r="L100" s="7">
        <v>0</v>
      </c>
      <c r="M100" s="11">
        <f t="shared" si="12"/>
        <v>0.13636363636363635</v>
      </c>
      <c r="N100" s="11">
        <f t="shared" si="11"/>
        <v>0.27236363636363636</v>
      </c>
      <c r="O100" s="20">
        <v>9</v>
      </c>
      <c r="P100" s="21">
        <v>0</v>
      </c>
      <c r="Q100" s="21">
        <v>0</v>
      </c>
      <c r="R100" s="22">
        <v>1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-0.51761739130434947</v>
      </c>
      <c r="X100" s="13"/>
    </row>
    <row r="101" spans="2:24" ht="13.8" x14ac:dyDescent="0.2">
      <c r="B101" s="8">
        <f t="shared" si="8"/>
        <v>96</v>
      </c>
      <c r="C101" s="10">
        <v>96</v>
      </c>
      <c r="D101" s="13" t="s">
        <v>1403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1448</v>
      </c>
    </row>
    <row r="102" spans="2:24" ht="13.8" x14ac:dyDescent="0.2">
      <c r="B102" s="8">
        <f t="shared" si="8"/>
        <v>97</v>
      </c>
      <c r="C102" s="10">
        <v>97</v>
      </c>
      <c r="D102" s="13" t="s">
        <v>1404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1449</v>
      </c>
    </row>
    <row r="103" spans="2:24" ht="13.8" x14ac:dyDescent="0.2">
      <c r="B103" s="8">
        <f t="shared" si="8"/>
        <v>98</v>
      </c>
      <c r="C103" s="10">
        <v>98</v>
      </c>
      <c r="D103" s="13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8"/>
        <v>99</v>
      </c>
      <c r="C104" s="10">
        <v>99</v>
      </c>
      <c r="D104" s="13" t="s">
        <v>1405</v>
      </c>
      <c r="E104" s="11">
        <f t="shared" si="9"/>
        <v>0.2988505747126437</v>
      </c>
      <c r="F104" s="5">
        <v>87</v>
      </c>
      <c r="G104" s="5">
        <v>26</v>
      </c>
      <c r="H104" s="5">
        <v>1</v>
      </c>
      <c r="I104" s="5">
        <v>0</v>
      </c>
      <c r="J104" s="6">
        <v>3</v>
      </c>
      <c r="K104" s="12">
        <v>35</v>
      </c>
      <c r="L104" s="7">
        <v>9</v>
      </c>
      <c r="M104" s="11">
        <f t="shared" si="12"/>
        <v>0.32222222222222224</v>
      </c>
      <c r="N104" s="11">
        <f t="shared" si="11"/>
        <v>0.72422222222222232</v>
      </c>
      <c r="O104" s="20">
        <v>16</v>
      </c>
      <c r="P104" s="21">
        <v>3</v>
      </c>
      <c r="Q104" s="21">
        <v>0</v>
      </c>
      <c r="R104" s="22">
        <v>1</v>
      </c>
      <c r="S104" s="22">
        <v>0</v>
      </c>
      <c r="T104" s="20">
        <v>0</v>
      </c>
      <c r="U104" s="20">
        <v>1</v>
      </c>
      <c r="V104" s="20">
        <v>1</v>
      </c>
      <c r="W104" s="62">
        <f>IFERROR(CalcRC27(F104,G104,K104,O104,P104,Q104,R104,S104,T104,U104,V104),"-")</f>
        <v>4.4870099587912078</v>
      </c>
      <c r="X104" s="13" t="s">
        <v>1904</v>
      </c>
    </row>
    <row r="105" spans="2:24" ht="13.8" x14ac:dyDescent="0.2">
      <c r="B105" s="8">
        <f t="shared" si="8"/>
        <v>201</v>
      </c>
      <c r="C105" s="10">
        <v>201</v>
      </c>
      <c r="D105" s="23" t="s">
        <v>1406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1450</v>
      </c>
    </row>
    <row r="106" spans="2:24" ht="13.8" x14ac:dyDescent="0.2">
      <c r="B106" s="8">
        <f t="shared" si="8"/>
        <v>202</v>
      </c>
      <c r="C106" s="10">
        <v>202</v>
      </c>
      <c r="D106" s="13" t="s">
        <v>1176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1905</v>
      </c>
    </row>
    <row r="107" spans="2:24" ht="13.8" x14ac:dyDescent="0.2">
      <c r="B107" s="8">
        <f t="shared" si="8"/>
        <v>203</v>
      </c>
      <c r="C107" s="10">
        <v>203</v>
      </c>
      <c r="D107" s="13" t="s">
        <v>1407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1451</v>
      </c>
    </row>
    <row r="108" spans="2:24" ht="13.8" x14ac:dyDescent="0.2">
      <c r="B108" s="8">
        <f t="shared" si="8"/>
        <v>204</v>
      </c>
      <c r="C108" s="10">
        <v>204</v>
      </c>
      <c r="D108" s="13" t="s">
        <v>1408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561</v>
      </c>
    </row>
    <row r="109" spans="2:24" ht="13.8" x14ac:dyDescent="0.2">
      <c r="B109" s="8">
        <f t="shared" si="8"/>
        <v>205</v>
      </c>
      <c r="C109" s="10">
        <v>205</v>
      </c>
      <c r="D109" s="13" t="s">
        <v>1409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1452</v>
      </c>
    </row>
    <row r="110" spans="2:24" ht="13.8" x14ac:dyDescent="0.2">
      <c r="B110" s="8">
        <f t="shared" si="8"/>
        <v>206</v>
      </c>
      <c r="C110" s="10">
        <v>206</v>
      </c>
      <c r="D110" s="13" t="s">
        <v>1410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1453</v>
      </c>
    </row>
    <row r="111" spans="2:24" ht="13.8" x14ac:dyDescent="0.2">
      <c r="B111" s="8">
        <f t="shared" si="8"/>
        <v>207</v>
      </c>
      <c r="C111" s="10">
        <v>207</v>
      </c>
      <c r="D111" s="13" t="s">
        <v>1411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1454</v>
      </c>
    </row>
    <row r="112" spans="2:24" ht="13.8" x14ac:dyDescent="0.2">
      <c r="B112" s="8">
        <f t="shared" si="8"/>
        <v>208</v>
      </c>
      <c r="C112" s="10">
        <v>208</v>
      </c>
      <c r="D112" s="13" t="s">
        <v>1412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1455</v>
      </c>
    </row>
    <row r="113" spans="2:24" ht="13.8" x14ac:dyDescent="0.2">
      <c r="B113" s="8">
        <f t="shared" si="8"/>
        <v>209</v>
      </c>
      <c r="C113" s="10">
        <v>209</v>
      </c>
      <c r="D113" s="13" t="s">
        <v>1413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1456</v>
      </c>
    </row>
    <row r="114" spans="2:24" ht="13.8" x14ac:dyDescent="0.2">
      <c r="B114" s="8">
        <f t="shared" si="8"/>
        <v>210</v>
      </c>
      <c r="C114" s="10">
        <v>210</v>
      </c>
      <c r="D114" s="26" t="s">
        <v>1414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545</v>
      </c>
    </row>
    <row r="115" spans="2:24" ht="13.8" x14ac:dyDescent="0.2">
      <c r="B115" s="8">
        <f t="shared" si="8"/>
        <v>211</v>
      </c>
      <c r="C115" s="10">
        <v>211</v>
      </c>
      <c r="D115" s="26" t="s">
        <v>1415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8"/>
        <v>212</v>
      </c>
      <c r="C116" s="10">
        <v>212</v>
      </c>
      <c r="D116" s="26" t="s">
        <v>1416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1457</v>
      </c>
    </row>
    <row r="117" spans="2:24" ht="13.8" x14ac:dyDescent="0.2">
      <c r="B117" s="8">
        <f t="shared" si="8"/>
        <v>213</v>
      </c>
      <c r="C117" s="10">
        <v>213</v>
      </c>
      <c r="D117" s="26" t="s">
        <v>1417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1458</v>
      </c>
    </row>
    <row r="118" spans="2:24" ht="13.8" x14ac:dyDescent="0.2">
      <c r="B118" s="8">
        <f t="shared" si="8"/>
        <v>214</v>
      </c>
      <c r="C118" s="10">
        <v>214</v>
      </c>
      <c r="D118" s="26" t="s">
        <v>2028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1459</v>
      </c>
    </row>
    <row r="119" spans="2:24" ht="13.8" x14ac:dyDescent="0.2">
      <c r="B119" s="8">
        <f t="shared" si="8"/>
        <v>215</v>
      </c>
      <c r="C119" s="10">
        <v>215</v>
      </c>
      <c r="D119" s="26" t="s">
        <v>1418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1460</v>
      </c>
    </row>
    <row r="120" spans="2:24" ht="13.8" x14ac:dyDescent="0.2">
      <c r="B120" s="8">
        <f t="shared" si="8"/>
        <v>216</v>
      </c>
      <c r="C120" s="10">
        <v>216</v>
      </c>
      <c r="D120" s="26" t="s">
        <v>1419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1461</v>
      </c>
    </row>
    <row r="121" spans="2:24" ht="13.8" x14ac:dyDescent="0.2">
      <c r="B121" s="8">
        <f t="shared" si="8"/>
        <v>217</v>
      </c>
      <c r="C121" s="10">
        <v>217</v>
      </c>
      <c r="D121" s="26" t="s">
        <v>1420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1462</v>
      </c>
    </row>
    <row r="122" spans="2:24" ht="13.8" x14ac:dyDescent="0.2">
      <c r="B122" s="8">
        <f t="shared" si="8"/>
        <v>218</v>
      </c>
      <c r="C122" s="10">
        <v>218</v>
      </c>
      <c r="D122" s="26" t="s">
        <v>1421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1463</v>
      </c>
    </row>
    <row r="123" spans="2:24" ht="13.8" x14ac:dyDescent="0.2">
      <c r="B123" s="8">
        <f t="shared" si="8"/>
        <v>219</v>
      </c>
      <c r="C123" s="10">
        <v>219</v>
      </c>
      <c r="D123" s="8" t="s">
        <v>1174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1907</v>
      </c>
    </row>
    <row r="124" spans="2:24" ht="13.8" x14ac:dyDescent="0.2">
      <c r="B124" s="8">
        <f t="shared" si="8"/>
        <v>220</v>
      </c>
      <c r="C124" s="10">
        <v>220</v>
      </c>
      <c r="D124" s="8" t="s">
        <v>1422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1906</v>
      </c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4">IF(C133="","",C133)</f>
        <v/>
      </c>
      <c r="C133" s="10"/>
      <c r="D133" s="8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4"/>
        <v/>
      </c>
      <c r="C134" s="10"/>
      <c r="D134" s="8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1464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497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773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1532</v>
      </c>
    </row>
    <row r="7" spans="2:24" ht="13.8" x14ac:dyDescent="0.2">
      <c r="B7" s="8">
        <f t="shared" si="5"/>
        <v>2</v>
      </c>
      <c r="C7" s="10">
        <v>2</v>
      </c>
      <c r="D7" s="13" t="s">
        <v>1596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1908</v>
      </c>
    </row>
    <row r="8" spans="2:24" ht="13.8" x14ac:dyDescent="0.2">
      <c r="B8" s="8">
        <f t="shared" si="5"/>
        <v>3</v>
      </c>
      <c r="C8" s="10">
        <v>3</v>
      </c>
      <c r="D8" s="13" t="s">
        <v>2028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499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500</v>
      </c>
    </row>
    <row r="13" spans="2:24" ht="13.8" x14ac:dyDescent="0.2">
      <c r="B13" s="8">
        <f t="shared" si="5"/>
        <v>8</v>
      </c>
      <c r="C13" s="10">
        <v>8</v>
      </c>
      <c r="D13" s="13" t="s">
        <v>1465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514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501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502</v>
      </c>
    </row>
    <row r="17" spans="2:24" ht="13.8" x14ac:dyDescent="0.2">
      <c r="B17" s="8">
        <f t="shared" si="5"/>
        <v>12</v>
      </c>
      <c r="C17" s="10">
        <v>12</v>
      </c>
      <c r="D17" s="13" t="s">
        <v>1466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625</v>
      </c>
    </row>
    <row r="18" spans="2:24" ht="13.8" x14ac:dyDescent="0.2">
      <c r="B18" s="8">
        <f t="shared" si="5"/>
        <v>13</v>
      </c>
      <c r="C18" s="10">
        <v>13</v>
      </c>
      <c r="D18" s="13" t="s">
        <v>1467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530</v>
      </c>
    </row>
    <row r="19" spans="2:24" ht="13.8" x14ac:dyDescent="0.2">
      <c r="B19" s="8">
        <f t="shared" si="5"/>
        <v>14</v>
      </c>
      <c r="C19" s="10">
        <v>14</v>
      </c>
      <c r="D19" s="13" t="s">
        <v>774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768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504</v>
      </c>
    </row>
    <row r="22" spans="2:24" ht="13.8" x14ac:dyDescent="0.2">
      <c r="B22" s="8">
        <f t="shared" si="5"/>
        <v>17</v>
      </c>
      <c r="C22" s="10">
        <v>17</v>
      </c>
      <c r="D22" s="13" t="s">
        <v>1468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1533</v>
      </c>
    </row>
    <row r="23" spans="2:24" ht="13.8" x14ac:dyDescent="0.2">
      <c r="B23" s="8">
        <f t="shared" si="5"/>
        <v>18</v>
      </c>
      <c r="C23" s="10">
        <v>18</v>
      </c>
      <c r="D23" s="13" t="s">
        <v>1266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505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506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508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509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510</v>
      </c>
    </row>
    <row r="29" spans="2:24" ht="13.8" x14ac:dyDescent="0.2">
      <c r="B29" s="8">
        <f t="shared" si="5"/>
        <v>24</v>
      </c>
      <c r="C29" s="10">
        <v>24</v>
      </c>
      <c r="D29" s="13" t="s">
        <v>775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769</v>
      </c>
    </row>
    <row r="30" spans="2:24" ht="13.8" x14ac:dyDescent="0.2">
      <c r="B30" s="8">
        <f t="shared" si="5"/>
        <v>25</v>
      </c>
      <c r="C30" s="10">
        <v>25</v>
      </c>
      <c r="D30" s="13" t="s">
        <v>1469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696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1534</v>
      </c>
    </row>
    <row r="32" spans="2:24" ht="13.8" x14ac:dyDescent="0.2">
      <c r="B32" s="8">
        <f t="shared" si="5"/>
        <v>27</v>
      </c>
      <c r="C32" s="10">
        <v>27</v>
      </c>
      <c r="D32" s="13" t="s">
        <v>1470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1535</v>
      </c>
    </row>
    <row r="33" spans="2:24" ht="13.8" x14ac:dyDescent="0.2">
      <c r="B33" s="8">
        <f t="shared" si="5"/>
        <v>28</v>
      </c>
      <c r="C33" s="10">
        <v>28</v>
      </c>
      <c r="D33" s="13" t="s">
        <v>1471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1909</v>
      </c>
    </row>
    <row r="34" spans="2:24" ht="13.8" x14ac:dyDescent="0.2">
      <c r="B34" s="8">
        <f t="shared" si="5"/>
        <v>29</v>
      </c>
      <c r="C34" s="10">
        <v>29</v>
      </c>
      <c r="D34" s="13" t="s">
        <v>1242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511</v>
      </c>
    </row>
    <row r="35" spans="2:24" ht="13.8" x14ac:dyDescent="0.2">
      <c r="B35" s="8">
        <f t="shared" si="5"/>
        <v>30</v>
      </c>
      <c r="C35" s="10">
        <v>30</v>
      </c>
      <c r="D35" s="13"/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776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770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513</v>
      </c>
    </row>
    <row r="38" spans="2:24" ht="13.8" x14ac:dyDescent="0.2">
      <c r="B38" s="8">
        <f t="shared" si="5"/>
        <v>33</v>
      </c>
      <c r="C38" s="10">
        <v>33</v>
      </c>
      <c r="D38" s="13" t="s">
        <v>1472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1536</v>
      </c>
    </row>
    <row r="39" spans="2:24" ht="13.8" x14ac:dyDescent="0.2">
      <c r="B39" s="8">
        <f t="shared" si="5"/>
        <v>34</v>
      </c>
      <c r="C39" s="10">
        <v>34</v>
      </c>
      <c r="D39" s="13" t="s">
        <v>1473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1537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1910</v>
      </c>
    </row>
    <row r="41" spans="2:24" ht="13.8" x14ac:dyDescent="0.2">
      <c r="B41" s="8">
        <f t="shared" si="5"/>
        <v>36</v>
      </c>
      <c r="C41" s="10">
        <v>36</v>
      </c>
      <c r="D41" s="13" t="s">
        <v>1474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1538</v>
      </c>
    </row>
    <row r="42" spans="2:24" ht="13.8" x14ac:dyDescent="0.2">
      <c r="B42" s="8">
        <f t="shared" si="5"/>
        <v>37</v>
      </c>
      <c r="C42" s="10">
        <v>37</v>
      </c>
      <c r="D42" s="13" t="s">
        <v>1475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1475</v>
      </c>
    </row>
    <row r="43" spans="2:24" ht="13.8" x14ac:dyDescent="0.2">
      <c r="B43" s="8">
        <f t="shared" si="5"/>
        <v>38</v>
      </c>
      <c r="C43" s="10">
        <v>38</v>
      </c>
      <c r="D43" s="13" t="s">
        <v>1476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1539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516</v>
      </c>
    </row>
    <row r="45" spans="2:24" ht="13.8" x14ac:dyDescent="0.2">
      <c r="B45" s="8">
        <f t="shared" si="5"/>
        <v>40</v>
      </c>
      <c r="C45" s="10">
        <v>40</v>
      </c>
      <c r="D45" s="13" t="s">
        <v>1614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517</v>
      </c>
    </row>
    <row r="46" spans="2:24" ht="13.8" x14ac:dyDescent="0.2">
      <c r="B46" s="8">
        <f t="shared" si="5"/>
        <v>41</v>
      </c>
      <c r="C46" s="10">
        <v>41</v>
      </c>
      <c r="D46" s="13" t="s">
        <v>1477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1540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1278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518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519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1478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1541</v>
      </c>
    </row>
    <row r="53" spans="2:24" ht="13.8" x14ac:dyDescent="0.2">
      <c r="B53" s="8">
        <f t="shared" si="5"/>
        <v>48</v>
      </c>
      <c r="C53" s="10">
        <v>48</v>
      </c>
      <c r="D53" s="13" t="s">
        <v>1979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771</v>
      </c>
    </row>
    <row r="54" spans="2:24" ht="13.8" x14ac:dyDescent="0.2">
      <c r="B54" s="8">
        <f t="shared" si="5"/>
        <v>49</v>
      </c>
      <c r="C54" s="10">
        <v>49</v>
      </c>
      <c r="D54" s="13" t="s">
        <v>1479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1542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520</v>
      </c>
    </row>
    <row r="56" spans="2:24" ht="13.8" x14ac:dyDescent="0.2">
      <c r="B56" s="8">
        <f t="shared" si="5"/>
        <v>51</v>
      </c>
      <c r="C56" s="10">
        <v>51</v>
      </c>
      <c r="D56" s="13" t="s">
        <v>1396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1480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1543</v>
      </c>
    </row>
    <row r="59" spans="2:24" ht="13.8" x14ac:dyDescent="0.2">
      <c r="B59" s="8">
        <f t="shared" si="5"/>
        <v>54</v>
      </c>
      <c r="C59" s="10">
        <v>54</v>
      </c>
      <c r="D59" s="13" t="s">
        <v>1132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1911</v>
      </c>
    </row>
    <row r="60" spans="2:24" ht="13.8" x14ac:dyDescent="0.2">
      <c r="B60" s="8">
        <f t="shared" si="5"/>
        <v>55</v>
      </c>
      <c r="C60" s="10">
        <v>55</v>
      </c>
      <c r="D60" s="13" t="s">
        <v>1628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523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524</v>
      </c>
    </row>
    <row r="62" spans="2:24" ht="13.8" x14ac:dyDescent="0.2">
      <c r="B62" s="8">
        <f t="shared" si="5"/>
        <v>57</v>
      </c>
      <c r="C62" s="10">
        <v>57</v>
      </c>
      <c r="D62" s="13"/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1486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772</v>
      </c>
    </row>
    <row r="64" spans="2:24" ht="13.8" x14ac:dyDescent="0.2">
      <c r="B64" s="8">
        <f t="shared" si="5"/>
        <v>59</v>
      </c>
      <c r="C64" s="10">
        <v>59</v>
      </c>
      <c r="D64" s="13" t="s">
        <v>1481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1544</v>
      </c>
    </row>
    <row r="65" spans="2:24" ht="13.8" x14ac:dyDescent="0.2">
      <c r="B65" s="8">
        <f t="shared" si="5"/>
        <v>60</v>
      </c>
      <c r="C65" s="10">
        <v>60</v>
      </c>
      <c r="D65" s="13" t="s">
        <v>1482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1545</v>
      </c>
    </row>
    <row r="66" spans="2:24" ht="13.8" x14ac:dyDescent="0.2">
      <c r="B66" s="8">
        <f t="shared" si="5"/>
        <v>61</v>
      </c>
      <c r="C66" s="10">
        <v>61</v>
      </c>
      <c r="D66" s="13" t="s">
        <v>1638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525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526</v>
      </c>
    </row>
    <row r="68" spans="2:24" ht="13.8" x14ac:dyDescent="0.2">
      <c r="B68" s="8">
        <f t="shared" si="5"/>
        <v>63</v>
      </c>
      <c r="C68" s="10">
        <v>63</v>
      </c>
      <c r="D68" s="9" t="s">
        <v>1483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1912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1484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1546</v>
      </c>
    </row>
    <row r="70" spans="2:24" ht="13.8" x14ac:dyDescent="0.2">
      <c r="B70" s="8">
        <f t="shared" si="9"/>
        <v>65</v>
      </c>
      <c r="C70" s="10">
        <v>65</v>
      </c>
      <c r="D70" s="9" t="s">
        <v>1485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1547</v>
      </c>
    </row>
    <row r="71" spans="2:24" ht="13.8" x14ac:dyDescent="0.2">
      <c r="B71" s="8">
        <f t="shared" si="9"/>
        <v>66</v>
      </c>
      <c r="C71" s="10">
        <v>66</v>
      </c>
      <c r="D71" s="13" t="s">
        <v>60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528</v>
      </c>
    </row>
    <row r="72" spans="2:24" ht="13.8" x14ac:dyDescent="0.2">
      <c r="B72" s="8">
        <f t="shared" si="9"/>
        <v>67</v>
      </c>
      <c r="C72" s="10">
        <v>67</v>
      </c>
      <c r="D72" s="13" t="s">
        <v>75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529</v>
      </c>
    </row>
    <row r="73" spans="2:24" ht="13.8" x14ac:dyDescent="0.2">
      <c r="B73" s="8">
        <f t="shared" si="9"/>
        <v>68</v>
      </c>
      <c r="C73" s="10">
        <v>68</v>
      </c>
      <c r="D73" s="13" t="s">
        <v>1486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1548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 t="s">
        <v>1098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532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 t="s">
        <v>1337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767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1913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1487</v>
      </c>
    </row>
    <row r="105" spans="2:24" ht="13.8" x14ac:dyDescent="0.2">
      <c r="B105" s="8">
        <f t="shared" si="9"/>
        <v>120</v>
      </c>
      <c r="C105" s="10">
        <v>120</v>
      </c>
      <c r="D105" s="14" t="s">
        <v>1488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1549</v>
      </c>
    </row>
    <row r="106" spans="2:24" ht="13.8" x14ac:dyDescent="0.2">
      <c r="B106" s="8">
        <f t="shared" si="9"/>
        <v>121</v>
      </c>
      <c r="C106" s="10">
        <v>121</v>
      </c>
      <c r="D106" s="9" t="s">
        <v>1489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1550</v>
      </c>
    </row>
    <row r="107" spans="2:24" ht="13.8" x14ac:dyDescent="0.2">
      <c r="B107" s="8">
        <f t="shared" si="9"/>
        <v>122</v>
      </c>
      <c r="C107" s="10">
        <v>122</v>
      </c>
      <c r="D107" s="9" t="s">
        <v>1490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1551</v>
      </c>
    </row>
    <row r="108" spans="2:24" ht="13.8" x14ac:dyDescent="0.2">
      <c r="B108" s="8">
        <f t="shared" si="9"/>
        <v>123</v>
      </c>
      <c r="C108" s="10">
        <v>123</v>
      </c>
      <c r="D108" s="9" t="s">
        <v>1491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1552</v>
      </c>
    </row>
    <row r="109" spans="2:24" ht="13.8" x14ac:dyDescent="0.2">
      <c r="B109" s="8">
        <f t="shared" si="9"/>
        <v>124</v>
      </c>
      <c r="C109" s="10">
        <v>124</v>
      </c>
      <c r="D109" s="9" t="s">
        <v>1492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1553</v>
      </c>
    </row>
    <row r="110" spans="2:24" ht="13.8" x14ac:dyDescent="0.2">
      <c r="B110" s="8">
        <f t="shared" si="9"/>
        <v>125</v>
      </c>
      <c r="C110" s="10">
        <v>125</v>
      </c>
      <c r="D110" s="9" t="s">
        <v>1493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1554</v>
      </c>
    </row>
    <row r="111" spans="2:24" ht="13.8" x14ac:dyDescent="0.2">
      <c r="B111" s="8">
        <f t="shared" si="9"/>
        <v>126</v>
      </c>
      <c r="C111" s="10">
        <v>126</v>
      </c>
      <c r="D111" s="9" t="s">
        <v>1494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1555</v>
      </c>
    </row>
    <row r="112" spans="2:24" ht="13.8" x14ac:dyDescent="0.2">
      <c r="B112" s="8">
        <f t="shared" si="9"/>
        <v>127</v>
      </c>
      <c r="C112" s="10">
        <v>127</v>
      </c>
      <c r="D112" s="9" t="s">
        <v>1495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1556</v>
      </c>
    </row>
    <row r="113" spans="2:24" ht="13.8" x14ac:dyDescent="0.2">
      <c r="B113" s="8">
        <f t="shared" si="9"/>
        <v>128</v>
      </c>
      <c r="C113" s="10">
        <v>128</v>
      </c>
      <c r="D113" s="9" t="s">
        <v>2071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1557</v>
      </c>
    </row>
    <row r="114" spans="2:24" ht="13.8" x14ac:dyDescent="0.2">
      <c r="B114" s="8">
        <f t="shared" si="9"/>
        <v>129</v>
      </c>
      <c r="C114" s="10">
        <v>129</v>
      </c>
      <c r="D114" s="9" t="s">
        <v>1496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1558</v>
      </c>
    </row>
    <row r="115" spans="2:24" ht="13.8" x14ac:dyDescent="0.2">
      <c r="B115" s="8">
        <f t="shared" si="9"/>
        <v>130</v>
      </c>
      <c r="C115" s="10">
        <v>130</v>
      </c>
      <c r="D115" s="9" t="s">
        <v>1497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1559</v>
      </c>
    </row>
    <row r="116" spans="2:24" ht="13.8" x14ac:dyDescent="0.2">
      <c r="B116" s="8">
        <f t="shared" si="9"/>
        <v>131</v>
      </c>
      <c r="C116" s="10">
        <v>131</v>
      </c>
      <c r="D116" s="9" t="s">
        <v>1498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1560</v>
      </c>
    </row>
    <row r="117" spans="2:24" ht="13.8" x14ac:dyDescent="0.2">
      <c r="B117" s="8">
        <f t="shared" si="9"/>
        <v>132</v>
      </c>
      <c r="C117" s="10">
        <v>132</v>
      </c>
      <c r="D117" s="9" t="s">
        <v>1499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1561</v>
      </c>
    </row>
    <row r="118" spans="2:24" ht="13.8" x14ac:dyDescent="0.2">
      <c r="B118" s="8">
        <f t="shared" si="9"/>
        <v>133</v>
      </c>
      <c r="C118" s="10">
        <v>133</v>
      </c>
      <c r="D118" s="9" t="s">
        <v>1411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1562</v>
      </c>
    </row>
    <row r="119" spans="2:24" ht="13.8" x14ac:dyDescent="0.2">
      <c r="B119" s="8">
        <f t="shared" si="9"/>
        <v>134</v>
      </c>
      <c r="C119" s="10">
        <v>134</v>
      </c>
      <c r="D119" s="9" t="s">
        <v>1500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1563</v>
      </c>
    </row>
    <row r="120" spans="2:24" ht="13.8" x14ac:dyDescent="0.2">
      <c r="B120" s="8">
        <f t="shared" si="9"/>
        <v>135</v>
      </c>
      <c r="C120" s="10">
        <v>135</v>
      </c>
      <c r="D120" s="9" t="s">
        <v>777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1914</v>
      </c>
    </row>
    <row r="121" spans="2:24" ht="13.8" x14ac:dyDescent="0.2">
      <c r="B121" s="8">
        <f t="shared" si="9"/>
        <v>136</v>
      </c>
      <c r="C121" s="10">
        <v>136</v>
      </c>
      <c r="D121" s="9" t="s">
        <v>1347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1564</v>
      </c>
    </row>
    <row r="122" spans="2:24" ht="13.8" x14ac:dyDescent="0.2">
      <c r="B122" s="8">
        <f t="shared" si="9"/>
        <v>137</v>
      </c>
      <c r="C122" s="10">
        <v>137</v>
      </c>
      <c r="D122" s="9" t="s">
        <v>1501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1565</v>
      </c>
    </row>
    <row r="123" spans="2:24" ht="13.8" x14ac:dyDescent="0.2">
      <c r="B123" s="8">
        <f t="shared" si="9"/>
        <v>138</v>
      </c>
      <c r="C123" s="10">
        <v>138</v>
      </c>
      <c r="D123" s="9" t="s">
        <v>1502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512</v>
      </c>
    </row>
    <row r="124" spans="2:24" ht="13.8" x14ac:dyDescent="0.2">
      <c r="B124" s="8">
        <f t="shared" si="9"/>
        <v>139</v>
      </c>
      <c r="C124" s="10">
        <v>139</v>
      </c>
      <c r="D124" s="9" t="s">
        <v>1503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1566</v>
      </c>
    </row>
    <row r="125" spans="2:24" ht="13.8" x14ac:dyDescent="0.2">
      <c r="B125" s="8">
        <f t="shared" si="9"/>
        <v>140</v>
      </c>
      <c r="C125" s="10">
        <v>140</v>
      </c>
      <c r="D125" s="9" t="s">
        <v>2029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1567</v>
      </c>
    </row>
    <row r="126" spans="2:24" ht="13.8" x14ac:dyDescent="0.2">
      <c r="B126" s="8">
        <f t="shared" si="9"/>
        <v>141</v>
      </c>
      <c r="C126" s="10">
        <v>141</v>
      </c>
      <c r="D126" s="9" t="s">
        <v>1504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1915</v>
      </c>
    </row>
    <row r="127" spans="2:24" ht="13.8" x14ac:dyDescent="0.2">
      <c r="B127" s="8">
        <f t="shared" si="9"/>
        <v>142</v>
      </c>
      <c r="C127" s="10">
        <v>142</v>
      </c>
      <c r="D127" s="9" t="s">
        <v>1505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1568</v>
      </c>
    </row>
    <row r="128" spans="2:24" ht="13.8" x14ac:dyDescent="0.2">
      <c r="B128" s="8">
        <f t="shared" si="9"/>
        <v>143</v>
      </c>
      <c r="C128" s="10">
        <v>143</v>
      </c>
      <c r="D128" s="9" t="s">
        <v>1245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1569</v>
      </c>
    </row>
    <row r="129" spans="2:24" ht="13.8" x14ac:dyDescent="0.2">
      <c r="B129" s="8">
        <f t="shared" si="9"/>
        <v>144</v>
      </c>
      <c r="C129" s="10">
        <v>144</v>
      </c>
      <c r="D129" s="9" t="s">
        <v>1506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1916</v>
      </c>
    </row>
    <row r="130" spans="2:24" ht="13.8" x14ac:dyDescent="0.2">
      <c r="B130" s="8">
        <f t="shared" si="9"/>
        <v>145</v>
      </c>
      <c r="C130" s="10">
        <v>145</v>
      </c>
      <c r="D130" s="9" t="s">
        <v>1507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1507</v>
      </c>
    </row>
    <row r="131" spans="2:24" ht="13.8" x14ac:dyDescent="0.2">
      <c r="B131" s="8">
        <f t="shared" si="9"/>
        <v>146</v>
      </c>
      <c r="C131" s="10">
        <v>146</v>
      </c>
      <c r="D131" s="9" t="s">
        <v>1485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1570</v>
      </c>
    </row>
    <row r="132" spans="2:24" ht="13.8" x14ac:dyDescent="0.2">
      <c r="B132" s="8">
        <f t="shared" si="9"/>
        <v>147</v>
      </c>
      <c r="C132" s="10">
        <v>147</v>
      </c>
      <c r="D132" s="9" t="s">
        <v>778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1571</v>
      </c>
    </row>
    <row r="133" spans="2:24" ht="13.8" x14ac:dyDescent="0.2">
      <c r="B133" s="8">
        <f t="shared" ref="B133:B165" si="14">IF(C133="","",C133)</f>
        <v>148</v>
      </c>
      <c r="C133" s="10">
        <v>148</v>
      </c>
      <c r="D133" s="9" t="s">
        <v>1508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ref="N133:N165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1572</v>
      </c>
    </row>
    <row r="134" spans="2:24" ht="13.8" x14ac:dyDescent="0.2">
      <c r="B134" s="8">
        <f t="shared" si="14"/>
        <v>149</v>
      </c>
      <c r="C134" s="10">
        <v>149</v>
      </c>
      <c r="D134" s="9" t="s">
        <v>1509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1573</v>
      </c>
    </row>
    <row r="135" spans="2:24" ht="13.8" x14ac:dyDescent="0.2">
      <c r="B135" s="8">
        <f t="shared" si="14"/>
        <v>150</v>
      </c>
      <c r="C135" s="10">
        <v>150</v>
      </c>
      <c r="D135" s="9" t="s">
        <v>1510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si="16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1574</v>
      </c>
    </row>
    <row r="136" spans="2:24" ht="13.8" x14ac:dyDescent="0.2">
      <c r="B136" s="8">
        <f t="shared" si="14"/>
        <v>151</v>
      </c>
      <c r="C136" s="10">
        <v>151</v>
      </c>
      <c r="D136" s="9" t="s">
        <v>779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6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1575</v>
      </c>
    </row>
    <row r="137" spans="2:24" ht="13.8" x14ac:dyDescent="0.2">
      <c r="B137" s="8">
        <f t="shared" si="14"/>
        <v>152</v>
      </c>
      <c r="C137" s="10">
        <v>152</v>
      </c>
      <c r="D137" s="9" t="s">
        <v>1511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6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1576</v>
      </c>
    </row>
    <row r="138" spans="2:24" ht="13.8" x14ac:dyDescent="0.2">
      <c r="B138" s="8">
        <f t="shared" si="14"/>
        <v>153</v>
      </c>
      <c r="C138" s="10">
        <v>153</v>
      </c>
      <c r="D138" s="9" t="s">
        <v>1512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6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1577</v>
      </c>
    </row>
    <row r="139" spans="2:24" ht="13.8" x14ac:dyDescent="0.2">
      <c r="B139" s="8">
        <f t="shared" si="14"/>
        <v>154</v>
      </c>
      <c r="C139" s="10">
        <v>154</v>
      </c>
      <c r="D139" s="9" t="s">
        <v>1513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6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1578</v>
      </c>
    </row>
    <row r="140" spans="2:24" ht="13.8" x14ac:dyDescent="0.2">
      <c r="B140" s="8">
        <f t="shared" si="14"/>
        <v>155</v>
      </c>
      <c r="C140" s="10">
        <v>155</v>
      </c>
      <c r="D140" s="9" t="s">
        <v>1514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6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1579</v>
      </c>
    </row>
    <row r="141" spans="2:24" ht="13.8" x14ac:dyDescent="0.2">
      <c r="B141" s="8">
        <f t="shared" si="14"/>
        <v>156</v>
      </c>
      <c r="C141" s="10">
        <v>156</v>
      </c>
      <c r="D141" s="9" t="s">
        <v>1174</v>
      </c>
      <c r="E141" s="11" t="str">
        <f t="shared" ref="E141:E165" si="19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0">IFERROR(IF((G141+P141+Q141)/(F141+P141+Q141+S141)=1,"1.00",(G141+P141+Q141)/(F141+P141+Q141+S141)),0)</f>
        <v>0</v>
      </c>
      <c r="N141" s="11">
        <f t="shared" si="16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1917</v>
      </c>
    </row>
    <row r="142" spans="2:24" ht="13.8" x14ac:dyDescent="0.2">
      <c r="B142" s="8">
        <f t="shared" si="14"/>
        <v>157</v>
      </c>
      <c r="C142" s="10">
        <v>157</v>
      </c>
      <c r="D142" s="9" t="s">
        <v>1515</v>
      </c>
      <c r="E142" s="11" t="str">
        <f t="shared" si="19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0"/>
        <v>0</v>
      </c>
      <c r="N142" s="11">
        <f t="shared" si="16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531</v>
      </c>
    </row>
    <row r="143" spans="2:24" ht="13.8" x14ac:dyDescent="0.2">
      <c r="B143" s="8">
        <f t="shared" si="14"/>
        <v>158</v>
      </c>
      <c r="C143" s="10">
        <v>158</v>
      </c>
      <c r="D143" s="9" t="s">
        <v>1239</v>
      </c>
      <c r="E143" s="11" t="str">
        <f t="shared" si="19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0"/>
        <v>0</v>
      </c>
      <c r="N143" s="11">
        <f t="shared" si="16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1580</v>
      </c>
    </row>
    <row r="144" spans="2:24" ht="13.8" x14ac:dyDescent="0.2">
      <c r="B144" s="8">
        <f t="shared" si="14"/>
        <v>159</v>
      </c>
      <c r="C144" s="10">
        <v>159</v>
      </c>
      <c r="D144" s="9" t="s">
        <v>1241</v>
      </c>
      <c r="E144" s="11" t="str">
        <f t="shared" si="19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0"/>
        <v>0</v>
      </c>
      <c r="N144" s="11">
        <f t="shared" si="16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1581</v>
      </c>
    </row>
    <row r="145" spans="2:24" ht="13.8" x14ac:dyDescent="0.2">
      <c r="B145" s="8">
        <f t="shared" si="14"/>
        <v>160</v>
      </c>
      <c r="C145" s="10">
        <v>160</v>
      </c>
      <c r="D145" s="9" t="s">
        <v>1516</v>
      </c>
      <c r="E145" s="11" t="str">
        <f t="shared" si="19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0"/>
        <v>0</v>
      </c>
      <c r="N145" s="11">
        <f t="shared" si="16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1582</v>
      </c>
    </row>
    <row r="146" spans="2:24" ht="13.8" x14ac:dyDescent="0.2">
      <c r="B146" s="8">
        <f t="shared" si="14"/>
        <v>161</v>
      </c>
      <c r="C146" s="10">
        <v>161</v>
      </c>
      <c r="D146" s="9" t="s">
        <v>1517</v>
      </c>
      <c r="E146" s="11" t="str">
        <f t="shared" si="19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0"/>
        <v>0</v>
      </c>
      <c r="N146" s="11">
        <f t="shared" si="16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1583</v>
      </c>
    </row>
    <row r="147" spans="2:24" ht="13.8" x14ac:dyDescent="0.2">
      <c r="B147" s="8">
        <f t="shared" si="14"/>
        <v>162</v>
      </c>
      <c r="C147" s="10">
        <v>162</v>
      </c>
      <c r="D147" s="9" t="s">
        <v>1518</v>
      </c>
      <c r="E147" s="11" t="str">
        <f t="shared" si="19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0"/>
        <v>0</v>
      </c>
      <c r="N147" s="11">
        <f t="shared" si="16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1584</v>
      </c>
    </row>
    <row r="148" spans="2:24" ht="13.8" x14ac:dyDescent="0.2">
      <c r="B148" s="8">
        <f t="shared" si="14"/>
        <v>163</v>
      </c>
      <c r="C148" s="10">
        <v>163</v>
      </c>
      <c r="D148" s="9" t="s">
        <v>1271</v>
      </c>
      <c r="E148" s="11" t="str">
        <f t="shared" si="19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0"/>
        <v>0</v>
      </c>
      <c r="N148" s="11">
        <f t="shared" si="16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1585</v>
      </c>
    </row>
    <row r="149" spans="2:24" ht="13.8" x14ac:dyDescent="0.2">
      <c r="B149" s="8">
        <f t="shared" si="14"/>
        <v>164</v>
      </c>
      <c r="C149" s="10">
        <v>164</v>
      </c>
      <c r="D149" s="9" t="s">
        <v>1519</v>
      </c>
      <c r="E149" s="11" t="str">
        <f t="shared" si="19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0"/>
        <v>0</v>
      </c>
      <c r="N149" s="11">
        <f t="shared" si="16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1586</v>
      </c>
    </row>
    <row r="150" spans="2:24" ht="13.8" x14ac:dyDescent="0.2">
      <c r="B150" s="8">
        <f t="shared" si="14"/>
        <v>165</v>
      </c>
      <c r="C150" s="10">
        <v>165</v>
      </c>
      <c r="D150" s="9" t="s">
        <v>1520</v>
      </c>
      <c r="E150" s="11" t="str">
        <f t="shared" si="19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0"/>
        <v>0</v>
      </c>
      <c r="N150" s="11">
        <f t="shared" si="16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1587</v>
      </c>
    </row>
    <row r="151" spans="2:24" ht="13.8" x14ac:dyDescent="0.2">
      <c r="B151" s="8">
        <f t="shared" si="14"/>
        <v>166</v>
      </c>
      <c r="C151" s="10">
        <v>166</v>
      </c>
      <c r="D151" s="9" t="s">
        <v>1521</v>
      </c>
      <c r="E151" s="11" t="str">
        <f t="shared" si="19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0"/>
        <v>0</v>
      </c>
      <c r="N151" s="11">
        <f t="shared" si="16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1588</v>
      </c>
    </row>
    <row r="152" spans="2:24" ht="13.8" x14ac:dyDescent="0.2">
      <c r="B152" s="8">
        <f t="shared" si="14"/>
        <v>167</v>
      </c>
      <c r="C152" s="10">
        <v>167</v>
      </c>
      <c r="D152" s="9" t="s">
        <v>1522</v>
      </c>
      <c r="E152" s="11" t="str">
        <f t="shared" si="19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0"/>
        <v>0</v>
      </c>
      <c r="N152" s="11">
        <f t="shared" si="16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1589</v>
      </c>
    </row>
    <row r="153" spans="2:24" ht="13.8" x14ac:dyDescent="0.2">
      <c r="B153" s="8">
        <f t="shared" si="14"/>
        <v>168</v>
      </c>
      <c r="C153" s="10">
        <v>168</v>
      </c>
      <c r="D153" s="9" t="s">
        <v>1523</v>
      </c>
      <c r="E153" s="11" t="str">
        <f t="shared" si="19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0"/>
        <v>0</v>
      </c>
      <c r="N153" s="11">
        <f t="shared" si="16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1590</v>
      </c>
    </row>
    <row r="154" spans="2:24" ht="13.8" x14ac:dyDescent="0.2">
      <c r="B154" s="8">
        <f t="shared" si="14"/>
        <v>169</v>
      </c>
      <c r="C154" s="10">
        <v>169</v>
      </c>
      <c r="D154" s="9" t="s">
        <v>1524</v>
      </c>
      <c r="E154" s="11" t="str">
        <f t="shared" si="19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0"/>
        <v>0</v>
      </c>
      <c r="N154" s="11">
        <f t="shared" si="16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1591</v>
      </c>
    </row>
    <row r="155" spans="2:24" ht="13.8" x14ac:dyDescent="0.2">
      <c r="B155" s="8">
        <f t="shared" si="14"/>
        <v>170</v>
      </c>
      <c r="C155" s="10">
        <v>170</v>
      </c>
      <c r="D155" s="9" t="s">
        <v>1525</v>
      </c>
      <c r="E155" s="11" t="str">
        <f t="shared" si="19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0"/>
        <v>0</v>
      </c>
      <c r="N155" s="11">
        <f t="shared" si="16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1592</v>
      </c>
    </row>
    <row r="156" spans="2:24" ht="13.8" x14ac:dyDescent="0.2">
      <c r="B156" s="8">
        <f t="shared" si="14"/>
        <v>171</v>
      </c>
      <c r="C156" s="10">
        <v>171</v>
      </c>
      <c r="D156" s="9" t="s">
        <v>1526</v>
      </c>
      <c r="E156" s="11" t="str">
        <f t="shared" si="19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0"/>
        <v>0</v>
      </c>
      <c r="N156" s="11">
        <f t="shared" si="16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1593</v>
      </c>
    </row>
    <row r="157" spans="2:24" ht="13.8" x14ac:dyDescent="0.2">
      <c r="B157" s="8">
        <f t="shared" si="14"/>
        <v>172</v>
      </c>
      <c r="C157" s="10">
        <v>172</v>
      </c>
      <c r="D157" s="9" t="s">
        <v>1527</v>
      </c>
      <c r="E157" s="11" t="str">
        <f t="shared" si="19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0"/>
        <v>0</v>
      </c>
      <c r="N157" s="11">
        <f t="shared" si="16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1594</v>
      </c>
    </row>
    <row r="158" spans="2:24" ht="13.8" x14ac:dyDescent="0.2">
      <c r="B158" s="8">
        <f t="shared" si="14"/>
        <v>173</v>
      </c>
      <c r="C158" s="10">
        <v>173</v>
      </c>
      <c r="D158" s="9" t="s">
        <v>1528</v>
      </c>
      <c r="E158" s="11" t="str">
        <f t="shared" si="19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0"/>
        <v>0</v>
      </c>
      <c r="N158" s="11">
        <f t="shared" si="16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1918</v>
      </c>
    </row>
    <row r="159" spans="2:24" ht="13.8" x14ac:dyDescent="0.2">
      <c r="B159" s="8">
        <f t="shared" si="14"/>
        <v>174</v>
      </c>
      <c r="C159" s="10">
        <v>174</v>
      </c>
      <c r="D159" s="9" t="s">
        <v>1529</v>
      </c>
      <c r="E159" s="11" t="str">
        <f t="shared" si="19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0"/>
        <v>0</v>
      </c>
      <c r="N159" s="11">
        <f t="shared" si="16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1595</v>
      </c>
    </row>
    <row r="160" spans="2:24" ht="13.8" x14ac:dyDescent="0.2">
      <c r="B160" s="8">
        <f t="shared" si="14"/>
        <v>175</v>
      </c>
      <c r="C160" s="10">
        <v>175</v>
      </c>
      <c r="D160" s="9" t="s">
        <v>1530</v>
      </c>
      <c r="E160" s="11" t="str">
        <f t="shared" si="19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0"/>
        <v>0</v>
      </c>
      <c r="N160" s="11">
        <f t="shared" si="16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1919</v>
      </c>
    </row>
    <row r="161" spans="2:24" ht="13.8" x14ac:dyDescent="0.2">
      <c r="B161" s="8">
        <f t="shared" si="14"/>
        <v>176</v>
      </c>
      <c r="C161" s="10">
        <v>176</v>
      </c>
      <c r="D161" s="9" t="s">
        <v>1531</v>
      </c>
      <c r="E161" s="11" t="str">
        <f t="shared" si="19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0"/>
        <v>0</v>
      </c>
      <c r="N161" s="11">
        <f t="shared" si="16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1920</v>
      </c>
    </row>
    <row r="162" spans="2:24" ht="13.8" x14ac:dyDescent="0.2">
      <c r="B162" s="8" t="str">
        <f t="shared" si="14"/>
        <v/>
      </c>
      <c r="C162" s="10"/>
      <c r="D162" s="9"/>
      <c r="E162" s="11" t="str">
        <f t="shared" si="19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0"/>
        <v>0</v>
      </c>
      <c r="N162" s="11">
        <f t="shared" si="16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19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0"/>
        <v>0</v>
      </c>
      <c r="N163" s="11">
        <f t="shared" si="16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19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0"/>
        <v>0</v>
      </c>
      <c r="N164" s="11">
        <f t="shared" si="16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19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0"/>
        <v>0</v>
      </c>
      <c r="N165" s="11">
        <f t="shared" si="16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1677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1921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1678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1642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1414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821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1597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1643</v>
      </c>
    </row>
    <row r="15" spans="2:24" ht="13.8" x14ac:dyDescent="0.2">
      <c r="B15" s="8">
        <f t="shared" si="4"/>
        <v>10</v>
      </c>
      <c r="C15" s="10">
        <v>10</v>
      </c>
      <c r="D15" s="13" t="s">
        <v>1598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1644</v>
      </c>
    </row>
    <row r="16" spans="2:24" ht="13.8" x14ac:dyDescent="0.2">
      <c r="B16" s="8">
        <f t="shared" si="4"/>
        <v>11</v>
      </c>
      <c r="C16" s="10">
        <v>11</v>
      </c>
      <c r="D16" s="13" t="s">
        <v>1400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1645</v>
      </c>
    </row>
    <row r="17" spans="2:24" ht="13.8" x14ac:dyDescent="0.2">
      <c r="B17" s="8">
        <f t="shared" si="4"/>
        <v>12</v>
      </c>
      <c r="C17" s="10">
        <v>12</v>
      </c>
      <c r="D17" s="13" t="s">
        <v>1337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780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1162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1599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785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781</v>
      </c>
    </row>
    <row r="22" spans="2:24" ht="13.8" x14ac:dyDescent="0.2">
      <c r="B22" s="8">
        <f t="shared" si="4"/>
        <v>17</v>
      </c>
      <c r="C22" s="10">
        <v>17</v>
      </c>
      <c r="D22" s="13" t="s">
        <v>1267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1600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782</v>
      </c>
    </row>
    <row r="25" spans="2:24" ht="13.8" x14ac:dyDescent="0.2">
      <c r="B25" s="8">
        <f t="shared" si="4"/>
        <v>20</v>
      </c>
      <c r="C25" s="10">
        <v>20</v>
      </c>
      <c r="D25" s="13" t="s">
        <v>1601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1602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1646</v>
      </c>
    </row>
    <row r="27" spans="2:24" ht="13.8" x14ac:dyDescent="0.2">
      <c r="B27" s="8">
        <f t="shared" si="4"/>
        <v>22</v>
      </c>
      <c r="C27" s="10">
        <v>22</v>
      </c>
      <c r="D27" s="13" t="s">
        <v>1835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2081</v>
      </c>
    </row>
    <row r="28" spans="2:24" ht="13.8" x14ac:dyDescent="0.2">
      <c r="B28" s="8">
        <f t="shared" si="4"/>
        <v>23</v>
      </c>
      <c r="C28" s="10">
        <v>23</v>
      </c>
      <c r="D28" s="13" t="s">
        <v>1603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1647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1604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1648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1605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1649</v>
      </c>
    </row>
    <row r="35" spans="2:24" ht="13.8" x14ac:dyDescent="0.2">
      <c r="B35" s="8">
        <f t="shared" si="4"/>
        <v>30</v>
      </c>
      <c r="C35" s="10">
        <v>30</v>
      </c>
      <c r="D35" s="13" t="s">
        <v>1606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1650</v>
      </c>
    </row>
    <row r="36" spans="2:24" ht="13.8" x14ac:dyDescent="0.2">
      <c r="B36" s="8">
        <f t="shared" si="4"/>
        <v>31</v>
      </c>
      <c r="C36" s="10">
        <v>31</v>
      </c>
      <c r="D36" s="13" t="s">
        <v>786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2082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1493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1651</v>
      </c>
    </row>
    <row r="39" spans="2:24" ht="13.8" x14ac:dyDescent="0.2">
      <c r="B39" s="8">
        <f t="shared" si="4"/>
        <v>34</v>
      </c>
      <c r="C39" s="10">
        <v>34</v>
      </c>
      <c r="D39" s="13" t="s">
        <v>1607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507</v>
      </c>
    </row>
    <row r="40" spans="2:24" ht="13.8" x14ac:dyDescent="0.2">
      <c r="B40" s="8">
        <f t="shared" si="4"/>
        <v>35</v>
      </c>
      <c r="C40" s="10">
        <v>35</v>
      </c>
      <c r="D40" s="13" t="s">
        <v>1995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1608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1652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1609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1653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1610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1611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1654</v>
      </c>
    </row>
    <row r="47" spans="2:24" ht="13.8" x14ac:dyDescent="0.2">
      <c r="B47" s="8">
        <f t="shared" si="4"/>
        <v>42</v>
      </c>
      <c r="C47" s="10">
        <v>42</v>
      </c>
      <c r="D47" s="13" t="s">
        <v>1612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1655</v>
      </c>
    </row>
    <row r="48" spans="2:24" ht="13.8" x14ac:dyDescent="0.2">
      <c r="B48" s="8">
        <f t="shared" si="4"/>
        <v>43</v>
      </c>
      <c r="C48" s="10">
        <v>43</v>
      </c>
      <c r="D48" s="13" t="s">
        <v>787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783</v>
      </c>
    </row>
    <row r="49" spans="2:24" ht="13.8" x14ac:dyDescent="0.2">
      <c r="B49" s="8">
        <f t="shared" si="4"/>
        <v>44</v>
      </c>
      <c r="C49" s="10">
        <v>44</v>
      </c>
      <c r="D49" s="13" t="s">
        <v>1613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1922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1246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1614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1656</v>
      </c>
    </row>
    <row r="53" spans="2:24" ht="13.8" x14ac:dyDescent="0.2">
      <c r="B53" s="8">
        <f t="shared" si="4"/>
        <v>48</v>
      </c>
      <c r="C53" s="10">
        <v>48</v>
      </c>
      <c r="D53" s="13" t="s">
        <v>1615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1616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533</v>
      </c>
    </row>
    <row r="56" spans="2:24" ht="13.8" x14ac:dyDescent="0.2">
      <c r="B56" s="8">
        <f t="shared" si="4"/>
        <v>51</v>
      </c>
      <c r="C56" s="10">
        <v>51</v>
      </c>
      <c r="D56" s="13" t="s">
        <v>1240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1617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592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1618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1923</v>
      </c>
    </row>
    <row r="60" spans="2:24" ht="13.8" x14ac:dyDescent="0.2">
      <c r="B60" s="8">
        <f t="shared" si="4"/>
        <v>55</v>
      </c>
      <c r="C60" s="10">
        <v>55</v>
      </c>
      <c r="D60" s="13" t="s">
        <v>1619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1924</v>
      </c>
    </row>
    <row r="61" spans="2:24" ht="13.8" x14ac:dyDescent="0.2">
      <c r="B61" s="8">
        <f t="shared" si="4"/>
        <v>56</v>
      </c>
      <c r="C61" s="10">
        <v>56</v>
      </c>
      <c r="D61" s="13" t="s">
        <v>1620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1657</v>
      </c>
    </row>
    <row r="62" spans="2:24" ht="13.8" x14ac:dyDescent="0.2">
      <c r="B62" s="8">
        <f t="shared" si="4"/>
        <v>57</v>
      </c>
      <c r="C62" s="10">
        <v>57</v>
      </c>
      <c r="D62" s="13" t="s">
        <v>788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784</v>
      </c>
    </row>
    <row r="63" spans="2:24" ht="13.8" x14ac:dyDescent="0.2">
      <c r="B63" s="8">
        <f t="shared" si="4"/>
        <v>58</v>
      </c>
      <c r="C63" s="10">
        <v>58</v>
      </c>
      <c r="D63" s="13" t="s">
        <v>2021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1172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490</v>
      </c>
    </row>
    <row r="65" spans="2:24" ht="13.8" x14ac:dyDescent="0.2">
      <c r="B65" s="8">
        <f t="shared" si="4"/>
        <v>60</v>
      </c>
      <c r="C65" s="10">
        <v>60</v>
      </c>
      <c r="D65" s="13" t="s">
        <v>2021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491</v>
      </c>
    </row>
    <row r="66" spans="2:24" ht="13.8" x14ac:dyDescent="0.2">
      <c r="B66" s="8">
        <f t="shared" si="4"/>
        <v>61</v>
      </c>
      <c r="C66" s="10">
        <v>61</v>
      </c>
      <c r="D66" s="13" t="s">
        <v>1279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492</v>
      </c>
    </row>
    <row r="67" spans="2:24" ht="13.8" x14ac:dyDescent="0.2">
      <c r="B67" s="8">
        <f t="shared" si="4"/>
        <v>62</v>
      </c>
      <c r="C67" s="10">
        <v>62</v>
      </c>
      <c r="D67" s="13" t="s">
        <v>1621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1658</v>
      </c>
    </row>
    <row r="68" spans="2:24" ht="13.8" x14ac:dyDescent="0.2">
      <c r="B68" s="8">
        <f t="shared" si="4"/>
        <v>63</v>
      </c>
      <c r="C68" s="10">
        <v>63</v>
      </c>
      <c r="D68" s="9" t="s">
        <v>1481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1659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/>
      <c r="E69" s="11" t="str">
        <f t="shared" ref="E69:E127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0">((G69-H69-I69-J69)+(H69*2)+(I69*3)+(J69*4))</f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8"/>
        <v>65</v>
      </c>
      <c r="C70" s="10">
        <v>65</v>
      </c>
      <c r="D70" s="9" t="s">
        <v>1622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1660</v>
      </c>
    </row>
    <row r="71" spans="2:24" ht="13.8" x14ac:dyDescent="0.2">
      <c r="B71" s="8">
        <f t="shared" si="8"/>
        <v>66</v>
      </c>
      <c r="C71" s="10">
        <v>66</v>
      </c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8"/>
        <v>67</v>
      </c>
      <c r="C72" s="10">
        <v>67</v>
      </c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8"/>
        <v>68</v>
      </c>
      <c r="C73" s="10">
        <v>68</v>
      </c>
      <c r="D73" s="13" t="s">
        <v>124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493</v>
      </c>
    </row>
    <row r="74" spans="2:24" ht="13.8" x14ac:dyDescent="0.2">
      <c r="B74" s="8">
        <f t="shared" si="8"/>
        <v>69</v>
      </c>
      <c r="C74" s="10">
        <v>69</v>
      </c>
      <c r="D74" s="13" t="s">
        <v>1832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640</v>
      </c>
    </row>
    <row r="75" spans="2:24" ht="13.8" x14ac:dyDescent="0.2">
      <c r="B75" s="8">
        <f t="shared" si="8"/>
        <v>70</v>
      </c>
      <c r="C75" s="10">
        <v>70</v>
      </c>
      <c r="D75" s="26" t="s">
        <v>1623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1661</v>
      </c>
    </row>
    <row r="76" spans="2:24" ht="13.8" x14ac:dyDescent="0.2">
      <c r="B76" s="8">
        <f t="shared" si="8"/>
        <v>71</v>
      </c>
      <c r="C76" s="10">
        <v>71</v>
      </c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38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495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 t="s">
        <v>202</v>
      </c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496</v>
      </c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8"/>
        <v>91</v>
      </c>
      <c r="C96" s="10">
        <v>91</v>
      </c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1473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1662</v>
      </c>
    </row>
    <row r="105" spans="2:24" ht="13.8" x14ac:dyDescent="0.2">
      <c r="B105" s="8">
        <f t="shared" si="8"/>
        <v>111</v>
      </c>
      <c r="C105" s="10">
        <v>111</v>
      </c>
      <c r="D105" s="14" t="s">
        <v>1624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1663</v>
      </c>
    </row>
    <row r="106" spans="2:24" ht="13.8" x14ac:dyDescent="0.2">
      <c r="B106" s="8">
        <f t="shared" si="8"/>
        <v>112</v>
      </c>
      <c r="C106" s="10">
        <v>112</v>
      </c>
      <c r="D106" s="9" t="s">
        <v>1625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1664</v>
      </c>
    </row>
    <row r="107" spans="2:24" ht="13.8" x14ac:dyDescent="0.2">
      <c r="B107" s="8">
        <f t="shared" si="8"/>
        <v>113</v>
      </c>
      <c r="C107" s="10">
        <v>113</v>
      </c>
      <c r="D107" s="9" t="s">
        <v>2071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1665</v>
      </c>
    </row>
    <row r="108" spans="2:24" ht="13.8" x14ac:dyDescent="0.2">
      <c r="B108" s="8">
        <f t="shared" si="8"/>
        <v>114</v>
      </c>
      <c r="C108" s="10">
        <v>114</v>
      </c>
      <c r="D108" s="9" t="s">
        <v>1626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1666</v>
      </c>
    </row>
    <row r="109" spans="2:24" ht="13.8" x14ac:dyDescent="0.2">
      <c r="B109" s="8">
        <f t="shared" si="8"/>
        <v>115</v>
      </c>
      <c r="C109" s="10">
        <v>115</v>
      </c>
      <c r="D109" s="9" t="s">
        <v>1271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8"/>
        <v>116</v>
      </c>
      <c r="C110" s="10">
        <v>116</v>
      </c>
      <c r="D110" s="9" t="s">
        <v>1097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1925</v>
      </c>
    </row>
    <row r="111" spans="2:24" ht="13.8" x14ac:dyDescent="0.2">
      <c r="B111" s="8">
        <f t="shared" si="8"/>
        <v>117</v>
      </c>
      <c r="C111" s="10">
        <v>117</v>
      </c>
      <c r="D111" s="9" t="s">
        <v>1627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8"/>
        <v>118</v>
      </c>
      <c r="C112" s="10">
        <v>118</v>
      </c>
      <c r="D112" s="9" t="s">
        <v>1628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1667</v>
      </c>
    </row>
    <row r="113" spans="2:24" ht="13.8" x14ac:dyDescent="0.2">
      <c r="B113" s="8">
        <f t="shared" si="8"/>
        <v>119</v>
      </c>
      <c r="C113" s="10">
        <v>119</v>
      </c>
      <c r="D113" s="9" t="s">
        <v>2083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2083</v>
      </c>
    </row>
    <row r="114" spans="2:24" ht="13.8" x14ac:dyDescent="0.2">
      <c r="B114" s="8">
        <f t="shared" si="8"/>
        <v>120</v>
      </c>
      <c r="C114" s="10">
        <v>120</v>
      </c>
      <c r="D114" s="9" t="s">
        <v>1278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8"/>
        <v>121</v>
      </c>
      <c r="C115" s="10">
        <v>121</v>
      </c>
      <c r="D115" s="9" t="s">
        <v>1629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1668</v>
      </c>
    </row>
    <row r="116" spans="2:24" ht="13.8" x14ac:dyDescent="0.2">
      <c r="B116" s="8">
        <f t="shared" si="8"/>
        <v>122</v>
      </c>
      <c r="C116" s="10">
        <v>122</v>
      </c>
      <c r="D116" s="9" t="s">
        <v>1630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1669</v>
      </c>
    </row>
    <row r="117" spans="2:24" ht="13.8" x14ac:dyDescent="0.2">
      <c r="B117" s="8">
        <f t="shared" si="8"/>
        <v>123</v>
      </c>
      <c r="C117" s="10">
        <v>123</v>
      </c>
      <c r="D117" s="9" t="s">
        <v>2084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2084</v>
      </c>
    </row>
    <row r="118" spans="2:24" ht="13.8" x14ac:dyDescent="0.2">
      <c r="B118" s="8">
        <f t="shared" si="8"/>
        <v>124</v>
      </c>
      <c r="C118" s="10">
        <v>124</v>
      </c>
      <c r="D118" s="9" t="s">
        <v>1177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1926</v>
      </c>
    </row>
    <row r="119" spans="2:24" ht="13.8" x14ac:dyDescent="0.2">
      <c r="B119" s="8">
        <f t="shared" si="8"/>
        <v>125</v>
      </c>
      <c r="C119" s="10">
        <v>125</v>
      </c>
      <c r="D119" s="9" t="s">
        <v>1631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1631</v>
      </c>
    </row>
    <row r="120" spans="2:24" ht="13.8" x14ac:dyDescent="0.2">
      <c r="B120" s="8">
        <f t="shared" si="8"/>
        <v>126</v>
      </c>
      <c r="C120" s="10">
        <v>126</v>
      </c>
      <c r="D120" s="9" t="s">
        <v>1632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1670</v>
      </c>
    </row>
    <row r="121" spans="2:24" ht="13.8" x14ac:dyDescent="0.2">
      <c r="B121" s="8">
        <f t="shared" si="8"/>
        <v>127</v>
      </c>
      <c r="C121" s="10">
        <v>127</v>
      </c>
      <c r="D121" s="9" t="s">
        <v>1633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8"/>
        <v>128</v>
      </c>
      <c r="C122" s="10">
        <v>128</v>
      </c>
      <c r="D122" s="9" t="s">
        <v>1634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1671</v>
      </c>
    </row>
    <row r="123" spans="2:24" ht="13.8" x14ac:dyDescent="0.2">
      <c r="B123" s="8">
        <f t="shared" si="8"/>
        <v>129</v>
      </c>
      <c r="C123" s="10">
        <v>129</v>
      </c>
      <c r="D123" s="9" t="s">
        <v>1635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1672</v>
      </c>
    </row>
    <row r="124" spans="2:24" ht="13.8" x14ac:dyDescent="0.2">
      <c r="B124" s="8">
        <f t="shared" si="8"/>
        <v>130</v>
      </c>
      <c r="C124" s="10">
        <v>130</v>
      </c>
      <c r="D124" s="9" t="s">
        <v>1636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1673</v>
      </c>
    </row>
    <row r="125" spans="2:24" ht="13.8" x14ac:dyDescent="0.2">
      <c r="B125" s="8">
        <f t="shared" si="8"/>
        <v>131</v>
      </c>
      <c r="C125" s="10">
        <v>131</v>
      </c>
      <c r="D125" s="9" t="s">
        <v>1637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1674</v>
      </c>
    </row>
    <row r="126" spans="2:24" ht="13.8" x14ac:dyDescent="0.2">
      <c r="B126" s="8">
        <f t="shared" si="8"/>
        <v>132</v>
      </c>
      <c r="C126" s="10">
        <v>132</v>
      </c>
      <c r="D126" s="9" t="s">
        <v>1638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1675</v>
      </c>
    </row>
    <row r="127" spans="2:24" ht="13.8" x14ac:dyDescent="0.2">
      <c r="B127" s="8">
        <f t="shared" si="8"/>
        <v>133</v>
      </c>
      <c r="C127" s="10">
        <v>133</v>
      </c>
      <c r="D127" s="9" t="s">
        <v>199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8"/>
        <v>134</v>
      </c>
      <c r="C128" s="10">
        <v>134</v>
      </c>
      <c r="D128" s="9" t="s">
        <v>1639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489</v>
      </c>
    </row>
    <row r="129" spans="2:24" ht="13.8" x14ac:dyDescent="0.2">
      <c r="B129" s="8">
        <f t="shared" si="8"/>
        <v>135</v>
      </c>
      <c r="C129" s="10">
        <v>135</v>
      </c>
      <c r="D129" s="9" t="s">
        <v>1640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8"/>
        <v>136</v>
      </c>
      <c r="C130" s="10">
        <v>136</v>
      </c>
      <c r="D130" s="9" t="s">
        <v>1641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1676</v>
      </c>
    </row>
    <row r="131" spans="2:24" ht="13.8" x14ac:dyDescent="0.2">
      <c r="B131" s="8" t="str">
        <f t="shared" si="8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8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0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5">((G133-H133-I133-J133)+(H133*2)+(I133*3)+(J133*4))</f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7" si="5">((G5-H5-I5-J5)+(H5*2)+(I5*3)+(J5*4))</f>
        <v>0</v>
      </c>
      <c r="L5" s="7">
        <v>0</v>
      </c>
      <c r="M5" s="11">
        <f t="shared" ref="M5:M7" si="6">IFERROR(IF((G5+P5+Q5)/(F5+P5+Q5+S5)=1,"1.00",(G5+P5+Q5)/(F5+P5+Q5+S5)),0)</f>
        <v>0</v>
      </c>
      <c r="N5" s="11">
        <f t="shared" ref="N5:N7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905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952</v>
      </c>
    </row>
    <row r="8" spans="2:24" ht="13.8" x14ac:dyDescent="0.2">
      <c r="B8" s="8">
        <f t="shared" si="3"/>
        <v>3</v>
      </c>
      <c r="C8" s="10">
        <v>3</v>
      </c>
      <c r="D8" s="13" t="s">
        <v>906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ref="K8:K71" si="8">((G8-H8-I8-J8)+(H8*2)+(I8*3)+(J8*4))</f>
        <v>0</v>
      </c>
      <c r="L8" s="7">
        <v>0</v>
      </c>
      <c r="M8" s="11">
        <f t="shared" ref="M8:M71" si="9">IFERROR(IF((G8+P8+Q8)/(F8+P8+Q8+S8)=1,"1.00",(G8+P8+Q8)/(F8+P8+Q8+S8)),0)</f>
        <v>0</v>
      </c>
      <c r="N8" s="11">
        <f t="shared" ref="N8:N71" si="10">IF(F8=0,IF(M8="1.00","1.000",M8),SUM(ROUND(K8/F8,3),M8))</f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927</v>
      </c>
    </row>
    <row r="9" spans="2:24" ht="13.8" x14ac:dyDescent="0.2">
      <c r="B9" s="8">
        <f t="shared" si="3"/>
        <v>4</v>
      </c>
      <c r="C9" s="10">
        <v>4</v>
      </c>
      <c r="D9" s="9" t="s">
        <v>907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8"/>
        <v>0</v>
      </c>
      <c r="L9" s="7">
        <v>0</v>
      </c>
      <c r="M9" s="11">
        <f t="shared" si="9"/>
        <v>0</v>
      </c>
      <c r="N9" s="11">
        <f t="shared" si="10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928</v>
      </c>
    </row>
    <row r="10" spans="2:24" ht="13.8" x14ac:dyDescent="0.2">
      <c r="B10" s="8">
        <f t="shared" si="3"/>
        <v>5</v>
      </c>
      <c r="C10" s="10">
        <v>5</v>
      </c>
      <c r="D10" s="13" t="s">
        <v>1628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8"/>
        <v>0</v>
      </c>
      <c r="L10" s="7">
        <v>0</v>
      </c>
      <c r="M10" s="11">
        <f t="shared" si="9"/>
        <v>0</v>
      </c>
      <c r="N10" s="11">
        <f t="shared" si="10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1017</v>
      </c>
      <c r="E11" s="11" t="str">
        <f t="shared" ref="E11" si="11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8"/>
        <v>0</v>
      </c>
      <c r="L11" s="7">
        <v>0</v>
      </c>
      <c r="M11" s="11">
        <f t="shared" si="9"/>
        <v>0</v>
      </c>
      <c r="N11" s="11">
        <f t="shared" si="10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1018</v>
      </c>
    </row>
    <row r="12" spans="2:24" ht="13.8" x14ac:dyDescent="0.2">
      <c r="B12" s="8">
        <f t="shared" si="3"/>
        <v>7</v>
      </c>
      <c r="C12" s="10">
        <v>7</v>
      </c>
      <c r="D12" s="13" t="s">
        <v>908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8"/>
        <v>0</v>
      </c>
      <c r="L12" s="7">
        <v>0</v>
      </c>
      <c r="M12" s="11">
        <f t="shared" si="9"/>
        <v>0</v>
      </c>
      <c r="N12" s="11">
        <f t="shared" si="10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909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8"/>
        <v>0</v>
      </c>
      <c r="L13" s="7">
        <v>0</v>
      </c>
      <c r="M13" s="11">
        <f t="shared" si="9"/>
        <v>0</v>
      </c>
      <c r="N13" s="11">
        <f t="shared" si="10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8"/>
        <v>0</v>
      </c>
      <c r="L14" s="7">
        <v>0</v>
      </c>
      <c r="M14" s="11">
        <f t="shared" si="9"/>
        <v>0</v>
      </c>
      <c r="N14" s="11">
        <f t="shared" si="10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1135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8"/>
        <v>0</v>
      </c>
      <c r="L15" s="7">
        <v>0</v>
      </c>
      <c r="M15" s="11">
        <f t="shared" si="9"/>
        <v>0</v>
      </c>
      <c r="N15" s="11">
        <f t="shared" si="10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8"/>
        <v>0</v>
      </c>
      <c r="L16" s="7">
        <v>0</v>
      </c>
      <c r="M16" s="11">
        <f t="shared" si="9"/>
        <v>0</v>
      </c>
      <c r="N16" s="11">
        <f t="shared" si="10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910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8"/>
        <v>0</v>
      </c>
      <c r="L17" s="7">
        <v>0</v>
      </c>
      <c r="M17" s="11">
        <f t="shared" si="9"/>
        <v>0</v>
      </c>
      <c r="N17" s="11">
        <f t="shared" si="10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929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9"/>
        <v>0</v>
      </c>
      <c r="N18" s="11">
        <f t="shared" si="10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1395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8"/>
        <v>0</v>
      </c>
      <c r="L19" s="7">
        <v>0</v>
      </c>
      <c r="M19" s="11">
        <f t="shared" si="9"/>
        <v>0</v>
      </c>
      <c r="N19" s="11">
        <f t="shared" si="10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9"/>
        <v>0</v>
      </c>
      <c r="N20" s="11">
        <f t="shared" si="10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911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8"/>
        <v>0</v>
      </c>
      <c r="L21" s="7">
        <v>0</v>
      </c>
      <c r="M21" s="11">
        <f t="shared" si="9"/>
        <v>0</v>
      </c>
      <c r="N21" s="11">
        <f t="shared" si="10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930</v>
      </c>
    </row>
    <row r="22" spans="2:24" ht="13.8" x14ac:dyDescent="0.2">
      <c r="B22" s="8">
        <f t="shared" si="3"/>
        <v>17</v>
      </c>
      <c r="C22" s="10">
        <v>17</v>
      </c>
      <c r="D22" s="13" t="s">
        <v>2071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9"/>
        <v>0</v>
      </c>
      <c r="N22" s="11">
        <f t="shared" si="10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9"/>
        <v>0</v>
      </c>
      <c r="N23" s="11">
        <f t="shared" si="10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1215</v>
      </c>
    </row>
    <row r="24" spans="2:24" ht="13.8" x14ac:dyDescent="0.2">
      <c r="B24" s="8">
        <f t="shared" si="3"/>
        <v>19</v>
      </c>
      <c r="C24" s="10">
        <v>19</v>
      </c>
      <c r="D24" s="13" t="s">
        <v>912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9"/>
        <v>0</v>
      </c>
      <c r="N24" s="11">
        <f t="shared" si="10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9"/>
        <v>0</v>
      </c>
      <c r="N25" s="11">
        <f t="shared" si="10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1837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9"/>
        <v>0</v>
      </c>
      <c r="N26" s="11">
        <f t="shared" si="10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913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9"/>
        <v>0</v>
      </c>
      <c r="N27" s="11">
        <f t="shared" si="10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931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9"/>
        <v>0</v>
      </c>
      <c r="N28" s="11">
        <f t="shared" si="10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914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8"/>
        <v>0</v>
      </c>
      <c r="L29" s="7">
        <v>0</v>
      </c>
      <c r="M29" s="11">
        <f t="shared" si="9"/>
        <v>0</v>
      </c>
      <c r="N29" s="11">
        <f t="shared" si="10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932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8"/>
        <v>0</v>
      </c>
      <c r="L30" s="7">
        <v>0</v>
      </c>
      <c r="M30" s="11">
        <f t="shared" si="9"/>
        <v>0</v>
      </c>
      <c r="N30" s="11">
        <f t="shared" si="10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915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8"/>
        <v>0</v>
      </c>
      <c r="L31" s="7">
        <v>0</v>
      </c>
      <c r="M31" s="11">
        <f t="shared" si="9"/>
        <v>0</v>
      </c>
      <c r="N31" s="11">
        <f t="shared" si="10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933</v>
      </c>
    </row>
    <row r="32" spans="2:24" ht="13.8" x14ac:dyDescent="0.2">
      <c r="B32" s="8">
        <f t="shared" si="3"/>
        <v>27</v>
      </c>
      <c r="C32" s="10">
        <v>27</v>
      </c>
      <c r="D32" s="13" t="s">
        <v>916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8"/>
        <v>0</v>
      </c>
      <c r="L32" s="7">
        <v>0</v>
      </c>
      <c r="M32" s="11">
        <f t="shared" si="9"/>
        <v>0</v>
      </c>
      <c r="N32" s="11">
        <f t="shared" si="10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1781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8"/>
        <v>0</v>
      </c>
      <c r="L33" s="7">
        <v>0</v>
      </c>
      <c r="M33" s="11">
        <f t="shared" si="9"/>
        <v>0</v>
      </c>
      <c r="N33" s="11">
        <f t="shared" si="10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1226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8"/>
        <v>0</v>
      </c>
      <c r="L34" s="7">
        <v>0</v>
      </c>
      <c r="M34" s="11">
        <f t="shared" si="9"/>
        <v>0</v>
      </c>
      <c r="N34" s="11">
        <f t="shared" si="10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1227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9"/>
        <v>0</v>
      </c>
      <c r="N35" s="11">
        <f t="shared" si="10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554</v>
      </c>
    </row>
    <row r="36" spans="2:24" ht="13.8" x14ac:dyDescent="0.2">
      <c r="B36" s="8">
        <f t="shared" si="3"/>
        <v>31</v>
      </c>
      <c r="C36" s="10">
        <v>31</v>
      </c>
      <c r="D36" s="13" t="s">
        <v>1216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8"/>
        <v>0</v>
      </c>
      <c r="L36" s="7">
        <v>0</v>
      </c>
      <c r="M36" s="11">
        <f t="shared" si="9"/>
        <v>0</v>
      </c>
      <c r="N36" s="11">
        <f t="shared" si="10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1217</v>
      </c>
    </row>
    <row r="37" spans="2:24" ht="13.8" x14ac:dyDescent="0.2">
      <c r="B37" s="8">
        <f t="shared" si="3"/>
        <v>32</v>
      </c>
      <c r="C37" s="10">
        <v>32</v>
      </c>
      <c r="D37" s="13" t="s">
        <v>1218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8"/>
        <v>0</v>
      </c>
      <c r="L37" s="7">
        <v>0</v>
      </c>
      <c r="M37" s="11">
        <f t="shared" si="9"/>
        <v>0</v>
      </c>
      <c r="N37" s="11">
        <f t="shared" si="10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1219</v>
      </c>
    </row>
    <row r="38" spans="2:24" ht="13.8" x14ac:dyDescent="0.2">
      <c r="B38" s="8">
        <f t="shared" si="3"/>
        <v>33</v>
      </c>
      <c r="C38" s="10">
        <v>33</v>
      </c>
      <c r="D38" s="13" t="s">
        <v>1224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8"/>
        <v>0</v>
      </c>
      <c r="L38" s="7">
        <v>0</v>
      </c>
      <c r="M38" s="11">
        <f t="shared" si="9"/>
        <v>0</v>
      </c>
      <c r="N38" s="11">
        <f t="shared" si="10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1225</v>
      </c>
    </row>
    <row r="39" spans="2:24" ht="13.8" x14ac:dyDescent="0.2">
      <c r="B39" s="8">
        <f t="shared" si="3"/>
        <v>34</v>
      </c>
      <c r="C39" s="10">
        <v>34</v>
      </c>
      <c r="D39" s="13" t="s">
        <v>1762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9"/>
        <v>0</v>
      </c>
      <c r="N39" s="11">
        <f t="shared" si="10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917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9"/>
        <v>0</v>
      </c>
      <c r="N40" s="11">
        <f t="shared" si="10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934</v>
      </c>
    </row>
    <row r="41" spans="2:24" ht="13.8" x14ac:dyDescent="0.2">
      <c r="B41" s="8">
        <f t="shared" si="3"/>
        <v>36</v>
      </c>
      <c r="C41" s="10">
        <v>36</v>
      </c>
      <c r="D41" s="13" t="s">
        <v>1230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9"/>
        <v>0</v>
      </c>
      <c r="N41" s="11">
        <f t="shared" si="10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1231</v>
      </c>
    </row>
    <row r="42" spans="2:24" ht="13.8" x14ac:dyDescent="0.2">
      <c r="B42" s="8">
        <f t="shared" si="3"/>
        <v>37</v>
      </c>
      <c r="C42" s="10">
        <v>37</v>
      </c>
      <c r="D42" s="13" t="s">
        <v>918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8"/>
        <v>0</v>
      </c>
      <c r="L42" s="7">
        <v>0</v>
      </c>
      <c r="M42" s="11">
        <f t="shared" si="9"/>
        <v>0</v>
      </c>
      <c r="N42" s="11">
        <f t="shared" si="10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573</v>
      </c>
    </row>
    <row r="43" spans="2:24" ht="13.8" x14ac:dyDescent="0.2">
      <c r="B43" s="8">
        <f t="shared" si="3"/>
        <v>38</v>
      </c>
      <c r="C43" s="10">
        <v>38</v>
      </c>
      <c r="D43" s="13" t="s">
        <v>789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8"/>
        <v>0</v>
      </c>
      <c r="L43" s="7">
        <v>0</v>
      </c>
      <c r="M43" s="11">
        <f t="shared" si="9"/>
        <v>0</v>
      </c>
      <c r="N43" s="11">
        <f t="shared" si="10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8"/>
        <v>0</v>
      </c>
      <c r="L44" s="7">
        <v>0</v>
      </c>
      <c r="M44" s="11">
        <f t="shared" si="9"/>
        <v>0</v>
      </c>
      <c r="N44" s="11">
        <f t="shared" si="10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935</v>
      </c>
    </row>
    <row r="45" spans="2:24" ht="13.8" x14ac:dyDescent="0.2">
      <c r="B45" s="8">
        <f t="shared" si="3"/>
        <v>40</v>
      </c>
      <c r="C45" s="10">
        <v>40</v>
      </c>
      <c r="D45" s="13" t="s">
        <v>2063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8"/>
        <v>0</v>
      </c>
      <c r="L45" s="7">
        <v>0</v>
      </c>
      <c r="M45" s="11">
        <f t="shared" si="9"/>
        <v>0</v>
      </c>
      <c r="N45" s="11">
        <f t="shared" si="10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9"/>
        <v>0</v>
      </c>
      <c r="N46" s="11">
        <f t="shared" si="10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953</v>
      </c>
    </row>
    <row r="47" spans="2:24" ht="13.8" x14ac:dyDescent="0.2">
      <c r="B47" s="8">
        <f t="shared" si="3"/>
        <v>42</v>
      </c>
      <c r="C47" s="10">
        <v>42</v>
      </c>
      <c r="D47" s="9" t="s">
        <v>1222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8"/>
        <v>0</v>
      </c>
      <c r="L47" s="7">
        <v>0</v>
      </c>
      <c r="M47" s="11">
        <f t="shared" si="9"/>
        <v>0</v>
      </c>
      <c r="N47" s="11">
        <f t="shared" si="10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1223</v>
      </c>
    </row>
    <row r="48" spans="2:24" ht="13.8" x14ac:dyDescent="0.2">
      <c r="B48" s="8">
        <f t="shared" si="3"/>
        <v>43</v>
      </c>
      <c r="C48" s="10">
        <v>43</v>
      </c>
      <c r="D48" s="13" t="s">
        <v>920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9"/>
        <v>0</v>
      </c>
      <c r="N48" s="11">
        <f t="shared" si="10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936</v>
      </c>
    </row>
    <row r="49" spans="2:24" ht="13.8" x14ac:dyDescent="0.2">
      <c r="B49" s="8">
        <f t="shared" si="3"/>
        <v>44</v>
      </c>
      <c r="C49" s="10">
        <v>44</v>
      </c>
      <c r="D49" s="13" t="s">
        <v>1159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8"/>
        <v>0</v>
      </c>
      <c r="L49" s="7">
        <v>0</v>
      </c>
      <c r="M49" s="11">
        <f t="shared" si="9"/>
        <v>0</v>
      </c>
      <c r="N49" s="11">
        <f t="shared" si="10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937</v>
      </c>
    </row>
    <row r="50" spans="2:24" ht="13.8" x14ac:dyDescent="0.2">
      <c r="B50" s="8">
        <f t="shared" si="3"/>
        <v>45</v>
      </c>
      <c r="C50" s="10">
        <v>45</v>
      </c>
      <c r="D50" s="13" t="s">
        <v>1220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9"/>
        <v>0</v>
      </c>
      <c r="N50" s="11">
        <f t="shared" si="10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1221</v>
      </c>
    </row>
    <row r="51" spans="2:24" ht="13.8" x14ac:dyDescent="0.2">
      <c r="B51" s="8">
        <f t="shared" si="3"/>
        <v>46</v>
      </c>
      <c r="C51" s="10">
        <v>46</v>
      </c>
      <c r="D51" s="13" t="s">
        <v>921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9"/>
        <v>0</v>
      </c>
      <c r="N51" s="11">
        <f t="shared" si="10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938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9"/>
        <v>0</v>
      </c>
      <c r="N52" s="11">
        <f t="shared" si="10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8"/>
        <v>0</v>
      </c>
      <c r="L53" s="7">
        <v>0</v>
      </c>
      <c r="M53" s="11">
        <f t="shared" si="9"/>
        <v>0</v>
      </c>
      <c r="N53" s="11">
        <f t="shared" si="10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 t="s">
        <v>1995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9"/>
        <v>0</v>
      </c>
      <c r="N54" s="11">
        <f t="shared" si="10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1996</v>
      </c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8"/>
        <v>0</v>
      </c>
      <c r="L55" s="7">
        <v>0</v>
      </c>
      <c r="M55" s="11">
        <f t="shared" si="9"/>
        <v>0</v>
      </c>
      <c r="N55" s="11">
        <f t="shared" si="10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8"/>
        <v>0</v>
      </c>
      <c r="L56" s="7">
        <v>0</v>
      </c>
      <c r="M56" s="11">
        <f t="shared" si="9"/>
        <v>0</v>
      </c>
      <c r="N56" s="11">
        <f t="shared" si="10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819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9"/>
        <v>0</v>
      </c>
      <c r="N57" s="11">
        <f t="shared" si="10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1232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8"/>
        <v>0</v>
      </c>
      <c r="L58" s="7">
        <v>0</v>
      </c>
      <c r="M58" s="11">
        <f t="shared" si="9"/>
        <v>0</v>
      </c>
      <c r="N58" s="11">
        <f t="shared" si="10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1233</v>
      </c>
    </row>
    <row r="59" spans="2:24" ht="13.8" x14ac:dyDescent="0.2">
      <c r="B59" s="8">
        <f t="shared" si="3"/>
        <v>54</v>
      </c>
      <c r="C59" s="10">
        <v>54</v>
      </c>
      <c r="D59" s="13" t="s">
        <v>955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8"/>
        <v>0</v>
      </c>
      <c r="L59" s="7">
        <v>0</v>
      </c>
      <c r="M59" s="11">
        <f t="shared" si="9"/>
        <v>0</v>
      </c>
      <c r="N59" s="11">
        <f t="shared" si="10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939</v>
      </c>
    </row>
    <row r="60" spans="2:24" ht="13.8" x14ac:dyDescent="0.2">
      <c r="B60" s="8">
        <f t="shared" si="3"/>
        <v>55</v>
      </c>
      <c r="C60" s="10">
        <v>55</v>
      </c>
      <c r="D60" s="13" t="s">
        <v>922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8"/>
        <v>0</v>
      </c>
      <c r="L60" s="7">
        <v>0</v>
      </c>
      <c r="M60" s="11">
        <f t="shared" si="9"/>
        <v>0</v>
      </c>
      <c r="N60" s="11">
        <f t="shared" si="10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940</v>
      </c>
    </row>
    <row r="61" spans="2:24" ht="13.8" x14ac:dyDescent="0.2">
      <c r="B61" s="8">
        <f t="shared" si="3"/>
        <v>56</v>
      </c>
      <c r="C61" s="10">
        <v>56</v>
      </c>
      <c r="D61" s="13" t="s">
        <v>1423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9"/>
        <v>0</v>
      </c>
      <c r="N61" s="11">
        <f t="shared" si="10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923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8"/>
        <v>0</v>
      </c>
      <c r="L62" s="7">
        <v>0</v>
      </c>
      <c r="M62" s="11">
        <f t="shared" si="9"/>
        <v>0</v>
      </c>
      <c r="N62" s="11">
        <f t="shared" si="10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941</v>
      </c>
    </row>
    <row r="63" spans="2:24" ht="13.8" x14ac:dyDescent="0.2">
      <c r="B63" s="8">
        <f t="shared" si="3"/>
        <v>58</v>
      </c>
      <c r="C63" s="10">
        <v>58</v>
      </c>
      <c r="D63" s="13" t="s">
        <v>924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8"/>
        <v>0</v>
      </c>
      <c r="L63" s="7">
        <v>0</v>
      </c>
      <c r="M63" s="11">
        <f t="shared" si="9"/>
        <v>0</v>
      </c>
      <c r="N63" s="11">
        <f t="shared" si="10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942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8"/>
        <v>0</v>
      </c>
      <c r="L64" s="7">
        <v>0</v>
      </c>
      <c r="M64" s="11">
        <f t="shared" si="9"/>
        <v>0</v>
      </c>
      <c r="N64" s="11">
        <f t="shared" si="10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/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8"/>
        <v>0</v>
      </c>
      <c r="L65" s="7">
        <v>0</v>
      </c>
      <c r="M65" s="11">
        <f t="shared" si="9"/>
        <v>0</v>
      </c>
      <c r="N65" s="11">
        <f t="shared" si="10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8"/>
        <v>0</v>
      </c>
      <c r="L66" s="7">
        <v>0</v>
      </c>
      <c r="M66" s="11">
        <f t="shared" si="9"/>
        <v>0</v>
      </c>
      <c r="N66" s="11">
        <f t="shared" si="10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1965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10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1973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10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2">IF(C69="","",C69)</f>
        <v>64</v>
      </c>
      <c r="C69" s="10">
        <v>64</v>
      </c>
      <c r="D69" s="13" t="s">
        <v>135</v>
      </c>
      <c r="E69" s="11" t="str">
        <f t="shared" ref="E69:E132" si="13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si="10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2"/>
        <v>65</v>
      </c>
      <c r="C70" s="10">
        <v>65</v>
      </c>
      <c r="D70" s="9" t="s">
        <v>1228</v>
      </c>
      <c r="E70" s="11" t="str">
        <f t="shared" si="13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0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1229</v>
      </c>
    </row>
    <row r="71" spans="2:24" ht="13.8" x14ac:dyDescent="0.2">
      <c r="B71" s="8">
        <f t="shared" si="12"/>
        <v>66</v>
      </c>
      <c r="C71" s="10">
        <v>66</v>
      </c>
      <c r="D71" s="13" t="s">
        <v>136</v>
      </c>
      <c r="E71" s="11" t="str">
        <f t="shared" si="13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0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2"/>
        <v>67</v>
      </c>
      <c r="C72" s="10">
        <v>67</v>
      </c>
      <c r="D72" s="13" t="s">
        <v>925</v>
      </c>
      <c r="E72" s="11" t="str">
        <f t="shared" si="13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ref="K72:K134" si="14">((G72-H72-I72-J72)+(H72*2)+(I72*3)+(J72*4))</f>
        <v>0</v>
      </c>
      <c r="L72" s="7">
        <v>0</v>
      </c>
      <c r="M72" s="11">
        <f t="shared" ref="M72:M134" si="15">IFERROR(IF((G72+P72+Q72)/(F72+P72+Q72+S72)=1,"1.00",(G72+P72+Q72)/(F72+P72+Q72+S72)),0)</f>
        <v>0</v>
      </c>
      <c r="N72" s="11">
        <f t="shared" ref="N72:N134" si="16">IF(F72=0,IF(M72="1.00","1.000",M72),SUM(ROUND(K72/F72,3),M72))</f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559</v>
      </c>
    </row>
    <row r="73" spans="2:24" ht="13.8" x14ac:dyDescent="0.2">
      <c r="B73" s="8">
        <f t="shared" si="12"/>
        <v>68</v>
      </c>
      <c r="C73" s="10">
        <v>68</v>
      </c>
      <c r="D73" s="13" t="s">
        <v>1411</v>
      </c>
      <c r="E73" s="11" t="str">
        <f t="shared" si="13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4"/>
        <v>0</v>
      </c>
      <c r="L73" s="7">
        <v>0</v>
      </c>
      <c r="M73" s="11">
        <f t="shared" si="15"/>
        <v>0</v>
      </c>
      <c r="N73" s="11">
        <f t="shared" si="16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1234</v>
      </c>
    </row>
    <row r="74" spans="2:24" ht="13.8" x14ac:dyDescent="0.2">
      <c r="B74" s="8">
        <f t="shared" si="12"/>
        <v>69</v>
      </c>
      <c r="C74" s="10">
        <v>69</v>
      </c>
      <c r="D74" s="13"/>
      <c r="E74" s="11" t="str">
        <f t="shared" si="13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4"/>
        <v>0</v>
      </c>
      <c r="L74" s="7">
        <v>0</v>
      </c>
      <c r="M74" s="11">
        <f t="shared" si="15"/>
        <v>0</v>
      </c>
      <c r="N74" s="11">
        <f t="shared" si="16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2"/>
        <v>70</v>
      </c>
      <c r="C75" s="10">
        <v>70</v>
      </c>
      <c r="D75" s="9"/>
      <c r="E75" s="11" t="str">
        <f t="shared" si="13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4"/>
        <v>0</v>
      </c>
      <c r="L75" s="7">
        <v>0</v>
      </c>
      <c r="M75" s="11">
        <f t="shared" si="15"/>
        <v>0</v>
      </c>
      <c r="N75" s="11">
        <f t="shared" si="16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2"/>
        <v>71</v>
      </c>
      <c r="C76" s="10">
        <v>71</v>
      </c>
      <c r="D76" s="13"/>
      <c r="E76" s="11" t="str">
        <f t="shared" si="13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4"/>
        <v>0</v>
      </c>
      <c r="L76" s="7">
        <v>0</v>
      </c>
      <c r="M76" s="11">
        <f t="shared" si="15"/>
        <v>0</v>
      </c>
      <c r="N76" s="11">
        <f t="shared" si="16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2"/>
        <v>72</v>
      </c>
      <c r="C77" s="10">
        <v>72</v>
      </c>
      <c r="D77" s="8"/>
      <c r="E77" s="11" t="str">
        <f t="shared" si="13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4"/>
        <v>0</v>
      </c>
      <c r="L77" s="7">
        <v>0</v>
      </c>
      <c r="M77" s="11">
        <f t="shared" si="15"/>
        <v>0</v>
      </c>
      <c r="N77" s="11">
        <f t="shared" si="16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2"/>
        <v>73</v>
      </c>
      <c r="C78" s="10">
        <v>73</v>
      </c>
      <c r="D78" s="8"/>
      <c r="E78" s="11" t="str">
        <f t="shared" si="13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4"/>
        <v>0</v>
      </c>
      <c r="L78" s="7">
        <v>0</v>
      </c>
      <c r="M78" s="11">
        <f t="shared" si="15"/>
        <v>0</v>
      </c>
      <c r="N78" s="11">
        <f t="shared" si="16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2"/>
        <v>74</v>
      </c>
      <c r="C79" s="10">
        <v>74</v>
      </c>
      <c r="D79" s="8"/>
      <c r="E79" s="11" t="str">
        <f t="shared" si="13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4"/>
        <v>0</v>
      </c>
      <c r="L79" s="7">
        <v>0</v>
      </c>
      <c r="M79" s="11">
        <f t="shared" si="15"/>
        <v>0</v>
      </c>
      <c r="N79" s="11">
        <f t="shared" si="16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2"/>
        <v>75</v>
      </c>
      <c r="C80" s="10">
        <v>75</v>
      </c>
      <c r="D80" s="8"/>
      <c r="E80" s="11" t="str">
        <f t="shared" si="13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4"/>
        <v>0</v>
      </c>
      <c r="L80" s="7">
        <v>0</v>
      </c>
      <c r="M80" s="11">
        <f t="shared" si="15"/>
        <v>0</v>
      </c>
      <c r="N80" s="11">
        <f t="shared" si="16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2"/>
        <v>76</v>
      </c>
      <c r="C81" s="10">
        <v>76</v>
      </c>
      <c r="D81" s="8"/>
      <c r="E81" s="11" t="str">
        <f t="shared" si="13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4"/>
        <v>0</v>
      </c>
      <c r="L81" s="7">
        <v>0</v>
      </c>
      <c r="M81" s="11">
        <f t="shared" si="15"/>
        <v>0</v>
      </c>
      <c r="N81" s="11">
        <f t="shared" si="16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2"/>
        <v>77</v>
      </c>
      <c r="C82" s="10">
        <v>77</v>
      </c>
      <c r="D82" s="8"/>
      <c r="E82" s="11" t="str">
        <f t="shared" si="13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4"/>
        <v>0</v>
      </c>
      <c r="L82" s="7">
        <v>0</v>
      </c>
      <c r="M82" s="11">
        <f t="shared" si="15"/>
        <v>0</v>
      </c>
      <c r="N82" s="11">
        <f t="shared" si="16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2"/>
        <v>78</v>
      </c>
      <c r="C83" s="10">
        <v>78</v>
      </c>
      <c r="D83" s="13"/>
      <c r="E83" s="11" t="str">
        <f t="shared" si="13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4"/>
        <v>0</v>
      </c>
      <c r="L83" s="7">
        <v>0</v>
      </c>
      <c r="M83" s="11">
        <f t="shared" si="15"/>
        <v>0</v>
      </c>
      <c r="N83" s="11">
        <f t="shared" si="16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2"/>
        <v>79</v>
      </c>
      <c r="C84" s="10">
        <v>79</v>
      </c>
      <c r="D84" s="8"/>
      <c r="E84" s="11" t="str">
        <f t="shared" si="13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4"/>
        <v>0</v>
      </c>
      <c r="L84" s="7">
        <v>0</v>
      </c>
      <c r="M84" s="11">
        <f t="shared" si="15"/>
        <v>0</v>
      </c>
      <c r="N84" s="11">
        <f t="shared" si="16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2"/>
        <v>80</v>
      </c>
      <c r="C85" s="10">
        <v>80</v>
      </c>
      <c r="D85" s="8"/>
      <c r="E85" s="11" t="str">
        <f t="shared" si="13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4"/>
        <v>0</v>
      </c>
      <c r="L85" s="7">
        <v>0</v>
      </c>
      <c r="M85" s="11">
        <f t="shared" si="15"/>
        <v>0</v>
      </c>
      <c r="N85" s="11">
        <f t="shared" si="16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2"/>
        <v>81</v>
      </c>
      <c r="C86" s="10">
        <v>81</v>
      </c>
      <c r="D86" s="8"/>
      <c r="E86" s="11" t="str">
        <f t="shared" si="13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4"/>
        <v>0</v>
      </c>
      <c r="L86" s="7">
        <v>0</v>
      </c>
      <c r="M86" s="11">
        <f t="shared" si="15"/>
        <v>0</v>
      </c>
      <c r="N86" s="11">
        <f t="shared" si="16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2"/>
        <v>82</v>
      </c>
      <c r="C87" s="10">
        <v>82</v>
      </c>
      <c r="D87" s="8"/>
      <c r="E87" s="11" t="str">
        <f t="shared" si="13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4"/>
        <v>0</v>
      </c>
      <c r="L87" s="7">
        <v>0</v>
      </c>
      <c r="M87" s="11">
        <f t="shared" si="15"/>
        <v>0</v>
      </c>
      <c r="N87" s="11">
        <f t="shared" si="16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2"/>
        <v>83</v>
      </c>
      <c r="C88" s="10">
        <v>83</v>
      </c>
      <c r="D88" s="8"/>
      <c r="E88" s="11" t="str">
        <f t="shared" si="13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4"/>
        <v>0</v>
      </c>
      <c r="L88" s="7">
        <v>0</v>
      </c>
      <c r="M88" s="11">
        <f t="shared" si="15"/>
        <v>0</v>
      </c>
      <c r="N88" s="11">
        <f t="shared" si="16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2"/>
        <v>84</v>
      </c>
      <c r="C89" s="10">
        <v>84</v>
      </c>
      <c r="D89" s="8"/>
      <c r="E89" s="11" t="str">
        <f t="shared" si="13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4"/>
        <v>0</v>
      </c>
      <c r="L89" s="7">
        <v>0</v>
      </c>
      <c r="M89" s="11">
        <f t="shared" si="15"/>
        <v>0</v>
      </c>
      <c r="N89" s="11">
        <f t="shared" si="16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2"/>
        <v>85</v>
      </c>
      <c r="C90" s="10">
        <v>85</v>
      </c>
      <c r="D90" s="8"/>
      <c r="E90" s="11" t="str">
        <f t="shared" si="13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4"/>
        <v>0</v>
      </c>
      <c r="L90" s="7">
        <v>0</v>
      </c>
      <c r="M90" s="11">
        <f t="shared" si="15"/>
        <v>0</v>
      </c>
      <c r="N90" s="11">
        <f t="shared" si="16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2"/>
        <v>86</v>
      </c>
      <c r="C91" s="10">
        <v>86</v>
      </c>
      <c r="D91" s="8"/>
      <c r="E91" s="11" t="str">
        <f t="shared" si="13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4"/>
        <v>0</v>
      </c>
      <c r="L91" s="7">
        <v>0</v>
      </c>
      <c r="M91" s="11">
        <f t="shared" si="15"/>
        <v>0</v>
      </c>
      <c r="N91" s="11">
        <f t="shared" si="16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2"/>
        <v>87</v>
      </c>
      <c r="C92" s="10">
        <v>87</v>
      </c>
      <c r="D92" s="8"/>
      <c r="E92" s="11" t="str">
        <f t="shared" si="13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4"/>
        <v>0</v>
      </c>
      <c r="L92" s="7">
        <v>0</v>
      </c>
      <c r="M92" s="11">
        <f t="shared" si="15"/>
        <v>0</v>
      </c>
      <c r="N92" s="11">
        <f t="shared" si="16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2"/>
        <v>88</v>
      </c>
      <c r="C93" s="10">
        <v>88</v>
      </c>
      <c r="D93" s="13"/>
      <c r="E93" s="11" t="str">
        <f t="shared" si="13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4"/>
        <v>0</v>
      </c>
      <c r="L93" s="7">
        <v>0</v>
      </c>
      <c r="M93" s="11">
        <f t="shared" si="15"/>
        <v>0</v>
      </c>
      <c r="N93" s="11">
        <f t="shared" si="16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2"/>
        <v>89</v>
      </c>
      <c r="C94" s="10">
        <v>89</v>
      </c>
      <c r="D94" s="8"/>
      <c r="E94" s="11" t="str">
        <f t="shared" si="13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4"/>
        <v>0</v>
      </c>
      <c r="L94" s="7">
        <v>0</v>
      </c>
      <c r="M94" s="11">
        <f t="shared" si="15"/>
        <v>0</v>
      </c>
      <c r="N94" s="11">
        <f t="shared" si="16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2"/>
        <v>90</v>
      </c>
      <c r="C95" s="10">
        <v>90</v>
      </c>
      <c r="D95" s="8"/>
      <c r="E95" s="11" t="str">
        <f t="shared" si="13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4"/>
        <v>0</v>
      </c>
      <c r="L95" s="7">
        <v>0</v>
      </c>
      <c r="M95" s="11">
        <f t="shared" si="15"/>
        <v>0</v>
      </c>
      <c r="N95" s="11">
        <f t="shared" si="16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2"/>
        <v>91</v>
      </c>
      <c r="C96" s="10">
        <v>91</v>
      </c>
      <c r="D96" s="26"/>
      <c r="E96" s="11" t="str">
        <f t="shared" si="13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4"/>
        <v>0</v>
      </c>
      <c r="L96" s="7">
        <v>0</v>
      </c>
      <c r="M96" s="11">
        <f t="shared" si="15"/>
        <v>0</v>
      </c>
      <c r="N96" s="11">
        <f t="shared" si="16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2"/>
        <v>92</v>
      </c>
      <c r="C97" s="10">
        <v>92</v>
      </c>
      <c r="D97" s="8"/>
      <c r="E97" s="11" t="str">
        <f t="shared" si="13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4"/>
        <v>0</v>
      </c>
      <c r="L97" s="7">
        <v>0</v>
      </c>
      <c r="M97" s="11">
        <f t="shared" si="15"/>
        <v>0</v>
      </c>
      <c r="N97" s="11">
        <f t="shared" si="16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2"/>
        <v>93</v>
      </c>
      <c r="C98" s="10">
        <v>93</v>
      </c>
      <c r="D98" s="8" t="s">
        <v>926</v>
      </c>
      <c r="E98" s="11" t="str">
        <f t="shared" si="13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4"/>
        <v>0</v>
      </c>
      <c r="L98" s="7">
        <v>0</v>
      </c>
      <c r="M98" s="11">
        <f t="shared" si="15"/>
        <v>0</v>
      </c>
      <c r="N98" s="11">
        <f t="shared" si="16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2"/>
        <v>94</v>
      </c>
      <c r="C99" s="10">
        <v>94</v>
      </c>
      <c r="D99" s="8"/>
      <c r="E99" s="11" t="str">
        <f t="shared" si="13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4"/>
        <v>0</v>
      </c>
      <c r="L99" s="7">
        <v>0</v>
      </c>
      <c r="M99" s="11">
        <f t="shared" si="15"/>
        <v>0</v>
      </c>
      <c r="N99" s="11">
        <f t="shared" si="16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2"/>
        <v>95</v>
      </c>
      <c r="C100" s="10">
        <v>95</v>
      </c>
      <c r="D100" s="8"/>
      <c r="E100" s="11" t="str">
        <f t="shared" si="13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4"/>
        <v>0</v>
      </c>
      <c r="L100" s="7">
        <v>0</v>
      </c>
      <c r="M100" s="11">
        <f t="shared" si="15"/>
        <v>0</v>
      </c>
      <c r="N100" s="11">
        <f t="shared" si="16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2"/>
        <v>96</v>
      </c>
      <c r="C101" s="10">
        <v>96</v>
      </c>
      <c r="D101" s="8"/>
      <c r="E101" s="11" t="str">
        <f t="shared" si="13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4"/>
        <v>0</v>
      </c>
      <c r="L101" s="7">
        <v>0</v>
      </c>
      <c r="M101" s="11">
        <f t="shared" si="15"/>
        <v>0</v>
      </c>
      <c r="N101" s="11">
        <f t="shared" si="16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2"/>
        <v>97</v>
      </c>
      <c r="C102" s="10">
        <v>97</v>
      </c>
      <c r="D102" s="8"/>
      <c r="E102" s="11" t="str">
        <f t="shared" si="13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4"/>
        <v>0</v>
      </c>
      <c r="L102" s="7">
        <v>0</v>
      </c>
      <c r="M102" s="11">
        <f t="shared" si="15"/>
        <v>0</v>
      </c>
      <c r="N102" s="11">
        <f t="shared" si="16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2"/>
        <v>98</v>
      </c>
      <c r="C103" s="10">
        <v>98</v>
      </c>
      <c r="D103" s="8"/>
      <c r="E103" s="11" t="str">
        <f t="shared" si="13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4"/>
        <v>0</v>
      </c>
      <c r="L103" s="7">
        <v>0</v>
      </c>
      <c r="M103" s="11">
        <f t="shared" si="15"/>
        <v>0</v>
      </c>
      <c r="N103" s="11">
        <f t="shared" si="16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2"/>
        <v>99</v>
      </c>
      <c r="C104" s="10">
        <v>99</v>
      </c>
      <c r="D104" s="13" t="s">
        <v>1235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4"/>
        <v>0</v>
      </c>
      <c r="L104" s="7">
        <v>0</v>
      </c>
      <c r="M104" s="11">
        <f t="shared" si="15"/>
        <v>0</v>
      </c>
      <c r="N104" s="11">
        <f t="shared" si="16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1236</v>
      </c>
    </row>
    <row r="105" spans="2:24" ht="13.8" x14ac:dyDescent="0.2">
      <c r="B105" s="8">
        <f t="shared" si="12"/>
        <v>111</v>
      </c>
      <c r="C105" s="10">
        <v>111</v>
      </c>
      <c r="D105" s="14" t="s">
        <v>1955</v>
      </c>
      <c r="E105" s="11" t="str">
        <f t="shared" si="13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4"/>
        <v>0</v>
      </c>
      <c r="L105" s="7">
        <v>0</v>
      </c>
      <c r="M105" s="11">
        <f t="shared" si="15"/>
        <v>0</v>
      </c>
      <c r="N105" s="11">
        <f t="shared" si="16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1969</v>
      </c>
    </row>
    <row r="106" spans="2:24" ht="13.8" x14ac:dyDescent="0.2">
      <c r="B106" s="8">
        <f t="shared" si="12"/>
        <v>112</v>
      </c>
      <c r="C106" s="10">
        <v>112</v>
      </c>
      <c r="D106" s="9" t="s">
        <v>1956</v>
      </c>
      <c r="E106" s="11" t="str">
        <f t="shared" si="13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4"/>
        <v>0</v>
      </c>
      <c r="L106" s="7">
        <v>0</v>
      </c>
      <c r="M106" s="11">
        <f t="shared" si="15"/>
        <v>0</v>
      </c>
      <c r="N106" s="11">
        <f t="shared" si="16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1970</v>
      </c>
    </row>
    <row r="107" spans="2:24" ht="13.8" x14ac:dyDescent="0.2">
      <c r="B107" s="8">
        <f t="shared" si="12"/>
        <v>113</v>
      </c>
      <c r="C107" s="10">
        <v>113</v>
      </c>
      <c r="D107" s="9" t="s">
        <v>1957</v>
      </c>
      <c r="E107" s="11" t="str">
        <f t="shared" si="13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4"/>
        <v>0</v>
      </c>
      <c r="L107" s="7">
        <v>0</v>
      </c>
      <c r="M107" s="11">
        <f t="shared" si="15"/>
        <v>0</v>
      </c>
      <c r="N107" s="11">
        <f t="shared" si="16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1971</v>
      </c>
    </row>
    <row r="108" spans="2:24" ht="13.8" x14ac:dyDescent="0.2">
      <c r="B108" s="8">
        <f t="shared" si="12"/>
        <v>114</v>
      </c>
      <c r="C108" s="10">
        <v>114</v>
      </c>
      <c r="D108" s="9" t="s">
        <v>1958</v>
      </c>
      <c r="E108" s="11" t="str">
        <f t="shared" si="13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4"/>
        <v>0</v>
      </c>
      <c r="L108" s="7">
        <v>0</v>
      </c>
      <c r="M108" s="11">
        <f t="shared" si="15"/>
        <v>0</v>
      </c>
      <c r="N108" s="11">
        <f t="shared" si="16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943</v>
      </c>
    </row>
    <row r="109" spans="2:24" ht="13.8" x14ac:dyDescent="0.2">
      <c r="B109" s="8">
        <f t="shared" si="12"/>
        <v>115</v>
      </c>
      <c r="C109" s="10">
        <v>115</v>
      </c>
      <c r="D109" s="9" t="s">
        <v>1959</v>
      </c>
      <c r="E109" s="11" t="str">
        <f t="shared" si="13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4"/>
        <v>0</v>
      </c>
      <c r="L109" s="7">
        <v>0</v>
      </c>
      <c r="M109" s="11">
        <f t="shared" si="15"/>
        <v>0</v>
      </c>
      <c r="N109" s="11">
        <f t="shared" si="16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944</v>
      </c>
    </row>
    <row r="110" spans="2:24" ht="13.8" x14ac:dyDescent="0.2">
      <c r="B110" s="8">
        <f t="shared" ref="B110:B122" si="17">IF(C110="","",C110)</f>
        <v>121</v>
      </c>
      <c r="C110" s="10">
        <v>121</v>
      </c>
      <c r="D110" s="9" t="s">
        <v>1357</v>
      </c>
      <c r="E110" s="11" t="str">
        <f t="shared" si="13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4"/>
        <v>0</v>
      </c>
      <c r="L110" s="7">
        <v>0</v>
      </c>
      <c r="M110" s="11">
        <f t="shared" si="15"/>
        <v>0</v>
      </c>
      <c r="N110" s="11">
        <f t="shared" si="16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945</v>
      </c>
    </row>
    <row r="111" spans="2:24" ht="13.8" x14ac:dyDescent="0.2">
      <c r="B111" s="8">
        <f t="shared" si="17"/>
        <v>123</v>
      </c>
      <c r="C111" s="10">
        <v>123</v>
      </c>
      <c r="D111" s="9" t="s">
        <v>1960</v>
      </c>
      <c r="E111" s="11" t="str">
        <f t="shared" si="13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4"/>
        <v>0</v>
      </c>
      <c r="L111" s="7">
        <v>0</v>
      </c>
      <c r="M111" s="11">
        <f t="shared" si="15"/>
        <v>0</v>
      </c>
      <c r="N111" s="11">
        <f t="shared" si="16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946</v>
      </c>
    </row>
    <row r="112" spans="2:24" ht="13.8" x14ac:dyDescent="0.2">
      <c r="B112" s="8">
        <f t="shared" si="17"/>
        <v>124</v>
      </c>
      <c r="C112" s="10">
        <v>124</v>
      </c>
      <c r="D112" s="9" t="s">
        <v>1750</v>
      </c>
      <c r="E112" s="11" t="str">
        <f t="shared" si="13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4"/>
        <v>0</v>
      </c>
      <c r="L112" s="7">
        <v>0</v>
      </c>
      <c r="M112" s="11">
        <f t="shared" si="15"/>
        <v>0</v>
      </c>
      <c r="N112" s="11">
        <f t="shared" si="16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947</v>
      </c>
    </row>
    <row r="113" spans="2:24" ht="13.8" x14ac:dyDescent="0.2">
      <c r="B113" s="8">
        <f t="shared" si="17"/>
        <v>125</v>
      </c>
      <c r="C113" s="10">
        <v>125</v>
      </c>
      <c r="D113" s="9" t="s">
        <v>1485</v>
      </c>
      <c r="E113" s="11" t="str">
        <f t="shared" si="13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4"/>
        <v>0</v>
      </c>
      <c r="L113" s="7">
        <v>0</v>
      </c>
      <c r="M113" s="11">
        <f t="shared" si="15"/>
        <v>0</v>
      </c>
      <c r="N113" s="11">
        <f t="shared" si="16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948</v>
      </c>
    </row>
    <row r="114" spans="2:24" ht="13.8" x14ac:dyDescent="0.2">
      <c r="B114" s="8">
        <f t="shared" si="17"/>
        <v>126</v>
      </c>
      <c r="C114" s="10">
        <v>126</v>
      </c>
      <c r="D114" s="9" t="s">
        <v>1961</v>
      </c>
      <c r="E114" s="11" t="str">
        <f t="shared" si="13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4"/>
        <v>0</v>
      </c>
      <c r="L114" s="7">
        <v>0</v>
      </c>
      <c r="M114" s="11">
        <f t="shared" si="15"/>
        <v>0</v>
      </c>
      <c r="N114" s="11">
        <f t="shared" si="16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949</v>
      </c>
    </row>
    <row r="115" spans="2:24" ht="13.8" x14ac:dyDescent="0.2">
      <c r="B115" s="8">
        <f t="shared" si="17"/>
        <v>127</v>
      </c>
      <c r="C115" s="10">
        <v>127</v>
      </c>
      <c r="D115" s="9" t="s">
        <v>1696</v>
      </c>
      <c r="E115" s="11" t="str">
        <f t="shared" si="13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4"/>
        <v>0</v>
      </c>
      <c r="L115" s="7">
        <v>0</v>
      </c>
      <c r="M115" s="11">
        <f t="shared" si="15"/>
        <v>0</v>
      </c>
      <c r="N115" s="11">
        <f t="shared" si="16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950</v>
      </c>
    </row>
    <row r="116" spans="2:24" ht="13.8" x14ac:dyDescent="0.2">
      <c r="B116" s="8">
        <f t="shared" si="17"/>
        <v>128</v>
      </c>
      <c r="C116" s="10">
        <v>128</v>
      </c>
      <c r="D116" s="9" t="s">
        <v>1962</v>
      </c>
      <c r="E116" s="11" t="str">
        <f t="shared" si="13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4"/>
        <v>0</v>
      </c>
      <c r="L116" s="7">
        <v>0</v>
      </c>
      <c r="M116" s="11">
        <f t="shared" si="15"/>
        <v>0</v>
      </c>
      <c r="N116" s="11">
        <f t="shared" si="16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951</v>
      </c>
    </row>
    <row r="117" spans="2:24" ht="13.8" x14ac:dyDescent="0.2">
      <c r="B117" s="8">
        <f t="shared" si="17"/>
        <v>130</v>
      </c>
      <c r="C117" s="10">
        <v>130</v>
      </c>
      <c r="D117" s="9" t="s">
        <v>1963</v>
      </c>
      <c r="E117" s="11" t="str">
        <f t="shared" si="13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4"/>
        <v>0</v>
      </c>
      <c r="L117" s="7">
        <v>0</v>
      </c>
      <c r="M117" s="11">
        <f t="shared" si="15"/>
        <v>0</v>
      </c>
      <c r="N117" s="11">
        <f t="shared" si="16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1972</v>
      </c>
    </row>
    <row r="118" spans="2:24" ht="13.8" x14ac:dyDescent="0.2">
      <c r="B118" s="8">
        <f t="shared" si="17"/>
        <v>137</v>
      </c>
      <c r="C118" s="10">
        <v>137</v>
      </c>
      <c r="D118" s="9" t="s">
        <v>1964</v>
      </c>
      <c r="E118" s="11" t="str">
        <f t="shared" si="13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4"/>
        <v>0</v>
      </c>
      <c r="L118" s="7">
        <v>0</v>
      </c>
      <c r="M118" s="11">
        <f t="shared" si="15"/>
        <v>0</v>
      </c>
      <c r="N118" s="11">
        <f t="shared" si="16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7"/>
        <v>162</v>
      </c>
      <c r="C119" s="10">
        <v>162</v>
      </c>
      <c r="D119" s="9" t="s">
        <v>1965</v>
      </c>
      <c r="E119" s="11" t="str">
        <f t="shared" si="13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4"/>
        <v>0</v>
      </c>
      <c r="L119" s="7">
        <v>0</v>
      </c>
      <c r="M119" s="11">
        <f t="shared" si="15"/>
        <v>0</v>
      </c>
      <c r="N119" s="11">
        <f t="shared" si="16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1973</v>
      </c>
    </row>
    <row r="120" spans="2:24" ht="13.8" x14ac:dyDescent="0.2">
      <c r="B120" s="8">
        <f t="shared" si="17"/>
        <v>165</v>
      </c>
      <c r="C120" s="10">
        <v>165</v>
      </c>
      <c r="D120" s="9" t="s">
        <v>1966</v>
      </c>
      <c r="E120" s="11" t="str">
        <f t="shared" si="13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4"/>
        <v>0</v>
      </c>
      <c r="L120" s="7">
        <v>0</v>
      </c>
      <c r="M120" s="11">
        <f t="shared" si="15"/>
        <v>0</v>
      </c>
      <c r="N120" s="11">
        <f t="shared" si="16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1974</v>
      </c>
    </row>
    <row r="121" spans="2:24" ht="13.8" x14ac:dyDescent="0.2">
      <c r="B121" s="8">
        <f t="shared" si="17"/>
        <v>168</v>
      </c>
      <c r="C121" s="10">
        <v>168</v>
      </c>
      <c r="D121" s="9" t="s">
        <v>1967</v>
      </c>
      <c r="E121" s="11" t="str">
        <f t="shared" si="13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4"/>
        <v>0</v>
      </c>
      <c r="L121" s="7">
        <v>0</v>
      </c>
      <c r="M121" s="11">
        <f t="shared" si="15"/>
        <v>0</v>
      </c>
      <c r="N121" s="11">
        <f t="shared" si="16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1975</v>
      </c>
    </row>
    <row r="122" spans="2:24" ht="13.8" x14ac:dyDescent="0.2">
      <c r="B122" s="8">
        <f t="shared" si="17"/>
        <v>196</v>
      </c>
      <c r="C122" s="10">
        <v>196</v>
      </c>
      <c r="D122" s="9" t="s">
        <v>1968</v>
      </c>
      <c r="E122" s="11" t="str">
        <f t="shared" si="13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4"/>
        <v>0</v>
      </c>
      <c r="L122" s="7">
        <v>0</v>
      </c>
      <c r="M122" s="11">
        <f t="shared" si="15"/>
        <v>0</v>
      </c>
      <c r="N122" s="11">
        <f t="shared" si="16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1976</v>
      </c>
    </row>
    <row r="123" spans="2:24" ht="13.8" x14ac:dyDescent="0.2">
      <c r="B123" s="8" t="str">
        <f t="shared" si="12"/>
        <v/>
      </c>
      <c r="C123" s="10"/>
      <c r="D123" s="9"/>
      <c r="E123" s="11" t="str">
        <f t="shared" si="13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4"/>
        <v>0</v>
      </c>
      <c r="L123" s="7">
        <v>0</v>
      </c>
      <c r="M123" s="11">
        <f t="shared" si="15"/>
        <v>0</v>
      </c>
      <c r="N123" s="11">
        <f t="shared" si="16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13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4"/>
        <v>0</v>
      </c>
      <c r="L124" s="7">
        <v>0</v>
      </c>
      <c r="M124" s="11">
        <f t="shared" si="15"/>
        <v>0</v>
      </c>
      <c r="N124" s="11">
        <f t="shared" si="16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13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4"/>
        <v>0</v>
      </c>
      <c r="L125" s="7">
        <v>0</v>
      </c>
      <c r="M125" s="11">
        <f t="shared" si="15"/>
        <v>0</v>
      </c>
      <c r="N125" s="11">
        <f t="shared" si="16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13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4"/>
        <v>0</v>
      </c>
      <c r="L126" s="7">
        <v>0</v>
      </c>
      <c r="M126" s="11">
        <f t="shared" si="15"/>
        <v>0</v>
      </c>
      <c r="N126" s="11">
        <f t="shared" si="16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13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4"/>
        <v>0</v>
      </c>
      <c r="L127" s="7">
        <v>0</v>
      </c>
      <c r="M127" s="11">
        <f t="shared" si="15"/>
        <v>0</v>
      </c>
      <c r="N127" s="11">
        <f t="shared" si="16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13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4"/>
        <v>0</v>
      </c>
      <c r="L128" s="7">
        <v>0</v>
      </c>
      <c r="M128" s="11">
        <f t="shared" si="15"/>
        <v>0</v>
      </c>
      <c r="N128" s="11">
        <f t="shared" si="16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4"/>
        <v>0</v>
      </c>
      <c r="L129" s="7">
        <v>0</v>
      </c>
      <c r="M129" s="11">
        <f t="shared" si="15"/>
        <v>0</v>
      </c>
      <c r="N129" s="11">
        <f t="shared" si="16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4"/>
        <v>0</v>
      </c>
      <c r="L130" s="7">
        <v>0</v>
      </c>
      <c r="M130" s="11">
        <f t="shared" si="15"/>
        <v>0</v>
      </c>
      <c r="N130" s="11">
        <f t="shared" si="16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0</v>
      </c>
      <c r="M131" s="11">
        <f t="shared" si="15"/>
        <v>0</v>
      </c>
      <c r="N131" s="11">
        <f t="shared" si="16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0</v>
      </c>
      <c r="M132" s="11">
        <f t="shared" si="15"/>
        <v>0</v>
      </c>
      <c r="N132" s="11">
        <f t="shared" si="16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5"/>
        <v>0</v>
      </c>
      <c r="N133" s="11">
        <f t="shared" si="16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819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790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1505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791</v>
      </c>
    </row>
    <row r="7" spans="2:24" ht="13.8" x14ac:dyDescent="0.2">
      <c r="B7" s="8">
        <f t="shared" si="5"/>
        <v>2</v>
      </c>
      <c r="C7" s="10">
        <v>2</v>
      </c>
      <c r="D7" s="13" t="s">
        <v>799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792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1679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1719</v>
      </c>
    </row>
    <row r="10" spans="2:24" ht="13.8" x14ac:dyDescent="0.2">
      <c r="B10" s="8">
        <f t="shared" si="5"/>
        <v>5</v>
      </c>
      <c r="C10" s="10">
        <v>5</v>
      </c>
      <c r="D10" s="13" t="s">
        <v>814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1680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2021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1400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1720</v>
      </c>
    </row>
    <row r="16" spans="2:24" ht="13.8" x14ac:dyDescent="0.2">
      <c r="B16" s="8">
        <f t="shared" si="5"/>
        <v>11</v>
      </c>
      <c r="C16" s="10">
        <v>11</v>
      </c>
      <c r="D16" s="13" t="s">
        <v>1681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1721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800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793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1682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1927</v>
      </c>
    </row>
    <row r="28" spans="2:24" ht="13.8" x14ac:dyDescent="0.2">
      <c r="B28" s="8">
        <f t="shared" si="5"/>
        <v>23</v>
      </c>
      <c r="C28" s="10">
        <v>23</v>
      </c>
      <c r="D28" s="13" t="s">
        <v>1683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1722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1601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1684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1723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801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794</v>
      </c>
    </row>
    <row r="36" spans="2:24" ht="13.8" x14ac:dyDescent="0.2">
      <c r="B36" s="8">
        <f t="shared" si="5"/>
        <v>31</v>
      </c>
      <c r="C36" s="10">
        <v>31</v>
      </c>
      <c r="D36" s="13" t="s">
        <v>1685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1724</v>
      </c>
    </row>
    <row r="37" spans="2:24" ht="13.8" x14ac:dyDescent="0.2">
      <c r="B37" s="8">
        <f t="shared" si="5"/>
        <v>32</v>
      </c>
      <c r="C37" s="10">
        <v>32</v>
      </c>
      <c r="D37" s="13" t="s">
        <v>1000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802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795</v>
      </c>
    </row>
    <row r="39" spans="2:24" ht="13.8" x14ac:dyDescent="0.2">
      <c r="B39" s="8">
        <f t="shared" si="5"/>
        <v>34</v>
      </c>
      <c r="C39" s="10">
        <v>34</v>
      </c>
      <c r="D39" s="13" t="s">
        <v>1686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1725</v>
      </c>
    </row>
    <row r="40" spans="2:24" ht="13.8" x14ac:dyDescent="0.2">
      <c r="B40" s="8">
        <f t="shared" si="5"/>
        <v>35</v>
      </c>
      <c r="C40" s="10">
        <v>35</v>
      </c>
      <c r="D40" s="13" t="s">
        <v>1687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1726</v>
      </c>
    </row>
    <row r="41" spans="2:24" ht="13.8" x14ac:dyDescent="0.2">
      <c r="B41" s="8">
        <f t="shared" si="5"/>
        <v>36</v>
      </c>
      <c r="C41" s="10">
        <v>36</v>
      </c>
      <c r="D41" s="13" t="s">
        <v>1688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1727</v>
      </c>
    </row>
    <row r="42" spans="2:24" ht="13.8" x14ac:dyDescent="0.2">
      <c r="B42" s="8">
        <f t="shared" si="5"/>
        <v>37</v>
      </c>
      <c r="C42" s="10">
        <v>37</v>
      </c>
      <c r="D42" s="13" t="s">
        <v>1689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639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643</v>
      </c>
    </row>
    <row r="44" spans="2:24" ht="13.8" x14ac:dyDescent="0.2">
      <c r="B44" s="8">
        <f t="shared" si="5"/>
        <v>39</v>
      </c>
      <c r="C44" s="10">
        <v>39</v>
      </c>
      <c r="D44" s="13" t="s">
        <v>1690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2058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1728</v>
      </c>
    </row>
    <row r="46" spans="2:24" ht="13.8" x14ac:dyDescent="0.2">
      <c r="B46" s="8">
        <f t="shared" si="5"/>
        <v>41</v>
      </c>
      <c r="C46" s="10">
        <v>41</v>
      </c>
      <c r="D46" s="13" t="s">
        <v>1691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1928</v>
      </c>
    </row>
    <row r="47" spans="2:24" ht="13.8" x14ac:dyDescent="0.2">
      <c r="B47" s="8">
        <f t="shared" si="5"/>
        <v>42</v>
      </c>
      <c r="C47" s="10">
        <v>42</v>
      </c>
      <c r="D47" s="13" t="s">
        <v>1692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1929</v>
      </c>
    </row>
    <row r="48" spans="2:24" ht="13.8" x14ac:dyDescent="0.2">
      <c r="B48" s="8">
        <f t="shared" si="5"/>
        <v>43</v>
      </c>
      <c r="C48" s="10">
        <v>43</v>
      </c>
      <c r="D48" s="13" t="s">
        <v>803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796</v>
      </c>
    </row>
    <row r="49" spans="2:24" ht="13.8" x14ac:dyDescent="0.2">
      <c r="B49" s="8">
        <f t="shared" si="5"/>
        <v>44</v>
      </c>
      <c r="C49" s="10">
        <v>44</v>
      </c>
      <c r="D49" s="13" t="s">
        <v>1278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1693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1694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646</v>
      </c>
    </row>
    <row r="55" spans="2:24" ht="13.8" x14ac:dyDescent="0.2">
      <c r="B55" s="8">
        <f t="shared" si="5"/>
        <v>50</v>
      </c>
      <c r="C55" s="10">
        <v>50</v>
      </c>
      <c r="D55" s="13" t="s">
        <v>1695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1695</v>
      </c>
    </row>
    <row r="56" spans="2:24" ht="13.8" x14ac:dyDescent="0.2">
      <c r="B56" s="8">
        <f t="shared" si="5"/>
        <v>51</v>
      </c>
      <c r="C56" s="10">
        <v>51</v>
      </c>
      <c r="D56" s="13" t="s">
        <v>1696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885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1486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1729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1697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1243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1698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1730</v>
      </c>
    </row>
    <row r="65" spans="2:24" ht="13.8" x14ac:dyDescent="0.2">
      <c r="B65" s="8">
        <f t="shared" si="5"/>
        <v>60</v>
      </c>
      <c r="C65" s="10">
        <v>60</v>
      </c>
      <c r="D65" s="13" t="s">
        <v>1699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2025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1731</v>
      </c>
    </row>
    <row r="67" spans="2:24" ht="13.8" x14ac:dyDescent="0.2">
      <c r="B67" s="8">
        <f t="shared" si="5"/>
        <v>62</v>
      </c>
      <c r="C67" s="10">
        <v>62</v>
      </c>
      <c r="D67" s="13" t="s">
        <v>2033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798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209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1700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1930</v>
      </c>
    </row>
    <row r="70" spans="2:24" ht="13.8" x14ac:dyDescent="0.2">
      <c r="B70" s="8">
        <f t="shared" si="10"/>
        <v>65</v>
      </c>
      <c r="C70" s="10">
        <v>65</v>
      </c>
      <c r="D70" s="9" t="s">
        <v>1701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1732</v>
      </c>
    </row>
    <row r="71" spans="2:24" ht="13.8" x14ac:dyDescent="0.2">
      <c r="B71" s="8">
        <f t="shared" si="10"/>
        <v>66</v>
      </c>
      <c r="C71" s="10">
        <v>66</v>
      </c>
      <c r="D71" s="13" t="s">
        <v>1702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420</v>
      </c>
    </row>
    <row r="72" spans="2:24" ht="13.8" x14ac:dyDescent="0.2">
      <c r="B72" s="8">
        <f t="shared" si="10"/>
        <v>67</v>
      </c>
      <c r="C72" s="10">
        <v>67</v>
      </c>
      <c r="D72" s="13" t="s">
        <v>169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459</v>
      </c>
    </row>
    <row r="73" spans="2:24" ht="13.8" x14ac:dyDescent="0.2">
      <c r="B73" s="8">
        <f t="shared" si="10"/>
        <v>68</v>
      </c>
      <c r="C73" s="10">
        <v>68</v>
      </c>
      <c r="D73" s="13" t="s">
        <v>1703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1733</v>
      </c>
    </row>
    <row r="74" spans="2:24" ht="13.8" x14ac:dyDescent="0.2">
      <c r="B74" s="8">
        <f t="shared" si="10"/>
        <v>69</v>
      </c>
      <c r="C74" s="10">
        <v>69</v>
      </c>
      <c r="D74" s="13" t="s">
        <v>1619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1931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 t="s">
        <v>644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637</v>
      </c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 t="s">
        <v>1693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184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1932</v>
      </c>
    </row>
    <row r="105" spans="2:24" ht="13.8" x14ac:dyDescent="0.2">
      <c r="B105" s="8">
        <f t="shared" si="10"/>
        <v>120</v>
      </c>
      <c r="C105" s="10">
        <v>120</v>
      </c>
      <c r="D105" s="14" t="s">
        <v>1704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1734</v>
      </c>
    </row>
    <row r="106" spans="2:24" ht="13.8" x14ac:dyDescent="0.2">
      <c r="B106" s="8">
        <f t="shared" si="10"/>
        <v>121</v>
      </c>
      <c r="C106" s="10">
        <v>121</v>
      </c>
      <c r="D106" s="9" t="s">
        <v>1705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10"/>
        <v>122</v>
      </c>
      <c r="C107" s="10">
        <v>122</v>
      </c>
      <c r="D107" s="9" t="s">
        <v>1706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10"/>
        <v>123</v>
      </c>
      <c r="C108" s="10">
        <v>123</v>
      </c>
      <c r="D108" s="9" t="s">
        <v>1707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10"/>
        <v>124</v>
      </c>
      <c r="C109" s="10">
        <v>124</v>
      </c>
      <c r="D109" s="9" t="s">
        <v>1708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10"/>
        <v>125</v>
      </c>
      <c r="C110" s="10">
        <v>125</v>
      </c>
      <c r="D110" s="9" t="s">
        <v>1709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1735</v>
      </c>
    </row>
    <row r="111" spans="2:24" ht="13.8" x14ac:dyDescent="0.2">
      <c r="B111" s="8">
        <f t="shared" si="10"/>
        <v>126</v>
      </c>
      <c r="C111" s="10">
        <v>126</v>
      </c>
      <c r="D111" s="9" t="s">
        <v>1710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1736</v>
      </c>
    </row>
    <row r="112" spans="2:24" ht="13.8" x14ac:dyDescent="0.2">
      <c r="B112" s="8">
        <f t="shared" si="10"/>
        <v>127</v>
      </c>
      <c r="C112" s="10">
        <v>127</v>
      </c>
      <c r="D112" s="9" t="s">
        <v>1711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1737</v>
      </c>
    </row>
    <row r="113" spans="2:24" ht="13.8" x14ac:dyDescent="0.2">
      <c r="B113" s="8">
        <f t="shared" si="10"/>
        <v>128</v>
      </c>
      <c r="C113" s="10">
        <v>128</v>
      </c>
      <c r="D113" s="9" t="s">
        <v>1712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1738</v>
      </c>
    </row>
    <row r="114" spans="2:24" ht="13.8" x14ac:dyDescent="0.2">
      <c r="B114" s="8">
        <f t="shared" si="10"/>
        <v>129</v>
      </c>
      <c r="C114" s="10">
        <v>129</v>
      </c>
      <c r="D114" s="9" t="s">
        <v>758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1739</v>
      </c>
    </row>
    <row r="115" spans="2:24" ht="13.8" x14ac:dyDescent="0.2">
      <c r="B115" s="8">
        <f t="shared" si="10"/>
        <v>130</v>
      </c>
      <c r="C115" s="10">
        <v>130</v>
      </c>
      <c r="D115" s="9" t="s">
        <v>1713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1740</v>
      </c>
    </row>
    <row r="116" spans="2:24" ht="13.8" x14ac:dyDescent="0.2">
      <c r="B116" s="8">
        <f t="shared" si="10"/>
        <v>131</v>
      </c>
      <c r="C116" s="10">
        <v>131</v>
      </c>
      <c r="D116" s="9" t="s">
        <v>1714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10"/>
        <v>132</v>
      </c>
      <c r="C117" s="10">
        <v>132</v>
      </c>
      <c r="D117" s="9" t="s">
        <v>1715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503</v>
      </c>
    </row>
    <row r="118" spans="2:24" ht="13.8" x14ac:dyDescent="0.2">
      <c r="B118" s="8">
        <f t="shared" si="10"/>
        <v>133</v>
      </c>
      <c r="C118" s="10">
        <v>133</v>
      </c>
      <c r="D118" s="9" t="s">
        <v>1602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1741</v>
      </c>
    </row>
    <row r="119" spans="2:24" ht="13.8" x14ac:dyDescent="0.2">
      <c r="B119" s="8">
        <f t="shared" si="10"/>
        <v>134</v>
      </c>
      <c r="C119" s="10">
        <v>134</v>
      </c>
      <c r="D119" s="9" t="s">
        <v>1716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1742</v>
      </c>
    </row>
    <row r="120" spans="2:24" ht="13.8" x14ac:dyDescent="0.2">
      <c r="B120" s="8">
        <f t="shared" si="10"/>
        <v>135</v>
      </c>
      <c r="C120" s="10">
        <v>135</v>
      </c>
      <c r="D120" s="9" t="s">
        <v>1717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1743</v>
      </c>
    </row>
    <row r="121" spans="2:24" ht="13.8" x14ac:dyDescent="0.2">
      <c r="B121" s="8">
        <f t="shared" si="10"/>
        <v>136</v>
      </c>
      <c r="C121" s="10">
        <v>136</v>
      </c>
      <c r="D121" s="9" t="s">
        <v>1485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1744</v>
      </c>
    </row>
    <row r="122" spans="2:24" ht="13.8" x14ac:dyDescent="0.2">
      <c r="B122" s="8">
        <f t="shared" si="10"/>
        <v>137</v>
      </c>
      <c r="C122" s="10">
        <v>137</v>
      </c>
      <c r="D122" s="9" t="s">
        <v>1718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1745</v>
      </c>
    </row>
    <row r="123" spans="2:24" ht="13.8" x14ac:dyDescent="0.2">
      <c r="B123" s="8">
        <f t="shared" si="10"/>
        <v>138</v>
      </c>
      <c r="C123" s="10">
        <v>138</v>
      </c>
      <c r="D123" s="9" t="s">
        <v>1484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1746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1933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821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1194</v>
      </c>
    </row>
    <row r="6" spans="2:24" ht="13.8" x14ac:dyDescent="0.2">
      <c r="B6" s="8">
        <f t="shared" si="5"/>
        <v>1</v>
      </c>
      <c r="C6" s="10">
        <v>1</v>
      </c>
      <c r="D6" s="13" t="s">
        <v>2063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1195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2033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1240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1786</v>
      </c>
    </row>
    <row r="13" spans="2:24" ht="13.8" x14ac:dyDescent="0.2">
      <c r="B13" s="8">
        <f t="shared" si="5"/>
        <v>8</v>
      </c>
      <c r="C13" s="10">
        <v>8</v>
      </c>
      <c r="D13" s="13" t="s">
        <v>1747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1934</v>
      </c>
    </row>
    <row r="14" spans="2:24" ht="13.8" x14ac:dyDescent="0.2">
      <c r="B14" s="8">
        <f t="shared" si="5"/>
        <v>9</v>
      </c>
      <c r="C14" s="10">
        <v>9</v>
      </c>
      <c r="D14" s="13" t="s">
        <v>1353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1197</v>
      </c>
    </row>
    <row r="15" spans="2:24" ht="13.8" x14ac:dyDescent="0.2">
      <c r="B15" s="8">
        <f t="shared" si="5"/>
        <v>10</v>
      </c>
      <c r="C15" s="10">
        <v>10</v>
      </c>
      <c r="D15" s="13" t="s">
        <v>1500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1198</v>
      </c>
    </row>
    <row r="16" spans="2:24" ht="13.8" x14ac:dyDescent="0.2">
      <c r="B16" s="8">
        <f t="shared" si="5"/>
        <v>11</v>
      </c>
      <c r="C16" s="10">
        <v>11</v>
      </c>
      <c r="D16" s="13" t="s">
        <v>1241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1263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1211</v>
      </c>
    </row>
    <row r="18" spans="2:24" ht="13.8" x14ac:dyDescent="0.2">
      <c r="B18" s="8">
        <f t="shared" si="5"/>
        <v>13</v>
      </c>
      <c r="C18" s="10">
        <v>13</v>
      </c>
      <c r="D18" s="13" t="s">
        <v>1179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1748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1207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1749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1787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1750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1751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1484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1788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1752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1789</v>
      </c>
    </row>
    <row r="31" spans="2:24" ht="13.8" x14ac:dyDescent="0.2">
      <c r="B31" s="8">
        <f t="shared" si="5"/>
        <v>26</v>
      </c>
      <c r="C31" s="10">
        <v>26</v>
      </c>
      <c r="D31" s="13" t="s">
        <v>1753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1790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1754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1791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1401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1200</v>
      </c>
    </row>
    <row r="38" spans="2:24" ht="13.8" x14ac:dyDescent="0.2">
      <c r="B38" s="8">
        <f t="shared" si="5"/>
        <v>33</v>
      </c>
      <c r="C38" s="10">
        <v>33</v>
      </c>
      <c r="D38" s="13" t="s">
        <v>1755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1792</v>
      </c>
    </row>
    <row r="39" spans="2:24" ht="13.8" x14ac:dyDescent="0.2">
      <c r="B39" s="8">
        <f t="shared" si="5"/>
        <v>34</v>
      </c>
      <c r="C39" s="10">
        <v>34</v>
      </c>
      <c r="D39" s="13" t="s">
        <v>1699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1793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1242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1794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1201</v>
      </c>
    </row>
    <row r="45" spans="2:24" ht="13.8" x14ac:dyDescent="0.2">
      <c r="B45" s="8">
        <f t="shared" si="5"/>
        <v>40</v>
      </c>
      <c r="C45" s="10">
        <v>40</v>
      </c>
      <c r="D45" s="13" t="s">
        <v>1756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1935</v>
      </c>
    </row>
    <row r="46" spans="2:24" ht="13.8" x14ac:dyDescent="0.2">
      <c r="B46" s="8">
        <f t="shared" si="5"/>
        <v>41</v>
      </c>
      <c r="C46" s="10">
        <v>41</v>
      </c>
      <c r="D46" s="13" t="s">
        <v>818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1757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1936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1758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1937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1759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1795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1699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1202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1760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1938</v>
      </c>
    </row>
    <row r="60" spans="2:24" ht="13.8" x14ac:dyDescent="0.2">
      <c r="B60" s="8">
        <f t="shared" si="5"/>
        <v>55</v>
      </c>
      <c r="C60" s="10">
        <v>55</v>
      </c>
      <c r="D60" s="13" t="s">
        <v>1952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1952</v>
      </c>
    </row>
    <row r="61" spans="2:24" ht="13.8" x14ac:dyDescent="0.2">
      <c r="B61" s="8">
        <f t="shared" si="5"/>
        <v>56</v>
      </c>
      <c r="C61" s="10">
        <v>56</v>
      </c>
      <c r="D61" s="13" t="s">
        <v>817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1203</v>
      </c>
    </row>
    <row r="62" spans="2:24" ht="13.8" x14ac:dyDescent="0.2">
      <c r="B62" s="8">
        <f t="shared" si="5"/>
        <v>57</v>
      </c>
      <c r="C62" s="10">
        <v>57</v>
      </c>
      <c r="D62" s="13" t="s">
        <v>1997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1180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1939</v>
      </c>
    </row>
    <row r="65" spans="2:24" ht="13.8" x14ac:dyDescent="0.2">
      <c r="B65" s="8">
        <f t="shared" si="5"/>
        <v>60</v>
      </c>
      <c r="C65" s="10">
        <v>60</v>
      </c>
      <c r="D65" s="13" t="s">
        <v>816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1204</v>
      </c>
    </row>
    <row r="66" spans="2:24" ht="13.8" x14ac:dyDescent="0.2">
      <c r="B66" s="8">
        <f t="shared" si="5"/>
        <v>61</v>
      </c>
      <c r="C66" s="10">
        <v>61</v>
      </c>
      <c r="D66" s="13" t="s">
        <v>1761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1796</v>
      </c>
    </row>
    <row r="67" spans="2:24" ht="13.8" x14ac:dyDescent="0.2">
      <c r="B67" s="8">
        <f t="shared" si="5"/>
        <v>62</v>
      </c>
      <c r="C67" s="10">
        <v>62</v>
      </c>
      <c r="D67" s="13" t="s">
        <v>1762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1797</v>
      </c>
    </row>
    <row r="68" spans="2:24" ht="13.8" x14ac:dyDescent="0.2">
      <c r="B68" s="8">
        <f t="shared" si="5"/>
        <v>63</v>
      </c>
      <c r="C68" s="10">
        <v>63</v>
      </c>
      <c r="D68" s="9" t="s">
        <v>1940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1763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1764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1209</v>
      </c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1246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555</v>
      </c>
    </row>
    <row r="72" spans="2:24" ht="13.8" x14ac:dyDescent="0.2">
      <c r="B72" s="8">
        <f t="shared" si="9"/>
        <v>67</v>
      </c>
      <c r="C72" s="10">
        <v>67</v>
      </c>
      <c r="D72" s="13" t="s">
        <v>1951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1765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1798</v>
      </c>
    </row>
    <row r="102" spans="2:24" ht="13.8" x14ac:dyDescent="0.2">
      <c r="B102" s="8">
        <f t="shared" si="9"/>
        <v>97</v>
      </c>
      <c r="C102" s="10">
        <v>97</v>
      </c>
      <c r="D102" s="26" t="s">
        <v>1766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1799</v>
      </c>
    </row>
    <row r="103" spans="2:24" ht="13.8" x14ac:dyDescent="0.2">
      <c r="B103" s="8">
        <f t="shared" si="9"/>
        <v>98</v>
      </c>
      <c r="C103" s="10">
        <v>98</v>
      </c>
      <c r="D103" s="26" t="s">
        <v>1767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1800</v>
      </c>
    </row>
    <row r="104" spans="2:24" ht="13.8" x14ac:dyDescent="0.2">
      <c r="B104" s="8">
        <f t="shared" si="9"/>
        <v>99</v>
      </c>
      <c r="C104" s="10">
        <v>99</v>
      </c>
      <c r="D104" s="9" t="s">
        <v>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9"/>
        <v>001</v>
      </c>
      <c r="C105" s="10" t="s">
        <v>1181</v>
      </c>
      <c r="D105" s="14" t="s">
        <v>117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9"/>
        <v>003</v>
      </c>
      <c r="C106" s="10" t="s">
        <v>1183</v>
      </c>
      <c r="D106" s="9" t="s">
        <v>1381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9"/>
        <v>004</v>
      </c>
      <c r="C107" s="10" t="s">
        <v>1184</v>
      </c>
      <c r="D107" s="9" t="s">
        <v>2026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1205</v>
      </c>
    </row>
    <row r="108" spans="2:24" ht="13.8" x14ac:dyDescent="0.2">
      <c r="B108" s="8" t="str">
        <f t="shared" si="9"/>
        <v>011</v>
      </c>
      <c r="C108" s="10" t="s">
        <v>1187</v>
      </c>
      <c r="D108" s="9" t="s">
        <v>1464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1206</v>
      </c>
    </row>
    <row r="109" spans="2:24" ht="13.8" x14ac:dyDescent="0.2">
      <c r="B109" s="8" t="str">
        <f t="shared" si="9"/>
        <v>020</v>
      </c>
      <c r="C109" s="10" t="s">
        <v>1191</v>
      </c>
      <c r="D109" s="9" t="s">
        <v>1768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1208</v>
      </c>
    </row>
    <row r="110" spans="2:24" ht="13.8" x14ac:dyDescent="0.2">
      <c r="B110" s="8" t="str">
        <f t="shared" si="9"/>
        <v>031</v>
      </c>
      <c r="C110" s="10" t="s">
        <v>1769</v>
      </c>
      <c r="D110" s="9" t="s">
        <v>1341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1801</v>
      </c>
    </row>
    <row r="111" spans="2:24" ht="13.8" x14ac:dyDescent="0.2">
      <c r="B111" s="8" t="str">
        <f t="shared" si="9"/>
        <v>032</v>
      </c>
      <c r="C111" s="10" t="s">
        <v>1770</v>
      </c>
      <c r="D111" s="9" t="s">
        <v>1771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1802</v>
      </c>
    </row>
    <row r="112" spans="2:24" ht="13.8" x14ac:dyDescent="0.2">
      <c r="B112" s="8" t="str">
        <f t="shared" si="9"/>
        <v>034</v>
      </c>
      <c r="C112" s="10" t="s">
        <v>1772</v>
      </c>
      <c r="D112" s="9" t="s">
        <v>1245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1803</v>
      </c>
    </row>
    <row r="113" spans="2:24" ht="13.8" x14ac:dyDescent="0.2">
      <c r="B113" s="8" t="str">
        <f t="shared" si="9"/>
        <v>041</v>
      </c>
      <c r="C113" s="10" t="s">
        <v>1773</v>
      </c>
      <c r="D113" s="9" t="s">
        <v>1774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1804</v>
      </c>
    </row>
    <row r="114" spans="2:24" ht="13.8" x14ac:dyDescent="0.2">
      <c r="B114" s="8" t="str">
        <f t="shared" si="9"/>
        <v>042</v>
      </c>
      <c r="C114" s="10" t="s">
        <v>1775</v>
      </c>
      <c r="D114" s="9" t="s">
        <v>1776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1805</v>
      </c>
    </row>
    <row r="115" spans="2:24" ht="13.8" x14ac:dyDescent="0.2">
      <c r="B115" s="8" t="str">
        <f t="shared" si="9"/>
        <v>043</v>
      </c>
      <c r="C115" s="10" t="s">
        <v>1777</v>
      </c>
      <c r="D115" s="9" t="s">
        <v>1281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1806</v>
      </c>
    </row>
    <row r="116" spans="2:24" ht="13.8" x14ac:dyDescent="0.2">
      <c r="B116" s="8" t="str">
        <f t="shared" si="9"/>
        <v>044</v>
      </c>
      <c r="C116" s="10" t="s">
        <v>1778</v>
      </c>
      <c r="D116" s="9" t="s">
        <v>1779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1807</v>
      </c>
    </row>
    <row r="117" spans="2:24" ht="13.8" x14ac:dyDescent="0.2">
      <c r="B117" s="8" t="str">
        <f t="shared" si="9"/>
        <v>045</v>
      </c>
      <c r="C117" s="10" t="s">
        <v>1780</v>
      </c>
      <c r="D117" s="9" t="s">
        <v>1781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1808</v>
      </c>
    </row>
    <row r="118" spans="2:24" ht="13.8" x14ac:dyDescent="0.2">
      <c r="B118" s="8">
        <f t="shared" si="9"/>
        <v>123</v>
      </c>
      <c r="C118" s="10">
        <v>123</v>
      </c>
      <c r="D118" s="9" t="s">
        <v>701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1809</v>
      </c>
    </row>
    <row r="119" spans="2:24" ht="13.8" x14ac:dyDescent="0.2">
      <c r="B119" s="8">
        <f t="shared" si="9"/>
        <v>124</v>
      </c>
      <c r="C119" s="10">
        <v>124</v>
      </c>
      <c r="D119" s="9" t="s">
        <v>1782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1810</v>
      </c>
    </row>
    <row r="120" spans="2:24" ht="13.8" x14ac:dyDescent="0.2">
      <c r="B120" s="8">
        <f t="shared" si="9"/>
        <v>126</v>
      </c>
      <c r="C120" s="10">
        <v>126</v>
      </c>
      <c r="D120" s="9" t="s">
        <v>1783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1811</v>
      </c>
    </row>
    <row r="121" spans="2:24" ht="13.8" x14ac:dyDescent="0.2">
      <c r="B121" s="8">
        <f t="shared" si="9"/>
        <v>127</v>
      </c>
      <c r="C121" s="10">
        <v>127</v>
      </c>
      <c r="D121" s="9" t="s">
        <v>1784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1199</v>
      </c>
    </row>
    <row r="122" spans="2:24" ht="13.8" x14ac:dyDescent="0.2">
      <c r="B122" s="8">
        <f t="shared" si="9"/>
        <v>128</v>
      </c>
      <c r="C122" s="10">
        <v>128</v>
      </c>
      <c r="D122" s="9" t="s">
        <v>1718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9"/>
        <v>129</v>
      </c>
      <c r="C123" s="10">
        <v>129</v>
      </c>
      <c r="D123" s="9" t="s">
        <v>1785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1812</v>
      </c>
    </row>
    <row r="124" spans="2:24" ht="13.8" x14ac:dyDescent="0.2">
      <c r="B124" s="8">
        <f t="shared" si="9"/>
        <v>130</v>
      </c>
      <c r="C124" s="10">
        <v>130</v>
      </c>
      <c r="D124" s="9" t="s">
        <v>1689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575</v>
      </c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1298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1750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537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1246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1265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1989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1813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1941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1814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1844</v>
      </c>
    </row>
    <row r="23" spans="2:24" ht="13.8" x14ac:dyDescent="0.2">
      <c r="B23" s="8">
        <f t="shared" si="5"/>
        <v>18</v>
      </c>
      <c r="C23" s="10">
        <v>18</v>
      </c>
      <c r="D23" s="13" t="s">
        <v>1687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1815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1845</v>
      </c>
    </row>
    <row r="25" spans="2:24" ht="13.8" x14ac:dyDescent="0.2">
      <c r="B25" s="8">
        <f t="shared" si="5"/>
        <v>20</v>
      </c>
      <c r="C25" s="10">
        <v>20</v>
      </c>
      <c r="D25" s="13" t="s">
        <v>1816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1942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1817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1846</v>
      </c>
    </row>
    <row r="28" spans="2:24" ht="13.8" x14ac:dyDescent="0.2">
      <c r="B28" s="8">
        <f t="shared" si="5"/>
        <v>23</v>
      </c>
      <c r="C28" s="10">
        <v>23</v>
      </c>
      <c r="D28" s="13" t="s">
        <v>1818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1943</v>
      </c>
    </row>
    <row r="29" spans="2:24" ht="13.8" x14ac:dyDescent="0.2">
      <c r="B29" s="8">
        <f t="shared" si="5"/>
        <v>24</v>
      </c>
      <c r="C29" s="10">
        <v>24</v>
      </c>
      <c r="D29" s="13" t="s">
        <v>1713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1279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1847</v>
      </c>
    </row>
    <row r="36" spans="2:24" ht="13.8" x14ac:dyDescent="0.2">
      <c r="B36" s="8">
        <f t="shared" si="5"/>
        <v>31</v>
      </c>
      <c r="C36" s="10">
        <v>31</v>
      </c>
      <c r="D36" s="13" t="s">
        <v>1991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1848</v>
      </c>
    </row>
    <row r="37" spans="2:24" ht="13.8" x14ac:dyDescent="0.2">
      <c r="B37" s="8">
        <f t="shared" si="5"/>
        <v>32</v>
      </c>
      <c r="C37" s="10">
        <v>32</v>
      </c>
      <c r="D37" s="13" t="s">
        <v>1382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1849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1751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1988</v>
      </c>
    </row>
    <row r="40" spans="2:24" ht="13.8" x14ac:dyDescent="0.2">
      <c r="B40" s="8">
        <f t="shared" si="5"/>
        <v>35</v>
      </c>
      <c r="C40" s="10">
        <v>35</v>
      </c>
      <c r="D40" s="13" t="s">
        <v>989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1477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1990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1819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1820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1821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626</v>
      </c>
    </row>
    <row r="46" spans="2:24" ht="13.8" x14ac:dyDescent="0.2">
      <c r="B46" s="8">
        <f t="shared" si="5"/>
        <v>41</v>
      </c>
      <c r="C46" s="10">
        <v>41</v>
      </c>
      <c r="D46" s="13" t="s">
        <v>1822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1850</v>
      </c>
    </row>
    <row r="47" spans="2:24" ht="13.8" x14ac:dyDescent="0.2">
      <c r="B47" s="8">
        <f t="shared" si="5"/>
        <v>42</v>
      </c>
      <c r="C47" s="10">
        <v>42</v>
      </c>
      <c r="D47" s="13" t="s">
        <v>1997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1998</v>
      </c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810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1986</v>
      </c>
    </row>
    <row r="50" spans="2:24" ht="13.8" x14ac:dyDescent="0.2">
      <c r="B50" s="8">
        <f t="shared" si="5"/>
        <v>45</v>
      </c>
      <c r="C50" s="10">
        <v>45</v>
      </c>
      <c r="D50" s="13" t="s">
        <v>811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809</v>
      </c>
    </row>
    <row r="51" spans="2:24" ht="13.8" x14ac:dyDescent="0.2">
      <c r="B51" s="8">
        <f t="shared" si="5"/>
        <v>46</v>
      </c>
      <c r="C51" s="10">
        <v>46</v>
      </c>
      <c r="D51" s="13" t="s">
        <v>812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808</v>
      </c>
    </row>
    <row r="52" spans="2:24" ht="13.8" x14ac:dyDescent="0.2">
      <c r="B52" s="8">
        <f t="shared" si="5"/>
        <v>47</v>
      </c>
      <c r="C52" s="10">
        <v>47</v>
      </c>
      <c r="D52" s="13" t="s">
        <v>1979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1992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1993</v>
      </c>
    </row>
    <row r="54" spans="2:24" ht="13.8" x14ac:dyDescent="0.2">
      <c r="B54" s="8">
        <f t="shared" si="5"/>
        <v>49</v>
      </c>
      <c r="C54" s="10">
        <v>49</v>
      </c>
      <c r="D54" s="13" t="s">
        <v>813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807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1823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1851</v>
      </c>
    </row>
    <row r="59" spans="2:24" ht="13.8" x14ac:dyDescent="0.2">
      <c r="B59" s="8">
        <f t="shared" si="5"/>
        <v>54</v>
      </c>
      <c r="C59" s="10">
        <v>54</v>
      </c>
      <c r="D59" s="13" t="s">
        <v>1824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1852</v>
      </c>
    </row>
    <row r="60" spans="2:24" ht="13.8" x14ac:dyDescent="0.2">
      <c r="B60" s="8">
        <f t="shared" si="5"/>
        <v>55</v>
      </c>
      <c r="C60" s="10">
        <v>55</v>
      </c>
      <c r="D60" s="13" t="s">
        <v>814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1987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806</v>
      </c>
    </row>
    <row r="65" spans="2:24" ht="13.8" x14ac:dyDescent="0.2">
      <c r="B65" s="8">
        <f t="shared" si="5"/>
        <v>60</v>
      </c>
      <c r="C65" s="10">
        <v>60</v>
      </c>
      <c r="D65" s="13" t="s">
        <v>1825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1825</v>
      </c>
    </row>
    <row r="66" spans="2:24" ht="13.8" x14ac:dyDescent="0.2">
      <c r="B66" s="8">
        <f t="shared" si="5"/>
        <v>61</v>
      </c>
      <c r="C66" s="10">
        <v>61</v>
      </c>
      <c r="D66" s="13" t="s">
        <v>1826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1853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388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1258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1854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1827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1855</v>
      </c>
    </row>
    <row r="73" spans="2:24" ht="13.8" x14ac:dyDescent="0.2">
      <c r="B73" s="8">
        <f t="shared" si="9"/>
        <v>68</v>
      </c>
      <c r="C73" s="10">
        <v>68</v>
      </c>
      <c r="D73" s="13" t="s">
        <v>1828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1856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1143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1711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805</v>
      </c>
    </row>
    <row r="77" spans="2:24" ht="13.8" x14ac:dyDescent="0.2">
      <c r="B77" s="8">
        <f t="shared" si="9"/>
        <v>72</v>
      </c>
      <c r="C77" s="10">
        <v>72</v>
      </c>
      <c r="D77" s="26" t="s">
        <v>1829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1857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1830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1985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4">IF(C105="","",C105)</f>
        <v>017</v>
      </c>
      <c r="C105" s="10" t="s">
        <v>682</v>
      </c>
      <c r="D105" s="9" t="s">
        <v>1831</v>
      </c>
      <c r="E105" s="11" t="str">
        <f t="shared" ref="E105:E119" si="15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1858</v>
      </c>
    </row>
    <row r="106" spans="2:24" ht="13.8" x14ac:dyDescent="0.2">
      <c r="B106" s="8" t="str">
        <f t="shared" si="14"/>
        <v>022</v>
      </c>
      <c r="C106" s="10" t="s">
        <v>1193</v>
      </c>
      <c r="D106" s="9" t="s">
        <v>1832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393</v>
      </c>
    </row>
    <row r="107" spans="2:24" ht="13.8" x14ac:dyDescent="0.2">
      <c r="B107" s="8" t="str">
        <f t="shared" si="14"/>
        <v>062</v>
      </c>
      <c r="C107" s="10" t="s">
        <v>1833</v>
      </c>
      <c r="D107" s="9" t="s">
        <v>1834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387</v>
      </c>
    </row>
    <row r="108" spans="2:24" ht="13.8" x14ac:dyDescent="0.2">
      <c r="B108" s="8">
        <f t="shared" si="14"/>
        <v>130</v>
      </c>
      <c r="C108" s="10">
        <v>130</v>
      </c>
      <c r="D108" s="9" t="s">
        <v>1835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1859</v>
      </c>
    </row>
    <row r="109" spans="2:24" ht="13.8" x14ac:dyDescent="0.2">
      <c r="B109" s="8">
        <f t="shared" si="14"/>
        <v>131</v>
      </c>
      <c r="C109" s="10">
        <v>131</v>
      </c>
      <c r="D109" s="9" t="s">
        <v>1836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1860</v>
      </c>
    </row>
    <row r="110" spans="2:24" ht="13.8" x14ac:dyDescent="0.2">
      <c r="B110" s="8">
        <f t="shared" si="14"/>
        <v>135</v>
      </c>
      <c r="C110" s="10">
        <v>135</v>
      </c>
      <c r="D110" s="9" t="s">
        <v>1837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1861</v>
      </c>
    </row>
    <row r="111" spans="2:24" ht="13.8" x14ac:dyDescent="0.2">
      <c r="B111" s="8">
        <f t="shared" si="14"/>
        <v>137</v>
      </c>
      <c r="C111" s="10">
        <v>137</v>
      </c>
      <c r="D111" s="9" t="s">
        <v>1838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1862</v>
      </c>
    </row>
    <row r="112" spans="2:24" ht="13.8" x14ac:dyDescent="0.2">
      <c r="B112" s="8">
        <f t="shared" si="14"/>
        <v>138</v>
      </c>
      <c r="C112" s="10">
        <v>138</v>
      </c>
      <c r="D112" s="9" t="s">
        <v>1839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1863</v>
      </c>
    </row>
    <row r="113" spans="2:24" ht="13.8" x14ac:dyDescent="0.2">
      <c r="B113" s="8">
        <f t="shared" si="14"/>
        <v>141</v>
      </c>
      <c r="C113" s="10">
        <v>141</v>
      </c>
      <c r="D113" s="9" t="s">
        <v>1840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1864</v>
      </c>
    </row>
    <row r="114" spans="2:24" ht="13.8" x14ac:dyDescent="0.2">
      <c r="B114" s="8">
        <f t="shared" si="14"/>
        <v>142</v>
      </c>
      <c r="C114" s="10">
        <v>142</v>
      </c>
      <c r="D114" s="9" t="s">
        <v>1841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1865</v>
      </c>
    </row>
    <row r="115" spans="2:24" ht="13.8" x14ac:dyDescent="0.2">
      <c r="B115" s="8">
        <f t="shared" si="14"/>
        <v>144</v>
      </c>
      <c r="C115" s="10">
        <v>144</v>
      </c>
      <c r="D115" s="9" t="s">
        <v>1842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1866</v>
      </c>
    </row>
    <row r="116" spans="2:24" ht="13.8" x14ac:dyDescent="0.2">
      <c r="B116" s="8">
        <f t="shared" si="14"/>
        <v>155</v>
      </c>
      <c r="C116" s="10">
        <v>155</v>
      </c>
      <c r="D116" s="9" t="s">
        <v>1843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1867</v>
      </c>
    </row>
    <row r="117" spans="2:24" ht="13.8" x14ac:dyDescent="0.2">
      <c r="B117" s="8">
        <f t="shared" si="14"/>
        <v>144</v>
      </c>
      <c r="C117" s="10">
        <v>144</v>
      </c>
      <c r="D117" s="9" t="s">
        <v>1842</v>
      </c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1866</v>
      </c>
    </row>
    <row r="118" spans="2:24" ht="13.8" x14ac:dyDescent="0.2">
      <c r="B118" s="8">
        <f t="shared" si="14"/>
        <v>152</v>
      </c>
      <c r="C118" s="10">
        <v>152</v>
      </c>
      <c r="D118" s="9" t="s">
        <v>1071</v>
      </c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804</v>
      </c>
    </row>
    <row r="119" spans="2:24" ht="13.8" x14ac:dyDescent="0.2">
      <c r="B119" s="8" t="str">
        <f t="shared" si="14"/>
        <v/>
      </c>
      <c r="C119" s="10"/>
      <c r="D119" s="9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6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6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6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6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6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6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6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6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6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6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6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6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6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6"/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568</v>
      </c>
    </row>
    <row r="6" spans="2:24" ht="13.8" x14ac:dyDescent="0.2">
      <c r="B6" s="8">
        <v>3</v>
      </c>
      <c r="C6" s="10">
        <v>75</v>
      </c>
      <c r="D6" s="13" t="s">
        <v>1214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1214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542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1038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1074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1066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588</v>
      </c>
    </row>
    <row r="13" spans="2:24" ht="13.8" x14ac:dyDescent="0.2">
      <c r="B13" s="8">
        <v>10</v>
      </c>
      <c r="C13" s="10">
        <v>16</v>
      </c>
      <c r="D13" s="13" t="s">
        <v>774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768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616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617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1135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718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551</v>
      </c>
    </row>
    <row r="21" spans="2:24" ht="13.8" x14ac:dyDescent="0.2">
      <c r="B21" s="8">
        <v>18</v>
      </c>
      <c r="C21" s="10">
        <v>2</v>
      </c>
      <c r="D21" s="13" t="s">
        <v>2021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723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1997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709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1245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739</v>
      </c>
    </row>
    <row r="27" spans="2:24" ht="13.8" x14ac:dyDescent="0.2">
      <c r="B27" s="8">
        <v>24</v>
      </c>
      <c r="C27" s="10">
        <v>25</v>
      </c>
      <c r="D27" s="13" t="s">
        <v>1041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1042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589</v>
      </c>
    </row>
    <row r="29" spans="2:24" ht="13.8" x14ac:dyDescent="0.2">
      <c r="B29" s="8">
        <v>26</v>
      </c>
      <c r="C29" s="10">
        <v>6</v>
      </c>
      <c r="D29" s="13" t="s">
        <v>1688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1027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567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566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539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609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10">
        <v>1</v>
      </c>
      <c r="C4" s="10">
        <v>13</v>
      </c>
      <c r="D4" s="13" t="s">
        <v>1179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1279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492</v>
      </c>
    </row>
    <row r="6" spans="2:24" ht="13.8" x14ac:dyDescent="0.2">
      <c r="B6" s="10">
        <v>3</v>
      </c>
      <c r="C6" s="10">
        <v>1</v>
      </c>
      <c r="D6" s="13" t="s">
        <v>757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2025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502</v>
      </c>
    </row>
    <row r="9" spans="2:24" ht="13.8" x14ac:dyDescent="0.2">
      <c r="B9" s="10">
        <v>6</v>
      </c>
      <c r="C9" s="10">
        <v>11</v>
      </c>
      <c r="D9" s="13" t="s">
        <v>1271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885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1615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1267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1687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2033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506</v>
      </c>
    </row>
    <row r="19" spans="2:24" ht="13.8" x14ac:dyDescent="0.2">
      <c r="B19" s="10">
        <v>16</v>
      </c>
      <c r="C19" s="10">
        <v>31</v>
      </c>
      <c r="D19" s="13" t="s">
        <v>775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769</v>
      </c>
    </row>
    <row r="20" spans="2:24" ht="13.8" x14ac:dyDescent="0.2">
      <c r="B20" s="10">
        <v>17</v>
      </c>
      <c r="C20" s="10">
        <v>3</v>
      </c>
      <c r="D20" s="13" t="s">
        <v>1469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491</v>
      </c>
    </row>
    <row r="23" spans="2:24" ht="13.8" x14ac:dyDescent="0.2">
      <c r="B23" s="10">
        <v>20</v>
      </c>
      <c r="C23" s="10">
        <v>5</v>
      </c>
      <c r="D23" s="13" t="s">
        <v>1826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498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998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1298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820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1196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501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989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2028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U5" sqref="U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6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3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>
        <f>IFERROR(CalcRC27(F2,G2,K2,O2,P2,Q2,R2,S2,T2,U2,V2),"-")</f>
        <v>-2.8080000000000016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2019</v>
      </c>
      <c r="E4" s="11">
        <f t="shared" ref="E4:E68" si="5">IFERROR(IF(G4/F4=1,"1.00",G4/F4),"---")</f>
        <v>0</v>
      </c>
      <c r="F4" s="5">
        <v>2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1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>
        <f>IFERROR(CalcRC27(F4,G4,K4,O4,P4,Q4,R4,S4,T4,U4,V4),"-")</f>
        <v>-2.8080000000000012</v>
      </c>
      <c r="X4" s="2" t="s">
        <v>1999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2020</v>
      </c>
      <c r="E5" s="11">
        <f t="shared" si="5"/>
        <v>0</v>
      </c>
      <c r="F5" s="5">
        <v>2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1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>
        <f>IFERROR(CalcRC27(F5,G5,K5,O5,P5,Q5,R5,S5,T5,U5,V5),"-")</f>
        <v>-2.8080000000000012</v>
      </c>
      <c r="X5" s="2" t="s">
        <v>2000</v>
      </c>
    </row>
    <row r="6" spans="2:24" ht="13.8" x14ac:dyDescent="0.2">
      <c r="B6" s="8">
        <f t="shared" si="6"/>
        <v>3</v>
      </c>
      <c r="C6" s="10">
        <v>3</v>
      </c>
      <c r="D6" s="13" t="s">
        <v>2021</v>
      </c>
      <c r="E6" s="11">
        <f t="shared" si="5"/>
        <v>0</v>
      </c>
      <c r="F6" s="5">
        <v>2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1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-2.8080000000000012</v>
      </c>
      <c r="X6" s="2" t="s">
        <v>2001</v>
      </c>
    </row>
    <row r="7" spans="2:24" ht="13.8" x14ac:dyDescent="0.2">
      <c r="B7" s="8">
        <f t="shared" si="6"/>
        <v>4</v>
      </c>
      <c r="C7" s="10">
        <v>4</v>
      </c>
      <c r="D7" s="13" t="s">
        <v>1997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2002</v>
      </c>
    </row>
    <row r="8" spans="2:24" ht="13.8" x14ac:dyDescent="0.2">
      <c r="B8" s="8">
        <f t="shared" si="6"/>
        <v>5</v>
      </c>
      <c r="C8" s="10">
        <v>5</v>
      </c>
      <c r="D8" s="13" t="s">
        <v>2022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2003</v>
      </c>
    </row>
    <row r="9" spans="2:24" ht="13.8" x14ac:dyDescent="0.2">
      <c r="B9" s="8">
        <f t="shared" si="6"/>
        <v>6</v>
      </c>
      <c r="C9" s="10">
        <v>6</v>
      </c>
      <c r="D9" s="13" t="s">
        <v>2023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2004</v>
      </c>
    </row>
    <row r="10" spans="2:24" ht="13.8" x14ac:dyDescent="0.2">
      <c r="B10" s="8">
        <f t="shared" si="6"/>
        <v>7</v>
      </c>
      <c r="C10" s="10">
        <v>7</v>
      </c>
      <c r="D10" s="13" t="s">
        <v>2031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2005</v>
      </c>
    </row>
    <row r="11" spans="2:24" ht="13.8" x14ac:dyDescent="0.2">
      <c r="B11" s="8">
        <f t="shared" si="6"/>
        <v>8</v>
      </c>
      <c r="C11" s="10">
        <v>8</v>
      </c>
      <c r="D11" s="13" t="s">
        <v>2024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2006</v>
      </c>
    </row>
    <row r="12" spans="2:24" ht="13.8" x14ac:dyDescent="0.2">
      <c r="B12" s="8">
        <f t="shared" si="6"/>
        <v>9</v>
      </c>
      <c r="C12" s="10">
        <v>9</v>
      </c>
      <c r="D12" s="13" t="s">
        <v>2025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2007</v>
      </c>
    </row>
    <row r="13" spans="2:24" ht="13.8" x14ac:dyDescent="0.2">
      <c r="B13" s="8">
        <f t="shared" si="6"/>
        <v>10</v>
      </c>
      <c r="C13" s="10">
        <v>10</v>
      </c>
      <c r="D13" s="13" t="s">
        <v>2026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2008</v>
      </c>
    </row>
    <row r="14" spans="2:24" ht="13.8" x14ac:dyDescent="0.2">
      <c r="B14" s="8">
        <f t="shared" si="6"/>
        <v>11</v>
      </c>
      <c r="C14" s="10">
        <v>11</v>
      </c>
      <c r="D14" s="13" t="s">
        <v>2027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2009</v>
      </c>
    </row>
    <row r="15" spans="2:24" ht="13.8" x14ac:dyDescent="0.2">
      <c r="B15" s="8">
        <f t="shared" si="6"/>
        <v>12</v>
      </c>
      <c r="C15" s="10">
        <v>12</v>
      </c>
      <c r="D15" s="13" t="s">
        <v>2028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2010</v>
      </c>
    </row>
    <row r="16" spans="2:24" ht="13.8" x14ac:dyDescent="0.2">
      <c r="B16" s="8">
        <f t="shared" si="6"/>
        <v>13</v>
      </c>
      <c r="C16" s="10">
        <v>13</v>
      </c>
      <c r="D16" s="13" t="s">
        <v>2029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2011</v>
      </c>
    </row>
    <row r="17" spans="2:24" ht="13.8" x14ac:dyDescent="0.2">
      <c r="B17" s="8">
        <f t="shared" si="6"/>
        <v>14</v>
      </c>
      <c r="C17" s="10">
        <v>14</v>
      </c>
      <c r="D17" s="13" t="s">
        <v>802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2012</v>
      </c>
    </row>
    <row r="18" spans="2:24" ht="13.8" x14ac:dyDescent="0.2">
      <c r="B18" s="8">
        <f t="shared" si="6"/>
        <v>15</v>
      </c>
      <c r="C18" s="10">
        <v>15</v>
      </c>
      <c r="D18" s="13" t="s">
        <v>2030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2013</v>
      </c>
    </row>
    <row r="19" spans="2:24" ht="13.8" x14ac:dyDescent="0.2">
      <c r="B19" s="8">
        <f t="shared" si="6"/>
        <v>16</v>
      </c>
      <c r="C19" s="10">
        <v>16</v>
      </c>
      <c r="D19" s="13" t="s">
        <v>2032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2014</v>
      </c>
    </row>
    <row r="20" spans="2:24" ht="13.8" x14ac:dyDescent="0.2">
      <c r="B20" s="8">
        <f t="shared" si="6"/>
        <v>17</v>
      </c>
      <c r="C20" s="10">
        <v>17</v>
      </c>
      <c r="D20" s="9" t="s">
        <v>752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2015</v>
      </c>
    </row>
    <row r="21" spans="2:24" ht="13.8" x14ac:dyDescent="0.2">
      <c r="B21" s="8">
        <f t="shared" si="6"/>
        <v>18</v>
      </c>
      <c r="C21" s="10">
        <v>18</v>
      </c>
      <c r="D21" s="13" t="s">
        <v>2033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2016</v>
      </c>
    </row>
    <row r="22" spans="2:24" ht="13.8" x14ac:dyDescent="0.2">
      <c r="B22" s="8">
        <f t="shared" si="6"/>
        <v>19</v>
      </c>
      <c r="C22" s="10">
        <v>19</v>
      </c>
      <c r="D22" s="13" t="s">
        <v>2034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2017</v>
      </c>
    </row>
    <row r="23" spans="2:24" ht="13.8" x14ac:dyDescent="0.2">
      <c r="B23" s="8">
        <f t="shared" si="6"/>
        <v>20</v>
      </c>
      <c r="C23" s="10">
        <v>20</v>
      </c>
      <c r="D23" s="13" t="s">
        <v>2035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2018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2056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2036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2057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2037</v>
      </c>
    </row>
    <row r="6" spans="2:24" ht="13.8" x14ac:dyDescent="0.2">
      <c r="B6" s="8">
        <f t="shared" si="6"/>
        <v>3</v>
      </c>
      <c r="C6" s="10">
        <v>3</v>
      </c>
      <c r="D6" s="13" t="s">
        <v>2058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2038</v>
      </c>
    </row>
    <row r="7" spans="2:24" ht="13.8" x14ac:dyDescent="0.2">
      <c r="B7" s="8">
        <f t="shared" si="6"/>
        <v>4</v>
      </c>
      <c r="C7" s="10">
        <v>4</v>
      </c>
      <c r="D7" s="13" t="s">
        <v>2059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2039</v>
      </c>
    </row>
    <row r="8" spans="2:24" ht="13.8" x14ac:dyDescent="0.2">
      <c r="B8" s="8">
        <f t="shared" si="6"/>
        <v>5</v>
      </c>
      <c r="C8" s="10">
        <v>5</v>
      </c>
      <c r="D8" s="13" t="s">
        <v>2060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2040</v>
      </c>
    </row>
    <row r="9" spans="2:24" ht="13.8" x14ac:dyDescent="0.2">
      <c r="B9" s="8">
        <f t="shared" si="6"/>
        <v>6</v>
      </c>
      <c r="C9" s="10">
        <v>6</v>
      </c>
      <c r="D9" s="13" t="s">
        <v>2061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2041</v>
      </c>
    </row>
    <row r="10" spans="2:24" ht="13.8" x14ac:dyDescent="0.2">
      <c r="B10" s="8">
        <f t="shared" si="6"/>
        <v>7</v>
      </c>
      <c r="C10" s="10">
        <v>7</v>
      </c>
      <c r="D10" s="13" t="s">
        <v>2062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2042</v>
      </c>
    </row>
    <row r="11" spans="2:24" ht="13.8" x14ac:dyDescent="0.2">
      <c r="B11" s="8">
        <f t="shared" si="6"/>
        <v>8</v>
      </c>
      <c r="C11" s="10">
        <v>8</v>
      </c>
      <c r="D11" s="13" t="s">
        <v>2063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2043</v>
      </c>
    </row>
    <row r="12" spans="2:24" ht="13.8" x14ac:dyDescent="0.2">
      <c r="B12" s="8">
        <f t="shared" si="6"/>
        <v>9</v>
      </c>
      <c r="C12" s="10">
        <v>9</v>
      </c>
      <c r="D12" s="13" t="s">
        <v>2064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2044</v>
      </c>
    </row>
    <row r="13" spans="2:24" ht="13.8" x14ac:dyDescent="0.2">
      <c r="B13" s="8">
        <f t="shared" si="6"/>
        <v>10</v>
      </c>
      <c r="C13" s="10">
        <v>10</v>
      </c>
      <c r="D13" s="13" t="s">
        <v>2065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2045</v>
      </c>
    </row>
    <row r="14" spans="2:24" ht="13.8" x14ac:dyDescent="0.2">
      <c r="B14" s="8">
        <f t="shared" si="6"/>
        <v>11</v>
      </c>
      <c r="C14" s="10">
        <v>11</v>
      </c>
      <c r="D14" s="13" t="s">
        <v>2066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2046</v>
      </c>
    </row>
    <row r="15" spans="2:24" ht="13.8" x14ac:dyDescent="0.2">
      <c r="B15" s="8">
        <f t="shared" si="6"/>
        <v>12</v>
      </c>
      <c r="C15" s="10">
        <v>12</v>
      </c>
      <c r="D15" s="13" t="s">
        <v>2067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2047</v>
      </c>
    </row>
    <row r="16" spans="2:24" ht="13.8" x14ac:dyDescent="0.2">
      <c r="B16" s="8">
        <f t="shared" si="6"/>
        <v>13</v>
      </c>
      <c r="C16" s="10">
        <v>13</v>
      </c>
      <c r="D16" s="13" t="s">
        <v>2068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2048</v>
      </c>
    </row>
    <row r="17" spans="2:24" ht="13.8" x14ac:dyDescent="0.2">
      <c r="B17" s="8">
        <f t="shared" si="6"/>
        <v>14</v>
      </c>
      <c r="C17" s="10">
        <v>14</v>
      </c>
      <c r="D17" s="13" t="s">
        <v>2069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2049</v>
      </c>
    </row>
    <row r="18" spans="2:24" ht="13.8" x14ac:dyDescent="0.2">
      <c r="B18" s="8">
        <f t="shared" si="6"/>
        <v>15</v>
      </c>
      <c r="C18" s="10">
        <v>15</v>
      </c>
      <c r="D18" s="13" t="s">
        <v>2070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2050</v>
      </c>
    </row>
    <row r="19" spans="2:24" ht="13.8" x14ac:dyDescent="0.2">
      <c r="B19" s="8">
        <f t="shared" si="6"/>
        <v>16</v>
      </c>
      <c r="C19" s="10">
        <v>16</v>
      </c>
      <c r="D19" s="13" t="s">
        <v>644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2051</v>
      </c>
    </row>
    <row r="20" spans="2:24" ht="13.8" x14ac:dyDescent="0.2">
      <c r="B20" s="8">
        <f t="shared" si="6"/>
        <v>17</v>
      </c>
      <c r="C20" s="10">
        <v>17</v>
      </c>
      <c r="D20" s="9" t="s">
        <v>2071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2052</v>
      </c>
    </row>
    <row r="21" spans="2:24" ht="13.8" x14ac:dyDescent="0.2">
      <c r="B21" s="8">
        <f t="shared" si="6"/>
        <v>18</v>
      </c>
      <c r="C21" s="10">
        <v>18</v>
      </c>
      <c r="D21" s="13" t="s">
        <v>2072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2053</v>
      </c>
    </row>
    <row r="22" spans="2:24" ht="13.8" x14ac:dyDescent="0.2">
      <c r="B22" s="8">
        <f t="shared" si="6"/>
        <v>19</v>
      </c>
      <c r="C22" s="10">
        <v>19</v>
      </c>
      <c r="D22" s="13" t="s">
        <v>2073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2054</v>
      </c>
    </row>
    <row r="23" spans="2:24" ht="13.8" x14ac:dyDescent="0.2">
      <c r="B23" s="8">
        <f t="shared" si="6"/>
        <v>20</v>
      </c>
      <c r="C23" s="10">
        <v>20</v>
      </c>
      <c r="D23" s="13" t="s">
        <v>2074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2055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>
      <selection activeCell="A5" sqref="A5"/>
    </sheetView>
  </sheetViews>
  <sheetFormatPr defaultRowHeight="13.2" x14ac:dyDescent="0.2"/>
  <sheetData>
    <row r="1" spans="1:27" ht="39.6" customHeight="1" x14ac:dyDescent="0.2">
      <c r="B1" s="1" t="s">
        <v>1019</v>
      </c>
      <c r="C1" s="1" t="s">
        <v>1020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1021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960</v>
      </c>
      <c r="V1" s="1" t="s">
        <v>961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1:27" x14ac:dyDescent="0.2">
      <c r="B2" s="15"/>
      <c r="D2" s="16"/>
      <c r="M2" s="17" t="s">
        <v>224</v>
      </c>
      <c r="N2" s="143" t="s">
        <v>2126</v>
      </c>
      <c r="O2" s="143"/>
      <c r="W2" s="16"/>
      <c r="X2" s="16"/>
      <c r="Y2" s="16"/>
      <c r="Z2" s="16"/>
    </row>
    <row r="3" spans="1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1:27" x14ac:dyDescent="0.2">
      <c r="B4" s="19" t="s">
        <v>227</v>
      </c>
      <c r="D4" s="16"/>
      <c r="W4" s="16"/>
      <c r="X4" s="16"/>
      <c r="Y4" s="16"/>
      <c r="Z4" s="16"/>
    </row>
    <row r="5" spans="1:27" x14ac:dyDescent="0.2">
      <c r="A5" t="s">
        <v>2088</v>
      </c>
      <c r="B5" s="25">
        <v>27</v>
      </c>
      <c r="C5" t="s">
        <v>297</v>
      </c>
      <c r="D5" s="16">
        <v>0.14599999999999999</v>
      </c>
      <c r="E5">
        <v>14</v>
      </c>
      <c r="F5">
        <v>42</v>
      </c>
      <c r="G5" s="24">
        <v>41</v>
      </c>
      <c r="H5" s="24">
        <v>6</v>
      </c>
      <c r="I5" s="24">
        <v>3</v>
      </c>
      <c r="J5" s="24">
        <v>0</v>
      </c>
      <c r="K5" s="24">
        <v>0</v>
      </c>
      <c r="L5" s="24">
        <v>9</v>
      </c>
      <c r="M5" s="24">
        <v>6</v>
      </c>
      <c r="N5">
        <v>1</v>
      </c>
      <c r="O5" s="24">
        <v>9</v>
      </c>
      <c r="P5" s="24">
        <v>0</v>
      </c>
      <c r="Q5" s="24">
        <v>1</v>
      </c>
      <c r="R5" s="24">
        <v>0</v>
      </c>
      <c r="S5" s="24">
        <v>0</v>
      </c>
      <c r="T5" s="24">
        <v>0</v>
      </c>
      <c r="U5" s="24">
        <v>0</v>
      </c>
      <c r="V5" s="24">
        <v>3</v>
      </c>
      <c r="W5" s="16">
        <v>0.16700000000000001</v>
      </c>
      <c r="X5" s="16">
        <v>0.22</v>
      </c>
      <c r="Y5" s="16">
        <v>0.38600000000000001</v>
      </c>
      <c r="Z5" s="16">
        <v>0.25</v>
      </c>
      <c r="AA5">
        <v>0</v>
      </c>
    </row>
    <row r="6" spans="1:27" x14ac:dyDescent="0.2">
      <c r="A6" t="s">
        <v>2088</v>
      </c>
      <c r="B6" s="15">
        <v>31</v>
      </c>
      <c r="C6" t="s">
        <v>298</v>
      </c>
      <c r="D6" s="16">
        <v>0.17499999999999999</v>
      </c>
      <c r="E6">
        <v>25</v>
      </c>
      <c r="F6">
        <v>88</v>
      </c>
      <c r="G6">
        <v>80</v>
      </c>
      <c r="H6">
        <v>14</v>
      </c>
      <c r="I6">
        <v>2</v>
      </c>
      <c r="J6">
        <v>0</v>
      </c>
      <c r="K6">
        <v>2</v>
      </c>
      <c r="L6">
        <v>22</v>
      </c>
      <c r="M6">
        <v>7</v>
      </c>
      <c r="N6">
        <v>5</v>
      </c>
      <c r="O6">
        <v>14</v>
      </c>
      <c r="P6">
        <v>7</v>
      </c>
      <c r="Q6">
        <v>1</v>
      </c>
      <c r="R6">
        <v>0</v>
      </c>
      <c r="S6">
        <v>0</v>
      </c>
      <c r="T6">
        <v>2</v>
      </c>
      <c r="U6">
        <v>1</v>
      </c>
      <c r="V6">
        <v>5</v>
      </c>
      <c r="W6" s="16">
        <v>0.25</v>
      </c>
      <c r="X6" s="16">
        <v>0.27500000000000002</v>
      </c>
      <c r="Y6" s="16">
        <v>0.52500000000000002</v>
      </c>
      <c r="Z6" s="16">
        <v>0.15</v>
      </c>
      <c r="AA6">
        <v>1</v>
      </c>
    </row>
    <row r="7" spans="1:27" x14ac:dyDescent="0.2">
      <c r="A7" t="s">
        <v>2088</v>
      </c>
      <c r="B7" s="15">
        <v>32</v>
      </c>
      <c r="C7" t="s">
        <v>309</v>
      </c>
      <c r="D7" s="16">
        <v>0.8</v>
      </c>
      <c r="E7">
        <v>5</v>
      </c>
      <c r="F7">
        <v>7</v>
      </c>
      <c r="G7">
        <v>5</v>
      </c>
      <c r="H7">
        <v>4</v>
      </c>
      <c r="I7">
        <v>1</v>
      </c>
      <c r="J7">
        <v>0</v>
      </c>
      <c r="K7">
        <v>1</v>
      </c>
      <c r="L7">
        <v>8</v>
      </c>
      <c r="M7">
        <v>1</v>
      </c>
      <c r="N7">
        <v>1</v>
      </c>
      <c r="O7">
        <v>0</v>
      </c>
      <c r="P7">
        <v>0</v>
      </c>
      <c r="Q7">
        <v>1</v>
      </c>
      <c r="R7">
        <v>1</v>
      </c>
      <c r="S7">
        <v>0</v>
      </c>
      <c r="T7">
        <v>0</v>
      </c>
      <c r="U7">
        <v>0</v>
      </c>
      <c r="V7">
        <v>0</v>
      </c>
      <c r="W7" s="16">
        <v>0.83299999999999996</v>
      </c>
      <c r="X7" s="16">
        <v>1.6</v>
      </c>
      <c r="Y7" s="16">
        <v>2.4329999999999998</v>
      </c>
      <c r="Z7" s="16">
        <v>0</v>
      </c>
      <c r="AA7">
        <v>0</v>
      </c>
    </row>
    <row r="8" spans="1:27" x14ac:dyDescent="0.2">
      <c r="A8" t="s">
        <v>2088</v>
      </c>
      <c r="B8" s="15">
        <v>40</v>
      </c>
      <c r="C8" t="s">
        <v>302</v>
      </c>
      <c r="D8" s="16" t="s">
        <v>2089</v>
      </c>
      <c r="E8" t="s">
        <v>2089</v>
      </c>
      <c r="F8" t="s">
        <v>2089</v>
      </c>
      <c r="G8" t="s">
        <v>2089</v>
      </c>
      <c r="H8" t="s">
        <v>2089</v>
      </c>
      <c r="I8" t="s">
        <v>2089</v>
      </c>
      <c r="J8" t="s">
        <v>2089</v>
      </c>
      <c r="K8" t="s">
        <v>2089</v>
      </c>
      <c r="L8" t="s">
        <v>2089</v>
      </c>
      <c r="M8" t="s">
        <v>2089</v>
      </c>
      <c r="N8" t="s">
        <v>2089</v>
      </c>
      <c r="O8" t="s">
        <v>2089</v>
      </c>
      <c r="P8" t="s">
        <v>2089</v>
      </c>
      <c r="Q8" t="s">
        <v>2089</v>
      </c>
      <c r="R8" t="s">
        <v>2089</v>
      </c>
      <c r="S8" t="s">
        <v>2089</v>
      </c>
      <c r="T8" t="s">
        <v>2089</v>
      </c>
      <c r="U8" t="s">
        <v>2089</v>
      </c>
      <c r="V8" t="s">
        <v>2089</v>
      </c>
      <c r="W8" s="16" t="s">
        <v>2089</v>
      </c>
      <c r="X8" s="16" t="s">
        <v>2089</v>
      </c>
      <c r="Y8" s="16" t="s">
        <v>2089</v>
      </c>
      <c r="Z8" s="16" t="s">
        <v>2089</v>
      </c>
      <c r="AA8" t="s">
        <v>2089</v>
      </c>
    </row>
    <row r="9" spans="1:27" x14ac:dyDescent="0.2">
      <c r="A9" t="s">
        <v>2088</v>
      </c>
      <c r="B9" s="15">
        <v>57</v>
      </c>
      <c r="C9" t="s">
        <v>311</v>
      </c>
      <c r="D9" s="16" t="s">
        <v>2089</v>
      </c>
      <c r="E9" t="s">
        <v>2089</v>
      </c>
      <c r="F9" t="s">
        <v>2089</v>
      </c>
      <c r="G9" t="s">
        <v>2089</v>
      </c>
      <c r="H9" t="s">
        <v>2089</v>
      </c>
      <c r="I9" t="s">
        <v>2089</v>
      </c>
      <c r="J9" t="s">
        <v>2089</v>
      </c>
      <c r="K9" t="s">
        <v>2089</v>
      </c>
      <c r="L9" t="s">
        <v>2089</v>
      </c>
      <c r="M9" t="s">
        <v>2089</v>
      </c>
      <c r="N9" t="s">
        <v>2089</v>
      </c>
      <c r="O9" t="s">
        <v>2089</v>
      </c>
      <c r="P9" t="s">
        <v>2089</v>
      </c>
      <c r="Q9" t="s">
        <v>2089</v>
      </c>
      <c r="R9" t="s">
        <v>2089</v>
      </c>
      <c r="S9" t="s">
        <v>2089</v>
      </c>
      <c r="T9" t="s">
        <v>2089</v>
      </c>
      <c r="U9" t="s">
        <v>2089</v>
      </c>
      <c r="V9" t="s">
        <v>2089</v>
      </c>
      <c r="W9" s="16" t="s">
        <v>2089</v>
      </c>
      <c r="X9" s="16" t="s">
        <v>2089</v>
      </c>
      <c r="Y9" s="16" t="s">
        <v>2089</v>
      </c>
      <c r="Z9" s="16" t="s">
        <v>2089</v>
      </c>
      <c r="AA9" t="s">
        <v>2089</v>
      </c>
    </row>
    <row r="10" spans="1:27" x14ac:dyDescent="0.2">
      <c r="A10" t="s">
        <v>2088</v>
      </c>
      <c r="B10" s="15">
        <v>62</v>
      </c>
      <c r="C10" t="s">
        <v>901</v>
      </c>
      <c r="D10" s="16" t="s">
        <v>2089</v>
      </c>
      <c r="E10" t="s">
        <v>2089</v>
      </c>
      <c r="F10" t="s">
        <v>2089</v>
      </c>
      <c r="G10" t="s">
        <v>2089</v>
      </c>
      <c r="H10" t="s">
        <v>2089</v>
      </c>
      <c r="I10" t="s">
        <v>2089</v>
      </c>
      <c r="J10" t="s">
        <v>2089</v>
      </c>
      <c r="K10" t="s">
        <v>2089</v>
      </c>
      <c r="L10" t="s">
        <v>2089</v>
      </c>
      <c r="M10" t="s">
        <v>2089</v>
      </c>
      <c r="N10" t="s">
        <v>2089</v>
      </c>
      <c r="O10" t="s">
        <v>2089</v>
      </c>
      <c r="P10" t="s">
        <v>2089</v>
      </c>
      <c r="Q10" t="s">
        <v>2089</v>
      </c>
      <c r="R10" t="s">
        <v>2089</v>
      </c>
      <c r="S10" t="s">
        <v>2089</v>
      </c>
      <c r="T10" t="s">
        <v>2089</v>
      </c>
      <c r="U10" t="s">
        <v>2089</v>
      </c>
      <c r="V10" t="s">
        <v>2089</v>
      </c>
      <c r="W10" s="16" t="s">
        <v>2089</v>
      </c>
      <c r="X10" s="16" t="s">
        <v>2089</v>
      </c>
      <c r="Y10" s="16" t="s">
        <v>2089</v>
      </c>
      <c r="Z10" s="16" t="s">
        <v>2089</v>
      </c>
      <c r="AA10" t="s">
        <v>2089</v>
      </c>
    </row>
    <row r="11" spans="1:27" x14ac:dyDescent="0.2">
      <c r="A11" t="s">
        <v>2088</v>
      </c>
      <c r="B11" s="15">
        <v>64</v>
      </c>
      <c r="C11" t="s">
        <v>678</v>
      </c>
      <c r="D11" s="16" t="s">
        <v>2089</v>
      </c>
      <c r="E11" t="s">
        <v>2089</v>
      </c>
      <c r="F11" t="s">
        <v>2089</v>
      </c>
      <c r="G11" t="s">
        <v>2089</v>
      </c>
      <c r="H11" t="s">
        <v>2089</v>
      </c>
      <c r="I11" t="s">
        <v>2089</v>
      </c>
      <c r="J11" t="s">
        <v>2089</v>
      </c>
      <c r="K11" t="s">
        <v>2089</v>
      </c>
      <c r="L11" t="s">
        <v>2089</v>
      </c>
      <c r="M11" t="s">
        <v>2089</v>
      </c>
      <c r="N11" t="s">
        <v>2089</v>
      </c>
      <c r="O11" t="s">
        <v>2089</v>
      </c>
      <c r="P11" t="s">
        <v>2089</v>
      </c>
      <c r="Q11" t="s">
        <v>2089</v>
      </c>
      <c r="R11" t="s">
        <v>2089</v>
      </c>
      <c r="S11" t="s">
        <v>2089</v>
      </c>
      <c r="T11" t="s">
        <v>2089</v>
      </c>
      <c r="U11" t="s">
        <v>2089</v>
      </c>
      <c r="V11" t="s">
        <v>2089</v>
      </c>
      <c r="W11" s="16" t="s">
        <v>2089</v>
      </c>
      <c r="X11" s="16" t="s">
        <v>2089</v>
      </c>
      <c r="Y11" s="16" t="s">
        <v>2089</v>
      </c>
      <c r="Z11" s="16" t="s">
        <v>2089</v>
      </c>
      <c r="AA11" t="s">
        <v>2089</v>
      </c>
    </row>
    <row r="12" spans="1:27" x14ac:dyDescent="0.2">
      <c r="A12" t="s">
        <v>223</v>
      </c>
      <c r="B12" s="15" t="s">
        <v>172</v>
      </c>
      <c r="C12" t="s">
        <v>291</v>
      </c>
      <c r="D12" s="16" t="s">
        <v>2089</v>
      </c>
      <c r="E12" t="s">
        <v>2089</v>
      </c>
      <c r="F12" t="s">
        <v>2089</v>
      </c>
      <c r="G12" t="s">
        <v>2089</v>
      </c>
      <c r="H12" t="s">
        <v>2089</v>
      </c>
      <c r="I12" t="s">
        <v>2089</v>
      </c>
      <c r="J12" t="s">
        <v>2089</v>
      </c>
      <c r="K12" t="s">
        <v>2089</v>
      </c>
      <c r="L12" t="s">
        <v>2089</v>
      </c>
      <c r="M12" t="s">
        <v>2089</v>
      </c>
      <c r="N12" t="s">
        <v>2089</v>
      </c>
      <c r="O12" t="s">
        <v>2089</v>
      </c>
      <c r="P12" t="s">
        <v>2089</v>
      </c>
      <c r="Q12" t="s">
        <v>2089</v>
      </c>
      <c r="R12" t="s">
        <v>2089</v>
      </c>
      <c r="S12" t="s">
        <v>2089</v>
      </c>
      <c r="T12" t="s">
        <v>2089</v>
      </c>
      <c r="U12" t="s">
        <v>2089</v>
      </c>
      <c r="V12" t="s">
        <v>2089</v>
      </c>
      <c r="W12" s="16" t="s">
        <v>2089</v>
      </c>
      <c r="X12" s="16" t="s">
        <v>2089</v>
      </c>
      <c r="Y12" s="16" t="s">
        <v>2089</v>
      </c>
      <c r="Z12" s="16" t="s">
        <v>2089</v>
      </c>
      <c r="AA12" t="s">
        <v>2089</v>
      </c>
    </row>
    <row r="13" spans="1:27" x14ac:dyDescent="0.2">
      <c r="A13" t="s">
        <v>223</v>
      </c>
      <c r="B13" s="15">
        <v>0</v>
      </c>
      <c r="C13" t="s">
        <v>292</v>
      </c>
      <c r="D13" s="16">
        <v>0.28899999999999998</v>
      </c>
      <c r="E13">
        <v>18</v>
      </c>
      <c r="F13">
        <v>41</v>
      </c>
      <c r="G13">
        <v>38</v>
      </c>
      <c r="H13">
        <v>11</v>
      </c>
      <c r="I13">
        <v>0</v>
      </c>
      <c r="J13">
        <v>0</v>
      </c>
      <c r="K13">
        <v>0</v>
      </c>
      <c r="L13">
        <v>11</v>
      </c>
      <c r="M13">
        <v>2</v>
      </c>
      <c r="N13">
        <v>8</v>
      </c>
      <c r="O13">
        <v>5</v>
      </c>
      <c r="P13">
        <v>2</v>
      </c>
      <c r="Q13">
        <v>1</v>
      </c>
      <c r="R13">
        <v>0</v>
      </c>
      <c r="S13">
        <v>0</v>
      </c>
      <c r="T13">
        <v>0</v>
      </c>
      <c r="U13">
        <v>1</v>
      </c>
      <c r="V13">
        <v>1</v>
      </c>
      <c r="W13" s="16">
        <v>0.34100000000000003</v>
      </c>
      <c r="X13" s="16">
        <v>0.28899999999999998</v>
      </c>
      <c r="Y13" s="16">
        <v>0.63100000000000001</v>
      </c>
      <c r="Z13" s="16">
        <v>0.33300000000000002</v>
      </c>
      <c r="AA13">
        <v>0</v>
      </c>
    </row>
    <row r="14" spans="1:27" x14ac:dyDescent="0.2">
      <c r="A14" t="s">
        <v>223</v>
      </c>
      <c r="B14" s="15">
        <v>2</v>
      </c>
      <c r="C14" t="s">
        <v>294</v>
      </c>
      <c r="D14" s="16">
        <v>0.21099999999999999</v>
      </c>
      <c r="E14">
        <v>19</v>
      </c>
      <c r="F14">
        <v>42</v>
      </c>
      <c r="G14">
        <v>38</v>
      </c>
      <c r="H14">
        <v>8</v>
      </c>
      <c r="I14">
        <v>1</v>
      </c>
      <c r="J14">
        <v>0</v>
      </c>
      <c r="K14">
        <v>1</v>
      </c>
      <c r="L14">
        <v>12</v>
      </c>
      <c r="M14">
        <v>2</v>
      </c>
      <c r="N14">
        <v>3</v>
      </c>
      <c r="O14">
        <v>11</v>
      </c>
      <c r="P14">
        <v>3</v>
      </c>
      <c r="Q14">
        <v>1</v>
      </c>
      <c r="R14">
        <v>0</v>
      </c>
      <c r="S14">
        <v>0</v>
      </c>
      <c r="T14">
        <v>1</v>
      </c>
      <c r="U14">
        <v>1</v>
      </c>
      <c r="V14">
        <v>1</v>
      </c>
      <c r="W14" s="16">
        <v>0.28599999999999998</v>
      </c>
      <c r="X14" s="16">
        <v>0.316</v>
      </c>
      <c r="Y14" s="16">
        <v>0.60199999999999998</v>
      </c>
      <c r="Z14" s="16">
        <v>0.28599999999999998</v>
      </c>
      <c r="AA14">
        <v>1</v>
      </c>
    </row>
    <row r="15" spans="1:27" x14ac:dyDescent="0.2">
      <c r="A15" t="s">
        <v>223</v>
      </c>
      <c r="B15" s="15">
        <v>7</v>
      </c>
      <c r="C15" t="s">
        <v>295</v>
      </c>
      <c r="D15" s="16">
        <v>0.21</v>
      </c>
      <c r="E15">
        <v>26</v>
      </c>
      <c r="F15">
        <v>91</v>
      </c>
      <c r="G15">
        <v>81</v>
      </c>
      <c r="H15">
        <v>17</v>
      </c>
      <c r="I15">
        <v>1</v>
      </c>
      <c r="J15">
        <v>0</v>
      </c>
      <c r="K15">
        <v>0</v>
      </c>
      <c r="L15">
        <v>18</v>
      </c>
      <c r="M15">
        <v>5</v>
      </c>
      <c r="N15">
        <v>5</v>
      </c>
      <c r="O15">
        <v>23</v>
      </c>
      <c r="P15">
        <v>5</v>
      </c>
      <c r="Q15">
        <v>0</v>
      </c>
      <c r="R15">
        <v>4</v>
      </c>
      <c r="S15">
        <v>1</v>
      </c>
      <c r="T15">
        <v>0</v>
      </c>
      <c r="U15">
        <v>2</v>
      </c>
      <c r="V15">
        <v>1</v>
      </c>
      <c r="W15" s="16">
        <v>0.253</v>
      </c>
      <c r="X15" s="16">
        <v>0.222</v>
      </c>
      <c r="Y15" s="16">
        <v>0.47499999999999998</v>
      </c>
      <c r="Z15" s="16">
        <v>0.25</v>
      </c>
      <c r="AA15">
        <v>1</v>
      </c>
    </row>
    <row r="16" spans="1:27" x14ac:dyDescent="0.2">
      <c r="A16" t="s">
        <v>223</v>
      </c>
      <c r="B16" s="15">
        <v>10</v>
      </c>
      <c r="C16" t="s">
        <v>967</v>
      </c>
      <c r="D16" s="16">
        <v>0</v>
      </c>
      <c r="E16">
        <v>2</v>
      </c>
      <c r="F16">
        <v>6</v>
      </c>
      <c r="G16">
        <v>4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0</v>
      </c>
      <c r="O16">
        <v>2</v>
      </c>
      <c r="P16">
        <v>1</v>
      </c>
      <c r="Q16">
        <v>0</v>
      </c>
      <c r="R16">
        <v>0</v>
      </c>
      <c r="S16">
        <v>1</v>
      </c>
      <c r="T16">
        <v>0</v>
      </c>
      <c r="U16">
        <v>0</v>
      </c>
      <c r="V16">
        <v>1</v>
      </c>
      <c r="W16" s="16">
        <v>0.16700000000000001</v>
      </c>
      <c r="X16" s="16">
        <v>0</v>
      </c>
      <c r="Y16" s="16">
        <v>0.16700000000000001</v>
      </c>
      <c r="Z16" s="16" t="s">
        <v>2089</v>
      </c>
      <c r="AA16">
        <v>0</v>
      </c>
    </row>
    <row r="17" spans="1:27" x14ac:dyDescent="0.2">
      <c r="A17" t="s">
        <v>223</v>
      </c>
      <c r="B17" s="15">
        <v>33</v>
      </c>
      <c r="C17" t="s">
        <v>299</v>
      </c>
      <c r="D17" s="16">
        <v>0.222</v>
      </c>
      <c r="E17">
        <v>30</v>
      </c>
      <c r="F17">
        <v>110</v>
      </c>
      <c r="G17">
        <v>99</v>
      </c>
      <c r="H17">
        <v>22</v>
      </c>
      <c r="I17">
        <v>5</v>
      </c>
      <c r="J17">
        <v>0</v>
      </c>
      <c r="K17">
        <v>1</v>
      </c>
      <c r="L17">
        <v>30</v>
      </c>
      <c r="M17">
        <v>10</v>
      </c>
      <c r="N17">
        <v>7</v>
      </c>
      <c r="O17">
        <v>12</v>
      </c>
      <c r="P17">
        <v>6</v>
      </c>
      <c r="Q17">
        <v>1</v>
      </c>
      <c r="R17">
        <v>4</v>
      </c>
      <c r="S17">
        <v>0</v>
      </c>
      <c r="T17">
        <v>0</v>
      </c>
      <c r="U17">
        <v>1</v>
      </c>
      <c r="V17">
        <v>3</v>
      </c>
      <c r="W17" s="16">
        <v>0.27400000000000002</v>
      </c>
      <c r="X17" s="16">
        <v>0.30299999999999999</v>
      </c>
      <c r="Y17" s="16">
        <v>0.57699999999999996</v>
      </c>
      <c r="Z17" s="16">
        <v>0.217</v>
      </c>
      <c r="AA17">
        <v>0</v>
      </c>
    </row>
    <row r="18" spans="1:27" x14ac:dyDescent="0.2">
      <c r="A18" t="s">
        <v>223</v>
      </c>
      <c r="B18" s="15">
        <v>44</v>
      </c>
      <c r="C18" t="s">
        <v>303</v>
      </c>
      <c r="D18" s="16" t="s">
        <v>2089</v>
      </c>
      <c r="E18" t="s">
        <v>2089</v>
      </c>
      <c r="F18" t="s">
        <v>2089</v>
      </c>
      <c r="G18" t="s">
        <v>2089</v>
      </c>
      <c r="H18" t="s">
        <v>2089</v>
      </c>
      <c r="I18" t="s">
        <v>2089</v>
      </c>
      <c r="J18" t="s">
        <v>2089</v>
      </c>
      <c r="K18" t="s">
        <v>2089</v>
      </c>
      <c r="L18" t="s">
        <v>2089</v>
      </c>
      <c r="M18" t="s">
        <v>2089</v>
      </c>
      <c r="N18" t="s">
        <v>2089</v>
      </c>
      <c r="O18" t="s">
        <v>2089</v>
      </c>
      <c r="P18" t="s">
        <v>2089</v>
      </c>
      <c r="Q18" t="s">
        <v>2089</v>
      </c>
      <c r="R18" t="s">
        <v>2089</v>
      </c>
      <c r="S18" t="s">
        <v>2089</v>
      </c>
      <c r="T18" t="s">
        <v>2089</v>
      </c>
      <c r="U18" t="s">
        <v>2089</v>
      </c>
      <c r="V18" t="s">
        <v>2089</v>
      </c>
      <c r="W18" s="16" t="s">
        <v>2089</v>
      </c>
      <c r="X18" s="16" t="s">
        <v>2089</v>
      </c>
      <c r="Y18" s="16" t="s">
        <v>2089</v>
      </c>
      <c r="Z18" s="16" t="s">
        <v>2089</v>
      </c>
      <c r="AA18" t="s">
        <v>2089</v>
      </c>
    </row>
    <row r="19" spans="1:27" x14ac:dyDescent="0.2">
      <c r="A19" t="s">
        <v>223</v>
      </c>
      <c r="B19" s="15">
        <v>51</v>
      </c>
      <c r="C19" t="s">
        <v>304</v>
      </c>
      <c r="D19" s="16">
        <v>0.27700000000000002</v>
      </c>
      <c r="E19">
        <v>31</v>
      </c>
      <c r="F19">
        <v>131</v>
      </c>
      <c r="G19">
        <v>119</v>
      </c>
      <c r="H19">
        <v>33</v>
      </c>
      <c r="I19">
        <v>2</v>
      </c>
      <c r="J19">
        <v>1</v>
      </c>
      <c r="K19">
        <v>0</v>
      </c>
      <c r="L19">
        <v>37</v>
      </c>
      <c r="M19">
        <v>13</v>
      </c>
      <c r="N19">
        <v>10</v>
      </c>
      <c r="O19">
        <v>8</v>
      </c>
      <c r="P19">
        <v>9</v>
      </c>
      <c r="Q19">
        <v>2</v>
      </c>
      <c r="R19">
        <v>0</v>
      </c>
      <c r="S19">
        <v>1</v>
      </c>
      <c r="T19">
        <v>2</v>
      </c>
      <c r="U19">
        <v>4</v>
      </c>
      <c r="V19">
        <v>1</v>
      </c>
      <c r="W19" s="16">
        <v>0.33600000000000002</v>
      </c>
      <c r="X19" s="16">
        <v>0.311</v>
      </c>
      <c r="Y19" s="16">
        <v>0.64700000000000002</v>
      </c>
      <c r="Z19" s="16">
        <v>0.44400000000000001</v>
      </c>
      <c r="AA19">
        <v>2</v>
      </c>
    </row>
    <row r="20" spans="1:27" x14ac:dyDescent="0.2">
      <c r="A20" t="s">
        <v>223</v>
      </c>
      <c r="B20" s="15">
        <v>54</v>
      </c>
      <c r="C20" t="s">
        <v>305</v>
      </c>
      <c r="D20" s="16" t="s">
        <v>2089</v>
      </c>
      <c r="E20" t="s">
        <v>2089</v>
      </c>
      <c r="F20" t="s">
        <v>2089</v>
      </c>
      <c r="G20" t="s">
        <v>2089</v>
      </c>
      <c r="H20" t="s">
        <v>2089</v>
      </c>
      <c r="I20" t="s">
        <v>2089</v>
      </c>
      <c r="J20" t="s">
        <v>2089</v>
      </c>
      <c r="K20" t="s">
        <v>2089</v>
      </c>
      <c r="L20" t="s">
        <v>2089</v>
      </c>
      <c r="M20" t="s">
        <v>2089</v>
      </c>
      <c r="N20" t="s">
        <v>2089</v>
      </c>
      <c r="O20" t="s">
        <v>2089</v>
      </c>
      <c r="P20" t="s">
        <v>2089</v>
      </c>
      <c r="Q20" t="s">
        <v>2089</v>
      </c>
      <c r="R20" t="s">
        <v>2089</v>
      </c>
      <c r="S20" t="s">
        <v>2089</v>
      </c>
      <c r="T20" t="s">
        <v>2089</v>
      </c>
      <c r="U20" t="s">
        <v>2089</v>
      </c>
      <c r="V20" t="s">
        <v>2089</v>
      </c>
      <c r="W20" s="16" t="s">
        <v>2089</v>
      </c>
      <c r="X20" s="16" t="s">
        <v>2089</v>
      </c>
      <c r="Y20" s="16" t="s">
        <v>2089</v>
      </c>
      <c r="Z20" s="16" t="s">
        <v>2089</v>
      </c>
      <c r="AA20" t="s">
        <v>2089</v>
      </c>
    </row>
    <row r="21" spans="1:27" x14ac:dyDescent="0.2">
      <c r="A21" t="s">
        <v>223</v>
      </c>
      <c r="B21" s="15">
        <v>58</v>
      </c>
      <c r="C21" t="s">
        <v>1009</v>
      </c>
      <c r="D21" s="16" t="s">
        <v>2089</v>
      </c>
      <c r="E21" t="s">
        <v>2089</v>
      </c>
      <c r="F21" t="s">
        <v>2089</v>
      </c>
      <c r="G21" t="s">
        <v>2089</v>
      </c>
      <c r="H21" t="s">
        <v>2089</v>
      </c>
      <c r="I21" t="s">
        <v>2089</v>
      </c>
      <c r="J21" t="s">
        <v>2089</v>
      </c>
      <c r="K21" t="s">
        <v>2089</v>
      </c>
      <c r="L21" t="s">
        <v>2089</v>
      </c>
      <c r="M21" t="s">
        <v>2089</v>
      </c>
      <c r="N21" t="s">
        <v>2089</v>
      </c>
      <c r="O21" t="s">
        <v>2089</v>
      </c>
      <c r="P21" t="s">
        <v>2089</v>
      </c>
      <c r="Q21" t="s">
        <v>2089</v>
      </c>
      <c r="R21" t="s">
        <v>2089</v>
      </c>
      <c r="S21" t="s">
        <v>2089</v>
      </c>
      <c r="T21" t="s">
        <v>2089</v>
      </c>
      <c r="U21" t="s">
        <v>2089</v>
      </c>
      <c r="V21" t="s">
        <v>2089</v>
      </c>
      <c r="W21" s="16" t="s">
        <v>2089</v>
      </c>
      <c r="X21" s="16" t="s">
        <v>2089</v>
      </c>
      <c r="Y21" s="16" t="s">
        <v>2089</v>
      </c>
      <c r="Z21" s="16" t="s">
        <v>2089</v>
      </c>
      <c r="AA21" t="s">
        <v>2089</v>
      </c>
    </row>
    <row r="22" spans="1:27" x14ac:dyDescent="0.2">
      <c r="A22" t="s">
        <v>223</v>
      </c>
      <c r="B22" s="15">
        <v>61</v>
      </c>
      <c r="C22" t="s">
        <v>308</v>
      </c>
      <c r="D22" s="16">
        <v>0.23</v>
      </c>
      <c r="E22">
        <v>27</v>
      </c>
      <c r="F22">
        <v>74</v>
      </c>
      <c r="G22">
        <v>61</v>
      </c>
      <c r="H22">
        <v>14</v>
      </c>
      <c r="I22">
        <v>1</v>
      </c>
      <c r="J22">
        <v>0</v>
      </c>
      <c r="K22">
        <v>0</v>
      </c>
      <c r="L22">
        <v>15</v>
      </c>
      <c r="M22">
        <v>3</v>
      </c>
      <c r="N22">
        <v>9</v>
      </c>
      <c r="O22">
        <v>17</v>
      </c>
      <c r="P22">
        <v>7</v>
      </c>
      <c r="Q22">
        <v>1</v>
      </c>
      <c r="R22">
        <v>5</v>
      </c>
      <c r="S22">
        <v>0</v>
      </c>
      <c r="T22">
        <v>2</v>
      </c>
      <c r="U22">
        <v>1</v>
      </c>
      <c r="V22">
        <v>1</v>
      </c>
      <c r="W22" s="16">
        <v>0.31900000000000001</v>
      </c>
      <c r="X22" s="16">
        <v>0.246</v>
      </c>
      <c r="Y22" s="16">
        <v>0.56499999999999995</v>
      </c>
      <c r="Z22" s="16">
        <v>0.154</v>
      </c>
      <c r="AA22">
        <v>2</v>
      </c>
    </row>
    <row r="23" spans="1:27" x14ac:dyDescent="0.2">
      <c r="A23" t="s">
        <v>223</v>
      </c>
      <c r="B23" s="15">
        <v>63</v>
      </c>
      <c r="C23" t="s">
        <v>1010</v>
      </c>
      <c r="D23" s="16" t="s">
        <v>2089</v>
      </c>
      <c r="E23" t="s">
        <v>2089</v>
      </c>
      <c r="F23" t="s">
        <v>2089</v>
      </c>
      <c r="G23" t="s">
        <v>2089</v>
      </c>
      <c r="H23" t="s">
        <v>2089</v>
      </c>
      <c r="I23" t="s">
        <v>2089</v>
      </c>
      <c r="J23" t="s">
        <v>2089</v>
      </c>
      <c r="K23" t="s">
        <v>2089</v>
      </c>
      <c r="L23" t="s">
        <v>2089</v>
      </c>
      <c r="M23" t="s">
        <v>2089</v>
      </c>
      <c r="N23" t="s">
        <v>2089</v>
      </c>
      <c r="O23" t="s">
        <v>2089</v>
      </c>
      <c r="P23" t="s">
        <v>2089</v>
      </c>
      <c r="Q23" t="s">
        <v>2089</v>
      </c>
      <c r="R23" t="s">
        <v>2089</v>
      </c>
      <c r="S23" t="s">
        <v>2089</v>
      </c>
      <c r="T23" t="s">
        <v>2089</v>
      </c>
      <c r="U23" t="s">
        <v>2089</v>
      </c>
      <c r="V23" t="s">
        <v>2089</v>
      </c>
      <c r="W23" s="16" t="s">
        <v>2089</v>
      </c>
      <c r="X23" s="16" t="s">
        <v>2089</v>
      </c>
      <c r="Y23" s="16" t="s">
        <v>2089</v>
      </c>
      <c r="Z23" s="16" t="s">
        <v>2089</v>
      </c>
      <c r="AA23" t="s">
        <v>2089</v>
      </c>
    </row>
    <row r="24" spans="1:27" x14ac:dyDescent="0.2">
      <c r="A24" t="s">
        <v>223</v>
      </c>
      <c r="B24" s="15">
        <v>69</v>
      </c>
      <c r="C24" t="s">
        <v>270</v>
      </c>
      <c r="D24" s="16">
        <v>0</v>
      </c>
      <c r="E24">
        <v>10</v>
      </c>
      <c r="F24">
        <v>5</v>
      </c>
      <c r="G24">
        <v>5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2</v>
      </c>
      <c r="O24">
        <v>1</v>
      </c>
      <c r="P24">
        <v>0</v>
      </c>
      <c r="Q24">
        <v>0</v>
      </c>
      <c r="R24">
        <v>0</v>
      </c>
      <c r="S24">
        <v>0</v>
      </c>
      <c r="T24">
        <v>1</v>
      </c>
      <c r="U24">
        <v>1</v>
      </c>
      <c r="V24">
        <v>0</v>
      </c>
      <c r="W24" s="16">
        <v>0</v>
      </c>
      <c r="X24" s="16">
        <v>0</v>
      </c>
      <c r="Y24" s="16">
        <v>0</v>
      </c>
      <c r="Z24" s="16">
        <v>0</v>
      </c>
      <c r="AA24">
        <v>0</v>
      </c>
    </row>
    <row r="25" spans="1:27" x14ac:dyDescent="0.2">
      <c r="A25" t="s">
        <v>223</v>
      </c>
      <c r="B25" s="15">
        <v>95</v>
      </c>
      <c r="C25" t="s">
        <v>997</v>
      </c>
      <c r="D25" s="16">
        <v>0.2</v>
      </c>
      <c r="E25">
        <v>2</v>
      </c>
      <c r="F25">
        <v>5</v>
      </c>
      <c r="G25">
        <v>5</v>
      </c>
      <c r="H25">
        <v>1</v>
      </c>
      <c r="I25">
        <v>1</v>
      </c>
      <c r="J25">
        <v>0</v>
      </c>
      <c r="K25">
        <v>0</v>
      </c>
      <c r="L25">
        <v>2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s="16">
        <v>0.2</v>
      </c>
      <c r="X25" s="16">
        <v>0.4</v>
      </c>
      <c r="Y25" s="16">
        <v>0.6</v>
      </c>
      <c r="Z25" s="16" t="s">
        <v>2089</v>
      </c>
      <c r="AA25">
        <v>0</v>
      </c>
    </row>
    <row r="26" spans="1:27" x14ac:dyDescent="0.2">
      <c r="A26" t="s">
        <v>223</v>
      </c>
      <c r="B26" s="15">
        <v>99</v>
      </c>
      <c r="C26" t="s">
        <v>310</v>
      </c>
      <c r="D26" s="16">
        <v>0.182</v>
      </c>
      <c r="E26">
        <v>14</v>
      </c>
      <c r="F26">
        <v>28</v>
      </c>
      <c r="G26">
        <v>22</v>
      </c>
      <c r="H26">
        <v>4</v>
      </c>
      <c r="I26">
        <v>0</v>
      </c>
      <c r="J26">
        <v>0</v>
      </c>
      <c r="K26">
        <v>1</v>
      </c>
      <c r="L26">
        <v>7</v>
      </c>
      <c r="M26">
        <v>1</v>
      </c>
      <c r="N26">
        <v>3</v>
      </c>
      <c r="O26">
        <v>4</v>
      </c>
      <c r="P26">
        <v>3</v>
      </c>
      <c r="Q26">
        <v>0</v>
      </c>
      <c r="R26">
        <v>3</v>
      </c>
      <c r="S26">
        <v>0</v>
      </c>
      <c r="T26">
        <v>0</v>
      </c>
      <c r="U26">
        <v>0</v>
      </c>
      <c r="V26">
        <v>1</v>
      </c>
      <c r="W26" s="16">
        <v>0.28000000000000003</v>
      </c>
      <c r="X26" s="16">
        <v>0.318</v>
      </c>
      <c r="Y26" s="16">
        <v>0.59799999999999998</v>
      </c>
      <c r="Z26" s="16">
        <v>0</v>
      </c>
      <c r="AA26">
        <v>1</v>
      </c>
    </row>
    <row r="27" spans="1:27" x14ac:dyDescent="0.2">
      <c r="A27" t="s">
        <v>2090</v>
      </c>
      <c r="B27" s="15">
        <v>9</v>
      </c>
      <c r="C27" t="s">
        <v>894</v>
      </c>
      <c r="D27" s="16">
        <v>0.29799999999999999</v>
      </c>
      <c r="E27">
        <v>29</v>
      </c>
      <c r="F27">
        <v>111</v>
      </c>
      <c r="G27">
        <v>104</v>
      </c>
      <c r="H27">
        <v>31</v>
      </c>
      <c r="I27">
        <v>5</v>
      </c>
      <c r="J27">
        <v>0</v>
      </c>
      <c r="K27">
        <v>1</v>
      </c>
      <c r="L27">
        <v>39</v>
      </c>
      <c r="M27">
        <v>5</v>
      </c>
      <c r="N27">
        <v>8</v>
      </c>
      <c r="O27">
        <v>26</v>
      </c>
      <c r="P27">
        <v>6</v>
      </c>
      <c r="Q27">
        <v>0</v>
      </c>
      <c r="R27">
        <v>1</v>
      </c>
      <c r="S27">
        <v>0</v>
      </c>
      <c r="T27">
        <v>1</v>
      </c>
      <c r="U27">
        <v>1</v>
      </c>
      <c r="V27">
        <v>0</v>
      </c>
      <c r="W27" s="16">
        <v>0.33600000000000002</v>
      </c>
      <c r="X27" s="16">
        <v>0.375</v>
      </c>
      <c r="Y27" s="16">
        <v>0.71099999999999997</v>
      </c>
      <c r="Z27" s="16">
        <v>0.26300000000000001</v>
      </c>
      <c r="AA27">
        <v>0</v>
      </c>
    </row>
    <row r="28" spans="1:27" x14ac:dyDescent="0.2">
      <c r="A28" t="s">
        <v>2090</v>
      </c>
      <c r="B28" s="15">
        <v>37</v>
      </c>
      <c r="C28" t="s">
        <v>300</v>
      </c>
      <c r="D28" s="16">
        <v>0.27600000000000002</v>
      </c>
      <c r="E28">
        <v>25</v>
      </c>
      <c r="F28">
        <v>106</v>
      </c>
      <c r="G28">
        <v>98</v>
      </c>
      <c r="H28">
        <v>27</v>
      </c>
      <c r="I28">
        <v>7</v>
      </c>
      <c r="J28">
        <v>2</v>
      </c>
      <c r="K28">
        <v>0</v>
      </c>
      <c r="L28">
        <v>38</v>
      </c>
      <c r="M28">
        <v>8</v>
      </c>
      <c r="N28">
        <v>9</v>
      </c>
      <c r="O28">
        <v>8</v>
      </c>
      <c r="P28">
        <v>7</v>
      </c>
      <c r="Q28">
        <v>1</v>
      </c>
      <c r="R28">
        <v>0</v>
      </c>
      <c r="S28">
        <v>0</v>
      </c>
      <c r="T28">
        <v>3</v>
      </c>
      <c r="U28">
        <v>2</v>
      </c>
      <c r="V28">
        <v>2</v>
      </c>
      <c r="W28" s="16">
        <v>0.33</v>
      </c>
      <c r="X28" s="16">
        <v>0.38800000000000001</v>
      </c>
      <c r="Y28" s="16">
        <v>0.71799999999999997</v>
      </c>
      <c r="Z28" s="16">
        <v>0.33300000000000002</v>
      </c>
      <c r="AA28">
        <v>0</v>
      </c>
    </row>
    <row r="29" spans="1:27" x14ac:dyDescent="0.2">
      <c r="A29" t="s">
        <v>2090</v>
      </c>
      <c r="B29" s="15">
        <v>38</v>
      </c>
      <c r="C29" t="s">
        <v>301</v>
      </c>
      <c r="D29" s="16">
        <v>0.25</v>
      </c>
      <c r="E29">
        <v>18</v>
      </c>
      <c r="F29">
        <v>32</v>
      </c>
      <c r="G29">
        <v>28</v>
      </c>
      <c r="H29">
        <v>7</v>
      </c>
      <c r="I29">
        <v>0</v>
      </c>
      <c r="J29">
        <v>0</v>
      </c>
      <c r="K29">
        <v>3</v>
      </c>
      <c r="L29">
        <v>16</v>
      </c>
      <c r="M29">
        <v>6</v>
      </c>
      <c r="N29">
        <v>5</v>
      </c>
      <c r="O29">
        <v>11</v>
      </c>
      <c r="P29">
        <v>3</v>
      </c>
      <c r="Q29">
        <v>1</v>
      </c>
      <c r="R29">
        <v>0</v>
      </c>
      <c r="S29">
        <v>0</v>
      </c>
      <c r="T29">
        <v>1</v>
      </c>
      <c r="U29">
        <v>1</v>
      </c>
      <c r="V29">
        <v>1</v>
      </c>
      <c r="W29" s="16">
        <v>0.34399999999999997</v>
      </c>
      <c r="X29" s="16">
        <v>0.57099999999999995</v>
      </c>
      <c r="Y29" s="16">
        <v>0.91500000000000004</v>
      </c>
      <c r="Z29" s="16">
        <v>0.16700000000000001</v>
      </c>
      <c r="AA29">
        <v>0</v>
      </c>
    </row>
    <row r="30" spans="1:27" x14ac:dyDescent="0.2">
      <c r="A30" t="s">
        <v>2090</v>
      </c>
      <c r="B30" s="15">
        <v>50</v>
      </c>
      <c r="C30" t="s">
        <v>675</v>
      </c>
      <c r="D30" s="16">
        <v>0.14299999999999999</v>
      </c>
      <c r="E30">
        <v>4</v>
      </c>
      <c r="F30">
        <v>14</v>
      </c>
      <c r="G30">
        <v>14</v>
      </c>
      <c r="H30">
        <v>2</v>
      </c>
      <c r="I30">
        <v>0</v>
      </c>
      <c r="J30">
        <v>0</v>
      </c>
      <c r="K30">
        <v>1</v>
      </c>
      <c r="L30">
        <v>5</v>
      </c>
      <c r="M30">
        <v>2</v>
      </c>
      <c r="N30">
        <v>1</v>
      </c>
      <c r="O30">
        <v>4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 s="16">
        <v>0.14299999999999999</v>
      </c>
      <c r="X30" s="16">
        <v>0.35699999999999998</v>
      </c>
      <c r="Y30" s="16">
        <v>0.5</v>
      </c>
      <c r="Z30" s="16">
        <v>0.33300000000000002</v>
      </c>
      <c r="AA30">
        <v>0</v>
      </c>
    </row>
    <row r="31" spans="1:27" x14ac:dyDescent="0.2">
      <c r="A31" t="s">
        <v>2090</v>
      </c>
      <c r="B31" s="15">
        <v>52</v>
      </c>
      <c r="C31" t="s">
        <v>676</v>
      </c>
      <c r="D31" s="16">
        <v>0.5</v>
      </c>
      <c r="E31">
        <v>2</v>
      </c>
      <c r="F31">
        <v>8</v>
      </c>
      <c r="G31">
        <v>8</v>
      </c>
      <c r="H31">
        <v>4</v>
      </c>
      <c r="I31">
        <v>1</v>
      </c>
      <c r="J31">
        <v>0</v>
      </c>
      <c r="K31">
        <v>0</v>
      </c>
      <c r="L31">
        <v>5</v>
      </c>
      <c r="M31">
        <v>1</v>
      </c>
      <c r="N31">
        <v>1</v>
      </c>
      <c r="O31">
        <v>2</v>
      </c>
      <c r="P31">
        <v>0</v>
      </c>
      <c r="Q31">
        <v>0</v>
      </c>
      <c r="R31">
        <v>0</v>
      </c>
      <c r="S31">
        <v>0</v>
      </c>
      <c r="T31">
        <v>0</v>
      </c>
      <c r="U31">
        <v>1</v>
      </c>
      <c r="V31">
        <v>0</v>
      </c>
      <c r="W31" s="16">
        <v>0.5</v>
      </c>
      <c r="X31" s="16">
        <v>0.625</v>
      </c>
      <c r="Y31" s="16">
        <v>1.125</v>
      </c>
      <c r="Z31" s="16">
        <v>0.33300000000000002</v>
      </c>
      <c r="AA31">
        <v>0</v>
      </c>
    </row>
    <row r="32" spans="1:27" x14ac:dyDescent="0.2">
      <c r="A32" t="s">
        <v>2090</v>
      </c>
      <c r="B32" s="15">
        <v>55</v>
      </c>
      <c r="C32" t="s">
        <v>306</v>
      </c>
      <c r="D32" s="16">
        <v>0.29199999999999998</v>
      </c>
      <c r="E32">
        <v>21</v>
      </c>
      <c r="F32">
        <v>25</v>
      </c>
      <c r="G32">
        <v>24</v>
      </c>
      <c r="H32">
        <v>7</v>
      </c>
      <c r="I32">
        <v>2</v>
      </c>
      <c r="J32">
        <v>0</v>
      </c>
      <c r="K32">
        <v>1</v>
      </c>
      <c r="L32">
        <v>12</v>
      </c>
      <c r="M32">
        <v>6</v>
      </c>
      <c r="N32">
        <v>1</v>
      </c>
      <c r="O32">
        <v>3</v>
      </c>
      <c r="P32">
        <v>1</v>
      </c>
      <c r="Q32">
        <v>0</v>
      </c>
      <c r="R32">
        <v>0</v>
      </c>
      <c r="S32">
        <v>0</v>
      </c>
      <c r="T32">
        <v>0</v>
      </c>
      <c r="U32">
        <v>0</v>
      </c>
      <c r="V32">
        <v>1</v>
      </c>
      <c r="W32" s="16">
        <v>0.32</v>
      </c>
      <c r="X32" s="16">
        <v>0.5</v>
      </c>
      <c r="Y32" s="16">
        <v>0.82</v>
      </c>
      <c r="Z32" s="16">
        <v>0.28599999999999998</v>
      </c>
      <c r="AA32">
        <v>0</v>
      </c>
    </row>
    <row r="33" spans="1:27" x14ac:dyDescent="0.2">
      <c r="A33" t="s">
        <v>2090</v>
      </c>
      <c r="B33" s="15">
        <v>56</v>
      </c>
      <c r="C33" t="s">
        <v>900</v>
      </c>
      <c r="D33" s="16">
        <v>5.8999999999999997E-2</v>
      </c>
      <c r="E33">
        <v>19</v>
      </c>
      <c r="F33">
        <v>18</v>
      </c>
      <c r="G33">
        <v>17</v>
      </c>
      <c r="H33">
        <v>1</v>
      </c>
      <c r="I33">
        <v>0</v>
      </c>
      <c r="J33">
        <v>0</v>
      </c>
      <c r="K33">
        <v>0</v>
      </c>
      <c r="L33">
        <v>1</v>
      </c>
      <c r="M33">
        <v>0</v>
      </c>
      <c r="N33">
        <v>1</v>
      </c>
      <c r="O33">
        <v>8</v>
      </c>
      <c r="P33">
        <v>0</v>
      </c>
      <c r="Q33">
        <v>1</v>
      </c>
      <c r="R33">
        <v>0</v>
      </c>
      <c r="S33">
        <v>0</v>
      </c>
      <c r="T33">
        <v>0</v>
      </c>
      <c r="U33">
        <v>0</v>
      </c>
      <c r="V33">
        <v>0</v>
      </c>
      <c r="W33" s="16">
        <v>0.111</v>
      </c>
      <c r="X33" s="16">
        <v>5.8999999999999997E-2</v>
      </c>
      <c r="Y33" s="16">
        <v>0.17</v>
      </c>
      <c r="Z33" s="16">
        <v>0</v>
      </c>
      <c r="AA33">
        <v>0</v>
      </c>
    </row>
    <row r="34" spans="1:27" x14ac:dyDescent="0.2">
      <c r="A34" t="s">
        <v>2090</v>
      </c>
      <c r="B34" s="15">
        <v>59</v>
      </c>
      <c r="C34" t="s">
        <v>307</v>
      </c>
      <c r="D34" s="16" t="s">
        <v>2089</v>
      </c>
      <c r="E34" t="s">
        <v>2089</v>
      </c>
      <c r="F34" t="s">
        <v>2089</v>
      </c>
      <c r="G34" t="s">
        <v>2089</v>
      </c>
      <c r="H34" t="s">
        <v>2089</v>
      </c>
      <c r="I34" t="s">
        <v>2089</v>
      </c>
      <c r="J34" t="s">
        <v>2089</v>
      </c>
      <c r="K34" t="s">
        <v>2089</v>
      </c>
      <c r="L34" t="s">
        <v>2089</v>
      </c>
      <c r="M34" t="s">
        <v>2089</v>
      </c>
      <c r="N34" t="s">
        <v>2089</v>
      </c>
      <c r="O34" t="s">
        <v>2089</v>
      </c>
      <c r="P34" t="s">
        <v>2089</v>
      </c>
      <c r="Q34" t="s">
        <v>2089</v>
      </c>
      <c r="R34" t="s">
        <v>2089</v>
      </c>
      <c r="S34" t="s">
        <v>2089</v>
      </c>
      <c r="T34" t="s">
        <v>2089</v>
      </c>
      <c r="U34" t="s">
        <v>2089</v>
      </c>
      <c r="V34" t="s">
        <v>2089</v>
      </c>
      <c r="W34" s="16" t="s">
        <v>2089</v>
      </c>
      <c r="X34" s="16" t="s">
        <v>2089</v>
      </c>
      <c r="Y34" s="16" t="s">
        <v>2089</v>
      </c>
      <c r="Z34" s="16" t="s">
        <v>2089</v>
      </c>
      <c r="AA34" t="s">
        <v>2089</v>
      </c>
    </row>
    <row r="35" spans="1:27" x14ac:dyDescent="0.2">
      <c r="A35" t="s">
        <v>2090</v>
      </c>
      <c r="B35" s="15">
        <v>60</v>
      </c>
      <c r="C35" t="s">
        <v>677</v>
      </c>
      <c r="D35" s="16">
        <v>0.182</v>
      </c>
      <c r="E35">
        <v>22</v>
      </c>
      <c r="F35">
        <v>70</v>
      </c>
      <c r="G35">
        <v>66</v>
      </c>
      <c r="H35">
        <v>12</v>
      </c>
      <c r="I35">
        <v>2</v>
      </c>
      <c r="J35">
        <v>2</v>
      </c>
      <c r="K35">
        <v>0</v>
      </c>
      <c r="L35">
        <v>18</v>
      </c>
      <c r="M35">
        <v>2</v>
      </c>
      <c r="N35">
        <v>3</v>
      </c>
      <c r="O35">
        <v>19</v>
      </c>
      <c r="P35">
        <v>2</v>
      </c>
      <c r="Q35">
        <v>1</v>
      </c>
      <c r="R35">
        <v>1</v>
      </c>
      <c r="S35">
        <v>0</v>
      </c>
      <c r="T35">
        <v>0</v>
      </c>
      <c r="U35">
        <v>1</v>
      </c>
      <c r="V35">
        <v>1</v>
      </c>
      <c r="W35" s="16">
        <v>0.217</v>
      </c>
      <c r="X35" s="16">
        <v>0.27300000000000002</v>
      </c>
      <c r="Y35" s="16">
        <v>0.49</v>
      </c>
      <c r="Z35" s="16">
        <v>7.0999999999999994E-2</v>
      </c>
      <c r="AA35">
        <v>1</v>
      </c>
    </row>
    <row r="36" spans="1:27" x14ac:dyDescent="0.2">
      <c r="A36" t="s">
        <v>2090</v>
      </c>
      <c r="B36" s="15">
        <v>96</v>
      </c>
      <c r="C36" t="s">
        <v>296</v>
      </c>
      <c r="D36" s="16">
        <v>0</v>
      </c>
      <c r="E36">
        <v>3</v>
      </c>
      <c r="F36">
        <v>4</v>
      </c>
      <c r="G36">
        <v>4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 s="16">
        <v>0</v>
      </c>
      <c r="X36" s="16">
        <v>0</v>
      </c>
      <c r="Y36" s="16">
        <v>0</v>
      </c>
      <c r="Z36" s="16">
        <v>0</v>
      </c>
      <c r="AA36">
        <v>0</v>
      </c>
    </row>
    <row r="37" spans="1:27" x14ac:dyDescent="0.2">
      <c r="A37" t="s">
        <v>2090</v>
      </c>
      <c r="B37" s="15">
        <v>97</v>
      </c>
      <c r="C37" t="s">
        <v>902</v>
      </c>
      <c r="D37" s="16" t="s">
        <v>2089</v>
      </c>
      <c r="E37" t="s">
        <v>2089</v>
      </c>
      <c r="F37" t="s">
        <v>2089</v>
      </c>
      <c r="G37" t="s">
        <v>2089</v>
      </c>
      <c r="H37" t="s">
        <v>2089</v>
      </c>
      <c r="I37" t="s">
        <v>2089</v>
      </c>
      <c r="J37" t="s">
        <v>2089</v>
      </c>
      <c r="K37" t="s">
        <v>2089</v>
      </c>
      <c r="L37" t="s">
        <v>2089</v>
      </c>
      <c r="M37" t="s">
        <v>2089</v>
      </c>
      <c r="N37" t="s">
        <v>2089</v>
      </c>
      <c r="O37" t="s">
        <v>2089</v>
      </c>
      <c r="P37" t="s">
        <v>2089</v>
      </c>
      <c r="Q37" t="s">
        <v>2089</v>
      </c>
      <c r="R37" t="s">
        <v>2089</v>
      </c>
      <c r="S37" t="s">
        <v>2089</v>
      </c>
      <c r="T37" t="s">
        <v>2089</v>
      </c>
      <c r="U37" t="s">
        <v>2089</v>
      </c>
      <c r="V37" t="s">
        <v>2089</v>
      </c>
      <c r="W37" s="16" t="s">
        <v>2089</v>
      </c>
      <c r="X37" s="16" t="s">
        <v>2089</v>
      </c>
      <c r="Y37" s="16" t="s">
        <v>2089</v>
      </c>
      <c r="Z37" s="16" t="s">
        <v>2089</v>
      </c>
      <c r="AA37" t="s">
        <v>2089</v>
      </c>
    </row>
    <row r="38" spans="1:27" x14ac:dyDescent="0.2">
      <c r="A38" t="s">
        <v>2091</v>
      </c>
      <c r="B38" s="15">
        <v>11</v>
      </c>
      <c r="C38" t="s">
        <v>312</v>
      </c>
      <c r="D38" s="16">
        <v>0</v>
      </c>
      <c r="E38">
        <v>6</v>
      </c>
      <c r="F38">
        <v>13</v>
      </c>
      <c r="G38">
        <v>13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8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 s="16">
        <v>0</v>
      </c>
      <c r="X38" s="16">
        <v>0</v>
      </c>
      <c r="Y38" s="16">
        <v>0</v>
      </c>
      <c r="Z38" s="16">
        <v>0</v>
      </c>
      <c r="AA38">
        <v>1</v>
      </c>
    </row>
    <row r="39" spans="1:27" x14ac:dyDescent="0.2">
      <c r="A39" t="s">
        <v>2091</v>
      </c>
      <c r="B39" s="15">
        <v>14</v>
      </c>
      <c r="C39" t="s">
        <v>267</v>
      </c>
      <c r="D39" s="16">
        <v>0.222</v>
      </c>
      <c r="E39">
        <v>5</v>
      </c>
      <c r="F39">
        <v>9</v>
      </c>
      <c r="G39">
        <v>9</v>
      </c>
      <c r="H39">
        <v>2</v>
      </c>
      <c r="I39">
        <v>0</v>
      </c>
      <c r="J39">
        <v>0</v>
      </c>
      <c r="K39">
        <v>0</v>
      </c>
      <c r="L39">
        <v>2</v>
      </c>
      <c r="M39">
        <v>0</v>
      </c>
      <c r="N39">
        <v>0</v>
      </c>
      <c r="O39">
        <v>7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 s="16">
        <v>0.222</v>
      </c>
      <c r="X39" s="16">
        <v>0.222</v>
      </c>
      <c r="Y39" s="16">
        <v>0.44400000000000001</v>
      </c>
      <c r="Z39" s="16">
        <v>0</v>
      </c>
      <c r="AA39">
        <v>0</v>
      </c>
    </row>
    <row r="40" spans="1:27" x14ac:dyDescent="0.2">
      <c r="A40" t="s">
        <v>2091</v>
      </c>
      <c r="B40" s="15">
        <v>18</v>
      </c>
      <c r="C40" t="s">
        <v>316</v>
      </c>
      <c r="D40" s="16">
        <v>0.44400000000000001</v>
      </c>
      <c r="E40">
        <v>4</v>
      </c>
      <c r="F40">
        <v>10</v>
      </c>
      <c r="G40">
        <v>9</v>
      </c>
      <c r="H40">
        <v>4</v>
      </c>
      <c r="I40">
        <v>1</v>
      </c>
      <c r="J40">
        <v>0</v>
      </c>
      <c r="K40">
        <v>0</v>
      </c>
      <c r="L40">
        <v>5</v>
      </c>
      <c r="M40">
        <v>0</v>
      </c>
      <c r="N40">
        <v>1</v>
      </c>
      <c r="O40">
        <v>2</v>
      </c>
      <c r="P40">
        <v>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 s="16">
        <v>0.5</v>
      </c>
      <c r="X40" s="16">
        <v>0.55600000000000005</v>
      </c>
      <c r="Y40" s="16">
        <v>1.056</v>
      </c>
      <c r="Z40" s="16" t="s">
        <v>2089</v>
      </c>
      <c r="AA40">
        <v>0</v>
      </c>
    </row>
    <row r="41" spans="1:27" x14ac:dyDescent="0.2">
      <c r="A41" t="s">
        <v>2091</v>
      </c>
      <c r="B41" s="15">
        <v>24</v>
      </c>
      <c r="C41" t="s">
        <v>673</v>
      </c>
      <c r="D41" s="16">
        <v>1</v>
      </c>
      <c r="E41">
        <v>10</v>
      </c>
      <c r="F41">
        <v>2</v>
      </c>
      <c r="G41">
        <v>1</v>
      </c>
      <c r="H41">
        <v>1</v>
      </c>
      <c r="I41">
        <v>0</v>
      </c>
      <c r="J41">
        <v>1</v>
      </c>
      <c r="K41">
        <v>0</v>
      </c>
      <c r="L41">
        <v>3</v>
      </c>
      <c r="M41">
        <v>1</v>
      </c>
      <c r="N41">
        <v>1</v>
      </c>
      <c r="O41">
        <v>0</v>
      </c>
      <c r="P41">
        <v>0</v>
      </c>
      <c r="Q41">
        <v>0</v>
      </c>
      <c r="R41">
        <v>1</v>
      </c>
      <c r="S41">
        <v>0</v>
      </c>
      <c r="T41">
        <v>0</v>
      </c>
      <c r="U41">
        <v>0</v>
      </c>
      <c r="V41">
        <v>0</v>
      </c>
      <c r="W41" s="16">
        <v>1</v>
      </c>
      <c r="X41" s="16">
        <v>3</v>
      </c>
      <c r="Y41" s="16">
        <v>4</v>
      </c>
      <c r="Z41" s="16" t="s">
        <v>2089</v>
      </c>
      <c r="AA41">
        <v>0</v>
      </c>
    </row>
    <row r="42" spans="1:27" x14ac:dyDescent="0.2">
      <c r="A42" t="s">
        <v>2091</v>
      </c>
      <c r="B42" s="15">
        <v>28</v>
      </c>
      <c r="C42" t="s">
        <v>319</v>
      </c>
      <c r="D42" s="16">
        <v>0.308</v>
      </c>
      <c r="E42">
        <v>6</v>
      </c>
      <c r="F42">
        <v>15</v>
      </c>
      <c r="G42">
        <v>13</v>
      </c>
      <c r="H42">
        <v>4</v>
      </c>
      <c r="I42">
        <v>0</v>
      </c>
      <c r="J42">
        <v>0</v>
      </c>
      <c r="K42">
        <v>0</v>
      </c>
      <c r="L42">
        <v>4</v>
      </c>
      <c r="M42">
        <v>1</v>
      </c>
      <c r="N42">
        <v>1</v>
      </c>
      <c r="O42">
        <v>4</v>
      </c>
      <c r="P42">
        <v>0</v>
      </c>
      <c r="Q42">
        <v>0</v>
      </c>
      <c r="R42">
        <v>2</v>
      </c>
      <c r="S42">
        <v>0</v>
      </c>
      <c r="T42">
        <v>0</v>
      </c>
      <c r="U42">
        <v>0</v>
      </c>
      <c r="V42">
        <v>0</v>
      </c>
      <c r="W42" s="16">
        <v>0.308</v>
      </c>
      <c r="X42" s="16">
        <v>0.308</v>
      </c>
      <c r="Y42" s="16">
        <v>0.61499999999999999</v>
      </c>
      <c r="Z42" s="16">
        <v>1</v>
      </c>
      <c r="AA42">
        <v>0</v>
      </c>
    </row>
    <row r="43" spans="1:27" x14ac:dyDescent="0.2">
      <c r="A43" t="s">
        <v>2091</v>
      </c>
      <c r="B43" s="15">
        <v>42</v>
      </c>
      <c r="C43" t="s">
        <v>988</v>
      </c>
      <c r="D43" s="16">
        <v>0</v>
      </c>
      <c r="E43">
        <v>3</v>
      </c>
      <c r="F43">
        <v>3</v>
      </c>
      <c r="G43">
        <v>2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2</v>
      </c>
      <c r="P43">
        <v>0</v>
      </c>
      <c r="Q43">
        <v>0</v>
      </c>
      <c r="R43">
        <v>1</v>
      </c>
      <c r="S43">
        <v>0</v>
      </c>
      <c r="T43">
        <v>0</v>
      </c>
      <c r="U43">
        <v>0</v>
      </c>
      <c r="V43">
        <v>0</v>
      </c>
      <c r="W43" s="16">
        <v>0</v>
      </c>
      <c r="X43" s="16">
        <v>0</v>
      </c>
      <c r="Y43" s="16">
        <v>0</v>
      </c>
      <c r="Z43" s="16" t="s">
        <v>2089</v>
      </c>
      <c r="AA43">
        <v>0</v>
      </c>
    </row>
    <row r="44" spans="1:27" x14ac:dyDescent="0.2">
      <c r="A44" t="s">
        <v>2091</v>
      </c>
      <c r="B44" s="15">
        <v>46</v>
      </c>
      <c r="C44" t="s">
        <v>897</v>
      </c>
      <c r="D44" s="16">
        <v>0</v>
      </c>
      <c r="E44">
        <v>1</v>
      </c>
      <c r="F44">
        <v>1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 s="16">
        <v>0</v>
      </c>
      <c r="X44" s="16">
        <v>0</v>
      </c>
      <c r="Y44" s="16">
        <v>0</v>
      </c>
      <c r="Z44" s="16" t="s">
        <v>2089</v>
      </c>
      <c r="AA44">
        <v>0</v>
      </c>
    </row>
    <row r="45" spans="1:27" x14ac:dyDescent="0.2">
      <c r="A45" t="s">
        <v>2091</v>
      </c>
      <c r="B45" s="15">
        <v>48</v>
      </c>
      <c r="C45" t="s">
        <v>269</v>
      </c>
      <c r="D45" s="16">
        <v>0.111</v>
      </c>
      <c r="E45">
        <v>5</v>
      </c>
      <c r="F45">
        <v>9</v>
      </c>
      <c r="G45">
        <v>9</v>
      </c>
      <c r="H45">
        <v>1</v>
      </c>
      <c r="I45">
        <v>0</v>
      </c>
      <c r="J45">
        <v>0</v>
      </c>
      <c r="K45">
        <v>0</v>
      </c>
      <c r="L45">
        <v>1</v>
      </c>
      <c r="M45">
        <v>0</v>
      </c>
      <c r="N45">
        <v>1</v>
      </c>
      <c r="O45">
        <v>5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 s="16">
        <v>0.111</v>
      </c>
      <c r="X45" s="16">
        <v>0.111</v>
      </c>
      <c r="Y45" s="16">
        <v>0.222</v>
      </c>
      <c r="Z45" s="16">
        <v>0.33300000000000002</v>
      </c>
      <c r="AA45">
        <v>0</v>
      </c>
    </row>
    <row r="46" spans="1:27" x14ac:dyDescent="0.2">
      <c r="A46" t="s">
        <v>223</v>
      </c>
      <c r="B46" s="15">
        <v>124</v>
      </c>
      <c r="C46" t="s">
        <v>1015</v>
      </c>
      <c r="D46" s="16" t="s">
        <v>2089</v>
      </c>
      <c r="E46" t="s">
        <v>2089</v>
      </c>
      <c r="F46" t="s">
        <v>2089</v>
      </c>
      <c r="G46" t="s">
        <v>2089</v>
      </c>
      <c r="H46" t="s">
        <v>2089</v>
      </c>
      <c r="I46" t="s">
        <v>2089</v>
      </c>
      <c r="J46" t="s">
        <v>2089</v>
      </c>
      <c r="K46" t="s">
        <v>2089</v>
      </c>
      <c r="L46" t="s">
        <v>2089</v>
      </c>
      <c r="M46" t="s">
        <v>2089</v>
      </c>
      <c r="N46" t="s">
        <v>2089</v>
      </c>
      <c r="O46" t="s">
        <v>2089</v>
      </c>
      <c r="P46" t="s">
        <v>2089</v>
      </c>
      <c r="Q46" t="s">
        <v>2089</v>
      </c>
      <c r="R46" t="s">
        <v>2089</v>
      </c>
      <c r="S46" t="s">
        <v>2089</v>
      </c>
      <c r="T46" t="s">
        <v>2089</v>
      </c>
      <c r="U46" t="s">
        <v>2089</v>
      </c>
      <c r="V46" t="s">
        <v>2089</v>
      </c>
      <c r="W46" s="16" t="s">
        <v>2089</v>
      </c>
      <c r="X46" s="16" t="s">
        <v>2089</v>
      </c>
      <c r="Y46" s="16" t="s">
        <v>2089</v>
      </c>
      <c r="Z46" s="16" t="s">
        <v>2089</v>
      </c>
      <c r="AA46" t="s">
        <v>2089</v>
      </c>
    </row>
    <row r="47" spans="1:27" x14ac:dyDescent="0.2">
      <c r="A47" t="s">
        <v>223</v>
      </c>
      <c r="B47" s="15">
        <v>127</v>
      </c>
      <c r="C47" t="s">
        <v>681</v>
      </c>
      <c r="D47" s="16" t="s">
        <v>2089</v>
      </c>
      <c r="E47" t="s">
        <v>2089</v>
      </c>
      <c r="F47" t="s">
        <v>2089</v>
      </c>
      <c r="G47" t="s">
        <v>2089</v>
      </c>
      <c r="H47" t="s">
        <v>2089</v>
      </c>
      <c r="I47" t="s">
        <v>2089</v>
      </c>
      <c r="J47" t="s">
        <v>2089</v>
      </c>
      <c r="K47" t="s">
        <v>2089</v>
      </c>
      <c r="L47" t="s">
        <v>2089</v>
      </c>
      <c r="M47" t="s">
        <v>2089</v>
      </c>
      <c r="N47" t="s">
        <v>2089</v>
      </c>
      <c r="O47" t="s">
        <v>2089</v>
      </c>
      <c r="P47" t="s">
        <v>2089</v>
      </c>
      <c r="Q47" t="s">
        <v>2089</v>
      </c>
      <c r="R47" t="s">
        <v>2089</v>
      </c>
      <c r="S47" t="s">
        <v>2089</v>
      </c>
      <c r="T47" t="s">
        <v>2089</v>
      </c>
      <c r="U47" t="s">
        <v>2089</v>
      </c>
      <c r="V47" t="s">
        <v>2089</v>
      </c>
      <c r="W47" s="16" t="s">
        <v>2089</v>
      </c>
      <c r="X47" s="16" t="s">
        <v>2089</v>
      </c>
      <c r="Y47" s="16" t="s">
        <v>2089</v>
      </c>
      <c r="Z47" s="16" t="s">
        <v>2089</v>
      </c>
      <c r="AA47" t="s">
        <v>2089</v>
      </c>
    </row>
    <row r="48" spans="1:27" x14ac:dyDescent="0.2">
      <c r="A48" t="s">
        <v>223</v>
      </c>
      <c r="B48" s="15">
        <v>130</v>
      </c>
      <c r="C48" t="s">
        <v>2127</v>
      </c>
      <c r="D48" s="16" t="s">
        <v>2089</v>
      </c>
      <c r="E48" t="s">
        <v>2089</v>
      </c>
      <c r="F48" t="s">
        <v>2089</v>
      </c>
      <c r="G48" t="s">
        <v>2089</v>
      </c>
      <c r="H48" t="s">
        <v>2089</v>
      </c>
      <c r="I48" t="s">
        <v>2089</v>
      </c>
      <c r="J48" t="s">
        <v>2089</v>
      </c>
      <c r="K48" t="s">
        <v>2089</v>
      </c>
      <c r="L48" t="s">
        <v>2089</v>
      </c>
      <c r="M48" t="s">
        <v>2089</v>
      </c>
      <c r="N48" t="s">
        <v>2089</v>
      </c>
      <c r="O48" t="s">
        <v>2089</v>
      </c>
      <c r="P48" t="s">
        <v>2089</v>
      </c>
      <c r="Q48" t="s">
        <v>2089</v>
      </c>
      <c r="R48" t="s">
        <v>2089</v>
      </c>
      <c r="S48" t="s">
        <v>2089</v>
      </c>
      <c r="T48" t="s">
        <v>2089</v>
      </c>
      <c r="U48" t="s">
        <v>2089</v>
      </c>
      <c r="V48" t="s">
        <v>2089</v>
      </c>
      <c r="W48" s="16" t="s">
        <v>2089</v>
      </c>
      <c r="X48" s="16" t="s">
        <v>2089</v>
      </c>
      <c r="Y48" s="16" t="s">
        <v>2089</v>
      </c>
      <c r="Z48" s="16" t="s">
        <v>2089</v>
      </c>
      <c r="AA48" t="s">
        <v>2089</v>
      </c>
    </row>
    <row r="49" spans="1:27" x14ac:dyDescent="0.2">
      <c r="A49" t="s">
        <v>2090</v>
      </c>
      <c r="B49" s="15">
        <v>121</v>
      </c>
      <c r="C49" t="s">
        <v>903</v>
      </c>
      <c r="D49" s="16" t="s">
        <v>2089</v>
      </c>
      <c r="E49" t="s">
        <v>2089</v>
      </c>
      <c r="F49" t="s">
        <v>2089</v>
      </c>
      <c r="G49" t="s">
        <v>2089</v>
      </c>
      <c r="H49" t="s">
        <v>2089</v>
      </c>
      <c r="I49" t="s">
        <v>2089</v>
      </c>
      <c r="J49" t="s">
        <v>2089</v>
      </c>
      <c r="K49" t="s">
        <v>2089</v>
      </c>
      <c r="L49" t="s">
        <v>2089</v>
      </c>
      <c r="M49" t="s">
        <v>2089</v>
      </c>
      <c r="N49" t="s">
        <v>2089</v>
      </c>
      <c r="O49" t="s">
        <v>2089</v>
      </c>
      <c r="P49" t="s">
        <v>2089</v>
      </c>
      <c r="Q49" t="s">
        <v>2089</v>
      </c>
      <c r="R49" t="s">
        <v>2089</v>
      </c>
      <c r="S49" t="s">
        <v>2089</v>
      </c>
      <c r="T49" t="s">
        <v>2089</v>
      </c>
      <c r="U49" t="s">
        <v>2089</v>
      </c>
      <c r="V49" t="s">
        <v>2089</v>
      </c>
      <c r="W49" s="16" t="s">
        <v>2089</v>
      </c>
      <c r="X49" s="16" t="s">
        <v>2089</v>
      </c>
      <c r="Y49" s="16" t="s">
        <v>2089</v>
      </c>
      <c r="Z49" s="16" t="s">
        <v>2089</v>
      </c>
      <c r="AA49" t="s">
        <v>2089</v>
      </c>
    </row>
    <row r="50" spans="1:27" x14ac:dyDescent="0.2">
      <c r="A50" t="s">
        <v>2090</v>
      </c>
      <c r="B50" s="15">
        <v>131</v>
      </c>
      <c r="C50" t="s">
        <v>2128</v>
      </c>
      <c r="D50" s="16" t="s">
        <v>2089</v>
      </c>
      <c r="E50" t="s">
        <v>2089</v>
      </c>
      <c r="F50" t="s">
        <v>2089</v>
      </c>
      <c r="G50" t="s">
        <v>2089</v>
      </c>
      <c r="H50" t="s">
        <v>2089</v>
      </c>
      <c r="I50" t="s">
        <v>2089</v>
      </c>
      <c r="J50" t="s">
        <v>2089</v>
      </c>
      <c r="K50" t="s">
        <v>2089</v>
      </c>
      <c r="L50" t="s">
        <v>2089</v>
      </c>
      <c r="M50" t="s">
        <v>2089</v>
      </c>
      <c r="N50" t="s">
        <v>2089</v>
      </c>
      <c r="O50" t="s">
        <v>2089</v>
      </c>
      <c r="P50" t="s">
        <v>2089</v>
      </c>
      <c r="Q50" t="s">
        <v>2089</v>
      </c>
      <c r="R50" t="s">
        <v>2089</v>
      </c>
      <c r="S50" t="s">
        <v>2089</v>
      </c>
      <c r="T50" t="s">
        <v>2089</v>
      </c>
      <c r="U50" t="s">
        <v>2089</v>
      </c>
      <c r="V50" t="s">
        <v>2089</v>
      </c>
      <c r="W50" s="16" t="s">
        <v>2089</v>
      </c>
      <c r="X50" s="16" t="s">
        <v>2089</v>
      </c>
      <c r="Y50" s="16" t="s">
        <v>2089</v>
      </c>
      <c r="Z50" s="16" t="s">
        <v>2089</v>
      </c>
      <c r="AA50" t="s">
        <v>2089</v>
      </c>
    </row>
    <row r="51" spans="1:27" x14ac:dyDescent="0.2">
      <c r="A51" t="s">
        <v>2088</v>
      </c>
      <c r="B51" s="15"/>
      <c r="D51" s="16"/>
      <c r="W51" s="16"/>
      <c r="X51" s="16"/>
      <c r="Y51" s="16"/>
      <c r="Z51" s="16"/>
    </row>
    <row r="52" spans="1:27" x14ac:dyDescent="0.2">
      <c r="A52" t="s">
        <v>223</v>
      </c>
      <c r="B52" s="15"/>
      <c r="D52" s="16"/>
      <c r="W52" s="16"/>
      <c r="X52" s="16"/>
      <c r="Y52" s="16"/>
      <c r="Z52" s="16"/>
    </row>
    <row r="53" spans="1:27" x14ac:dyDescent="0.2">
      <c r="A53" t="s">
        <v>223</v>
      </c>
      <c r="B53" s="15"/>
      <c r="D53" s="16"/>
      <c r="W53" s="16"/>
      <c r="X53" s="16"/>
      <c r="Y53" s="16"/>
      <c r="Z53" s="16"/>
    </row>
    <row r="54" spans="1:27" x14ac:dyDescent="0.2">
      <c r="A54" t="s">
        <v>2090</v>
      </c>
      <c r="B54" s="15"/>
      <c r="D54" s="16"/>
      <c r="W54" s="16"/>
      <c r="X54" s="16"/>
      <c r="Y54" s="16"/>
      <c r="Z54" s="16"/>
    </row>
    <row r="55" spans="1:27" x14ac:dyDescent="0.2">
      <c r="A55" t="s">
        <v>2090</v>
      </c>
      <c r="B55" s="15"/>
      <c r="D55" s="16"/>
      <c r="W55" s="16"/>
      <c r="X55" s="16"/>
      <c r="Y55" s="16"/>
      <c r="Z55" s="16"/>
    </row>
    <row r="56" spans="1:27" x14ac:dyDescent="0.2">
      <c r="A56" t="s">
        <v>2090</v>
      </c>
      <c r="B56" s="15"/>
      <c r="D56" s="16"/>
      <c r="W56" s="16"/>
      <c r="X56" s="16"/>
      <c r="Y56" s="16"/>
      <c r="Z56" s="16"/>
    </row>
    <row r="57" spans="1:27" x14ac:dyDescent="0.2">
      <c r="A57" t="s">
        <v>2090</v>
      </c>
      <c r="B57" s="15"/>
      <c r="D57" s="16"/>
      <c r="W57" s="16"/>
      <c r="X57" s="16"/>
      <c r="Y57" s="16"/>
      <c r="Z57" s="16"/>
    </row>
    <row r="58" spans="1:27" x14ac:dyDescent="0.2">
      <c r="A58" t="s">
        <v>2090</v>
      </c>
      <c r="B58" s="15"/>
      <c r="D58" s="16"/>
      <c r="W58" s="16"/>
      <c r="X58" s="16"/>
      <c r="Y58" s="16"/>
      <c r="Z58" s="16"/>
    </row>
    <row r="59" spans="1:27" x14ac:dyDescent="0.2">
      <c r="A59" t="s">
        <v>2090</v>
      </c>
      <c r="B59" s="15"/>
      <c r="D59" s="16"/>
      <c r="W59" s="16"/>
      <c r="X59" s="16"/>
      <c r="Y59" s="16"/>
      <c r="Z59" s="16"/>
    </row>
    <row r="60" spans="1:27" x14ac:dyDescent="0.2">
      <c r="A60" t="s">
        <v>2090</v>
      </c>
      <c r="B60" s="15"/>
      <c r="D60" s="16"/>
      <c r="W60" s="16"/>
      <c r="X60" s="16"/>
      <c r="Y60" s="16"/>
      <c r="Z60" s="16"/>
    </row>
    <row r="61" spans="1:27" x14ac:dyDescent="0.2">
      <c r="A61" t="s">
        <v>2090</v>
      </c>
      <c r="B61" s="15"/>
      <c r="D61" s="16"/>
      <c r="W61" s="16"/>
      <c r="X61" s="16"/>
      <c r="Y61" s="16"/>
      <c r="Z61" s="16"/>
    </row>
    <row r="62" spans="1:27" x14ac:dyDescent="0.2">
      <c r="B62" s="15"/>
      <c r="D62" s="16"/>
      <c r="W62" s="16"/>
      <c r="X62" s="16"/>
      <c r="Y62" s="16"/>
      <c r="Z62" s="16"/>
    </row>
    <row r="63" spans="1:27" x14ac:dyDescent="0.2">
      <c r="B63" s="15"/>
      <c r="D63" s="16"/>
      <c r="W63" s="16"/>
      <c r="X63" s="16"/>
      <c r="Y63" s="16"/>
      <c r="Z63" s="16"/>
    </row>
    <row r="64" spans="1:27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豊川</vt:lpstr>
      <vt:lpstr>阿南光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2024-05-11T07:53:19Z</dcterms:modified>
</cp:coreProperties>
</file>