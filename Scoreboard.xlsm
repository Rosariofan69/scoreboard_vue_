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7B7A5CA9-1B12-4C8D-82E8-0398B532FD4B}" xr6:coauthVersionLast="47" xr6:coauthVersionMax="47" xr10:uidLastSave="{00000000-0000-0000-0000-000000000000}"/>
  <bookViews>
    <workbookView xWindow="28680" yWindow="-120" windowWidth="29040" windowHeight="15840" tabRatio="877" xr2:uid="{00000000-000D-0000-FFFF-FFFF00000000}"/>
  </bookViews>
  <sheets>
    <sheet name="設定" sheetId="24" r:id="rId1"/>
    <sheet name="デザイン" sheetId="40" r:id="rId2"/>
    <sheet name="広島" sheetId="3" r:id="rId3"/>
    <sheet name="巨人" sheetId="26" r:id="rId4"/>
    <sheet name="ヤクルト" sheetId="27" r:id="rId5"/>
    <sheet name="DeNA" sheetId="28" r:id="rId6"/>
    <sheet name="阪神" sheetId="29" r:id="rId7"/>
    <sheet name="中日" sheetId="30" r:id="rId8"/>
    <sheet name="ソフトバンク" sheetId="31" r:id="rId9"/>
    <sheet name="西武" sheetId="32" r:id="rId10"/>
    <sheet name="日本ハム" sheetId="25" r:id="rId11"/>
    <sheet name="ロッテ" sheetId="33" r:id="rId12"/>
    <sheet name="オリックス" sheetId="34" r:id="rId13"/>
    <sheet name="楽天" sheetId="35" r:id="rId14"/>
    <sheet name="セ" sheetId="36" r:id="rId15"/>
    <sheet name="パ" sheetId="37" r:id="rId16"/>
    <sheet name="日本" sheetId="38" r:id="rId17"/>
    <sheet name="ベネズエラ" sheetId="41" r:id="rId18"/>
    <sheet name="アメリカ" sheetId="46" r:id="rId19"/>
    <sheet name="カナダ" sheetId="47" r:id="rId20"/>
    <sheet name="韓国" sheetId="49" r:id="rId21"/>
    <sheet name="ドミニカ" sheetId="51" r:id="rId22"/>
    <sheet name="イタリア" sheetId="52" r:id="rId23"/>
    <sheet name="プエルトリコ" sheetId="53" r:id="rId24"/>
    <sheet name="成績仮置き場" sheetId="23" r:id="rId25"/>
  </sheets>
  <functionGroups builtInGroupCount="19"/>
  <definedNames>
    <definedName name="Aname1" localSheetId="4">#REF!</definedName>
    <definedName name="Aname1" localSheetId="3">#REF!</definedName>
    <definedName name="Aname1">#REF!</definedName>
    <definedName name="Aname2" localSheetId="4">#REF!</definedName>
    <definedName name="Aname2" localSheetId="3">#REF!</definedName>
    <definedName name="Aname2">#REF!</definedName>
    <definedName name="Aname3" localSheetId="4">#REF!</definedName>
    <definedName name="Aname3" localSheetId="3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eetList">GET.WORKBOOK(1)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M134" i="53" l="1"/>
  <c r="N134" i="53" s="1"/>
  <c r="K134" i="53"/>
  <c r="E134" i="53"/>
  <c r="B134" i="53"/>
  <c r="M133" i="53"/>
  <c r="N133" i="53" s="1"/>
  <c r="K133" i="53"/>
  <c r="E133" i="53"/>
  <c r="B133" i="53"/>
  <c r="M132" i="53"/>
  <c r="N132" i="53" s="1"/>
  <c r="K132" i="53"/>
  <c r="E132" i="53"/>
  <c r="B132" i="53"/>
  <c r="M131" i="53"/>
  <c r="N131" i="53" s="1"/>
  <c r="K131" i="53"/>
  <c r="E131" i="53"/>
  <c r="B131" i="53"/>
  <c r="M130" i="53"/>
  <c r="N130" i="53" s="1"/>
  <c r="K130" i="53"/>
  <c r="E130" i="53"/>
  <c r="B130" i="53"/>
  <c r="M129" i="53"/>
  <c r="N129" i="53" s="1"/>
  <c r="K129" i="53"/>
  <c r="E129" i="53"/>
  <c r="B129" i="53"/>
  <c r="M128" i="53"/>
  <c r="N128" i="53" s="1"/>
  <c r="K128" i="53"/>
  <c r="E128" i="53"/>
  <c r="B128" i="53"/>
  <c r="M127" i="53"/>
  <c r="N127" i="53" s="1"/>
  <c r="K127" i="53"/>
  <c r="E127" i="53"/>
  <c r="B127" i="53"/>
  <c r="M126" i="53"/>
  <c r="N126" i="53" s="1"/>
  <c r="K126" i="53"/>
  <c r="E126" i="53"/>
  <c r="B126" i="53"/>
  <c r="M125" i="53"/>
  <c r="N125" i="53" s="1"/>
  <c r="K125" i="53"/>
  <c r="E125" i="53"/>
  <c r="B125" i="53"/>
  <c r="M124" i="53"/>
  <c r="N124" i="53" s="1"/>
  <c r="K124" i="53"/>
  <c r="E124" i="53"/>
  <c r="B124" i="53"/>
  <c r="M123" i="53"/>
  <c r="N123" i="53" s="1"/>
  <c r="K123" i="53"/>
  <c r="E123" i="53"/>
  <c r="B123" i="53"/>
  <c r="M122" i="53"/>
  <c r="N122" i="53" s="1"/>
  <c r="K122" i="53"/>
  <c r="E122" i="53"/>
  <c r="B122" i="53"/>
  <c r="M121" i="53"/>
  <c r="N121" i="53" s="1"/>
  <c r="K121" i="53"/>
  <c r="E121" i="53"/>
  <c r="B121" i="53"/>
  <c r="M120" i="53"/>
  <c r="N120" i="53" s="1"/>
  <c r="K120" i="53"/>
  <c r="E120" i="53"/>
  <c r="B120" i="53"/>
  <c r="M119" i="53"/>
  <c r="N119" i="53" s="1"/>
  <c r="K119" i="53"/>
  <c r="E119" i="53"/>
  <c r="B119" i="53"/>
  <c r="M118" i="53"/>
  <c r="N118" i="53" s="1"/>
  <c r="K118" i="53"/>
  <c r="E118" i="53"/>
  <c r="B118" i="53"/>
  <c r="M117" i="53"/>
  <c r="N117" i="53" s="1"/>
  <c r="K117" i="53"/>
  <c r="E117" i="53"/>
  <c r="B117" i="53"/>
  <c r="M116" i="53"/>
  <c r="N116" i="53" s="1"/>
  <c r="K116" i="53"/>
  <c r="E116" i="53"/>
  <c r="B116" i="53"/>
  <c r="M115" i="53"/>
  <c r="N115" i="53" s="1"/>
  <c r="K115" i="53"/>
  <c r="E115" i="53"/>
  <c r="B115" i="53"/>
  <c r="M114" i="53"/>
  <c r="N114" i="53" s="1"/>
  <c r="K114" i="53"/>
  <c r="E114" i="53"/>
  <c r="B114" i="53"/>
  <c r="M113" i="53"/>
  <c r="N113" i="53" s="1"/>
  <c r="K113" i="53"/>
  <c r="E113" i="53"/>
  <c r="B113" i="53"/>
  <c r="M112" i="53"/>
  <c r="N112" i="53" s="1"/>
  <c r="K112" i="53"/>
  <c r="E112" i="53"/>
  <c r="B112" i="53"/>
  <c r="M111" i="53"/>
  <c r="N111" i="53" s="1"/>
  <c r="K111" i="53"/>
  <c r="E111" i="53"/>
  <c r="B111" i="53"/>
  <c r="M110" i="53"/>
  <c r="N110" i="53" s="1"/>
  <c r="K110" i="53"/>
  <c r="E110" i="53"/>
  <c r="B110" i="53"/>
  <c r="M109" i="53"/>
  <c r="N109" i="53" s="1"/>
  <c r="K109" i="53"/>
  <c r="E109" i="53"/>
  <c r="B109" i="53"/>
  <c r="M108" i="53"/>
  <c r="N108" i="53" s="1"/>
  <c r="K108" i="53"/>
  <c r="E108" i="53"/>
  <c r="B108" i="53"/>
  <c r="M107" i="53"/>
  <c r="N107" i="53" s="1"/>
  <c r="K107" i="53"/>
  <c r="E107" i="53"/>
  <c r="B107" i="53"/>
  <c r="M106" i="53"/>
  <c r="N106" i="53" s="1"/>
  <c r="K106" i="53"/>
  <c r="E106" i="53"/>
  <c r="B106" i="53"/>
  <c r="M105" i="53"/>
  <c r="N105" i="53" s="1"/>
  <c r="K105" i="53"/>
  <c r="E105" i="53"/>
  <c r="B105" i="53"/>
  <c r="M104" i="53"/>
  <c r="N104" i="53" s="1"/>
  <c r="K104" i="53"/>
  <c r="E104" i="53"/>
  <c r="B104" i="53"/>
  <c r="M103" i="53"/>
  <c r="N103" i="53" s="1"/>
  <c r="K103" i="53"/>
  <c r="E103" i="53"/>
  <c r="B103" i="53"/>
  <c r="M102" i="53"/>
  <c r="N102" i="53" s="1"/>
  <c r="K102" i="53"/>
  <c r="E102" i="53"/>
  <c r="B102" i="53"/>
  <c r="M101" i="53"/>
  <c r="N101" i="53" s="1"/>
  <c r="K101" i="53"/>
  <c r="E101" i="53"/>
  <c r="B101" i="53"/>
  <c r="M100" i="53"/>
  <c r="N100" i="53" s="1"/>
  <c r="K100" i="53"/>
  <c r="E100" i="53"/>
  <c r="B100" i="53"/>
  <c r="M99" i="53"/>
  <c r="N99" i="53" s="1"/>
  <c r="K99" i="53"/>
  <c r="E99" i="53"/>
  <c r="B99" i="53"/>
  <c r="M98" i="53"/>
  <c r="N98" i="53" s="1"/>
  <c r="K98" i="53"/>
  <c r="E98" i="53"/>
  <c r="B98" i="53"/>
  <c r="M97" i="53"/>
  <c r="N97" i="53" s="1"/>
  <c r="K97" i="53"/>
  <c r="E97" i="53"/>
  <c r="B97" i="53"/>
  <c r="M96" i="53"/>
  <c r="N96" i="53" s="1"/>
  <c r="K96" i="53"/>
  <c r="E96" i="53"/>
  <c r="B96" i="53"/>
  <c r="M95" i="53"/>
  <c r="N95" i="53" s="1"/>
  <c r="K95" i="53"/>
  <c r="E95" i="53"/>
  <c r="B95" i="53"/>
  <c r="M94" i="53"/>
  <c r="N94" i="53" s="1"/>
  <c r="K94" i="53"/>
  <c r="E94" i="53"/>
  <c r="B94" i="53"/>
  <c r="M93" i="53"/>
  <c r="N93" i="53" s="1"/>
  <c r="K93" i="53"/>
  <c r="E93" i="53"/>
  <c r="B93" i="53"/>
  <c r="M92" i="53"/>
  <c r="N92" i="53" s="1"/>
  <c r="K92" i="53"/>
  <c r="E92" i="53"/>
  <c r="B92" i="53"/>
  <c r="M91" i="53"/>
  <c r="N91" i="53" s="1"/>
  <c r="K91" i="53"/>
  <c r="E91" i="53"/>
  <c r="B91" i="53"/>
  <c r="M90" i="53"/>
  <c r="N90" i="53" s="1"/>
  <c r="K90" i="53"/>
  <c r="E90" i="53"/>
  <c r="B90" i="53"/>
  <c r="M89" i="53"/>
  <c r="N89" i="53" s="1"/>
  <c r="K89" i="53"/>
  <c r="E89" i="53"/>
  <c r="B89" i="53"/>
  <c r="M88" i="53"/>
  <c r="N88" i="53" s="1"/>
  <c r="K88" i="53"/>
  <c r="E88" i="53"/>
  <c r="B88" i="53"/>
  <c r="M87" i="53"/>
  <c r="N87" i="53" s="1"/>
  <c r="K87" i="53"/>
  <c r="E87" i="53"/>
  <c r="B87" i="53"/>
  <c r="M86" i="53"/>
  <c r="N86" i="53" s="1"/>
  <c r="K86" i="53"/>
  <c r="E86" i="53"/>
  <c r="B86" i="53"/>
  <c r="M85" i="53"/>
  <c r="N85" i="53" s="1"/>
  <c r="K85" i="53"/>
  <c r="E85" i="53"/>
  <c r="B85" i="53"/>
  <c r="M84" i="53"/>
  <c r="N84" i="53" s="1"/>
  <c r="K84" i="53"/>
  <c r="E84" i="53"/>
  <c r="B84" i="53"/>
  <c r="M83" i="53"/>
  <c r="N83" i="53" s="1"/>
  <c r="K83" i="53"/>
  <c r="E83" i="53"/>
  <c r="B83" i="53"/>
  <c r="M82" i="53"/>
  <c r="N82" i="53" s="1"/>
  <c r="K82" i="53"/>
  <c r="E82" i="53"/>
  <c r="B82" i="53"/>
  <c r="M81" i="53"/>
  <c r="N81" i="53" s="1"/>
  <c r="K81" i="53"/>
  <c r="E81" i="53"/>
  <c r="B81" i="53"/>
  <c r="M80" i="53"/>
  <c r="N80" i="53" s="1"/>
  <c r="K80" i="53"/>
  <c r="E80" i="53"/>
  <c r="B80" i="53"/>
  <c r="M79" i="53"/>
  <c r="N79" i="53" s="1"/>
  <c r="K79" i="53"/>
  <c r="E79" i="53"/>
  <c r="B79" i="53"/>
  <c r="M78" i="53"/>
  <c r="N78" i="53" s="1"/>
  <c r="K78" i="53"/>
  <c r="E78" i="53"/>
  <c r="B78" i="53"/>
  <c r="M77" i="53"/>
  <c r="N77" i="53" s="1"/>
  <c r="K77" i="53"/>
  <c r="E77" i="53"/>
  <c r="B77" i="53"/>
  <c r="M76" i="53"/>
  <c r="N76" i="53" s="1"/>
  <c r="K76" i="53"/>
  <c r="E76" i="53"/>
  <c r="B76" i="53"/>
  <c r="M75" i="53"/>
  <c r="N75" i="53" s="1"/>
  <c r="K75" i="53"/>
  <c r="E75" i="53"/>
  <c r="B75" i="53"/>
  <c r="M74" i="53"/>
  <c r="N74" i="53" s="1"/>
  <c r="K74" i="53"/>
  <c r="E74" i="53"/>
  <c r="B74" i="53"/>
  <c r="M73" i="53"/>
  <c r="N73" i="53" s="1"/>
  <c r="K73" i="53"/>
  <c r="E73" i="53"/>
  <c r="B73" i="53"/>
  <c r="M72" i="53"/>
  <c r="N72" i="53" s="1"/>
  <c r="K72" i="53"/>
  <c r="E72" i="53"/>
  <c r="B72" i="53"/>
  <c r="M71" i="53"/>
  <c r="N71" i="53" s="1"/>
  <c r="K71" i="53"/>
  <c r="E71" i="53"/>
  <c r="B71" i="53"/>
  <c r="M70" i="53"/>
  <c r="N70" i="53" s="1"/>
  <c r="K70" i="53"/>
  <c r="E70" i="53"/>
  <c r="B70" i="53"/>
  <c r="M69" i="53"/>
  <c r="N69" i="53" s="1"/>
  <c r="K69" i="53"/>
  <c r="E69" i="53"/>
  <c r="B69" i="53"/>
  <c r="M68" i="53"/>
  <c r="N68" i="53" s="1"/>
  <c r="K68" i="53"/>
  <c r="E68" i="53"/>
  <c r="B68" i="53"/>
  <c r="M67" i="53"/>
  <c r="N67" i="53" s="1"/>
  <c r="K67" i="53"/>
  <c r="E67" i="53"/>
  <c r="B67" i="53"/>
  <c r="M66" i="53"/>
  <c r="N66" i="53" s="1"/>
  <c r="K66" i="53"/>
  <c r="E66" i="53"/>
  <c r="B66" i="53"/>
  <c r="M65" i="53"/>
  <c r="N65" i="53" s="1"/>
  <c r="K65" i="53"/>
  <c r="E65" i="53"/>
  <c r="B65" i="53"/>
  <c r="M64" i="53"/>
  <c r="N64" i="53" s="1"/>
  <c r="K64" i="53"/>
  <c r="E64" i="53"/>
  <c r="B64" i="53"/>
  <c r="M63" i="53"/>
  <c r="N63" i="53" s="1"/>
  <c r="K63" i="53"/>
  <c r="E63" i="53"/>
  <c r="B63" i="53"/>
  <c r="M62" i="53"/>
  <c r="N62" i="53" s="1"/>
  <c r="K62" i="53"/>
  <c r="E62" i="53"/>
  <c r="B62" i="53"/>
  <c r="M61" i="53"/>
  <c r="N61" i="53" s="1"/>
  <c r="K61" i="53"/>
  <c r="E61" i="53"/>
  <c r="B61" i="53"/>
  <c r="M60" i="53"/>
  <c r="N60" i="53" s="1"/>
  <c r="K60" i="53"/>
  <c r="E60" i="53"/>
  <c r="B60" i="53"/>
  <c r="M59" i="53"/>
  <c r="N59" i="53" s="1"/>
  <c r="K59" i="53"/>
  <c r="E59" i="53"/>
  <c r="B59" i="53"/>
  <c r="M58" i="53"/>
  <c r="N58" i="53" s="1"/>
  <c r="K58" i="53"/>
  <c r="E58" i="53"/>
  <c r="B58" i="53"/>
  <c r="M57" i="53"/>
  <c r="N57" i="53" s="1"/>
  <c r="K57" i="53"/>
  <c r="E57" i="53"/>
  <c r="B57" i="53"/>
  <c r="M56" i="53"/>
  <c r="N56" i="53" s="1"/>
  <c r="K56" i="53"/>
  <c r="E56" i="53"/>
  <c r="B56" i="53"/>
  <c r="M55" i="53"/>
  <c r="N55" i="53" s="1"/>
  <c r="K55" i="53"/>
  <c r="E55" i="53"/>
  <c r="B55" i="53"/>
  <c r="M54" i="53"/>
  <c r="N54" i="53" s="1"/>
  <c r="K54" i="53"/>
  <c r="E54" i="53"/>
  <c r="B54" i="53"/>
  <c r="M53" i="53"/>
  <c r="N53" i="53" s="1"/>
  <c r="K53" i="53"/>
  <c r="E53" i="53"/>
  <c r="B53" i="53"/>
  <c r="M52" i="53"/>
  <c r="N52" i="53" s="1"/>
  <c r="K52" i="53"/>
  <c r="E52" i="53"/>
  <c r="B52" i="53"/>
  <c r="M51" i="53"/>
  <c r="N51" i="53" s="1"/>
  <c r="K51" i="53"/>
  <c r="E51" i="53"/>
  <c r="B51" i="53"/>
  <c r="M50" i="53"/>
  <c r="N50" i="53" s="1"/>
  <c r="K50" i="53"/>
  <c r="E50" i="53"/>
  <c r="B50" i="53"/>
  <c r="M49" i="53"/>
  <c r="N49" i="53" s="1"/>
  <c r="K49" i="53"/>
  <c r="E49" i="53"/>
  <c r="B49" i="53"/>
  <c r="M48" i="53"/>
  <c r="N48" i="53" s="1"/>
  <c r="K48" i="53"/>
  <c r="E48" i="53"/>
  <c r="B48" i="53"/>
  <c r="M47" i="53"/>
  <c r="N47" i="53" s="1"/>
  <c r="K47" i="53"/>
  <c r="E47" i="53"/>
  <c r="B47" i="53"/>
  <c r="M46" i="53"/>
  <c r="N46" i="53" s="1"/>
  <c r="K46" i="53"/>
  <c r="E46" i="53"/>
  <c r="B46" i="53"/>
  <c r="M45" i="53"/>
  <c r="N45" i="53" s="1"/>
  <c r="K45" i="53"/>
  <c r="E45" i="53"/>
  <c r="B45" i="53"/>
  <c r="M44" i="53"/>
  <c r="N44" i="53" s="1"/>
  <c r="K44" i="53"/>
  <c r="E44" i="53"/>
  <c r="B44" i="53"/>
  <c r="M43" i="53"/>
  <c r="N43" i="53" s="1"/>
  <c r="K43" i="53"/>
  <c r="E43" i="53"/>
  <c r="B43" i="53"/>
  <c r="M42" i="53"/>
  <c r="N42" i="53" s="1"/>
  <c r="K42" i="53"/>
  <c r="E42" i="53"/>
  <c r="B42" i="53"/>
  <c r="M41" i="53"/>
  <c r="N41" i="53" s="1"/>
  <c r="K41" i="53"/>
  <c r="E41" i="53"/>
  <c r="B41" i="53"/>
  <c r="M40" i="53"/>
  <c r="N40" i="53" s="1"/>
  <c r="K40" i="53"/>
  <c r="E40" i="53"/>
  <c r="B40" i="53"/>
  <c r="M39" i="53"/>
  <c r="N39" i="53" s="1"/>
  <c r="K39" i="53"/>
  <c r="E39" i="53"/>
  <c r="B39" i="53"/>
  <c r="M38" i="53"/>
  <c r="N38" i="53" s="1"/>
  <c r="K38" i="53"/>
  <c r="E38" i="53"/>
  <c r="B38" i="53"/>
  <c r="M37" i="53"/>
  <c r="N37" i="53" s="1"/>
  <c r="K37" i="53"/>
  <c r="E37" i="53"/>
  <c r="B37" i="53"/>
  <c r="M36" i="53"/>
  <c r="N36" i="53" s="1"/>
  <c r="K36" i="53"/>
  <c r="E36" i="53"/>
  <c r="B36" i="53"/>
  <c r="M35" i="53"/>
  <c r="N35" i="53" s="1"/>
  <c r="K35" i="53"/>
  <c r="E35" i="53"/>
  <c r="B35" i="53"/>
  <c r="M34" i="53"/>
  <c r="N34" i="53" s="1"/>
  <c r="K34" i="53"/>
  <c r="E34" i="53"/>
  <c r="B34" i="53"/>
  <c r="N33" i="53"/>
  <c r="M33" i="53"/>
  <c r="K33" i="53"/>
  <c r="E33" i="53"/>
  <c r="B33" i="53"/>
  <c r="M32" i="53"/>
  <c r="N32" i="53" s="1"/>
  <c r="K32" i="53"/>
  <c r="E32" i="53"/>
  <c r="B32" i="53"/>
  <c r="M31" i="53"/>
  <c r="N31" i="53" s="1"/>
  <c r="K31" i="53"/>
  <c r="E31" i="53"/>
  <c r="B31" i="53"/>
  <c r="M30" i="53"/>
  <c r="N30" i="53" s="1"/>
  <c r="K30" i="53"/>
  <c r="E30" i="53"/>
  <c r="B30" i="53"/>
  <c r="N29" i="53"/>
  <c r="M29" i="53"/>
  <c r="K29" i="53"/>
  <c r="E29" i="53"/>
  <c r="B29" i="53"/>
  <c r="M28" i="53"/>
  <c r="N28" i="53" s="1"/>
  <c r="K28" i="53"/>
  <c r="E28" i="53"/>
  <c r="B28" i="53"/>
  <c r="N27" i="53"/>
  <c r="M27" i="53"/>
  <c r="K27" i="53"/>
  <c r="E27" i="53"/>
  <c r="B27" i="53"/>
  <c r="M26" i="53"/>
  <c r="N26" i="53" s="1"/>
  <c r="K26" i="53"/>
  <c r="E26" i="53"/>
  <c r="B26" i="53"/>
  <c r="N25" i="53"/>
  <c r="M25" i="53"/>
  <c r="K25" i="53"/>
  <c r="E25" i="53"/>
  <c r="B25" i="53"/>
  <c r="M24" i="53"/>
  <c r="N24" i="53" s="1"/>
  <c r="K24" i="53"/>
  <c r="E24" i="53"/>
  <c r="B24" i="53"/>
  <c r="M23" i="53"/>
  <c r="N23" i="53" s="1"/>
  <c r="K23" i="53"/>
  <c r="E23" i="53"/>
  <c r="B23" i="53"/>
  <c r="M22" i="53"/>
  <c r="N22" i="53" s="1"/>
  <c r="K22" i="53"/>
  <c r="E22" i="53"/>
  <c r="B22" i="53"/>
  <c r="N21" i="53"/>
  <c r="M21" i="53"/>
  <c r="K21" i="53"/>
  <c r="E21" i="53"/>
  <c r="B21" i="53"/>
  <c r="N20" i="53"/>
  <c r="M20" i="53"/>
  <c r="K20" i="53"/>
  <c r="E20" i="53"/>
  <c r="B20" i="53"/>
  <c r="M19" i="53"/>
  <c r="N19" i="53" s="1"/>
  <c r="K19" i="53"/>
  <c r="E19" i="53"/>
  <c r="B19" i="53"/>
  <c r="N18" i="53"/>
  <c r="M18" i="53"/>
  <c r="K18" i="53"/>
  <c r="E18" i="53"/>
  <c r="B18" i="53"/>
  <c r="M17" i="53"/>
  <c r="N17" i="53" s="1"/>
  <c r="K17" i="53"/>
  <c r="E17" i="53"/>
  <c r="B17" i="53"/>
  <c r="M16" i="53"/>
  <c r="N16" i="53" s="1"/>
  <c r="K16" i="53"/>
  <c r="E16" i="53"/>
  <c r="B16" i="53"/>
  <c r="M15" i="53"/>
  <c r="N15" i="53" s="1"/>
  <c r="K15" i="53"/>
  <c r="E15" i="53"/>
  <c r="B15" i="53"/>
  <c r="N14" i="53"/>
  <c r="M14" i="53"/>
  <c r="K14" i="53"/>
  <c r="E14" i="53"/>
  <c r="B14" i="53"/>
  <c r="M13" i="53"/>
  <c r="N13" i="53" s="1"/>
  <c r="K13" i="53"/>
  <c r="E13" i="53"/>
  <c r="B13" i="53"/>
  <c r="N12" i="53"/>
  <c r="M12" i="53"/>
  <c r="K12" i="53"/>
  <c r="E12" i="53"/>
  <c r="B12" i="53"/>
  <c r="M11" i="53"/>
  <c r="N11" i="53" s="1"/>
  <c r="K11" i="53"/>
  <c r="E11" i="53"/>
  <c r="B11" i="53"/>
  <c r="N10" i="53"/>
  <c r="M10" i="53"/>
  <c r="K10" i="53"/>
  <c r="E10" i="53"/>
  <c r="B10" i="53"/>
  <c r="M9" i="53"/>
  <c r="N9" i="53" s="1"/>
  <c r="K9" i="53"/>
  <c r="E9" i="53"/>
  <c r="B9" i="53"/>
  <c r="M8" i="53"/>
  <c r="N8" i="53" s="1"/>
  <c r="K8" i="53"/>
  <c r="E8" i="53"/>
  <c r="B8" i="53"/>
  <c r="M7" i="53"/>
  <c r="N7" i="53" s="1"/>
  <c r="K7" i="53"/>
  <c r="E7" i="53"/>
  <c r="B7" i="53"/>
  <c r="N6" i="53"/>
  <c r="M6" i="53"/>
  <c r="K6" i="53"/>
  <c r="E6" i="53"/>
  <c r="B6" i="53"/>
  <c r="M5" i="53"/>
  <c r="N5" i="53" s="1"/>
  <c r="K5" i="53"/>
  <c r="E5" i="53"/>
  <c r="B5" i="53"/>
  <c r="N4" i="53"/>
  <c r="M4" i="53"/>
  <c r="K4" i="53"/>
  <c r="E4" i="53"/>
  <c r="B4" i="53"/>
  <c r="V2" i="53"/>
  <c r="U2" i="53"/>
  <c r="T2" i="53"/>
  <c r="S2" i="53"/>
  <c r="R2" i="53"/>
  <c r="Q2" i="53"/>
  <c r="P2" i="53"/>
  <c r="O2" i="53"/>
  <c r="L2" i="53"/>
  <c r="J2" i="53"/>
  <c r="I2" i="53"/>
  <c r="H2" i="53"/>
  <c r="G2" i="53"/>
  <c r="M2" i="53" s="1"/>
  <c r="F2" i="53"/>
  <c r="N2" i="53" s="1"/>
  <c r="M134" i="52"/>
  <c r="N134" i="52" s="1"/>
  <c r="K134" i="52"/>
  <c r="E134" i="52"/>
  <c r="B134" i="52"/>
  <c r="M133" i="52"/>
  <c r="N133" i="52" s="1"/>
  <c r="K133" i="52"/>
  <c r="E133" i="52"/>
  <c r="B133" i="52"/>
  <c r="N132" i="52"/>
  <c r="M132" i="52"/>
  <c r="K132" i="52"/>
  <c r="E132" i="52"/>
  <c r="B132" i="52"/>
  <c r="N131" i="52"/>
  <c r="M131" i="52"/>
  <c r="K131" i="52"/>
  <c r="E131" i="52"/>
  <c r="B131" i="52"/>
  <c r="M130" i="52"/>
  <c r="N130" i="52" s="1"/>
  <c r="K130" i="52"/>
  <c r="E130" i="52"/>
  <c r="B130" i="52"/>
  <c r="M129" i="52"/>
  <c r="N129" i="52" s="1"/>
  <c r="K129" i="52"/>
  <c r="E129" i="52"/>
  <c r="B129" i="52"/>
  <c r="N128" i="52"/>
  <c r="M128" i="52"/>
  <c r="K128" i="52"/>
  <c r="E128" i="52"/>
  <c r="B128" i="52"/>
  <c r="N127" i="52"/>
  <c r="M127" i="52"/>
  <c r="K127" i="52"/>
  <c r="E127" i="52"/>
  <c r="B127" i="52"/>
  <c r="M126" i="52"/>
  <c r="N126" i="52" s="1"/>
  <c r="K126" i="52"/>
  <c r="E126" i="52"/>
  <c r="B126" i="52"/>
  <c r="M125" i="52"/>
  <c r="N125" i="52" s="1"/>
  <c r="K125" i="52"/>
  <c r="E125" i="52"/>
  <c r="B125" i="52"/>
  <c r="N124" i="52"/>
  <c r="M124" i="52"/>
  <c r="K124" i="52"/>
  <c r="E124" i="52"/>
  <c r="B124" i="52"/>
  <c r="N123" i="52"/>
  <c r="M123" i="52"/>
  <c r="K123" i="52"/>
  <c r="E123" i="52"/>
  <c r="B123" i="52"/>
  <c r="M122" i="52"/>
  <c r="N122" i="52" s="1"/>
  <c r="K122" i="52"/>
  <c r="E122" i="52"/>
  <c r="B122" i="52"/>
  <c r="M121" i="52"/>
  <c r="N121" i="52" s="1"/>
  <c r="K121" i="52"/>
  <c r="E121" i="52"/>
  <c r="B121" i="52"/>
  <c r="N120" i="52"/>
  <c r="M120" i="52"/>
  <c r="K120" i="52"/>
  <c r="E120" i="52"/>
  <c r="B120" i="52"/>
  <c r="M119" i="52"/>
  <c r="N119" i="52" s="1"/>
  <c r="K119" i="52"/>
  <c r="E119" i="52"/>
  <c r="B119" i="52"/>
  <c r="M118" i="52"/>
  <c r="N118" i="52" s="1"/>
  <c r="K118" i="52"/>
  <c r="E118" i="52"/>
  <c r="B118" i="52"/>
  <c r="M117" i="52"/>
  <c r="N117" i="52" s="1"/>
  <c r="K117" i="52"/>
  <c r="E117" i="52"/>
  <c r="B117" i="52"/>
  <c r="N116" i="52"/>
  <c r="M116" i="52"/>
  <c r="K116" i="52"/>
  <c r="E116" i="52"/>
  <c r="B116" i="52"/>
  <c r="M115" i="52"/>
  <c r="N115" i="52" s="1"/>
  <c r="K115" i="52"/>
  <c r="E115" i="52"/>
  <c r="B115" i="52"/>
  <c r="M114" i="52"/>
  <c r="N114" i="52" s="1"/>
  <c r="K114" i="52"/>
  <c r="E114" i="52"/>
  <c r="B114" i="52"/>
  <c r="M113" i="52"/>
  <c r="N113" i="52" s="1"/>
  <c r="K113" i="52"/>
  <c r="E113" i="52"/>
  <c r="B113" i="52"/>
  <c r="N112" i="52"/>
  <c r="M112" i="52"/>
  <c r="K112" i="52"/>
  <c r="E112" i="52"/>
  <c r="B112" i="52"/>
  <c r="M111" i="52"/>
  <c r="N111" i="52" s="1"/>
  <c r="K111" i="52"/>
  <c r="E111" i="52"/>
  <c r="B111" i="52"/>
  <c r="M110" i="52"/>
  <c r="N110" i="52" s="1"/>
  <c r="K110" i="52"/>
  <c r="E110" i="52"/>
  <c r="B110" i="52"/>
  <c r="M109" i="52"/>
  <c r="N109" i="52" s="1"/>
  <c r="K109" i="52"/>
  <c r="E109" i="52"/>
  <c r="B109" i="52"/>
  <c r="N108" i="52"/>
  <c r="M108" i="52"/>
  <c r="K108" i="52"/>
  <c r="E108" i="52"/>
  <c r="B108" i="52"/>
  <c r="M107" i="52"/>
  <c r="N107" i="52" s="1"/>
  <c r="K107" i="52"/>
  <c r="E107" i="52"/>
  <c r="B107" i="52"/>
  <c r="M106" i="52"/>
  <c r="N106" i="52" s="1"/>
  <c r="K106" i="52"/>
  <c r="E106" i="52"/>
  <c r="B106" i="52"/>
  <c r="M105" i="52"/>
  <c r="N105" i="52" s="1"/>
  <c r="K105" i="52"/>
  <c r="E105" i="52"/>
  <c r="B105" i="52"/>
  <c r="N104" i="52"/>
  <c r="M104" i="52"/>
  <c r="K104" i="52"/>
  <c r="E104" i="52"/>
  <c r="B104" i="52"/>
  <c r="M103" i="52"/>
  <c r="N103" i="52" s="1"/>
  <c r="K103" i="52"/>
  <c r="E103" i="52"/>
  <c r="B103" i="52"/>
  <c r="M102" i="52"/>
  <c r="N102" i="52" s="1"/>
  <c r="K102" i="52"/>
  <c r="E102" i="52"/>
  <c r="B102" i="52"/>
  <c r="M101" i="52"/>
  <c r="N101" i="52" s="1"/>
  <c r="K101" i="52"/>
  <c r="E101" i="52"/>
  <c r="B101" i="52"/>
  <c r="N100" i="52"/>
  <c r="M100" i="52"/>
  <c r="K100" i="52"/>
  <c r="E100" i="52"/>
  <c r="B100" i="52"/>
  <c r="M99" i="52"/>
  <c r="N99" i="52" s="1"/>
  <c r="K99" i="52"/>
  <c r="E99" i="52"/>
  <c r="B99" i="52"/>
  <c r="M98" i="52"/>
  <c r="N98" i="52" s="1"/>
  <c r="K98" i="52"/>
  <c r="E98" i="52"/>
  <c r="B98" i="52"/>
  <c r="M97" i="52"/>
  <c r="N97" i="52" s="1"/>
  <c r="K97" i="52"/>
  <c r="E97" i="52"/>
  <c r="B97" i="52"/>
  <c r="N96" i="52"/>
  <c r="M96" i="52"/>
  <c r="K96" i="52"/>
  <c r="E96" i="52"/>
  <c r="B96" i="52"/>
  <c r="M95" i="52"/>
  <c r="N95" i="52" s="1"/>
  <c r="K95" i="52"/>
  <c r="E95" i="52"/>
  <c r="B95" i="52"/>
  <c r="M94" i="52"/>
  <c r="N94" i="52" s="1"/>
  <c r="K94" i="52"/>
  <c r="E94" i="52"/>
  <c r="B94" i="52"/>
  <c r="M93" i="52"/>
  <c r="N93" i="52" s="1"/>
  <c r="K93" i="52"/>
  <c r="E93" i="52"/>
  <c r="B93" i="52"/>
  <c r="N92" i="52"/>
  <c r="M92" i="52"/>
  <c r="K92" i="52"/>
  <c r="E92" i="52"/>
  <c r="B92" i="52"/>
  <c r="M91" i="52"/>
  <c r="N91" i="52" s="1"/>
  <c r="K91" i="52"/>
  <c r="E91" i="52"/>
  <c r="B91" i="52"/>
  <c r="M90" i="52"/>
  <c r="N90" i="52" s="1"/>
  <c r="K90" i="52"/>
  <c r="E90" i="52"/>
  <c r="B90" i="52"/>
  <c r="M89" i="52"/>
  <c r="N89" i="52" s="1"/>
  <c r="K89" i="52"/>
  <c r="E89" i="52"/>
  <c r="B89" i="52"/>
  <c r="N88" i="52"/>
  <c r="M88" i="52"/>
  <c r="K88" i="52"/>
  <c r="E88" i="52"/>
  <c r="B88" i="52"/>
  <c r="M87" i="52"/>
  <c r="N87" i="52" s="1"/>
  <c r="K87" i="52"/>
  <c r="E87" i="52"/>
  <c r="B87" i="52"/>
  <c r="M86" i="52"/>
  <c r="N86" i="52" s="1"/>
  <c r="K86" i="52"/>
  <c r="E86" i="52"/>
  <c r="B86" i="52"/>
  <c r="M85" i="52"/>
  <c r="N85" i="52" s="1"/>
  <c r="K85" i="52"/>
  <c r="E85" i="52"/>
  <c r="B85" i="52"/>
  <c r="N84" i="52"/>
  <c r="M84" i="52"/>
  <c r="K84" i="52"/>
  <c r="E84" i="52"/>
  <c r="B84" i="52"/>
  <c r="M83" i="52"/>
  <c r="N83" i="52" s="1"/>
  <c r="K83" i="52"/>
  <c r="E83" i="52"/>
  <c r="B83" i="52"/>
  <c r="M82" i="52"/>
  <c r="N82" i="52" s="1"/>
  <c r="K82" i="52"/>
  <c r="E82" i="52"/>
  <c r="B82" i="52"/>
  <c r="M81" i="52"/>
  <c r="N81" i="52" s="1"/>
  <c r="K81" i="52"/>
  <c r="E81" i="52"/>
  <c r="B81" i="52"/>
  <c r="N80" i="52"/>
  <c r="M80" i="52"/>
  <c r="K80" i="52"/>
  <c r="E80" i="52"/>
  <c r="B80" i="52"/>
  <c r="M79" i="52"/>
  <c r="N79" i="52" s="1"/>
  <c r="K79" i="52"/>
  <c r="E79" i="52"/>
  <c r="B79" i="52"/>
  <c r="M78" i="52"/>
  <c r="N78" i="52" s="1"/>
  <c r="K78" i="52"/>
  <c r="E78" i="52"/>
  <c r="B78" i="52"/>
  <c r="M77" i="52"/>
  <c r="N77" i="52" s="1"/>
  <c r="K77" i="52"/>
  <c r="E77" i="52"/>
  <c r="B77" i="52"/>
  <c r="N76" i="52"/>
  <c r="M76" i="52"/>
  <c r="K76" i="52"/>
  <c r="E76" i="52"/>
  <c r="B76" i="52"/>
  <c r="M75" i="52"/>
  <c r="N75" i="52" s="1"/>
  <c r="K75" i="52"/>
  <c r="E75" i="52"/>
  <c r="B75" i="52"/>
  <c r="M74" i="52"/>
  <c r="N74" i="52" s="1"/>
  <c r="K74" i="52"/>
  <c r="E74" i="52"/>
  <c r="B74" i="52"/>
  <c r="M73" i="52"/>
  <c r="N73" i="52" s="1"/>
  <c r="K73" i="52"/>
  <c r="E73" i="52"/>
  <c r="B73" i="52"/>
  <c r="M72" i="52"/>
  <c r="N72" i="52" s="1"/>
  <c r="K72" i="52"/>
  <c r="E72" i="52"/>
  <c r="B72" i="52"/>
  <c r="M71" i="52"/>
  <c r="N71" i="52" s="1"/>
  <c r="K71" i="52"/>
  <c r="E71" i="52"/>
  <c r="B71" i="52"/>
  <c r="M70" i="52"/>
  <c r="N70" i="52" s="1"/>
  <c r="K70" i="52"/>
  <c r="E70" i="52"/>
  <c r="B70" i="52"/>
  <c r="M69" i="52"/>
  <c r="N69" i="52" s="1"/>
  <c r="K69" i="52"/>
  <c r="E69" i="52"/>
  <c r="B69" i="52"/>
  <c r="M68" i="52"/>
  <c r="N68" i="52" s="1"/>
  <c r="K68" i="52"/>
  <c r="E68" i="52"/>
  <c r="B68" i="52"/>
  <c r="M67" i="52"/>
  <c r="N67" i="52" s="1"/>
  <c r="K67" i="52"/>
  <c r="E67" i="52"/>
  <c r="B67" i="52"/>
  <c r="M66" i="52"/>
  <c r="N66" i="52" s="1"/>
  <c r="K66" i="52"/>
  <c r="E66" i="52"/>
  <c r="B66" i="52"/>
  <c r="M65" i="52"/>
  <c r="N65" i="52" s="1"/>
  <c r="K65" i="52"/>
  <c r="E65" i="52"/>
  <c r="B65" i="52"/>
  <c r="M64" i="52"/>
  <c r="N64" i="52" s="1"/>
  <c r="K64" i="52"/>
  <c r="E64" i="52"/>
  <c r="B64" i="52"/>
  <c r="M63" i="52"/>
  <c r="N63" i="52" s="1"/>
  <c r="K63" i="52"/>
  <c r="E63" i="52"/>
  <c r="B63" i="52"/>
  <c r="M62" i="52"/>
  <c r="N62" i="52" s="1"/>
  <c r="K62" i="52"/>
  <c r="E62" i="52"/>
  <c r="B62" i="52"/>
  <c r="M61" i="52"/>
  <c r="N61" i="52" s="1"/>
  <c r="K61" i="52"/>
  <c r="E61" i="52"/>
  <c r="B61" i="52"/>
  <c r="M60" i="52"/>
  <c r="N60" i="52" s="1"/>
  <c r="K60" i="52"/>
  <c r="E60" i="52"/>
  <c r="B60" i="52"/>
  <c r="M59" i="52"/>
  <c r="N59" i="52" s="1"/>
  <c r="K59" i="52"/>
  <c r="E59" i="52"/>
  <c r="B59" i="52"/>
  <c r="M58" i="52"/>
  <c r="N58" i="52" s="1"/>
  <c r="K58" i="52"/>
  <c r="E58" i="52"/>
  <c r="B58" i="52"/>
  <c r="M57" i="52"/>
  <c r="N57" i="52" s="1"/>
  <c r="K57" i="52"/>
  <c r="E57" i="52"/>
  <c r="B57" i="52"/>
  <c r="M56" i="52"/>
  <c r="N56" i="52" s="1"/>
  <c r="K56" i="52"/>
  <c r="E56" i="52"/>
  <c r="B56" i="52"/>
  <c r="M55" i="52"/>
  <c r="N55" i="52" s="1"/>
  <c r="K55" i="52"/>
  <c r="E55" i="52"/>
  <c r="B55" i="52"/>
  <c r="M54" i="52"/>
  <c r="N54" i="52" s="1"/>
  <c r="K54" i="52"/>
  <c r="E54" i="52"/>
  <c r="B54" i="52"/>
  <c r="M53" i="52"/>
  <c r="N53" i="52" s="1"/>
  <c r="K53" i="52"/>
  <c r="E53" i="52"/>
  <c r="B53" i="52"/>
  <c r="M52" i="52"/>
  <c r="N52" i="52" s="1"/>
  <c r="K52" i="52"/>
  <c r="E52" i="52"/>
  <c r="B52" i="52"/>
  <c r="M51" i="52"/>
  <c r="N51" i="52" s="1"/>
  <c r="K51" i="52"/>
  <c r="E51" i="52"/>
  <c r="B51" i="52"/>
  <c r="M50" i="52"/>
  <c r="N50" i="52" s="1"/>
  <c r="K50" i="52"/>
  <c r="E50" i="52"/>
  <c r="B50" i="52"/>
  <c r="M49" i="52"/>
  <c r="N49" i="52" s="1"/>
  <c r="K49" i="52"/>
  <c r="E49" i="52"/>
  <c r="B49" i="52"/>
  <c r="M48" i="52"/>
  <c r="N48" i="52" s="1"/>
  <c r="K48" i="52"/>
  <c r="E48" i="52"/>
  <c r="B48" i="52"/>
  <c r="M47" i="52"/>
  <c r="N47" i="52" s="1"/>
  <c r="K47" i="52"/>
  <c r="E47" i="52"/>
  <c r="B47" i="52"/>
  <c r="M46" i="52"/>
  <c r="N46" i="52" s="1"/>
  <c r="K46" i="52"/>
  <c r="E46" i="52"/>
  <c r="B46" i="52"/>
  <c r="M45" i="52"/>
  <c r="N45" i="52" s="1"/>
  <c r="K45" i="52"/>
  <c r="E45" i="52"/>
  <c r="B45" i="52"/>
  <c r="M44" i="52"/>
  <c r="N44" i="52" s="1"/>
  <c r="K44" i="52"/>
  <c r="E44" i="52"/>
  <c r="B44" i="52"/>
  <c r="M43" i="52"/>
  <c r="N43" i="52" s="1"/>
  <c r="K43" i="52"/>
  <c r="E43" i="52"/>
  <c r="B43" i="52"/>
  <c r="M42" i="52"/>
  <c r="N42" i="52" s="1"/>
  <c r="K42" i="52"/>
  <c r="E42" i="52"/>
  <c r="B42" i="52"/>
  <c r="M41" i="52"/>
  <c r="N41" i="52" s="1"/>
  <c r="K41" i="52"/>
  <c r="E41" i="52"/>
  <c r="B41" i="52"/>
  <c r="M40" i="52"/>
  <c r="N40" i="52" s="1"/>
  <c r="K40" i="52"/>
  <c r="E40" i="52"/>
  <c r="B40" i="52"/>
  <c r="M39" i="52"/>
  <c r="N39" i="52" s="1"/>
  <c r="K39" i="52"/>
  <c r="E39" i="52"/>
  <c r="B39" i="52"/>
  <c r="M38" i="52"/>
  <c r="N38" i="52" s="1"/>
  <c r="K38" i="52"/>
  <c r="E38" i="52"/>
  <c r="B38" i="52"/>
  <c r="M37" i="52"/>
  <c r="N37" i="52" s="1"/>
  <c r="K37" i="52"/>
  <c r="E37" i="52"/>
  <c r="B37" i="52"/>
  <c r="M36" i="52"/>
  <c r="N36" i="52" s="1"/>
  <c r="K36" i="52"/>
  <c r="E36" i="52"/>
  <c r="B36" i="52"/>
  <c r="M35" i="52"/>
  <c r="N35" i="52" s="1"/>
  <c r="K35" i="52"/>
  <c r="E35" i="52"/>
  <c r="B35" i="52"/>
  <c r="M34" i="52"/>
  <c r="N34" i="52" s="1"/>
  <c r="K34" i="52"/>
  <c r="E34" i="52"/>
  <c r="B34" i="52"/>
  <c r="N33" i="52"/>
  <c r="M33" i="52"/>
  <c r="K33" i="52"/>
  <c r="E33" i="52"/>
  <c r="B33" i="52"/>
  <c r="M32" i="52"/>
  <c r="N32" i="52" s="1"/>
  <c r="K32" i="52"/>
  <c r="E32" i="52"/>
  <c r="B32" i="52"/>
  <c r="N31" i="52"/>
  <c r="M31" i="52"/>
  <c r="K31" i="52"/>
  <c r="E31" i="52"/>
  <c r="B31" i="52"/>
  <c r="M30" i="52"/>
  <c r="N30" i="52" s="1"/>
  <c r="K30" i="52"/>
  <c r="E30" i="52"/>
  <c r="B30" i="52"/>
  <c r="N29" i="52"/>
  <c r="M29" i="52"/>
  <c r="K29" i="52"/>
  <c r="E29" i="52"/>
  <c r="B29" i="52"/>
  <c r="M28" i="52"/>
  <c r="N28" i="52" s="1"/>
  <c r="K28" i="52"/>
  <c r="E28" i="52"/>
  <c r="B28" i="52"/>
  <c r="N27" i="52"/>
  <c r="M27" i="52"/>
  <c r="K27" i="52"/>
  <c r="E27" i="52"/>
  <c r="B27" i="52"/>
  <c r="M26" i="52"/>
  <c r="N26" i="52" s="1"/>
  <c r="K26" i="52"/>
  <c r="E26" i="52"/>
  <c r="B26" i="52"/>
  <c r="N25" i="52"/>
  <c r="M25" i="52"/>
  <c r="K25" i="52"/>
  <c r="E25" i="52"/>
  <c r="B25" i="52"/>
  <c r="M24" i="52"/>
  <c r="N24" i="52" s="1"/>
  <c r="K24" i="52"/>
  <c r="E24" i="52"/>
  <c r="B24" i="52"/>
  <c r="N23" i="52"/>
  <c r="M23" i="52"/>
  <c r="K23" i="52"/>
  <c r="E23" i="52"/>
  <c r="B23" i="52"/>
  <c r="M22" i="52"/>
  <c r="N22" i="52" s="1"/>
  <c r="K22" i="52"/>
  <c r="E22" i="52"/>
  <c r="B22" i="52"/>
  <c r="N21" i="52"/>
  <c r="M21" i="52"/>
  <c r="K21" i="52"/>
  <c r="E21" i="52"/>
  <c r="B21" i="52"/>
  <c r="M20" i="52"/>
  <c r="N20" i="52" s="1"/>
  <c r="K20" i="52"/>
  <c r="E20" i="52"/>
  <c r="B20" i="52"/>
  <c r="N19" i="52"/>
  <c r="M19" i="52"/>
  <c r="K19" i="52"/>
  <c r="E19" i="52"/>
  <c r="B19" i="52"/>
  <c r="M18" i="52"/>
  <c r="N18" i="52" s="1"/>
  <c r="K18" i="52"/>
  <c r="E18" i="52"/>
  <c r="B18" i="52"/>
  <c r="N17" i="52"/>
  <c r="M17" i="52"/>
  <c r="K17" i="52"/>
  <c r="E17" i="52"/>
  <c r="B17" i="52"/>
  <c r="M16" i="52"/>
  <c r="N16" i="52" s="1"/>
  <c r="K16" i="52"/>
  <c r="E16" i="52"/>
  <c r="B16" i="52"/>
  <c r="N15" i="52"/>
  <c r="M15" i="52"/>
  <c r="K15" i="52"/>
  <c r="E15" i="52"/>
  <c r="B15" i="52"/>
  <c r="M14" i="52"/>
  <c r="N14" i="52" s="1"/>
  <c r="K14" i="52"/>
  <c r="E14" i="52"/>
  <c r="B14" i="52"/>
  <c r="N13" i="52"/>
  <c r="M13" i="52"/>
  <c r="K13" i="52"/>
  <c r="E13" i="52"/>
  <c r="B13" i="52"/>
  <c r="M12" i="52"/>
  <c r="N12" i="52" s="1"/>
  <c r="K12" i="52"/>
  <c r="E12" i="52"/>
  <c r="B12" i="52"/>
  <c r="N11" i="52"/>
  <c r="M11" i="52"/>
  <c r="K11" i="52"/>
  <c r="E11" i="52"/>
  <c r="B11" i="52"/>
  <c r="M10" i="52"/>
  <c r="N10" i="52" s="1"/>
  <c r="K10" i="52"/>
  <c r="E10" i="52"/>
  <c r="B10" i="52"/>
  <c r="N9" i="52"/>
  <c r="M9" i="52"/>
  <c r="K9" i="52"/>
  <c r="E9" i="52"/>
  <c r="B9" i="52"/>
  <c r="M8" i="52"/>
  <c r="N8" i="52" s="1"/>
  <c r="K8" i="52"/>
  <c r="E8" i="52"/>
  <c r="B8" i="52"/>
  <c r="N7" i="52"/>
  <c r="M7" i="52"/>
  <c r="K7" i="52"/>
  <c r="E7" i="52"/>
  <c r="B7" i="52"/>
  <c r="M6" i="52"/>
  <c r="N6" i="52" s="1"/>
  <c r="K6" i="52"/>
  <c r="E6" i="52"/>
  <c r="B6" i="52"/>
  <c r="N5" i="52"/>
  <c r="M5" i="52"/>
  <c r="K5" i="52"/>
  <c r="E5" i="52"/>
  <c r="B5" i="52"/>
  <c r="M4" i="52"/>
  <c r="N4" i="52" s="1"/>
  <c r="K4" i="52"/>
  <c r="E4" i="52"/>
  <c r="B4" i="52"/>
  <c r="V2" i="52"/>
  <c r="U2" i="52"/>
  <c r="T2" i="52"/>
  <c r="S2" i="52"/>
  <c r="R2" i="52"/>
  <c r="Q2" i="52"/>
  <c r="P2" i="52"/>
  <c r="O2" i="52"/>
  <c r="M2" i="52"/>
  <c r="L2" i="52"/>
  <c r="J2" i="52"/>
  <c r="I2" i="52"/>
  <c r="H2" i="52"/>
  <c r="G2" i="52"/>
  <c r="K2" i="52" s="1"/>
  <c r="F2" i="52"/>
  <c r="N2" i="52" s="1"/>
  <c r="E2" i="52"/>
  <c r="N134" i="51"/>
  <c r="M134" i="51"/>
  <c r="K134" i="51"/>
  <c r="E134" i="51"/>
  <c r="B134" i="51"/>
  <c r="M133" i="51"/>
  <c r="N133" i="51" s="1"/>
  <c r="K133" i="51"/>
  <c r="E133" i="51"/>
  <c r="B133" i="51"/>
  <c r="M132" i="51"/>
  <c r="N132" i="51" s="1"/>
  <c r="K132" i="51"/>
  <c r="E132" i="51"/>
  <c r="B132" i="51"/>
  <c r="N131" i="51"/>
  <c r="M131" i="51"/>
  <c r="K131" i="51"/>
  <c r="E131" i="51"/>
  <c r="B131" i="51"/>
  <c r="N130" i="51"/>
  <c r="M130" i="51"/>
  <c r="K130" i="51"/>
  <c r="E130" i="51"/>
  <c r="B130" i="51"/>
  <c r="M129" i="51"/>
  <c r="N129" i="51" s="1"/>
  <c r="K129" i="51"/>
  <c r="E129" i="51"/>
  <c r="B129" i="51"/>
  <c r="M128" i="51"/>
  <c r="N128" i="51" s="1"/>
  <c r="K128" i="51"/>
  <c r="E128" i="51"/>
  <c r="B128" i="51"/>
  <c r="N127" i="51"/>
  <c r="M127" i="51"/>
  <c r="K127" i="51"/>
  <c r="E127" i="51"/>
  <c r="B127" i="51"/>
  <c r="N126" i="51"/>
  <c r="M126" i="51"/>
  <c r="K126" i="51"/>
  <c r="E126" i="51"/>
  <c r="B126" i="51"/>
  <c r="M125" i="51"/>
  <c r="N125" i="51" s="1"/>
  <c r="K125" i="51"/>
  <c r="E125" i="51"/>
  <c r="B125" i="51"/>
  <c r="M124" i="51"/>
  <c r="N124" i="51" s="1"/>
  <c r="K124" i="51"/>
  <c r="E124" i="51"/>
  <c r="B124" i="51"/>
  <c r="M123" i="51"/>
  <c r="N123" i="51" s="1"/>
  <c r="K123" i="51"/>
  <c r="E123" i="51"/>
  <c r="B123" i="51"/>
  <c r="N122" i="51"/>
  <c r="M122" i="51"/>
  <c r="K122" i="51"/>
  <c r="E122" i="51"/>
  <c r="B122" i="51"/>
  <c r="M121" i="51"/>
  <c r="N121" i="51" s="1"/>
  <c r="K121" i="51"/>
  <c r="E121" i="51"/>
  <c r="B121" i="51"/>
  <c r="M120" i="51"/>
  <c r="N120" i="51" s="1"/>
  <c r="K120" i="51"/>
  <c r="E120" i="51"/>
  <c r="B120" i="51"/>
  <c r="M119" i="51"/>
  <c r="N119" i="51" s="1"/>
  <c r="K119" i="51"/>
  <c r="E119" i="51"/>
  <c r="B119" i="51"/>
  <c r="N118" i="51"/>
  <c r="M118" i="51"/>
  <c r="K118" i="51"/>
  <c r="E118" i="51"/>
  <c r="B118" i="51"/>
  <c r="M117" i="51"/>
  <c r="N117" i="51" s="1"/>
  <c r="K117" i="51"/>
  <c r="E117" i="51"/>
  <c r="B117" i="51"/>
  <c r="M116" i="51"/>
  <c r="N116" i="51" s="1"/>
  <c r="K116" i="51"/>
  <c r="E116" i="51"/>
  <c r="B116" i="51"/>
  <c r="M115" i="51"/>
  <c r="N115" i="51" s="1"/>
  <c r="K115" i="51"/>
  <c r="E115" i="51"/>
  <c r="B115" i="51"/>
  <c r="N114" i="51"/>
  <c r="M114" i="51"/>
  <c r="K114" i="51"/>
  <c r="E114" i="51"/>
  <c r="B114" i="51"/>
  <c r="M113" i="51"/>
  <c r="N113" i="51" s="1"/>
  <c r="K113" i="51"/>
  <c r="E113" i="51"/>
  <c r="B113" i="51"/>
  <c r="M112" i="51"/>
  <c r="N112" i="51" s="1"/>
  <c r="K112" i="51"/>
  <c r="E112" i="51"/>
  <c r="B112" i="51"/>
  <c r="M111" i="51"/>
  <c r="N111" i="51" s="1"/>
  <c r="K111" i="51"/>
  <c r="E111" i="51"/>
  <c r="B111" i="51"/>
  <c r="N110" i="51"/>
  <c r="M110" i="51"/>
  <c r="K110" i="51"/>
  <c r="E110" i="51"/>
  <c r="B110" i="51"/>
  <c r="M109" i="51"/>
  <c r="N109" i="51" s="1"/>
  <c r="K109" i="51"/>
  <c r="E109" i="51"/>
  <c r="B109" i="51"/>
  <c r="M108" i="51"/>
  <c r="N108" i="51" s="1"/>
  <c r="K108" i="51"/>
  <c r="E108" i="51"/>
  <c r="B108" i="51"/>
  <c r="M107" i="51"/>
  <c r="N107" i="51" s="1"/>
  <c r="K107" i="51"/>
  <c r="E107" i="51"/>
  <c r="B107" i="51"/>
  <c r="N106" i="51"/>
  <c r="M106" i="51"/>
  <c r="K106" i="51"/>
  <c r="E106" i="51"/>
  <c r="B106" i="51"/>
  <c r="M105" i="51"/>
  <c r="N105" i="51" s="1"/>
  <c r="K105" i="51"/>
  <c r="E105" i="51"/>
  <c r="B105" i="51"/>
  <c r="M104" i="51"/>
  <c r="N104" i="51" s="1"/>
  <c r="K104" i="51"/>
  <c r="E104" i="51"/>
  <c r="B104" i="51"/>
  <c r="M103" i="51"/>
  <c r="N103" i="51" s="1"/>
  <c r="K103" i="51"/>
  <c r="E103" i="51"/>
  <c r="B103" i="51"/>
  <c r="N102" i="51"/>
  <c r="M102" i="51"/>
  <c r="K102" i="51"/>
  <c r="E102" i="51"/>
  <c r="B102" i="51"/>
  <c r="M101" i="51"/>
  <c r="N101" i="51" s="1"/>
  <c r="K101" i="51"/>
  <c r="E101" i="51"/>
  <c r="B101" i="51"/>
  <c r="M100" i="51"/>
  <c r="N100" i="51" s="1"/>
  <c r="K100" i="51"/>
  <c r="E100" i="51"/>
  <c r="B100" i="51"/>
  <c r="M99" i="51"/>
  <c r="N99" i="51" s="1"/>
  <c r="K99" i="51"/>
  <c r="E99" i="51"/>
  <c r="B99" i="51"/>
  <c r="N98" i="51"/>
  <c r="M98" i="51"/>
  <c r="K98" i="51"/>
  <c r="E98" i="51"/>
  <c r="B98" i="51"/>
  <c r="M97" i="51"/>
  <c r="N97" i="51" s="1"/>
  <c r="K97" i="51"/>
  <c r="E97" i="51"/>
  <c r="B97" i="51"/>
  <c r="M96" i="51"/>
  <c r="N96" i="51" s="1"/>
  <c r="K96" i="51"/>
  <c r="E96" i="51"/>
  <c r="B96" i="51"/>
  <c r="M95" i="51"/>
  <c r="N95" i="51" s="1"/>
  <c r="K95" i="51"/>
  <c r="E95" i="51"/>
  <c r="B95" i="51"/>
  <c r="N94" i="51"/>
  <c r="M94" i="51"/>
  <c r="K94" i="51"/>
  <c r="E94" i="51"/>
  <c r="B94" i="51"/>
  <c r="M93" i="51"/>
  <c r="N93" i="51" s="1"/>
  <c r="K93" i="51"/>
  <c r="E93" i="51"/>
  <c r="B93" i="51"/>
  <c r="M92" i="51"/>
  <c r="N92" i="51" s="1"/>
  <c r="K92" i="51"/>
  <c r="E92" i="51"/>
  <c r="B92" i="51"/>
  <c r="M91" i="51"/>
  <c r="N91" i="51" s="1"/>
  <c r="K91" i="51"/>
  <c r="E91" i="51"/>
  <c r="B91" i="51"/>
  <c r="N90" i="51"/>
  <c r="M90" i="51"/>
  <c r="K90" i="51"/>
  <c r="E90" i="51"/>
  <c r="B90" i="51"/>
  <c r="M89" i="51"/>
  <c r="N89" i="51" s="1"/>
  <c r="K89" i="51"/>
  <c r="E89" i="51"/>
  <c r="B89" i="51"/>
  <c r="M88" i="51"/>
  <c r="N88" i="51" s="1"/>
  <c r="K88" i="51"/>
  <c r="E88" i="51"/>
  <c r="B88" i="51"/>
  <c r="M87" i="51"/>
  <c r="N87" i="51" s="1"/>
  <c r="K87" i="51"/>
  <c r="E87" i="51"/>
  <c r="B87" i="51"/>
  <c r="N86" i="51"/>
  <c r="M86" i="51"/>
  <c r="K86" i="51"/>
  <c r="E86" i="51"/>
  <c r="B86" i="51"/>
  <c r="M85" i="51"/>
  <c r="N85" i="51" s="1"/>
  <c r="K85" i="51"/>
  <c r="E85" i="51"/>
  <c r="B85" i="51"/>
  <c r="M84" i="51"/>
  <c r="N84" i="51" s="1"/>
  <c r="K84" i="51"/>
  <c r="E84" i="51"/>
  <c r="B84" i="51"/>
  <c r="M83" i="51"/>
  <c r="N83" i="51" s="1"/>
  <c r="K83" i="51"/>
  <c r="E83" i="51"/>
  <c r="B83" i="51"/>
  <c r="N82" i="51"/>
  <c r="M82" i="51"/>
  <c r="K82" i="51"/>
  <c r="E82" i="51"/>
  <c r="B82" i="51"/>
  <c r="M81" i="51"/>
  <c r="N81" i="51" s="1"/>
  <c r="K81" i="51"/>
  <c r="E81" i="51"/>
  <c r="B81" i="51"/>
  <c r="M80" i="51"/>
  <c r="N80" i="51" s="1"/>
  <c r="K80" i="51"/>
  <c r="E80" i="51"/>
  <c r="B80" i="51"/>
  <c r="M79" i="51"/>
  <c r="N79" i="51" s="1"/>
  <c r="K79" i="51"/>
  <c r="E79" i="51"/>
  <c r="B79" i="51"/>
  <c r="N78" i="51"/>
  <c r="M78" i="51"/>
  <c r="K78" i="51"/>
  <c r="E78" i="51"/>
  <c r="B78" i="51"/>
  <c r="M77" i="51"/>
  <c r="N77" i="51" s="1"/>
  <c r="K77" i="51"/>
  <c r="E77" i="51"/>
  <c r="B77" i="51"/>
  <c r="M76" i="51"/>
  <c r="N76" i="51" s="1"/>
  <c r="K76" i="51"/>
  <c r="E76" i="51"/>
  <c r="B76" i="51"/>
  <c r="M75" i="51"/>
  <c r="N75" i="51" s="1"/>
  <c r="K75" i="51"/>
  <c r="E75" i="51"/>
  <c r="B75" i="51"/>
  <c r="N74" i="51"/>
  <c r="M74" i="51"/>
  <c r="K74" i="51"/>
  <c r="E74" i="51"/>
  <c r="B74" i="51"/>
  <c r="M73" i="51"/>
  <c r="N73" i="51" s="1"/>
  <c r="K73" i="51"/>
  <c r="E73" i="51"/>
  <c r="B73" i="51"/>
  <c r="M72" i="51"/>
  <c r="N72" i="51" s="1"/>
  <c r="K72" i="51"/>
  <c r="E72" i="51"/>
  <c r="B72" i="51"/>
  <c r="M71" i="51"/>
  <c r="N71" i="51" s="1"/>
  <c r="K71" i="51"/>
  <c r="E71" i="51"/>
  <c r="B71" i="51"/>
  <c r="N70" i="51"/>
  <c r="M70" i="51"/>
  <c r="K70" i="51"/>
  <c r="E70" i="51"/>
  <c r="B70" i="51"/>
  <c r="M69" i="51"/>
  <c r="N69" i="51" s="1"/>
  <c r="K69" i="51"/>
  <c r="E69" i="51"/>
  <c r="B69" i="51"/>
  <c r="M68" i="51"/>
  <c r="N68" i="51" s="1"/>
  <c r="K68" i="51"/>
  <c r="E68" i="51"/>
  <c r="B68" i="51"/>
  <c r="M67" i="51"/>
  <c r="N67" i="51" s="1"/>
  <c r="K67" i="51"/>
  <c r="E67" i="51"/>
  <c r="B67" i="51"/>
  <c r="N66" i="51"/>
  <c r="M66" i="51"/>
  <c r="K66" i="51"/>
  <c r="E66" i="51"/>
  <c r="B66" i="51"/>
  <c r="M65" i="51"/>
  <c r="N65" i="51" s="1"/>
  <c r="K65" i="51"/>
  <c r="E65" i="51"/>
  <c r="B65" i="51"/>
  <c r="M64" i="51"/>
  <c r="N64" i="51" s="1"/>
  <c r="K64" i="51"/>
  <c r="E64" i="51"/>
  <c r="B64" i="51"/>
  <c r="M63" i="51"/>
  <c r="N63" i="51" s="1"/>
  <c r="K63" i="51"/>
  <c r="E63" i="51"/>
  <c r="B63" i="51"/>
  <c r="N62" i="51"/>
  <c r="M62" i="51"/>
  <c r="K62" i="51"/>
  <c r="E62" i="51"/>
  <c r="B62" i="51"/>
  <c r="M61" i="51"/>
  <c r="N61" i="51" s="1"/>
  <c r="K61" i="51"/>
  <c r="E61" i="51"/>
  <c r="B61" i="51"/>
  <c r="M60" i="51"/>
  <c r="N60" i="51" s="1"/>
  <c r="K60" i="51"/>
  <c r="E60" i="51"/>
  <c r="B60" i="51"/>
  <c r="M59" i="51"/>
  <c r="N59" i="51" s="1"/>
  <c r="K59" i="51"/>
  <c r="E59" i="51"/>
  <c r="B59" i="51"/>
  <c r="N58" i="51"/>
  <c r="M58" i="51"/>
  <c r="K58" i="51"/>
  <c r="E58" i="51"/>
  <c r="B58" i="51"/>
  <c r="M57" i="51"/>
  <c r="N57" i="51" s="1"/>
  <c r="K57" i="51"/>
  <c r="E57" i="51"/>
  <c r="B57" i="51"/>
  <c r="M56" i="51"/>
  <c r="N56" i="51" s="1"/>
  <c r="K56" i="51"/>
  <c r="E56" i="51"/>
  <c r="B56" i="51"/>
  <c r="M55" i="51"/>
  <c r="N55" i="51" s="1"/>
  <c r="K55" i="51"/>
  <c r="E55" i="51"/>
  <c r="B55" i="51"/>
  <c r="N54" i="51"/>
  <c r="M54" i="51"/>
  <c r="K54" i="51"/>
  <c r="E54" i="51"/>
  <c r="B54" i="51"/>
  <c r="M53" i="51"/>
  <c r="N53" i="51" s="1"/>
  <c r="K53" i="51"/>
  <c r="E53" i="51"/>
  <c r="B53" i="51"/>
  <c r="M52" i="51"/>
  <c r="N52" i="51" s="1"/>
  <c r="K52" i="51"/>
  <c r="E52" i="51"/>
  <c r="B52" i="51"/>
  <c r="M51" i="51"/>
  <c r="N51" i="51" s="1"/>
  <c r="K51" i="51"/>
  <c r="E51" i="51"/>
  <c r="B51" i="51"/>
  <c r="N50" i="51"/>
  <c r="M50" i="51"/>
  <c r="K50" i="51"/>
  <c r="E50" i="51"/>
  <c r="B50" i="51"/>
  <c r="M49" i="51"/>
  <c r="N49" i="51" s="1"/>
  <c r="K49" i="51"/>
  <c r="E49" i="51"/>
  <c r="B49" i="51"/>
  <c r="M48" i="51"/>
  <c r="N48" i="51" s="1"/>
  <c r="K48" i="51"/>
  <c r="E48" i="51"/>
  <c r="B48" i="51"/>
  <c r="M47" i="51"/>
  <c r="N47" i="51" s="1"/>
  <c r="K47" i="51"/>
  <c r="E47" i="51"/>
  <c r="B47" i="51"/>
  <c r="N46" i="51"/>
  <c r="M46" i="51"/>
  <c r="K46" i="51"/>
  <c r="E46" i="51"/>
  <c r="B46" i="51"/>
  <c r="M45" i="51"/>
  <c r="N45" i="51" s="1"/>
  <c r="K45" i="51"/>
  <c r="E45" i="51"/>
  <c r="B45" i="51"/>
  <c r="M44" i="51"/>
  <c r="N44" i="51" s="1"/>
  <c r="K44" i="51"/>
  <c r="E44" i="51"/>
  <c r="B44" i="51"/>
  <c r="M43" i="51"/>
  <c r="N43" i="51" s="1"/>
  <c r="K43" i="51"/>
  <c r="E43" i="51"/>
  <c r="B43" i="51"/>
  <c r="N42" i="51"/>
  <c r="M42" i="51"/>
  <c r="K42" i="51"/>
  <c r="E42" i="51"/>
  <c r="B42" i="51"/>
  <c r="M41" i="51"/>
  <c r="N41" i="51" s="1"/>
  <c r="K41" i="51"/>
  <c r="E41" i="51"/>
  <c r="B41" i="51"/>
  <c r="M40" i="51"/>
  <c r="N40" i="51" s="1"/>
  <c r="K40" i="51"/>
  <c r="E40" i="51"/>
  <c r="B40" i="51"/>
  <c r="M39" i="51"/>
  <c r="N39" i="51" s="1"/>
  <c r="K39" i="51"/>
  <c r="E39" i="51"/>
  <c r="B39" i="51"/>
  <c r="N38" i="51"/>
  <c r="M38" i="51"/>
  <c r="K38" i="51"/>
  <c r="E38" i="51"/>
  <c r="B38" i="51"/>
  <c r="M37" i="51"/>
  <c r="N37" i="51" s="1"/>
  <c r="K37" i="51"/>
  <c r="E37" i="51"/>
  <c r="B37" i="51"/>
  <c r="M36" i="51"/>
  <c r="N36" i="51" s="1"/>
  <c r="K36" i="51"/>
  <c r="E36" i="51"/>
  <c r="B36" i="51"/>
  <c r="M35" i="51"/>
  <c r="N35" i="51" s="1"/>
  <c r="K35" i="51"/>
  <c r="E35" i="51"/>
  <c r="B35" i="51"/>
  <c r="N34" i="51"/>
  <c r="M34" i="51"/>
  <c r="K34" i="51"/>
  <c r="E34" i="51"/>
  <c r="B34" i="51"/>
  <c r="M33" i="51"/>
  <c r="N33" i="51" s="1"/>
  <c r="K33" i="51"/>
  <c r="E33" i="51"/>
  <c r="B33" i="51"/>
  <c r="M32" i="51"/>
  <c r="N32" i="51" s="1"/>
  <c r="K32" i="51"/>
  <c r="E32" i="51"/>
  <c r="B32" i="51"/>
  <c r="M31" i="51"/>
  <c r="N31" i="51" s="1"/>
  <c r="K31" i="51"/>
  <c r="E31" i="51"/>
  <c r="B31" i="51"/>
  <c r="N30" i="51"/>
  <c r="M30" i="51"/>
  <c r="K30" i="51"/>
  <c r="E30" i="51"/>
  <c r="B30" i="51"/>
  <c r="M29" i="51"/>
  <c r="N29" i="51" s="1"/>
  <c r="K29" i="51"/>
  <c r="E29" i="51"/>
  <c r="B29" i="51"/>
  <c r="M28" i="51"/>
  <c r="N28" i="51" s="1"/>
  <c r="K28" i="51"/>
  <c r="E28" i="51"/>
  <c r="B28" i="51"/>
  <c r="M27" i="51"/>
  <c r="N27" i="51" s="1"/>
  <c r="K27" i="51"/>
  <c r="E27" i="51"/>
  <c r="B27" i="51"/>
  <c r="N26" i="51"/>
  <c r="M26" i="51"/>
  <c r="K26" i="51"/>
  <c r="E26" i="51"/>
  <c r="B26" i="51"/>
  <c r="M25" i="51"/>
  <c r="N25" i="51" s="1"/>
  <c r="K25" i="51"/>
  <c r="E25" i="51"/>
  <c r="B25" i="51"/>
  <c r="M24" i="51"/>
  <c r="N24" i="51" s="1"/>
  <c r="K24" i="51"/>
  <c r="E24" i="51"/>
  <c r="B24" i="51"/>
  <c r="M23" i="51"/>
  <c r="N23" i="51" s="1"/>
  <c r="K23" i="51"/>
  <c r="E23" i="51"/>
  <c r="B23" i="51"/>
  <c r="N22" i="51"/>
  <c r="M22" i="51"/>
  <c r="K22" i="51"/>
  <c r="E22" i="51"/>
  <c r="B22" i="51"/>
  <c r="M21" i="51"/>
  <c r="N21" i="51" s="1"/>
  <c r="K21" i="51"/>
  <c r="E21" i="51"/>
  <c r="B21" i="51"/>
  <c r="M20" i="51"/>
  <c r="N20" i="51" s="1"/>
  <c r="K20" i="51"/>
  <c r="E20" i="51"/>
  <c r="B20" i="51"/>
  <c r="M19" i="51"/>
  <c r="N19" i="51" s="1"/>
  <c r="K19" i="51"/>
  <c r="E19" i="51"/>
  <c r="B19" i="51"/>
  <c r="N18" i="51"/>
  <c r="M18" i="51"/>
  <c r="K18" i="51"/>
  <c r="E18" i="51"/>
  <c r="B18" i="51"/>
  <c r="M17" i="51"/>
  <c r="N17" i="51" s="1"/>
  <c r="K17" i="51"/>
  <c r="E17" i="51"/>
  <c r="B17" i="51"/>
  <c r="M16" i="51"/>
  <c r="N16" i="51" s="1"/>
  <c r="K16" i="51"/>
  <c r="E16" i="51"/>
  <c r="B16" i="51"/>
  <c r="M15" i="51"/>
  <c r="N15" i="51" s="1"/>
  <c r="K15" i="51"/>
  <c r="E15" i="51"/>
  <c r="B15" i="51"/>
  <c r="N14" i="51"/>
  <c r="M14" i="51"/>
  <c r="K14" i="51"/>
  <c r="E14" i="51"/>
  <c r="B14" i="51"/>
  <c r="M13" i="51"/>
  <c r="N13" i="51" s="1"/>
  <c r="K13" i="51"/>
  <c r="E13" i="51"/>
  <c r="B13" i="51"/>
  <c r="M12" i="51"/>
  <c r="N12" i="51" s="1"/>
  <c r="K12" i="51"/>
  <c r="E12" i="51"/>
  <c r="B12" i="51"/>
  <c r="M11" i="51"/>
  <c r="N11" i="51" s="1"/>
  <c r="K11" i="51"/>
  <c r="E11" i="51"/>
  <c r="B11" i="51"/>
  <c r="N10" i="51"/>
  <c r="M10" i="51"/>
  <c r="K10" i="51"/>
  <c r="E10" i="51"/>
  <c r="B10" i="51"/>
  <c r="M9" i="51"/>
  <c r="N9" i="51" s="1"/>
  <c r="K9" i="51"/>
  <c r="E9" i="51"/>
  <c r="B9" i="51"/>
  <c r="M8" i="51"/>
  <c r="N8" i="51" s="1"/>
  <c r="K8" i="51"/>
  <c r="E8" i="51"/>
  <c r="B8" i="51"/>
  <c r="M7" i="51"/>
  <c r="N7" i="51" s="1"/>
  <c r="K7" i="51"/>
  <c r="E7" i="51"/>
  <c r="B7" i="51"/>
  <c r="N6" i="51"/>
  <c r="M6" i="51"/>
  <c r="K6" i="51"/>
  <c r="E6" i="51"/>
  <c r="B6" i="51"/>
  <c r="M5" i="51"/>
  <c r="N5" i="51" s="1"/>
  <c r="K5" i="51"/>
  <c r="E5" i="51"/>
  <c r="B5" i="51"/>
  <c r="M4" i="51"/>
  <c r="N4" i="51" s="1"/>
  <c r="K4" i="51"/>
  <c r="E4" i="51"/>
  <c r="B4" i="51"/>
  <c r="V2" i="51"/>
  <c r="U2" i="51"/>
  <c r="T2" i="51"/>
  <c r="S2" i="51"/>
  <c r="R2" i="51"/>
  <c r="Q2" i="51"/>
  <c r="P2" i="51"/>
  <c r="M2" i="51" s="1"/>
  <c r="O2" i="51"/>
  <c r="L2" i="51"/>
  <c r="J2" i="51"/>
  <c r="I2" i="51"/>
  <c r="H2" i="51"/>
  <c r="G2" i="51"/>
  <c r="K2" i="51" s="1"/>
  <c r="F2" i="51"/>
  <c r="N2" i="51" s="1"/>
  <c r="E2" i="51"/>
  <c r="M134" i="49"/>
  <c r="N134" i="49" s="1"/>
  <c r="K134" i="49"/>
  <c r="E134" i="49"/>
  <c r="B134" i="49"/>
  <c r="N133" i="49"/>
  <c r="M133" i="49"/>
  <c r="K133" i="49"/>
  <c r="E133" i="49"/>
  <c r="B133" i="49"/>
  <c r="M132" i="49"/>
  <c r="N132" i="49" s="1"/>
  <c r="K132" i="49"/>
  <c r="E132" i="49"/>
  <c r="B132" i="49"/>
  <c r="M131" i="49"/>
  <c r="N131" i="49" s="1"/>
  <c r="K131" i="49"/>
  <c r="E131" i="49"/>
  <c r="B131" i="49"/>
  <c r="M130" i="49"/>
  <c r="N130" i="49" s="1"/>
  <c r="K130" i="49"/>
  <c r="E130" i="49"/>
  <c r="B130" i="49"/>
  <c r="N129" i="49"/>
  <c r="M129" i="49"/>
  <c r="K129" i="49"/>
  <c r="E129" i="49"/>
  <c r="B129" i="49"/>
  <c r="M128" i="49"/>
  <c r="N128" i="49" s="1"/>
  <c r="K128" i="49"/>
  <c r="E128" i="49"/>
  <c r="B128" i="49"/>
  <c r="M127" i="49"/>
  <c r="N127" i="49" s="1"/>
  <c r="K127" i="49"/>
  <c r="E127" i="49"/>
  <c r="B127" i="49"/>
  <c r="M126" i="49"/>
  <c r="N126" i="49" s="1"/>
  <c r="K126" i="49"/>
  <c r="E126" i="49"/>
  <c r="B126" i="49"/>
  <c r="N125" i="49"/>
  <c r="M125" i="49"/>
  <c r="K125" i="49"/>
  <c r="E125" i="49"/>
  <c r="B125" i="49"/>
  <c r="M124" i="49"/>
  <c r="N124" i="49" s="1"/>
  <c r="K124" i="49"/>
  <c r="E124" i="49"/>
  <c r="B124" i="49"/>
  <c r="M123" i="49"/>
  <c r="N123" i="49" s="1"/>
  <c r="K123" i="49"/>
  <c r="E123" i="49"/>
  <c r="B123" i="49"/>
  <c r="M122" i="49"/>
  <c r="N122" i="49" s="1"/>
  <c r="K122" i="49"/>
  <c r="E122" i="49"/>
  <c r="B122" i="49"/>
  <c r="N121" i="49"/>
  <c r="M121" i="49"/>
  <c r="K121" i="49"/>
  <c r="E121" i="49"/>
  <c r="B121" i="49"/>
  <c r="M120" i="49"/>
  <c r="N120" i="49" s="1"/>
  <c r="K120" i="49"/>
  <c r="E120" i="49"/>
  <c r="B120" i="49"/>
  <c r="M119" i="49"/>
  <c r="N119" i="49" s="1"/>
  <c r="K119" i="49"/>
  <c r="E119" i="49"/>
  <c r="B119" i="49"/>
  <c r="M118" i="49"/>
  <c r="N118" i="49" s="1"/>
  <c r="K118" i="49"/>
  <c r="E118" i="49"/>
  <c r="B118" i="49"/>
  <c r="N117" i="49"/>
  <c r="M117" i="49"/>
  <c r="K117" i="49"/>
  <c r="E117" i="49"/>
  <c r="B117" i="49"/>
  <c r="M116" i="49"/>
  <c r="N116" i="49" s="1"/>
  <c r="K116" i="49"/>
  <c r="E116" i="49"/>
  <c r="B116" i="49"/>
  <c r="M115" i="49"/>
  <c r="N115" i="49" s="1"/>
  <c r="K115" i="49"/>
  <c r="E115" i="49"/>
  <c r="B115" i="49"/>
  <c r="M114" i="49"/>
  <c r="N114" i="49" s="1"/>
  <c r="K114" i="49"/>
  <c r="E114" i="49"/>
  <c r="B114" i="49"/>
  <c r="N113" i="49"/>
  <c r="M113" i="49"/>
  <c r="K113" i="49"/>
  <c r="E113" i="49"/>
  <c r="B113" i="49"/>
  <c r="M112" i="49"/>
  <c r="N112" i="49" s="1"/>
  <c r="K112" i="49"/>
  <c r="E112" i="49"/>
  <c r="B112" i="49"/>
  <c r="M111" i="49"/>
  <c r="N111" i="49" s="1"/>
  <c r="K111" i="49"/>
  <c r="E111" i="49"/>
  <c r="B111" i="49"/>
  <c r="M110" i="49"/>
  <c r="N110" i="49" s="1"/>
  <c r="K110" i="49"/>
  <c r="E110" i="49"/>
  <c r="B110" i="49"/>
  <c r="N109" i="49"/>
  <c r="M109" i="49"/>
  <c r="K109" i="49"/>
  <c r="E109" i="49"/>
  <c r="B109" i="49"/>
  <c r="M108" i="49"/>
  <c r="N108" i="49" s="1"/>
  <c r="K108" i="49"/>
  <c r="E108" i="49"/>
  <c r="B108" i="49"/>
  <c r="M107" i="49"/>
  <c r="N107" i="49" s="1"/>
  <c r="K107" i="49"/>
  <c r="E107" i="49"/>
  <c r="B107" i="49"/>
  <c r="M106" i="49"/>
  <c r="N106" i="49" s="1"/>
  <c r="K106" i="49"/>
  <c r="E106" i="49"/>
  <c r="B106" i="49"/>
  <c r="N105" i="49"/>
  <c r="M105" i="49"/>
  <c r="K105" i="49"/>
  <c r="E105" i="49"/>
  <c r="B105" i="49"/>
  <c r="M104" i="49"/>
  <c r="N104" i="49" s="1"/>
  <c r="K104" i="49"/>
  <c r="E104" i="49"/>
  <c r="B104" i="49"/>
  <c r="M103" i="49"/>
  <c r="N103" i="49" s="1"/>
  <c r="K103" i="49"/>
  <c r="E103" i="49"/>
  <c r="B103" i="49"/>
  <c r="M102" i="49"/>
  <c r="N102" i="49" s="1"/>
  <c r="K102" i="49"/>
  <c r="E102" i="49"/>
  <c r="B102" i="49"/>
  <c r="N101" i="49"/>
  <c r="M101" i="49"/>
  <c r="K101" i="49"/>
  <c r="E101" i="49"/>
  <c r="B101" i="49"/>
  <c r="M100" i="49"/>
  <c r="N100" i="49" s="1"/>
  <c r="K100" i="49"/>
  <c r="E100" i="49"/>
  <c r="B100" i="49"/>
  <c r="M99" i="49"/>
  <c r="N99" i="49" s="1"/>
  <c r="K99" i="49"/>
  <c r="E99" i="49"/>
  <c r="B99" i="49"/>
  <c r="M98" i="49"/>
  <c r="N98" i="49" s="1"/>
  <c r="K98" i="49"/>
  <c r="E98" i="49"/>
  <c r="B98" i="49"/>
  <c r="N97" i="49"/>
  <c r="M97" i="49"/>
  <c r="K97" i="49"/>
  <c r="E97" i="49"/>
  <c r="B97" i="49"/>
  <c r="M96" i="49"/>
  <c r="N96" i="49" s="1"/>
  <c r="K96" i="49"/>
  <c r="E96" i="49"/>
  <c r="B96" i="49"/>
  <c r="M95" i="49"/>
  <c r="N95" i="49" s="1"/>
  <c r="K95" i="49"/>
  <c r="E95" i="49"/>
  <c r="B95" i="49"/>
  <c r="M94" i="49"/>
  <c r="N94" i="49" s="1"/>
  <c r="K94" i="49"/>
  <c r="E94" i="49"/>
  <c r="B94" i="49"/>
  <c r="N93" i="49"/>
  <c r="M93" i="49"/>
  <c r="K93" i="49"/>
  <c r="E93" i="49"/>
  <c r="B93" i="49"/>
  <c r="M92" i="49"/>
  <c r="N92" i="49" s="1"/>
  <c r="K92" i="49"/>
  <c r="E92" i="49"/>
  <c r="B92" i="49"/>
  <c r="M91" i="49"/>
  <c r="N91" i="49" s="1"/>
  <c r="K91" i="49"/>
  <c r="E91" i="49"/>
  <c r="B91" i="49"/>
  <c r="M90" i="49"/>
  <c r="N90" i="49" s="1"/>
  <c r="K90" i="49"/>
  <c r="E90" i="49"/>
  <c r="B90" i="49"/>
  <c r="N89" i="49"/>
  <c r="M89" i="49"/>
  <c r="K89" i="49"/>
  <c r="E89" i="49"/>
  <c r="B89" i="49"/>
  <c r="M88" i="49"/>
  <c r="N88" i="49" s="1"/>
  <c r="K88" i="49"/>
  <c r="E88" i="49"/>
  <c r="B88" i="49"/>
  <c r="M87" i="49"/>
  <c r="N87" i="49" s="1"/>
  <c r="K87" i="49"/>
  <c r="E87" i="49"/>
  <c r="B87" i="49"/>
  <c r="M86" i="49"/>
  <c r="N86" i="49" s="1"/>
  <c r="K86" i="49"/>
  <c r="E86" i="49"/>
  <c r="B86" i="49"/>
  <c r="N85" i="49"/>
  <c r="M85" i="49"/>
  <c r="K85" i="49"/>
  <c r="E85" i="49"/>
  <c r="B85" i="49"/>
  <c r="M84" i="49"/>
  <c r="N84" i="49" s="1"/>
  <c r="K84" i="49"/>
  <c r="E84" i="49"/>
  <c r="B84" i="49"/>
  <c r="M83" i="49"/>
  <c r="N83" i="49" s="1"/>
  <c r="K83" i="49"/>
  <c r="E83" i="49"/>
  <c r="B83" i="49"/>
  <c r="M82" i="49"/>
  <c r="N82" i="49" s="1"/>
  <c r="K82" i="49"/>
  <c r="E82" i="49"/>
  <c r="B82" i="49"/>
  <c r="N81" i="49"/>
  <c r="M81" i="49"/>
  <c r="K81" i="49"/>
  <c r="E81" i="49"/>
  <c r="B81" i="49"/>
  <c r="M80" i="49"/>
  <c r="N80" i="49" s="1"/>
  <c r="K80" i="49"/>
  <c r="E80" i="49"/>
  <c r="B80" i="49"/>
  <c r="M79" i="49"/>
  <c r="N79" i="49" s="1"/>
  <c r="K79" i="49"/>
  <c r="E79" i="49"/>
  <c r="B79" i="49"/>
  <c r="M78" i="49"/>
  <c r="N78" i="49" s="1"/>
  <c r="K78" i="49"/>
  <c r="E78" i="49"/>
  <c r="B78" i="49"/>
  <c r="N77" i="49"/>
  <c r="M77" i="49"/>
  <c r="K77" i="49"/>
  <c r="E77" i="49"/>
  <c r="B77" i="49"/>
  <c r="M76" i="49"/>
  <c r="N76" i="49" s="1"/>
  <c r="K76" i="49"/>
  <c r="E76" i="49"/>
  <c r="B76" i="49"/>
  <c r="M75" i="49"/>
  <c r="N75" i="49" s="1"/>
  <c r="K75" i="49"/>
  <c r="E75" i="49"/>
  <c r="B75" i="49"/>
  <c r="M74" i="49"/>
  <c r="N74" i="49" s="1"/>
  <c r="K74" i="49"/>
  <c r="E74" i="49"/>
  <c r="B74" i="49"/>
  <c r="N73" i="49"/>
  <c r="M73" i="49"/>
  <c r="K73" i="49"/>
  <c r="E73" i="49"/>
  <c r="B73" i="49"/>
  <c r="M72" i="49"/>
  <c r="N72" i="49" s="1"/>
  <c r="K72" i="49"/>
  <c r="E72" i="49"/>
  <c r="B72" i="49"/>
  <c r="M71" i="49"/>
  <c r="N71" i="49" s="1"/>
  <c r="K71" i="49"/>
  <c r="E71" i="49"/>
  <c r="B71" i="49"/>
  <c r="M70" i="49"/>
  <c r="N70" i="49" s="1"/>
  <c r="K70" i="49"/>
  <c r="E70" i="49"/>
  <c r="B70" i="49"/>
  <c r="N69" i="49"/>
  <c r="M69" i="49"/>
  <c r="K69" i="49"/>
  <c r="E69" i="49"/>
  <c r="B69" i="49"/>
  <c r="M68" i="49"/>
  <c r="N68" i="49" s="1"/>
  <c r="K68" i="49"/>
  <c r="E68" i="49"/>
  <c r="B68" i="49"/>
  <c r="M67" i="49"/>
  <c r="N67" i="49" s="1"/>
  <c r="K67" i="49"/>
  <c r="E67" i="49"/>
  <c r="B67" i="49"/>
  <c r="M66" i="49"/>
  <c r="N66" i="49" s="1"/>
  <c r="K66" i="49"/>
  <c r="E66" i="49"/>
  <c r="B66" i="49"/>
  <c r="N65" i="49"/>
  <c r="M65" i="49"/>
  <c r="K65" i="49"/>
  <c r="E65" i="49"/>
  <c r="B65" i="49"/>
  <c r="M64" i="49"/>
  <c r="N64" i="49" s="1"/>
  <c r="K64" i="49"/>
  <c r="E64" i="49"/>
  <c r="B64" i="49"/>
  <c r="M63" i="49"/>
  <c r="N63" i="49" s="1"/>
  <c r="K63" i="49"/>
  <c r="E63" i="49"/>
  <c r="B63" i="49"/>
  <c r="M62" i="49"/>
  <c r="N62" i="49" s="1"/>
  <c r="K62" i="49"/>
  <c r="E62" i="49"/>
  <c r="B62" i="49"/>
  <c r="N61" i="49"/>
  <c r="M61" i="49"/>
  <c r="K61" i="49"/>
  <c r="E61" i="49"/>
  <c r="B61" i="49"/>
  <c r="M60" i="49"/>
  <c r="N60" i="49" s="1"/>
  <c r="K60" i="49"/>
  <c r="E60" i="49"/>
  <c r="B60" i="49"/>
  <c r="M59" i="49"/>
  <c r="N59" i="49" s="1"/>
  <c r="K59" i="49"/>
  <c r="E59" i="49"/>
  <c r="B59" i="49"/>
  <c r="M58" i="49"/>
  <c r="N58" i="49" s="1"/>
  <c r="K58" i="49"/>
  <c r="E58" i="49"/>
  <c r="B58" i="49"/>
  <c r="N57" i="49"/>
  <c r="M57" i="49"/>
  <c r="K57" i="49"/>
  <c r="E57" i="49"/>
  <c r="B57" i="49"/>
  <c r="M56" i="49"/>
  <c r="N56" i="49" s="1"/>
  <c r="K56" i="49"/>
  <c r="E56" i="49"/>
  <c r="B56" i="49"/>
  <c r="M55" i="49"/>
  <c r="N55" i="49" s="1"/>
  <c r="K55" i="49"/>
  <c r="E55" i="49"/>
  <c r="B55" i="49"/>
  <c r="M54" i="49"/>
  <c r="N54" i="49" s="1"/>
  <c r="K54" i="49"/>
  <c r="E54" i="49"/>
  <c r="B54" i="49"/>
  <c r="N53" i="49"/>
  <c r="M53" i="49"/>
  <c r="K53" i="49"/>
  <c r="E53" i="49"/>
  <c r="B53" i="49"/>
  <c r="M52" i="49"/>
  <c r="N52" i="49" s="1"/>
  <c r="K52" i="49"/>
  <c r="E52" i="49"/>
  <c r="B52" i="49"/>
  <c r="M51" i="49"/>
  <c r="N51" i="49" s="1"/>
  <c r="K51" i="49"/>
  <c r="E51" i="49"/>
  <c r="B51" i="49"/>
  <c r="M50" i="49"/>
  <c r="N50" i="49" s="1"/>
  <c r="K50" i="49"/>
  <c r="E50" i="49"/>
  <c r="B50" i="49"/>
  <c r="N49" i="49"/>
  <c r="M49" i="49"/>
  <c r="K49" i="49"/>
  <c r="E49" i="49"/>
  <c r="B49" i="49"/>
  <c r="M48" i="49"/>
  <c r="N48" i="49" s="1"/>
  <c r="K48" i="49"/>
  <c r="E48" i="49"/>
  <c r="B48" i="49"/>
  <c r="M47" i="49"/>
  <c r="N47" i="49" s="1"/>
  <c r="K47" i="49"/>
  <c r="E47" i="49"/>
  <c r="B47" i="49"/>
  <c r="M46" i="49"/>
  <c r="N46" i="49" s="1"/>
  <c r="K46" i="49"/>
  <c r="E46" i="49"/>
  <c r="B46" i="49"/>
  <c r="N45" i="49"/>
  <c r="M45" i="49"/>
  <c r="K45" i="49"/>
  <c r="E45" i="49"/>
  <c r="B45" i="49"/>
  <c r="M44" i="49"/>
  <c r="N44" i="49" s="1"/>
  <c r="K44" i="49"/>
  <c r="E44" i="49"/>
  <c r="B44" i="49"/>
  <c r="M43" i="49"/>
  <c r="N43" i="49" s="1"/>
  <c r="K43" i="49"/>
  <c r="E43" i="49"/>
  <c r="B43" i="49"/>
  <c r="M42" i="49"/>
  <c r="N42" i="49" s="1"/>
  <c r="K42" i="49"/>
  <c r="E42" i="49"/>
  <c r="B42" i="49"/>
  <c r="N41" i="49"/>
  <c r="M41" i="49"/>
  <c r="K41" i="49"/>
  <c r="E41" i="49"/>
  <c r="B41" i="49"/>
  <c r="M40" i="49"/>
  <c r="N40" i="49" s="1"/>
  <c r="K40" i="49"/>
  <c r="E40" i="49"/>
  <c r="B40" i="49"/>
  <c r="M39" i="49"/>
  <c r="N39" i="49" s="1"/>
  <c r="K39" i="49"/>
  <c r="E39" i="49"/>
  <c r="B39" i="49"/>
  <c r="M38" i="49"/>
  <c r="N38" i="49" s="1"/>
  <c r="K38" i="49"/>
  <c r="E38" i="49"/>
  <c r="B38" i="49"/>
  <c r="N37" i="49"/>
  <c r="M37" i="49"/>
  <c r="K37" i="49"/>
  <c r="E37" i="49"/>
  <c r="B37" i="49"/>
  <c r="M36" i="49"/>
  <c r="N36" i="49" s="1"/>
  <c r="K36" i="49"/>
  <c r="E36" i="49"/>
  <c r="B36" i="49"/>
  <c r="M35" i="49"/>
  <c r="N35" i="49" s="1"/>
  <c r="K35" i="49"/>
  <c r="E35" i="49"/>
  <c r="B35" i="49"/>
  <c r="N34" i="49"/>
  <c r="M34" i="49"/>
  <c r="K34" i="49"/>
  <c r="E34" i="49"/>
  <c r="B34" i="49"/>
  <c r="M33" i="49"/>
  <c r="N33" i="49" s="1"/>
  <c r="K33" i="49"/>
  <c r="E33" i="49"/>
  <c r="B33" i="49"/>
  <c r="N32" i="49"/>
  <c r="M32" i="49"/>
  <c r="K32" i="49"/>
  <c r="E32" i="49"/>
  <c r="B32" i="49"/>
  <c r="N31" i="49"/>
  <c r="M31" i="49"/>
  <c r="K31" i="49"/>
  <c r="E31" i="49"/>
  <c r="B31" i="49"/>
  <c r="M30" i="49"/>
  <c r="N30" i="49" s="1"/>
  <c r="K30" i="49"/>
  <c r="E30" i="49"/>
  <c r="B30" i="49"/>
  <c r="M29" i="49"/>
  <c r="N29" i="49" s="1"/>
  <c r="K29" i="49"/>
  <c r="E29" i="49"/>
  <c r="B29" i="49"/>
  <c r="N28" i="49"/>
  <c r="M28" i="49"/>
  <c r="K28" i="49"/>
  <c r="E28" i="49"/>
  <c r="B28" i="49"/>
  <c r="M27" i="49"/>
  <c r="N27" i="49" s="1"/>
  <c r="K27" i="49"/>
  <c r="E27" i="49"/>
  <c r="B27" i="49"/>
  <c r="N26" i="49"/>
  <c r="M26" i="49"/>
  <c r="K26" i="49"/>
  <c r="E26" i="49"/>
  <c r="B26" i="49"/>
  <c r="M25" i="49"/>
  <c r="N25" i="49" s="1"/>
  <c r="K25" i="49"/>
  <c r="E25" i="49"/>
  <c r="B25" i="49"/>
  <c r="N24" i="49"/>
  <c r="M24" i="49"/>
  <c r="K24" i="49"/>
  <c r="E24" i="49"/>
  <c r="B24" i="49"/>
  <c r="N23" i="49"/>
  <c r="M23" i="49"/>
  <c r="K23" i="49"/>
  <c r="E23" i="49"/>
  <c r="B23" i="49"/>
  <c r="M22" i="49"/>
  <c r="N22" i="49" s="1"/>
  <c r="K22" i="49"/>
  <c r="E22" i="49"/>
  <c r="B22" i="49"/>
  <c r="M21" i="49"/>
  <c r="N21" i="49" s="1"/>
  <c r="K21" i="49"/>
  <c r="E21" i="49"/>
  <c r="B21" i="49"/>
  <c r="N20" i="49"/>
  <c r="M20" i="49"/>
  <c r="K20" i="49"/>
  <c r="E20" i="49"/>
  <c r="B20" i="49"/>
  <c r="M19" i="49"/>
  <c r="N19" i="49" s="1"/>
  <c r="K19" i="49"/>
  <c r="E19" i="49"/>
  <c r="B19" i="49"/>
  <c r="N18" i="49"/>
  <c r="M18" i="49"/>
  <c r="K18" i="49"/>
  <c r="E18" i="49"/>
  <c r="B18" i="49"/>
  <c r="M17" i="49"/>
  <c r="N17" i="49" s="1"/>
  <c r="K17" i="49"/>
  <c r="E17" i="49"/>
  <c r="B17" i="49"/>
  <c r="N16" i="49"/>
  <c r="M16" i="49"/>
  <c r="K16" i="49"/>
  <c r="E16" i="49"/>
  <c r="B16" i="49"/>
  <c r="N15" i="49"/>
  <c r="M15" i="49"/>
  <c r="K15" i="49"/>
  <c r="E15" i="49"/>
  <c r="B15" i="49"/>
  <c r="M14" i="49"/>
  <c r="N14" i="49" s="1"/>
  <c r="K14" i="49"/>
  <c r="E14" i="49"/>
  <c r="B14" i="49"/>
  <c r="M13" i="49"/>
  <c r="N13" i="49" s="1"/>
  <c r="K13" i="49"/>
  <c r="E13" i="49"/>
  <c r="B13" i="49"/>
  <c r="N12" i="49"/>
  <c r="M12" i="49"/>
  <c r="K12" i="49"/>
  <c r="E12" i="49"/>
  <c r="B12" i="49"/>
  <c r="M11" i="49"/>
  <c r="N11" i="49" s="1"/>
  <c r="K11" i="49"/>
  <c r="E11" i="49"/>
  <c r="B11" i="49"/>
  <c r="N10" i="49"/>
  <c r="M10" i="49"/>
  <c r="K10" i="49"/>
  <c r="E10" i="49"/>
  <c r="B10" i="49"/>
  <c r="M9" i="49"/>
  <c r="N9" i="49" s="1"/>
  <c r="K9" i="49"/>
  <c r="E9" i="49"/>
  <c r="B9" i="49"/>
  <c r="N8" i="49"/>
  <c r="M8" i="49"/>
  <c r="K8" i="49"/>
  <c r="E8" i="49"/>
  <c r="B8" i="49"/>
  <c r="N7" i="49"/>
  <c r="M7" i="49"/>
  <c r="K7" i="49"/>
  <c r="E7" i="49"/>
  <c r="B7" i="49"/>
  <c r="M6" i="49"/>
  <c r="N6" i="49" s="1"/>
  <c r="K6" i="49"/>
  <c r="E6" i="49"/>
  <c r="B6" i="49"/>
  <c r="M5" i="49"/>
  <c r="N5" i="49" s="1"/>
  <c r="K5" i="49"/>
  <c r="E5" i="49"/>
  <c r="B5" i="49"/>
  <c r="N4" i="49"/>
  <c r="M4" i="49"/>
  <c r="K4" i="49"/>
  <c r="E4" i="49"/>
  <c r="B4" i="49"/>
  <c r="V2" i="49"/>
  <c r="U2" i="49"/>
  <c r="T2" i="49"/>
  <c r="S2" i="49"/>
  <c r="R2" i="49"/>
  <c r="Q2" i="49"/>
  <c r="P2" i="49"/>
  <c r="O2" i="49"/>
  <c r="L2" i="49"/>
  <c r="J2" i="49"/>
  <c r="I2" i="49"/>
  <c r="H2" i="49"/>
  <c r="G2" i="49"/>
  <c r="M2" i="49" s="1"/>
  <c r="F2" i="49"/>
  <c r="N2" i="49" s="1"/>
  <c r="M134" i="47"/>
  <c r="N134" i="47" s="1"/>
  <c r="K134" i="47"/>
  <c r="E134" i="47"/>
  <c r="B134" i="47"/>
  <c r="N133" i="47"/>
  <c r="M133" i="47"/>
  <c r="K133" i="47"/>
  <c r="E133" i="47"/>
  <c r="B133" i="47"/>
  <c r="M132" i="47"/>
  <c r="N132" i="47" s="1"/>
  <c r="K132" i="47"/>
  <c r="E132" i="47"/>
  <c r="B132" i="47"/>
  <c r="M131" i="47"/>
  <c r="N131" i="47" s="1"/>
  <c r="K131" i="47"/>
  <c r="E131" i="47"/>
  <c r="B131" i="47"/>
  <c r="M130" i="47"/>
  <c r="N130" i="47" s="1"/>
  <c r="K130" i="47"/>
  <c r="E130" i="47"/>
  <c r="B130" i="47"/>
  <c r="N129" i="47"/>
  <c r="M129" i="47"/>
  <c r="K129" i="47"/>
  <c r="E129" i="47"/>
  <c r="B129" i="47"/>
  <c r="M128" i="47"/>
  <c r="N128" i="47" s="1"/>
  <c r="K128" i="47"/>
  <c r="E128" i="47"/>
  <c r="B128" i="47"/>
  <c r="M127" i="47"/>
  <c r="N127" i="47" s="1"/>
  <c r="K127" i="47"/>
  <c r="E127" i="47"/>
  <c r="B127" i="47"/>
  <c r="M126" i="47"/>
  <c r="N126" i="47" s="1"/>
  <c r="K126" i="47"/>
  <c r="E126" i="47"/>
  <c r="B126" i="47"/>
  <c r="N125" i="47"/>
  <c r="M125" i="47"/>
  <c r="K125" i="47"/>
  <c r="E125" i="47"/>
  <c r="B125" i="47"/>
  <c r="M124" i="47"/>
  <c r="N124" i="47" s="1"/>
  <c r="K124" i="47"/>
  <c r="E124" i="47"/>
  <c r="B124" i="47"/>
  <c r="M123" i="47"/>
  <c r="N123" i="47" s="1"/>
  <c r="K123" i="47"/>
  <c r="E123" i="47"/>
  <c r="B123" i="47"/>
  <c r="M122" i="47"/>
  <c r="N122" i="47" s="1"/>
  <c r="K122" i="47"/>
  <c r="E122" i="47"/>
  <c r="B122" i="47"/>
  <c r="N121" i="47"/>
  <c r="M121" i="47"/>
  <c r="K121" i="47"/>
  <c r="E121" i="47"/>
  <c r="B121" i="47"/>
  <c r="M120" i="47"/>
  <c r="N120" i="47" s="1"/>
  <c r="K120" i="47"/>
  <c r="E120" i="47"/>
  <c r="B120" i="47"/>
  <c r="M119" i="47"/>
  <c r="N119" i="47" s="1"/>
  <c r="K119" i="47"/>
  <c r="E119" i="47"/>
  <c r="B119" i="47"/>
  <c r="M118" i="47"/>
  <c r="N118" i="47" s="1"/>
  <c r="K118" i="47"/>
  <c r="E118" i="47"/>
  <c r="B118" i="47"/>
  <c r="N117" i="47"/>
  <c r="M117" i="47"/>
  <c r="K117" i="47"/>
  <c r="E117" i="47"/>
  <c r="B117" i="47"/>
  <c r="M116" i="47"/>
  <c r="N116" i="47" s="1"/>
  <c r="K116" i="47"/>
  <c r="E116" i="47"/>
  <c r="B116" i="47"/>
  <c r="M115" i="47"/>
  <c r="N115" i="47" s="1"/>
  <c r="K115" i="47"/>
  <c r="E115" i="47"/>
  <c r="B115" i="47"/>
  <c r="M114" i="47"/>
  <c r="N114" i="47" s="1"/>
  <c r="K114" i="47"/>
  <c r="E114" i="47"/>
  <c r="B114" i="47"/>
  <c r="N113" i="47"/>
  <c r="M113" i="47"/>
  <c r="K113" i="47"/>
  <c r="E113" i="47"/>
  <c r="B113" i="47"/>
  <c r="M112" i="47"/>
  <c r="N112" i="47" s="1"/>
  <c r="K112" i="47"/>
  <c r="E112" i="47"/>
  <c r="B112" i="47"/>
  <c r="M111" i="47"/>
  <c r="N111" i="47" s="1"/>
  <c r="K111" i="47"/>
  <c r="E111" i="47"/>
  <c r="B111" i="47"/>
  <c r="M110" i="47"/>
  <c r="N110" i="47" s="1"/>
  <c r="K110" i="47"/>
  <c r="E110" i="47"/>
  <c r="B110" i="47"/>
  <c r="N109" i="47"/>
  <c r="M109" i="47"/>
  <c r="K109" i="47"/>
  <c r="E109" i="47"/>
  <c r="B109" i="47"/>
  <c r="M108" i="47"/>
  <c r="N108" i="47" s="1"/>
  <c r="K108" i="47"/>
  <c r="E108" i="47"/>
  <c r="B108" i="47"/>
  <c r="M107" i="47"/>
  <c r="N107" i="47" s="1"/>
  <c r="K107" i="47"/>
  <c r="E107" i="47"/>
  <c r="B107" i="47"/>
  <c r="M106" i="47"/>
  <c r="N106" i="47" s="1"/>
  <c r="K106" i="47"/>
  <c r="E106" i="47"/>
  <c r="B106" i="47"/>
  <c r="N105" i="47"/>
  <c r="M105" i="47"/>
  <c r="K105" i="47"/>
  <c r="E105" i="47"/>
  <c r="B105" i="47"/>
  <c r="M104" i="47"/>
  <c r="N104" i="47" s="1"/>
  <c r="K104" i="47"/>
  <c r="E104" i="47"/>
  <c r="B104" i="47"/>
  <c r="M103" i="47"/>
  <c r="N103" i="47" s="1"/>
  <c r="K103" i="47"/>
  <c r="E103" i="47"/>
  <c r="B103" i="47"/>
  <c r="M102" i="47"/>
  <c r="N102" i="47" s="1"/>
  <c r="K102" i="47"/>
  <c r="E102" i="47"/>
  <c r="B102" i="47"/>
  <c r="N101" i="47"/>
  <c r="M101" i="47"/>
  <c r="K101" i="47"/>
  <c r="E101" i="47"/>
  <c r="B101" i="47"/>
  <c r="M100" i="47"/>
  <c r="N100" i="47" s="1"/>
  <c r="K100" i="47"/>
  <c r="E100" i="47"/>
  <c r="B100" i="47"/>
  <c r="M99" i="47"/>
  <c r="N99" i="47" s="1"/>
  <c r="K99" i="47"/>
  <c r="E99" i="47"/>
  <c r="B99" i="47"/>
  <c r="M98" i="47"/>
  <c r="N98" i="47" s="1"/>
  <c r="K98" i="47"/>
  <c r="E98" i="47"/>
  <c r="B98" i="47"/>
  <c r="N97" i="47"/>
  <c r="M97" i="47"/>
  <c r="K97" i="47"/>
  <c r="E97" i="47"/>
  <c r="B97" i="47"/>
  <c r="M96" i="47"/>
  <c r="N96" i="47" s="1"/>
  <c r="K96" i="47"/>
  <c r="E96" i="47"/>
  <c r="B96" i="47"/>
  <c r="M95" i="47"/>
  <c r="N95" i="47" s="1"/>
  <c r="K95" i="47"/>
  <c r="E95" i="47"/>
  <c r="B95" i="47"/>
  <c r="M94" i="47"/>
  <c r="N94" i="47" s="1"/>
  <c r="K94" i="47"/>
  <c r="E94" i="47"/>
  <c r="B94" i="47"/>
  <c r="N93" i="47"/>
  <c r="M93" i="47"/>
  <c r="K93" i="47"/>
  <c r="E93" i="47"/>
  <c r="B93" i="47"/>
  <c r="M92" i="47"/>
  <c r="N92" i="47" s="1"/>
  <c r="K92" i="47"/>
  <c r="E92" i="47"/>
  <c r="B92" i="47"/>
  <c r="M91" i="47"/>
  <c r="N91" i="47" s="1"/>
  <c r="K91" i="47"/>
  <c r="E91" i="47"/>
  <c r="B91" i="47"/>
  <c r="M90" i="47"/>
  <c r="N90" i="47" s="1"/>
  <c r="K90" i="47"/>
  <c r="E90" i="47"/>
  <c r="B90" i="47"/>
  <c r="N89" i="47"/>
  <c r="M89" i="47"/>
  <c r="K89" i="47"/>
  <c r="E89" i="47"/>
  <c r="B89" i="47"/>
  <c r="M88" i="47"/>
  <c r="N88" i="47" s="1"/>
  <c r="K88" i="47"/>
  <c r="E88" i="47"/>
  <c r="B88" i="47"/>
  <c r="M87" i="47"/>
  <c r="N87" i="47" s="1"/>
  <c r="K87" i="47"/>
  <c r="E87" i="47"/>
  <c r="B87" i="47"/>
  <c r="M86" i="47"/>
  <c r="N86" i="47" s="1"/>
  <c r="K86" i="47"/>
  <c r="E86" i="47"/>
  <c r="B86" i="47"/>
  <c r="N85" i="47"/>
  <c r="M85" i="47"/>
  <c r="K85" i="47"/>
  <c r="E85" i="47"/>
  <c r="B85" i="47"/>
  <c r="M84" i="47"/>
  <c r="N84" i="47" s="1"/>
  <c r="K84" i="47"/>
  <c r="E84" i="47"/>
  <c r="B84" i="47"/>
  <c r="M83" i="47"/>
  <c r="N83" i="47" s="1"/>
  <c r="K83" i="47"/>
  <c r="E83" i="47"/>
  <c r="B83" i="47"/>
  <c r="M82" i="47"/>
  <c r="N82" i="47" s="1"/>
  <c r="K82" i="47"/>
  <c r="E82" i="47"/>
  <c r="B82" i="47"/>
  <c r="N81" i="47"/>
  <c r="M81" i="47"/>
  <c r="K81" i="47"/>
  <c r="E81" i="47"/>
  <c r="B81" i="47"/>
  <c r="M80" i="47"/>
  <c r="N80" i="47" s="1"/>
  <c r="K80" i="47"/>
  <c r="E80" i="47"/>
  <c r="B80" i="47"/>
  <c r="M79" i="47"/>
  <c r="N79" i="47" s="1"/>
  <c r="K79" i="47"/>
  <c r="E79" i="47"/>
  <c r="B79" i="47"/>
  <c r="M78" i="47"/>
  <c r="N78" i="47" s="1"/>
  <c r="K78" i="47"/>
  <c r="E78" i="47"/>
  <c r="B78" i="47"/>
  <c r="N77" i="47"/>
  <c r="M77" i="47"/>
  <c r="K77" i="47"/>
  <c r="E77" i="47"/>
  <c r="B77" i="47"/>
  <c r="M76" i="47"/>
  <c r="N76" i="47" s="1"/>
  <c r="K76" i="47"/>
  <c r="E76" i="47"/>
  <c r="B76" i="47"/>
  <c r="M75" i="47"/>
  <c r="N75" i="47" s="1"/>
  <c r="K75" i="47"/>
  <c r="E75" i="47"/>
  <c r="B75" i="47"/>
  <c r="M74" i="47"/>
  <c r="N74" i="47" s="1"/>
  <c r="K74" i="47"/>
  <c r="E74" i="47"/>
  <c r="B74" i="47"/>
  <c r="N73" i="47"/>
  <c r="M73" i="47"/>
  <c r="K73" i="47"/>
  <c r="E73" i="47"/>
  <c r="B73" i="47"/>
  <c r="M72" i="47"/>
  <c r="N72" i="47" s="1"/>
  <c r="K72" i="47"/>
  <c r="E72" i="47"/>
  <c r="B72" i="47"/>
  <c r="M71" i="47"/>
  <c r="N71" i="47" s="1"/>
  <c r="K71" i="47"/>
  <c r="E71" i="47"/>
  <c r="B71" i="47"/>
  <c r="M70" i="47"/>
  <c r="N70" i="47" s="1"/>
  <c r="K70" i="47"/>
  <c r="E70" i="47"/>
  <c r="B70" i="47"/>
  <c r="N69" i="47"/>
  <c r="M69" i="47"/>
  <c r="K69" i="47"/>
  <c r="E69" i="47"/>
  <c r="B69" i="47"/>
  <c r="M68" i="47"/>
  <c r="N68" i="47" s="1"/>
  <c r="K68" i="47"/>
  <c r="E68" i="47"/>
  <c r="B68" i="47"/>
  <c r="M67" i="47"/>
  <c r="N67" i="47" s="1"/>
  <c r="K67" i="47"/>
  <c r="E67" i="47"/>
  <c r="B67" i="47"/>
  <c r="M66" i="47"/>
  <c r="N66" i="47" s="1"/>
  <c r="K66" i="47"/>
  <c r="E66" i="47"/>
  <c r="B66" i="47"/>
  <c r="N65" i="47"/>
  <c r="M65" i="47"/>
  <c r="K65" i="47"/>
  <c r="E65" i="47"/>
  <c r="B65" i="47"/>
  <c r="M64" i="47"/>
  <c r="N64" i="47" s="1"/>
  <c r="K64" i="47"/>
  <c r="E64" i="47"/>
  <c r="B64" i="47"/>
  <c r="M63" i="47"/>
  <c r="N63" i="47" s="1"/>
  <c r="K63" i="47"/>
  <c r="E63" i="47"/>
  <c r="B63" i="47"/>
  <c r="M62" i="47"/>
  <c r="N62" i="47" s="1"/>
  <c r="K62" i="47"/>
  <c r="E62" i="47"/>
  <c r="B62" i="47"/>
  <c r="N61" i="47"/>
  <c r="M61" i="47"/>
  <c r="K61" i="47"/>
  <c r="E61" i="47"/>
  <c r="B61" i="47"/>
  <c r="M60" i="47"/>
  <c r="N60" i="47" s="1"/>
  <c r="K60" i="47"/>
  <c r="E60" i="47"/>
  <c r="B60" i="47"/>
  <c r="M59" i="47"/>
  <c r="N59" i="47" s="1"/>
  <c r="K59" i="47"/>
  <c r="E59" i="47"/>
  <c r="B59" i="47"/>
  <c r="M58" i="47"/>
  <c r="N58" i="47" s="1"/>
  <c r="K58" i="47"/>
  <c r="E58" i="47"/>
  <c r="B58" i="47"/>
  <c r="N57" i="47"/>
  <c r="M57" i="47"/>
  <c r="K57" i="47"/>
  <c r="E57" i="47"/>
  <c r="B57" i="47"/>
  <c r="M56" i="47"/>
  <c r="N56" i="47" s="1"/>
  <c r="K56" i="47"/>
  <c r="E56" i="47"/>
  <c r="B56" i="47"/>
  <c r="M55" i="47"/>
  <c r="N55" i="47" s="1"/>
  <c r="K55" i="47"/>
  <c r="E55" i="47"/>
  <c r="B55" i="47"/>
  <c r="M54" i="47"/>
  <c r="N54" i="47" s="1"/>
  <c r="K54" i="47"/>
  <c r="E54" i="47"/>
  <c r="B54" i="47"/>
  <c r="N53" i="47"/>
  <c r="M53" i="47"/>
  <c r="K53" i="47"/>
  <c r="E53" i="47"/>
  <c r="B53" i="47"/>
  <c r="M52" i="47"/>
  <c r="N52" i="47" s="1"/>
  <c r="K52" i="47"/>
  <c r="E52" i="47"/>
  <c r="B52" i="47"/>
  <c r="M51" i="47"/>
  <c r="N51" i="47" s="1"/>
  <c r="K51" i="47"/>
  <c r="E51" i="47"/>
  <c r="B51" i="47"/>
  <c r="M50" i="47"/>
  <c r="N50" i="47" s="1"/>
  <c r="K50" i="47"/>
  <c r="E50" i="47"/>
  <c r="B50" i="47"/>
  <c r="N49" i="47"/>
  <c r="M49" i="47"/>
  <c r="K49" i="47"/>
  <c r="E49" i="47"/>
  <c r="B49" i="47"/>
  <c r="M48" i="47"/>
  <c r="N48" i="47" s="1"/>
  <c r="K48" i="47"/>
  <c r="E48" i="47"/>
  <c r="B48" i="47"/>
  <c r="M47" i="47"/>
  <c r="N47" i="47" s="1"/>
  <c r="K47" i="47"/>
  <c r="E47" i="47"/>
  <c r="B47" i="47"/>
  <c r="M46" i="47"/>
  <c r="N46" i="47" s="1"/>
  <c r="K46" i="47"/>
  <c r="E46" i="47"/>
  <c r="B46" i="47"/>
  <c r="N45" i="47"/>
  <c r="M45" i="47"/>
  <c r="K45" i="47"/>
  <c r="E45" i="47"/>
  <c r="B45" i="47"/>
  <c r="M44" i="47"/>
  <c r="N44" i="47" s="1"/>
  <c r="K44" i="47"/>
  <c r="E44" i="47"/>
  <c r="B44" i="47"/>
  <c r="M43" i="47"/>
  <c r="N43" i="47" s="1"/>
  <c r="K43" i="47"/>
  <c r="E43" i="47"/>
  <c r="B43" i="47"/>
  <c r="M42" i="47"/>
  <c r="N42" i="47" s="1"/>
  <c r="K42" i="47"/>
  <c r="E42" i="47"/>
  <c r="B42" i="47"/>
  <c r="N41" i="47"/>
  <c r="M41" i="47"/>
  <c r="K41" i="47"/>
  <c r="E41" i="47"/>
  <c r="B41" i="47"/>
  <c r="M40" i="47"/>
  <c r="N40" i="47" s="1"/>
  <c r="K40" i="47"/>
  <c r="E40" i="47"/>
  <c r="B40" i="47"/>
  <c r="M39" i="47"/>
  <c r="N39" i="47" s="1"/>
  <c r="K39" i="47"/>
  <c r="E39" i="47"/>
  <c r="B39" i="47"/>
  <c r="M38" i="47"/>
  <c r="N38" i="47" s="1"/>
  <c r="K38" i="47"/>
  <c r="E38" i="47"/>
  <c r="B38" i="47"/>
  <c r="N37" i="47"/>
  <c r="M37" i="47"/>
  <c r="K37" i="47"/>
  <c r="E37" i="47"/>
  <c r="B37" i="47"/>
  <c r="M36" i="47"/>
  <c r="N36" i="47" s="1"/>
  <c r="K36" i="47"/>
  <c r="E36" i="47"/>
  <c r="B36" i="47"/>
  <c r="M35" i="47"/>
  <c r="N35" i="47" s="1"/>
  <c r="K35" i="47"/>
  <c r="E35" i="47"/>
  <c r="B35" i="47"/>
  <c r="M34" i="47"/>
  <c r="N34" i="47" s="1"/>
  <c r="K34" i="47"/>
  <c r="E34" i="47"/>
  <c r="B34" i="47"/>
  <c r="N33" i="47"/>
  <c r="M33" i="47"/>
  <c r="K33" i="47"/>
  <c r="E33" i="47"/>
  <c r="B33" i="47"/>
  <c r="M32" i="47"/>
  <c r="N32" i="47" s="1"/>
  <c r="K32" i="47"/>
  <c r="E32" i="47"/>
  <c r="B32" i="47"/>
  <c r="M31" i="47"/>
  <c r="N31" i="47" s="1"/>
  <c r="K31" i="47"/>
  <c r="E31" i="47"/>
  <c r="B31" i="47"/>
  <c r="M30" i="47"/>
  <c r="N30" i="47" s="1"/>
  <c r="K30" i="47"/>
  <c r="E30" i="47"/>
  <c r="B30" i="47"/>
  <c r="N29" i="47"/>
  <c r="M29" i="47"/>
  <c r="K29" i="47"/>
  <c r="E29" i="47"/>
  <c r="B29" i="47"/>
  <c r="M28" i="47"/>
  <c r="N28" i="47" s="1"/>
  <c r="K28" i="47"/>
  <c r="E28" i="47"/>
  <c r="B28" i="47"/>
  <c r="M27" i="47"/>
  <c r="N27" i="47" s="1"/>
  <c r="K27" i="47"/>
  <c r="E27" i="47"/>
  <c r="B27" i="47"/>
  <c r="M26" i="47"/>
  <c r="N26" i="47" s="1"/>
  <c r="K26" i="47"/>
  <c r="E26" i="47"/>
  <c r="B26" i="47"/>
  <c r="N25" i="47"/>
  <c r="M25" i="47"/>
  <c r="K25" i="47"/>
  <c r="E25" i="47"/>
  <c r="B25" i="47"/>
  <c r="M24" i="47"/>
  <c r="N24" i="47" s="1"/>
  <c r="K24" i="47"/>
  <c r="E24" i="47"/>
  <c r="B24" i="47"/>
  <c r="M23" i="47"/>
  <c r="N23" i="47" s="1"/>
  <c r="K23" i="47"/>
  <c r="E23" i="47"/>
  <c r="B23" i="47"/>
  <c r="M22" i="47"/>
  <c r="N22" i="47" s="1"/>
  <c r="K22" i="47"/>
  <c r="E22" i="47"/>
  <c r="B22" i="47"/>
  <c r="N21" i="47"/>
  <c r="M21" i="47"/>
  <c r="K21" i="47"/>
  <c r="E21" i="47"/>
  <c r="B21" i="47"/>
  <c r="M20" i="47"/>
  <c r="N20" i="47" s="1"/>
  <c r="K20" i="47"/>
  <c r="E20" i="47"/>
  <c r="B20" i="47"/>
  <c r="N19" i="47"/>
  <c r="M19" i="47"/>
  <c r="K19" i="47"/>
  <c r="E19" i="47"/>
  <c r="B19" i="47"/>
  <c r="M18" i="47"/>
  <c r="N18" i="47" s="1"/>
  <c r="K18" i="47"/>
  <c r="E18" i="47"/>
  <c r="B18" i="47"/>
  <c r="N17" i="47"/>
  <c r="M17" i="47"/>
  <c r="K17" i="47"/>
  <c r="E17" i="47"/>
  <c r="B17" i="47"/>
  <c r="M16" i="47"/>
  <c r="N16" i="47" s="1"/>
  <c r="K16" i="47"/>
  <c r="E16" i="47"/>
  <c r="B16" i="47"/>
  <c r="N15" i="47"/>
  <c r="M15" i="47"/>
  <c r="K15" i="47"/>
  <c r="E15" i="47"/>
  <c r="B15" i="47"/>
  <c r="N14" i="47"/>
  <c r="M14" i="47"/>
  <c r="K14" i="47"/>
  <c r="E14" i="47"/>
  <c r="B14" i="47"/>
  <c r="M13" i="47"/>
  <c r="N13" i="47" s="1"/>
  <c r="K13" i="47"/>
  <c r="E13" i="47"/>
  <c r="B13" i="47"/>
  <c r="M12" i="47"/>
  <c r="N12" i="47" s="1"/>
  <c r="K12" i="47"/>
  <c r="E12" i="47"/>
  <c r="B12" i="47"/>
  <c r="N11" i="47"/>
  <c r="M11" i="47"/>
  <c r="K11" i="47"/>
  <c r="E11" i="47"/>
  <c r="B11" i="47"/>
  <c r="M10" i="47"/>
  <c r="N10" i="47" s="1"/>
  <c r="K10" i="47"/>
  <c r="E10" i="47"/>
  <c r="B10" i="47"/>
  <c r="N9" i="47"/>
  <c r="M9" i="47"/>
  <c r="K9" i="47"/>
  <c r="E9" i="47"/>
  <c r="B9" i="47"/>
  <c r="M8" i="47"/>
  <c r="N8" i="47" s="1"/>
  <c r="K8" i="47"/>
  <c r="E8" i="47"/>
  <c r="B8" i="47"/>
  <c r="N7" i="47"/>
  <c r="M7" i="47"/>
  <c r="K7" i="47"/>
  <c r="E7" i="47"/>
  <c r="B7" i="47"/>
  <c r="N6" i="47"/>
  <c r="M6" i="47"/>
  <c r="K6" i="47"/>
  <c r="E6" i="47"/>
  <c r="B6" i="47"/>
  <c r="M5" i="47"/>
  <c r="N5" i="47" s="1"/>
  <c r="K5" i="47"/>
  <c r="E5" i="47"/>
  <c r="B5" i="47"/>
  <c r="M4" i="47"/>
  <c r="N4" i="47" s="1"/>
  <c r="K4" i="47"/>
  <c r="E4" i="47"/>
  <c r="B4" i="47"/>
  <c r="V2" i="47"/>
  <c r="U2" i="47"/>
  <c r="T2" i="47"/>
  <c r="S2" i="47"/>
  <c r="R2" i="47"/>
  <c r="Q2" i="47"/>
  <c r="P2" i="47"/>
  <c r="O2" i="47"/>
  <c r="L2" i="47"/>
  <c r="J2" i="47"/>
  <c r="I2" i="47"/>
  <c r="H2" i="47"/>
  <c r="G2" i="47"/>
  <c r="M2" i="47" s="1"/>
  <c r="F2" i="47"/>
  <c r="K5" i="41"/>
  <c r="M5" i="41"/>
  <c r="N5" i="41" s="1"/>
  <c r="K6" i="41"/>
  <c r="M6" i="41"/>
  <c r="N6" i="41" s="1"/>
  <c r="K7" i="41"/>
  <c r="M7" i="41"/>
  <c r="N7" i="41" s="1"/>
  <c r="K8" i="41"/>
  <c r="M8" i="41"/>
  <c r="N8" i="41" s="1"/>
  <c r="K9" i="41"/>
  <c r="M9" i="41"/>
  <c r="N9" i="41" s="1"/>
  <c r="K10" i="41"/>
  <c r="M10" i="41"/>
  <c r="N10" i="41" s="1"/>
  <c r="K11" i="41"/>
  <c r="M11" i="41"/>
  <c r="N11" i="41" s="1"/>
  <c r="K12" i="41"/>
  <c r="M12" i="41"/>
  <c r="N12" i="41" s="1"/>
  <c r="K13" i="41"/>
  <c r="M13" i="41"/>
  <c r="N13" i="41" s="1"/>
  <c r="K14" i="41"/>
  <c r="M14" i="41"/>
  <c r="N14" i="41" s="1"/>
  <c r="K15" i="41"/>
  <c r="M15" i="41"/>
  <c r="N15" i="41" s="1"/>
  <c r="K16" i="41"/>
  <c r="M16" i="41"/>
  <c r="N16" i="41" s="1"/>
  <c r="K17" i="41"/>
  <c r="M17" i="41"/>
  <c r="N17" i="41" s="1"/>
  <c r="K18" i="41"/>
  <c r="M18" i="41"/>
  <c r="N18" i="41" s="1"/>
  <c r="K19" i="41"/>
  <c r="M19" i="41"/>
  <c r="N19" i="41" s="1"/>
  <c r="K20" i="41"/>
  <c r="M20" i="41"/>
  <c r="N20" i="41" s="1"/>
  <c r="K21" i="41"/>
  <c r="M21" i="41"/>
  <c r="N21" i="41" s="1"/>
  <c r="K22" i="41"/>
  <c r="M22" i="41"/>
  <c r="N22" i="41" s="1"/>
  <c r="K23" i="41"/>
  <c r="M23" i="41"/>
  <c r="N23" i="41" s="1"/>
  <c r="K24" i="41"/>
  <c r="M24" i="41"/>
  <c r="N24" i="41" s="1"/>
  <c r="K25" i="41"/>
  <c r="M25" i="41"/>
  <c r="N25" i="41" s="1"/>
  <c r="K26" i="41"/>
  <c r="M26" i="41"/>
  <c r="N26" i="41" s="1"/>
  <c r="K27" i="41"/>
  <c r="M27" i="41"/>
  <c r="N27" i="41" s="1"/>
  <c r="K28" i="41"/>
  <c r="M28" i="41"/>
  <c r="N28" i="41" s="1"/>
  <c r="K29" i="41"/>
  <c r="M29" i="41"/>
  <c r="N29" i="41" s="1"/>
  <c r="K30" i="41"/>
  <c r="M30" i="41"/>
  <c r="N30" i="41" s="1"/>
  <c r="K31" i="41"/>
  <c r="M31" i="41"/>
  <c r="N31" i="41" s="1"/>
  <c r="K32" i="41"/>
  <c r="M32" i="41"/>
  <c r="N32" i="41" s="1"/>
  <c r="K33" i="41"/>
  <c r="M33" i="41"/>
  <c r="N33" i="41" s="1"/>
  <c r="K34" i="41"/>
  <c r="M34" i="41"/>
  <c r="N34" i="41" s="1"/>
  <c r="K35" i="41"/>
  <c r="M35" i="41"/>
  <c r="N35" i="41" s="1"/>
  <c r="K36" i="41"/>
  <c r="M36" i="41"/>
  <c r="N36" i="41" s="1"/>
  <c r="K37" i="41"/>
  <c r="M37" i="41"/>
  <c r="N37" i="41" s="1"/>
  <c r="K38" i="41"/>
  <c r="M38" i="41"/>
  <c r="N38" i="41" s="1"/>
  <c r="K39" i="41"/>
  <c r="M39" i="41"/>
  <c r="N39" i="41" s="1"/>
  <c r="K40" i="41"/>
  <c r="M40" i="41"/>
  <c r="N40" i="41" s="1"/>
  <c r="K41" i="41"/>
  <c r="M41" i="41"/>
  <c r="N41" i="41" s="1"/>
  <c r="K42" i="41"/>
  <c r="M42" i="41"/>
  <c r="N42" i="41" s="1"/>
  <c r="K43" i="41"/>
  <c r="M43" i="41"/>
  <c r="N43" i="41" s="1"/>
  <c r="K44" i="41"/>
  <c r="M44" i="41"/>
  <c r="N44" i="41" s="1"/>
  <c r="K45" i="41"/>
  <c r="M45" i="41"/>
  <c r="N45" i="41" s="1"/>
  <c r="K46" i="41"/>
  <c r="M46" i="41"/>
  <c r="N46" i="41" s="1"/>
  <c r="K47" i="41"/>
  <c r="M47" i="41"/>
  <c r="N47" i="41" s="1"/>
  <c r="K48" i="41"/>
  <c r="M48" i="41"/>
  <c r="N48" i="41" s="1"/>
  <c r="K49" i="41"/>
  <c r="M49" i="41"/>
  <c r="N49" i="41" s="1"/>
  <c r="K50" i="41"/>
  <c r="M50" i="41"/>
  <c r="N50" i="41" s="1"/>
  <c r="K51" i="41"/>
  <c r="M51" i="41"/>
  <c r="N51" i="41" s="1"/>
  <c r="K52" i="41"/>
  <c r="M52" i="41"/>
  <c r="N52" i="41" s="1"/>
  <c r="K53" i="41"/>
  <c r="M53" i="41"/>
  <c r="N53" i="41" s="1"/>
  <c r="K54" i="41"/>
  <c r="M54" i="41"/>
  <c r="N54" i="41" s="1"/>
  <c r="K55" i="41"/>
  <c r="M55" i="41"/>
  <c r="N55" i="41" s="1"/>
  <c r="K56" i="41"/>
  <c r="M56" i="41"/>
  <c r="N56" i="41" s="1"/>
  <c r="K57" i="41"/>
  <c r="M57" i="41"/>
  <c r="N57" i="41" s="1"/>
  <c r="K58" i="41"/>
  <c r="M58" i="41"/>
  <c r="N58" i="41" s="1"/>
  <c r="K59" i="41"/>
  <c r="M59" i="41"/>
  <c r="N59" i="41" s="1"/>
  <c r="K60" i="41"/>
  <c r="M60" i="41"/>
  <c r="N60" i="41" s="1"/>
  <c r="K61" i="41"/>
  <c r="M61" i="41"/>
  <c r="N61" i="41" s="1"/>
  <c r="K62" i="41"/>
  <c r="M62" i="41"/>
  <c r="N62" i="41" s="1"/>
  <c r="K63" i="41"/>
  <c r="M63" i="41"/>
  <c r="N63" i="41" s="1"/>
  <c r="K64" i="41"/>
  <c r="M64" i="41"/>
  <c r="N64" i="41" s="1"/>
  <c r="K65" i="41"/>
  <c r="M65" i="41"/>
  <c r="N65" i="41" s="1"/>
  <c r="K66" i="41"/>
  <c r="M66" i="41"/>
  <c r="N66" i="41" s="1"/>
  <c r="K67" i="41"/>
  <c r="M67" i="41"/>
  <c r="N67" i="41" s="1"/>
  <c r="K68" i="41"/>
  <c r="M68" i="41"/>
  <c r="N68" i="41" s="1"/>
  <c r="K69" i="41"/>
  <c r="M69" i="41"/>
  <c r="N69" i="41" s="1"/>
  <c r="K70" i="41"/>
  <c r="M70" i="41"/>
  <c r="N70" i="41" s="1"/>
  <c r="K71" i="41"/>
  <c r="M71" i="41"/>
  <c r="N71" i="41" s="1"/>
  <c r="K72" i="41"/>
  <c r="M72" i="41"/>
  <c r="N72" i="41" s="1"/>
  <c r="K73" i="41"/>
  <c r="M73" i="41"/>
  <c r="N73" i="41" s="1"/>
  <c r="K74" i="41"/>
  <c r="M74" i="41"/>
  <c r="N74" i="41" s="1"/>
  <c r="K75" i="41"/>
  <c r="M75" i="41"/>
  <c r="N75" i="41" s="1"/>
  <c r="K76" i="41"/>
  <c r="M76" i="41"/>
  <c r="N76" i="41" s="1"/>
  <c r="K77" i="41"/>
  <c r="M77" i="41"/>
  <c r="N77" i="41" s="1"/>
  <c r="K78" i="41"/>
  <c r="M78" i="41"/>
  <c r="N78" i="41" s="1"/>
  <c r="K79" i="41"/>
  <c r="M79" i="41"/>
  <c r="N79" i="41" s="1"/>
  <c r="K80" i="41"/>
  <c r="M80" i="41"/>
  <c r="N80" i="41" s="1"/>
  <c r="K81" i="41"/>
  <c r="M81" i="41"/>
  <c r="N81" i="41" s="1"/>
  <c r="K82" i="41"/>
  <c r="M82" i="41"/>
  <c r="N82" i="41" s="1"/>
  <c r="K83" i="41"/>
  <c r="M83" i="41"/>
  <c r="N83" i="41" s="1"/>
  <c r="K84" i="41"/>
  <c r="M84" i="41"/>
  <c r="N84" i="41" s="1"/>
  <c r="K85" i="41"/>
  <c r="M85" i="41"/>
  <c r="N85" i="41" s="1"/>
  <c r="K86" i="41"/>
  <c r="M86" i="41"/>
  <c r="N86" i="41" s="1"/>
  <c r="K87" i="41"/>
  <c r="M87" i="41"/>
  <c r="N87" i="41" s="1"/>
  <c r="K88" i="41"/>
  <c r="M88" i="41"/>
  <c r="N88" i="41" s="1"/>
  <c r="K89" i="41"/>
  <c r="M89" i="41"/>
  <c r="N89" i="41" s="1"/>
  <c r="K90" i="41"/>
  <c r="M90" i="41"/>
  <c r="N90" i="41" s="1"/>
  <c r="K91" i="41"/>
  <c r="M91" i="41"/>
  <c r="N91" i="41" s="1"/>
  <c r="K92" i="41"/>
  <c r="M92" i="41"/>
  <c r="N92" i="41" s="1"/>
  <c r="K93" i="41"/>
  <c r="M93" i="41"/>
  <c r="N93" i="41" s="1"/>
  <c r="K94" i="41"/>
  <c r="M94" i="41"/>
  <c r="N94" i="41" s="1"/>
  <c r="K95" i="41"/>
  <c r="M95" i="41"/>
  <c r="N95" i="41" s="1"/>
  <c r="K96" i="41"/>
  <c r="M96" i="41"/>
  <c r="N96" i="41" s="1"/>
  <c r="K97" i="41"/>
  <c r="M97" i="41"/>
  <c r="N97" i="41" s="1"/>
  <c r="K98" i="41"/>
  <c r="M98" i="41"/>
  <c r="N98" i="41" s="1"/>
  <c r="K99" i="41"/>
  <c r="M99" i="41"/>
  <c r="N99" i="41" s="1"/>
  <c r="K100" i="41"/>
  <c r="M100" i="41"/>
  <c r="N100" i="41" s="1"/>
  <c r="K101" i="41"/>
  <c r="M101" i="41"/>
  <c r="N101" i="41" s="1"/>
  <c r="K102" i="41"/>
  <c r="M102" i="41"/>
  <c r="N102" i="41" s="1"/>
  <c r="K103" i="41"/>
  <c r="M103" i="41"/>
  <c r="N103" i="41" s="1"/>
  <c r="K104" i="41"/>
  <c r="M104" i="41"/>
  <c r="N104" i="41" s="1"/>
  <c r="K105" i="41"/>
  <c r="M105" i="41"/>
  <c r="N105" i="41" s="1"/>
  <c r="K106" i="41"/>
  <c r="M106" i="41"/>
  <c r="N106" i="41" s="1"/>
  <c r="K107" i="41"/>
  <c r="M107" i="41"/>
  <c r="N107" i="41" s="1"/>
  <c r="K108" i="41"/>
  <c r="M108" i="41"/>
  <c r="N108" i="41" s="1"/>
  <c r="K109" i="41"/>
  <c r="M109" i="41"/>
  <c r="N109" i="41" s="1"/>
  <c r="K110" i="41"/>
  <c r="M110" i="41"/>
  <c r="N110" i="41" s="1"/>
  <c r="K111" i="41"/>
  <c r="M111" i="41"/>
  <c r="N111" i="41" s="1"/>
  <c r="K112" i="41"/>
  <c r="M112" i="41"/>
  <c r="N112" i="41" s="1"/>
  <c r="K113" i="41"/>
  <c r="M113" i="41"/>
  <c r="N113" i="41" s="1"/>
  <c r="K114" i="41"/>
  <c r="M114" i="41"/>
  <c r="N114" i="41" s="1"/>
  <c r="K115" i="41"/>
  <c r="M115" i="41"/>
  <c r="N115" i="41" s="1"/>
  <c r="K116" i="41"/>
  <c r="M116" i="41"/>
  <c r="N116" i="41" s="1"/>
  <c r="K117" i="41"/>
  <c r="M117" i="41"/>
  <c r="N117" i="41" s="1"/>
  <c r="K118" i="41"/>
  <c r="M118" i="41"/>
  <c r="N118" i="41" s="1"/>
  <c r="K119" i="41"/>
  <c r="M119" i="41"/>
  <c r="N119" i="41" s="1"/>
  <c r="K120" i="41"/>
  <c r="M120" i="41"/>
  <c r="N120" i="41" s="1"/>
  <c r="K121" i="41"/>
  <c r="M121" i="41"/>
  <c r="N121" i="41" s="1"/>
  <c r="K122" i="41"/>
  <c r="M122" i="41"/>
  <c r="N122" i="41" s="1"/>
  <c r="K123" i="41"/>
  <c r="M123" i="41"/>
  <c r="N123" i="41" s="1"/>
  <c r="K124" i="41"/>
  <c r="M124" i="41"/>
  <c r="N124" i="41" s="1"/>
  <c r="K125" i="41"/>
  <c r="M125" i="41"/>
  <c r="N125" i="41" s="1"/>
  <c r="K126" i="41"/>
  <c r="M126" i="41"/>
  <c r="N126" i="41" s="1"/>
  <c r="K127" i="41"/>
  <c r="M127" i="41"/>
  <c r="N127" i="41" s="1"/>
  <c r="K128" i="41"/>
  <c r="M128" i="41"/>
  <c r="N128" i="41" s="1"/>
  <c r="K129" i="41"/>
  <c r="M129" i="41"/>
  <c r="N129" i="41" s="1"/>
  <c r="K130" i="41"/>
  <c r="M130" i="41"/>
  <c r="N130" i="41" s="1"/>
  <c r="K131" i="41"/>
  <c r="M131" i="41"/>
  <c r="N131" i="41" s="1"/>
  <c r="K132" i="41"/>
  <c r="M132" i="41"/>
  <c r="N132" i="41" s="1"/>
  <c r="K133" i="41"/>
  <c r="M133" i="41"/>
  <c r="N133" i="41" s="1"/>
  <c r="K134" i="41"/>
  <c r="M134" i="41"/>
  <c r="N134" i="41" s="1"/>
  <c r="K5" i="46"/>
  <c r="M5" i="46"/>
  <c r="N5" i="46" s="1"/>
  <c r="K6" i="46"/>
  <c r="M6" i="46"/>
  <c r="N6" i="46" s="1"/>
  <c r="K7" i="46"/>
  <c r="M7" i="46"/>
  <c r="N7" i="46" s="1"/>
  <c r="K8" i="46"/>
  <c r="M8" i="46"/>
  <c r="N8" i="46" s="1"/>
  <c r="K9" i="46"/>
  <c r="M9" i="46"/>
  <c r="N9" i="46" s="1"/>
  <c r="K10" i="46"/>
  <c r="M10" i="46"/>
  <c r="N10" i="46" s="1"/>
  <c r="K11" i="46"/>
  <c r="M11" i="46"/>
  <c r="N11" i="46" s="1"/>
  <c r="K12" i="46"/>
  <c r="M12" i="46"/>
  <c r="N12" i="46" s="1"/>
  <c r="K13" i="46"/>
  <c r="M13" i="46"/>
  <c r="N13" i="46" s="1"/>
  <c r="K14" i="46"/>
  <c r="M14" i="46"/>
  <c r="N14" i="46" s="1"/>
  <c r="K15" i="46"/>
  <c r="M15" i="46"/>
  <c r="N15" i="46" s="1"/>
  <c r="K16" i="46"/>
  <c r="M16" i="46"/>
  <c r="N16" i="46" s="1"/>
  <c r="K17" i="46"/>
  <c r="M17" i="46"/>
  <c r="N17" i="46" s="1"/>
  <c r="K18" i="46"/>
  <c r="M18" i="46"/>
  <c r="N18" i="46" s="1"/>
  <c r="K19" i="46"/>
  <c r="M19" i="46"/>
  <c r="N19" i="46" s="1"/>
  <c r="K20" i="46"/>
  <c r="M20" i="46"/>
  <c r="N20" i="46" s="1"/>
  <c r="K21" i="46"/>
  <c r="M21" i="46"/>
  <c r="N21" i="46" s="1"/>
  <c r="K22" i="46"/>
  <c r="M22" i="46"/>
  <c r="N22" i="46" s="1"/>
  <c r="K23" i="46"/>
  <c r="M23" i="46"/>
  <c r="N23" i="46" s="1"/>
  <c r="K24" i="46"/>
  <c r="M24" i="46"/>
  <c r="N24" i="46" s="1"/>
  <c r="K25" i="46"/>
  <c r="M25" i="46"/>
  <c r="N25" i="46" s="1"/>
  <c r="K26" i="46"/>
  <c r="M26" i="46"/>
  <c r="N26" i="46" s="1"/>
  <c r="K27" i="46"/>
  <c r="M27" i="46"/>
  <c r="N27" i="46" s="1"/>
  <c r="K28" i="46"/>
  <c r="M28" i="46"/>
  <c r="N28" i="46" s="1"/>
  <c r="K29" i="46"/>
  <c r="M29" i="46"/>
  <c r="N29" i="46" s="1"/>
  <c r="K30" i="46"/>
  <c r="M30" i="46"/>
  <c r="N30" i="46" s="1"/>
  <c r="K31" i="46"/>
  <c r="M31" i="46"/>
  <c r="N31" i="46" s="1"/>
  <c r="K32" i="46"/>
  <c r="M32" i="46"/>
  <c r="N32" i="46" s="1"/>
  <c r="K33" i="46"/>
  <c r="M33" i="46"/>
  <c r="N33" i="46" s="1"/>
  <c r="K34" i="46"/>
  <c r="M34" i="46"/>
  <c r="N34" i="46" s="1"/>
  <c r="K35" i="46"/>
  <c r="M35" i="46"/>
  <c r="N35" i="46" s="1"/>
  <c r="K36" i="46"/>
  <c r="M36" i="46"/>
  <c r="N36" i="46" s="1"/>
  <c r="K37" i="46"/>
  <c r="M37" i="46"/>
  <c r="N37" i="46" s="1"/>
  <c r="K38" i="46"/>
  <c r="M38" i="46"/>
  <c r="N38" i="46" s="1"/>
  <c r="K39" i="46"/>
  <c r="M39" i="46"/>
  <c r="N39" i="46" s="1"/>
  <c r="K40" i="46"/>
  <c r="M40" i="46"/>
  <c r="N40" i="46" s="1"/>
  <c r="K41" i="46"/>
  <c r="M41" i="46"/>
  <c r="N41" i="46" s="1"/>
  <c r="K42" i="46"/>
  <c r="M42" i="46"/>
  <c r="N42" i="46" s="1"/>
  <c r="K43" i="46"/>
  <c r="M43" i="46"/>
  <c r="N43" i="46" s="1"/>
  <c r="K44" i="46"/>
  <c r="M44" i="46"/>
  <c r="N44" i="46" s="1"/>
  <c r="K45" i="46"/>
  <c r="M45" i="46"/>
  <c r="N45" i="46" s="1"/>
  <c r="K46" i="46"/>
  <c r="M46" i="46"/>
  <c r="N46" i="46" s="1"/>
  <c r="K47" i="46"/>
  <c r="M47" i="46"/>
  <c r="N47" i="46" s="1"/>
  <c r="K48" i="46"/>
  <c r="M48" i="46"/>
  <c r="N48" i="46" s="1"/>
  <c r="K49" i="46"/>
  <c r="M49" i="46"/>
  <c r="N49" i="46" s="1"/>
  <c r="K50" i="46"/>
  <c r="M50" i="46"/>
  <c r="N50" i="46" s="1"/>
  <c r="K51" i="46"/>
  <c r="M51" i="46"/>
  <c r="N51" i="46" s="1"/>
  <c r="K52" i="46"/>
  <c r="M52" i="46"/>
  <c r="N52" i="46" s="1"/>
  <c r="K53" i="46"/>
  <c r="M53" i="46"/>
  <c r="N53" i="46" s="1"/>
  <c r="K54" i="46"/>
  <c r="M54" i="46"/>
  <c r="N54" i="46" s="1"/>
  <c r="K55" i="46"/>
  <c r="M55" i="46"/>
  <c r="N55" i="46" s="1"/>
  <c r="K56" i="46"/>
  <c r="M56" i="46"/>
  <c r="N56" i="46" s="1"/>
  <c r="K57" i="46"/>
  <c r="M57" i="46"/>
  <c r="N57" i="46" s="1"/>
  <c r="K58" i="46"/>
  <c r="M58" i="46"/>
  <c r="N58" i="46" s="1"/>
  <c r="K59" i="46"/>
  <c r="M59" i="46"/>
  <c r="N59" i="46" s="1"/>
  <c r="K60" i="46"/>
  <c r="M60" i="46"/>
  <c r="N60" i="46" s="1"/>
  <c r="K61" i="46"/>
  <c r="M61" i="46"/>
  <c r="N61" i="46" s="1"/>
  <c r="K62" i="46"/>
  <c r="M62" i="46"/>
  <c r="N62" i="46" s="1"/>
  <c r="K63" i="46"/>
  <c r="M63" i="46"/>
  <c r="N63" i="46" s="1"/>
  <c r="K64" i="46"/>
  <c r="M64" i="46"/>
  <c r="N64" i="46" s="1"/>
  <c r="K65" i="46"/>
  <c r="M65" i="46"/>
  <c r="N65" i="46" s="1"/>
  <c r="K66" i="46"/>
  <c r="M66" i="46"/>
  <c r="N66" i="46" s="1"/>
  <c r="K67" i="46"/>
  <c r="M67" i="46"/>
  <c r="N67" i="46" s="1"/>
  <c r="K68" i="46"/>
  <c r="M68" i="46"/>
  <c r="N68" i="46" s="1"/>
  <c r="K69" i="46"/>
  <c r="M69" i="46"/>
  <c r="N69" i="46" s="1"/>
  <c r="K70" i="46"/>
  <c r="M70" i="46"/>
  <c r="N70" i="46" s="1"/>
  <c r="K71" i="46"/>
  <c r="M71" i="46"/>
  <c r="N71" i="46" s="1"/>
  <c r="K72" i="46"/>
  <c r="M72" i="46"/>
  <c r="N72" i="46" s="1"/>
  <c r="K73" i="46"/>
  <c r="M73" i="46"/>
  <c r="N73" i="46" s="1"/>
  <c r="K74" i="46"/>
  <c r="M74" i="46"/>
  <c r="N74" i="46" s="1"/>
  <c r="K75" i="46"/>
  <c r="M75" i="46"/>
  <c r="N75" i="46" s="1"/>
  <c r="K76" i="46"/>
  <c r="M76" i="46"/>
  <c r="N76" i="46" s="1"/>
  <c r="K77" i="46"/>
  <c r="M77" i="46"/>
  <c r="N77" i="46" s="1"/>
  <c r="K78" i="46"/>
  <c r="M78" i="46"/>
  <c r="N78" i="46" s="1"/>
  <c r="K79" i="46"/>
  <c r="M79" i="46"/>
  <c r="N79" i="46" s="1"/>
  <c r="K80" i="46"/>
  <c r="M80" i="46"/>
  <c r="N80" i="46" s="1"/>
  <c r="K81" i="46"/>
  <c r="M81" i="46"/>
  <c r="N81" i="46" s="1"/>
  <c r="K82" i="46"/>
  <c r="M82" i="46"/>
  <c r="N82" i="46" s="1"/>
  <c r="K83" i="46"/>
  <c r="M83" i="46"/>
  <c r="N83" i="46" s="1"/>
  <c r="K84" i="46"/>
  <c r="M84" i="46"/>
  <c r="N84" i="46" s="1"/>
  <c r="K85" i="46"/>
  <c r="M85" i="46"/>
  <c r="N85" i="46" s="1"/>
  <c r="K86" i="46"/>
  <c r="M86" i="46"/>
  <c r="N86" i="46" s="1"/>
  <c r="K87" i="46"/>
  <c r="M87" i="46"/>
  <c r="N87" i="46" s="1"/>
  <c r="K88" i="46"/>
  <c r="M88" i="46"/>
  <c r="N88" i="46" s="1"/>
  <c r="K89" i="46"/>
  <c r="M89" i="46"/>
  <c r="N89" i="46" s="1"/>
  <c r="K90" i="46"/>
  <c r="M90" i="46"/>
  <c r="N90" i="46" s="1"/>
  <c r="K91" i="46"/>
  <c r="M91" i="46"/>
  <c r="N91" i="46" s="1"/>
  <c r="K92" i="46"/>
  <c r="M92" i="46"/>
  <c r="N92" i="46" s="1"/>
  <c r="K93" i="46"/>
  <c r="M93" i="46"/>
  <c r="N93" i="46" s="1"/>
  <c r="K94" i="46"/>
  <c r="M94" i="46"/>
  <c r="N94" i="46" s="1"/>
  <c r="K95" i="46"/>
  <c r="M95" i="46"/>
  <c r="N95" i="46" s="1"/>
  <c r="K96" i="46"/>
  <c r="M96" i="46"/>
  <c r="N96" i="46" s="1"/>
  <c r="K97" i="46"/>
  <c r="M97" i="46"/>
  <c r="N97" i="46" s="1"/>
  <c r="K98" i="46"/>
  <c r="M98" i="46"/>
  <c r="N98" i="46" s="1"/>
  <c r="K99" i="46"/>
  <c r="M99" i="46"/>
  <c r="N99" i="46" s="1"/>
  <c r="K100" i="46"/>
  <c r="M100" i="46"/>
  <c r="N100" i="46" s="1"/>
  <c r="K101" i="46"/>
  <c r="M101" i="46"/>
  <c r="N101" i="46" s="1"/>
  <c r="K102" i="46"/>
  <c r="M102" i="46"/>
  <c r="N102" i="46" s="1"/>
  <c r="K103" i="46"/>
  <c r="M103" i="46"/>
  <c r="N103" i="46" s="1"/>
  <c r="K104" i="46"/>
  <c r="M104" i="46"/>
  <c r="N104" i="46" s="1"/>
  <c r="K105" i="46"/>
  <c r="M105" i="46"/>
  <c r="N105" i="46" s="1"/>
  <c r="K106" i="46"/>
  <c r="M106" i="46"/>
  <c r="N106" i="46" s="1"/>
  <c r="K107" i="46"/>
  <c r="M107" i="46"/>
  <c r="N107" i="46" s="1"/>
  <c r="K108" i="46"/>
  <c r="M108" i="46"/>
  <c r="N108" i="46" s="1"/>
  <c r="K109" i="46"/>
  <c r="M109" i="46"/>
  <c r="N109" i="46" s="1"/>
  <c r="K110" i="46"/>
  <c r="M110" i="46"/>
  <c r="N110" i="46" s="1"/>
  <c r="K111" i="46"/>
  <c r="M111" i="46"/>
  <c r="N111" i="46" s="1"/>
  <c r="K112" i="46"/>
  <c r="M112" i="46"/>
  <c r="N112" i="46" s="1"/>
  <c r="K113" i="46"/>
  <c r="M113" i="46"/>
  <c r="N113" i="46" s="1"/>
  <c r="K114" i="46"/>
  <c r="M114" i="46"/>
  <c r="N114" i="46" s="1"/>
  <c r="K115" i="46"/>
  <c r="M115" i="46"/>
  <c r="N115" i="46" s="1"/>
  <c r="K116" i="46"/>
  <c r="M116" i="46"/>
  <c r="N116" i="46" s="1"/>
  <c r="K117" i="46"/>
  <c r="M117" i="46"/>
  <c r="N117" i="46" s="1"/>
  <c r="K118" i="46"/>
  <c r="M118" i="46"/>
  <c r="N118" i="46" s="1"/>
  <c r="K119" i="46"/>
  <c r="M119" i="46"/>
  <c r="N119" i="46" s="1"/>
  <c r="K120" i="46"/>
  <c r="M120" i="46"/>
  <c r="N120" i="46" s="1"/>
  <c r="K121" i="46"/>
  <c r="M121" i="46"/>
  <c r="N121" i="46" s="1"/>
  <c r="K122" i="46"/>
  <c r="M122" i="46"/>
  <c r="N122" i="46" s="1"/>
  <c r="K123" i="46"/>
  <c r="M123" i="46"/>
  <c r="N123" i="46" s="1"/>
  <c r="K124" i="46"/>
  <c r="M124" i="46"/>
  <c r="N124" i="46" s="1"/>
  <c r="K125" i="46"/>
  <c r="M125" i="46"/>
  <c r="N125" i="46" s="1"/>
  <c r="K126" i="46"/>
  <c r="M126" i="46"/>
  <c r="N126" i="46" s="1"/>
  <c r="K127" i="46"/>
  <c r="M127" i="46"/>
  <c r="N127" i="46" s="1"/>
  <c r="K128" i="46"/>
  <c r="M128" i="46"/>
  <c r="N128" i="46" s="1"/>
  <c r="K129" i="46"/>
  <c r="M129" i="46"/>
  <c r="N129" i="46" s="1"/>
  <c r="K130" i="46"/>
  <c r="M130" i="46"/>
  <c r="N130" i="46" s="1"/>
  <c r="K131" i="46"/>
  <c r="M131" i="46"/>
  <c r="N131" i="46" s="1"/>
  <c r="K132" i="46"/>
  <c r="M132" i="46"/>
  <c r="N132" i="46" s="1"/>
  <c r="K133" i="46"/>
  <c r="M133" i="46"/>
  <c r="N133" i="46" s="1"/>
  <c r="K134" i="46"/>
  <c r="M134" i="46"/>
  <c r="N134" i="46" s="1"/>
  <c r="E134" i="46"/>
  <c r="B134" i="46"/>
  <c r="E133" i="46"/>
  <c r="B133" i="46"/>
  <c r="E132" i="46"/>
  <c r="B132" i="46"/>
  <c r="E131" i="46"/>
  <c r="B131" i="46"/>
  <c r="E130" i="46"/>
  <c r="B130" i="46"/>
  <c r="E129" i="46"/>
  <c r="B129" i="46"/>
  <c r="E128" i="46"/>
  <c r="B128" i="46"/>
  <c r="E127" i="46"/>
  <c r="B127" i="46"/>
  <c r="E126" i="46"/>
  <c r="B126" i="46"/>
  <c r="E125" i="46"/>
  <c r="B125" i="46"/>
  <c r="E124" i="46"/>
  <c r="B124" i="46"/>
  <c r="E123" i="46"/>
  <c r="B123" i="46"/>
  <c r="E122" i="46"/>
  <c r="B122" i="46"/>
  <c r="E121" i="46"/>
  <c r="B121" i="46"/>
  <c r="E120" i="46"/>
  <c r="B120" i="46"/>
  <c r="E119" i="46"/>
  <c r="B119" i="46"/>
  <c r="E118" i="46"/>
  <c r="B118" i="46"/>
  <c r="E117" i="46"/>
  <c r="B117" i="46"/>
  <c r="E116" i="46"/>
  <c r="B116" i="46"/>
  <c r="E115" i="46"/>
  <c r="B115" i="46"/>
  <c r="E114" i="46"/>
  <c r="B114" i="46"/>
  <c r="E113" i="46"/>
  <c r="B113" i="46"/>
  <c r="E112" i="46"/>
  <c r="B112" i="46"/>
  <c r="E111" i="46"/>
  <c r="B111" i="46"/>
  <c r="E110" i="46"/>
  <c r="B110" i="46"/>
  <c r="E109" i="46"/>
  <c r="B109" i="46"/>
  <c r="E108" i="46"/>
  <c r="B108" i="46"/>
  <c r="E107" i="46"/>
  <c r="B107" i="46"/>
  <c r="E106" i="46"/>
  <c r="B106" i="46"/>
  <c r="E105" i="46"/>
  <c r="B105" i="46"/>
  <c r="E104" i="46"/>
  <c r="B104" i="46"/>
  <c r="E103" i="46"/>
  <c r="B103" i="46"/>
  <c r="E102" i="46"/>
  <c r="B102" i="46"/>
  <c r="E101" i="46"/>
  <c r="B101" i="46"/>
  <c r="E100" i="46"/>
  <c r="B100" i="46"/>
  <c r="E99" i="46"/>
  <c r="B99" i="46"/>
  <c r="E98" i="46"/>
  <c r="B98" i="46"/>
  <c r="E97" i="46"/>
  <c r="B97" i="46"/>
  <c r="E96" i="46"/>
  <c r="B96" i="46"/>
  <c r="E95" i="46"/>
  <c r="B95" i="46"/>
  <c r="E94" i="46"/>
  <c r="B94" i="46"/>
  <c r="E93" i="46"/>
  <c r="B93" i="46"/>
  <c r="E92" i="46"/>
  <c r="B92" i="46"/>
  <c r="E91" i="46"/>
  <c r="B91" i="46"/>
  <c r="E90" i="46"/>
  <c r="B90" i="46"/>
  <c r="E89" i="46"/>
  <c r="B89" i="46"/>
  <c r="E88" i="46"/>
  <c r="B88" i="46"/>
  <c r="E87" i="46"/>
  <c r="B87" i="46"/>
  <c r="E86" i="46"/>
  <c r="B86" i="46"/>
  <c r="E85" i="46"/>
  <c r="B85" i="46"/>
  <c r="E84" i="46"/>
  <c r="B84" i="46"/>
  <c r="E83" i="46"/>
  <c r="B83" i="46"/>
  <c r="E82" i="46"/>
  <c r="B82" i="46"/>
  <c r="E81" i="46"/>
  <c r="B81" i="46"/>
  <c r="E80" i="46"/>
  <c r="B80" i="46"/>
  <c r="E79" i="46"/>
  <c r="B79" i="46"/>
  <c r="E78" i="46"/>
  <c r="B78" i="46"/>
  <c r="E77" i="46"/>
  <c r="B77" i="46"/>
  <c r="E76" i="46"/>
  <c r="B76" i="46"/>
  <c r="E75" i="46"/>
  <c r="B75" i="46"/>
  <c r="E74" i="46"/>
  <c r="B74" i="46"/>
  <c r="E73" i="46"/>
  <c r="B73" i="46"/>
  <c r="E72" i="46"/>
  <c r="B72" i="46"/>
  <c r="E71" i="46"/>
  <c r="B71" i="46"/>
  <c r="E70" i="46"/>
  <c r="B70" i="46"/>
  <c r="E69" i="46"/>
  <c r="B69" i="46"/>
  <c r="E68" i="46"/>
  <c r="B68" i="46"/>
  <c r="E67" i="46"/>
  <c r="B67" i="46"/>
  <c r="E66" i="46"/>
  <c r="B66" i="46"/>
  <c r="E65" i="46"/>
  <c r="B65" i="46"/>
  <c r="E64" i="46"/>
  <c r="B64" i="46"/>
  <c r="E63" i="46"/>
  <c r="B63" i="46"/>
  <c r="E62" i="46"/>
  <c r="B62" i="46"/>
  <c r="E61" i="46"/>
  <c r="B61" i="46"/>
  <c r="E60" i="46"/>
  <c r="B60" i="46"/>
  <c r="E59" i="46"/>
  <c r="B59" i="46"/>
  <c r="E58" i="46"/>
  <c r="B58" i="46"/>
  <c r="E57" i="46"/>
  <c r="B57" i="46"/>
  <c r="E56" i="46"/>
  <c r="B56" i="46"/>
  <c r="E55" i="46"/>
  <c r="B55" i="46"/>
  <c r="E54" i="46"/>
  <c r="B54" i="46"/>
  <c r="E53" i="46"/>
  <c r="B53" i="46"/>
  <c r="E52" i="46"/>
  <c r="B52" i="46"/>
  <c r="E51" i="46"/>
  <c r="B51" i="46"/>
  <c r="E50" i="46"/>
  <c r="B50" i="46"/>
  <c r="E49" i="46"/>
  <c r="B49" i="46"/>
  <c r="E48" i="46"/>
  <c r="B48" i="46"/>
  <c r="E47" i="46"/>
  <c r="B47" i="46"/>
  <c r="E46" i="46"/>
  <c r="B46" i="46"/>
  <c r="E45" i="46"/>
  <c r="B45" i="46"/>
  <c r="E44" i="46"/>
  <c r="B44" i="46"/>
  <c r="E43" i="46"/>
  <c r="B43" i="46"/>
  <c r="E42" i="46"/>
  <c r="B42" i="46"/>
  <c r="E41" i="46"/>
  <c r="B41" i="46"/>
  <c r="E40" i="46"/>
  <c r="B40" i="46"/>
  <c r="E39" i="46"/>
  <c r="B39" i="46"/>
  <c r="E38" i="46"/>
  <c r="B38" i="46"/>
  <c r="E37" i="46"/>
  <c r="B37" i="46"/>
  <c r="E36" i="46"/>
  <c r="B36" i="46"/>
  <c r="E35" i="46"/>
  <c r="B35" i="46"/>
  <c r="E34" i="46"/>
  <c r="B34" i="46"/>
  <c r="E33" i="46"/>
  <c r="B33" i="46"/>
  <c r="E32" i="46"/>
  <c r="B32" i="46"/>
  <c r="E31" i="46"/>
  <c r="B31" i="46"/>
  <c r="E30" i="46"/>
  <c r="B30" i="46"/>
  <c r="E29" i="46"/>
  <c r="B29" i="46"/>
  <c r="E28" i="46"/>
  <c r="B28" i="46"/>
  <c r="E27" i="46"/>
  <c r="B27" i="46"/>
  <c r="E26" i="46"/>
  <c r="B26" i="46"/>
  <c r="E25" i="46"/>
  <c r="B25" i="46"/>
  <c r="E24" i="46"/>
  <c r="B24" i="46"/>
  <c r="E23" i="46"/>
  <c r="B23" i="46"/>
  <c r="E22" i="46"/>
  <c r="B22" i="46"/>
  <c r="E21" i="46"/>
  <c r="B21" i="46"/>
  <c r="E20" i="46"/>
  <c r="B20" i="46"/>
  <c r="E19" i="46"/>
  <c r="B19" i="46"/>
  <c r="E18" i="46"/>
  <c r="B18" i="46"/>
  <c r="E17" i="46"/>
  <c r="B17" i="46"/>
  <c r="E16" i="46"/>
  <c r="B16" i="46"/>
  <c r="E15" i="46"/>
  <c r="B15" i="46"/>
  <c r="E14" i="46"/>
  <c r="B14" i="46"/>
  <c r="E13" i="46"/>
  <c r="B13" i="46"/>
  <c r="E12" i="46"/>
  <c r="B12" i="46"/>
  <c r="E11" i="46"/>
  <c r="B11" i="46"/>
  <c r="E10" i="46"/>
  <c r="B10" i="46"/>
  <c r="E9" i="46"/>
  <c r="B9" i="46"/>
  <c r="E8" i="46"/>
  <c r="B8" i="46"/>
  <c r="E7" i="46"/>
  <c r="B7" i="46"/>
  <c r="E6" i="46"/>
  <c r="B6" i="46"/>
  <c r="E5" i="46"/>
  <c r="B5" i="46"/>
  <c r="M4" i="46"/>
  <c r="N4" i="46" s="1"/>
  <c r="K4" i="46"/>
  <c r="E4" i="46"/>
  <c r="B4" i="46"/>
  <c r="V2" i="46"/>
  <c r="U2" i="46"/>
  <c r="T2" i="46"/>
  <c r="S2" i="46"/>
  <c r="R2" i="46"/>
  <c r="Q2" i="46"/>
  <c r="P2" i="46"/>
  <c r="O2" i="46"/>
  <c r="L2" i="46"/>
  <c r="J2" i="46"/>
  <c r="I2" i="46"/>
  <c r="H2" i="46"/>
  <c r="G2" i="46"/>
  <c r="F2" i="46"/>
  <c r="M5" i="33"/>
  <c r="N5" i="33"/>
  <c r="M6" i="33"/>
  <c r="N6" i="33" s="1"/>
  <c r="M7" i="33"/>
  <c r="N7" i="33"/>
  <c r="M8" i="33"/>
  <c r="N8" i="33" s="1"/>
  <c r="M9" i="33"/>
  <c r="N9" i="33"/>
  <c r="M10" i="33"/>
  <c r="N10" i="33" s="1"/>
  <c r="M11" i="33"/>
  <c r="N11" i="33" s="1"/>
  <c r="M12" i="33"/>
  <c r="N12" i="33" s="1"/>
  <c r="M13" i="33"/>
  <c r="N13" i="33"/>
  <c r="M14" i="33"/>
  <c r="N14" i="33" s="1"/>
  <c r="M15" i="33"/>
  <c r="N15" i="33"/>
  <c r="M16" i="33"/>
  <c r="N16" i="33" s="1"/>
  <c r="M17" i="33"/>
  <c r="N17" i="33"/>
  <c r="M18" i="33"/>
  <c r="N18" i="33" s="1"/>
  <c r="M19" i="33"/>
  <c r="N19" i="33" s="1"/>
  <c r="M20" i="33"/>
  <c r="N20" i="33" s="1"/>
  <c r="M21" i="33"/>
  <c r="N21" i="33"/>
  <c r="M22" i="33"/>
  <c r="N22" i="33" s="1"/>
  <c r="M23" i="33"/>
  <c r="N23" i="33"/>
  <c r="M24" i="33"/>
  <c r="N24" i="33" s="1"/>
  <c r="M25" i="33"/>
  <c r="N25" i="33"/>
  <c r="M26" i="33"/>
  <c r="N26" i="33" s="1"/>
  <c r="M27" i="33"/>
  <c r="N27" i="33" s="1"/>
  <c r="M28" i="33"/>
  <c r="N28" i="33" s="1"/>
  <c r="M29" i="33"/>
  <c r="N29" i="33"/>
  <c r="M30" i="33"/>
  <c r="N30" i="33" s="1"/>
  <c r="M31" i="33"/>
  <c r="N31" i="33"/>
  <c r="M32" i="33"/>
  <c r="N32" i="33" s="1"/>
  <c r="M33" i="33"/>
  <c r="N33" i="33"/>
  <c r="M34" i="33"/>
  <c r="N34" i="33" s="1"/>
  <c r="M35" i="33"/>
  <c r="N35" i="33" s="1"/>
  <c r="M36" i="33"/>
  <c r="N36" i="33" s="1"/>
  <c r="M37" i="33"/>
  <c r="N37" i="33"/>
  <c r="M38" i="33"/>
  <c r="N38" i="33" s="1"/>
  <c r="M39" i="33"/>
  <c r="N39" i="33"/>
  <c r="M40" i="33"/>
  <c r="N40" i="33" s="1"/>
  <c r="M41" i="33"/>
  <c r="N41" i="33"/>
  <c r="M42" i="33"/>
  <c r="N42" i="33" s="1"/>
  <c r="M43" i="33"/>
  <c r="N43" i="33" s="1"/>
  <c r="M44" i="33"/>
  <c r="N44" i="33" s="1"/>
  <c r="M45" i="33"/>
  <c r="N45" i="33"/>
  <c r="M46" i="33"/>
  <c r="N46" i="33" s="1"/>
  <c r="M47" i="33"/>
  <c r="N47" i="33"/>
  <c r="M48" i="33"/>
  <c r="N48" i="33" s="1"/>
  <c r="M49" i="33"/>
  <c r="N49" i="33"/>
  <c r="M50" i="33"/>
  <c r="N50" i="33" s="1"/>
  <c r="M51" i="33"/>
  <c r="N51" i="33" s="1"/>
  <c r="M52" i="33"/>
  <c r="N52" i="33" s="1"/>
  <c r="M53" i="33"/>
  <c r="N53" i="33"/>
  <c r="M54" i="33"/>
  <c r="N54" i="33" s="1"/>
  <c r="M55" i="33"/>
  <c r="N55" i="33"/>
  <c r="M56" i="33"/>
  <c r="N56" i="33" s="1"/>
  <c r="M57" i="33"/>
  <c r="N57" i="33"/>
  <c r="M58" i="33"/>
  <c r="N58" i="33" s="1"/>
  <c r="M59" i="33"/>
  <c r="N59" i="33" s="1"/>
  <c r="M60" i="33"/>
  <c r="N60" i="33" s="1"/>
  <c r="M61" i="33"/>
  <c r="N61" i="33"/>
  <c r="M62" i="33"/>
  <c r="N62" i="33" s="1"/>
  <c r="M63" i="33"/>
  <c r="N63" i="33"/>
  <c r="M64" i="33"/>
  <c r="N64" i="33" s="1"/>
  <c r="M65" i="33"/>
  <c r="N65" i="33"/>
  <c r="M66" i="33"/>
  <c r="N66" i="33" s="1"/>
  <c r="M67" i="33"/>
  <c r="N67" i="33" s="1"/>
  <c r="M68" i="33"/>
  <c r="N68" i="33" s="1"/>
  <c r="M69" i="33"/>
  <c r="N69" i="33"/>
  <c r="M70" i="33"/>
  <c r="N70" i="33" s="1"/>
  <c r="M71" i="33"/>
  <c r="N71" i="33"/>
  <c r="M72" i="33"/>
  <c r="N72" i="33" s="1"/>
  <c r="M73" i="33"/>
  <c r="N73" i="33"/>
  <c r="M74" i="33"/>
  <c r="N74" i="33" s="1"/>
  <c r="M75" i="33"/>
  <c r="N75" i="33" s="1"/>
  <c r="M76" i="33"/>
  <c r="N76" i="33" s="1"/>
  <c r="M77" i="33"/>
  <c r="N77" i="33"/>
  <c r="M78" i="33"/>
  <c r="N78" i="33" s="1"/>
  <c r="M79" i="33"/>
  <c r="N79" i="33"/>
  <c r="M80" i="33"/>
  <c r="N80" i="33" s="1"/>
  <c r="M81" i="33"/>
  <c r="N81" i="33"/>
  <c r="M82" i="33"/>
  <c r="N82" i="33" s="1"/>
  <c r="M83" i="33"/>
  <c r="N83" i="33" s="1"/>
  <c r="M84" i="33"/>
  <c r="N84" i="33" s="1"/>
  <c r="M85" i="33"/>
  <c r="N85" i="33"/>
  <c r="M86" i="33"/>
  <c r="N86" i="33" s="1"/>
  <c r="M87" i="33"/>
  <c r="N87" i="33"/>
  <c r="M88" i="33"/>
  <c r="N88" i="33" s="1"/>
  <c r="M89" i="33"/>
  <c r="N89" i="33"/>
  <c r="M90" i="33"/>
  <c r="N90" i="33" s="1"/>
  <c r="M91" i="33"/>
  <c r="N91" i="33" s="1"/>
  <c r="M92" i="33"/>
  <c r="N92" i="33" s="1"/>
  <c r="M93" i="33"/>
  <c r="N93" i="33"/>
  <c r="M94" i="33"/>
  <c r="N94" i="33" s="1"/>
  <c r="M95" i="33"/>
  <c r="N95" i="33"/>
  <c r="M96" i="33"/>
  <c r="N96" i="33" s="1"/>
  <c r="M97" i="33"/>
  <c r="N97" i="33"/>
  <c r="M98" i="33"/>
  <c r="N98" i="33" s="1"/>
  <c r="M99" i="33"/>
  <c r="N99" i="33" s="1"/>
  <c r="M100" i="33"/>
  <c r="N100" i="33" s="1"/>
  <c r="M101" i="33"/>
  <c r="N101" i="33"/>
  <c r="M102" i="33"/>
  <c r="N102" i="33" s="1"/>
  <c r="M103" i="33"/>
  <c r="N103" i="33"/>
  <c r="M104" i="33"/>
  <c r="N104" i="33" s="1"/>
  <c r="M105" i="33"/>
  <c r="N105" i="33"/>
  <c r="M106" i="33"/>
  <c r="N106" i="33" s="1"/>
  <c r="M107" i="33"/>
  <c r="N107" i="33" s="1"/>
  <c r="M108" i="33"/>
  <c r="N108" i="33" s="1"/>
  <c r="M109" i="33"/>
  <c r="N109" i="33"/>
  <c r="M110" i="33"/>
  <c r="N110" i="33" s="1"/>
  <c r="M111" i="33"/>
  <c r="N111" i="33"/>
  <c r="M112" i="33"/>
  <c r="N112" i="33" s="1"/>
  <c r="M113" i="33"/>
  <c r="N113" i="33"/>
  <c r="M114" i="33"/>
  <c r="N114" i="33" s="1"/>
  <c r="M115" i="33"/>
  <c r="N115" i="33" s="1"/>
  <c r="M116" i="33"/>
  <c r="N116" i="33" s="1"/>
  <c r="M117" i="33"/>
  <c r="N117" i="33"/>
  <c r="M118" i="33"/>
  <c r="N118" i="33" s="1"/>
  <c r="M119" i="33"/>
  <c r="N119" i="33"/>
  <c r="M120" i="33"/>
  <c r="N120" i="33" s="1"/>
  <c r="M121" i="33"/>
  <c r="N121" i="33"/>
  <c r="M122" i="33"/>
  <c r="N122" i="33" s="1"/>
  <c r="M123" i="33"/>
  <c r="N123" i="33" s="1"/>
  <c r="M124" i="33"/>
  <c r="N124" i="33" s="1"/>
  <c r="M125" i="33"/>
  <c r="N125" i="33"/>
  <c r="M126" i="33"/>
  <c r="N126" i="33" s="1"/>
  <c r="M127" i="33"/>
  <c r="N127" i="33"/>
  <c r="M128" i="33"/>
  <c r="N128" i="33" s="1"/>
  <c r="M129" i="33"/>
  <c r="N129" i="33"/>
  <c r="M130" i="33"/>
  <c r="N130" i="33" s="1"/>
  <c r="M131" i="33"/>
  <c r="N131" i="33" s="1"/>
  <c r="M132" i="33"/>
  <c r="N132" i="33" s="1"/>
  <c r="M133" i="33"/>
  <c r="N133" i="33"/>
  <c r="M134" i="33"/>
  <c r="N134" i="33" s="1"/>
  <c r="K5" i="25"/>
  <c r="M5" i="25"/>
  <c r="N5" i="25" s="1"/>
  <c r="K6" i="25"/>
  <c r="M6" i="25"/>
  <c r="N6" i="25" s="1"/>
  <c r="K7" i="25"/>
  <c r="M7" i="25"/>
  <c r="N7" i="25" s="1"/>
  <c r="K8" i="25"/>
  <c r="M8" i="25"/>
  <c r="N8" i="25"/>
  <c r="K9" i="25"/>
  <c r="M9" i="25"/>
  <c r="N9" i="25" s="1"/>
  <c r="K10" i="25"/>
  <c r="M10" i="25"/>
  <c r="N10" i="25"/>
  <c r="K11" i="25"/>
  <c r="M11" i="25"/>
  <c r="N11" i="25" s="1"/>
  <c r="K12" i="25"/>
  <c r="M12" i="25"/>
  <c r="N12" i="25"/>
  <c r="K13" i="25"/>
  <c r="M13" i="25"/>
  <c r="N13" i="25" s="1"/>
  <c r="K14" i="25"/>
  <c r="M14" i="25"/>
  <c r="N14" i="25"/>
  <c r="K15" i="25"/>
  <c r="M15" i="25"/>
  <c r="N15" i="25" s="1"/>
  <c r="K16" i="25"/>
  <c r="M16" i="25"/>
  <c r="N16" i="25"/>
  <c r="K17" i="25"/>
  <c r="M17" i="25"/>
  <c r="N17" i="25" s="1"/>
  <c r="K18" i="25"/>
  <c r="M18" i="25"/>
  <c r="N18" i="25"/>
  <c r="K19" i="25"/>
  <c r="M19" i="25"/>
  <c r="N19" i="25" s="1"/>
  <c r="K20" i="25"/>
  <c r="M20" i="25"/>
  <c r="N20" i="25"/>
  <c r="K21" i="25"/>
  <c r="M21" i="25"/>
  <c r="N21" i="25" s="1"/>
  <c r="K22" i="25"/>
  <c r="M22" i="25"/>
  <c r="N22" i="25"/>
  <c r="K23" i="25"/>
  <c r="M23" i="25"/>
  <c r="N23" i="25" s="1"/>
  <c r="K24" i="25"/>
  <c r="M24" i="25"/>
  <c r="N24" i="25"/>
  <c r="K25" i="25"/>
  <c r="M25" i="25"/>
  <c r="N25" i="25" s="1"/>
  <c r="K26" i="25"/>
  <c r="M26" i="25"/>
  <c r="N26" i="25"/>
  <c r="K27" i="25"/>
  <c r="M27" i="25"/>
  <c r="N27" i="25" s="1"/>
  <c r="K28" i="25"/>
  <c r="M28" i="25"/>
  <c r="N28" i="25"/>
  <c r="K29" i="25"/>
  <c r="M29" i="25"/>
  <c r="N29" i="25" s="1"/>
  <c r="K30" i="25"/>
  <c r="M30" i="25"/>
  <c r="N30" i="25"/>
  <c r="K31" i="25"/>
  <c r="M31" i="25"/>
  <c r="N31" i="25" s="1"/>
  <c r="K32" i="25"/>
  <c r="M32" i="25"/>
  <c r="N32" i="25"/>
  <c r="K33" i="25"/>
  <c r="M33" i="25"/>
  <c r="N33" i="25" s="1"/>
  <c r="K34" i="25"/>
  <c r="M34" i="25"/>
  <c r="N34" i="25" s="1"/>
  <c r="K35" i="25"/>
  <c r="M35" i="25"/>
  <c r="N35" i="25" s="1"/>
  <c r="K36" i="25"/>
  <c r="M36" i="25"/>
  <c r="N36" i="25" s="1"/>
  <c r="K37" i="25"/>
  <c r="M37" i="25"/>
  <c r="N37" i="25" s="1"/>
  <c r="K38" i="25"/>
  <c r="M38" i="25"/>
  <c r="N38" i="25" s="1"/>
  <c r="K39" i="25"/>
  <c r="M39" i="25"/>
  <c r="N39" i="25" s="1"/>
  <c r="K40" i="25"/>
  <c r="M40" i="25"/>
  <c r="N40" i="25" s="1"/>
  <c r="K41" i="25"/>
  <c r="M41" i="25"/>
  <c r="N41" i="25" s="1"/>
  <c r="K42" i="25"/>
  <c r="M42" i="25"/>
  <c r="N42" i="25" s="1"/>
  <c r="K43" i="25"/>
  <c r="M43" i="25"/>
  <c r="N43" i="25" s="1"/>
  <c r="K44" i="25"/>
  <c r="M44" i="25"/>
  <c r="N44" i="25" s="1"/>
  <c r="K45" i="25"/>
  <c r="M45" i="25"/>
  <c r="N45" i="25" s="1"/>
  <c r="K46" i="25"/>
  <c r="M46" i="25"/>
  <c r="N46" i="25" s="1"/>
  <c r="K47" i="25"/>
  <c r="M47" i="25"/>
  <c r="N47" i="25" s="1"/>
  <c r="K48" i="25"/>
  <c r="M48" i="25"/>
  <c r="N48" i="25" s="1"/>
  <c r="K49" i="25"/>
  <c r="M49" i="25"/>
  <c r="N49" i="25" s="1"/>
  <c r="K50" i="25"/>
  <c r="M50" i="25"/>
  <c r="N50" i="25" s="1"/>
  <c r="K51" i="25"/>
  <c r="M51" i="25"/>
  <c r="N51" i="25" s="1"/>
  <c r="K52" i="25"/>
  <c r="M52" i="25"/>
  <c r="N52" i="25" s="1"/>
  <c r="K53" i="25"/>
  <c r="M53" i="25"/>
  <c r="N53" i="25" s="1"/>
  <c r="K54" i="25"/>
  <c r="M54" i="25"/>
  <c r="N54" i="25" s="1"/>
  <c r="K55" i="25"/>
  <c r="M55" i="25"/>
  <c r="N55" i="25" s="1"/>
  <c r="K56" i="25"/>
  <c r="M56" i="25"/>
  <c r="N56" i="25" s="1"/>
  <c r="K57" i="25"/>
  <c r="M57" i="25"/>
  <c r="N57" i="25" s="1"/>
  <c r="K58" i="25"/>
  <c r="M58" i="25"/>
  <c r="N58" i="25" s="1"/>
  <c r="K59" i="25"/>
  <c r="M59" i="25"/>
  <c r="N59" i="25" s="1"/>
  <c r="K60" i="25"/>
  <c r="M60" i="25"/>
  <c r="N60" i="25" s="1"/>
  <c r="K61" i="25"/>
  <c r="M61" i="25"/>
  <c r="N61" i="25" s="1"/>
  <c r="K62" i="25"/>
  <c r="M62" i="25"/>
  <c r="N62" i="25" s="1"/>
  <c r="K63" i="25"/>
  <c r="M63" i="25"/>
  <c r="N63" i="25" s="1"/>
  <c r="K64" i="25"/>
  <c r="M64" i="25"/>
  <c r="N64" i="25" s="1"/>
  <c r="K65" i="25"/>
  <c r="M65" i="25"/>
  <c r="N65" i="25" s="1"/>
  <c r="K66" i="25"/>
  <c r="M66" i="25"/>
  <c r="N66" i="25" s="1"/>
  <c r="K67" i="25"/>
  <c r="M67" i="25"/>
  <c r="N67" i="25" s="1"/>
  <c r="K68" i="25"/>
  <c r="M68" i="25"/>
  <c r="N68" i="25" s="1"/>
  <c r="K69" i="25"/>
  <c r="M69" i="25"/>
  <c r="N69" i="25" s="1"/>
  <c r="K70" i="25"/>
  <c r="M70" i="25"/>
  <c r="N70" i="25" s="1"/>
  <c r="K71" i="25"/>
  <c r="M71" i="25"/>
  <c r="N71" i="25" s="1"/>
  <c r="K72" i="25"/>
  <c r="M72" i="25"/>
  <c r="N72" i="25" s="1"/>
  <c r="K73" i="25"/>
  <c r="M73" i="25"/>
  <c r="N73" i="25" s="1"/>
  <c r="K74" i="25"/>
  <c r="M74" i="25"/>
  <c r="N74" i="25" s="1"/>
  <c r="K75" i="25"/>
  <c r="M75" i="25"/>
  <c r="N75" i="25" s="1"/>
  <c r="K76" i="25"/>
  <c r="M76" i="25"/>
  <c r="N76" i="25" s="1"/>
  <c r="K77" i="25"/>
  <c r="M77" i="25"/>
  <c r="N77" i="25" s="1"/>
  <c r="K78" i="25"/>
  <c r="M78" i="25"/>
  <c r="N78" i="25" s="1"/>
  <c r="K79" i="25"/>
  <c r="M79" i="25"/>
  <c r="N79" i="25" s="1"/>
  <c r="K80" i="25"/>
  <c r="M80" i="25"/>
  <c r="N80" i="25" s="1"/>
  <c r="K81" i="25"/>
  <c r="M81" i="25"/>
  <c r="N81" i="25" s="1"/>
  <c r="K82" i="25"/>
  <c r="M82" i="25"/>
  <c r="N82" i="25" s="1"/>
  <c r="K83" i="25"/>
  <c r="M83" i="25"/>
  <c r="N83" i="25" s="1"/>
  <c r="K84" i="25"/>
  <c r="M84" i="25"/>
  <c r="N84" i="25" s="1"/>
  <c r="K85" i="25"/>
  <c r="M85" i="25"/>
  <c r="N85" i="25" s="1"/>
  <c r="K86" i="25"/>
  <c r="M86" i="25"/>
  <c r="N86" i="25" s="1"/>
  <c r="K87" i="25"/>
  <c r="M87" i="25"/>
  <c r="N87" i="25" s="1"/>
  <c r="K88" i="25"/>
  <c r="M88" i="25"/>
  <c r="N88" i="25" s="1"/>
  <c r="K89" i="25"/>
  <c r="M89" i="25"/>
  <c r="N89" i="25" s="1"/>
  <c r="K90" i="25"/>
  <c r="M90" i="25"/>
  <c r="N90" i="25" s="1"/>
  <c r="K91" i="25"/>
  <c r="M91" i="25"/>
  <c r="N91" i="25" s="1"/>
  <c r="K92" i="25"/>
  <c r="M92" i="25"/>
  <c r="N92" i="25" s="1"/>
  <c r="K93" i="25"/>
  <c r="M93" i="25"/>
  <c r="N93" i="25" s="1"/>
  <c r="K94" i="25"/>
  <c r="M94" i="25"/>
  <c r="N94" i="25" s="1"/>
  <c r="K95" i="25"/>
  <c r="M95" i="25"/>
  <c r="N95" i="25" s="1"/>
  <c r="K96" i="25"/>
  <c r="M96" i="25"/>
  <c r="N96" i="25" s="1"/>
  <c r="K97" i="25"/>
  <c r="M97" i="25"/>
  <c r="N97" i="25" s="1"/>
  <c r="K98" i="25"/>
  <c r="M98" i="25"/>
  <c r="N98" i="25" s="1"/>
  <c r="K99" i="25"/>
  <c r="M99" i="25"/>
  <c r="N99" i="25" s="1"/>
  <c r="K100" i="25"/>
  <c r="M100" i="25"/>
  <c r="N100" i="25" s="1"/>
  <c r="K101" i="25"/>
  <c r="M101" i="25"/>
  <c r="N101" i="25" s="1"/>
  <c r="K102" i="25"/>
  <c r="M102" i="25"/>
  <c r="N102" i="25" s="1"/>
  <c r="K103" i="25"/>
  <c r="M103" i="25"/>
  <c r="N103" i="25" s="1"/>
  <c r="K104" i="25"/>
  <c r="M104" i="25"/>
  <c r="N104" i="25" s="1"/>
  <c r="K105" i="25"/>
  <c r="M105" i="25"/>
  <c r="N105" i="25" s="1"/>
  <c r="K106" i="25"/>
  <c r="M106" i="25"/>
  <c r="N106" i="25" s="1"/>
  <c r="K107" i="25"/>
  <c r="M107" i="25"/>
  <c r="N107" i="25" s="1"/>
  <c r="K108" i="25"/>
  <c r="M108" i="25"/>
  <c r="N108" i="25" s="1"/>
  <c r="K109" i="25"/>
  <c r="M109" i="25"/>
  <c r="N109" i="25" s="1"/>
  <c r="K110" i="25"/>
  <c r="M110" i="25"/>
  <c r="N110" i="25" s="1"/>
  <c r="K111" i="25"/>
  <c r="M111" i="25"/>
  <c r="N111" i="25" s="1"/>
  <c r="K112" i="25"/>
  <c r="M112" i="25"/>
  <c r="N112" i="25" s="1"/>
  <c r="K113" i="25"/>
  <c r="M113" i="25"/>
  <c r="N113" i="25" s="1"/>
  <c r="K114" i="25"/>
  <c r="M114" i="25"/>
  <c r="N114" i="25" s="1"/>
  <c r="K115" i="25"/>
  <c r="M115" i="25"/>
  <c r="N115" i="25" s="1"/>
  <c r="K116" i="25"/>
  <c r="M116" i="25"/>
  <c r="N116" i="25" s="1"/>
  <c r="K117" i="25"/>
  <c r="M117" i="25"/>
  <c r="N117" i="25" s="1"/>
  <c r="K118" i="25"/>
  <c r="M118" i="25"/>
  <c r="N118" i="25" s="1"/>
  <c r="K119" i="25"/>
  <c r="M119" i="25"/>
  <c r="N119" i="25" s="1"/>
  <c r="K120" i="25"/>
  <c r="M120" i="25"/>
  <c r="N120" i="25" s="1"/>
  <c r="K121" i="25"/>
  <c r="M121" i="25"/>
  <c r="N121" i="25" s="1"/>
  <c r="K122" i="25"/>
  <c r="M122" i="25"/>
  <c r="N122" i="25" s="1"/>
  <c r="K123" i="25"/>
  <c r="M123" i="25"/>
  <c r="N123" i="25" s="1"/>
  <c r="K124" i="25"/>
  <c r="M124" i="25"/>
  <c r="N124" i="25" s="1"/>
  <c r="K125" i="25"/>
  <c r="M125" i="25"/>
  <c r="N125" i="25" s="1"/>
  <c r="K126" i="25"/>
  <c r="M126" i="25"/>
  <c r="N126" i="25" s="1"/>
  <c r="K127" i="25"/>
  <c r="M127" i="25"/>
  <c r="N127" i="25" s="1"/>
  <c r="K128" i="25"/>
  <c r="M128" i="25"/>
  <c r="N128" i="25" s="1"/>
  <c r="K129" i="25"/>
  <c r="M129" i="25"/>
  <c r="N129" i="25" s="1"/>
  <c r="K130" i="25"/>
  <c r="M130" i="25"/>
  <c r="N130" i="25" s="1"/>
  <c r="K131" i="25"/>
  <c r="M131" i="25"/>
  <c r="N131" i="25" s="1"/>
  <c r="K132" i="25"/>
  <c r="M132" i="25"/>
  <c r="N132" i="25" s="1"/>
  <c r="K133" i="25"/>
  <c r="M133" i="25"/>
  <c r="N133" i="25" s="1"/>
  <c r="K134" i="25"/>
  <c r="M134" i="25"/>
  <c r="N134" i="25" s="1"/>
  <c r="M140" i="32"/>
  <c r="N140" i="32" s="1"/>
  <c r="K140" i="32"/>
  <c r="E140" i="32"/>
  <c r="B140" i="32"/>
  <c r="M139" i="32"/>
  <c r="N139" i="32" s="1"/>
  <c r="K139" i="32"/>
  <c r="E139" i="32"/>
  <c r="B139" i="32"/>
  <c r="N138" i="32"/>
  <c r="M138" i="32"/>
  <c r="K138" i="32"/>
  <c r="E138" i="32"/>
  <c r="B138" i="32"/>
  <c r="M137" i="32"/>
  <c r="N137" i="32" s="1"/>
  <c r="K137" i="32"/>
  <c r="E137" i="32"/>
  <c r="B137" i="32"/>
  <c r="M136" i="32"/>
  <c r="N136" i="32" s="1"/>
  <c r="K136" i="32"/>
  <c r="E136" i="32"/>
  <c r="B136" i="32"/>
  <c r="M135" i="32"/>
  <c r="N135" i="32" s="1"/>
  <c r="K135" i="32"/>
  <c r="E135" i="32"/>
  <c r="B135" i="32"/>
  <c r="K5" i="31"/>
  <c r="M5" i="31"/>
  <c r="N5" i="31" s="1"/>
  <c r="K6" i="31"/>
  <c r="M6" i="31"/>
  <c r="N6" i="31" s="1"/>
  <c r="K7" i="31"/>
  <c r="M7" i="31"/>
  <c r="N7" i="31" s="1"/>
  <c r="K8" i="31"/>
  <c r="M8" i="31"/>
  <c r="N8" i="31" s="1"/>
  <c r="K9" i="31"/>
  <c r="M9" i="31"/>
  <c r="N9" i="31" s="1"/>
  <c r="K10" i="31"/>
  <c r="M10" i="31"/>
  <c r="N10" i="31" s="1"/>
  <c r="K11" i="31"/>
  <c r="M11" i="31"/>
  <c r="N11" i="31" s="1"/>
  <c r="K12" i="31"/>
  <c r="M12" i="31"/>
  <c r="N12" i="31" s="1"/>
  <c r="K13" i="31"/>
  <c r="M13" i="31"/>
  <c r="N13" i="31" s="1"/>
  <c r="K14" i="31"/>
  <c r="M14" i="31"/>
  <c r="N14" i="31" s="1"/>
  <c r="K15" i="31"/>
  <c r="M15" i="31"/>
  <c r="N15" i="31" s="1"/>
  <c r="K16" i="31"/>
  <c r="M16" i="31"/>
  <c r="N16" i="31" s="1"/>
  <c r="K17" i="31"/>
  <c r="M17" i="31"/>
  <c r="N17" i="31" s="1"/>
  <c r="K18" i="31"/>
  <c r="M18" i="31"/>
  <c r="N18" i="31" s="1"/>
  <c r="K19" i="31"/>
  <c r="M19" i="31"/>
  <c r="N19" i="31" s="1"/>
  <c r="K20" i="31"/>
  <c r="M20" i="31"/>
  <c r="N20" i="31" s="1"/>
  <c r="K21" i="31"/>
  <c r="M21" i="31"/>
  <c r="N21" i="31" s="1"/>
  <c r="K22" i="31"/>
  <c r="M22" i="31"/>
  <c r="N22" i="31" s="1"/>
  <c r="K23" i="31"/>
  <c r="M23" i="31"/>
  <c r="N23" i="31" s="1"/>
  <c r="K24" i="31"/>
  <c r="M24" i="31"/>
  <c r="N24" i="31" s="1"/>
  <c r="K25" i="31"/>
  <c r="M25" i="31"/>
  <c r="N25" i="31" s="1"/>
  <c r="K26" i="31"/>
  <c r="M26" i="31"/>
  <c r="N26" i="31" s="1"/>
  <c r="K27" i="31"/>
  <c r="M27" i="31"/>
  <c r="N27" i="31" s="1"/>
  <c r="K28" i="31"/>
  <c r="M28" i="31"/>
  <c r="N28" i="31" s="1"/>
  <c r="K29" i="31"/>
  <c r="M29" i="31"/>
  <c r="N29" i="31" s="1"/>
  <c r="K30" i="31"/>
  <c r="M30" i="31"/>
  <c r="N30" i="31" s="1"/>
  <c r="K31" i="31"/>
  <c r="M31" i="31"/>
  <c r="N31" i="31" s="1"/>
  <c r="K32" i="31"/>
  <c r="M32" i="31"/>
  <c r="N32" i="31" s="1"/>
  <c r="K33" i="31"/>
  <c r="M33" i="31"/>
  <c r="N33" i="31" s="1"/>
  <c r="K34" i="31"/>
  <c r="M34" i="31"/>
  <c r="N34" i="31" s="1"/>
  <c r="K35" i="31"/>
  <c r="M35" i="31"/>
  <c r="N35" i="31" s="1"/>
  <c r="K36" i="31"/>
  <c r="M36" i="31"/>
  <c r="N36" i="31" s="1"/>
  <c r="K37" i="31"/>
  <c r="M37" i="31"/>
  <c r="N37" i="31" s="1"/>
  <c r="K38" i="31"/>
  <c r="M38" i="31"/>
  <c r="N38" i="31" s="1"/>
  <c r="K39" i="31"/>
  <c r="M39" i="31"/>
  <c r="N39" i="31" s="1"/>
  <c r="K40" i="31"/>
  <c r="M40" i="31"/>
  <c r="N40" i="31" s="1"/>
  <c r="K41" i="31"/>
  <c r="M41" i="31"/>
  <c r="N41" i="31" s="1"/>
  <c r="K42" i="31"/>
  <c r="M42" i="31"/>
  <c r="N42" i="31" s="1"/>
  <c r="K43" i="31"/>
  <c r="M43" i="31"/>
  <c r="N43" i="31" s="1"/>
  <c r="K44" i="31"/>
  <c r="M44" i="31"/>
  <c r="N44" i="31" s="1"/>
  <c r="K45" i="31"/>
  <c r="M45" i="31"/>
  <c r="N45" i="31" s="1"/>
  <c r="K46" i="31"/>
  <c r="M46" i="31"/>
  <c r="N46" i="31" s="1"/>
  <c r="K47" i="31"/>
  <c r="M47" i="31"/>
  <c r="N47" i="31" s="1"/>
  <c r="K48" i="31"/>
  <c r="M48" i="31"/>
  <c r="N48" i="31" s="1"/>
  <c r="K49" i="31"/>
  <c r="M49" i="31"/>
  <c r="N49" i="31" s="1"/>
  <c r="K50" i="31"/>
  <c r="M50" i="31"/>
  <c r="N50" i="31" s="1"/>
  <c r="K51" i="31"/>
  <c r="M51" i="31"/>
  <c r="N51" i="31" s="1"/>
  <c r="K52" i="31"/>
  <c r="M52" i="31"/>
  <c r="N52" i="31" s="1"/>
  <c r="K53" i="31"/>
  <c r="M53" i="31"/>
  <c r="N53" i="31" s="1"/>
  <c r="K54" i="31"/>
  <c r="M54" i="31"/>
  <c r="N54" i="31" s="1"/>
  <c r="K55" i="31"/>
  <c r="M55" i="31"/>
  <c r="N55" i="31" s="1"/>
  <c r="K56" i="31"/>
  <c r="M56" i="31"/>
  <c r="N56" i="31" s="1"/>
  <c r="K57" i="31"/>
  <c r="M57" i="31"/>
  <c r="N57" i="31" s="1"/>
  <c r="K58" i="31"/>
  <c r="M58" i="31"/>
  <c r="N58" i="31" s="1"/>
  <c r="K59" i="31"/>
  <c r="M59" i="31"/>
  <c r="N59" i="31" s="1"/>
  <c r="K60" i="31"/>
  <c r="M60" i="31"/>
  <c r="N60" i="31" s="1"/>
  <c r="K61" i="31"/>
  <c r="M61" i="31"/>
  <c r="N61" i="31" s="1"/>
  <c r="K62" i="31"/>
  <c r="M62" i="31"/>
  <c r="N62" i="31" s="1"/>
  <c r="K63" i="31"/>
  <c r="M63" i="31"/>
  <c r="N63" i="31" s="1"/>
  <c r="K64" i="31"/>
  <c r="M64" i="31"/>
  <c r="N64" i="31" s="1"/>
  <c r="K65" i="31"/>
  <c r="M65" i="31"/>
  <c r="N65" i="31" s="1"/>
  <c r="K66" i="31"/>
  <c r="M66" i="31"/>
  <c r="N66" i="31" s="1"/>
  <c r="K67" i="31"/>
  <c r="M67" i="31"/>
  <c r="N67" i="31" s="1"/>
  <c r="K68" i="31"/>
  <c r="M68" i="31"/>
  <c r="N68" i="31" s="1"/>
  <c r="K69" i="31"/>
  <c r="M69" i="31"/>
  <c r="N69" i="31" s="1"/>
  <c r="K70" i="31"/>
  <c r="M70" i="31"/>
  <c r="N70" i="31" s="1"/>
  <c r="K71" i="31"/>
  <c r="M71" i="31"/>
  <c r="N71" i="31" s="1"/>
  <c r="K72" i="31"/>
  <c r="M72" i="31"/>
  <c r="N72" i="31" s="1"/>
  <c r="K73" i="31"/>
  <c r="M73" i="31"/>
  <c r="N73" i="31" s="1"/>
  <c r="K74" i="31"/>
  <c r="M74" i="31"/>
  <c r="N74" i="31" s="1"/>
  <c r="K75" i="31"/>
  <c r="M75" i="31"/>
  <c r="N75" i="31" s="1"/>
  <c r="K76" i="31"/>
  <c r="M76" i="31"/>
  <c r="N76" i="31" s="1"/>
  <c r="K77" i="31"/>
  <c r="M77" i="31"/>
  <c r="N77" i="31" s="1"/>
  <c r="K78" i="31"/>
  <c r="M78" i="31"/>
  <c r="N78" i="31" s="1"/>
  <c r="K79" i="31"/>
  <c r="M79" i="31"/>
  <c r="N79" i="31" s="1"/>
  <c r="K80" i="31"/>
  <c r="M80" i="31"/>
  <c r="N80" i="31" s="1"/>
  <c r="K81" i="31"/>
  <c r="M81" i="31"/>
  <c r="N81" i="31" s="1"/>
  <c r="K82" i="31"/>
  <c r="M82" i="31"/>
  <c r="N82" i="31" s="1"/>
  <c r="K83" i="31"/>
  <c r="M83" i="31"/>
  <c r="N83" i="31" s="1"/>
  <c r="K84" i="31"/>
  <c r="M84" i="31"/>
  <c r="N84" i="31" s="1"/>
  <c r="K85" i="31"/>
  <c r="M85" i="31"/>
  <c r="N85" i="31" s="1"/>
  <c r="K86" i="31"/>
  <c r="M86" i="31"/>
  <c r="N86" i="31" s="1"/>
  <c r="K87" i="31"/>
  <c r="M87" i="31"/>
  <c r="N87" i="31" s="1"/>
  <c r="K88" i="31"/>
  <c r="M88" i="31"/>
  <c r="N88" i="31" s="1"/>
  <c r="K89" i="31"/>
  <c r="M89" i="31"/>
  <c r="N89" i="31" s="1"/>
  <c r="K90" i="31"/>
  <c r="M90" i="31"/>
  <c r="N90" i="31" s="1"/>
  <c r="K91" i="31"/>
  <c r="M91" i="31"/>
  <c r="N91" i="31" s="1"/>
  <c r="K92" i="31"/>
  <c r="M92" i="31"/>
  <c r="N92" i="31" s="1"/>
  <c r="K93" i="31"/>
  <c r="M93" i="31"/>
  <c r="N93" i="31" s="1"/>
  <c r="K94" i="31"/>
  <c r="M94" i="31"/>
  <c r="N94" i="31" s="1"/>
  <c r="K95" i="31"/>
  <c r="M95" i="31"/>
  <c r="N95" i="31" s="1"/>
  <c r="K96" i="31"/>
  <c r="M96" i="31"/>
  <c r="N96" i="31" s="1"/>
  <c r="K97" i="31"/>
  <c r="M97" i="31"/>
  <c r="N97" i="31" s="1"/>
  <c r="K98" i="31"/>
  <c r="M98" i="31"/>
  <c r="N98" i="31" s="1"/>
  <c r="K99" i="31"/>
  <c r="M99" i="31"/>
  <c r="N99" i="31" s="1"/>
  <c r="K100" i="31"/>
  <c r="M100" i="31"/>
  <c r="N100" i="31" s="1"/>
  <c r="K101" i="31"/>
  <c r="M101" i="31"/>
  <c r="N101" i="31" s="1"/>
  <c r="K102" i="31"/>
  <c r="M102" i="31"/>
  <c r="N102" i="31" s="1"/>
  <c r="K103" i="31"/>
  <c r="M103" i="31"/>
  <c r="N103" i="31" s="1"/>
  <c r="K104" i="31"/>
  <c r="M104" i="31"/>
  <c r="N104" i="31" s="1"/>
  <c r="K105" i="31"/>
  <c r="M105" i="31"/>
  <c r="N105" i="31" s="1"/>
  <c r="K106" i="31"/>
  <c r="M106" i="31"/>
  <c r="N106" i="31" s="1"/>
  <c r="K107" i="31"/>
  <c r="M107" i="31"/>
  <c r="N107" i="31" s="1"/>
  <c r="K108" i="31"/>
  <c r="M108" i="31"/>
  <c r="N108" i="31" s="1"/>
  <c r="K109" i="31"/>
  <c r="M109" i="31"/>
  <c r="N109" i="31" s="1"/>
  <c r="K110" i="31"/>
  <c r="M110" i="31"/>
  <c r="N110" i="31" s="1"/>
  <c r="K111" i="31"/>
  <c r="M111" i="31"/>
  <c r="N111" i="31" s="1"/>
  <c r="K112" i="31"/>
  <c r="M112" i="31"/>
  <c r="N112" i="31" s="1"/>
  <c r="K113" i="31"/>
  <c r="M113" i="31"/>
  <c r="N113" i="31" s="1"/>
  <c r="K114" i="31"/>
  <c r="M114" i="31"/>
  <c r="N114" i="31" s="1"/>
  <c r="K115" i="31"/>
  <c r="M115" i="31"/>
  <c r="N115" i="31" s="1"/>
  <c r="K116" i="31"/>
  <c r="M116" i="31"/>
  <c r="N116" i="31" s="1"/>
  <c r="K117" i="31"/>
  <c r="M117" i="31"/>
  <c r="N117" i="31" s="1"/>
  <c r="K118" i="31"/>
  <c r="M118" i="31"/>
  <c r="N118" i="31" s="1"/>
  <c r="K119" i="31"/>
  <c r="M119" i="31"/>
  <c r="N119" i="31" s="1"/>
  <c r="K120" i="31"/>
  <c r="M120" i="31"/>
  <c r="N120" i="31" s="1"/>
  <c r="K121" i="31"/>
  <c r="M121" i="31"/>
  <c r="N121" i="31" s="1"/>
  <c r="K122" i="31"/>
  <c r="M122" i="31"/>
  <c r="N122" i="31" s="1"/>
  <c r="K123" i="31"/>
  <c r="M123" i="31"/>
  <c r="N123" i="31" s="1"/>
  <c r="K124" i="31"/>
  <c r="M124" i="31"/>
  <c r="N124" i="31" s="1"/>
  <c r="K125" i="31"/>
  <c r="M125" i="31"/>
  <c r="N125" i="31" s="1"/>
  <c r="K126" i="31"/>
  <c r="M126" i="31"/>
  <c r="N126" i="31" s="1"/>
  <c r="K127" i="31"/>
  <c r="M127" i="31"/>
  <c r="N127" i="31" s="1"/>
  <c r="K128" i="31"/>
  <c r="M128" i="31"/>
  <c r="N128" i="31" s="1"/>
  <c r="K129" i="31"/>
  <c r="M129" i="31"/>
  <c r="N129" i="31" s="1"/>
  <c r="K130" i="31"/>
  <c r="M130" i="31"/>
  <c r="N130" i="31" s="1"/>
  <c r="K131" i="31"/>
  <c r="M131" i="31"/>
  <c r="N131" i="31" s="1"/>
  <c r="K132" i="31"/>
  <c r="M132" i="31"/>
  <c r="N132" i="31" s="1"/>
  <c r="K133" i="31"/>
  <c r="M133" i="31"/>
  <c r="N133" i="31" s="1"/>
  <c r="K134" i="31"/>
  <c r="M134" i="31"/>
  <c r="N134" i="31" s="1"/>
  <c r="K135" i="31"/>
  <c r="M135" i="31"/>
  <c r="N135" i="31" s="1"/>
  <c r="K136" i="31"/>
  <c r="M136" i="31"/>
  <c r="N136" i="31" s="1"/>
  <c r="K137" i="31"/>
  <c r="M137" i="31"/>
  <c r="N137" i="31" s="1"/>
  <c r="K138" i="31"/>
  <c r="M138" i="31"/>
  <c r="N138" i="31" s="1"/>
  <c r="K139" i="31"/>
  <c r="M139" i="31"/>
  <c r="N139" i="31" s="1"/>
  <c r="K140" i="31"/>
  <c r="M140" i="31"/>
  <c r="N140" i="31" s="1"/>
  <c r="K141" i="31"/>
  <c r="M141" i="31"/>
  <c r="N141" i="31" s="1"/>
  <c r="K142" i="31"/>
  <c r="M142" i="31"/>
  <c r="N142" i="31" s="1"/>
  <c r="K143" i="31"/>
  <c r="M143" i="31"/>
  <c r="N143" i="31" s="1"/>
  <c r="K144" i="31"/>
  <c r="M144" i="31"/>
  <c r="N144" i="31" s="1"/>
  <c r="K145" i="31"/>
  <c r="M145" i="31"/>
  <c r="N145" i="31" s="1"/>
  <c r="K146" i="31"/>
  <c r="M146" i="31"/>
  <c r="N146" i="31" s="1"/>
  <c r="K147" i="31"/>
  <c r="M147" i="31"/>
  <c r="N147" i="31" s="1"/>
  <c r="K148" i="31"/>
  <c r="M148" i="31"/>
  <c r="N148" i="31" s="1"/>
  <c r="K149" i="31"/>
  <c r="M149" i="31"/>
  <c r="N149" i="31" s="1"/>
  <c r="K150" i="31"/>
  <c r="M150" i="31"/>
  <c r="N150" i="31" s="1"/>
  <c r="K151" i="31"/>
  <c r="M151" i="31"/>
  <c r="N151" i="31" s="1"/>
  <c r="K152" i="31"/>
  <c r="M152" i="31"/>
  <c r="N152" i="31" s="1"/>
  <c r="K153" i="31"/>
  <c r="M153" i="31"/>
  <c r="N153" i="31" s="1"/>
  <c r="K154" i="31"/>
  <c r="M154" i="31"/>
  <c r="N154" i="31" s="1"/>
  <c r="K155" i="31"/>
  <c r="M155" i="31"/>
  <c r="N155" i="31" s="1"/>
  <c r="K156" i="31"/>
  <c r="M156" i="31"/>
  <c r="N156" i="31" s="1"/>
  <c r="K157" i="31"/>
  <c r="M157" i="31"/>
  <c r="N157" i="31" s="1"/>
  <c r="K158" i="31"/>
  <c r="M158" i="31"/>
  <c r="N158" i="31" s="1"/>
  <c r="K159" i="31"/>
  <c r="M159" i="31"/>
  <c r="N159" i="31" s="1"/>
  <c r="K160" i="31"/>
  <c r="M160" i="31"/>
  <c r="N160" i="31" s="1"/>
  <c r="K161" i="31"/>
  <c r="M161" i="31"/>
  <c r="N161" i="31" s="1"/>
  <c r="K162" i="31"/>
  <c r="M162" i="31"/>
  <c r="N162" i="31" s="1"/>
  <c r="K163" i="31"/>
  <c r="M163" i="31"/>
  <c r="N163" i="31" s="1"/>
  <c r="K164" i="31"/>
  <c r="M164" i="31"/>
  <c r="N164" i="31" s="1"/>
  <c r="K165" i="31"/>
  <c r="M165" i="31"/>
  <c r="N165" i="31" s="1"/>
  <c r="M5" i="30"/>
  <c r="N5" i="30"/>
  <c r="M6" i="30"/>
  <c r="N6" i="30" s="1"/>
  <c r="M7" i="30"/>
  <c r="N7" i="30"/>
  <c r="M8" i="30"/>
  <c r="N8" i="30" s="1"/>
  <c r="M9" i="30"/>
  <c r="N9" i="30"/>
  <c r="M10" i="30"/>
  <c r="N10" i="30" s="1"/>
  <c r="M11" i="30"/>
  <c r="N11" i="30" s="1"/>
  <c r="M12" i="30"/>
  <c r="N12" i="30" s="1"/>
  <c r="M13" i="30"/>
  <c r="N13" i="30"/>
  <c r="M14" i="30"/>
  <c r="N14" i="30" s="1"/>
  <c r="M15" i="30"/>
  <c r="N15" i="30"/>
  <c r="M16" i="30"/>
  <c r="N16" i="30" s="1"/>
  <c r="M17" i="30"/>
  <c r="N17" i="30"/>
  <c r="M18" i="30"/>
  <c r="N18" i="30" s="1"/>
  <c r="M19" i="30"/>
  <c r="N19" i="30" s="1"/>
  <c r="M20" i="30"/>
  <c r="N20" i="30" s="1"/>
  <c r="M21" i="30"/>
  <c r="N21" i="30"/>
  <c r="M22" i="30"/>
  <c r="N22" i="30" s="1"/>
  <c r="M23" i="30"/>
  <c r="N23" i="30"/>
  <c r="M24" i="30"/>
  <c r="N24" i="30" s="1"/>
  <c r="M25" i="30"/>
  <c r="N25" i="30"/>
  <c r="M26" i="30"/>
  <c r="N26" i="30" s="1"/>
  <c r="M27" i="30"/>
  <c r="N27" i="30" s="1"/>
  <c r="M28" i="30"/>
  <c r="N28" i="30" s="1"/>
  <c r="M29" i="30"/>
  <c r="N29" i="30"/>
  <c r="M30" i="30"/>
  <c r="N30" i="30" s="1"/>
  <c r="M31" i="30"/>
  <c r="N31" i="30"/>
  <c r="M32" i="30"/>
  <c r="N32" i="30" s="1"/>
  <c r="M33" i="30"/>
  <c r="N33" i="30"/>
  <c r="M34" i="30"/>
  <c r="N34" i="30" s="1"/>
  <c r="M35" i="30"/>
  <c r="N35" i="30" s="1"/>
  <c r="M36" i="30"/>
  <c r="N36" i="30" s="1"/>
  <c r="M37" i="30"/>
  <c r="N37" i="30"/>
  <c r="M38" i="30"/>
  <c r="N38" i="30" s="1"/>
  <c r="M39" i="30"/>
  <c r="N39" i="30"/>
  <c r="M40" i="30"/>
  <c r="N40" i="30" s="1"/>
  <c r="M41" i="30"/>
  <c r="N41" i="30"/>
  <c r="M42" i="30"/>
  <c r="N42" i="30" s="1"/>
  <c r="M43" i="30"/>
  <c r="N43" i="30" s="1"/>
  <c r="M44" i="30"/>
  <c r="N44" i="30" s="1"/>
  <c r="M45" i="30"/>
  <c r="N45" i="30"/>
  <c r="M46" i="30"/>
  <c r="N46" i="30" s="1"/>
  <c r="M47" i="30"/>
  <c r="N47" i="30"/>
  <c r="M48" i="30"/>
  <c r="N48" i="30" s="1"/>
  <c r="M49" i="30"/>
  <c r="N49" i="30"/>
  <c r="M50" i="30"/>
  <c r="N50" i="30" s="1"/>
  <c r="M51" i="30"/>
  <c r="N51" i="30" s="1"/>
  <c r="M52" i="30"/>
  <c r="N52" i="30" s="1"/>
  <c r="M53" i="30"/>
  <c r="N53" i="30"/>
  <c r="M54" i="30"/>
  <c r="N54" i="30" s="1"/>
  <c r="M55" i="30"/>
  <c r="N55" i="30"/>
  <c r="M56" i="30"/>
  <c r="N56" i="30" s="1"/>
  <c r="M57" i="30"/>
  <c r="N57" i="30"/>
  <c r="M58" i="30"/>
  <c r="N58" i="30" s="1"/>
  <c r="M59" i="30"/>
  <c r="N59" i="30" s="1"/>
  <c r="M60" i="30"/>
  <c r="N60" i="30" s="1"/>
  <c r="M61" i="30"/>
  <c r="N61" i="30"/>
  <c r="M62" i="30"/>
  <c r="N62" i="30"/>
  <c r="M63" i="30"/>
  <c r="N63" i="30"/>
  <c r="M64" i="30"/>
  <c r="N64" i="30" s="1"/>
  <c r="M65" i="30"/>
  <c r="N65" i="30"/>
  <c r="M66" i="30"/>
  <c r="N66" i="30" s="1"/>
  <c r="M67" i="30"/>
  <c r="N67" i="30" s="1"/>
  <c r="M68" i="30"/>
  <c r="N68" i="30" s="1"/>
  <c r="M69" i="30"/>
  <c r="N69" i="30"/>
  <c r="M70" i="30"/>
  <c r="N70" i="30"/>
  <c r="M71" i="30"/>
  <c r="N71" i="30"/>
  <c r="M72" i="30"/>
  <c r="N72" i="30" s="1"/>
  <c r="M73" i="30"/>
  <c r="N73" i="30"/>
  <c r="M74" i="30"/>
  <c r="N74" i="30" s="1"/>
  <c r="M75" i="30"/>
  <c r="N75" i="30" s="1"/>
  <c r="M76" i="30"/>
  <c r="N76" i="30" s="1"/>
  <c r="M77" i="30"/>
  <c r="N77" i="30"/>
  <c r="M78" i="30"/>
  <c r="N78" i="30"/>
  <c r="M79" i="30"/>
  <c r="N79" i="30"/>
  <c r="M80" i="30"/>
  <c r="N80" i="30" s="1"/>
  <c r="M81" i="30"/>
  <c r="N81" i="30"/>
  <c r="M82" i="30"/>
  <c r="N82" i="30" s="1"/>
  <c r="M83" i="30"/>
  <c r="N83" i="30" s="1"/>
  <c r="M84" i="30"/>
  <c r="N84" i="30" s="1"/>
  <c r="M85" i="30"/>
  <c r="N85" i="30"/>
  <c r="M86" i="30"/>
  <c r="N86" i="30"/>
  <c r="M87" i="30"/>
  <c r="N87" i="30"/>
  <c r="M88" i="30"/>
  <c r="N88" i="30" s="1"/>
  <c r="M89" i="30"/>
  <c r="N89" i="30"/>
  <c r="M90" i="30"/>
  <c r="N90" i="30" s="1"/>
  <c r="M91" i="30"/>
  <c r="N91" i="30" s="1"/>
  <c r="M92" i="30"/>
  <c r="N92" i="30" s="1"/>
  <c r="M93" i="30"/>
  <c r="N93" i="30"/>
  <c r="M94" i="30"/>
  <c r="N94" i="30"/>
  <c r="M95" i="30"/>
  <c r="N95" i="30"/>
  <c r="M96" i="30"/>
  <c r="N96" i="30" s="1"/>
  <c r="M97" i="30"/>
  <c r="N97" i="30"/>
  <c r="M98" i="30"/>
  <c r="N98" i="30" s="1"/>
  <c r="M99" i="30"/>
  <c r="N99" i="30" s="1"/>
  <c r="M100" i="30"/>
  <c r="N100" i="30" s="1"/>
  <c r="M101" i="30"/>
  <c r="N101" i="30"/>
  <c r="M102" i="30"/>
  <c r="N102" i="30"/>
  <c r="M103" i="30"/>
  <c r="N103" i="30"/>
  <c r="M104" i="30"/>
  <c r="N104" i="30" s="1"/>
  <c r="M105" i="30"/>
  <c r="N105" i="30"/>
  <c r="M106" i="30"/>
  <c r="N106" i="30" s="1"/>
  <c r="M107" i="30"/>
  <c r="N107" i="30" s="1"/>
  <c r="M108" i="30"/>
  <c r="N108" i="30" s="1"/>
  <c r="M109" i="30"/>
  <c r="N109" i="30"/>
  <c r="M110" i="30"/>
  <c r="N110" i="30"/>
  <c r="M111" i="30"/>
  <c r="N111" i="30"/>
  <c r="M112" i="30"/>
  <c r="N112" i="30" s="1"/>
  <c r="M113" i="30"/>
  <c r="N113" i="30"/>
  <c r="M114" i="30"/>
  <c r="N114" i="30" s="1"/>
  <c r="M115" i="30"/>
  <c r="N115" i="30" s="1"/>
  <c r="M116" i="30"/>
  <c r="N116" i="30" s="1"/>
  <c r="M117" i="30"/>
  <c r="N117" i="30"/>
  <c r="M118" i="30"/>
  <c r="N118" i="30"/>
  <c r="M119" i="30"/>
  <c r="N119" i="30"/>
  <c r="M120" i="30"/>
  <c r="N120" i="30" s="1"/>
  <c r="M121" i="30"/>
  <c r="N121" i="30"/>
  <c r="M122" i="30"/>
  <c r="N122" i="30" s="1"/>
  <c r="M123" i="30"/>
  <c r="N123" i="30" s="1"/>
  <c r="M124" i="30"/>
  <c r="N124" i="30" s="1"/>
  <c r="M125" i="30"/>
  <c r="N125" i="30"/>
  <c r="M126" i="30"/>
  <c r="N126" i="30"/>
  <c r="M127" i="30"/>
  <c r="N127" i="30"/>
  <c r="M128" i="30"/>
  <c r="N128" i="30" s="1"/>
  <c r="M129" i="30"/>
  <c r="N129" i="30"/>
  <c r="M130" i="30"/>
  <c r="N130" i="30" s="1"/>
  <c r="M131" i="30"/>
  <c r="N131" i="30" s="1"/>
  <c r="M132" i="30"/>
  <c r="N132" i="30" s="1"/>
  <c r="M133" i="30"/>
  <c r="N133" i="30"/>
  <c r="M134" i="30"/>
  <c r="N134" i="30"/>
  <c r="M5" i="26"/>
  <c r="N5" i="26"/>
  <c r="M6" i="26"/>
  <c r="N6" i="26" s="1"/>
  <c r="M7" i="26"/>
  <c r="N7" i="26"/>
  <c r="M8" i="26"/>
  <c r="N8" i="26" s="1"/>
  <c r="M9" i="26"/>
  <c r="N9" i="26"/>
  <c r="M10" i="26"/>
  <c r="N10" i="26" s="1"/>
  <c r="M11" i="26"/>
  <c r="N11" i="26" s="1"/>
  <c r="M12" i="26"/>
  <c r="N12" i="26" s="1"/>
  <c r="M13" i="26"/>
  <c r="N13" i="26"/>
  <c r="M14" i="26"/>
  <c r="N14" i="26" s="1"/>
  <c r="M15" i="26"/>
  <c r="N15" i="26"/>
  <c r="M16" i="26"/>
  <c r="N16" i="26" s="1"/>
  <c r="M17" i="26"/>
  <c r="N17" i="26"/>
  <c r="M18" i="26"/>
  <c r="N18" i="26" s="1"/>
  <c r="M19" i="26"/>
  <c r="N19" i="26" s="1"/>
  <c r="M20" i="26"/>
  <c r="N20" i="26" s="1"/>
  <c r="M21" i="26"/>
  <c r="N21" i="26"/>
  <c r="M22" i="26"/>
  <c r="N22" i="26" s="1"/>
  <c r="M23" i="26"/>
  <c r="N23" i="26"/>
  <c r="M24" i="26"/>
  <c r="N24" i="26" s="1"/>
  <c r="M25" i="26"/>
  <c r="N25" i="26"/>
  <c r="M26" i="26"/>
  <c r="N26" i="26" s="1"/>
  <c r="M27" i="26"/>
  <c r="N27" i="26" s="1"/>
  <c r="M28" i="26"/>
  <c r="N28" i="26" s="1"/>
  <c r="M29" i="26"/>
  <c r="N29" i="26"/>
  <c r="M30" i="26"/>
  <c r="N30" i="26" s="1"/>
  <c r="M31" i="26"/>
  <c r="N31" i="26"/>
  <c r="M32" i="26"/>
  <c r="N32" i="26" s="1"/>
  <c r="M33" i="26"/>
  <c r="N33" i="26"/>
  <c r="M34" i="26"/>
  <c r="N34" i="26" s="1"/>
  <c r="M35" i="26"/>
  <c r="N35" i="26" s="1"/>
  <c r="M36" i="26"/>
  <c r="N36" i="26" s="1"/>
  <c r="M37" i="26"/>
  <c r="N37" i="26" s="1"/>
  <c r="M38" i="26"/>
  <c r="N38" i="26" s="1"/>
  <c r="M39" i="26"/>
  <c r="N39" i="26"/>
  <c r="M40" i="26"/>
  <c r="N40" i="26" s="1"/>
  <c r="M41" i="26"/>
  <c r="N41" i="26"/>
  <c r="M42" i="26"/>
  <c r="N42" i="26" s="1"/>
  <c r="M43" i="26"/>
  <c r="N43" i="26" s="1"/>
  <c r="M44" i="26"/>
  <c r="N44" i="26" s="1"/>
  <c r="M45" i="26"/>
  <c r="N45" i="26" s="1"/>
  <c r="M46" i="26"/>
  <c r="N46" i="26" s="1"/>
  <c r="M47" i="26"/>
  <c r="N47" i="26"/>
  <c r="M48" i="26"/>
  <c r="N48" i="26" s="1"/>
  <c r="M49" i="26"/>
  <c r="N49" i="26"/>
  <c r="M50" i="26"/>
  <c r="N50" i="26" s="1"/>
  <c r="M51" i="26"/>
  <c r="N51" i="26" s="1"/>
  <c r="M52" i="26"/>
  <c r="N52" i="26" s="1"/>
  <c r="M54" i="26"/>
  <c r="N54" i="26" s="1"/>
  <c r="M55" i="26"/>
  <c r="N55" i="26"/>
  <c r="M56" i="26"/>
  <c r="N56" i="26" s="1"/>
  <c r="M57" i="26"/>
  <c r="N57" i="26"/>
  <c r="M58" i="26"/>
  <c r="N58" i="26" s="1"/>
  <c r="M59" i="26"/>
  <c r="N59" i="26" s="1"/>
  <c r="M60" i="26"/>
  <c r="N60" i="26" s="1"/>
  <c r="M61" i="26"/>
  <c r="N61" i="26" s="1"/>
  <c r="M62" i="26"/>
  <c r="N62" i="26" s="1"/>
  <c r="M63" i="26"/>
  <c r="N63" i="26"/>
  <c r="M64" i="26"/>
  <c r="N64" i="26"/>
  <c r="M65" i="26"/>
  <c r="N65" i="26"/>
  <c r="M66" i="26"/>
  <c r="N66" i="26" s="1"/>
  <c r="M67" i="26"/>
  <c r="N67" i="26" s="1"/>
  <c r="M68" i="26"/>
  <c r="N68" i="26" s="1"/>
  <c r="M69" i="26"/>
  <c r="N69" i="26" s="1"/>
  <c r="M70" i="26"/>
  <c r="N70" i="26" s="1"/>
  <c r="M71" i="26"/>
  <c r="N71" i="26"/>
  <c r="M72" i="26"/>
  <c r="N72" i="26" s="1"/>
  <c r="M73" i="26"/>
  <c r="N73" i="26"/>
  <c r="M74" i="26"/>
  <c r="N74" i="26" s="1"/>
  <c r="M75" i="26"/>
  <c r="N75" i="26"/>
  <c r="M76" i="26"/>
  <c r="N76" i="26" s="1"/>
  <c r="M77" i="26"/>
  <c r="N77" i="26" s="1"/>
  <c r="M78" i="26"/>
  <c r="N78" i="26" s="1"/>
  <c r="M79" i="26"/>
  <c r="N79" i="26"/>
  <c r="M80" i="26"/>
  <c r="N80" i="26" s="1"/>
  <c r="M81" i="26"/>
  <c r="N81" i="26" s="1"/>
  <c r="M82" i="26"/>
  <c r="N82" i="26" s="1"/>
  <c r="M83" i="26"/>
  <c r="N83" i="26" s="1"/>
  <c r="M84" i="26"/>
  <c r="N84" i="26" s="1"/>
  <c r="M85" i="26"/>
  <c r="N85" i="26" s="1"/>
  <c r="M86" i="26"/>
  <c r="N86" i="26"/>
  <c r="M87" i="26"/>
  <c r="N87" i="26"/>
  <c r="M88" i="26"/>
  <c r="N88" i="26" s="1"/>
  <c r="M89" i="26"/>
  <c r="N89" i="26" s="1"/>
  <c r="M90" i="26"/>
  <c r="N90" i="26" s="1"/>
  <c r="M91" i="26"/>
  <c r="N91" i="26" s="1"/>
  <c r="M92" i="26"/>
  <c r="N92" i="26" s="1"/>
  <c r="M93" i="26"/>
  <c r="N93" i="26" s="1"/>
  <c r="M94" i="26"/>
  <c r="N94" i="26"/>
  <c r="M95" i="26"/>
  <c r="N95" i="26"/>
  <c r="M96" i="26"/>
  <c r="N96" i="26" s="1"/>
  <c r="M97" i="26"/>
  <c r="N97" i="26" s="1"/>
  <c r="M98" i="26"/>
  <c r="N98" i="26" s="1"/>
  <c r="M99" i="26"/>
  <c r="N99" i="26" s="1"/>
  <c r="M100" i="26"/>
  <c r="N100" i="26" s="1"/>
  <c r="M101" i="26"/>
  <c r="N101" i="26" s="1"/>
  <c r="M102" i="26"/>
  <c r="N102" i="26"/>
  <c r="M103" i="26"/>
  <c r="N103" i="26"/>
  <c r="M104" i="26"/>
  <c r="N104" i="26" s="1"/>
  <c r="M105" i="26"/>
  <c r="N105" i="26" s="1"/>
  <c r="M106" i="26"/>
  <c r="N106" i="26" s="1"/>
  <c r="M107" i="26"/>
  <c r="N107" i="26" s="1"/>
  <c r="M108" i="26"/>
  <c r="N108" i="26" s="1"/>
  <c r="M109" i="26"/>
  <c r="N109" i="26" s="1"/>
  <c r="M110" i="26"/>
  <c r="N110" i="26" s="1"/>
  <c r="M111" i="26"/>
  <c r="N111" i="26"/>
  <c r="M112" i="26"/>
  <c r="N112" i="26" s="1"/>
  <c r="M113" i="26"/>
  <c r="N113" i="26"/>
  <c r="M114" i="26"/>
  <c r="N114" i="26" s="1"/>
  <c r="M115" i="26"/>
  <c r="N115" i="26" s="1"/>
  <c r="M116" i="26"/>
  <c r="N116" i="26" s="1"/>
  <c r="M117" i="26"/>
  <c r="N117" i="26" s="1"/>
  <c r="M118" i="26"/>
  <c r="N118" i="26" s="1"/>
  <c r="M119" i="26"/>
  <c r="N119" i="26"/>
  <c r="M120" i="26"/>
  <c r="N120" i="26" s="1"/>
  <c r="M121" i="26"/>
  <c r="N121" i="26" s="1"/>
  <c r="M122" i="26"/>
  <c r="N122" i="26" s="1"/>
  <c r="M123" i="26"/>
  <c r="N123" i="26" s="1"/>
  <c r="M124" i="26"/>
  <c r="N124" i="26" s="1"/>
  <c r="M125" i="26"/>
  <c r="N125" i="26" s="1"/>
  <c r="M126" i="26"/>
  <c r="N126" i="26" s="1"/>
  <c r="M127" i="26"/>
  <c r="N127" i="26"/>
  <c r="M128" i="26"/>
  <c r="N128" i="26" s="1"/>
  <c r="M129" i="26"/>
  <c r="N129" i="26" s="1"/>
  <c r="M130" i="26"/>
  <c r="N130" i="26" s="1"/>
  <c r="M131" i="26"/>
  <c r="N131" i="26" s="1"/>
  <c r="M132" i="26"/>
  <c r="N132" i="26" s="1"/>
  <c r="M133" i="26"/>
  <c r="N133" i="26" s="1"/>
  <c r="M134" i="26"/>
  <c r="N134" i="26" s="1"/>
  <c r="M135" i="26"/>
  <c r="N135" i="26"/>
  <c r="M136" i="26"/>
  <c r="N136" i="26" s="1"/>
  <c r="M137" i="26"/>
  <c r="N137" i="26" s="1"/>
  <c r="M138" i="26"/>
  <c r="N138" i="26" s="1"/>
  <c r="M139" i="26"/>
  <c r="N139" i="26" s="1"/>
  <c r="M140" i="26"/>
  <c r="N140" i="26"/>
  <c r="M141" i="26"/>
  <c r="N141" i="26" s="1"/>
  <c r="M142" i="26"/>
  <c r="N142" i="26" s="1"/>
  <c r="M143" i="26"/>
  <c r="N143" i="26"/>
  <c r="M144" i="26"/>
  <c r="N144" i="26" s="1"/>
  <c r="M145" i="26"/>
  <c r="N145" i="26" s="1"/>
  <c r="M146" i="26"/>
  <c r="N146" i="26" s="1"/>
  <c r="M147" i="26"/>
  <c r="N147" i="26" s="1"/>
  <c r="M148" i="26"/>
  <c r="N148" i="26" s="1"/>
  <c r="M149" i="26"/>
  <c r="N149" i="26" s="1"/>
  <c r="M150" i="26"/>
  <c r="N150" i="26" s="1"/>
  <c r="K5" i="28"/>
  <c r="M5" i="28"/>
  <c r="N5" i="28" s="1"/>
  <c r="K6" i="28"/>
  <c r="M6" i="28"/>
  <c r="N6" i="28"/>
  <c r="K7" i="28"/>
  <c r="M7" i="28"/>
  <c r="N7" i="28" s="1"/>
  <c r="K8" i="28"/>
  <c r="M8" i="28"/>
  <c r="N8" i="28"/>
  <c r="K9" i="28"/>
  <c r="M9" i="28"/>
  <c r="N9" i="28" s="1"/>
  <c r="K10" i="28"/>
  <c r="M10" i="28"/>
  <c r="N10" i="28"/>
  <c r="K11" i="28"/>
  <c r="M11" i="28"/>
  <c r="N11" i="28" s="1"/>
  <c r="K12" i="28"/>
  <c r="M12" i="28"/>
  <c r="N12" i="28"/>
  <c r="K13" i="28"/>
  <c r="M13" i="28"/>
  <c r="N13" i="28" s="1"/>
  <c r="K14" i="28"/>
  <c r="M14" i="28"/>
  <c r="N14" i="28"/>
  <c r="K15" i="28"/>
  <c r="M15" i="28"/>
  <c r="N15" i="28" s="1"/>
  <c r="K16" i="28"/>
  <c r="M16" i="28"/>
  <c r="N16" i="28"/>
  <c r="K17" i="28"/>
  <c r="M17" i="28"/>
  <c r="N17" i="28" s="1"/>
  <c r="K18" i="28"/>
  <c r="M18" i="28"/>
  <c r="N18" i="28"/>
  <c r="K19" i="28"/>
  <c r="M19" i="28"/>
  <c r="N19" i="28" s="1"/>
  <c r="K20" i="28"/>
  <c r="M20" i="28"/>
  <c r="N20" i="28"/>
  <c r="K21" i="28"/>
  <c r="M21" i="28"/>
  <c r="N21" i="28" s="1"/>
  <c r="K22" i="28"/>
  <c r="M22" i="28"/>
  <c r="N22" i="28"/>
  <c r="K23" i="28"/>
  <c r="M23" i="28"/>
  <c r="N23" i="28" s="1"/>
  <c r="K24" i="28"/>
  <c r="M24" i="28"/>
  <c r="N24" i="28"/>
  <c r="K25" i="28"/>
  <c r="M25" i="28"/>
  <c r="N25" i="28" s="1"/>
  <c r="K26" i="28"/>
  <c r="M26" i="28"/>
  <c r="N26" i="28"/>
  <c r="K27" i="28"/>
  <c r="M27" i="28"/>
  <c r="N27" i="28" s="1"/>
  <c r="K28" i="28"/>
  <c r="M28" i="28"/>
  <c r="N28" i="28"/>
  <c r="K29" i="28"/>
  <c r="M29" i="28"/>
  <c r="N29" i="28" s="1"/>
  <c r="K30" i="28"/>
  <c r="M30" i="28"/>
  <c r="N30" i="28"/>
  <c r="K31" i="28"/>
  <c r="M31" i="28"/>
  <c r="N31" i="28" s="1"/>
  <c r="K32" i="28"/>
  <c r="M32" i="28"/>
  <c r="N32" i="28"/>
  <c r="K33" i="28"/>
  <c r="M33" i="28"/>
  <c r="N33" i="28" s="1"/>
  <c r="K34" i="28"/>
  <c r="M34" i="28"/>
  <c r="N34" i="28"/>
  <c r="K35" i="28"/>
  <c r="M35" i="28"/>
  <c r="N35" i="28" s="1"/>
  <c r="K36" i="28"/>
  <c r="M36" i="28"/>
  <c r="N36" i="28"/>
  <c r="K37" i="28"/>
  <c r="M37" i="28"/>
  <c r="N37" i="28" s="1"/>
  <c r="K38" i="28"/>
  <c r="M38" i="28"/>
  <c r="N38" i="28"/>
  <c r="K39" i="28"/>
  <c r="M39" i="28"/>
  <c r="N39" i="28" s="1"/>
  <c r="K40" i="28"/>
  <c r="M40" i="28"/>
  <c r="N40" i="28"/>
  <c r="K41" i="28"/>
  <c r="M41" i="28"/>
  <c r="N41" i="28" s="1"/>
  <c r="K42" i="28"/>
  <c r="M42" i="28"/>
  <c r="N42" i="28"/>
  <c r="K43" i="28"/>
  <c r="M43" i="28"/>
  <c r="N43" i="28" s="1"/>
  <c r="K44" i="28"/>
  <c r="M44" i="28"/>
  <c r="N44" i="28"/>
  <c r="K45" i="28"/>
  <c r="M45" i="28"/>
  <c r="N45" i="28" s="1"/>
  <c r="K46" i="28"/>
  <c r="M46" i="28"/>
  <c r="N46" i="28"/>
  <c r="K47" i="28"/>
  <c r="M47" i="28"/>
  <c r="N47" i="28" s="1"/>
  <c r="K48" i="28"/>
  <c r="M48" i="28"/>
  <c r="N48" i="28"/>
  <c r="K49" i="28"/>
  <c r="M49" i="28"/>
  <c r="N49" i="28" s="1"/>
  <c r="K50" i="28"/>
  <c r="M50" i="28"/>
  <c r="N50" i="28" s="1"/>
  <c r="K51" i="28"/>
  <c r="M51" i="28"/>
  <c r="N51" i="28" s="1"/>
  <c r="K52" i="28"/>
  <c r="M52" i="28"/>
  <c r="N52" i="28" s="1"/>
  <c r="K53" i="28"/>
  <c r="M53" i="28"/>
  <c r="N53" i="28" s="1"/>
  <c r="K54" i="28"/>
  <c r="M54" i="28"/>
  <c r="N54" i="28" s="1"/>
  <c r="K55" i="28"/>
  <c r="M55" i="28"/>
  <c r="N55" i="28" s="1"/>
  <c r="K56" i="28"/>
  <c r="M56" i="28"/>
  <c r="N56" i="28" s="1"/>
  <c r="K57" i="28"/>
  <c r="M57" i="28"/>
  <c r="N57" i="28" s="1"/>
  <c r="K58" i="28"/>
  <c r="M58" i="28"/>
  <c r="N58" i="28" s="1"/>
  <c r="K59" i="28"/>
  <c r="M59" i="28"/>
  <c r="N59" i="28" s="1"/>
  <c r="K60" i="28"/>
  <c r="M60" i="28"/>
  <c r="N60" i="28" s="1"/>
  <c r="K61" i="28"/>
  <c r="M61" i="28"/>
  <c r="N61" i="28" s="1"/>
  <c r="K62" i="28"/>
  <c r="M62" i="28"/>
  <c r="N62" i="28" s="1"/>
  <c r="K63" i="28"/>
  <c r="M63" i="28"/>
  <c r="N63" i="28" s="1"/>
  <c r="K64" i="28"/>
  <c r="M64" i="28"/>
  <c r="N64" i="28" s="1"/>
  <c r="K65" i="28"/>
  <c r="M65" i="28"/>
  <c r="N65" i="28" s="1"/>
  <c r="K66" i="28"/>
  <c r="M66" i="28"/>
  <c r="N66" i="28" s="1"/>
  <c r="K67" i="28"/>
  <c r="M67" i="28"/>
  <c r="N67" i="28" s="1"/>
  <c r="K68" i="28"/>
  <c r="M68" i="28"/>
  <c r="N68" i="28" s="1"/>
  <c r="K69" i="28"/>
  <c r="M69" i="28"/>
  <c r="N69" i="28" s="1"/>
  <c r="K70" i="28"/>
  <c r="M70" i="28"/>
  <c r="N70" i="28" s="1"/>
  <c r="K71" i="28"/>
  <c r="M71" i="28"/>
  <c r="N71" i="28" s="1"/>
  <c r="K72" i="28"/>
  <c r="M72" i="28"/>
  <c r="N72" i="28" s="1"/>
  <c r="K73" i="28"/>
  <c r="M73" i="28"/>
  <c r="N73" i="28" s="1"/>
  <c r="K74" i="28"/>
  <c r="M74" i="28"/>
  <c r="N74" i="28" s="1"/>
  <c r="K75" i="28"/>
  <c r="M75" i="28"/>
  <c r="N75" i="28" s="1"/>
  <c r="K76" i="28"/>
  <c r="M76" i="28"/>
  <c r="N76" i="28" s="1"/>
  <c r="K77" i="28"/>
  <c r="M77" i="28"/>
  <c r="N77" i="28" s="1"/>
  <c r="K78" i="28"/>
  <c r="M78" i="28"/>
  <c r="N78" i="28" s="1"/>
  <c r="K79" i="28"/>
  <c r="M79" i="28"/>
  <c r="N79" i="28" s="1"/>
  <c r="K80" i="28"/>
  <c r="M80" i="28"/>
  <c r="N80" i="28" s="1"/>
  <c r="K81" i="28"/>
  <c r="M81" i="28"/>
  <c r="N81" i="28" s="1"/>
  <c r="K82" i="28"/>
  <c r="M82" i="28"/>
  <c r="N82" i="28" s="1"/>
  <c r="K83" i="28"/>
  <c r="M83" i="28"/>
  <c r="N83" i="28" s="1"/>
  <c r="K84" i="28"/>
  <c r="M84" i="28"/>
  <c r="N84" i="28" s="1"/>
  <c r="K85" i="28"/>
  <c r="M85" i="28"/>
  <c r="N85" i="28" s="1"/>
  <c r="K86" i="28"/>
  <c r="M86" i="28"/>
  <c r="N86" i="28" s="1"/>
  <c r="K87" i="28"/>
  <c r="M87" i="28"/>
  <c r="N87" i="28" s="1"/>
  <c r="K88" i="28"/>
  <c r="M88" i="28"/>
  <c r="N88" i="28" s="1"/>
  <c r="K89" i="28"/>
  <c r="M89" i="28"/>
  <c r="N89" i="28" s="1"/>
  <c r="K90" i="28"/>
  <c r="M90" i="28"/>
  <c r="N90" i="28" s="1"/>
  <c r="K91" i="28"/>
  <c r="M91" i="28"/>
  <c r="N91" i="28" s="1"/>
  <c r="K92" i="28"/>
  <c r="M92" i="28"/>
  <c r="N92" i="28" s="1"/>
  <c r="K93" i="28"/>
  <c r="M93" i="28"/>
  <c r="N93" i="28" s="1"/>
  <c r="K94" i="28"/>
  <c r="M94" i="28"/>
  <c r="N94" i="28" s="1"/>
  <c r="K95" i="28"/>
  <c r="M95" i="28"/>
  <c r="N95" i="28" s="1"/>
  <c r="K96" i="28"/>
  <c r="M96" i="28"/>
  <c r="N96" i="28" s="1"/>
  <c r="K97" i="28"/>
  <c r="M97" i="28"/>
  <c r="N97" i="28" s="1"/>
  <c r="K98" i="28"/>
  <c r="M98" i="28"/>
  <c r="N98" i="28" s="1"/>
  <c r="K99" i="28"/>
  <c r="M99" i="28"/>
  <c r="N99" i="28" s="1"/>
  <c r="K100" i="28"/>
  <c r="M100" i="28"/>
  <c r="N100" i="28" s="1"/>
  <c r="K101" i="28"/>
  <c r="M101" i="28"/>
  <c r="N101" i="28" s="1"/>
  <c r="K102" i="28"/>
  <c r="M102" i="28"/>
  <c r="N102" i="28" s="1"/>
  <c r="K103" i="28"/>
  <c r="M103" i="28"/>
  <c r="N103" i="28" s="1"/>
  <c r="K104" i="28"/>
  <c r="M104" i="28"/>
  <c r="N104" i="28" s="1"/>
  <c r="K105" i="28"/>
  <c r="M105" i="28"/>
  <c r="N105" i="28" s="1"/>
  <c r="K106" i="28"/>
  <c r="M106" i="28"/>
  <c r="N106" i="28" s="1"/>
  <c r="K107" i="28"/>
  <c r="M107" i="28"/>
  <c r="N107" i="28" s="1"/>
  <c r="K108" i="28"/>
  <c r="M108" i="28"/>
  <c r="N108" i="28" s="1"/>
  <c r="K109" i="28"/>
  <c r="M109" i="28"/>
  <c r="N109" i="28" s="1"/>
  <c r="K110" i="28"/>
  <c r="M110" i="28"/>
  <c r="N110" i="28" s="1"/>
  <c r="K111" i="28"/>
  <c r="M111" i="28"/>
  <c r="N111" i="28" s="1"/>
  <c r="K112" i="28"/>
  <c r="M112" i="28"/>
  <c r="N112" i="28" s="1"/>
  <c r="K113" i="28"/>
  <c r="M113" i="28"/>
  <c r="N113" i="28" s="1"/>
  <c r="K114" i="28"/>
  <c r="M114" i="28"/>
  <c r="N114" i="28" s="1"/>
  <c r="K115" i="28"/>
  <c r="M115" i="28"/>
  <c r="N115" i="28" s="1"/>
  <c r="K116" i="28"/>
  <c r="M116" i="28"/>
  <c r="N116" i="28" s="1"/>
  <c r="K117" i="28"/>
  <c r="M117" i="28"/>
  <c r="N117" i="28" s="1"/>
  <c r="K118" i="28"/>
  <c r="M118" i="28"/>
  <c r="N118" i="28" s="1"/>
  <c r="K119" i="28"/>
  <c r="M119" i="28"/>
  <c r="N119" i="28" s="1"/>
  <c r="K120" i="28"/>
  <c r="M120" i="28"/>
  <c r="N120" i="28" s="1"/>
  <c r="K121" i="28"/>
  <c r="M121" i="28"/>
  <c r="N121" i="28" s="1"/>
  <c r="K122" i="28"/>
  <c r="M122" i="28"/>
  <c r="N122" i="28" s="1"/>
  <c r="K123" i="28"/>
  <c r="M123" i="28"/>
  <c r="N123" i="28" s="1"/>
  <c r="K124" i="28"/>
  <c r="M124" i="28"/>
  <c r="N124" i="28" s="1"/>
  <c r="K125" i="28"/>
  <c r="M125" i="28"/>
  <c r="N125" i="28" s="1"/>
  <c r="K126" i="28"/>
  <c r="M126" i="28"/>
  <c r="N126" i="28" s="1"/>
  <c r="K127" i="28"/>
  <c r="M127" i="28"/>
  <c r="N127" i="28" s="1"/>
  <c r="K128" i="28"/>
  <c r="M128" i="28"/>
  <c r="N128" i="28" s="1"/>
  <c r="K129" i="28"/>
  <c r="M129" i="28"/>
  <c r="N129" i="28" s="1"/>
  <c r="K130" i="28"/>
  <c r="M130" i="28"/>
  <c r="N130" i="28" s="1"/>
  <c r="K131" i="28"/>
  <c r="M131" i="28"/>
  <c r="N131" i="28" s="1"/>
  <c r="K132" i="28"/>
  <c r="M132" i="28"/>
  <c r="N132" i="28" s="1"/>
  <c r="K133" i="28"/>
  <c r="M133" i="28"/>
  <c r="N133" i="28" s="1"/>
  <c r="M4" i="28"/>
  <c r="N4" i="28" s="1"/>
  <c r="K4" i="28"/>
  <c r="M5" i="3"/>
  <c r="N5" i="3" s="1"/>
  <c r="M6" i="3"/>
  <c r="N6" i="3" s="1"/>
  <c r="M7" i="3"/>
  <c r="N7" i="3" s="1"/>
  <c r="M8" i="3"/>
  <c r="N8" i="3" s="1"/>
  <c r="M9" i="3"/>
  <c r="N9" i="3"/>
  <c r="M10" i="3"/>
  <c r="N10" i="3" s="1"/>
  <c r="M11" i="3"/>
  <c r="N11" i="3"/>
  <c r="M12" i="3"/>
  <c r="N12" i="3" s="1"/>
  <c r="M13" i="3"/>
  <c r="N13" i="3"/>
  <c r="M14" i="3"/>
  <c r="N14" i="3" s="1"/>
  <c r="M15" i="3"/>
  <c r="N15" i="3"/>
  <c r="M16" i="3"/>
  <c r="N16" i="3" s="1"/>
  <c r="M17" i="3"/>
  <c r="N17" i="3"/>
  <c r="M18" i="3"/>
  <c r="N18" i="3" s="1"/>
  <c r="M19" i="3"/>
  <c r="N19" i="3"/>
  <c r="M20" i="3"/>
  <c r="N20" i="3" s="1"/>
  <c r="M21" i="3"/>
  <c r="N21" i="3"/>
  <c r="M22" i="3"/>
  <c r="N22" i="3" s="1"/>
  <c r="M23" i="3"/>
  <c r="N23" i="3"/>
  <c r="M24" i="3"/>
  <c r="N24" i="3" s="1"/>
  <c r="M25" i="3"/>
  <c r="N25" i="3"/>
  <c r="M26" i="3"/>
  <c r="N26" i="3" s="1"/>
  <c r="M27" i="3"/>
  <c r="N27" i="3"/>
  <c r="M28" i="3"/>
  <c r="N28" i="3" s="1"/>
  <c r="M29" i="3"/>
  <c r="N29" i="3"/>
  <c r="M30" i="3"/>
  <c r="N30" i="3" s="1"/>
  <c r="M31" i="3"/>
  <c r="N31" i="3"/>
  <c r="M32" i="3"/>
  <c r="N32" i="3" s="1"/>
  <c r="M33" i="3"/>
  <c r="N33" i="3"/>
  <c r="M34" i="3"/>
  <c r="N34" i="3" s="1"/>
  <c r="M35" i="3"/>
  <c r="N35" i="3"/>
  <c r="M36" i="3"/>
  <c r="N36" i="3" s="1"/>
  <c r="M37" i="3"/>
  <c r="N37" i="3"/>
  <c r="M38" i="3"/>
  <c r="N38" i="3" s="1"/>
  <c r="M39" i="3"/>
  <c r="N39" i="3"/>
  <c r="M40" i="3"/>
  <c r="N40" i="3" s="1"/>
  <c r="M41" i="3"/>
  <c r="N41" i="3"/>
  <c r="M42" i="3"/>
  <c r="N42" i="3" s="1"/>
  <c r="M43" i="3"/>
  <c r="N43" i="3"/>
  <c r="M44" i="3"/>
  <c r="N44" i="3" s="1"/>
  <c r="M45" i="3"/>
  <c r="N45" i="3"/>
  <c r="M46" i="3"/>
  <c r="N46" i="3" s="1"/>
  <c r="M47" i="3"/>
  <c r="N47" i="3" s="1"/>
  <c r="M48" i="3"/>
  <c r="N48" i="3" s="1"/>
  <c r="M49" i="3"/>
  <c r="N49" i="3"/>
  <c r="M50" i="3"/>
  <c r="N50" i="3" s="1"/>
  <c r="M51" i="3"/>
  <c r="N51" i="3" s="1"/>
  <c r="M52" i="3"/>
  <c r="N52" i="3" s="1"/>
  <c r="M53" i="3"/>
  <c r="N53" i="3"/>
  <c r="M54" i="3"/>
  <c r="N54" i="3" s="1"/>
  <c r="M55" i="3"/>
  <c r="N55" i="3" s="1"/>
  <c r="M56" i="3"/>
  <c r="N56" i="3" s="1"/>
  <c r="M57" i="3"/>
  <c r="N57" i="3"/>
  <c r="M58" i="3"/>
  <c r="N58" i="3" s="1"/>
  <c r="M59" i="3"/>
  <c r="N59" i="3" s="1"/>
  <c r="M60" i="3"/>
  <c r="N60" i="3" s="1"/>
  <c r="M61" i="3"/>
  <c r="N61" i="3"/>
  <c r="M62" i="3"/>
  <c r="N62" i="3" s="1"/>
  <c r="M63" i="3"/>
  <c r="N63" i="3" s="1"/>
  <c r="M64" i="3"/>
  <c r="N64" i="3" s="1"/>
  <c r="M65" i="3"/>
  <c r="N65" i="3"/>
  <c r="M66" i="3"/>
  <c r="N66" i="3" s="1"/>
  <c r="M67" i="3"/>
  <c r="N67" i="3" s="1"/>
  <c r="M68" i="3"/>
  <c r="N68" i="3" s="1"/>
  <c r="M69" i="3"/>
  <c r="N69" i="3"/>
  <c r="M70" i="3"/>
  <c r="N70" i="3" s="1"/>
  <c r="M71" i="3"/>
  <c r="N71" i="3" s="1"/>
  <c r="M72" i="3"/>
  <c r="N72" i="3" s="1"/>
  <c r="M73" i="3"/>
  <c r="N73" i="3"/>
  <c r="M74" i="3"/>
  <c r="N74" i="3" s="1"/>
  <c r="M75" i="3"/>
  <c r="N75" i="3" s="1"/>
  <c r="M76" i="3"/>
  <c r="N76" i="3" s="1"/>
  <c r="M77" i="3"/>
  <c r="N77" i="3"/>
  <c r="M78" i="3"/>
  <c r="N78" i="3" s="1"/>
  <c r="M79" i="3"/>
  <c r="N79" i="3" s="1"/>
  <c r="M80" i="3"/>
  <c r="N80" i="3" s="1"/>
  <c r="M81" i="3"/>
  <c r="N81" i="3"/>
  <c r="M82" i="3"/>
  <c r="N82" i="3" s="1"/>
  <c r="M83" i="3"/>
  <c r="N83" i="3" s="1"/>
  <c r="M84" i="3"/>
  <c r="N84" i="3" s="1"/>
  <c r="M85" i="3"/>
  <c r="N85" i="3" s="1"/>
  <c r="M86" i="3"/>
  <c r="N86" i="3" s="1"/>
  <c r="M87" i="3"/>
  <c r="N87" i="3" s="1"/>
  <c r="M88" i="3"/>
  <c r="N88" i="3" s="1"/>
  <c r="M89" i="3"/>
  <c r="N89" i="3" s="1"/>
  <c r="M90" i="3"/>
  <c r="N90" i="3" s="1"/>
  <c r="M91" i="3"/>
  <c r="N91" i="3" s="1"/>
  <c r="M92" i="3"/>
  <c r="N92" i="3" s="1"/>
  <c r="M93" i="3"/>
  <c r="N93" i="3" s="1"/>
  <c r="M94" i="3"/>
  <c r="N94" i="3" s="1"/>
  <c r="M95" i="3"/>
  <c r="N95" i="3" s="1"/>
  <c r="M96" i="3"/>
  <c r="N96" i="3" s="1"/>
  <c r="M97" i="3"/>
  <c r="N97" i="3" s="1"/>
  <c r="M98" i="3"/>
  <c r="N98" i="3" s="1"/>
  <c r="M99" i="3"/>
  <c r="N99" i="3" s="1"/>
  <c r="M100" i="3"/>
  <c r="N100" i="3" s="1"/>
  <c r="M101" i="3"/>
  <c r="N101" i="3" s="1"/>
  <c r="M102" i="3"/>
  <c r="N102" i="3" s="1"/>
  <c r="M103" i="3"/>
  <c r="N103" i="3" s="1"/>
  <c r="M104" i="3"/>
  <c r="N104" i="3" s="1"/>
  <c r="M105" i="3"/>
  <c r="N105" i="3" s="1"/>
  <c r="M106" i="3"/>
  <c r="N106" i="3" s="1"/>
  <c r="M107" i="3"/>
  <c r="N107" i="3" s="1"/>
  <c r="M108" i="3"/>
  <c r="N108" i="3" s="1"/>
  <c r="M109" i="3"/>
  <c r="N109" i="3" s="1"/>
  <c r="M110" i="3"/>
  <c r="N110" i="3" s="1"/>
  <c r="M111" i="3"/>
  <c r="N111" i="3" s="1"/>
  <c r="M112" i="3"/>
  <c r="N112" i="3" s="1"/>
  <c r="M113" i="3"/>
  <c r="N113" i="3" s="1"/>
  <c r="M114" i="3"/>
  <c r="N114" i="3" s="1"/>
  <c r="M115" i="3"/>
  <c r="N115" i="3" s="1"/>
  <c r="M116" i="3"/>
  <c r="N116" i="3" s="1"/>
  <c r="M117" i="3"/>
  <c r="N117" i="3" s="1"/>
  <c r="M118" i="3"/>
  <c r="N118" i="3" s="1"/>
  <c r="M119" i="3"/>
  <c r="N119" i="3" s="1"/>
  <c r="M120" i="3"/>
  <c r="N120" i="3" s="1"/>
  <c r="M121" i="3"/>
  <c r="N121" i="3" s="1"/>
  <c r="M122" i="3"/>
  <c r="N122" i="3" s="1"/>
  <c r="M123" i="3"/>
  <c r="N123" i="3" s="1"/>
  <c r="M124" i="3"/>
  <c r="N124" i="3" s="1"/>
  <c r="M125" i="3"/>
  <c r="N125" i="3" s="1"/>
  <c r="M126" i="3"/>
  <c r="N126" i="3" s="1"/>
  <c r="M127" i="3"/>
  <c r="N127" i="3" s="1"/>
  <c r="M128" i="3"/>
  <c r="N128" i="3" s="1"/>
  <c r="M129" i="3"/>
  <c r="N129" i="3" s="1"/>
  <c r="M130" i="3"/>
  <c r="N130" i="3" s="1"/>
  <c r="M131" i="3"/>
  <c r="N131" i="3" s="1"/>
  <c r="M132" i="3"/>
  <c r="N132" i="3" s="1"/>
  <c r="M133" i="3"/>
  <c r="N133" i="3" s="1"/>
  <c r="M134" i="3"/>
  <c r="N134" i="3" s="1"/>
  <c r="W27" i="53"/>
  <c r="W20" i="53"/>
  <c r="W12" i="53"/>
  <c r="W4" i="53"/>
  <c r="W98" i="53"/>
  <c r="W86" i="53"/>
  <c r="W74" i="53"/>
  <c r="W66" i="53"/>
  <c r="W58" i="53"/>
  <c r="W26" i="53"/>
  <c r="W19" i="53"/>
  <c r="W131" i="53"/>
  <c r="W127" i="53"/>
  <c r="W123" i="53"/>
  <c r="W119" i="53"/>
  <c r="W115" i="53"/>
  <c r="W111" i="53"/>
  <c r="W107" i="53"/>
  <c r="W103" i="53"/>
  <c r="W99" i="53"/>
  <c r="W95" i="53"/>
  <c r="W91" i="53"/>
  <c r="W87" i="53"/>
  <c r="W83" i="53"/>
  <c r="W79" i="53"/>
  <c r="W75" i="53"/>
  <c r="W71" i="53"/>
  <c r="W67" i="53"/>
  <c r="W63" i="53"/>
  <c r="W59" i="53"/>
  <c r="W55" i="53"/>
  <c r="W51" i="53"/>
  <c r="W47" i="53"/>
  <c r="W43" i="53"/>
  <c r="W39" i="53"/>
  <c r="W35" i="53"/>
  <c r="W28" i="53"/>
  <c r="W13" i="53"/>
  <c r="W5" i="53"/>
  <c r="W114" i="53"/>
  <c r="W38" i="53"/>
  <c r="W29" i="53"/>
  <c r="W21" i="53"/>
  <c r="W14" i="53"/>
  <c r="W6" i="53"/>
  <c r="W130" i="53"/>
  <c r="W122" i="53"/>
  <c r="W110" i="53"/>
  <c r="W102" i="53"/>
  <c r="W94" i="53"/>
  <c r="W62" i="53"/>
  <c r="W34" i="53"/>
  <c r="W132" i="53"/>
  <c r="W128" i="53"/>
  <c r="W124" i="53"/>
  <c r="W120" i="53"/>
  <c r="W116" i="53"/>
  <c r="W112" i="53"/>
  <c r="W108" i="53"/>
  <c r="W104" i="53"/>
  <c r="W100" i="53"/>
  <c r="W96" i="53"/>
  <c r="W92" i="53"/>
  <c r="W88" i="53"/>
  <c r="W84" i="53"/>
  <c r="W80" i="53"/>
  <c r="W76" i="53"/>
  <c r="W72" i="53"/>
  <c r="W68" i="53"/>
  <c r="W64" i="53"/>
  <c r="W60" i="53"/>
  <c r="W56" i="53"/>
  <c r="W52" i="53"/>
  <c r="W48" i="53"/>
  <c r="W44" i="53"/>
  <c r="W40" i="53"/>
  <c r="W36" i="53"/>
  <c r="W30" i="53"/>
  <c r="W22" i="53"/>
  <c r="W15" i="53"/>
  <c r="W7" i="53"/>
  <c r="W126" i="53"/>
  <c r="W78" i="53"/>
  <c r="W54" i="53"/>
  <c r="W31" i="53"/>
  <c r="W23" i="53"/>
  <c r="W16" i="53"/>
  <c r="W8" i="53"/>
  <c r="W118" i="53"/>
  <c r="W42" i="53"/>
  <c r="W11" i="53"/>
  <c r="W133" i="53"/>
  <c r="W129" i="53"/>
  <c r="W125" i="53"/>
  <c r="W121" i="53"/>
  <c r="W117" i="53"/>
  <c r="W113" i="53"/>
  <c r="W109" i="53"/>
  <c r="W105" i="53"/>
  <c r="W101" i="53"/>
  <c r="W97" i="53"/>
  <c r="W93" i="53"/>
  <c r="W89" i="53"/>
  <c r="W85" i="53"/>
  <c r="W81" i="53"/>
  <c r="W77" i="53"/>
  <c r="W73" i="53"/>
  <c r="W69" i="53"/>
  <c r="W65" i="53"/>
  <c r="W61" i="53"/>
  <c r="W57" i="53"/>
  <c r="W53" i="53"/>
  <c r="W49" i="53"/>
  <c r="W45" i="53"/>
  <c r="W41" i="53"/>
  <c r="W37" i="53"/>
  <c r="W32" i="53"/>
  <c r="W24" i="53"/>
  <c r="W17" i="53"/>
  <c r="W9" i="53"/>
  <c r="W134" i="53"/>
  <c r="W106" i="53"/>
  <c r="W90" i="53"/>
  <c r="W82" i="53"/>
  <c r="W46" i="53"/>
  <c r="W33" i="53"/>
  <c r="W25" i="53"/>
  <c r="W18" i="53"/>
  <c r="W10" i="53"/>
  <c r="W70" i="53"/>
  <c r="W50" i="53"/>
  <c r="W134" i="52"/>
  <c r="W130" i="52"/>
  <c r="W126" i="52"/>
  <c r="W122" i="52"/>
  <c r="W118" i="52"/>
  <c r="W114" i="52"/>
  <c r="W110" i="52"/>
  <c r="W106" i="52"/>
  <c r="W102" i="52"/>
  <c r="W98" i="52"/>
  <c r="W94" i="52"/>
  <c r="W90" i="52"/>
  <c r="W86" i="52"/>
  <c r="W82" i="52"/>
  <c r="W78" i="52"/>
  <c r="W74" i="52"/>
  <c r="W70" i="52"/>
  <c r="W66" i="52"/>
  <c r="W62" i="52"/>
  <c r="W58" i="52"/>
  <c r="W54" i="52"/>
  <c r="W50" i="52"/>
  <c r="W46" i="52"/>
  <c r="W42" i="52"/>
  <c r="W38" i="52"/>
  <c r="W34" i="52"/>
  <c r="W26" i="52"/>
  <c r="W18" i="52"/>
  <c r="W10" i="52"/>
  <c r="W2" i="52"/>
  <c r="W91" i="52"/>
  <c r="W75" i="52"/>
  <c r="W20" i="52"/>
  <c r="W12" i="52"/>
  <c r="W27" i="52"/>
  <c r="W19" i="52"/>
  <c r="W11" i="52"/>
  <c r="W99" i="52"/>
  <c r="W83" i="52"/>
  <c r="W59" i="52"/>
  <c r="W39" i="52"/>
  <c r="W28" i="52"/>
  <c r="W29" i="52"/>
  <c r="W21" i="52"/>
  <c r="W13" i="52"/>
  <c r="W5" i="52"/>
  <c r="W127" i="52"/>
  <c r="W115" i="52"/>
  <c r="W87" i="52"/>
  <c r="W67" i="52"/>
  <c r="W132" i="52"/>
  <c r="W128" i="52"/>
  <c r="W124" i="52"/>
  <c r="W120" i="52"/>
  <c r="W116" i="52"/>
  <c r="W112" i="52"/>
  <c r="W108" i="52"/>
  <c r="W104" i="52"/>
  <c r="W100" i="52"/>
  <c r="W96" i="52"/>
  <c r="W92" i="52"/>
  <c r="W88" i="52"/>
  <c r="W84" i="52"/>
  <c r="W80" i="52"/>
  <c r="W76" i="52"/>
  <c r="W72" i="52"/>
  <c r="W68" i="52"/>
  <c r="W64" i="52"/>
  <c r="W60" i="52"/>
  <c r="W56" i="52"/>
  <c r="W52" i="52"/>
  <c r="W48" i="52"/>
  <c r="W44" i="52"/>
  <c r="W40" i="52"/>
  <c r="W36" i="52"/>
  <c r="W30" i="52"/>
  <c r="W22" i="52"/>
  <c r="W14" i="52"/>
  <c r="W6" i="52"/>
  <c r="W123" i="52"/>
  <c r="W31" i="52"/>
  <c r="W23" i="52"/>
  <c r="W15" i="52"/>
  <c r="W7" i="52"/>
  <c r="W107" i="52"/>
  <c r="W133" i="52"/>
  <c r="W129" i="52"/>
  <c r="W125" i="52"/>
  <c r="W121" i="52"/>
  <c r="W117" i="52"/>
  <c r="W113" i="52"/>
  <c r="W109" i="52"/>
  <c r="W105" i="52"/>
  <c r="W101" i="52"/>
  <c r="W97" i="52"/>
  <c r="W93" i="52"/>
  <c r="W89" i="52"/>
  <c r="W85" i="52"/>
  <c r="W81" i="52"/>
  <c r="W77" i="52"/>
  <c r="W73" i="52"/>
  <c r="W69" i="52"/>
  <c r="W65" i="52"/>
  <c r="W61" i="52"/>
  <c r="W57" i="52"/>
  <c r="W53" i="52"/>
  <c r="W49" i="52"/>
  <c r="W45" i="52"/>
  <c r="W41" i="52"/>
  <c r="W37" i="52"/>
  <c r="W32" i="52"/>
  <c r="W24" i="52"/>
  <c r="W16" i="52"/>
  <c r="W8" i="52"/>
  <c r="W131" i="52"/>
  <c r="W103" i="52"/>
  <c r="W95" i="52"/>
  <c r="W51" i="52"/>
  <c r="W43" i="52"/>
  <c r="W35" i="52"/>
  <c r="W4" i="52"/>
  <c r="W33" i="52"/>
  <c r="W25" i="52"/>
  <c r="W17" i="52"/>
  <c r="W9" i="52"/>
  <c r="W119" i="52"/>
  <c r="W111" i="52"/>
  <c r="W79" i="52"/>
  <c r="W71" i="52"/>
  <c r="W63" i="52"/>
  <c r="W55" i="52"/>
  <c r="W47" i="52"/>
  <c r="W134" i="51"/>
  <c r="W130" i="51"/>
  <c r="W126" i="51"/>
  <c r="W122" i="51"/>
  <c r="W118" i="51"/>
  <c r="W114" i="51"/>
  <c r="W110" i="51"/>
  <c r="W106" i="51"/>
  <c r="W102" i="51"/>
  <c r="W98" i="51"/>
  <c r="W94" i="51"/>
  <c r="W90" i="51"/>
  <c r="W86" i="51"/>
  <c r="W82" i="51"/>
  <c r="W78" i="51"/>
  <c r="W74" i="51"/>
  <c r="W70" i="51"/>
  <c r="W66" i="51"/>
  <c r="W62" i="51"/>
  <c r="W58" i="51"/>
  <c r="W54" i="51"/>
  <c r="W50" i="51"/>
  <c r="W46" i="51"/>
  <c r="W42" i="51"/>
  <c r="W38" i="51"/>
  <c r="W34" i="51"/>
  <c r="W30" i="51"/>
  <c r="W26" i="51"/>
  <c r="W22" i="51"/>
  <c r="W18" i="51"/>
  <c r="W14" i="51"/>
  <c r="W10" i="51"/>
  <c r="W6" i="51"/>
  <c r="W131" i="51"/>
  <c r="W127" i="51"/>
  <c r="W123" i="51"/>
  <c r="W119" i="51"/>
  <c r="W115" i="51"/>
  <c r="W111" i="51"/>
  <c r="W107" i="51"/>
  <c r="W103" i="51"/>
  <c r="W99" i="51"/>
  <c r="W95" i="51"/>
  <c r="W91" i="51"/>
  <c r="W87" i="51"/>
  <c r="W83" i="51"/>
  <c r="W79" i="51"/>
  <c r="W75" i="51"/>
  <c r="W71" i="51"/>
  <c r="W67" i="51"/>
  <c r="W63" i="51"/>
  <c r="W59" i="51"/>
  <c r="W55" i="51"/>
  <c r="W51" i="51"/>
  <c r="W47" i="51"/>
  <c r="W43" i="51"/>
  <c r="W39" i="51"/>
  <c r="W35" i="51"/>
  <c r="W31" i="51"/>
  <c r="W27" i="51"/>
  <c r="W23" i="51"/>
  <c r="W19" i="51"/>
  <c r="W15" i="51"/>
  <c r="W11" i="51"/>
  <c r="W7" i="51"/>
  <c r="W2" i="51"/>
  <c r="W132" i="51"/>
  <c r="W128" i="51"/>
  <c r="W124" i="51"/>
  <c r="W120" i="51"/>
  <c r="W116" i="51"/>
  <c r="W112" i="51"/>
  <c r="W108" i="51"/>
  <c r="W104" i="51"/>
  <c r="W100" i="51"/>
  <c r="W96" i="51"/>
  <c r="W92" i="51"/>
  <c r="W88" i="51"/>
  <c r="W84" i="51"/>
  <c r="W80" i="51"/>
  <c r="W76" i="51"/>
  <c r="W72" i="51"/>
  <c r="W68" i="51"/>
  <c r="W64" i="51"/>
  <c r="W60" i="51"/>
  <c r="W56" i="51"/>
  <c r="W52" i="51"/>
  <c r="W48" i="51"/>
  <c r="W44" i="51"/>
  <c r="W40" i="51"/>
  <c r="W36" i="51"/>
  <c r="W32" i="51"/>
  <c r="W28" i="51"/>
  <c r="W24" i="51"/>
  <c r="W20" i="51"/>
  <c r="W16" i="51"/>
  <c r="W12" i="51"/>
  <c r="W8" i="51"/>
  <c r="W4" i="51"/>
  <c r="W133" i="51"/>
  <c r="W129" i="51"/>
  <c r="W125" i="51"/>
  <c r="W121" i="51"/>
  <c r="W117" i="51"/>
  <c r="W113" i="51"/>
  <c r="W109" i="51"/>
  <c r="W105" i="51"/>
  <c r="W101" i="51"/>
  <c r="W97" i="51"/>
  <c r="W93" i="51"/>
  <c r="W89" i="51"/>
  <c r="W85" i="51"/>
  <c r="W81" i="51"/>
  <c r="W77" i="51"/>
  <c r="W73" i="51"/>
  <c r="W69" i="51"/>
  <c r="W65" i="51"/>
  <c r="W61" i="51"/>
  <c r="W57" i="51"/>
  <c r="W53" i="51"/>
  <c r="W49" i="51"/>
  <c r="W45" i="51"/>
  <c r="W41" i="51"/>
  <c r="W37" i="51"/>
  <c r="W33" i="51"/>
  <c r="W29" i="51"/>
  <c r="W25" i="51"/>
  <c r="W21" i="51"/>
  <c r="W17" i="51"/>
  <c r="W13" i="51"/>
  <c r="W9" i="51"/>
  <c r="W5" i="51"/>
  <c r="W134" i="49"/>
  <c r="W130" i="49"/>
  <c r="W126" i="49"/>
  <c r="W122" i="49"/>
  <c r="W118" i="49"/>
  <c r="W114" i="49"/>
  <c r="W110" i="49"/>
  <c r="W106" i="49"/>
  <c r="W102" i="49"/>
  <c r="W98" i="49"/>
  <c r="W94" i="49"/>
  <c r="W90" i="49"/>
  <c r="W86" i="49"/>
  <c r="W82" i="49"/>
  <c r="W78" i="49"/>
  <c r="W74" i="49"/>
  <c r="W70" i="49"/>
  <c r="W66" i="49"/>
  <c r="W62" i="49"/>
  <c r="W58" i="49"/>
  <c r="W54" i="49"/>
  <c r="W50" i="49"/>
  <c r="W46" i="49"/>
  <c r="W42" i="49"/>
  <c r="W38" i="49"/>
  <c r="W33" i="49"/>
  <c r="W25" i="49"/>
  <c r="W17" i="49"/>
  <c r="W9" i="49"/>
  <c r="W34" i="49"/>
  <c r="W26" i="49"/>
  <c r="W18" i="49"/>
  <c r="W10" i="49"/>
  <c r="W131" i="49"/>
  <c r="W127" i="49"/>
  <c r="W123" i="49"/>
  <c r="W119" i="49"/>
  <c r="W115" i="49"/>
  <c r="W111" i="49"/>
  <c r="W107" i="49"/>
  <c r="W103" i="49"/>
  <c r="W99" i="49"/>
  <c r="W95" i="49"/>
  <c r="W91" i="49"/>
  <c r="W87" i="49"/>
  <c r="W83" i="49"/>
  <c r="W79" i="49"/>
  <c r="W75" i="49"/>
  <c r="W71" i="49"/>
  <c r="W67" i="49"/>
  <c r="W63" i="49"/>
  <c r="W59" i="49"/>
  <c r="W55" i="49"/>
  <c r="W51" i="49"/>
  <c r="W47" i="49"/>
  <c r="W43" i="49"/>
  <c r="W39" i="49"/>
  <c r="W35" i="49"/>
  <c r="W27" i="49"/>
  <c r="W19" i="49"/>
  <c r="W11" i="49"/>
  <c r="W28" i="49"/>
  <c r="W20" i="49"/>
  <c r="W12" i="49"/>
  <c r="W4" i="49"/>
  <c r="W32" i="49"/>
  <c r="W8" i="49"/>
  <c r="W132" i="49"/>
  <c r="W128" i="49"/>
  <c r="W124" i="49"/>
  <c r="W120" i="49"/>
  <c r="W116" i="49"/>
  <c r="W112" i="49"/>
  <c r="W108" i="49"/>
  <c r="W104" i="49"/>
  <c r="W100" i="49"/>
  <c r="W96" i="49"/>
  <c r="W92" i="49"/>
  <c r="W88" i="49"/>
  <c r="W84" i="49"/>
  <c r="W80" i="49"/>
  <c r="W76" i="49"/>
  <c r="W72" i="49"/>
  <c r="W68" i="49"/>
  <c r="W64" i="49"/>
  <c r="W60" i="49"/>
  <c r="W56" i="49"/>
  <c r="W52" i="49"/>
  <c r="W48" i="49"/>
  <c r="W44" i="49"/>
  <c r="W40" i="49"/>
  <c r="W36" i="49"/>
  <c r="W29" i="49"/>
  <c r="W21" i="49"/>
  <c r="W13" i="49"/>
  <c r="W5" i="49"/>
  <c r="W16" i="49"/>
  <c r="W30" i="49"/>
  <c r="W22" i="49"/>
  <c r="W14" i="49"/>
  <c r="W6" i="49"/>
  <c r="W24" i="49"/>
  <c r="W133" i="49"/>
  <c r="W129" i="49"/>
  <c r="W125" i="49"/>
  <c r="W121" i="49"/>
  <c r="W117" i="49"/>
  <c r="W113" i="49"/>
  <c r="W109" i="49"/>
  <c r="W105" i="49"/>
  <c r="W101" i="49"/>
  <c r="W97" i="49"/>
  <c r="W93" i="49"/>
  <c r="W89" i="49"/>
  <c r="W85" i="49"/>
  <c r="W81" i="49"/>
  <c r="W77" i="49"/>
  <c r="W73" i="49"/>
  <c r="W69" i="49"/>
  <c r="W65" i="49"/>
  <c r="W61" i="49"/>
  <c r="W57" i="49"/>
  <c r="W53" i="49"/>
  <c r="W49" i="49"/>
  <c r="W45" i="49"/>
  <c r="W41" i="49"/>
  <c r="W37" i="49"/>
  <c r="W31" i="49"/>
  <c r="W23" i="49"/>
  <c r="W15" i="49"/>
  <c r="W7" i="49"/>
  <c r="W134" i="47"/>
  <c r="W130" i="47"/>
  <c r="W126" i="47"/>
  <c r="W122" i="47"/>
  <c r="W118" i="47"/>
  <c r="W114" i="47"/>
  <c r="W110" i="47"/>
  <c r="W106" i="47"/>
  <c r="W102" i="47"/>
  <c r="W98" i="47"/>
  <c r="W94" i="47"/>
  <c r="W90" i="47"/>
  <c r="W86" i="47"/>
  <c r="W82" i="47"/>
  <c r="W78" i="47"/>
  <c r="W74" i="47"/>
  <c r="W70" i="47"/>
  <c r="W66" i="47"/>
  <c r="W62" i="47"/>
  <c r="W58" i="47"/>
  <c r="W54" i="47"/>
  <c r="W50" i="47"/>
  <c r="W46" i="47"/>
  <c r="W42" i="47"/>
  <c r="W38" i="47"/>
  <c r="W34" i="47"/>
  <c r="W30" i="47"/>
  <c r="W26" i="47"/>
  <c r="W22" i="47"/>
  <c r="W16" i="47"/>
  <c r="W8" i="47"/>
  <c r="W15" i="47"/>
  <c r="W17" i="47"/>
  <c r="W9" i="47"/>
  <c r="W131" i="47"/>
  <c r="W127" i="47"/>
  <c r="W123" i="47"/>
  <c r="W119" i="47"/>
  <c r="W115" i="47"/>
  <c r="W111" i="47"/>
  <c r="W107" i="47"/>
  <c r="W103" i="47"/>
  <c r="W99" i="47"/>
  <c r="W95" i="47"/>
  <c r="W91" i="47"/>
  <c r="W87" i="47"/>
  <c r="W83" i="47"/>
  <c r="W79" i="47"/>
  <c r="W75" i="47"/>
  <c r="W71" i="47"/>
  <c r="W67" i="47"/>
  <c r="W63" i="47"/>
  <c r="W59" i="47"/>
  <c r="W55" i="47"/>
  <c r="W51" i="47"/>
  <c r="W47" i="47"/>
  <c r="W43" i="47"/>
  <c r="W39" i="47"/>
  <c r="W35" i="47"/>
  <c r="W31" i="47"/>
  <c r="W27" i="47"/>
  <c r="W23" i="47"/>
  <c r="W18" i="47"/>
  <c r="W10" i="47"/>
  <c r="W19" i="47"/>
  <c r="W11" i="47"/>
  <c r="W132" i="47"/>
  <c r="W128" i="47"/>
  <c r="W124" i="47"/>
  <c r="W120" i="47"/>
  <c r="W116" i="47"/>
  <c r="W112" i="47"/>
  <c r="W108" i="47"/>
  <c r="W104" i="47"/>
  <c r="W100" i="47"/>
  <c r="W96" i="47"/>
  <c r="W92" i="47"/>
  <c r="W88" i="47"/>
  <c r="W84" i="47"/>
  <c r="W80" i="47"/>
  <c r="W76" i="47"/>
  <c r="W72" i="47"/>
  <c r="W68" i="47"/>
  <c r="W64" i="47"/>
  <c r="W60" i="47"/>
  <c r="W56" i="47"/>
  <c r="W52" i="47"/>
  <c r="W48" i="47"/>
  <c r="W44" i="47"/>
  <c r="W40" i="47"/>
  <c r="W36" i="47"/>
  <c r="W32" i="47"/>
  <c r="W28" i="47"/>
  <c r="W24" i="47"/>
  <c r="W20" i="47"/>
  <c r="W12" i="47"/>
  <c r="W4" i="47"/>
  <c r="W13" i="47"/>
  <c r="W5" i="47"/>
  <c r="W7" i="47"/>
  <c r="W133" i="47"/>
  <c r="W129" i="47"/>
  <c r="W125" i="47"/>
  <c r="W121" i="47"/>
  <c r="W117" i="47"/>
  <c r="W113" i="47"/>
  <c r="W109" i="47"/>
  <c r="W105" i="47"/>
  <c r="W101" i="47"/>
  <c r="W97" i="47"/>
  <c r="W93" i="47"/>
  <c r="W89" i="47"/>
  <c r="W85" i="47"/>
  <c r="W81" i="47"/>
  <c r="W77" i="47"/>
  <c r="W73" i="47"/>
  <c r="W69" i="47"/>
  <c r="W65" i="47"/>
  <c r="W61" i="47"/>
  <c r="W57" i="47"/>
  <c r="W53" i="47"/>
  <c r="W49" i="47"/>
  <c r="W45" i="47"/>
  <c r="W41" i="47"/>
  <c r="W37" i="47"/>
  <c r="W33" i="47"/>
  <c r="W29" i="47"/>
  <c r="W25" i="47"/>
  <c r="W21" i="47"/>
  <c r="W14" i="47"/>
  <c r="W6" i="47"/>
  <c r="W50" i="41"/>
  <c r="W12" i="41"/>
  <c r="W5" i="41"/>
  <c r="W7" i="41"/>
  <c r="W9" i="41"/>
  <c r="W11" i="41"/>
  <c r="W13" i="41"/>
  <c r="W15" i="41"/>
  <c r="W17" i="41"/>
  <c r="W19" i="41"/>
  <c r="W21" i="41"/>
  <c r="W23" i="41"/>
  <c r="W25" i="41"/>
  <c r="W27" i="41"/>
  <c r="W29" i="41"/>
  <c r="W31" i="41"/>
  <c r="W33" i="41"/>
  <c r="W35" i="41"/>
  <c r="W37" i="41"/>
  <c r="W39" i="41"/>
  <c r="W41" i="41"/>
  <c r="W43" i="41"/>
  <c r="W45" i="41"/>
  <c r="W47" i="41"/>
  <c r="W49" i="41"/>
  <c r="W51" i="41"/>
  <c r="W53" i="41"/>
  <c r="W55" i="41"/>
  <c r="W57" i="41"/>
  <c r="W59" i="41"/>
  <c r="W61" i="41"/>
  <c r="W63" i="41"/>
  <c r="W65" i="41"/>
  <c r="W67" i="41"/>
  <c r="W69" i="41"/>
  <c r="W71" i="41"/>
  <c r="W73" i="41"/>
  <c r="W75" i="41"/>
  <c r="W77" i="41"/>
  <c r="W79" i="41"/>
  <c r="W81" i="41"/>
  <c r="W83" i="41"/>
  <c r="W85" i="41"/>
  <c r="W87" i="41"/>
  <c r="W89" i="41"/>
  <c r="W91" i="41"/>
  <c r="W93" i="41"/>
  <c r="W95" i="41"/>
  <c r="W97" i="41"/>
  <c r="W99" i="41"/>
  <c r="W101" i="41"/>
  <c r="W103" i="41"/>
  <c r="W105" i="41"/>
  <c r="W107" i="41"/>
  <c r="W109" i="41"/>
  <c r="W111" i="41"/>
  <c r="W113" i="41"/>
  <c r="W115" i="41"/>
  <c r="W117" i="41"/>
  <c r="W119" i="41"/>
  <c r="W121" i="41"/>
  <c r="W123" i="41"/>
  <c r="W125" i="41"/>
  <c r="W127" i="41"/>
  <c r="W129" i="41"/>
  <c r="W131" i="41"/>
  <c r="W133" i="41"/>
  <c r="W14" i="41"/>
  <c r="W40" i="41"/>
  <c r="W48" i="41"/>
  <c r="W58" i="41"/>
  <c r="W68" i="41"/>
  <c r="W80" i="41"/>
  <c r="W88" i="41"/>
  <c r="W96" i="41"/>
  <c r="W104" i="41"/>
  <c r="W110" i="41"/>
  <c r="W118" i="41"/>
  <c r="W126" i="41"/>
  <c r="W134" i="41"/>
  <c r="W10" i="41"/>
  <c r="W18" i="41"/>
  <c r="W22" i="41"/>
  <c r="W30" i="41"/>
  <c r="W34" i="41"/>
  <c r="W44" i="41"/>
  <c r="W56" i="41"/>
  <c r="W62" i="41"/>
  <c r="W70" i="41"/>
  <c r="W76" i="41"/>
  <c r="W84" i="41"/>
  <c r="W94" i="41"/>
  <c r="W98" i="41"/>
  <c r="W106" i="41"/>
  <c r="W116" i="41"/>
  <c r="W124" i="41"/>
  <c r="W132" i="41"/>
  <c r="W8" i="41"/>
  <c r="W20" i="41"/>
  <c r="W26" i="41"/>
  <c r="W32" i="41"/>
  <c r="W38" i="41"/>
  <c r="W46" i="41"/>
  <c r="W52" i="41"/>
  <c r="W60" i="41"/>
  <c r="W66" i="41"/>
  <c r="W74" i="41"/>
  <c r="W82" i="41"/>
  <c r="W90" i="41"/>
  <c r="W102" i="41"/>
  <c r="W112" i="41"/>
  <c r="W120" i="41"/>
  <c r="W128" i="41"/>
  <c r="W6" i="41"/>
  <c r="W16" i="41"/>
  <c r="W24" i="41"/>
  <c r="W28" i="41"/>
  <c r="W36" i="41"/>
  <c r="W42" i="41"/>
  <c r="W54" i="41"/>
  <c r="W64" i="41"/>
  <c r="W72" i="41"/>
  <c r="W78" i="41"/>
  <c r="W86" i="41"/>
  <c r="W92" i="41"/>
  <c r="W100" i="41"/>
  <c r="W108" i="41"/>
  <c r="W114" i="41"/>
  <c r="W122" i="41"/>
  <c r="W130" i="41"/>
  <c r="W14" i="46"/>
  <c r="W20" i="46"/>
  <c r="W32" i="46"/>
  <c r="W44" i="46"/>
  <c r="W60" i="46"/>
  <c r="W74" i="46"/>
  <c r="W86" i="46"/>
  <c r="W102" i="46"/>
  <c r="W116" i="46"/>
  <c r="W130" i="46"/>
  <c r="W12" i="46"/>
  <c r="W30" i="46"/>
  <c r="W42" i="46"/>
  <c r="W56" i="46"/>
  <c r="W68" i="46"/>
  <c r="W82" i="46"/>
  <c r="W96" i="46"/>
  <c r="W110" i="46"/>
  <c r="W128" i="46"/>
  <c r="W16" i="46"/>
  <c r="W26" i="46"/>
  <c r="W36" i="46"/>
  <c r="W50" i="46"/>
  <c r="W66" i="46"/>
  <c r="W78" i="46"/>
  <c r="W92" i="46"/>
  <c r="W104" i="46"/>
  <c r="W118" i="46"/>
  <c r="W134" i="46"/>
  <c r="W5" i="46"/>
  <c r="W7" i="46"/>
  <c r="W9" i="46"/>
  <c r="W11" i="46"/>
  <c r="W13" i="46"/>
  <c r="W15" i="46"/>
  <c r="W17" i="46"/>
  <c r="W19" i="46"/>
  <c r="W21" i="46"/>
  <c r="W23" i="46"/>
  <c r="W25" i="46"/>
  <c r="W27" i="46"/>
  <c r="W29" i="46"/>
  <c r="W31" i="46"/>
  <c r="W33" i="46"/>
  <c r="W35" i="46"/>
  <c r="W37" i="46"/>
  <c r="W39" i="46"/>
  <c r="W41" i="46"/>
  <c r="W43" i="46"/>
  <c r="W45" i="46"/>
  <c r="W47" i="46"/>
  <c r="W49" i="46"/>
  <c r="W51" i="46"/>
  <c r="W53" i="46"/>
  <c r="W55" i="46"/>
  <c r="W57" i="46"/>
  <c r="W59" i="46"/>
  <c r="W61" i="46"/>
  <c r="W63" i="46"/>
  <c r="W65" i="46"/>
  <c r="W67" i="46"/>
  <c r="W69" i="46"/>
  <c r="W71" i="46"/>
  <c r="W73" i="46"/>
  <c r="W75" i="46"/>
  <c r="W77" i="46"/>
  <c r="W79" i="46"/>
  <c r="W81" i="46"/>
  <c r="W83" i="46"/>
  <c r="W85" i="46"/>
  <c r="W87" i="46"/>
  <c r="W89" i="46"/>
  <c r="W91" i="46"/>
  <c r="W93" i="46"/>
  <c r="W95" i="46"/>
  <c r="W97" i="46"/>
  <c r="W99" i="46"/>
  <c r="W101" i="46"/>
  <c r="W103" i="46"/>
  <c r="W105" i="46"/>
  <c r="W107" i="46"/>
  <c r="W109" i="46"/>
  <c r="W111" i="46"/>
  <c r="W113" i="46"/>
  <c r="W115" i="46"/>
  <c r="W117" i="46"/>
  <c r="W119" i="46"/>
  <c r="W121" i="46"/>
  <c r="W123" i="46"/>
  <c r="W125" i="46"/>
  <c r="W127" i="46"/>
  <c r="W129" i="46"/>
  <c r="W131" i="46"/>
  <c r="W133" i="46"/>
  <c r="W18" i="46"/>
  <c r="W46" i="46"/>
  <c r="W64" i="46"/>
  <c r="W80" i="46"/>
  <c r="W94" i="46"/>
  <c r="W108" i="46"/>
  <c r="W122" i="46"/>
  <c r="W8" i="46"/>
  <c r="W22" i="46"/>
  <c r="W34" i="46"/>
  <c r="W48" i="46"/>
  <c r="W58" i="46"/>
  <c r="W72" i="46"/>
  <c r="W88" i="46"/>
  <c r="W100" i="46"/>
  <c r="W114" i="46"/>
  <c r="W126" i="46"/>
  <c r="W10" i="46"/>
  <c r="W28" i="46"/>
  <c r="W40" i="46"/>
  <c r="W54" i="46"/>
  <c r="W70" i="46"/>
  <c r="W84" i="46"/>
  <c r="W98" i="46"/>
  <c r="W112" i="46"/>
  <c r="W124" i="46"/>
  <c r="W6" i="46"/>
  <c r="W24" i="46"/>
  <c r="W38" i="46"/>
  <c r="W52" i="46"/>
  <c r="W62" i="46"/>
  <c r="W76" i="46"/>
  <c r="W90" i="46"/>
  <c r="W106" i="46"/>
  <c r="W120" i="46"/>
  <c r="W132" i="46"/>
  <c r="W4" i="46"/>
  <c r="W7" i="33"/>
  <c r="W15" i="33"/>
  <c r="W23" i="33"/>
  <c r="W31" i="33"/>
  <c r="W39" i="33"/>
  <c r="W47" i="33"/>
  <c r="W55" i="33"/>
  <c r="W63" i="33"/>
  <c r="W71" i="33"/>
  <c r="W79" i="33"/>
  <c r="W87" i="33"/>
  <c r="W95" i="33"/>
  <c r="W103" i="33"/>
  <c r="W111" i="33"/>
  <c r="W119" i="33"/>
  <c r="W127" i="33"/>
  <c r="W10" i="33"/>
  <c r="W18" i="33"/>
  <c r="W26" i="33"/>
  <c r="W34" i="33"/>
  <c r="W42" i="33"/>
  <c r="W50" i="33"/>
  <c r="W58" i="33"/>
  <c r="W66" i="33"/>
  <c r="W74" i="33"/>
  <c r="W82" i="33"/>
  <c r="W90" i="33"/>
  <c r="W98" i="33"/>
  <c r="W106" i="33"/>
  <c r="W114" i="33"/>
  <c r="W122" i="33"/>
  <c r="W130" i="33"/>
  <c r="W5" i="33"/>
  <c r="W13" i="33"/>
  <c r="W21" i="33"/>
  <c r="W29" i="33"/>
  <c r="W37" i="33"/>
  <c r="W45" i="33"/>
  <c r="W53" i="33"/>
  <c r="W61" i="33"/>
  <c r="W69" i="33"/>
  <c r="W77" i="33"/>
  <c r="W85" i="33"/>
  <c r="W93" i="33"/>
  <c r="W101" i="33"/>
  <c r="W109" i="33"/>
  <c r="W117" i="33"/>
  <c r="W125" i="33"/>
  <c r="W133" i="33"/>
  <c r="W8" i="33"/>
  <c r="W16" i="33"/>
  <c r="W24" i="33"/>
  <c r="W32" i="33"/>
  <c r="W40" i="33"/>
  <c r="W48" i="33"/>
  <c r="W56" i="33"/>
  <c r="W64" i="33"/>
  <c r="W72" i="33"/>
  <c r="W80" i="33"/>
  <c r="W88" i="33"/>
  <c r="W96" i="33"/>
  <c r="W104" i="33"/>
  <c r="W112" i="33"/>
  <c r="W120" i="33"/>
  <c r="W128" i="33"/>
  <c r="W44" i="33"/>
  <c r="W84" i="33"/>
  <c r="W124" i="33"/>
  <c r="W11" i="33"/>
  <c r="W19" i="33"/>
  <c r="W27" i="33"/>
  <c r="W35" i="33"/>
  <c r="W43" i="33"/>
  <c r="W51" i="33"/>
  <c r="W59" i="33"/>
  <c r="W67" i="33"/>
  <c r="W75" i="33"/>
  <c r="W83" i="33"/>
  <c r="W91" i="33"/>
  <c r="W99" i="33"/>
  <c r="W107" i="33"/>
  <c r="W115" i="33"/>
  <c r="W123" i="33"/>
  <c r="W131" i="33"/>
  <c r="W12" i="33"/>
  <c r="W36" i="33"/>
  <c r="W108" i="33"/>
  <c r="W6" i="33"/>
  <c r="W14" i="33"/>
  <c r="W22" i="33"/>
  <c r="W30" i="33"/>
  <c r="W38" i="33"/>
  <c r="W46" i="33"/>
  <c r="W54" i="33"/>
  <c r="W62" i="33"/>
  <c r="W70" i="33"/>
  <c r="W78" i="33"/>
  <c r="W86" i="33"/>
  <c r="W94" i="33"/>
  <c r="W102" i="33"/>
  <c r="W110" i="33"/>
  <c r="W118" i="33"/>
  <c r="W126" i="33"/>
  <c r="W134" i="33"/>
  <c r="W28" i="33"/>
  <c r="W52" i="33"/>
  <c r="W60" i="33"/>
  <c r="W76" i="33"/>
  <c r="W100" i="33"/>
  <c r="W132" i="33"/>
  <c r="W9" i="33"/>
  <c r="W17" i="33"/>
  <c r="W25" i="33"/>
  <c r="W33" i="33"/>
  <c r="W41" i="33"/>
  <c r="W49" i="33"/>
  <c r="W57" i="33"/>
  <c r="W65" i="33"/>
  <c r="W73" i="33"/>
  <c r="W81" i="33"/>
  <c r="W89" i="33"/>
  <c r="W97" i="33"/>
  <c r="W105" i="33"/>
  <c r="W113" i="33"/>
  <c r="W121" i="33"/>
  <c r="W129" i="33"/>
  <c r="W20" i="33"/>
  <c r="W68" i="33"/>
  <c r="W92" i="33"/>
  <c r="W116" i="33"/>
  <c r="W76" i="25"/>
  <c r="W14" i="25"/>
  <c r="W5" i="25"/>
  <c r="W7" i="25"/>
  <c r="W9" i="25"/>
  <c r="W11" i="25"/>
  <c r="W13" i="25"/>
  <c r="W15" i="25"/>
  <c r="W17" i="25"/>
  <c r="W19" i="25"/>
  <c r="W21" i="25"/>
  <c r="W23" i="25"/>
  <c r="W25" i="25"/>
  <c r="W27" i="25"/>
  <c r="W29" i="25"/>
  <c r="W31" i="25"/>
  <c r="W33" i="25"/>
  <c r="W35" i="25"/>
  <c r="W37" i="25"/>
  <c r="W39" i="25"/>
  <c r="W41" i="25"/>
  <c r="W43" i="25"/>
  <c r="W45" i="25"/>
  <c r="W47" i="25"/>
  <c r="W49" i="25"/>
  <c r="W51" i="25"/>
  <c r="W53" i="25"/>
  <c r="W55" i="25"/>
  <c r="W57" i="25"/>
  <c r="W59" i="25"/>
  <c r="W61" i="25"/>
  <c r="W63" i="25"/>
  <c r="W65" i="25"/>
  <c r="W67" i="25"/>
  <c r="W69" i="25"/>
  <c r="W71" i="25"/>
  <c r="W73" i="25"/>
  <c r="W75" i="25"/>
  <c r="W77" i="25"/>
  <c r="W79" i="25"/>
  <c r="W81" i="25"/>
  <c r="W83" i="25"/>
  <c r="W85" i="25"/>
  <c r="W87" i="25"/>
  <c r="W89" i="25"/>
  <c r="W91" i="25"/>
  <c r="W93" i="25"/>
  <c r="W95" i="25"/>
  <c r="W97" i="25"/>
  <c r="W99" i="25"/>
  <c r="W101" i="25"/>
  <c r="W103" i="25"/>
  <c r="W105" i="25"/>
  <c r="W107" i="25"/>
  <c r="W109" i="25"/>
  <c r="W111" i="25"/>
  <c r="W113" i="25"/>
  <c r="W115" i="25"/>
  <c r="W117" i="25"/>
  <c r="W119" i="25"/>
  <c r="W121" i="25"/>
  <c r="W123" i="25"/>
  <c r="W125" i="25"/>
  <c r="W127" i="25"/>
  <c r="W129" i="25"/>
  <c r="W131" i="25"/>
  <c r="W133" i="25"/>
  <c r="W12" i="25"/>
  <c r="W16" i="25"/>
  <c r="W18" i="25"/>
  <c r="W20" i="25"/>
  <c r="W22" i="25"/>
  <c r="W28" i="25"/>
  <c r="W32" i="25"/>
  <c r="W40" i="25"/>
  <c r="W48" i="25"/>
  <c r="W54" i="25"/>
  <c r="W60" i="25"/>
  <c r="W68" i="25"/>
  <c r="W78" i="25"/>
  <c r="W84" i="25"/>
  <c r="W94" i="25"/>
  <c r="W102" i="25"/>
  <c r="W110" i="25"/>
  <c r="W116" i="25"/>
  <c r="W120" i="25"/>
  <c r="W128" i="25"/>
  <c r="W10" i="25"/>
  <c r="W26" i="25"/>
  <c r="W36" i="25"/>
  <c r="W42" i="25"/>
  <c r="W56" i="25"/>
  <c r="W66" i="25"/>
  <c r="W74" i="25"/>
  <c r="W86" i="25"/>
  <c r="W92" i="25"/>
  <c r="W98" i="25"/>
  <c r="W106" i="25"/>
  <c r="W118" i="25"/>
  <c r="W126" i="25"/>
  <c r="W134" i="25"/>
  <c r="W8" i="25"/>
  <c r="W30" i="25"/>
  <c r="W38" i="25"/>
  <c r="W46" i="25"/>
  <c r="W52" i="25"/>
  <c r="W62" i="25"/>
  <c r="W70" i="25"/>
  <c r="W80" i="25"/>
  <c r="W88" i="25"/>
  <c r="W96" i="25"/>
  <c r="W104" i="25"/>
  <c r="W112" i="25"/>
  <c r="W124" i="25"/>
  <c r="W132" i="25"/>
  <c r="W6" i="25"/>
  <c r="W24" i="25"/>
  <c r="W34" i="25"/>
  <c r="W44" i="25"/>
  <c r="W50" i="25"/>
  <c r="W58" i="25"/>
  <c r="W64" i="25"/>
  <c r="W72" i="25"/>
  <c r="W82" i="25"/>
  <c r="W90" i="25"/>
  <c r="W100" i="25"/>
  <c r="W108" i="25"/>
  <c r="W114" i="25"/>
  <c r="W122" i="25"/>
  <c r="W130" i="25"/>
  <c r="W137" i="32"/>
  <c r="W138" i="32"/>
  <c r="W140" i="32"/>
  <c r="W139" i="32"/>
  <c r="W135" i="32"/>
  <c r="W136" i="32"/>
  <c r="W5" i="31"/>
  <c r="W7" i="31"/>
  <c r="W9" i="31"/>
  <c r="W11" i="31"/>
  <c r="W13" i="31"/>
  <c r="W15" i="31"/>
  <c r="W17" i="31"/>
  <c r="W19" i="31"/>
  <c r="W21" i="31"/>
  <c r="W23" i="31"/>
  <c r="W25" i="31"/>
  <c r="W27" i="31"/>
  <c r="W29" i="31"/>
  <c r="W31" i="31"/>
  <c r="W33" i="31"/>
  <c r="W35" i="31"/>
  <c r="W37" i="31"/>
  <c r="W39" i="31"/>
  <c r="W41" i="31"/>
  <c r="W43" i="31"/>
  <c r="W45" i="31"/>
  <c r="W47" i="31"/>
  <c r="W49" i="31"/>
  <c r="W51" i="31"/>
  <c r="W53" i="31"/>
  <c r="W55" i="31"/>
  <c r="W57" i="31"/>
  <c r="W59" i="31"/>
  <c r="W61" i="31"/>
  <c r="W63" i="31"/>
  <c r="W65" i="31"/>
  <c r="W67" i="31"/>
  <c r="W69" i="31"/>
  <c r="W71" i="31"/>
  <c r="W73" i="31"/>
  <c r="W75" i="31"/>
  <c r="W77" i="31"/>
  <c r="W79" i="31"/>
  <c r="W81" i="31"/>
  <c r="W83" i="31"/>
  <c r="W85" i="31"/>
  <c r="W87" i="31"/>
  <c r="W89" i="31"/>
  <c r="W91" i="31"/>
  <c r="W93" i="31"/>
  <c r="W95" i="31"/>
  <c r="W97" i="31"/>
  <c r="W99" i="31"/>
  <c r="W101" i="31"/>
  <c r="W103" i="31"/>
  <c r="W105" i="31"/>
  <c r="W107" i="31"/>
  <c r="W109" i="31"/>
  <c r="W111" i="31"/>
  <c r="W113" i="31"/>
  <c r="W115" i="31"/>
  <c r="W117" i="31"/>
  <c r="W119" i="31"/>
  <c r="W121" i="31"/>
  <c r="W123" i="31"/>
  <c r="W125" i="31"/>
  <c r="W127" i="31"/>
  <c r="W129" i="31"/>
  <c r="W131" i="31"/>
  <c r="W133" i="31"/>
  <c r="W135" i="31"/>
  <c r="W137" i="31"/>
  <c r="W139" i="31"/>
  <c r="W141" i="31"/>
  <c r="W143" i="31"/>
  <c r="W145" i="31"/>
  <c r="W147" i="31"/>
  <c r="W149" i="31"/>
  <c r="W151" i="31"/>
  <c r="W153" i="31"/>
  <c r="W155" i="31"/>
  <c r="W157" i="31"/>
  <c r="W159" i="31"/>
  <c r="W161" i="31"/>
  <c r="W163" i="31"/>
  <c r="W165" i="31"/>
  <c r="W6" i="31"/>
  <c r="W8" i="31"/>
  <c r="W10" i="31"/>
  <c r="W12" i="31"/>
  <c r="W14" i="31"/>
  <c r="W16" i="31"/>
  <c r="W18" i="31"/>
  <c r="W20" i="31"/>
  <c r="W22" i="31"/>
  <c r="W24" i="31"/>
  <c r="W26" i="31"/>
  <c r="W28" i="31"/>
  <c r="W30" i="31"/>
  <c r="W32" i="31"/>
  <c r="W34" i="31"/>
  <c r="W36" i="31"/>
  <c r="W38" i="31"/>
  <c r="W40" i="31"/>
  <c r="W42" i="31"/>
  <c r="W44" i="31"/>
  <c r="W46" i="31"/>
  <c r="W48" i="31"/>
  <c r="W50" i="31"/>
  <c r="W52" i="31"/>
  <c r="W54" i="31"/>
  <c r="W56" i="31"/>
  <c r="W58" i="31"/>
  <c r="W60" i="31"/>
  <c r="W62" i="31"/>
  <c r="W64" i="31"/>
  <c r="W66" i="31"/>
  <c r="W68" i="31"/>
  <c r="W70" i="31"/>
  <c r="W72" i="31"/>
  <c r="W74" i="31"/>
  <c r="W76" i="31"/>
  <c r="W78" i="31"/>
  <c r="W80" i="31"/>
  <c r="W82" i="31"/>
  <c r="W84" i="31"/>
  <c r="W86" i="31"/>
  <c r="W88" i="31"/>
  <c r="W90" i="31"/>
  <c r="W92" i="31"/>
  <c r="W94" i="31"/>
  <c r="W96" i="31"/>
  <c r="W98" i="31"/>
  <c r="W100" i="31"/>
  <c r="W102" i="31"/>
  <c r="W104" i="31"/>
  <c r="W106" i="31"/>
  <c r="W108" i="31"/>
  <c r="W110" i="31"/>
  <c r="W112" i="31"/>
  <c r="W114" i="31"/>
  <c r="W116" i="31"/>
  <c r="W118" i="31"/>
  <c r="W120" i="31"/>
  <c r="W122" i="31"/>
  <c r="W124" i="31"/>
  <c r="W126" i="31"/>
  <c r="W128" i="31"/>
  <c r="W130" i="31"/>
  <c r="W132" i="31"/>
  <c r="W134" i="31"/>
  <c r="W136" i="31"/>
  <c r="W138" i="31"/>
  <c r="W140" i="31"/>
  <c r="W142" i="31"/>
  <c r="W144" i="31"/>
  <c r="W146" i="31"/>
  <c r="W148" i="31"/>
  <c r="W150" i="31"/>
  <c r="W152" i="31"/>
  <c r="W154" i="31"/>
  <c r="W156" i="31"/>
  <c r="W158" i="31"/>
  <c r="W160" i="31"/>
  <c r="W162" i="31"/>
  <c r="W164" i="31"/>
  <c r="W7" i="30"/>
  <c r="W15" i="30"/>
  <c r="W23" i="30"/>
  <c r="W31" i="30"/>
  <c r="W39" i="30"/>
  <c r="W47" i="30"/>
  <c r="W55" i="30"/>
  <c r="W63" i="30"/>
  <c r="W71" i="30"/>
  <c r="W79" i="30"/>
  <c r="W87" i="30"/>
  <c r="W95" i="30"/>
  <c r="W103" i="30"/>
  <c r="W111" i="30"/>
  <c r="W119" i="30"/>
  <c r="W127" i="30"/>
  <c r="W10" i="30"/>
  <c r="W18" i="30"/>
  <c r="W26" i="30"/>
  <c r="W34" i="30"/>
  <c r="W42" i="30"/>
  <c r="W50" i="30"/>
  <c r="W58" i="30"/>
  <c r="W66" i="30"/>
  <c r="W74" i="30"/>
  <c r="W82" i="30"/>
  <c r="W90" i="30"/>
  <c r="W98" i="30"/>
  <c r="W106" i="30"/>
  <c r="W114" i="30"/>
  <c r="W122" i="30"/>
  <c r="W130" i="30"/>
  <c r="W44" i="30"/>
  <c r="W60" i="30"/>
  <c r="W76" i="30"/>
  <c r="W124" i="30"/>
  <c r="W5" i="30"/>
  <c r="W13" i="30"/>
  <c r="W21" i="30"/>
  <c r="W29" i="30"/>
  <c r="W37" i="30"/>
  <c r="W45" i="30"/>
  <c r="W53" i="30"/>
  <c r="W61" i="30"/>
  <c r="W69" i="30"/>
  <c r="W77" i="30"/>
  <c r="W85" i="30"/>
  <c r="W93" i="30"/>
  <c r="W101" i="30"/>
  <c r="W109" i="30"/>
  <c r="W117" i="30"/>
  <c r="W125" i="30"/>
  <c r="W133" i="30"/>
  <c r="W20" i="30"/>
  <c r="W8" i="30"/>
  <c r="W16" i="30"/>
  <c r="W24" i="30"/>
  <c r="W32" i="30"/>
  <c r="W40" i="30"/>
  <c r="W48" i="30"/>
  <c r="W56" i="30"/>
  <c r="W64" i="30"/>
  <c r="W72" i="30"/>
  <c r="W80" i="30"/>
  <c r="W88" i="30"/>
  <c r="W96" i="30"/>
  <c r="W104" i="30"/>
  <c r="W112" i="30"/>
  <c r="W120" i="30"/>
  <c r="W128" i="30"/>
  <c r="W92" i="30"/>
  <c r="W108" i="30"/>
  <c r="W11" i="30"/>
  <c r="W19" i="30"/>
  <c r="W27" i="30"/>
  <c r="W35" i="30"/>
  <c r="W43" i="30"/>
  <c r="W51" i="30"/>
  <c r="W59" i="30"/>
  <c r="W67" i="30"/>
  <c r="W75" i="30"/>
  <c r="W83" i="30"/>
  <c r="W91" i="30"/>
  <c r="W99" i="30"/>
  <c r="W107" i="30"/>
  <c r="W115" i="30"/>
  <c r="W123" i="30"/>
  <c r="W131" i="30"/>
  <c r="W28" i="30"/>
  <c r="W84" i="30"/>
  <c r="W116" i="30"/>
  <c r="W6" i="30"/>
  <c r="W14" i="30"/>
  <c r="W22" i="30"/>
  <c r="W30" i="30"/>
  <c r="W38" i="30"/>
  <c r="W46" i="30"/>
  <c r="W54" i="30"/>
  <c r="W62" i="30"/>
  <c r="W70" i="30"/>
  <c r="W78" i="30"/>
  <c r="W86" i="30"/>
  <c r="W94" i="30"/>
  <c r="W102" i="30"/>
  <c r="W110" i="30"/>
  <c r="W118" i="30"/>
  <c r="W126" i="30"/>
  <c r="W134" i="30"/>
  <c r="W12" i="30"/>
  <c r="W9" i="30"/>
  <c r="W17" i="30"/>
  <c r="W25" i="30"/>
  <c r="W33" i="30"/>
  <c r="W41" i="30"/>
  <c r="W49" i="30"/>
  <c r="W57" i="30"/>
  <c r="W65" i="30"/>
  <c r="W73" i="30"/>
  <c r="W81" i="30"/>
  <c r="W89" i="30"/>
  <c r="W97" i="30"/>
  <c r="W105" i="30"/>
  <c r="W113" i="30"/>
  <c r="W121" i="30"/>
  <c r="W129" i="30"/>
  <c r="W36" i="30"/>
  <c r="W52" i="30"/>
  <c r="W68" i="30"/>
  <c r="W100" i="30"/>
  <c r="W132" i="30"/>
  <c r="W7" i="26"/>
  <c r="W15" i="26"/>
  <c r="W23" i="26"/>
  <c r="W31" i="26"/>
  <c r="W39" i="26"/>
  <c r="W47" i="26"/>
  <c r="W55" i="26"/>
  <c r="W63" i="26"/>
  <c r="W71" i="26"/>
  <c r="W79" i="26"/>
  <c r="W87" i="26"/>
  <c r="W95" i="26"/>
  <c r="W103" i="26"/>
  <c r="W111" i="26"/>
  <c r="W119" i="26"/>
  <c r="W127" i="26"/>
  <c r="W135" i="26"/>
  <c r="W143" i="26"/>
  <c r="W44" i="26"/>
  <c r="W84" i="26"/>
  <c r="W116" i="26"/>
  <c r="W132" i="26"/>
  <c r="W10" i="26"/>
  <c r="W18" i="26"/>
  <c r="W26" i="26"/>
  <c r="W34" i="26"/>
  <c r="W42" i="26"/>
  <c r="W50" i="26"/>
  <c r="W58" i="26"/>
  <c r="W66" i="26"/>
  <c r="W74" i="26"/>
  <c r="W82" i="26"/>
  <c r="W90" i="26"/>
  <c r="W98" i="26"/>
  <c r="W106" i="26"/>
  <c r="W114" i="26"/>
  <c r="W122" i="26"/>
  <c r="W130" i="26"/>
  <c r="W138" i="26"/>
  <c r="W146" i="26"/>
  <c r="W20" i="26"/>
  <c r="W5" i="26"/>
  <c r="W13" i="26"/>
  <c r="W21" i="26"/>
  <c r="W29" i="26"/>
  <c r="W37" i="26"/>
  <c r="W45" i="26"/>
  <c r="W61" i="26"/>
  <c r="W69" i="26"/>
  <c r="W77" i="26"/>
  <c r="W85" i="26"/>
  <c r="W93" i="26"/>
  <c r="W101" i="26"/>
  <c r="W109" i="26"/>
  <c r="W117" i="26"/>
  <c r="W125" i="26"/>
  <c r="W133" i="26"/>
  <c r="W141" i="26"/>
  <c r="W149" i="26"/>
  <c r="W36" i="26"/>
  <c r="W76" i="26"/>
  <c r="W124" i="26"/>
  <c r="W140" i="26"/>
  <c r="W8" i="26"/>
  <c r="W16" i="26"/>
  <c r="W24" i="26"/>
  <c r="W32" i="26"/>
  <c r="W40" i="26"/>
  <c r="W48" i="26"/>
  <c r="W56" i="26"/>
  <c r="W64" i="26"/>
  <c r="W72" i="26"/>
  <c r="W80" i="26"/>
  <c r="W88" i="26"/>
  <c r="W96" i="26"/>
  <c r="W104" i="26"/>
  <c r="W112" i="26"/>
  <c r="W120" i="26"/>
  <c r="W128" i="26"/>
  <c r="W136" i="26"/>
  <c r="W144" i="26"/>
  <c r="W28" i="26"/>
  <c r="W68" i="26"/>
  <c r="W92" i="26"/>
  <c r="W11" i="26"/>
  <c r="W19" i="26"/>
  <c r="W27" i="26"/>
  <c r="W35" i="26"/>
  <c r="W43" i="26"/>
  <c r="W51" i="26"/>
  <c r="W59" i="26"/>
  <c r="W67" i="26"/>
  <c r="W75" i="26"/>
  <c r="W83" i="26"/>
  <c r="W91" i="26"/>
  <c r="W99" i="26"/>
  <c r="W107" i="26"/>
  <c r="W115" i="26"/>
  <c r="W123" i="26"/>
  <c r="W131" i="26"/>
  <c r="W139" i="26"/>
  <c r="W147" i="26"/>
  <c r="W12" i="26"/>
  <c r="W52" i="26"/>
  <c r="W60" i="26"/>
  <c r="W100" i="26"/>
  <c r="W148" i="26"/>
  <c r="W6" i="26"/>
  <c r="W14" i="26"/>
  <c r="W22" i="26"/>
  <c r="W30" i="26"/>
  <c r="W38" i="26"/>
  <c r="W46" i="26"/>
  <c r="W54" i="26"/>
  <c r="W62" i="26"/>
  <c r="W70" i="26"/>
  <c r="W78" i="26"/>
  <c r="W86" i="26"/>
  <c r="W94" i="26"/>
  <c r="W102" i="26"/>
  <c r="W110" i="26"/>
  <c r="W118" i="26"/>
  <c r="W126" i="26"/>
  <c r="W134" i="26"/>
  <c r="W142" i="26"/>
  <c r="W150" i="26"/>
  <c r="W9" i="26"/>
  <c r="W17" i="26"/>
  <c r="W25" i="26"/>
  <c r="W33" i="26"/>
  <c r="W41" i="26"/>
  <c r="W49" i="26"/>
  <c r="W57" i="26"/>
  <c r="W65" i="26"/>
  <c r="W73" i="26"/>
  <c r="W81" i="26"/>
  <c r="W89" i="26"/>
  <c r="W97" i="26"/>
  <c r="W105" i="26"/>
  <c r="W113" i="26"/>
  <c r="W121" i="26"/>
  <c r="W129" i="26"/>
  <c r="W137" i="26"/>
  <c r="W145" i="26"/>
  <c r="W108" i="26"/>
  <c r="W14" i="28"/>
  <c r="W30" i="28"/>
  <c r="W34" i="28"/>
  <c r="W44" i="28"/>
  <c r="W52" i="28"/>
  <c r="W58" i="28"/>
  <c r="W72" i="28"/>
  <c r="W82" i="28"/>
  <c r="W96" i="28"/>
  <c r="W108" i="28"/>
  <c r="W120" i="28"/>
  <c r="W130" i="28"/>
  <c r="W12" i="28"/>
  <c r="W36" i="28"/>
  <c r="W48" i="28"/>
  <c r="W62" i="28"/>
  <c r="W76" i="28"/>
  <c r="W86" i="28"/>
  <c r="W98" i="28"/>
  <c r="W112" i="28"/>
  <c r="W124" i="28"/>
  <c r="W10" i="28"/>
  <c r="W40" i="28"/>
  <c r="W54" i="28"/>
  <c r="W60" i="28"/>
  <c r="W68" i="28"/>
  <c r="W78" i="28"/>
  <c r="W84" i="28"/>
  <c r="W92" i="28"/>
  <c r="W104" i="28"/>
  <c r="W114" i="28"/>
  <c r="W122" i="28"/>
  <c r="W5" i="28"/>
  <c r="W7" i="28"/>
  <c r="W9" i="28"/>
  <c r="W11" i="28"/>
  <c r="W13" i="28"/>
  <c r="W15" i="28"/>
  <c r="W17" i="28"/>
  <c r="W19" i="28"/>
  <c r="W21" i="28"/>
  <c r="W23" i="28"/>
  <c r="W25" i="28"/>
  <c r="W27" i="28"/>
  <c r="W29" i="28"/>
  <c r="W31" i="28"/>
  <c r="W33" i="28"/>
  <c r="W35" i="28"/>
  <c r="W37" i="28"/>
  <c r="W39" i="28"/>
  <c r="W41" i="28"/>
  <c r="W43" i="28"/>
  <c r="W45" i="28"/>
  <c r="W47" i="28"/>
  <c r="W49" i="28"/>
  <c r="W51" i="28"/>
  <c r="W53" i="28"/>
  <c r="W55" i="28"/>
  <c r="W57" i="28"/>
  <c r="W59" i="28"/>
  <c r="W61" i="28"/>
  <c r="W63" i="28"/>
  <c r="W65" i="28"/>
  <c r="W67" i="28"/>
  <c r="W69" i="28"/>
  <c r="W71" i="28"/>
  <c r="W73" i="28"/>
  <c r="W75" i="28"/>
  <c r="W77" i="28"/>
  <c r="W79" i="28"/>
  <c r="W81" i="28"/>
  <c r="W83" i="28"/>
  <c r="W85" i="28"/>
  <c r="W87" i="28"/>
  <c r="W89" i="28"/>
  <c r="W91" i="28"/>
  <c r="W93" i="28"/>
  <c r="W95" i="28"/>
  <c r="W97" i="28"/>
  <c r="W99" i="28"/>
  <c r="W101" i="28"/>
  <c r="W103" i="28"/>
  <c r="W105" i="28"/>
  <c r="W107" i="28"/>
  <c r="W109" i="28"/>
  <c r="W111" i="28"/>
  <c r="W113" i="28"/>
  <c r="W115" i="28"/>
  <c r="W117" i="28"/>
  <c r="W119" i="28"/>
  <c r="W121" i="28"/>
  <c r="W123" i="28"/>
  <c r="W125" i="28"/>
  <c r="W127" i="28"/>
  <c r="W129" i="28"/>
  <c r="W131" i="28"/>
  <c r="W133" i="28"/>
  <c r="W16" i="28"/>
  <c r="W20" i="28"/>
  <c r="W22" i="28"/>
  <c r="W24" i="28"/>
  <c r="W26" i="28"/>
  <c r="W28" i="28"/>
  <c r="W32" i="28"/>
  <c r="W42" i="28"/>
  <c r="W46" i="28"/>
  <c r="W56" i="28"/>
  <c r="W70" i="28"/>
  <c r="W80" i="28"/>
  <c r="W94" i="28"/>
  <c r="W106" i="28"/>
  <c r="W118" i="28"/>
  <c r="W132" i="28"/>
  <c r="W18" i="28"/>
  <c r="W66" i="28"/>
  <c r="W90" i="28"/>
  <c r="W102" i="28"/>
  <c r="W116" i="28"/>
  <c r="W128" i="28"/>
  <c r="W8" i="28"/>
  <c r="W38" i="28"/>
  <c r="W50" i="28"/>
  <c r="W64" i="28"/>
  <c r="W74" i="28"/>
  <c r="W88" i="28"/>
  <c r="W100" i="28"/>
  <c r="W110" i="28"/>
  <c r="W126" i="28"/>
  <c r="W6" i="28"/>
  <c r="W4" i="28"/>
  <c r="K2" i="53" l="1"/>
  <c r="E2" i="53"/>
  <c r="K2" i="49"/>
  <c r="E2" i="49"/>
  <c r="N2" i="47"/>
  <c r="K2" i="47"/>
  <c r="E2" i="47"/>
  <c r="K2" i="46"/>
  <c r="E2" i="46"/>
  <c r="M2" i="46"/>
  <c r="N2" i="46" s="1"/>
  <c r="W2" i="53"/>
  <c r="W2" i="49"/>
  <c r="W2" i="47"/>
  <c r="W2" i="46"/>
  <c r="E134" i="41" l="1"/>
  <c r="B134" i="41"/>
  <c r="E133" i="41"/>
  <c r="B133" i="41"/>
  <c r="E132" i="41"/>
  <c r="B132" i="41"/>
  <c r="E131" i="41"/>
  <c r="B131" i="41"/>
  <c r="E130" i="41"/>
  <c r="B130" i="41"/>
  <c r="E129" i="41"/>
  <c r="B129" i="41"/>
  <c r="E128" i="41"/>
  <c r="B128" i="41"/>
  <c r="E127" i="41"/>
  <c r="B127" i="41"/>
  <c r="E126" i="41"/>
  <c r="B126" i="41"/>
  <c r="E125" i="41"/>
  <c r="B125" i="41"/>
  <c r="E124" i="41"/>
  <c r="B124" i="41"/>
  <c r="E123" i="41"/>
  <c r="B123" i="41"/>
  <c r="E122" i="41"/>
  <c r="B122" i="41"/>
  <c r="E121" i="41"/>
  <c r="B121" i="41"/>
  <c r="E120" i="41"/>
  <c r="B120" i="41"/>
  <c r="E119" i="41"/>
  <c r="B119" i="41"/>
  <c r="E118" i="41"/>
  <c r="B118" i="41"/>
  <c r="E117" i="41"/>
  <c r="B117" i="41"/>
  <c r="E116" i="41"/>
  <c r="B116" i="41"/>
  <c r="E115" i="41"/>
  <c r="B115" i="41"/>
  <c r="E114" i="41"/>
  <c r="B114" i="41"/>
  <c r="E113" i="41"/>
  <c r="B113" i="41"/>
  <c r="E112" i="41"/>
  <c r="B112" i="41"/>
  <c r="E111" i="41"/>
  <c r="B111" i="41"/>
  <c r="E110" i="41"/>
  <c r="B110" i="41"/>
  <c r="E109" i="41"/>
  <c r="B109" i="41"/>
  <c r="E108" i="41"/>
  <c r="B108" i="41"/>
  <c r="E107" i="41"/>
  <c r="B107" i="41"/>
  <c r="E106" i="41"/>
  <c r="B106" i="41"/>
  <c r="E105" i="41"/>
  <c r="B105" i="41"/>
  <c r="E104" i="41"/>
  <c r="B104" i="41"/>
  <c r="E103" i="41"/>
  <c r="B103" i="41"/>
  <c r="E102" i="41"/>
  <c r="B102" i="41"/>
  <c r="E101" i="41"/>
  <c r="B101" i="41"/>
  <c r="E100" i="41"/>
  <c r="B100" i="41"/>
  <c r="E99" i="41"/>
  <c r="B99" i="41"/>
  <c r="E98" i="41"/>
  <c r="B98" i="41"/>
  <c r="E97" i="41"/>
  <c r="B97" i="41"/>
  <c r="E96" i="41"/>
  <c r="B96" i="41"/>
  <c r="E95" i="41"/>
  <c r="B95" i="41"/>
  <c r="E94" i="41"/>
  <c r="B94" i="41"/>
  <c r="E93" i="41"/>
  <c r="B93" i="41"/>
  <c r="E92" i="41"/>
  <c r="B92" i="41"/>
  <c r="E91" i="41"/>
  <c r="B91" i="41"/>
  <c r="E90" i="41"/>
  <c r="B90" i="41"/>
  <c r="E89" i="41"/>
  <c r="B89" i="41"/>
  <c r="E88" i="41"/>
  <c r="B88" i="41"/>
  <c r="E87" i="41"/>
  <c r="B87" i="41"/>
  <c r="E86" i="41"/>
  <c r="B86" i="41"/>
  <c r="E85" i="41"/>
  <c r="B85" i="41"/>
  <c r="E84" i="41"/>
  <c r="B84" i="41"/>
  <c r="E83" i="41"/>
  <c r="B83" i="41"/>
  <c r="E82" i="41"/>
  <c r="B82" i="41"/>
  <c r="E81" i="41"/>
  <c r="B81" i="41"/>
  <c r="E80" i="41"/>
  <c r="B80" i="41"/>
  <c r="E79" i="41"/>
  <c r="B79" i="41"/>
  <c r="E78" i="41"/>
  <c r="B78" i="41"/>
  <c r="E77" i="41"/>
  <c r="B77" i="41"/>
  <c r="E76" i="41"/>
  <c r="B76" i="41"/>
  <c r="E75" i="41"/>
  <c r="B75" i="41"/>
  <c r="E74" i="41"/>
  <c r="B74" i="41"/>
  <c r="E73" i="41"/>
  <c r="B73" i="41"/>
  <c r="E72" i="41"/>
  <c r="B72" i="41"/>
  <c r="E71" i="41"/>
  <c r="B71" i="41"/>
  <c r="E70" i="41"/>
  <c r="B70" i="41"/>
  <c r="E69" i="41"/>
  <c r="B69" i="41"/>
  <c r="E68" i="41"/>
  <c r="B68" i="41"/>
  <c r="E67" i="41"/>
  <c r="B67" i="41"/>
  <c r="E66" i="41"/>
  <c r="B66" i="41"/>
  <c r="E65" i="41"/>
  <c r="B65" i="41"/>
  <c r="E64" i="41"/>
  <c r="B64" i="41"/>
  <c r="E63" i="41"/>
  <c r="B63" i="41"/>
  <c r="E62" i="41"/>
  <c r="B62" i="41"/>
  <c r="E61" i="41"/>
  <c r="B61" i="41"/>
  <c r="E60" i="41"/>
  <c r="B60" i="41"/>
  <c r="E59" i="41"/>
  <c r="B59" i="41"/>
  <c r="E58" i="41"/>
  <c r="B58" i="41"/>
  <c r="E57" i="41"/>
  <c r="B57" i="41"/>
  <c r="E56" i="41"/>
  <c r="B56" i="41"/>
  <c r="E55" i="41"/>
  <c r="B55" i="41"/>
  <c r="E54" i="41"/>
  <c r="B54" i="41"/>
  <c r="E53" i="41"/>
  <c r="B53" i="41"/>
  <c r="E52" i="41"/>
  <c r="B52" i="41"/>
  <c r="E51" i="41"/>
  <c r="B51" i="41"/>
  <c r="E50" i="41"/>
  <c r="B50" i="41"/>
  <c r="E49" i="41"/>
  <c r="B49" i="41"/>
  <c r="E48" i="41"/>
  <c r="B48" i="41"/>
  <c r="E47" i="41"/>
  <c r="B47" i="41"/>
  <c r="E46" i="41"/>
  <c r="B46" i="41"/>
  <c r="E45" i="41"/>
  <c r="B45" i="41"/>
  <c r="E44" i="41"/>
  <c r="B44" i="41"/>
  <c r="E43" i="41"/>
  <c r="B43" i="41"/>
  <c r="E42" i="41"/>
  <c r="B42" i="41"/>
  <c r="E41" i="41"/>
  <c r="B41" i="41"/>
  <c r="E40" i="41"/>
  <c r="B40" i="41"/>
  <c r="E39" i="41"/>
  <c r="B39" i="41"/>
  <c r="E38" i="41"/>
  <c r="B38" i="41"/>
  <c r="E37" i="41"/>
  <c r="B37" i="41"/>
  <c r="E36" i="41"/>
  <c r="B36" i="41"/>
  <c r="E35" i="41"/>
  <c r="B35" i="41"/>
  <c r="E34" i="41"/>
  <c r="B34" i="41"/>
  <c r="E33" i="41"/>
  <c r="B33" i="41"/>
  <c r="E32" i="41"/>
  <c r="B32" i="41"/>
  <c r="E31" i="41"/>
  <c r="B31" i="41"/>
  <c r="E30" i="41"/>
  <c r="B30" i="41"/>
  <c r="E29" i="41"/>
  <c r="B29" i="41"/>
  <c r="E28" i="41"/>
  <c r="B28" i="41"/>
  <c r="E27" i="41"/>
  <c r="B27" i="41"/>
  <c r="E26" i="41"/>
  <c r="B26" i="41"/>
  <c r="E25" i="41"/>
  <c r="B25" i="41"/>
  <c r="E24" i="41"/>
  <c r="B24" i="41"/>
  <c r="E23" i="41"/>
  <c r="B23" i="41"/>
  <c r="E22" i="41"/>
  <c r="B22" i="41"/>
  <c r="E21" i="41"/>
  <c r="B21" i="41"/>
  <c r="E20" i="41"/>
  <c r="B20" i="41"/>
  <c r="E19" i="41"/>
  <c r="B19" i="41"/>
  <c r="E18" i="41"/>
  <c r="B18" i="41"/>
  <c r="E17" i="41"/>
  <c r="B17" i="41"/>
  <c r="E16" i="41"/>
  <c r="B16" i="41"/>
  <c r="E15" i="41"/>
  <c r="B15" i="41"/>
  <c r="E14" i="41"/>
  <c r="B14" i="41"/>
  <c r="E13" i="41"/>
  <c r="B13" i="41"/>
  <c r="E12" i="41"/>
  <c r="B12" i="41"/>
  <c r="E11" i="41"/>
  <c r="B11" i="41"/>
  <c r="E10" i="41"/>
  <c r="B10" i="41"/>
  <c r="E9" i="41"/>
  <c r="B9" i="41"/>
  <c r="E8" i="41"/>
  <c r="B8" i="41"/>
  <c r="E7" i="41"/>
  <c r="B7" i="41"/>
  <c r="E6" i="41"/>
  <c r="B6" i="41"/>
  <c r="E5" i="41"/>
  <c r="B5" i="41"/>
  <c r="N4" i="41"/>
  <c r="M4" i="41"/>
  <c r="K4" i="41"/>
  <c r="E4" i="41"/>
  <c r="B4" i="41"/>
  <c r="V2" i="41"/>
  <c r="U2" i="41"/>
  <c r="T2" i="41"/>
  <c r="S2" i="41"/>
  <c r="R2" i="41"/>
  <c r="Q2" i="41"/>
  <c r="P2" i="41"/>
  <c r="O2" i="41"/>
  <c r="L2" i="41"/>
  <c r="J2" i="41"/>
  <c r="I2" i="41"/>
  <c r="H2" i="41"/>
  <c r="G2" i="41"/>
  <c r="F2" i="41"/>
  <c r="M134" i="38"/>
  <c r="N134" i="38" s="1"/>
  <c r="K134" i="38"/>
  <c r="E134" i="38"/>
  <c r="B134" i="38"/>
  <c r="M133" i="38"/>
  <c r="N133" i="38" s="1"/>
  <c r="K133" i="38"/>
  <c r="E133" i="38"/>
  <c r="B133" i="38"/>
  <c r="N132" i="38"/>
  <c r="M132" i="38"/>
  <c r="K132" i="38"/>
  <c r="E132" i="38"/>
  <c r="B132" i="38"/>
  <c r="M131" i="38"/>
  <c r="N131" i="38" s="1"/>
  <c r="K131" i="38"/>
  <c r="E131" i="38"/>
  <c r="B131" i="38"/>
  <c r="M130" i="38"/>
  <c r="N130" i="38" s="1"/>
  <c r="K130" i="38"/>
  <c r="E130" i="38"/>
  <c r="B130" i="38"/>
  <c r="M129" i="38"/>
  <c r="N129" i="38" s="1"/>
  <c r="K129" i="38"/>
  <c r="E129" i="38"/>
  <c r="B129" i="38"/>
  <c r="M128" i="38"/>
  <c r="N128" i="38" s="1"/>
  <c r="K128" i="38"/>
  <c r="E128" i="38"/>
  <c r="B128" i="38"/>
  <c r="M127" i="38"/>
  <c r="N127" i="38" s="1"/>
  <c r="K127" i="38"/>
  <c r="E127" i="38"/>
  <c r="B127" i="38"/>
  <c r="M126" i="38"/>
  <c r="N126" i="38" s="1"/>
  <c r="K126" i="38"/>
  <c r="E126" i="38"/>
  <c r="B126" i="38"/>
  <c r="M125" i="38"/>
  <c r="N125" i="38" s="1"/>
  <c r="K125" i="38"/>
  <c r="E125" i="38"/>
  <c r="B125" i="38"/>
  <c r="M124" i="38"/>
  <c r="N124" i="38" s="1"/>
  <c r="K124" i="38"/>
  <c r="E124" i="38"/>
  <c r="B124" i="38"/>
  <c r="N123" i="38"/>
  <c r="M123" i="38"/>
  <c r="K123" i="38"/>
  <c r="E123" i="38"/>
  <c r="B123" i="38"/>
  <c r="M122" i="38"/>
  <c r="N122" i="38" s="1"/>
  <c r="K122" i="38"/>
  <c r="E122" i="38"/>
  <c r="B122" i="38"/>
  <c r="M121" i="38"/>
  <c r="N121" i="38" s="1"/>
  <c r="K121" i="38"/>
  <c r="E121" i="38"/>
  <c r="B121" i="38"/>
  <c r="M120" i="38"/>
  <c r="N120" i="38" s="1"/>
  <c r="K120" i="38"/>
  <c r="E120" i="38"/>
  <c r="B120" i="38"/>
  <c r="M119" i="38"/>
  <c r="N119" i="38" s="1"/>
  <c r="K119" i="38"/>
  <c r="E119" i="38"/>
  <c r="B119" i="38"/>
  <c r="M118" i="38"/>
  <c r="N118" i="38" s="1"/>
  <c r="K118" i="38"/>
  <c r="E118" i="38"/>
  <c r="B118" i="38"/>
  <c r="M117" i="38"/>
  <c r="N117" i="38" s="1"/>
  <c r="K117" i="38"/>
  <c r="E117" i="38"/>
  <c r="B117" i="38"/>
  <c r="M116" i="38"/>
  <c r="N116" i="38" s="1"/>
  <c r="K116" i="38"/>
  <c r="E116" i="38"/>
  <c r="B116" i="38"/>
  <c r="M115" i="38"/>
  <c r="N115" i="38" s="1"/>
  <c r="K115" i="38"/>
  <c r="E115" i="38"/>
  <c r="B115" i="38"/>
  <c r="M114" i="38"/>
  <c r="N114" i="38" s="1"/>
  <c r="K114" i="38"/>
  <c r="E114" i="38"/>
  <c r="B114" i="38"/>
  <c r="N113" i="38"/>
  <c r="M113" i="38"/>
  <c r="K113" i="38"/>
  <c r="E113" i="38"/>
  <c r="B113" i="38"/>
  <c r="N112" i="38"/>
  <c r="M112" i="38"/>
  <c r="K112" i="38"/>
  <c r="E112" i="38"/>
  <c r="B112" i="38"/>
  <c r="M111" i="38"/>
  <c r="N111" i="38" s="1"/>
  <c r="K111" i="38"/>
  <c r="E111" i="38"/>
  <c r="B111" i="38"/>
  <c r="M110" i="38"/>
  <c r="N110" i="38" s="1"/>
  <c r="K110" i="38"/>
  <c r="E110" i="38"/>
  <c r="B110" i="38"/>
  <c r="M109" i="38"/>
  <c r="N109" i="38" s="1"/>
  <c r="K109" i="38"/>
  <c r="E109" i="38"/>
  <c r="B109" i="38"/>
  <c r="M108" i="38"/>
  <c r="N108" i="38" s="1"/>
  <c r="K108" i="38"/>
  <c r="E108" i="38"/>
  <c r="B108" i="38"/>
  <c r="N107" i="38"/>
  <c r="M107" i="38"/>
  <c r="K107" i="38"/>
  <c r="E107" i="38"/>
  <c r="B107" i="38"/>
  <c r="M106" i="38"/>
  <c r="N106" i="38" s="1"/>
  <c r="K106" i="38"/>
  <c r="E106" i="38"/>
  <c r="B106" i="38"/>
  <c r="M105" i="38"/>
  <c r="N105" i="38" s="1"/>
  <c r="K105" i="38"/>
  <c r="E105" i="38"/>
  <c r="B105" i="38"/>
  <c r="M104" i="38"/>
  <c r="N104" i="38" s="1"/>
  <c r="K104" i="38"/>
  <c r="E104" i="38"/>
  <c r="B104" i="38"/>
  <c r="M103" i="38"/>
  <c r="N103" i="38" s="1"/>
  <c r="K103" i="38"/>
  <c r="E103" i="38"/>
  <c r="B103" i="38"/>
  <c r="M102" i="38"/>
  <c r="N102" i="38" s="1"/>
  <c r="K102" i="38"/>
  <c r="E102" i="38"/>
  <c r="B102" i="38"/>
  <c r="M101" i="38"/>
  <c r="N101" i="38" s="1"/>
  <c r="K101" i="38"/>
  <c r="E101" i="38"/>
  <c r="B101" i="38"/>
  <c r="N100" i="38"/>
  <c r="M100" i="38"/>
  <c r="K100" i="38"/>
  <c r="E100" i="38"/>
  <c r="B100" i="38"/>
  <c r="M99" i="38"/>
  <c r="N99" i="38" s="1"/>
  <c r="K99" i="38"/>
  <c r="E99" i="38"/>
  <c r="B99" i="38"/>
  <c r="M98" i="38"/>
  <c r="N98" i="38" s="1"/>
  <c r="K98" i="38"/>
  <c r="E98" i="38"/>
  <c r="B98" i="38"/>
  <c r="M97" i="38"/>
  <c r="N97" i="38" s="1"/>
  <c r="K97" i="38"/>
  <c r="E97" i="38"/>
  <c r="B97" i="38"/>
  <c r="M96" i="38"/>
  <c r="N96" i="38" s="1"/>
  <c r="K96" i="38"/>
  <c r="E96" i="38"/>
  <c r="B96" i="38"/>
  <c r="N95" i="38"/>
  <c r="M95" i="38"/>
  <c r="K95" i="38"/>
  <c r="E95" i="38"/>
  <c r="B95" i="38"/>
  <c r="M94" i="38"/>
  <c r="N94" i="38" s="1"/>
  <c r="K94" i="38"/>
  <c r="E94" i="38"/>
  <c r="B94" i="38"/>
  <c r="M93" i="38"/>
  <c r="N93" i="38" s="1"/>
  <c r="K93" i="38"/>
  <c r="E93" i="38"/>
  <c r="B93" i="38"/>
  <c r="M92" i="38"/>
  <c r="N92" i="38" s="1"/>
  <c r="K92" i="38"/>
  <c r="E92" i="38"/>
  <c r="B92" i="38"/>
  <c r="M91" i="38"/>
  <c r="N91" i="38" s="1"/>
  <c r="K91" i="38"/>
  <c r="E91" i="38"/>
  <c r="B91" i="38"/>
  <c r="M90" i="38"/>
  <c r="N90" i="38" s="1"/>
  <c r="K90" i="38"/>
  <c r="E90" i="38"/>
  <c r="B90" i="38"/>
  <c r="N89" i="38"/>
  <c r="M89" i="38"/>
  <c r="K89" i="38"/>
  <c r="E89" i="38"/>
  <c r="B89" i="38"/>
  <c r="M88" i="38"/>
  <c r="N88" i="38" s="1"/>
  <c r="K88" i="38"/>
  <c r="E88" i="38"/>
  <c r="B88" i="38"/>
  <c r="M87" i="38"/>
  <c r="N87" i="38" s="1"/>
  <c r="K87" i="38"/>
  <c r="E87" i="38"/>
  <c r="B87" i="38"/>
  <c r="M86" i="38"/>
  <c r="N86" i="38" s="1"/>
  <c r="K86" i="38"/>
  <c r="E86" i="38"/>
  <c r="B86" i="38"/>
  <c r="M85" i="38"/>
  <c r="N85" i="38" s="1"/>
  <c r="K85" i="38"/>
  <c r="E85" i="38"/>
  <c r="B85" i="38"/>
  <c r="M84" i="38"/>
  <c r="N84" i="38" s="1"/>
  <c r="K84" i="38"/>
  <c r="E84" i="38"/>
  <c r="B84" i="38"/>
  <c r="M83" i="38"/>
  <c r="N83" i="38" s="1"/>
  <c r="K83" i="38"/>
  <c r="E83" i="38"/>
  <c r="B83" i="38"/>
  <c r="M82" i="38"/>
  <c r="N82" i="38" s="1"/>
  <c r="K82" i="38"/>
  <c r="E82" i="38"/>
  <c r="B82" i="38"/>
  <c r="N81" i="38"/>
  <c r="M81" i="38"/>
  <c r="K81" i="38"/>
  <c r="E81" i="38"/>
  <c r="B81" i="38"/>
  <c r="M80" i="38"/>
  <c r="N80" i="38" s="1"/>
  <c r="K80" i="38"/>
  <c r="E80" i="38"/>
  <c r="B80" i="38"/>
  <c r="M79" i="38"/>
  <c r="N79" i="38" s="1"/>
  <c r="K79" i="38"/>
  <c r="E79" i="38"/>
  <c r="B79" i="38"/>
  <c r="M78" i="38"/>
  <c r="N78" i="38" s="1"/>
  <c r="K78" i="38"/>
  <c r="E78" i="38"/>
  <c r="B78" i="38"/>
  <c r="M77" i="38"/>
  <c r="N77" i="38" s="1"/>
  <c r="K77" i="38"/>
  <c r="E77" i="38"/>
  <c r="B77" i="38"/>
  <c r="N76" i="38"/>
  <c r="M76" i="38"/>
  <c r="K76" i="38"/>
  <c r="E76" i="38"/>
  <c r="B76" i="38"/>
  <c r="N75" i="38"/>
  <c r="M75" i="38"/>
  <c r="K75" i="38"/>
  <c r="E75" i="38"/>
  <c r="B75" i="38"/>
  <c r="M74" i="38"/>
  <c r="N74" i="38" s="1"/>
  <c r="K74" i="38"/>
  <c r="E74" i="38"/>
  <c r="B74" i="38"/>
  <c r="M73" i="38"/>
  <c r="N73" i="38" s="1"/>
  <c r="K73" i="38"/>
  <c r="E73" i="38"/>
  <c r="B73" i="38"/>
  <c r="M72" i="38"/>
  <c r="N72" i="38" s="1"/>
  <c r="K72" i="38"/>
  <c r="E72" i="38"/>
  <c r="B72" i="38"/>
  <c r="M71" i="38"/>
  <c r="N71" i="38" s="1"/>
  <c r="K71" i="38"/>
  <c r="E71" i="38"/>
  <c r="B71" i="38"/>
  <c r="M70" i="38"/>
  <c r="N70" i="38" s="1"/>
  <c r="K70" i="38"/>
  <c r="E70" i="38"/>
  <c r="B70" i="38"/>
  <c r="M69" i="38"/>
  <c r="N69" i="38" s="1"/>
  <c r="K69" i="38"/>
  <c r="E69" i="38"/>
  <c r="B69" i="38"/>
  <c r="M68" i="38"/>
  <c r="N68" i="38" s="1"/>
  <c r="K68" i="38"/>
  <c r="E68" i="38"/>
  <c r="B68" i="38"/>
  <c r="M67" i="38"/>
  <c r="N67" i="38" s="1"/>
  <c r="K67" i="38"/>
  <c r="E67" i="38"/>
  <c r="B67" i="38"/>
  <c r="M66" i="38"/>
  <c r="N66" i="38" s="1"/>
  <c r="K66" i="38"/>
  <c r="E66" i="38"/>
  <c r="B66" i="38"/>
  <c r="M65" i="38"/>
  <c r="N65" i="38" s="1"/>
  <c r="K65" i="38"/>
  <c r="E65" i="38"/>
  <c r="B65" i="38"/>
  <c r="M64" i="38"/>
  <c r="N64" i="38" s="1"/>
  <c r="K64" i="38"/>
  <c r="E64" i="38"/>
  <c r="B64" i="38"/>
  <c r="N63" i="38"/>
  <c r="M63" i="38"/>
  <c r="K63" i="38"/>
  <c r="E63" i="38"/>
  <c r="B63" i="38"/>
  <c r="M62" i="38"/>
  <c r="N62" i="38" s="1"/>
  <c r="K62" i="38"/>
  <c r="E62" i="38"/>
  <c r="B62" i="38"/>
  <c r="M61" i="38"/>
  <c r="N61" i="38" s="1"/>
  <c r="K61" i="38"/>
  <c r="E61" i="38"/>
  <c r="B61" i="38"/>
  <c r="M60" i="38"/>
  <c r="N60" i="38" s="1"/>
  <c r="K60" i="38"/>
  <c r="E60" i="38"/>
  <c r="B60" i="38"/>
  <c r="M59" i="38"/>
  <c r="N59" i="38" s="1"/>
  <c r="K59" i="38"/>
  <c r="E59" i="38"/>
  <c r="B59" i="38"/>
  <c r="M58" i="38"/>
  <c r="N58" i="38" s="1"/>
  <c r="K58" i="38"/>
  <c r="E58" i="38"/>
  <c r="B58" i="38"/>
  <c r="M57" i="38"/>
  <c r="N57" i="38" s="1"/>
  <c r="K57" i="38"/>
  <c r="E57" i="38"/>
  <c r="B57" i="38"/>
  <c r="M56" i="38"/>
  <c r="N56" i="38" s="1"/>
  <c r="K56" i="38"/>
  <c r="E56" i="38"/>
  <c r="B56" i="38"/>
  <c r="M55" i="38"/>
  <c r="N55" i="38" s="1"/>
  <c r="K55" i="38"/>
  <c r="E55" i="38"/>
  <c r="B55" i="38"/>
  <c r="M54" i="38"/>
  <c r="N54" i="38" s="1"/>
  <c r="K54" i="38"/>
  <c r="E54" i="38"/>
  <c r="B54" i="38"/>
  <c r="M53" i="38"/>
  <c r="N53" i="38" s="1"/>
  <c r="K53" i="38"/>
  <c r="E53" i="38"/>
  <c r="B53" i="38"/>
  <c r="N52" i="38"/>
  <c r="M52" i="38"/>
  <c r="K52" i="38"/>
  <c r="E52" i="38"/>
  <c r="B52" i="38"/>
  <c r="M51" i="38"/>
  <c r="N51" i="38" s="1"/>
  <c r="K51" i="38"/>
  <c r="E51" i="38"/>
  <c r="B51" i="38"/>
  <c r="M50" i="38"/>
  <c r="N50" i="38" s="1"/>
  <c r="K50" i="38"/>
  <c r="E50" i="38"/>
  <c r="B50" i="38"/>
  <c r="N49" i="38"/>
  <c r="M49" i="38"/>
  <c r="K49" i="38"/>
  <c r="E49" i="38"/>
  <c r="B49" i="38"/>
  <c r="M48" i="38"/>
  <c r="N48" i="38" s="1"/>
  <c r="K48" i="38"/>
  <c r="E48" i="38"/>
  <c r="B48" i="38"/>
  <c r="M47" i="38"/>
  <c r="N47" i="38" s="1"/>
  <c r="K47" i="38"/>
  <c r="E47" i="38"/>
  <c r="B47" i="38"/>
  <c r="M46" i="38"/>
  <c r="N46" i="38" s="1"/>
  <c r="K46" i="38"/>
  <c r="E46" i="38"/>
  <c r="B46" i="38"/>
  <c r="M45" i="38"/>
  <c r="N45" i="38" s="1"/>
  <c r="K45" i="38"/>
  <c r="E45" i="38"/>
  <c r="B45" i="38"/>
  <c r="M44" i="38"/>
  <c r="N44" i="38" s="1"/>
  <c r="K44" i="38"/>
  <c r="E44" i="38"/>
  <c r="B44" i="38"/>
  <c r="N43" i="38"/>
  <c r="M43" i="38"/>
  <c r="K43" i="38"/>
  <c r="E43" i="38"/>
  <c r="B43" i="38"/>
  <c r="M42" i="38"/>
  <c r="N42" i="38" s="1"/>
  <c r="K42" i="38"/>
  <c r="E42" i="38"/>
  <c r="B42" i="38"/>
  <c r="M41" i="38"/>
  <c r="N41" i="38" s="1"/>
  <c r="K41" i="38"/>
  <c r="E41" i="38"/>
  <c r="B41" i="38"/>
  <c r="M40" i="38"/>
  <c r="N40" i="38" s="1"/>
  <c r="K40" i="38"/>
  <c r="E40" i="38"/>
  <c r="B40" i="38"/>
  <c r="M39" i="38"/>
  <c r="N39" i="38" s="1"/>
  <c r="K39" i="38"/>
  <c r="E39" i="38"/>
  <c r="B39" i="38"/>
  <c r="M38" i="38"/>
  <c r="N38" i="38" s="1"/>
  <c r="K38" i="38"/>
  <c r="E38" i="38"/>
  <c r="B38" i="38"/>
  <c r="M37" i="38"/>
  <c r="N37" i="38" s="1"/>
  <c r="K37" i="38"/>
  <c r="E37" i="38"/>
  <c r="B37" i="38"/>
  <c r="N36" i="38"/>
  <c r="M36" i="38"/>
  <c r="K36" i="38"/>
  <c r="E36" i="38"/>
  <c r="B36" i="38"/>
  <c r="M35" i="38"/>
  <c r="N35" i="38" s="1"/>
  <c r="K35" i="38"/>
  <c r="E35" i="38"/>
  <c r="B35" i="38"/>
  <c r="M34" i="38"/>
  <c r="N34" i="38" s="1"/>
  <c r="K34" i="38"/>
  <c r="E34" i="38"/>
  <c r="B34" i="38"/>
  <c r="M33" i="38"/>
  <c r="E33" i="38"/>
  <c r="B33" i="38"/>
  <c r="M32" i="38"/>
  <c r="E32" i="38"/>
  <c r="B32" i="38"/>
  <c r="M31" i="38"/>
  <c r="N31" i="38" s="1"/>
  <c r="E31" i="38"/>
  <c r="B31" i="38"/>
  <c r="M30" i="38"/>
  <c r="E30" i="38"/>
  <c r="B30" i="38"/>
  <c r="M29" i="38"/>
  <c r="N29" i="38" s="1"/>
  <c r="E29" i="38"/>
  <c r="B29" i="38"/>
  <c r="M28" i="38"/>
  <c r="E28" i="38"/>
  <c r="B28" i="38"/>
  <c r="M27" i="38"/>
  <c r="N27" i="38" s="1"/>
  <c r="E27" i="38"/>
  <c r="B27" i="38"/>
  <c r="M26" i="38"/>
  <c r="E26" i="38"/>
  <c r="B26" i="38"/>
  <c r="M25" i="38"/>
  <c r="N25" i="38" s="1"/>
  <c r="E25" i="38"/>
  <c r="B25" i="38"/>
  <c r="M24" i="38"/>
  <c r="E24" i="38"/>
  <c r="B24" i="38"/>
  <c r="M23" i="38"/>
  <c r="N23" i="38" s="1"/>
  <c r="E23" i="38"/>
  <c r="B23" i="38"/>
  <c r="M22" i="38"/>
  <c r="E22" i="38"/>
  <c r="B22" i="38"/>
  <c r="M21" i="38"/>
  <c r="N21" i="38" s="1"/>
  <c r="E21" i="38"/>
  <c r="B21" i="38"/>
  <c r="M20" i="38"/>
  <c r="N20" i="38" s="1"/>
  <c r="E20" i="38"/>
  <c r="B20" i="38"/>
  <c r="M19" i="38"/>
  <c r="N19" i="38" s="1"/>
  <c r="E19" i="38"/>
  <c r="B19" i="38"/>
  <c r="M18" i="38"/>
  <c r="E18" i="38"/>
  <c r="B18" i="38"/>
  <c r="M17" i="38"/>
  <c r="N17" i="38" s="1"/>
  <c r="K17" i="38"/>
  <c r="E17" i="38"/>
  <c r="B17" i="38"/>
  <c r="M16" i="38"/>
  <c r="N16" i="38" s="1"/>
  <c r="K16" i="38"/>
  <c r="E16" i="38"/>
  <c r="B16" i="38"/>
  <c r="M15" i="38"/>
  <c r="N15" i="38" s="1"/>
  <c r="K15" i="38"/>
  <c r="E15" i="38"/>
  <c r="B15" i="38"/>
  <c r="M14" i="38"/>
  <c r="N14" i="38" s="1"/>
  <c r="K14" i="38"/>
  <c r="E14" i="38"/>
  <c r="B14" i="38"/>
  <c r="M13" i="38"/>
  <c r="N13" i="38" s="1"/>
  <c r="K13" i="38"/>
  <c r="E13" i="38"/>
  <c r="B13" i="38"/>
  <c r="N12" i="38"/>
  <c r="M12" i="38"/>
  <c r="K12" i="38"/>
  <c r="E12" i="38"/>
  <c r="B12" i="38"/>
  <c r="N11" i="38"/>
  <c r="M11" i="38"/>
  <c r="K11" i="38"/>
  <c r="E11" i="38"/>
  <c r="B11" i="38"/>
  <c r="M10" i="38"/>
  <c r="N10" i="38" s="1"/>
  <c r="K10" i="38"/>
  <c r="E10" i="38"/>
  <c r="B10" i="38"/>
  <c r="M9" i="38"/>
  <c r="N9" i="38" s="1"/>
  <c r="K9" i="38"/>
  <c r="E9" i="38"/>
  <c r="B9" i="38"/>
  <c r="M8" i="38"/>
  <c r="N8" i="38" s="1"/>
  <c r="K8" i="38"/>
  <c r="E8" i="38"/>
  <c r="B8" i="38"/>
  <c r="N7" i="38"/>
  <c r="M7" i="38"/>
  <c r="K7" i="38"/>
  <c r="E7" i="38"/>
  <c r="B7" i="38"/>
  <c r="M6" i="38"/>
  <c r="N6" i="38" s="1"/>
  <c r="K6" i="38"/>
  <c r="E6" i="38"/>
  <c r="B6" i="38"/>
  <c r="M5" i="38"/>
  <c r="K5" i="38"/>
  <c r="E5" i="38"/>
  <c r="B5" i="38"/>
  <c r="M4" i="38"/>
  <c r="N4" i="38" s="1"/>
  <c r="K4" i="38"/>
  <c r="E4" i="38"/>
  <c r="B4" i="38"/>
  <c r="V2" i="38"/>
  <c r="U2" i="38"/>
  <c r="T2" i="38"/>
  <c r="S2" i="38"/>
  <c r="R2" i="38"/>
  <c r="Q2" i="38"/>
  <c r="P2" i="38"/>
  <c r="O2" i="38"/>
  <c r="L2" i="38"/>
  <c r="J2" i="38"/>
  <c r="I2" i="38"/>
  <c r="H2" i="38"/>
  <c r="G2" i="38"/>
  <c r="F2" i="38"/>
  <c r="M134" i="37"/>
  <c r="N134" i="37" s="1"/>
  <c r="K134" i="37"/>
  <c r="E134" i="37"/>
  <c r="B134" i="37"/>
  <c r="M133" i="37"/>
  <c r="N133" i="37" s="1"/>
  <c r="K133" i="37"/>
  <c r="E133" i="37"/>
  <c r="B133" i="37"/>
  <c r="M132" i="37"/>
  <c r="N132" i="37" s="1"/>
  <c r="K132" i="37"/>
  <c r="E132" i="37"/>
  <c r="B132" i="37"/>
  <c r="M131" i="37"/>
  <c r="N131" i="37" s="1"/>
  <c r="K131" i="37"/>
  <c r="E131" i="37"/>
  <c r="B131" i="37"/>
  <c r="M130" i="37"/>
  <c r="N130" i="37" s="1"/>
  <c r="K130" i="37"/>
  <c r="E130" i="37"/>
  <c r="B130" i="37"/>
  <c r="M129" i="37"/>
  <c r="N129" i="37" s="1"/>
  <c r="K129" i="37"/>
  <c r="E129" i="37"/>
  <c r="B129" i="37"/>
  <c r="M128" i="37"/>
  <c r="N128" i="37" s="1"/>
  <c r="K128" i="37"/>
  <c r="E128" i="37"/>
  <c r="B128" i="37"/>
  <c r="M127" i="37"/>
  <c r="N127" i="37" s="1"/>
  <c r="K127" i="37"/>
  <c r="E127" i="37"/>
  <c r="B127" i="37"/>
  <c r="M126" i="37"/>
  <c r="N126" i="37" s="1"/>
  <c r="K126" i="37"/>
  <c r="E126" i="37"/>
  <c r="B126" i="37"/>
  <c r="M125" i="37"/>
  <c r="N125" i="37" s="1"/>
  <c r="K125" i="37"/>
  <c r="E125" i="37"/>
  <c r="B125" i="37"/>
  <c r="N124" i="37"/>
  <c r="M124" i="37"/>
  <c r="K124" i="37"/>
  <c r="E124" i="37"/>
  <c r="B124" i="37"/>
  <c r="M123" i="37"/>
  <c r="N123" i="37" s="1"/>
  <c r="K123" i="37"/>
  <c r="E123" i="37"/>
  <c r="B123" i="37"/>
  <c r="M122" i="37"/>
  <c r="N122" i="37" s="1"/>
  <c r="K122" i="37"/>
  <c r="E122" i="37"/>
  <c r="B122" i="37"/>
  <c r="M121" i="37"/>
  <c r="N121" i="37" s="1"/>
  <c r="K121" i="37"/>
  <c r="E121" i="37"/>
  <c r="B121" i="37"/>
  <c r="N120" i="37"/>
  <c r="M120" i="37"/>
  <c r="K120" i="37"/>
  <c r="E120" i="37"/>
  <c r="M119" i="37"/>
  <c r="N119" i="37" s="1"/>
  <c r="K119" i="37"/>
  <c r="E119" i="37"/>
  <c r="M118" i="37"/>
  <c r="N118" i="37" s="1"/>
  <c r="K118" i="37"/>
  <c r="E118" i="37"/>
  <c r="M117" i="37"/>
  <c r="N117" i="37" s="1"/>
  <c r="K117" i="37"/>
  <c r="E117" i="37"/>
  <c r="M116" i="37"/>
  <c r="N116" i="37" s="1"/>
  <c r="K116" i="37"/>
  <c r="E116" i="37"/>
  <c r="M115" i="37"/>
  <c r="N115" i="37" s="1"/>
  <c r="K115" i="37"/>
  <c r="E115" i="37"/>
  <c r="M114" i="37"/>
  <c r="N114" i="37" s="1"/>
  <c r="K114" i="37"/>
  <c r="E114" i="37"/>
  <c r="M113" i="37"/>
  <c r="N113" i="37" s="1"/>
  <c r="K113" i="37"/>
  <c r="E113" i="37"/>
  <c r="M112" i="37"/>
  <c r="N112" i="37" s="1"/>
  <c r="K112" i="37"/>
  <c r="E112" i="37"/>
  <c r="M111" i="37"/>
  <c r="N111" i="37" s="1"/>
  <c r="K111" i="37"/>
  <c r="E111" i="37"/>
  <c r="M110" i="37"/>
  <c r="N110" i="37" s="1"/>
  <c r="K110" i="37"/>
  <c r="E110" i="37"/>
  <c r="M109" i="37"/>
  <c r="N109" i="37" s="1"/>
  <c r="K109" i="37"/>
  <c r="E109" i="37"/>
  <c r="M108" i="37"/>
  <c r="N108" i="37" s="1"/>
  <c r="K108" i="37"/>
  <c r="E108" i="37"/>
  <c r="M107" i="37"/>
  <c r="N107" i="37" s="1"/>
  <c r="K107" i="37"/>
  <c r="E107" i="37"/>
  <c r="M106" i="37"/>
  <c r="N106" i="37" s="1"/>
  <c r="K106" i="37"/>
  <c r="E106" i="37"/>
  <c r="M105" i="37"/>
  <c r="N105" i="37" s="1"/>
  <c r="K105" i="37"/>
  <c r="E105" i="37"/>
  <c r="N104" i="37"/>
  <c r="M104" i="37"/>
  <c r="K104" i="37"/>
  <c r="E104" i="37"/>
  <c r="B104" i="37"/>
  <c r="M103" i="37"/>
  <c r="N103" i="37" s="1"/>
  <c r="K103" i="37"/>
  <c r="E103" i="37"/>
  <c r="B103" i="37"/>
  <c r="M102" i="37"/>
  <c r="N102" i="37" s="1"/>
  <c r="K102" i="37"/>
  <c r="E102" i="37"/>
  <c r="M101" i="37"/>
  <c r="N101" i="37" s="1"/>
  <c r="K101" i="37"/>
  <c r="E101" i="37"/>
  <c r="M100" i="37"/>
  <c r="N100" i="37" s="1"/>
  <c r="K100" i="37"/>
  <c r="E100" i="37"/>
  <c r="M99" i="37"/>
  <c r="N99" i="37" s="1"/>
  <c r="K99" i="37"/>
  <c r="E99" i="37"/>
  <c r="M98" i="37"/>
  <c r="N98" i="37" s="1"/>
  <c r="K98" i="37"/>
  <c r="E98" i="37"/>
  <c r="M97" i="37"/>
  <c r="N97" i="37" s="1"/>
  <c r="K97" i="37"/>
  <c r="E97" i="37"/>
  <c r="M96" i="37"/>
  <c r="N96" i="37" s="1"/>
  <c r="K96" i="37"/>
  <c r="E96" i="37"/>
  <c r="M95" i="37"/>
  <c r="N95" i="37" s="1"/>
  <c r="K95" i="37"/>
  <c r="E95" i="37"/>
  <c r="M94" i="37"/>
  <c r="N94" i="37" s="1"/>
  <c r="K94" i="37"/>
  <c r="E94" i="37"/>
  <c r="M93" i="37"/>
  <c r="N93" i="37" s="1"/>
  <c r="K93" i="37"/>
  <c r="E93" i="37"/>
  <c r="M92" i="37"/>
  <c r="N92" i="37" s="1"/>
  <c r="K92" i="37"/>
  <c r="E92" i="37"/>
  <c r="M91" i="37"/>
  <c r="N91" i="37" s="1"/>
  <c r="K91" i="37"/>
  <c r="E91" i="37"/>
  <c r="M90" i="37"/>
  <c r="N90" i="37" s="1"/>
  <c r="K90" i="37"/>
  <c r="E90" i="37"/>
  <c r="M89" i="37"/>
  <c r="N89" i="37" s="1"/>
  <c r="K89" i="37"/>
  <c r="E89" i="37"/>
  <c r="M88" i="37"/>
  <c r="N88" i="37" s="1"/>
  <c r="K88" i="37"/>
  <c r="E88" i="37"/>
  <c r="M87" i="37"/>
  <c r="N87" i="37" s="1"/>
  <c r="K87" i="37"/>
  <c r="E87" i="37"/>
  <c r="M86" i="37"/>
  <c r="N86" i="37" s="1"/>
  <c r="K86" i="37"/>
  <c r="E86" i="37"/>
  <c r="N85" i="37"/>
  <c r="M85" i="37"/>
  <c r="K85" i="37"/>
  <c r="E85" i="37"/>
  <c r="M84" i="37"/>
  <c r="N84" i="37" s="1"/>
  <c r="K84" i="37"/>
  <c r="E84" i="37"/>
  <c r="M83" i="37"/>
  <c r="N83" i="37" s="1"/>
  <c r="K83" i="37"/>
  <c r="E83" i="37"/>
  <c r="N82" i="37"/>
  <c r="M82" i="37"/>
  <c r="K82" i="37"/>
  <c r="E82" i="37"/>
  <c r="M81" i="37"/>
  <c r="N81" i="37" s="1"/>
  <c r="K81" i="37"/>
  <c r="E81" i="37"/>
  <c r="M80" i="37"/>
  <c r="N80" i="37" s="1"/>
  <c r="K80" i="37"/>
  <c r="E80" i="37"/>
  <c r="M79" i="37"/>
  <c r="N79" i="37" s="1"/>
  <c r="K79" i="37"/>
  <c r="E79" i="37"/>
  <c r="M78" i="37"/>
  <c r="N78" i="37" s="1"/>
  <c r="K78" i="37"/>
  <c r="E78" i="37"/>
  <c r="M77" i="37"/>
  <c r="N77" i="37" s="1"/>
  <c r="K77" i="37"/>
  <c r="E77" i="37"/>
  <c r="M76" i="37"/>
  <c r="N76" i="37" s="1"/>
  <c r="K76" i="37"/>
  <c r="E76" i="37"/>
  <c r="N75" i="37"/>
  <c r="M75" i="37"/>
  <c r="K75" i="37"/>
  <c r="E75" i="37"/>
  <c r="M74" i="37"/>
  <c r="N74" i="37" s="1"/>
  <c r="K74" i="37"/>
  <c r="E74" i="37"/>
  <c r="M73" i="37"/>
  <c r="N73" i="37" s="1"/>
  <c r="K73" i="37"/>
  <c r="E73" i="37"/>
  <c r="M72" i="37"/>
  <c r="N72" i="37" s="1"/>
  <c r="K72" i="37"/>
  <c r="E72" i="37"/>
  <c r="M71" i="37"/>
  <c r="N71" i="37" s="1"/>
  <c r="K71" i="37"/>
  <c r="E71" i="37"/>
  <c r="M70" i="37"/>
  <c r="N70" i="37" s="1"/>
  <c r="K70" i="37"/>
  <c r="E70" i="37"/>
  <c r="M69" i="37"/>
  <c r="N69" i="37" s="1"/>
  <c r="K69" i="37"/>
  <c r="E69" i="37"/>
  <c r="M68" i="37"/>
  <c r="N68" i="37" s="1"/>
  <c r="K68" i="37"/>
  <c r="E68" i="37"/>
  <c r="M67" i="37"/>
  <c r="N67" i="37" s="1"/>
  <c r="K67" i="37"/>
  <c r="E67" i="37"/>
  <c r="M66" i="37"/>
  <c r="N66" i="37" s="1"/>
  <c r="K66" i="37"/>
  <c r="E66" i="37"/>
  <c r="N65" i="37"/>
  <c r="M65" i="37"/>
  <c r="K65" i="37"/>
  <c r="E65" i="37"/>
  <c r="M64" i="37"/>
  <c r="N64" i="37" s="1"/>
  <c r="K64" i="37"/>
  <c r="E64" i="37"/>
  <c r="M63" i="37"/>
  <c r="N63" i="37" s="1"/>
  <c r="K63" i="37"/>
  <c r="E63" i="37"/>
  <c r="M62" i="37"/>
  <c r="N62" i="37" s="1"/>
  <c r="K62" i="37"/>
  <c r="E62" i="37"/>
  <c r="M61" i="37"/>
  <c r="N61" i="37" s="1"/>
  <c r="K61" i="37"/>
  <c r="E61" i="37"/>
  <c r="M60" i="37"/>
  <c r="N60" i="37" s="1"/>
  <c r="K60" i="37"/>
  <c r="E60" i="37"/>
  <c r="M59" i="37"/>
  <c r="N59" i="37" s="1"/>
  <c r="K59" i="37"/>
  <c r="E59" i="37"/>
  <c r="M58" i="37"/>
  <c r="N58" i="37" s="1"/>
  <c r="K58" i="37"/>
  <c r="E58" i="37"/>
  <c r="M57" i="37"/>
  <c r="N57" i="37" s="1"/>
  <c r="K57" i="37"/>
  <c r="E57" i="37"/>
  <c r="M56" i="37"/>
  <c r="N56" i="37" s="1"/>
  <c r="K56" i="37"/>
  <c r="E56" i="37"/>
  <c r="M55" i="37"/>
  <c r="N55" i="37" s="1"/>
  <c r="K55" i="37"/>
  <c r="E55" i="37"/>
  <c r="M54" i="37"/>
  <c r="N54" i="37" s="1"/>
  <c r="K54" i="37"/>
  <c r="E54" i="37"/>
  <c r="M53" i="37"/>
  <c r="N53" i="37" s="1"/>
  <c r="K53" i="37"/>
  <c r="E53" i="37"/>
  <c r="M52" i="37"/>
  <c r="N52" i="37" s="1"/>
  <c r="K52" i="37"/>
  <c r="E52" i="37"/>
  <c r="M51" i="37"/>
  <c r="N51" i="37" s="1"/>
  <c r="K51" i="37"/>
  <c r="E51" i="37"/>
  <c r="M50" i="37"/>
  <c r="N50" i="37" s="1"/>
  <c r="K50" i="37"/>
  <c r="E50" i="37"/>
  <c r="M49" i="37"/>
  <c r="N49" i="37" s="1"/>
  <c r="K49" i="37"/>
  <c r="E49" i="37"/>
  <c r="M48" i="37"/>
  <c r="N48" i="37" s="1"/>
  <c r="K48" i="37"/>
  <c r="E48" i="37"/>
  <c r="M47" i="37"/>
  <c r="N47" i="37" s="1"/>
  <c r="K47" i="37"/>
  <c r="E47" i="37"/>
  <c r="M46" i="37"/>
  <c r="N46" i="37" s="1"/>
  <c r="K46" i="37"/>
  <c r="E46" i="37"/>
  <c r="M45" i="37"/>
  <c r="N45" i="37" s="1"/>
  <c r="K45" i="37"/>
  <c r="E45" i="37"/>
  <c r="M44" i="37"/>
  <c r="N44" i="37" s="1"/>
  <c r="K44" i="37"/>
  <c r="E44" i="37"/>
  <c r="M43" i="37"/>
  <c r="N43" i="37" s="1"/>
  <c r="K43" i="37"/>
  <c r="E43" i="37"/>
  <c r="N42" i="37"/>
  <c r="M42" i="37"/>
  <c r="K42" i="37"/>
  <c r="E42" i="37"/>
  <c r="M41" i="37"/>
  <c r="N41" i="37" s="1"/>
  <c r="K41" i="37"/>
  <c r="E41" i="37"/>
  <c r="M40" i="37"/>
  <c r="N40" i="37" s="1"/>
  <c r="K40" i="37"/>
  <c r="E40" i="37"/>
  <c r="M39" i="37"/>
  <c r="N39" i="37" s="1"/>
  <c r="K39" i="37"/>
  <c r="E39" i="37"/>
  <c r="M38" i="37"/>
  <c r="N38" i="37" s="1"/>
  <c r="K38" i="37"/>
  <c r="E38" i="37"/>
  <c r="M37" i="37"/>
  <c r="N37" i="37" s="1"/>
  <c r="K37" i="37"/>
  <c r="E37" i="37"/>
  <c r="M36" i="37"/>
  <c r="N36" i="37" s="1"/>
  <c r="K36" i="37"/>
  <c r="E36" i="37"/>
  <c r="M35" i="37"/>
  <c r="N35" i="37" s="1"/>
  <c r="K35" i="37"/>
  <c r="E35" i="37"/>
  <c r="N34" i="37"/>
  <c r="M34" i="37"/>
  <c r="K34" i="37"/>
  <c r="E34" i="37"/>
  <c r="M33" i="37"/>
  <c r="N33" i="37" s="1"/>
  <c r="K33" i="37"/>
  <c r="E33" i="37"/>
  <c r="M32" i="37"/>
  <c r="N32" i="37" s="1"/>
  <c r="K32" i="37"/>
  <c r="E32" i="37"/>
  <c r="M31" i="37"/>
  <c r="N31" i="37" s="1"/>
  <c r="K31" i="37"/>
  <c r="E31" i="37"/>
  <c r="M30" i="37"/>
  <c r="N30" i="37" s="1"/>
  <c r="K30" i="37"/>
  <c r="E30" i="37"/>
  <c r="M29" i="37"/>
  <c r="N29" i="37" s="1"/>
  <c r="K29" i="37"/>
  <c r="E29" i="37"/>
  <c r="M28" i="37"/>
  <c r="N28" i="37" s="1"/>
  <c r="K28" i="37"/>
  <c r="E28" i="37"/>
  <c r="M27" i="37"/>
  <c r="N27" i="37" s="1"/>
  <c r="K27" i="37"/>
  <c r="E27" i="37"/>
  <c r="M26" i="37"/>
  <c r="N26" i="37" s="1"/>
  <c r="K26" i="37"/>
  <c r="E26" i="37"/>
  <c r="N25" i="37"/>
  <c r="M25" i="37"/>
  <c r="K25" i="37"/>
  <c r="E25" i="37"/>
  <c r="M24" i="37"/>
  <c r="N24" i="37" s="1"/>
  <c r="K24" i="37"/>
  <c r="E24" i="37"/>
  <c r="M23" i="37"/>
  <c r="N23" i="37" s="1"/>
  <c r="K23" i="37"/>
  <c r="E23" i="37"/>
  <c r="M22" i="37"/>
  <c r="N22" i="37" s="1"/>
  <c r="K22" i="37"/>
  <c r="E22" i="37"/>
  <c r="N21" i="37"/>
  <c r="M21" i="37"/>
  <c r="K21" i="37"/>
  <c r="E21" i="37"/>
  <c r="M20" i="37"/>
  <c r="N20" i="37" s="1"/>
  <c r="K20" i="37"/>
  <c r="E20" i="37"/>
  <c r="M19" i="37"/>
  <c r="N19" i="37" s="1"/>
  <c r="K19" i="37"/>
  <c r="E19" i="37"/>
  <c r="M18" i="37"/>
  <c r="N18" i="37" s="1"/>
  <c r="K18" i="37"/>
  <c r="E18" i="37"/>
  <c r="N17" i="37"/>
  <c r="M17" i="37"/>
  <c r="K17" i="37"/>
  <c r="E17" i="37"/>
  <c r="M16" i="37"/>
  <c r="N16" i="37" s="1"/>
  <c r="K16" i="37"/>
  <c r="E16" i="37"/>
  <c r="M15" i="37"/>
  <c r="N15" i="37" s="1"/>
  <c r="K15" i="37"/>
  <c r="E15" i="37"/>
  <c r="M14" i="37"/>
  <c r="N14" i="37" s="1"/>
  <c r="K14" i="37"/>
  <c r="E14" i="37"/>
  <c r="M13" i="37"/>
  <c r="N13" i="37" s="1"/>
  <c r="K13" i="37"/>
  <c r="E13" i="37"/>
  <c r="M12" i="37"/>
  <c r="N12" i="37" s="1"/>
  <c r="K12" i="37"/>
  <c r="E12" i="37"/>
  <c r="M11" i="37"/>
  <c r="N11" i="37" s="1"/>
  <c r="K11" i="37"/>
  <c r="E11" i="37"/>
  <c r="M10" i="37"/>
  <c r="N10" i="37" s="1"/>
  <c r="K10" i="37"/>
  <c r="E10" i="37"/>
  <c r="M9" i="37"/>
  <c r="N9" i="37" s="1"/>
  <c r="K9" i="37"/>
  <c r="E9" i="37"/>
  <c r="M8" i="37"/>
  <c r="N8" i="37" s="1"/>
  <c r="K8" i="37"/>
  <c r="E8" i="37"/>
  <c r="N7" i="37"/>
  <c r="M7" i="37"/>
  <c r="K7" i="37"/>
  <c r="E7" i="37"/>
  <c r="M6" i="37"/>
  <c r="N6" i="37" s="1"/>
  <c r="K6" i="37"/>
  <c r="E6" i="37"/>
  <c r="M5" i="37"/>
  <c r="N5" i="37" s="1"/>
  <c r="K5" i="37"/>
  <c r="E5" i="37"/>
  <c r="M4" i="37"/>
  <c r="N4" i="37" s="1"/>
  <c r="K4" i="37"/>
  <c r="E4" i="37"/>
  <c r="V2" i="37"/>
  <c r="U2" i="37"/>
  <c r="T2" i="37"/>
  <c r="S2" i="37"/>
  <c r="R2" i="37"/>
  <c r="Q2" i="37"/>
  <c r="P2" i="37"/>
  <c r="O2" i="37"/>
  <c r="L2" i="37"/>
  <c r="J2" i="37"/>
  <c r="I2" i="37"/>
  <c r="H2" i="37"/>
  <c r="G2" i="37"/>
  <c r="F2" i="37"/>
  <c r="M134" i="36"/>
  <c r="N134" i="36" s="1"/>
  <c r="K134" i="36"/>
  <c r="E134" i="36"/>
  <c r="B134" i="36"/>
  <c r="M133" i="36"/>
  <c r="N133" i="36" s="1"/>
  <c r="K133" i="36"/>
  <c r="E133" i="36"/>
  <c r="B133" i="36"/>
  <c r="M132" i="36"/>
  <c r="N132" i="36" s="1"/>
  <c r="K132" i="36"/>
  <c r="E132" i="36"/>
  <c r="B132" i="36"/>
  <c r="M131" i="36"/>
  <c r="N131" i="36" s="1"/>
  <c r="K131" i="36"/>
  <c r="E131" i="36"/>
  <c r="B131" i="36"/>
  <c r="M130" i="36"/>
  <c r="N130" i="36" s="1"/>
  <c r="K130" i="36"/>
  <c r="E130" i="36"/>
  <c r="B130" i="36"/>
  <c r="M129" i="36"/>
  <c r="N129" i="36" s="1"/>
  <c r="K129" i="36"/>
  <c r="E129" i="36"/>
  <c r="B129" i="36"/>
  <c r="M128" i="36"/>
  <c r="N128" i="36" s="1"/>
  <c r="K128" i="36"/>
  <c r="E128" i="36"/>
  <c r="B128" i="36"/>
  <c r="M127" i="36"/>
  <c r="N127" i="36" s="1"/>
  <c r="K127" i="36"/>
  <c r="E127" i="36"/>
  <c r="B127" i="36"/>
  <c r="M126" i="36"/>
  <c r="N126" i="36" s="1"/>
  <c r="K126" i="36"/>
  <c r="E126" i="36"/>
  <c r="B126" i="36"/>
  <c r="M125" i="36"/>
  <c r="N125" i="36" s="1"/>
  <c r="K125" i="36"/>
  <c r="E125" i="36"/>
  <c r="B125" i="36"/>
  <c r="M124" i="36"/>
  <c r="N124" i="36" s="1"/>
  <c r="K124" i="36"/>
  <c r="E124" i="36"/>
  <c r="B124" i="36"/>
  <c r="M123" i="36"/>
  <c r="N123" i="36" s="1"/>
  <c r="K123" i="36"/>
  <c r="E123" i="36"/>
  <c r="B123" i="36"/>
  <c r="M122" i="36"/>
  <c r="N122" i="36" s="1"/>
  <c r="K122" i="36"/>
  <c r="E122" i="36"/>
  <c r="B122" i="36"/>
  <c r="M121" i="36"/>
  <c r="N121" i="36" s="1"/>
  <c r="K121" i="36"/>
  <c r="E121" i="36"/>
  <c r="B121" i="36"/>
  <c r="M120" i="36"/>
  <c r="N120" i="36" s="1"/>
  <c r="K120" i="36"/>
  <c r="E120" i="36"/>
  <c r="M119" i="36"/>
  <c r="N119" i="36" s="1"/>
  <c r="K119" i="36"/>
  <c r="E119" i="36"/>
  <c r="M118" i="36"/>
  <c r="N118" i="36" s="1"/>
  <c r="K118" i="36"/>
  <c r="E118" i="36"/>
  <c r="M117" i="36"/>
  <c r="N117" i="36" s="1"/>
  <c r="K117" i="36"/>
  <c r="E117" i="36"/>
  <c r="M116" i="36"/>
  <c r="N116" i="36" s="1"/>
  <c r="K116" i="36"/>
  <c r="E116" i="36"/>
  <c r="M115" i="36"/>
  <c r="N115" i="36" s="1"/>
  <c r="K115" i="36"/>
  <c r="E115" i="36"/>
  <c r="M114" i="36"/>
  <c r="N114" i="36" s="1"/>
  <c r="K114" i="36"/>
  <c r="E114" i="36"/>
  <c r="N113" i="36"/>
  <c r="M113" i="36"/>
  <c r="K113" i="36"/>
  <c r="E113" i="36"/>
  <c r="M112" i="36"/>
  <c r="N112" i="36" s="1"/>
  <c r="K112" i="36"/>
  <c r="E112" i="36"/>
  <c r="M111" i="36"/>
  <c r="N111" i="36" s="1"/>
  <c r="K111" i="36"/>
  <c r="E111" i="36"/>
  <c r="M110" i="36"/>
  <c r="N110" i="36" s="1"/>
  <c r="K110" i="36"/>
  <c r="E110" i="36"/>
  <c r="M109" i="36"/>
  <c r="N109" i="36" s="1"/>
  <c r="K109" i="36"/>
  <c r="E109" i="36"/>
  <c r="M108" i="36"/>
  <c r="N108" i="36" s="1"/>
  <c r="K108" i="36"/>
  <c r="E108" i="36"/>
  <c r="M107" i="36"/>
  <c r="N107" i="36" s="1"/>
  <c r="K107" i="36"/>
  <c r="E107" i="36"/>
  <c r="M106" i="36"/>
  <c r="N106" i="36" s="1"/>
  <c r="K106" i="36"/>
  <c r="E106" i="36"/>
  <c r="M105" i="36"/>
  <c r="N105" i="36" s="1"/>
  <c r="K105" i="36"/>
  <c r="E105" i="36"/>
  <c r="M104" i="36"/>
  <c r="N104" i="36" s="1"/>
  <c r="K104" i="36"/>
  <c r="E104" i="36"/>
  <c r="B104" i="36"/>
  <c r="M103" i="36"/>
  <c r="N103" i="36" s="1"/>
  <c r="K103" i="36"/>
  <c r="E103" i="36"/>
  <c r="B103" i="36"/>
  <c r="M102" i="36"/>
  <c r="N102" i="36" s="1"/>
  <c r="K102" i="36"/>
  <c r="E102" i="36"/>
  <c r="M101" i="36"/>
  <c r="N101" i="36" s="1"/>
  <c r="K101" i="36"/>
  <c r="E101" i="36"/>
  <c r="M100" i="36"/>
  <c r="N100" i="36" s="1"/>
  <c r="K100" i="36"/>
  <c r="E100" i="36"/>
  <c r="M99" i="36"/>
  <c r="N99" i="36" s="1"/>
  <c r="K99" i="36"/>
  <c r="E99" i="36"/>
  <c r="M98" i="36"/>
  <c r="N98" i="36" s="1"/>
  <c r="K98" i="36"/>
  <c r="E98" i="36"/>
  <c r="N97" i="36"/>
  <c r="M97" i="36"/>
  <c r="K97" i="36"/>
  <c r="E97" i="36"/>
  <c r="M96" i="36"/>
  <c r="N96" i="36" s="1"/>
  <c r="K96" i="36"/>
  <c r="E96" i="36"/>
  <c r="M95" i="36"/>
  <c r="N95" i="36" s="1"/>
  <c r="K95" i="36"/>
  <c r="E95" i="36"/>
  <c r="M94" i="36"/>
  <c r="N94" i="36" s="1"/>
  <c r="K94" i="36"/>
  <c r="E94" i="36"/>
  <c r="M93" i="36"/>
  <c r="N93" i="36" s="1"/>
  <c r="K93" i="36"/>
  <c r="E93" i="36"/>
  <c r="N92" i="36"/>
  <c r="M92" i="36"/>
  <c r="K92" i="36"/>
  <c r="E92" i="36"/>
  <c r="M91" i="36"/>
  <c r="N91" i="36" s="1"/>
  <c r="K91" i="36"/>
  <c r="E91" i="36"/>
  <c r="M90" i="36"/>
  <c r="N90" i="36" s="1"/>
  <c r="K90" i="36"/>
  <c r="E90" i="36"/>
  <c r="M89" i="36"/>
  <c r="N89" i="36" s="1"/>
  <c r="K89" i="36"/>
  <c r="E89" i="36"/>
  <c r="M88" i="36"/>
  <c r="N88" i="36" s="1"/>
  <c r="K88" i="36"/>
  <c r="E88" i="36"/>
  <c r="N87" i="36"/>
  <c r="M87" i="36"/>
  <c r="K87" i="36"/>
  <c r="E87" i="36"/>
  <c r="M86" i="36"/>
  <c r="N86" i="36" s="1"/>
  <c r="K86" i="36"/>
  <c r="E86" i="36"/>
  <c r="M85" i="36"/>
  <c r="N85" i="36" s="1"/>
  <c r="K85" i="36"/>
  <c r="E85" i="36"/>
  <c r="M84" i="36"/>
  <c r="N84" i="36" s="1"/>
  <c r="K84" i="36"/>
  <c r="E84" i="36"/>
  <c r="M83" i="36"/>
  <c r="N83" i="36" s="1"/>
  <c r="K83" i="36"/>
  <c r="E83" i="36"/>
  <c r="M82" i="36"/>
  <c r="N82" i="36" s="1"/>
  <c r="K82" i="36"/>
  <c r="E82" i="36"/>
  <c r="M81" i="36"/>
  <c r="N81" i="36" s="1"/>
  <c r="K81" i="36"/>
  <c r="E81" i="36"/>
  <c r="M80" i="36"/>
  <c r="N80" i="36" s="1"/>
  <c r="K80" i="36"/>
  <c r="E80" i="36"/>
  <c r="M79" i="36"/>
  <c r="N79" i="36" s="1"/>
  <c r="K79" i="36"/>
  <c r="E79" i="36"/>
  <c r="M78" i="36"/>
  <c r="N78" i="36" s="1"/>
  <c r="K78" i="36"/>
  <c r="E78" i="36"/>
  <c r="M77" i="36"/>
  <c r="N77" i="36" s="1"/>
  <c r="K77" i="36"/>
  <c r="E77" i="36"/>
  <c r="N76" i="36"/>
  <c r="M76" i="36"/>
  <c r="K76" i="36"/>
  <c r="E76" i="36"/>
  <c r="M75" i="36"/>
  <c r="N75" i="36" s="1"/>
  <c r="K75" i="36"/>
  <c r="E75" i="36"/>
  <c r="M74" i="36"/>
  <c r="N74" i="36" s="1"/>
  <c r="K74" i="36"/>
  <c r="E74" i="36"/>
  <c r="M73" i="36"/>
  <c r="N73" i="36" s="1"/>
  <c r="K73" i="36"/>
  <c r="E73" i="36"/>
  <c r="M72" i="36"/>
  <c r="N72" i="36" s="1"/>
  <c r="K72" i="36"/>
  <c r="E72" i="36"/>
  <c r="M71" i="36"/>
  <c r="N71" i="36" s="1"/>
  <c r="K71" i="36"/>
  <c r="E71" i="36"/>
  <c r="M70" i="36"/>
  <c r="N70" i="36" s="1"/>
  <c r="K70" i="36"/>
  <c r="E70" i="36"/>
  <c r="M69" i="36"/>
  <c r="N69" i="36" s="1"/>
  <c r="K69" i="36"/>
  <c r="E69" i="36"/>
  <c r="M68" i="36"/>
  <c r="N68" i="36" s="1"/>
  <c r="K68" i="36"/>
  <c r="E68" i="36"/>
  <c r="N67" i="36"/>
  <c r="M67" i="36"/>
  <c r="K67" i="36"/>
  <c r="E67" i="36"/>
  <c r="M66" i="36"/>
  <c r="N66" i="36" s="1"/>
  <c r="K66" i="36"/>
  <c r="E66" i="36"/>
  <c r="M65" i="36"/>
  <c r="N65" i="36" s="1"/>
  <c r="K65" i="36"/>
  <c r="E65" i="36"/>
  <c r="M64" i="36"/>
  <c r="N64" i="36" s="1"/>
  <c r="K64" i="36"/>
  <c r="E64" i="36"/>
  <c r="M63" i="36"/>
  <c r="N63" i="36" s="1"/>
  <c r="K63" i="36"/>
  <c r="E63" i="36"/>
  <c r="M62" i="36"/>
  <c r="N62" i="36" s="1"/>
  <c r="K62" i="36"/>
  <c r="E62" i="36"/>
  <c r="M61" i="36"/>
  <c r="N61" i="36" s="1"/>
  <c r="K61" i="36"/>
  <c r="E61" i="36"/>
  <c r="M60" i="36"/>
  <c r="N60" i="36" s="1"/>
  <c r="K60" i="36"/>
  <c r="E60" i="36"/>
  <c r="M59" i="36"/>
  <c r="N59" i="36" s="1"/>
  <c r="K59" i="36"/>
  <c r="E59" i="36"/>
  <c r="M58" i="36"/>
  <c r="N58" i="36" s="1"/>
  <c r="K58" i="36"/>
  <c r="E58" i="36"/>
  <c r="M57" i="36"/>
  <c r="N57" i="36" s="1"/>
  <c r="K57" i="36"/>
  <c r="E57" i="36"/>
  <c r="M56" i="36"/>
  <c r="N56" i="36" s="1"/>
  <c r="K56" i="36"/>
  <c r="E56" i="36"/>
  <c r="M55" i="36"/>
  <c r="N55" i="36" s="1"/>
  <c r="K55" i="36"/>
  <c r="E55" i="36"/>
  <c r="M54" i="36"/>
  <c r="N54" i="36" s="1"/>
  <c r="K54" i="36"/>
  <c r="E54" i="36"/>
  <c r="M53" i="36"/>
  <c r="N53" i="36" s="1"/>
  <c r="K53" i="36"/>
  <c r="E53" i="36"/>
  <c r="M52" i="36"/>
  <c r="N52" i="36" s="1"/>
  <c r="K52" i="36"/>
  <c r="E52" i="36"/>
  <c r="M51" i="36"/>
  <c r="N51" i="36" s="1"/>
  <c r="K51" i="36"/>
  <c r="E51" i="36"/>
  <c r="M50" i="36"/>
  <c r="N50" i="36" s="1"/>
  <c r="K50" i="36"/>
  <c r="E50" i="36"/>
  <c r="N49" i="36"/>
  <c r="M49" i="36"/>
  <c r="K49" i="36"/>
  <c r="E49" i="36"/>
  <c r="M48" i="36"/>
  <c r="N48" i="36" s="1"/>
  <c r="K48" i="36"/>
  <c r="E48" i="36"/>
  <c r="M47" i="36"/>
  <c r="N47" i="36" s="1"/>
  <c r="K47" i="36"/>
  <c r="E47" i="36"/>
  <c r="M46" i="36"/>
  <c r="N46" i="36" s="1"/>
  <c r="K46" i="36"/>
  <c r="E46" i="36"/>
  <c r="N45" i="36"/>
  <c r="M45" i="36"/>
  <c r="K45" i="36"/>
  <c r="E45" i="36"/>
  <c r="M44" i="36"/>
  <c r="N44" i="36" s="1"/>
  <c r="K44" i="36"/>
  <c r="E44" i="36"/>
  <c r="M43" i="36"/>
  <c r="N43" i="36" s="1"/>
  <c r="K43" i="36"/>
  <c r="E43" i="36"/>
  <c r="M42" i="36"/>
  <c r="N42" i="36" s="1"/>
  <c r="K42" i="36"/>
  <c r="E42" i="36"/>
  <c r="M41" i="36"/>
  <c r="N41" i="36" s="1"/>
  <c r="K41" i="36"/>
  <c r="E41" i="36"/>
  <c r="M40" i="36"/>
  <c r="N40" i="36" s="1"/>
  <c r="K40" i="36"/>
  <c r="E40" i="36"/>
  <c r="M39" i="36"/>
  <c r="N39" i="36" s="1"/>
  <c r="K39" i="36"/>
  <c r="E39" i="36"/>
  <c r="M38" i="36"/>
  <c r="N38" i="36" s="1"/>
  <c r="K38" i="36"/>
  <c r="E38" i="36"/>
  <c r="M37" i="36"/>
  <c r="N37" i="36" s="1"/>
  <c r="K37" i="36"/>
  <c r="E37" i="36"/>
  <c r="M36" i="36"/>
  <c r="N36" i="36" s="1"/>
  <c r="K36" i="36"/>
  <c r="E36" i="36"/>
  <c r="N35" i="36"/>
  <c r="M35" i="36"/>
  <c r="K35" i="36"/>
  <c r="E35" i="36"/>
  <c r="M34" i="36"/>
  <c r="N34" i="36" s="1"/>
  <c r="K34" i="36"/>
  <c r="E34" i="36"/>
  <c r="M33" i="36"/>
  <c r="N33" i="36" s="1"/>
  <c r="K33" i="36"/>
  <c r="E33" i="36"/>
  <c r="M32" i="36"/>
  <c r="N32" i="36" s="1"/>
  <c r="K32" i="36"/>
  <c r="E32" i="36"/>
  <c r="M31" i="36"/>
  <c r="N31" i="36" s="1"/>
  <c r="K31" i="36"/>
  <c r="E31" i="36"/>
  <c r="M30" i="36"/>
  <c r="N30" i="36" s="1"/>
  <c r="K30" i="36"/>
  <c r="E30" i="36"/>
  <c r="M29" i="36"/>
  <c r="N29" i="36" s="1"/>
  <c r="K29" i="36"/>
  <c r="E29" i="36"/>
  <c r="M28" i="36"/>
  <c r="N28" i="36" s="1"/>
  <c r="K28" i="36"/>
  <c r="E28" i="36"/>
  <c r="M27" i="36"/>
  <c r="N27" i="36" s="1"/>
  <c r="K27" i="36"/>
  <c r="E27" i="36"/>
  <c r="M26" i="36"/>
  <c r="N26" i="36" s="1"/>
  <c r="K26" i="36"/>
  <c r="E26" i="36"/>
  <c r="M25" i="36"/>
  <c r="N25" i="36" s="1"/>
  <c r="K25" i="36"/>
  <c r="E25" i="36"/>
  <c r="M24" i="36"/>
  <c r="N24" i="36" s="1"/>
  <c r="K24" i="36"/>
  <c r="E24" i="36"/>
  <c r="M23" i="36"/>
  <c r="N23" i="36" s="1"/>
  <c r="K23" i="36"/>
  <c r="E23" i="36"/>
  <c r="M22" i="36"/>
  <c r="N22" i="36" s="1"/>
  <c r="K22" i="36"/>
  <c r="E22" i="36"/>
  <c r="M21" i="36"/>
  <c r="N21" i="36" s="1"/>
  <c r="K21" i="36"/>
  <c r="E21" i="36"/>
  <c r="M20" i="36"/>
  <c r="N20" i="36" s="1"/>
  <c r="K20" i="36"/>
  <c r="E20" i="36"/>
  <c r="M19" i="36"/>
  <c r="N19" i="36" s="1"/>
  <c r="K19" i="36"/>
  <c r="E19" i="36"/>
  <c r="M18" i="36"/>
  <c r="N18" i="36" s="1"/>
  <c r="K18" i="36"/>
  <c r="E18" i="36"/>
  <c r="M17" i="36"/>
  <c r="N17" i="36" s="1"/>
  <c r="K17" i="36"/>
  <c r="E17" i="36"/>
  <c r="M16" i="36"/>
  <c r="N16" i="36" s="1"/>
  <c r="K16" i="36"/>
  <c r="E16" i="36"/>
  <c r="M15" i="36"/>
  <c r="N15" i="36" s="1"/>
  <c r="K15" i="36"/>
  <c r="E15" i="36"/>
  <c r="M14" i="36"/>
  <c r="N14" i="36" s="1"/>
  <c r="K14" i="36"/>
  <c r="E14" i="36"/>
  <c r="M13" i="36"/>
  <c r="N13" i="36" s="1"/>
  <c r="K13" i="36"/>
  <c r="E13" i="36"/>
  <c r="M12" i="36"/>
  <c r="N12" i="36" s="1"/>
  <c r="K12" i="36"/>
  <c r="E12" i="36"/>
  <c r="M11" i="36"/>
  <c r="N11" i="36" s="1"/>
  <c r="K11" i="36"/>
  <c r="E11" i="36"/>
  <c r="M10" i="36"/>
  <c r="N10" i="36" s="1"/>
  <c r="K10" i="36"/>
  <c r="E10" i="36"/>
  <c r="M9" i="36"/>
  <c r="N9" i="36" s="1"/>
  <c r="K9" i="36"/>
  <c r="E9" i="36"/>
  <c r="M8" i="36"/>
  <c r="N8" i="36" s="1"/>
  <c r="K8" i="36"/>
  <c r="E8" i="36"/>
  <c r="M7" i="36"/>
  <c r="N7" i="36" s="1"/>
  <c r="K7" i="36"/>
  <c r="E7" i="36"/>
  <c r="M6" i="36"/>
  <c r="N6" i="36" s="1"/>
  <c r="K6" i="36"/>
  <c r="E6" i="36"/>
  <c r="M5" i="36"/>
  <c r="N5" i="36" s="1"/>
  <c r="K5" i="36"/>
  <c r="E5" i="36"/>
  <c r="M4" i="36"/>
  <c r="N4" i="36" s="1"/>
  <c r="K4" i="36"/>
  <c r="E4" i="36"/>
  <c r="V2" i="36"/>
  <c r="U2" i="36"/>
  <c r="T2" i="36"/>
  <c r="S2" i="36"/>
  <c r="R2" i="36"/>
  <c r="Q2" i="36"/>
  <c r="P2" i="36"/>
  <c r="O2" i="36"/>
  <c r="L2" i="36"/>
  <c r="J2" i="36"/>
  <c r="I2" i="36"/>
  <c r="H2" i="36"/>
  <c r="G2" i="36"/>
  <c r="F2" i="36"/>
  <c r="M134" i="35"/>
  <c r="N134" i="35" s="1"/>
  <c r="K134" i="35"/>
  <c r="E134" i="35"/>
  <c r="B134" i="35"/>
  <c r="M133" i="35"/>
  <c r="N133" i="35" s="1"/>
  <c r="K133" i="35"/>
  <c r="E133" i="35"/>
  <c r="B133" i="35"/>
  <c r="M132" i="35"/>
  <c r="N132" i="35" s="1"/>
  <c r="K132" i="35"/>
  <c r="E132" i="35"/>
  <c r="B132" i="35"/>
  <c r="M131" i="35"/>
  <c r="N131" i="35" s="1"/>
  <c r="K131" i="35"/>
  <c r="E131" i="35"/>
  <c r="B131" i="35"/>
  <c r="M130" i="35"/>
  <c r="N130" i="35" s="1"/>
  <c r="K130" i="35"/>
  <c r="E130" i="35"/>
  <c r="B130" i="35"/>
  <c r="M129" i="35"/>
  <c r="N129" i="35" s="1"/>
  <c r="K129" i="35"/>
  <c r="E129" i="35"/>
  <c r="B129" i="35"/>
  <c r="M128" i="35"/>
  <c r="N128" i="35" s="1"/>
  <c r="K128" i="35"/>
  <c r="E128" i="35"/>
  <c r="B128" i="35"/>
  <c r="M127" i="35"/>
  <c r="N127" i="35" s="1"/>
  <c r="K127" i="35"/>
  <c r="E127" i="35"/>
  <c r="B127" i="35"/>
  <c r="N126" i="35"/>
  <c r="M126" i="35"/>
  <c r="K126" i="35"/>
  <c r="E126" i="35"/>
  <c r="B126" i="35"/>
  <c r="M125" i="35"/>
  <c r="N125" i="35" s="1"/>
  <c r="K125" i="35"/>
  <c r="E125" i="35"/>
  <c r="B125" i="35"/>
  <c r="M124" i="35"/>
  <c r="N124" i="35" s="1"/>
  <c r="K124" i="35"/>
  <c r="E124" i="35"/>
  <c r="B124" i="35"/>
  <c r="M123" i="35"/>
  <c r="N123" i="35" s="1"/>
  <c r="K123" i="35"/>
  <c r="E123" i="35"/>
  <c r="B123" i="35"/>
  <c r="M122" i="35"/>
  <c r="N122" i="35" s="1"/>
  <c r="K122" i="35"/>
  <c r="E122" i="35"/>
  <c r="B122" i="35"/>
  <c r="M121" i="35"/>
  <c r="N121" i="35" s="1"/>
  <c r="K121" i="35"/>
  <c r="E121" i="35"/>
  <c r="B121" i="35"/>
  <c r="M120" i="35"/>
  <c r="N120" i="35" s="1"/>
  <c r="K120" i="35"/>
  <c r="E120" i="35"/>
  <c r="B120" i="35"/>
  <c r="M119" i="35"/>
  <c r="N119" i="35" s="1"/>
  <c r="K119" i="35"/>
  <c r="E119" i="35"/>
  <c r="B119" i="35"/>
  <c r="M118" i="35"/>
  <c r="N118" i="35" s="1"/>
  <c r="K118" i="35"/>
  <c r="E118" i="35"/>
  <c r="B118" i="35"/>
  <c r="M117" i="35"/>
  <c r="N117" i="35" s="1"/>
  <c r="K117" i="35"/>
  <c r="E117" i="35"/>
  <c r="B117" i="35"/>
  <c r="M116" i="35"/>
  <c r="N116" i="35" s="1"/>
  <c r="K116" i="35"/>
  <c r="E116" i="35"/>
  <c r="B116" i="35"/>
  <c r="M115" i="35"/>
  <c r="N115" i="35" s="1"/>
  <c r="K115" i="35"/>
  <c r="E115" i="35"/>
  <c r="B115" i="35"/>
  <c r="M114" i="35"/>
  <c r="N114" i="35" s="1"/>
  <c r="K114" i="35"/>
  <c r="E114" i="35"/>
  <c r="B114" i="35"/>
  <c r="M113" i="35"/>
  <c r="N113" i="35" s="1"/>
  <c r="K113" i="35"/>
  <c r="E113" i="35"/>
  <c r="B113" i="35"/>
  <c r="M112" i="35"/>
  <c r="N112" i="35" s="1"/>
  <c r="K112" i="35"/>
  <c r="E112" i="35"/>
  <c r="B112" i="35"/>
  <c r="M111" i="35"/>
  <c r="N111" i="35" s="1"/>
  <c r="K111" i="35"/>
  <c r="E111" i="35"/>
  <c r="B111" i="35"/>
  <c r="M110" i="35"/>
  <c r="N110" i="35" s="1"/>
  <c r="K110" i="35"/>
  <c r="E110" i="35"/>
  <c r="B110" i="35"/>
  <c r="M109" i="35"/>
  <c r="N109" i="35" s="1"/>
  <c r="K109" i="35"/>
  <c r="E109" i="35"/>
  <c r="B109" i="35"/>
  <c r="M108" i="35"/>
  <c r="N108" i="35" s="1"/>
  <c r="K108" i="35"/>
  <c r="E108" i="35"/>
  <c r="B108" i="35"/>
  <c r="M107" i="35"/>
  <c r="N107" i="35" s="1"/>
  <c r="K107" i="35"/>
  <c r="E107" i="35"/>
  <c r="B107" i="35"/>
  <c r="M106" i="35"/>
  <c r="N106" i="35" s="1"/>
  <c r="K106" i="35"/>
  <c r="E106" i="35"/>
  <c r="B106" i="35"/>
  <c r="M105" i="35"/>
  <c r="N105" i="35" s="1"/>
  <c r="K105" i="35"/>
  <c r="E105" i="35"/>
  <c r="B105" i="35"/>
  <c r="M104" i="35"/>
  <c r="N104" i="35" s="1"/>
  <c r="K104" i="35"/>
  <c r="E104" i="35"/>
  <c r="B104" i="35"/>
  <c r="M103" i="35"/>
  <c r="N103" i="35" s="1"/>
  <c r="K103" i="35"/>
  <c r="E103" i="35"/>
  <c r="B103" i="35"/>
  <c r="M102" i="35"/>
  <c r="N102" i="35" s="1"/>
  <c r="K102" i="35"/>
  <c r="E102" i="35"/>
  <c r="B102" i="35"/>
  <c r="M101" i="35"/>
  <c r="N101" i="35" s="1"/>
  <c r="K101" i="35"/>
  <c r="E101" i="35"/>
  <c r="B101" i="35"/>
  <c r="M100" i="35"/>
  <c r="N100" i="35" s="1"/>
  <c r="K100" i="35"/>
  <c r="E100" i="35"/>
  <c r="B100" i="35"/>
  <c r="M99" i="35"/>
  <c r="N99" i="35" s="1"/>
  <c r="K99" i="35"/>
  <c r="E99" i="35"/>
  <c r="B99" i="35"/>
  <c r="M98" i="35"/>
  <c r="N98" i="35" s="1"/>
  <c r="K98" i="35"/>
  <c r="E98" i="35"/>
  <c r="B98" i="35"/>
  <c r="M97" i="35"/>
  <c r="N97" i="35" s="1"/>
  <c r="K97" i="35"/>
  <c r="E97" i="35"/>
  <c r="B97" i="35"/>
  <c r="M96" i="35"/>
  <c r="N96" i="35" s="1"/>
  <c r="K96" i="35"/>
  <c r="E96" i="35"/>
  <c r="B96" i="35"/>
  <c r="M95" i="35"/>
  <c r="N95" i="35" s="1"/>
  <c r="K95" i="35"/>
  <c r="E95" i="35"/>
  <c r="B95" i="35"/>
  <c r="N94" i="35"/>
  <c r="M94" i="35"/>
  <c r="K94" i="35"/>
  <c r="E94" i="35"/>
  <c r="B94" i="35"/>
  <c r="M93" i="35"/>
  <c r="N93" i="35" s="1"/>
  <c r="K93" i="35"/>
  <c r="E93" i="35"/>
  <c r="B93" i="35"/>
  <c r="M92" i="35"/>
  <c r="N92" i="35" s="1"/>
  <c r="K92" i="35"/>
  <c r="E92" i="35"/>
  <c r="B92" i="35"/>
  <c r="M91" i="35"/>
  <c r="N91" i="35" s="1"/>
  <c r="K91" i="35"/>
  <c r="E91" i="35"/>
  <c r="B91" i="35"/>
  <c r="M90" i="35"/>
  <c r="N90" i="35" s="1"/>
  <c r="K90" i="35"/>
  <c r="E90" i="35"/>
  <c r="B90" i="35"/>
  <c r="M89" i="35"/>
  <c r="N89" i="35" s="1"/>
  <c r="K89" i="35"/>
  <c r="E89" i="35"/>
  <c r="B89" i="35"/>
  <c r="M88" i="35"/>
  <c r="N88" i="35" s="1"/>
  <c r="K88" i="35"/>
  <c r="E88" i="35"/>
  <c r="B88" i="35"/>
  <c r="M87" i="35"/>
  <c r="N87" i="35" s="1"/>
  <c r="K87" i="35"/>
  <c r="E87" i="35"/>
  <c r="B87" i="35"/>
  <c r="M86" i="35"/>
  <c r="N86" i="35" s="1"/>
  <c r="K86" i="35"/>
  <c r="E86" i="35"/>
  <c r="B86" i="35"/>
  <c r="M85" i="35"/>
  <c r="N85" i="35" s="1"/>
  <c r="K85" i="35"/>
  <c r="E85" i="35"/>
  <c r="B85" i="35"/>
  <c r="M84" i="35"/>
  <c r="N84" i="35" s="1"/>
  <c r="K84" i="35"/>
  <c r="E84" i="35"/>
  <c r="B84" i="35"/>
  <c r="M83" i="35"/>
  <c r="N83" i="35" s="1"/>
  <c r="K83" i="35"/>
  <c r="E83" i="35"/>
  <c r="B83" i="35"/>
  <c r="M82" i="35"/>
  <c r="N82" i="35" s="1"/>
  <c r="K82" i="35"/>
  <c r="E82" i="35"/>
  <c r="B82" i="35"/>
  <c r="M81" i="35"/>
  <c r="N81" i="35" s="1"/>
  <c r="K81" i="35"/>
  <c r="E81" i="35"/>
  <c r="B81" i="35"/>
  <c r="N80" i="35"/>
  <c r="M80" i="35"/>
  <c r="K80" i="35"/>
  <c r="E80" i="35"/>
  <c r="B80" i="35"/>
  <c r="M79" i="35"/>
  <c r="N79" i="35" s="1"/>
  <c r="K79" i="35"/>
  <c r="E79" i="35"/>
  <c r="B79" i="35"/>
  <c r="M78" i="35"/>
  <c r="N78" i="35" s="1"/>
  <c r="K78" i="35"/>
  <c r="E78" i="35"/>
  <c r="B78" i="35"/>
  <c r="M77" i="35"/>
  <c r="N77" i="35" s="1"/>
  <c r="K77" i="35"/>
  <c r="E77" i="35"/>
  <c r="B77" i="35"/>
  <c r="M76" i="35"/>
  <c r="N76" i="35" s="1"/>
  <c r="K76" i="35"/>
  <c r="E76" i="35"/>
  <c r="B76" i="35"/>
  <c r="M75" i="35"/>
  <c r="N75" i="35" s="1"/>
  <c r="K75" i="35"/>
  <c r="E75" i="35"/>
  <c r="B75" i="35"/>
  <c r="M74" i="35"/>
  <c r="N74" i="35" s="1"/>
  <c r="K74" i="35"/>
  <c r="E74" i="35"/>
  <c r="B74" i="35"/>
  <c r="M73" i="35"/>
  <c r="N73" i="35" s="1"/>
  <c r="K73" i="35"/>
  <c r="E73" i="35"/>
  <c r="B73" i="35"/>
  <c r="M72" i="35"/>
  <c r="N72" i="35" s="1"/>
  <c r="K72" i="35"/>
  <c r="E72" i="35"/>
  <c r="B72" i="35"/>
  <c r="M71" i="35"/>
  <c r="N71" i="35" s="1"/>
  <c r="K71" i="35"/>
  <c r="E71" i="35"/>
  <c r="B71" i="35"/>
  <c r="M70" i="35"/>
  <c r="N70" i="35" s="1"/>
  <c r="K70" i="35"/>
  <c r="E70" i="35"/>
  <c r="B70" i="35"/>
  <c r="M69" i="35"/>
  <c r="N69" i="35" s="1"/>
  <c r="K69" i="35"/>
  <c r="E69" i="35"/>
  <c r="B69" i="35"/>
  <c r="M68" i="35"/>
  <c r="N68" i="35" s="1"/>
  <c r="K68" i="35"/>
  <c r="E68" i="35"/>
  <c r="B68" i="35"/>
  <c r="M67" i="35"/>
  <c r="N67" i="35" s="1"/>
  <c r="K67" i="35"/>
  <c r="E67" i="35"/>
  <c r="B67" i="35"/>
  <c r="M66" i="35"/>
  <c r="N66" i="35" s="1"/>
  <c r="K66" i="35"/>
  <c r="E66" i="35"/>
  <c r="B66" i="35"/>
  <c r="M65" i="35"/>
  <c r="N65" i="35" s="1"/>
  <c r="K65" i="35"/>
  <c r="E65" i="35"/>
  <c r="B65" i="35"/>
  <c r="N64" i="35"/>
  <c r="M64" i="35"/>
  <c r="K64" i="35"/>
  <c r="E64" i="35"/>
  <c r="B64" i="35"/>
  <c r="N63" i="35"/>
  <c r="M63" i="35"/>
  <c r="K63" i="35"/>
  <c r="E63" i="35"/>
  <c r="B63" i="35"/>
  <c r="M62" i="35"/>
  <c r="N62" i="35" s="1"/>
  <c r="K62" i="35"/>
  <c r="E62" i="35"/>
  <c r="B62" i="35"/>
  <c r="M61" i="35"/>
  <c r="N61" i="35" s="1"/>
  <c r="K61" i="35"/>
  <c r="E61" i="35"/>
  <c r="B61" i="35"/>
  <c r="M60" i="35"/>
  <c r="N60" i="35" s="1"/>
  <c r="K60" i="35"/>
  <c r="E60" i="35"/>
  <c r="B60" i="35"/>
  <c r="M59" i="35"/>
  <c r="N59" i="35" s="1"/>
  <c r="K59" i="35"/>
  <c r="E59" i="35"/>
  <c r="B59" i="35"/>
  <c r="M58" i="35"/>
  <c r="N58" i="35" s="1"/>
  <c r="K58" i="35"/>
  <c r="E58" i="35"/>
  <c r="B58" i="35"/>
  <c r="M57" i="35"/>
  <c r="N57" i="35" s="1"/>
  <c r="K57" i="35"/>
  <c r="E57" i="35"/>
  <c r="B57" i="35"/>
  <c r="M56" i="35"/>
  <c r="N56" i="35" s="1"/>
  <c r="K56" i="35"/>
  <c r="E56" i="35"/>
  <c r="B56" i="35"/>
  <c r="M55" i="35"/>
  <c r="N55" i="35" s="1"/>
  <c r="K55" i="35"/>
  <c r="E55" i="35"/>
  <c r="B55" i="35"/>
  <c r="M54" i="35"/>
  <c r="N54" i="35" s="1"/>
  <c r="K54" i="35"/>
  <c r="E54" i="35"/>
  <c r="B54" i="35"/>
  <c r="M53" i="35"/>
  <c r="N53" i="35" s="1"/>
  <c r="K53" i="35"/>
  <c r="E53" i="35"/>
  <c r="B53" i="35"/>
  <c r="M52" i="35"/>
  <c r="N52" i="35" s="1"/>
  <c r="K52" i="35"/>
  <c r="E52" i="35"/>
  <c r="B52" i="35"/>
  <c r="M51" i="35"/>
  <c r="N51" i="35" s="1"/>
  <c r="K51" i="35"/>
  <c r="E51" i="35"/>
  <c r="B51" i="35"/>
  <c r="M50" i="35"/>
  <c r="N50" i="35" s="1"/>
  <c r="K50" i="35"/>
  <c r="E50" i="35"/>
  <c r="B50" i="35"/>
  <c r="M49" i="35"/>
  <c r="N49" i="35" s="1"/>
  <c r="K49" i="35"/>
  <c r="E49" i="35"/>
  <c r="B49" i="35"/>
  <c r="M48" i="35"/>
  <c r="N48" i="35" s="1"/>
  <c r="K48" i="35"/>
  <c r="E48" i="35"/>
  <c r="B48" i="35"/>
  <c r="N47" i="35"/>
  <c r="M47" i="35"/>
  <c r="K47" i="35"/>
  <c r="E47" i="35"/>
  <c r="B47" i="35"/>
  <c r="M46" i="35"/>
  <c r="N46" i="35" s="1"/>
  <c r="K46" i="35"/>
  <c r="E46" i="35"/>
  <c r="B46" i="35"/>
  <c r="M45" i="35"/>
  <c r="N45" i="35" s="1"/>
  <c r="K45" i="35"/>
  <c r="E45" i="35"/>
  <c r="B45" i="35"/>
  <c r="M44" i="35"/>
  <c r="N44" i="35" s="1"/>
  <c r="K44" i="35"/>
  <c r="E44" i="35"/>
  <c r="B44" i="35"/>
  <c r="M43" i="35"/>
  <c r="N43" i="35" s="1"/>
  <c r="K43" i="35"/>
  <c r="E43" i="35"/>
  <c r="B43" i="35"/>
  <c r="M42" i="35"/>
  <c r="N42" i="35" s="1"/>
  <c r="K42" i="35"/>
  <c r="E42" i="35"/>
  <c r="B42" i="35"/>
  <c r="M41" i="35"/>
  <c r="N41" i="35" s="1"/>
  <c r="K41" i="35"/>
  <c r="E41" i="35"/>
  <c r="B41" i="35"/>
  <c r="M40" i="35"/>
  <c r="N40" i="35" s="1"/>
  <c r="K40" i="35"/>
  <c r="E40" i="35"/>
  <c r="B40" i="35"/>
  <c r="M39" i="35"/>
  <c r="N39" i="35" s="1"/>
  <c r="K39" i="35"/>
  <c r="E39" i="35"/>
  <c r="B39" i="35"/>
  <c r="M38" i="35"/>
  <c r="N38" i="35" s="1"/>
  <c r="K38" i="35"/>
  <c r="E38" i="35"/>
  <c r="B38" i="35"/>
  <c r="M37" i="35"/>
  <c r="N37" i="35" s="1"/>
  <c r="K37" i="35"/>
  <c r="E37" i="35"/>
  <c r="B37" i="35"/>
  <c r="M36" i="35"/>
  <c r="N36" i="35" s="1"/>
  <c r="K36" i="35"/>
  <c r="E36" i="35"/>
  <c r="B36" i="35"/>
  <c r="M35" i="35"/>
  <c r="N35" i="35" s="1"/>
  <c r="K35" i="35"/>
  <c r="E35" i="35"/>
  <c r="B35" i="35"/>
  <c r="M34" i="35"/>
  <c r="N34" i="35" s="1"/>
  <c r="K34" i="35"/>
  <c r="E34" i="35"/>
  <c r="B34" i="35"/>
  <c r="M33" i="35"/>
  <c r="N33" i="35" s="1"/>
  <c r="K33" i="35"/>
  <c r="E33" i="35"/>
  <c r="B33" i="35"/>
  <c r="M32" i="35"/>
  <c r="N32" i="35" s="1"/>
  <c r="K32" i="35"/>
  <c r="E32" i="35"/>
  <c r="B32" i="35"/>
  <c r="M31" i="35"/>
  <c r="N31" i="35" s="1"/>
  <c r="K31" i="35"/>
  <c r="E31" i="35"/>
  <c r="B31" i="35"/>
  <c r="M30" i="35"/>
  <c r="N30" i="35" s="1"/>
  <c r="K30" i="35"/>
  <c r="E30" i="35"/>
  <c r="B30" i="35"/>
  <c r="M29" i="35"/>
  <c r="N29" i="35" s="1"/>
  <c r="K29" i="35"/>
  <c r="E29" i="35"/>
  <c r="B29" i="35"/>
  <c r="M28" i="35"/>
  <c r="N28" i="35" s="1"/>
  <c r="K28" i="35"/>
  <c r="E28" i="35"/>
  <c r="B28" i="35"/>
  <c r="M27" i="35"/>
  <c r="N27" i="35" s="1"/>
  <c r="K27" i="35"/>
  <c r="E27" i="35"/>
  <c r="B27" i="35"/>
  <c r="M26" i="35"/>
  <c r="N26" i="35" s="1"/>
  <c r="K26" i="35"/>
  <c r="E26" i="35"/>
  <c r="B26" i="35"/>
  <c r="M25" i="35"/>
  <c r="N25" i="35" s="1"/>
  <c r="K25" i="35"/>
  <c r="E25" i="35"/>
  <c r="B25" i="35"/>
  <c r="M24" i="35"/>
  <c r="N24" i="35" s="1"/>
  <c r="K24" i="35"/>
  <c r="E24" i="35"/>
  <c r="B24" i="35"/>
  <c r="N23" i="35"/>
  <c r="M23" i="35"/>
  <c r="K23" i="35"/>
  <c r="E23" i="35"/>
  <c r="B23" i="35"/>
  <c r="M22" i="35"/>
  <c r="N22" i="35" s="1"/>
  <c r="K22" i="35"/>
  <c r="E22" i="35"/>
  <c r="B22" i="35"/>
  <c r="M21" i="35"/>
  <c r="N21" i="35" s="1"/>
  <c r="K21" i="35"/>
  <c r="E21" i="35"/>
  <c r="B21" i="35"/>
  <c r="M20" i="35"/>
  <c r="N20" i="35" s="1"/>
  <c r="K20" i="35"/>
  <c r="E20" i="35"/>
  <c r="B20" i="35"/>
  <c r="M19" i="35"/>
  <c r="N19" i="35" s="1"/>
  <c r="K19" i="35"/>
  <c r="E19" i="35"/>
  <c r="B19" i="35"/>
  <c r="M18" i="35"/>
  <c r="N18" i="35" s="1"/>
  <c r="K18" i="35"/>
  <c r="E18" i="35"/>
  <c r="B18" i="35"/>
  <c r="M17" i="35"/>
  <c r="N17" i="35" s="1"/>
  <c r="K17" i="35"/>
  <c r="E17" i="35"/>
  <c r="B17" i="35"/>
  <c r="M16" i="35"/>
  <c r="N16" i="35" s="1"/>
  <c r="K16" i="35"/>
  <c r="E16" i="35"/>
  <c r="B16" i="35"/>
  <c r="N15" i="35"/>
  <c r="M15" i="35"/>
  <c r="K15" i="35"/>
  <c r="E15" i="35"/>
  <c r="B15" i="35"/>
  <c r="M14" i="35"/>
  <c r="N14" i="35" s="1"/>
  <c r="K14" i="35"/>
  <c r="E14" i="35"/>
  <c r="B14" i="35"/>
  <c r="M13" i="35"/>
  <c r="N13" i="35" s="1"/>
  <c r="K13" i="35"/>
  <c r="E13" i="35"/>
  <c r="B13" i="35"/>
  <c r="M12" i="35"/>
  <c r="N12" i="35" s="1"/>
  <c r="K12" i="35"/>
  <c r="E12" i="35"/>
  <c r="B12" i="35"/>
  <c r="M11" i="35"/>
  <c r="N11" i="35" s="1"/>
  <c r="K11" i="35"/>
  <c r="E11" i="35"/>
  <c r="B11" i="35"/>
  <c r="M10" i="35"/>
  <c r="N10" i="35" s="1"/>
  <c r="K10" i="35"/>
  <c r="E10" i="35"/>
  <c r="B10" i="35"/>
  <c r="M9" i="35"/>
  <c r="N9" i="35" s="1"/>
  <c r="K9" i="35"/>
  <c r="E9" i="35"/>
  <c r="B9" i="35"/>
  <c r="M8" i="35"/>
  <c r="N8" i="35" s="1"/>
  <c r="K8" i="35"/>
  <c r="E8" i="35"/>
  <c r="B8" i="35"/>
  <c r="M7" i="35"/>
  <c r="N7" i="35" s="1"/>
  <c r="K7" i="35"/>
  <c r="E7" i="35"/>
  <c r="B7" i="35"/>
  <c r="M6" i="35"/>
  <c r="N6" i="35" s="1"/>
  <c r="K6" i="35"/>
  <c r="E6" i="35"/>
  <c r="B6" i="35"/>
  <c r="M5" i="35"/>
  <c r="N5" i="35" s="1"/>
  <c r="K5" i="35"/>
  <c r="E5" i="35"/>
  <c r="B5" i="35"/>
  <c r="M4" i="35"/>
  <c r="N4" i="35" s="1"/>
  <c r="K4" i="35"/>
  <c r="E4" i="35"/>
  <c r="B4" i="35"/>
  <c r="V2" i="35"/>
  <c r="U2" i="35"/>
  <c r="T2" i="35"/>
  <c r="S2" i="35"/>
  <c r="R2" i="35"/>
  <c r="Q2" i="35"/>
  <c r="P2" i="35"/>
  <c r="O2" i="35"/>
  <c r="L2" i="35"/>
  <c r="J2" i="35"/>
  <c r="I2" i="35"/>
  <c r="H2" i="35"/>
  <c r="G2" i="35"/>
  <c r="F2" i="35"/>
  <c r="M134" i="34"/>
  <c r="N134" i="34" s="1"/>
  <c r="K134" i="34"/>
  <c r="E134" i="34"/>
  <c r="B134" i="34"/>
  <c r="M133" i="34"/>
  <c r="N133" i="34" s="1"/>
  <c r="K133" i="34"/>
  <c r="E133" i="34"/>
  <c r="B133" i="34"/>
  <c r="M132" i="34"/>
  <c r="N132" i="34" s="1"/>
  <c r="K132" i="34"/>
  <c r="E132" i="34"/>
  <c r="B132" i="34"/>
  <c r="M131" i="34"/>
  <c r="N131" i="34" s="1"/>
  <c r="K131" i="34"/>
  <c r="E131" i="34"/>
  <c r="B131" i="34"/>
  <c r="N130" i="34"/>
  <c r="M130" i="34"/>
  <c r="K130" i="34"/>
  <c r="E130" i="34"/>
  <c r="B130" i="34"/>
  <c r="N129" i="34"/>
  <c r="M129" i="34"/>
  <c r="K129" i="34"/>
  <c r="E129" i="34"/>
  <c r="B129" i="34"/>
  <c r="M128" i="34"/>
  <c r="N128" i="34" s="1"/>
  <c r="K128" i="34"/>
  <c r="E128" i="34"/>
  <c r="B128" i="34"/>
  <c r="M127" i="34"/>
  <c r="N127" i="34" s="1"/>
  <c r="K127" i="34"/>
  <c r="E127" i="34"/>
  <c r="B127" i="34"/>
  <c r="M126" i="34"/>
  <c r="N126" i="34" s="1"/>
  <c r="K126" i="34"/>
  <c r="E126" i="34"/>
  <c r="B126" i="34"/>
  <c r="M125" i="34"/>
  <c r="N125" i="34" s="1"/>
  <c r="K125" i="34"/>
  <c r="E125" i="34"/>
  <c r="B125" i="34"/>
  <c r="M124" i="34"/>
  <c r="N124" i="34" s="1"/>
  <c r="K124" i="34"/>
  <c r="E124" i="34"/>
  <c r="B124" i="34"/>
  <c r="M123" i="34"/>
  <c r="N123" i="34" s="1"/>
  <c r="K123" i="34"/>
  <c r="E123" i="34"/>
  <c r="B123" i="34"/>
  <c r="M122" i="34"/>
  <c r="N122" i="34" s="1"/>
  <c r="K122" i="34"/>
  <c r="E122" i="34"/>
  <c r="B122" i="34"/>
  <c r="M121" i="34"/>
  <c r="N121" i="34" s="1"/>
  <c r="K121" i="34"/>
  <c r="E121" i="34"/>
  <c r="B121" i="34"/>
  <c r="M120" i="34"/>
  <c r="N120" i="34" s="1"/>
  <c r="K120" i="34"/>
  <c r="E120" i="34"/>
  <c r="B120" i="34"/>
  <c r="M119" i="34"/>
  <c r="N119" i="34" s="1"/>
  <c r="K119" i="34"/>
  <c r="E119" i="34"/>
  <c r="B119" i="34"/>
  <c r="M118" i="34"/>
  <c r="N118" i="34" s="1"/>
  <c r="K118" i="34"/>
  <c r="E118" i="34"/>
  <c r="B118" i="34"/>
  <c r="M117" i="34"/>
  <c r="N117" i="34" s="1"/>
  <c r="K117" i="34"/>
  <c r="E117" i="34"/>
  <c r="B117" i="34"/>
  <c r="M116" i="34"/>
  <c r="N116" i="34" s="1"/>
  <c r="K116" i="34"/>
  <c r="E116" i="34"/>
  <c r="B116" i="34"/>
  <c r="M115" i="34"/>
  <c r="N115" i="34" s="1"/>
  <c r="K115" i="34"/>
  <c r="E115" i="34"/>
  <c r="B115" i="34"/>
  <c r="M114" i="34"/>
  <c r="N114" i="34" s="1"/>
  <c r="K114" i="34"/>
  <c r="E114" i="34"/>
  <c r="B114" i="34"/>
  <c r="N113" i="34"/>
  <c r="M113" i="34"/>
  <c r="K113" i="34"/>
  <c r="E113" i="34"/>
  <c r="B113" i="34"/>
  <c r="M112" i="34"/>
  <c r="N112" i="34" s="1"/>
  <c r="K112" i="34"/>
  <c r="E112" i="34"/>
  <c r="B112" i="34"/>
  <c r="M111" i="34"/>
  <c r="N111" i="34" s="1"/>
  <c r="K111" i="34"/>
  <c r="E111" i="34"/>
  <c r="B111" i="34"/>
  <c r="M110" i="34"/>
  <c r="N110" i="34" s="1"/>
  <c r="K110" i="34"/>
  <c r="E110" i="34"/>
  <c r="B110" i="34"/>
  <c r="M109" i="34"/>
  <c r="N109" i="34" s="1"/>
  <c r="K109" i="34"/>
  <c r="E109" i="34"/>
  <c r="B109" i="34"/>
  <c r="M108" i="34"/>
  <c r="N108" i="34" s="1"/>
  <c r="K108" i="34"/>
  <c r="E108" i="34"/>
  <c r="B108" i="34"/>
  <c r="M107" i="34"/>
  <c r="N107" i="34" s="1"/>
  <c r="K107" i="34"/>
  <c r="E107" i="34"/>
  <c r="B107" i="34"/>
  <c r="M106" i="34"/>
  <c r="N106" i="34" s="1"/>
  <c r="K106" i="34"/>
  <c r="E106" i="34"/>
  <c r="B106" i="34"/>
  <c r="M105" i="34"/>
  <c r="N105" i="34" s="1"/>
  <c r="K105" i="34"/>
  <c r="E105" i="34"/>
  <c r="B105" i="34"/>
  <c r="M104" i="34"/>
  <c r="N104" i="34" s="1"/>
  <c r="K104" i="34"/>
  <c r="E104" i="34"/>
  <c r="B104" i="34"/>
  <c r="M103" i="34"/>
  <c r="N103" i="34" s="1"/>
  <c r="K103" i="34"/>
  <c r="E103" i="34"/>
  <c r="B103" i="34"/>
  <c r="N102" i="34"/>
  <c r="M102" i="34"/>
  <c r="K102" i="34"/>
  <c r="E102" i="34"/>
  <c r="B102" i="34"/>
  <c r="M101" i="34"/>
  <c r="N101" i="34" s="1"/>
  <c r="K101" i="34"/>
  <c r="E101" i="34"/>
  <c r="B101" i="34"/>
  <c r="M100" i="34"/>
  <c r="N100" i="34" s="1"/>
  <c r="K100" i="34"/>
  <c r="E100" i="34"/>
  <c r="B100" i="34"/>
  <c r="M99" i="34"/>
  <c r="N99" i="34" s="1"/>
  <c r="K99" i="34"/>
  <c r="E99" i="34"/>
  <c r="B99" i="34"/>
  <c r="M98" i="34"/>
  <c r="N98" i="34" s="1"/>
  <c r="K98" i="34"/>
  <c r="E98" i="34"/>
  <c r="B98" i="34"/>
  <c r="M97" i="34"/>
  <c r="N97" i="34" s="1"/>
  <c r="K97" i="34"/>
  <c r="E97" i="34"/>
  <c r="B97" i="34"/>
  <c r="M96" i="34"/>
  <c r="N96" i="34" s="1"/>
  <c r="K96" i="34"/>
  <c r="E96" i="34"/>
  <c r="B96" i="34"/>
  <c r="M95" i="34"/>
  <c r="N95" i="34" s="1"/>
  <c r="K95" i="34"/>
  <c r="E95" i="34"/>
  <c r="B95" i="34"/>
  <c r="M94" i="34"/>
  <c r="N94" i="34" s="1"/>
  <c r="K94" i="34"/>
  <c r="E94" i="34"/>
  <c r="B94" i="34"/>
  <c r="M93" i="34"/>
  <c r="N93" i="34" s="1"/>
  <c r="K93" i="34"/>
  <c r="E93" i="34"/>
  <c r="B93" i="34"/>
  <c r="M92" i="34"/>
  <c r="N92" i="34" s="1"/>
  <c r="K92" i="34"/>
  <c r="E92" i="34"/>
  <c r="B92" i="34"/>
  <c r="M91" i="34"/>
  <c r="N91" i="34" s="1"/>
  <c r="K91" i="34"/>
  <c r="E91" i="34"/>
  <c r="B91" i="34"/>
  <c r="M90" i="34"/>
  <c r="N90" i="34" s="1"/>
  <c r="K90" i="34"/>
  <c r="E90" i="34"/>
  <c r="B90" i="34"/>
  <c r="M89" i="34"/>
  <c r="N89" i="34" s="1"/>
  <c r="K89" i="34"/>
  <c r="E89" i="34"/>
  <c r="B89" i="34"/>
  <c r="M88" i="34"/>
  <c r="N88" i="34" s="1"/>
  <c r="K88" i="34"/>
  <c r="E88" i="34"/>
  <c r="B88" i="34"/>
  <c r="M87" i="34"/>
  <c r="N87" i="34" s="1"/>
  <c r="K87" i="34"/>
  <c r="E87" i="34"/>
  <c r="B87" i="34"/>
  <c r="M86" i="34"/>
  <c r="N86" i="34" s="1"/>
  <c r="K86" i="34"/>
  <c r="E86" i="34"/>
  <c r="B86" i="34"/>
  <c r="M85" i="34"/>
  <c r="N85" i="34" s="1"/>
  <c r="K85" i="34"/>
  <c r="E85" i="34"/>
  <c r="B85" i="34"/>
  <c r="M84" i="34"/>
  <c r="N84" i="34" s="1"/>
  <c r="K84" i="34"/>
  <c r="E84" i="34"/>
  <c r="B84" i="34"/>
  <c r="M83" i="34"/>
  <c r="N83" i="34" s="1"/>
  <c r="K83" i="34"/>
  <c r="E83" i="34"/>
  <c r="B83" i="34"/>
  <c r="M82" i="34"/>
  <c r="N82" i="34" s="1"/>
  <c r="K82" i="34"/>
  <c r="E82" i="34"/>
  <c r="B82" i="34"/>
  <c r="M81" i="34"/>
  <c r="N81" i="34" s="1"/>
  <c r="K81" i="34"/>
  <c r="E81" i="34"/>
  <c r="B81" i="34"/>
  <c r="M80" i="34"/>
  <c r="N80" i="34" s="1"/>
  <c r="K80" i="34"/>
  <c r="E80" i="34"/>
  <c r="B80" i="34"/>
  <c r="M79" i="34"/>
  <c r="N79" i="34" s="1"/>
  <c r="K79" i="34"/>
  <c r="E79" i="34"/>
  <c r="B79" i="34"/>
  <c r="N78" i="34"/>
  <c r="M78" i="34"/>
  <c r="K78" i="34"/>
  <c r="E78" i="34"/>
  <c r="B78" i="34"/>
  <c r="M77" i="34"/>
  <c r="N77" i="34" s="1"/>
  <c r="K77" i="34"/>
  <c r="E77" i="34"/>
  <c r="B77" i="34"/>
  <c r="M76" i="34"/>
  <c r="N76" i="34" s="1"/>
  <c r="K76" i="34"/>
  <c r="E76" i="34"/>
  <c r="B76" i="34"/>
  <c r="M75" i="34"/>
  <c r="N75" i="34" s="1"/>
  <c r="K75" i="34"/>
  <c r="E75" i="34"/>
  <c r="B75" i="34"/>
  <c r="M74" i="34"/>
  <c r="N74" i="34" s="1"/>
  <c r="K74" i="34"/>
  <c r="E74" i="34"/>
  <c r="B74" i="34"/>
  <c r="M73" i="34"/>
  <c r="N73" i="34" s="1"/>
  <c r="K73" i="34"/>
  <c r="E73" i="34"/>
  <c r="B73" i="34"/>
  <c r="M72" i="34"/>
  <c r="N72" i="34" s="1"/>
  <c r="K72" i="34"/>
  <c r="E72" i="34"/>
  <c r="B72" i="34"/>
  <c r="M71" i="34"/>
  <c r="N71" i="34" s="1"/>
  <c r="K71" i="34"/>
  <c r="E71" i="34"/>
  <c r="B71" i="34"/>
  <c r="N70" i="34"/>
  <c r="M70" i="34"/>
  <c r="K70" i="34"/>
  <c r="E70" i="34"/>
  <c r="B70" i="34"/>
  <c r="M69" i="34"/>
  <c r="N69" i="34" s="1"/>
  <c r="K69" i="34"/>
  <c r="E69" i="34"/>
  <c r="B69" i="34"/>
  <c r="M68" i="34"/>
  <c r="N68" i="34" s="1"/>
  <c r="K68" i="34"/>
  <c r="E68" i="34"/>
  <c r="B68" i="34"/>
  <c r="M67" i="34"/>
  <c r="N67" i="34" s="1"/>
  <c r="K67" i="34"/>
  <c r="E67" i="34"/>
  <c r="B67" i="34"/>
  <c r="M66" i="34"/>
  <c r="N66" i="34" s="1"/>
  <c r="K66" i="34"/>
  <c r="E66" i="34"/>
  <c r="B66" i="34"/>
  <c r="M65" i="34"/>
  <c r="N65" i="34" s="1"/>
  <c r="K65" i="34"/>
  <c r="E65" i="34"/>
  <c r="B65" i="34"/>
  <c r="M64" i="34"/>
  <c r="N64" i="34" s="1"/>
  <c r="K64" i="34"/>
  <c r="E64" i="34"/>
  <c r="B64" i="34"/>
  <c r="M63" i="34"/>
  <c r="N63" i="34" s="1"/>
  <c r="K63" i="34"/>
  <c r="E63" i="34"/>
  <c r="B63" i="34"/>
  <c r="M62" i="34"/>
  <c r="N62" i="34" s="1"/>
  <c r="K62" i="34"/>
  <c r="E62" i="34"/>
  <c r="B62" i="34"/>
  <c r="M61" i="34"/>
  <c r="N61" i="34" s="1"/>
  <c r="K61" i="34"/>
  <c r="E61" i="34"/>
  <c r="B61" i="34"/>
  <c r="M60" i="34"/>
  <c r="N60" i="34" s="1"/>
  <c r="K60" i="34"/>
  <c r="E60" i="34"/>
  <c r="B60" i="34"/>
  <c r="M59" i="34"/>
  <c r="N59" i="34" s="1"/>
  <c r="K59" i="34"/>
  <c r="E59" i="34"/>
  <c r="B59" i="34"/>
  <c r="M58" i="34"/>
  <c r="N58" i="34" s="1"/>
  <c r="K58" i="34"/>
  <c r="E58" i="34"/>
  <c r="B58" i="34"/>
  <c r="M57" i="34"/>
  <c r="N57" i="34" s="1"/>
  <c r="K57" i="34"/>
  <c r="E57" i="34"/>
  <c r="B57" i="34"/>
  <c r="M56" i="34"/>
  <c r="N56" i="34" s="1"/>
  <c r="K56" i="34"/>
  <c r="E56" i="34"/>
  <c r="B56" i="34"/>
  <c r="M55" i="34"/>
  <c r="N55" i="34" s="1"/>
  <c r="K55" i="34"/>
  <c r="E55" i="34"/>
  <c r="B55" i="34"/>
  <c r="M54" i="34"/>
  <c r="N54" i="34" s="1"/>
  <c r="K54" i="34"/>
  <c r="E54" i="34"/>
  <c r="B54" i="34"/>
  <c r="M53" i="34"/>
  <c r="N53" i="34" s="1"/>
  <c r="K53" i="34"/>
  <c r="E53" i="34"/>
  <c r="B53" i="34"/>
  <c r="M52" i="34"/>
  <c r="N52" i="34" s="1"/>
  <c r="K52" i="34"/>
  <c r="E52" i="34"/>
  <c r="B52" i="34"/>
  <c r="M51" i="34"/>
  <c r="N51" i="34" s="1"/>
  <c r="K51" i="34"/>
  <c r="E51" i="34"/>
  <c r="B51" i="34"/>
  <c r="M50" i="34"/>
  <c r="N50" i="34" s="1"/>
  <c r="K50" i="34"/>
  <c r="E50" i="34"/>
  <c r="B50" i="34"/>
  <c r="M49" i="34"/>
  <c r="N49" i="34" s="1"/>
  <c r="K49" i="34"/>
  <c r="E49" i="34"/>
  <c r="B49" i="34"/>
  <c r="M48" i="34"/>
  <c r="N48" i="34" s="1"/>
  <c r="K48" i="34"/>
  <c r="E48" i="34"/>
  <c r="B48" i="34"/>
  <c r="M47" i="34"/>
  <c r="N47" i="34" s="1"/>
  <c r="K47" i="34"/>
  <c r="E47" i="34"/>
  <c r="B47" i="34"/>
  <c r="N46" i="34"/>
  <c r="M46" i="34"/>
  <c r="K46" i="34"/>
  <c r="E46" i="34"/>
  <c r="B46" i="34"/>
  <c r="M45" i="34"/>
  <c r="N45" i="34" s="1"/>
  <c r="K45" i="34"/>
  <c r="E45" i="34"/>
  <c r="B45" i="34"/>
  <c r="M44" i="34"/>
  <c r="N44" i="34" s="1"/>
  <c r="K44" i="34"/>
  <c r="E44" i="34"/>
  <c r="B44" i="34"/>
  <c r="M43" i="34"/>
  <c r="N43" i="34" s="1"/>
  <c r="K43" i="34"/>
  <c r="E43" i="34"/>
  <c r="B43" i="34"/>
  <c r="M42" i="34"/>
  <c r="N42" i="34" s="1"/>
  <c r="K42" i="34"/>
  <c r="E42" i="34"/>
  <c r="B42" i="34"/>
  <c r="M41" i="34"/>
  <c r="N41" i="34" s="1"/>
  <c r="K41" i="34"/>
  <c r="E41" i="34"/>
  <c r="B41" i="34"/>
  <c r="M40" i="34"/>
  <c r="N40" i="34" s="1"/>
  <c r="K40" i="34"/>
  <c r="E40" i="34"/>
  <c r="B40" i="34"/>
  <c r="M39" i="34"/>
  <c r="N39" i="34" s="1"/>
  <c r="K39" i="34"/>
  <c r="E39" i="34"/>
  <c r="B39" i="34"/>
  <c r="M38" i="34"/>
  <c r="N38" i="34" s="1"/>
  <c r="K38" i="34"/>
  <c r="E38" i="34"/>
  <c r="B38" i="34"/>
  <c r="M37" i="34"/>
  <c r="N37" i="34" s="1"/>
  <c r="K37" i="34"/>
  <c r="E37" i="34"/>
  <c r="B37" i="34"/>
  <c r="M36" i="34"/>
  <c r="N36" i="34" s="1"/>
  <c r="K36" i="34"/>
  <c r="E36" i="34"/>
  <c r="B36" i="34"/>
  <c r="M35" i="34"/>
  <c r="N35" i="34" s="1"/>
  <c r="K35" i="34"/>
  <c r="E35" i="34"/>
  <c r="B35" i="34"/>
  <c r="M34" i="34"/>
  <c r="N34" i="34" s="1"/>
  <c r="K34" i="34"/>
  <c r="E34" i="34"/>
  <c r="B34" i="34"/>
  <c r="M33" i="34"/>
  <c r="N33" i="34" s="1"/>
  <c r="K33" i="34"/>
  <c r="E33" i="34"/>
  <c r="B33" i="34"/>
  <c r="M32" i="34"/>
  <c r="N32" i="34" s="1"/>
  <c r="K32" i="34"/>
  <c r="E32" i="34"/>
  <c r="B32" i="34"/>
  <c r="M31" i="34"/>
  <c r="N31" i="34" s="1"/>
  <c r="K31" i="34"/>
  <c r="E31" i="34"/>
  <c r="B31" i="34"/>
  <c r="M30" i="34"/>
  <c r="N30" i="34" s="1"/>
  <c r="K30" i="34"/>
  <c r="E30" i="34"/>
  <c r="B30" i="34"/>
  <c r="M29" i="34"/>
  <c r="N29" i="34" s="1"/>
  <c r="K29" i="34"/>
  <c r="E29" i="34"/>
  <c r="B29" i="34"/>
  <c r="M28" i="34"/>
  <c r="N28" i="34" s="1"/>
  <c r="K28" i="34"/>
  <c r="E28" i="34"/>
  <c r="B28" i="34"/>
  <c r="M27" i="34"/>
  <c r="N27" i="34" s="1"/>
  <c r="K27" i="34"/>
  <c r="E27" i="34"/>
  <c r="B27" i="34"/>
  <c r="M26" i="34"/>
  <c r="N26" i="34" s="1"/>
  <c r="K26" i="34"/>
  <c r="E26" i="34"/>
  <c r="B26" i="34"/>
  <c r="M25" i="34"/>
  <c r="N25" i="34" s="1"/>
  <c r="K25" i="34"/>
  <c r="E25" i="34"/>
  <c r="B25" i="34"/>
  <c r="M24" i="34"/>
  <c r="N24" i="34" s="1"/>
  <c r="K24" i="34"/>
  <c r="E24" i="34"/>
  <c r="B24" i="34"/>
  <c r="M23" i="34"/>
  <c r="N23" i="34" s="1"/>
  <c r="K23" i="34"/>
  <c r="E23" i="34"/>
  <c r="B23" i="34"/>
  <c r="M22" i="34"/>
  <c r="N22" i="34" s="1"/>
  <c r="K22" i="34"/>
  <c r="E22" i="34"/>
  <c r="B22" i="34"/>
  <c r="M21" i="34"/>
  <c r="N21" i="34" s="1"/>
  <c r="K21" i="34"/>
  <c r="E21" i="34"/>
  <c r="B21" i="34"/>
  <c r="M20" i="34"/>
  <c r="N20" i="34" s="1"/>
  <c r="K20" i="34"/>
  <c r="E20" i="34"/>
  <c r="B20" i="34"/>
  <c r="M19" i="34"/>
  <c r="N19" i="34" s="1"/>
  <c r="K19" i="34"/>
  <c r="E19" i="34"/>
  <c r="B19" i="34"/>
  <c r="M18" i="34"/>
  <c r="N18" i="34" s="1"/>
  <c r="K18" i="34"/>
  <c r="E18" i="34"/>
  <c r="B18" i="34"/>
  <c r="M17" i="34"/>
  <c r="N17" i="34" s="1"/>
  <c r="K17" i="34"/>
  <c r="E17" i="34"/>
  <c r="B17" i="34"/>
  <c r="M16" i="34"/>
  <c r="N16" i="34" s="1"/>
  <c r="K16" i="34"/>
  <c r="E16" i="34"/>
  <c r="B16" i="34"/>
  <c r="M15" i="34"/>
  <c r="N15" i="34" s="1"/>
  <c r="K15" i="34"/>
  <c r="E15" i="34"/>
  <c r="B15" i="34"/>
  <c r="N14" i="34"/>
  <c r="M14" i="34"/>
  <c r="K14" i="34"/>
  <c r="E14" i="34"/>
  <c r="B14" i="34"/>
  <c r="M13" i="34"/>
  <c r="N13" i="34" s="1"/>
  <c r="K13" i="34"/>
  <c r="E13" i="34"/>
  <c r="B13" i="34"/>
  <c r="M12" i="34"/>
  <c r="N12" i="34" s="1"/>
  <c r="K12" i="34"/>
  <c r="E12" i="34"/>
  <c r="B12" i="34"/>
  <c r="M11" i="34"/>
  <c r="N11" i="34" s="1"/>
  <c r="K11" i="34"/>
  <c r="E11" i="34"/>
  <c r="B11" i="34"/>
  <c r="M10" i="34"/>
  <c r="N10" i="34" s="1"/>
  <c r="K10" i="34"/>
  <c r="E10" i="34"/>
  <c r="B10" i="34"/>
  <c r="M9" i="34"/>
  <c r="N9" i="34" s="1"/>
  <c r="K9" i="34"/>
  <c r="E9" i="34"/>
  <c r="B9" i="34"/>
  <c r="M8" i="34"/>
  <c r="N8" i="34" s="1"/>
  <c r="K8" i="34"/>
  <c r="E8" i="34"/>
  <c r="B8" i="34"/>
  <c r="M7" i="34"/>
  <c r="N7" i="34" s="1"/>
  <c r="K7" i="34"/>
  <c r="E7" i="34"/>
  <c r="B7" i="34"/>
  <c r="M6" i="34"/>
  <c r="N6" i="34" s="1"/>
  <c r="K6" i="34"/>
  <c r="E6" i="34"/>
  <c r="B6" i="34"/>
  <c r="M5" i="34"/>
  <c r="N5" i="34" s="1"/>
  <c r="K5" i="34"/>
  <c r="E5" i="34"/>
  <c r="B5" i="34"/>
  <c r="M4" i="34"/>
  <c r="N4" i="34" s="1"/>
  <c r="K4" i="34"/>
  <c r="E4" i="34"/>
  <c r="B4" i="34"/>
  <c r="V2" i="34"/>
  <c r="U2" i="34"/>
  <c r="T2" i="34"/>
  <c r="S2" i="34"/>
  <c r="R2" i="34"/>
  <c r="Q2" i="34"/>
  <c r="P2" i="34"/>
  <c r="O2" i="34"/>
  <c r="L2" i="34"/>
  <c r="J2" i="34"/>
  <c r="I2" i="34"/>
  <c r="H2" i="34"/>
  <c r="G2" i="34"/>
  <c r="K2" i="34" s="1"/>
  <c r="F2" i="34"/>
  <c r="E134" i="33"/>
  <c r="B134" i="33"/>
  <c r="E133" i="33"/>
  <c r="B133" i="33"/>
  <c r="E132" i="33"/>
  <c r="B132" i="33"/>
  <c r="E131" i="33"/>
  <c r="B131" i="33"/>
  <c r="E130" i="33"/>
  <c r="B130" i="33"/>
  <c r="E129" i="33"/>
  <c r="B129" i="33"/>
  <c r="E128" i="33"/>
  <c r="B128" i="33"/>
  <c r="E127" i="33"/>
  <c r="B127" i="33"/>
  <c r="E126" i="33"/>
  <c r="B126" i="33"/>
  <c r="E125" i="33"/>
  <c r="B125" i="33"/>
  <c r="E124" i="33"/>
  <c r="B124" i="33"/>
  <c r="E123" i="33"/>
  <c r="B123" i="33"/>
  <c r="E122" i="33"/>
  <c r="B122" i="33"/>
  <c r="E121" i="33"/>
  <c r="B121" i="33"/>
  <c r="E120" i="33"/>
  <c r="B120" i="33"/>
  <c r="E119" i="33"/>
  <c r="B119" i="33"/>
  <c r="E118" i="33"/>
  <c r="B118" i="33"/>
  <c r="E117" i="33"/>
  <c r="B117" i="33"/>
  <c r="E116" i="33"/>
  <c r="B116" i="33"/>
  <c r="E115" i="33"/>
  <c r="B115" i="33"/>
  <c r="E114" i="33"/>
  <c r="B114" i="33"/>
  <c r="E113" i="33"/>
  <c r="B113" i="33"/>
  <c r="E112" i="33"/>
  <c r="B112" i="33"/>
  <c r="E111" i="33"/>
  <c r="B111" i="33"/>
  <c r="E110" i="33"/>
  <c r="B110" i="33"/>
  <c r="E109" i="33"/>
  <c r="B109" i="33"/>
  <c r="E108" i="33"/>
  <c r="B108" i="33"/>
  <c r="E107" i="33"/>
  <c r="B107" i="33"/>
  <c r="E106" i="33"/>
  <c r="B106" i="33"/>
  <c r="E105" i="33"/>
  <c r="B105" i="33"/>
  <c r="E104" i="33"/>
  <c r="B104" i="33"/>
  <c r="E103" i="33"/>
  <c r="B103" i="33"/>
  <c r="E102" i="33"/>
  <c r="B102" i="33"/>
  <c r="E101" i="33"/>
  <c r="B101" i="33"/>
  <c r="E100" i="33"/>
  <c r="B100" i="33"/>
  <c r="E99" i="33"/>
  <c r="B99" i="33"/>
  <c r="E98" i="33"/>
  <c r="B98" i="33"/>
  <c r="E97" i="33"/>
  <c r="B97" i="33"/>
  <c r="E96" i="33"/>
  <c r="B96" i="33"/>
  <c r="E95" i="33"/>
  <c r="B95" i="33"/>
  <c r="E94" i="33"/>
  <c r="B94" i="33"/>
  <c r="E93" i="33"/>
  <c r="B93" i="33"/>
  <c r="E92" i="33"/>
  <c r="B92" i="33"/>
  <c r="E91" i="33"/>
  <c r="B91" i="33"/>
  <c r="E90" i="33"/>
  <c r="B90" i="33"/>
  <c r="E89" i="33"/>
  <c r="B89" i="33"/>
  <c r="E88" i="33"/>
  <c r="B88" i="33"/>
  <c r="E87" i="33"/>
  <c r="B87" i="33"/>
  <c r="E86" i="33"/>
  <c r="B86" i="33"/>
  <c r="E85" i="33"/>
  <c r="B85" i="33"/>
  <c r="E84" i="33"/>
  <c r="B84" i="33"/>
  <c r="E83" i="33"/>
  <c r="B83" i="33"/>
  <c r="E82" i="33"/>
  <c r="B82" i="33"/>
  <c r="E81" i="33"/>
  <c r="B81" i="33"/>
  <c r="E80" i="33"/>
  <c r="B80" i="33"/>
  <c r="E79" i="33"/>
  <c r="B79" i="33"/>
  <c r="E78" i="33"/>
  <c r="B78" i="33"/>
  <c r="E77" i="33"/>
  <c r="B77" i="33"/>
  <c r="E76" i="33"/>
  <c r="B76" i="33"/>
  <c r="E75" i="33"/>
  <c r="B75" i="33"/>
  <c r="E74" i="33"/>
  <c r="B74" i="33"/>
  <c r="E73" i="33"/>
  <c r="B73" i="33"/>
  <c r="E72" i="33"/>
  <c r="B72" i="33"/>
  <c r="E71" i="33"/>
  <c r="B71" i="33"/>
  <c r="E70" i="33"/>
  <c r="B70" i="33"/>
  <c r="E69" i="33"/>
  <c r="B69" i="33"/>
  <c r="E68" i="33"/>
  <c r="B68" i="33"/>
  <c r="E67" i="33"/>
  <c r="B67" i="33"/>
  <c r="E66" i="33"/>
  <c r="B66" i="33"/>
  <c r="E65" i="33"/>
  <c r="B65" i="33"/>
  <c r="E64" i="33"/>
  <c r="B64" i="33"/>
  <c r="E63" i="33"/>
  <c r="B63" i="33"/>
  <c r="E62" i="33"/>
  <c r="B62" i="33"/>
  <c r="E61" i="33"/>
  <c r="B61" i="33"/>
  <c r="E60" i="33"/>
  <c r="B60" i="33"/>
  <c r="E59" i="33"/>
  <c r="B59" i="33"/>
  <c r="E58" i="33"/>
  <c r="B58" i="33"/>
  <c r="E57" i="33"/>
  <c r="B57" i="33"/>
  <c r="E56" i="33"/>
  <c r="B56" i="33"/>
  <c r="E55" i="33"/>
  <c r="B55" i="33"/>
  <c r="E54" i="33"/>
  <c r="B54" i="33"/>
  <c r="E53" i="33"/>
  <c r="B53" i="33"/>
  <c r="E52" i="33"/>
  <c r="B52" i="33"/>
  <c r="E51" i="33"/>
  <c r="B51" i="33"/>
  <c r="E50" i="33"/>
  <c r="B50" i="33"/>
  <c r="E49" i="33"/>
  <c r="B49" i="33"/>
  <c r="E48" i="33"/>
  <c r="B48" i="33"/>
  <c r="E47" i="33"/>
  <c r="B47" i="33"/>
  <c r="E46" i="33"/>
  <c r="B46" i="33"/>
  <c r="E45" i="33"/>
  <c r="B45" i="33"/>
  <c r="E44" i="33"/>
  <c r="B44" i="33"/>
  <c r="E43" i="33"/>
  <c r="B43" i="33"/>
  <c r="E42" i="33"/>
  <c r="B42" i="33"/>
  <c r="E41" i="33"/>
  <c r="B41" i="33"/>
  <c r="E40" i="33"/>
  <c r="B40" i="33"/>
  <c r="E39" i="33"/>
  <c r="B39" i="33"/>
  <c r="E38" i="33"/>
  <c r="B38" i="33"/>
  <c r="E37" i="33"/>
  <c r="B37" i="33"/>
  <c r="E36" i="33"/>
  <c r="B36" i="33"/>
  <c r="E35" i="33"/>
  <c r="B35" i="33"/>
  <c r="E34" i="33"/>
  <c r="B34" i="33"/>
  <c r="E33" i="33"/>
  <c r="B33" i="33"/>
  <c r="E32" i="33"/>
  <c r="B32" i="33"/>
  <c r="E31" i="33"/>
  <c r="B31" i="33"/>
  <c r="E30" i="33"/>
  <c r="B30" i="33"/>
  <c r="E29" i="33"/>
  <c r="B29" i="33"/>
  <c r="E28" i="33"/>
  <c r="B28" i="33"/>
  <c r="E27" i="33"/>
  <c r="B27" i="33"/>
  <c r="E26" i="33"/>
  <c r="B26" i="33"/>
  <c r="E25" i="33"/>
  <c r="B25" i="33"/>
  <c r="E24" i="33"/>
  <c r="B24" i="33"/>
  <c r="E23" i="33"/>
  <c r="B23" i="33"/>
  <c r="E22" i="33"/>
  <c r="B22" i="33"/>
  <c r="E21" i="33"/>
  <c r="B21" i="33"/>
  <c r="E20" i="33"/>
  <c r="B20" i="33"/>
  <c r="E19" i="33"/>
  <c r="B19" i="33"/>
  <c r="E18" i="33"/>
  <c r="B18" i="33"/>
  <c r="E17" i="33"/>
  <c r="B17" i="33"/>
  <c r="E16" i="33"/>
  <c r="B16" i="33"/>
  <c r="E15" i="33"/>
  <c r="B15" i="33"/>
  <c r="E14" i="33"/>
  <c r="B14" i="33"/>
  <c r="E13" i="33"/>
  <c r="B13" i="33"/>
  <c r="E12" i="33"/>
  <c r="B12" i="33"/>
  <c r="E11" i="33"/>
  <c r="B11" i="33"/>
  <c r="E10" i="33"/>
  <c r="B10" i="33"/>
  <c r="E9" i="33"/>
  <c r="B9" i="33"/>
  <c r="E8" i="33"/>
  <c r="B8" i="33"/>
  <c r="E7" i="33"/>
  <c r="B7" i="33"/>
  <c r="E6" i="33"/>
  <c r="B6" i="33"/>
  <c r="E5" i="33"/>
  <c r="B5" i="33"/>
  <c r="M4" i="33"/>
  <c r="N4" i="33" s="1"/>
  <c r="E4" i="33"/>
  <c r="B4" i="33"/>
  <c r="V2" i="33"/>
  <c r="U2" i="33"/>
  <c r="T2" i="33"/>
  <c r="S2" i="33"/>
  <c r="R2" i="33"/>
  <c r="Q2" i="33"/>
  <c r="P2" i="33"/>
  <c r="O2" i="33"/>
  <c r="L2" i="33"/>
  <c r="J2" i="33"/>
  <c r="I2" i="33"/>
  <c r="H2" i="33"/>
  <c r="G2" i="33"/>
  <c r="F2" i="33"/>
  <c r="E134" i="25"/>
  <c r="B134" i="25"/>
  <c r="E133" i="25"/>
  <c r="B133" i="25"/>
  <c r="E132" i="25"/>
  <c r="B132" i="25"/>
  <c r="E131" i="25"/>
  <c r="B131" i="25"/>
  <c r="E130" i="25"/>
  <c r="B130" i="25"/>
  <c r="E129" i="25"/>
  <c r="B129" i="25"/>
  <c r="E128" i="25"/>
  <c r="B128" i="25"/>
  <c r="E127" i="25"/>
  <c r="B127" i="25"/>
  <c r="E126" i="25"/>
  <c r="B126" i="25"/>
  <c r="E125" i="25"/>
  <c r="B125" i="25"/>
  <c r="E124" i="25"/>
  <c r="B124" i="25"/>
  <c r="E123" i="25"/>
  <c r="B123" i="25"/>
  <c r="E122" i="25"/>
  <c r="B122" i="25"/>
  <c r="E121" i="25"/>
  <c r="B121" i="25"/>
  <c r="E120" i="25"/>
  <c r="B120" i="25"/>
  <c r="E119" i="25"/>
  <c r="B119" i="25"/>
  <c r="E118" i="25"/>
  <c r="B118" i="25"/>
  <c r="E117" i="25"/>
  <c r="B117" i="25"/>
  <c r="E116" i="25"/>
  <c r="B116" i="25"/>
  <c r="E115" i="25"/>
  <c r="B115" i="25"/>
  <c r="E114" i="25"/>
  <c r="B114" i="25"/>
  <c r="E113" i="25"/>
  <c r="B113" i="25"/>
  <c r="E112" i="25"/>
  <c r="B112" i="25"/>
  <c r="E111" i="25"/>
  <c r="B111" i="25"/>
  <c r="E110" i="25"/>
  <c r="B110" i="25"/>
  <c r="E109" i="25"/>
  <c r="B109" i="25"/>
  <c r="E108" i="25"/>
  <c r="B108" i="25"/>
  <c r="E107" i="25"/>
  <c r="B107" i="25"/>
  <c r="E106" i="25"/>
  <c r="B106" i="25"/>
  <c r="E105" i="25"/>
  <c r="B105" i="25"/>
  <c r="E104" i="25"/>
  <c r="B104" i="25"/>
  <c r="E103" i="25"/>
  <c r="B103" i="25"/>
  <c r="E102" i="25"/>
  <c r="B102" i="25"/>
  <c r="E101" i="25"/>
  <c r="B101" i="25"/>
  <c r="E100" i="25"/>
  <c r="B100" i="25"/>
  <c r="E99" i="25"/>
  <c r="B99" i="25"/>
  <c r="E98" i="25"/>
  <c r="B98" i="25"/>
  <c r="E97" i="25"/>
  <c r="B97" i="25"/>
  <c r="E96" i="25"/>
  <c r="B96" i="25"/>
  <c r="E95" i="25"/>
  <c r="B95" i="25"/>
  <c r="E94" i="25"/>
  <c r="B94" i="25"/>
  <c r="E93" i="25"/>
  <c r="B93" i="25"/>
  <c r="E92" i="25"/>
  <c r="B92" i="25"/>
  <c r="E91" i="25"/>
  <c r="B91" i="25"/>
  <c r="E90" i="25"/>
  <c r="B90" i="25"/>
  <c r="E89" i="25"/>
  <c r="B89" i="25"/>
  <c r="E88" i="25"/>
  <c r="B88" i="25"/>
  <c r="E87" i="25"/>
  <c r="B87" i="25"/>
  <c r="E86" i="25"/>
  <c r="B86" i="25"/>
  <c r="E85" i="25"/>
  <c r="B85" i="25"/>
  <c r="E84" i="25"/>
  <c r="B84" i="25"/>
  <c r="E83" i="25"/>
  <c r="B83" i="25"/>
  <c r="E82" i="25"/>
  <c r="B82" i="25"/>
  <c r="E81" i="25"/>
  <c r="B81" i="25"/>
  <c r="E80" i="25"/>
  <c r="B80" i="25"/>
  <c r="E79" i="25"/>
  <c r="B79" i="25"/>
  <c r="E78" i="25"/>
  <c r="B78" i="25"/>
  <c r="E77" i="25"/>
  <c r="B77" i="25"/>
  <c r="E76" i="25"/>
  <c r="B76" i="25"/>
  <c r="E75" i="25"/>
  <c r="B75" i="25"/>
  <c r="E74" i="25"/>
  <c r="B74" i="25"/>
  <c r="E73" i="25"/>
  <c r="B73" i="25"/>
  <c r="E72" i="25"/>
  <c r="B72" i="25"/>
  <c r="E71" i="25"/>
  <c r="B71" i="25"/>
  <c r="E70" i="25"/>
  <c r="B70" i="25"/>
  <c r="E69" i="25"/>
  <c r="B69" i="25"/>
  <c r="E68" i="25"/>
  <c r="B68" i="25"/>
  <c r="E67" i="25"/>
  <c r="B67" i="25"/>
  <c r="E66" i="25"/>
  <c r="B66" i="25"/>
  <c r="E65" i="25"/>
  <c r="B65" i="25"/>
  <c r="E64" i="25"/>
  <c r="B64" i="25"/>
  <c r="E63" i="25"/>
  <c r="B63" i="25"/>
  <c r="E62" i="25"/>
  <c r="B62" i="25"/>
  <c r="E61" i="25"/>
  <c r="B61" i="25"/>
  <c r="E60" i="25"/>
  <c r="B60" i="25"/>
  <c r="E59" i="25"/>
  <c r="B59" i="25"/>
  <c r="E58" i="25"/>
  <c r="B58" i="25"/>
  <c r="E57" i="25"/>
  <c r="B57" i="25"/>
  <c r="E56" i="25"/>
  <c r="B56" i="25"/>
  <c r="E55" i="25"/>
  <c r="B55" i="25"/>
  <c r="E54" i="25"/>
  <c r="B54" i="25"/>
  <c r="E53" i="25"/>
  <c r="B53" i="25"/>
  <c r="E52" i="25"/>
  <c r="B52" i="25"/>
  <c r="E51" i="25"/>
  <c r="B51" i="25"/>
  <c r="E50" i="25"/>
  <c r="B50" i="25"/>
  <c r="E49" i="25"/>
  <c r="B49" i="25"/>
  <c r="E48" i="25"/>
  <c r="B48" i="25"/>
  <c r="E47" i="25"/>
  <c r="B47" i="25"/>
  <c r="E46" i="25"/>
  <c r="B46" i="25"/>
  <c r="E45" i="25"/>
  <c r="B45" i="25"/>
  <c r="E44" i="25"/>
  <c r="B44" i="25"/>
  <c r="E43" i="25"/>
  <c r="B43" i="25"/>
  <c r="E42" i="25"/>
  <c r="B42" i="25"/>
  <c r="E41" i="25"/>
  <c r="B41" i="25"/>
  <c r="E40" i="25"/>
  <c r="B40" i="25"/>
  <c r="E39" i="25"/>
  <c r="B39" i="25"/>
  <c r="E38" i="25"/>
  <c r="B38" i="25"/>
  <c r="E37" i="25"/>
  <c r="B37" i="25"/>
  <c r="E36" i="25"/>
  <c r="B36" i="25"/>
  <c r="E35" i="25"/>
  <c r="B35" i="25"/>
  <c r="E34" i="25"/>
  <c r="B34" i="25"/>
  <c r="E33" i="25"/>
  <c r="B33" i="25"/>
  <c r="E32" i="25"/>
  <c r="B32" i="25"/>
  <c r="E31" i="25"/>
  <c r="B31" i="25"/>
  <c r="E30" i="25"/>
  <c r="B30" i="25"/>
  <c r="E29" i="25"/>
  <c r="B29" i="25"/>
  <c r="E28" i="25"/>
  <c r="B28" i="25"/>
  <c r="E27" i="25"/>
  <c r="B27" i="25"/>
  <c r="E26" i="25"/>
  <c r="B26" i="25"/>
  <c r="E25" i="25"/>
  <c r="B25" i="25"/>
  <c r="E24" i="25"/>
  <c r="B24" i="25"/>
  <c r="E23" i="25"/>
  <c r="B23" i="25"/>
  <c r="E22" i="25"/>
  <c r="B22" i="25"/>
  <c r="E21" i="25"/>
  <c r="B21" i="25"/>
  <c r="E20" i="25"/>
  <c r="B20" i="25"/>
  <c r="E19" i="25"/>
  <c r="B19" i="25"/>
  <c r="E18" i="25"/>
  <c r="B18" i="25"/>
  <c r="E17" i="25"/>
  <c r="B17" i="25"/>
  <c r="E16" i="25"/>
  <c r="B16" i="25"/>
  <c r="E15" i="25"/>
  <c r="B15" i="25"/>
  <c r="E14" i="25"/>
  <c r="B14" i="25"/>
  <c r="E13" i="25"/>
  <c r="B13" i="25"/>
  <c r="E12" i="25"/>
  <c r="B12" i="25"/>
  <c r="E11" i="25"/>
  <c r="B11" i="25"/>
  <c r="E10" i="25"/>
  <c r="B10" i="25"/>
  <c r="E9" i="25"/>
  <c r="B9" i="25"/>
  <c r="E8" i="25"/>
  <c r="B8" i="25"/>
  <c r="E7" i="25"/>
  <c r="B7" i="25"/>
  <c r="E6" i="25"/>
  <c r="B6" i="25"/>
  <c r="E5" i="25"/>
  <c r="B5" i="25"/>
  <c r="M4" i="25"/>
  <c r="N4" i="25" s="1"/>
  <c r="K4" i="25"/>
  <c r="E4" i="25"/>
  <c r="B4" i="25"/>
  <c r="V2" i="25"/>
  <c r="U2" i="25"/>
  <c r="T2" i="25"/>
  <c r="S2" i="25"/>
  <c r="R2" i="25"/>
  <c r="Q2" i="25"/>
  <c r="P2" i="25"/>
  <c r="O2" i="25"/>
  <c r="L2" i="25"/>
  <c r="J2" i="25"/>
  <c r="I2" i="25"/>
  <c r="H2" i="25"/>
  <c r="G2" i="25"/>
  <c r="F2" i="25"/>
  <c r="M134" i="32"/>
  <c r="N134" i="32" s="1"/>
  <c r="K134" i="32"/>
  <c r="E134" i="32"/>
  <c r="B134" i="32"/>
  <c r="M133" i="32"/>
  <c r="N133" i="32" s="1"/>
  <c r="K133" i="32"/>
  <c r="E133" i="32"/>
  <c r="B133" i="32"/>
  <c r="M132" i="32"/>
  <c r="N132" i="32" s="1"/>
  <c r="K132" i="32"/>
  <c r="E132" i="32"/>
  <c r="B132" i="32"/>
  <c r="N131" i="32"/>
  <c r="M131" i="32"/>
  <c r="K131" i="32"/>
  <c r="E131" i="32"/>
  <c r="B131" i="32"/>
  <c r="M130" i="32"/>
  <c r="N130" i="32" s="1"/>
  <c r="K130" i="32"/>
  <c r="E130" i="32"/>
  <c r="B130" i="32"/>
  <c r="M129" i="32"/>
  <c r="N129" i="32" s="1"/>
  <c r="K129" i="32"/>
  <c r="E129" i="32"/>
  <c r="B129" i="32"/>
  <c r="M128" i="32"/>
  <c r="N128" i="32" s="1"/>
  <c r="K128" i="32"/>
  <c r="E128" i="32"/>
  <c r="B128" i="32"/>
  <c r="M127" i="32"/>
  <c r="N127" i="32" s="1"/>
  <c r="K127" i="32"/>
  <c r="E127" i="32"/>
  <c r="B127" i="32"/>
  <c r="M126" i="32"/>
  <c r="N126" i="32" s="1"/>
  <c r="K126" i="32"/>
  <c r="E126" i="32"/>
  <c r="B126" i="32"/>
  <c r="M125" i="32"/>
  <c r="N125" i="32" s="1"/>
  <c r="K125" i="32"/>
  <c r="E125" i="32"/>
  <c r="B125" i="32"/>
  <c r="M124" i="32"/>
  <c r="N124" i="32" s="1"/>
  <c r="K124" i="32"/>
  <c r="E124" i="32"/>
  <c r="B124" i="32"/>
  <c r="M123" i="32"/>
  <c r="N123" i="32" s="1"/>
  <c r="K123" i="32"/>
  <c r="E123" i="32"/>
  <c r="B123" i="32"/>
  <c r="M122" i="32"/>
  <c r="N122" i="32" s="1"/>
  <c r="K122" i="32"/>
  <c r="E122" i="32"/>
  <c r="B122" i="32"/>
  <c r="M121" i="32"/>
  <c r="N121" i="32" s="1"/>
  <c r="K121" i="32"/>
  <c r="E121" i="32"/>
  <c r="B121" i="32"/>
  <c r="M120" i="32"/>
  <c r="N120" i="32" s="1"/>
  <c r="K120" i="32"/>
  <c r="E120" i="32"/>
  <c r="B120" i="32"/>
  <c r="M119" i="32"/>
  <c r="N119" i="32" s="1"/>
  <c r="K119" i="32"/>
  <c r="E119" i="32"/>
  <c r="B119" i="32"/>
  <c r="M118" i="32"/>
  <c r="N118" i="32" s="1"/>
  <c r="K118" i="32"/>
  <c r="E118" i="32"/>
  <c r="B118" i="32"/>
  <c r="N117" i="32"/>
  <c r="M117" i="32"/>
  <c r="K117" i="32"/>
  <c r="E117" i="32"/>
  <c r="B117" i="32"/>
  <c r="M116" i="32"/>
  <c r="N116" i="32" s="1"/>
  <c r="K116" i="32"/>
  <c r="E116" i="32"/>
  <c r="B116" i="32"/>
  <c r="M115" i="32"/>
  <c r="N115" i="32" s="1"/>
  <c r="K115" i="32"/>
  <c r="E115" i="32"/>
  <c r="B115" i="32"/>
  <c r="M114" i="32"/>
  <c r="N114" i="32" s="1"/>
  <c r="K114" i="32"/>
  <c r="E114" i="32"/>
  <c r="B114" i="32"/>
  <c r="N113" i="32"/>
  <c r="M113" i="32"/>
  <c r="K113" i="32"/>
  <c r="E113" i="32"/>
  <c r="B113" i="32"/>
  <c r="M112" i="32"/>
  <c r="N112" i="32" s="1"/>
  <c r="K112" i="32"/>
  <c r="E112" i="32"/>
  <c r="B112" i="32"/>
  <c r="M111" i="32"/>
  <c r="N111" i="32" s="1"/>
  <c r="K111" i="32"/>
  <c r="E111" i="32"/>
  <c r="B111" i="32"/>
  <c r="M110" i="32"/>
  <c r="N110" i="32" s="1"/>
  <c r="K110" i="32"/>
  <c r="E110" i="32"/>
  <c r="B110" i="32"/>
  <c r="M109" i="32"/>
  <c r="N109" i="32" s="1"/>
  <c r="K109" i="32"/>
  <c r="E109" i="32"/>
  <c r="B109" i="32"/>
  <c r="N108" i="32"/>
  <c r="M108" i="32"/>
  <c r="K108" i="32"/>
  <c r="E108" i="32"/>
  <c r="B108" i="32"/>
  <c r="M107" i="32"/>
  <c r="N107" i="32" s="1"/>
  <c r="K107" i="32"/>
  <c r="E107" i="32"/>
  <c r="B107" i="32"/>
  <c r="M106" i="32"/>
  <c r="N106" i="32" s="1"/>
  <c r="K106" i="32"/>
  <c r="E106" i="32"/>
  <c r="B106" i="32"/>
  <c r="M105" i="32"/>
  <c r="N105" i="32" s="1"/>
  <c r="K105" i="32"/>
  <c r="E105" i="32"/>
  <c r="B105" i="32"/>
  <c r="N104" i="32"/>
  <c r="M104" i="32"/>
  <c r="K104" i="32"/>
  <c r="E104" i="32"/>
  <c r="B104" i="32"/>
  <c r="N103" i="32"/>
  <c r="M103" i="32"/>
  <c r="K103" i="32"/>
  <c r="E103" i="32"/>
  <c r="B103" i="32"/>
  <c r="M102" i="32"/>
  <c r="N102" i="32" s="1"/>
  <c r="K102" i="32"/>
  <c r="E102" i="32"/>
  <c r="B102" i="32"/>
  <c r="N101" i="32"/>
  <c r="M101" i="32"/>
  <c r="K101" i="32"/>
  <c r="E101" i="32"/>
  <c r="B101" i="32"/>
  <c r="M100" i="32"/>
  <c r="N100" i="32" s="1"/>
  <c r="K100" i="32"/>
  <c r="E100" i="32"/>
  <c r="B100" i="32"/>
  <c r="N99" i="32"/>
  <c r="M99" i="32"/>
  <c r="K99" i="32"/>
  <c r="E99" i="32"/>
  <c r="B99" i="32"/>
  <c r="M98" i="32"/>
  <c r="N98" i="32" s="1"/>
  <c r="K98" i="32"/>
  <c r="E98" i="32"/>
  <c r="B98" i="32"/>
  <c r="M97" i="32"/>
  <c r="N97" i="32" s="1"/>
  <c r="K97" i="32"/>
  <c r="E97" i="32"/>
  <c r="B97" i="32"/>
  <c r="M96" i="32"/>
  <c r="N96" i="32" s="1"/>
  <c r="K96" i="32"/>
  <c r="E96" i="32"/>
  <c r="B96" i="32"/>
  <c r="M95" i="32"/>
  <c r="N95" i="32" s="1"/>
  <c r="K95" i="32"/>
  <c r="E95" i="32"/>
  <c r="B95" i="32"/>
  <c r="M94" i="32"/>
  <c r="N94" i="32" s="1"/>
  <c r="K94" i="32"/>
  <c r="E94" i="32"/>
  <c r="B94" i="32"/>
  <c r="M93" i="32"/>
  <c r="N93" i="32" s="1"/>
  <c r="K93" i="32"/>
  <c r="E93" i="32"/>
  <c r="B93" i="32"/>
  <c r="M92" i="32"/>
  <c r="N92" i="32" s="1"/>
  <c r="K92" i="32"/>
  <c r="E92" i="32"/>
  <c r="B92" i="32"/>
  <c r="M91" i="32"/>
  <c r="N91" i="32" s="1"/>
  <c r="K91" i="32"/>
  <c r="E91" i="32"/>
  <c r="B91" i="32"/>
  <c r="M90" i="32"/>
  <c r="N90" i="32" s="1"/>
  <c r="K90" i="32"/>
  <c r="E90" i="32"/>
  <c r="B90" i="32"/>
  <c r="M89" i="32"/>
  <c r="N89" i="32" s="1"/>
  <c r="K89" i="32"/>
  <c r="E89" i="32"/>
  <c r="B89" i="32"/>
  <c r="M88" i="32"/>
  <c r="N88" i="32" s="1"/>
  <c r="K88" i="32"/>
  <c r="E88" i="32"/>
  <c r="B88" i="32"/>
  <c r="M87" i="32"/>
  <c r="N87" i="32" s="1"/>
  <c r="K87" i="32"/>
  <c r="E87" i="32"/>
  <c r="B87" i="32"/>
  <c r="M86" i="32"/>
  <c r="N86" i="32" s="1"/>
  <c r="K86" i="32"/>
  <c r="E86" i="32"/>
  <c r="B86" i="32"/>
  <c r="M85" i="32"/>
  <c r="N85" i="32" s="1"/>
  <c r="K85" i="32"/>
  <c r="E85" i="32"/>
  <c r="B85" i="32"/>
  <c r="M84" i="32"/>
  <c r="N84" i="32" s="1"/>
  <c r="K84" i="32"/>
  <c r="E84" i="32"/>
  <c r="B84" i="32"/>
  <c r="M83" i="32"/>
  <c r="N83" i="32" s="1"/>
  <c r="K83" i="32"/>
  <c r="E83" i="32"/>
  <c r="B83" i="32"/>
  <c r="M82" i="32"/>
  <c r="N82" i="32" s="1"/>
  <c r="K82" i="32"/>
  <c r="E82" i="32"/>
  <c r="B82" i="32"/>
  <c r="N81" i="32"/>
  <c r="M81" i="32"/>
  <c r="K81" i="32"/>
  <c r="E81" i="32"/>
  <c r="B81" i="32"/>
  <c r="N80" i="32"/>
  <c r="M80" i="32"/>
  <c r="K80" i="32"/>
  <c r="E80" i="32"/>
  <c r="B80" i="32"/>
  <c r="M79" i="32"/>
  <c r="N79" i="32" s="1"/>
  <c r="K79" i="32"/>
  <c r="E79" i="32"/>
  <c r="B79" i="32"/>
  <c r="M78" i="32"/>
  <c r="N78" i="32" s="1"/>
  <c r="K78" i="32"/>
  <c r="E78" i="32"/>
  <c r="B78" i="32"/>
  <c r="M77" i="32"/>
  <c r="N77" i="32" s="1"/>
  <c r="K77" i="32"/>
  <c r="E77" i="32"/>
  <c r="B77" i="32"/>
  <c r="N76" i="32"/>
  <c r="M76" i="32"/>
  <c r="K76" i="32"/>
  <c r="E76" i="32"/>
  <c r="B76" i="32"/>
  <c r="M75" i="32"/>
  <c r="N75" i="32" s="1"/>
  <c r="K75" i="32"/>
  <c r="E75" i="32"/>
  <c r="B75" i="32"/>
  <c r="M74" i="32"/>
  <c r="N74" i="32" s="1"/>
  <c r="K74" i="32"/>
  <c r="E74" i="32"/>
  <c r="B74" i="32"/>
  <c r="M73" i="32"/>
  <c r="N73" i="32" s="1"/>
  <c r="K73" i="32"/>
  <c r="E73" i="32"/>
  <c r="B73" i="32"/>
  <c r="M72" i="32"/>
  <c r="N72" i="32" s="1"/>
  <c r="K72" i="32"/>
  <c r="E72" i="32"/>
  <c r="B72" i="32"/>
  <c r="M71" i="32"/>
  <c r="N71" i="32" s="1"/>
  <c r="K71" i="32"/>
  <c r="E71" i="32"/>
  <c r="B71" i="32"/>
  <c r="M70" i="32"/>
  <c r="N70" i="32" s="1"/>
  <c r="K70" i="32"/>
  <c r="E70" i="32"/>
  <c r="B70" i="32"/>
  <c r="M69" i="32"/>
  <c r="N69" i="32" s="1"/>
  <c r="K69" i="32"/>
  <c r="E69" i="32"/>
  <c r="B69" i="32"/>
  <c r="N68" i="32"/>
  <c r="M68" i="32"/>
  <c r="K68" i="32"/>
  <c r="E68" i="32"/>
  <c r="B68" i="32"/>
  <c r="M67" i="32"/>
  <c r="N67" i="32" s="1"/>
  <c r="K67" i="32"/>
  <c r="E67" i="32"/>
  <c r="B67" i="32"/>
  <c r="M66" i="32"/>
  <c r="N66" i="32" s="1"/>
  <c r="K66" i="32"/>
  <c r="E66" i="32"/>
  <c r="B66" i="32"/>
  <c r="M65" i="32"/>
  <c r="N65" i="32" s="1"/>
  <c r="K65" i="32"/>
  <c r="E65" i="32"/>
  <c r="B65" i="32"/>
  <c r="M64" i="32"/>
  <c r="N64" i="32" s="1"/>
  <c r="K64" i="32"/>
  <c r="E64" i="32"/>
  <c r="B64" i="32"/>
  <c r="M63" i="32"/>
  <c r="N63" i="32" s="1"/>
  <c r="K63" i="32"/>
  <c r="E63" i="32"/>
  <c r="B63" i="32"/>
  <c r="M62" i="32"/>
  <c r="N62" i="32" s="1"/>
  <c r="K62" i="32"/>
  <c r="E62" i="32"/>
  <c r="B62" i="32"/>
  <c r="M61" i="32"/>
  <c r="N61" i="32" s="1"/>
  <c r="K61" i="32"/>
  <c r="E61" i="32"/>
  <c r="B61" i="32"/>
  <c r="N60" i="32"/>
  <c r="M60" i="32"/>
  <c r="K60" i="32"/>
  <c r="E60" i="32"/>
  <c r="B60" i="32"/>
  <c r="M59" i="32"/>
  <c r="N59" i="32" s="1"/>
  <c r="K59" i="32"/>
  <c r="E59" i="32"/>
  <c r="B59" i="32"/>
  <c r="M58" i="32"/>
  <c r="N58" i="32" s="1"/>
  <c r="K58" i="32"/>
  <c r="E58" i="32"/>
  <c r="B58" i="32"/>
  <c r="M57" i="32"/>
  <c r="N57" i="32" s="1"/>
  <c r="K57" i="32"/>
  <c r="E57" i="32"/>
  <c r="B57" i="32"/>
  <c r="N56" i="32"/>
  <c r="M56" i="32"/>
  <c r="K56" i="32"/>
  <c r="E56" i="32"/>
  <c r="B56" i="32"/>
  <c r="M55" i="32"/>
  <c r="N55" i="32" s="1"/>
  <c r="K55" i="32"/>
  <c r="E55" i="32"/>
  <c r="B55" i="32"/>
  <c r="M54" i="32"/>
  <c r="N54" i="32" s="1"/>
  <c r="K54" i="32"/>
  <c r="E54" i="32"/>
  <c r="B54" i="32"/>
  <c r="M53" i="32"/>
  <c r="N53" i="32" s="1"/>
  <c r="K53" i="32"/>
  <c r="E53" i="32"/>
  <c r="B53" i="32"/>
  <c r="M52" i="32"/>
  <c r="N52" i="32" s="1"/>
  <c r="K52" i="32"/>
  <c r="E52" i="32"/>
  <c r="B52" i="32"/>
  <c r="M51" i="32"/>
  <c r="N51" i="32" s="1"/>
  <c r="K51" i="32"/>
  <c r="E51" i="32"/>
  <c r="B51" i="32"/>
  <c r="M50" i="32"/>
  <c r="N50" i="32" s="1"/>
  <c r="K50" i="32"/>
  <c r="E50" i="32"/>
  <c r="B50" i="32"/>
  <c r="M49" i="32"/>
  <c r="N49" i="32" s="1"/>
  <c r="K49" i="32"/>
  <c r="E49" i="32"/>
  <c r="B49" i="32"/>
  <c r="M48" i="32"/>
  <c r="N48" i="32" s="1"/>
  <c r="K48" i="32"/>
  <c r="E48" i="32"/>
  <c r="B48" i="32"/>
  <c r="M47" i="32"/>
  <c r="N47" i="32" s="1"/>
  <c r="K47" i="32"/>
  <c r="E47" i="32"/>
  <c r="B47" i="32"/>
  <c r="M46" i="32"/>
  <c r="N46" i="32" s="1"/>
  <c r="K46" i="32"/>
  <c r="E46" i="32"/>
  <c r="B46" i="32"/>
  <c r="M45" i="32"/>
  <c r="N45" i="32" s="1"/>
  <c r="K45" i="32"/>
  <c r="E45" i="32"/>
  <c r="B45" i="32"/>
  <c r="M44" i="32"/>
  <c r="N44" i="32" s="1"/>
  <c r="K44" i="32"/>
  <c r="E44" i="32"/>
  <c r="B44" i="32"/>
  <c r="M43" i="32"/>
  <c r="N43" i="32" s="1"/>
  <c r="K43" i="32"/>
  <c r="E43" i="32"/>
  <c r="B43" i="32"/>
  <c r="M42" i="32"/>
  <c r="N42" i="32" s="1"/>
  <c r="K42" i="32"/>
  <c r="E42" i="32"/>
  <c r="B42" i="32"/>
  <c r="M41" i="32"/>
  <c r="N41" i="32" s="1"/>
  <c r="K41" i="32"/>
  <c r="E41" i="32"/>
  <c r="B41" i="32"/>
  <c r="M40" i="32"/>
  <c r="N40" i="32" s="1"/>
  <c r="K40" i="32"/>
  <c r="E40" i="32"/>
  <c r="B40" i="32"/>
  <c r="M39" i="32"/>
  <c r="N39" i="32" s="1"/>
  <c r="K39" i="32"/>
  <c r="E39" i="32"/>
  <c r="B39" i="32"/>
  <c r="M38" i="32"/>
  <c r="N38" i="32" s="1"/>
  <c r="K38" i="32"/>
  <c r="E38" i="32"/>
  <c r="B38" i="32"/>
  <c r="M37" i="32"/>
  <c r="N37" i="32" s="1"/>
  <c r="K37" i="32"/>
  <c r="E37" i="32"/>
  <c r="B37" i="32"/>
  <c r="M36" i="32"/>
  <c r="N36" i="32" s="1"/>
  <c r="K36" i="32"/>
  <c r="E36" i="32"/>
  <c r="B36" i="32"/>
  <c r="M35" i="32"/>
  <c r="N35" i="32" s="1"/>
  <c r="K35" i="32"/>
  <c r="E35" i="32"/>
  <c r="B35" i="32"/>
  <c r="M34" i="32"/>
  <c r="N34" i="32" s="1"/>
  <c r="K34" i="32"/>
  <c r="E34" i="32"/>
  <c r="B34" i="32"/>
  <c r="M33" i="32"/>
  <c r="N33" i="32" s="1"/>
  <c r="K33" i="32"/>
  <c r="E33" i="32"/>
  <c r="B33" i="32"/>
  <c r="N32" i="32"/>
  <c r="M32" i="32"/>
  <c r="K32" i="32"/>
  <c r="E32" i="32"/>
  <c r="B32" i="32"/>
  <c r="M31" i="32"/>
  <c r="N31" i="32" s="1"/>
  <c r="K31" i="32"/>
  <c r="E31" i="32"/>
  <c r="B31" i="32"/>
  <c r="M30" i="32"/>
  <c r="N30" i="32" s="1"/>
  <c r="K30" i="32"/>
  <c r="E30" i="32"/>
  <c r="B30" i="32"/>
  <c r="M29" i="32"/>
  <c r="N29" i="32" s="1"/>
  <c r="K29" i="32"/>
  <c r="E29" i="32"/>
  <c r="B29" i="32"/>
  <c r="M28" i="32"/>
  <c r="N28" i="32" s="1"/>
  <c r="K28" i="32"/>
  <c r="E28" i="32"/>
  <c r="B28" i="32"/>
  <c r="M27" i="32"/>
  <c r="N27" i="32" s="1"/>
  <c r="K27" i="32"/>
  <c r="E27" i="32"/>
  <c r="B27" i="32"/>
  <c r="N26" i="32"/>
  <c r="M26" i="32"/>
  <c r="K26" i="32"/>
  <c r="E26" i="32"/>
  <c r="B26" i="32"/>
  <c r="M25" i="32"/>
  <c r="N25" i="32" s="1"/>
  <c r="K25" i="32"/>
  <c r="E25" i="32"/>
  <c r="B25" i="32"/>
  <c r="M24" i="32"/>
  <c r="N24" i="32" s="1"/>
  <c r="K24" i="32"/>
  <c r="E24" i="32"/>
  <c r="B24" i="32"/>
  <c r="M23" i="32"/>
  <c r="N23" i="32" s="1"/>
  <c r="K23" i="32"/>
  <c r="E23" i="32"/>
  <c r="B23" i="32"/>
  <c r="M22" i="32"/>
  <c r="N22" i="32" s="1"/>
  <c r="K22" i="32"/>
  <c r="E22" i="32"/>
  <c r="B22" i="32"/>
  <c r="M21" i="32"/>
  <c r="N21" i="32" s="1"/>
  <c r="K21" i="32"/>
  <c r="E21" i="32"/>
  <c r="B21" i="32"/>
  <c r="M20" i="32"/>
  <c r="N20" i="32" s="1"/>
  <c r="K20" i="32"/>
  <c r="E20" i="32"/>
  <c r="B20" i="32"/>
  <c r="M19" i="32"/>
  <c r="N19" i="32" s="1"/>
  <c r="K19" i="32"/>
  <c r="E19" i="32"/>
  <c r="B19" i="32"/>
  <c r="M18" i="32"/>
  <c r="N18" i="32" s="1"/>
  <c r="K18" i="32"/>
  <c r="E18" i="32"/>
  <c r="B18" i="32"/>
  <c r="M17" i="32"/>
  <c r="N17" i="32" s="1"/>
  <c r="K17" i="32"/>
  <c r="E17" i="32"/>
  <c r="B17" i="32"/>
  <c r="N16" i="32"/>
  <c r="M16" i="32"/>
  <c r="K16" i="32"/>
  <c r="E16" i="32"/>
  <c r="B16" i="32"/>
  <c r="M15" i="32"/>
  <c r="N15" i="32" s="1"/>
  <c r="K15" i="32"/>
  <c r="E15" i="32"/>
  <c r="B15" i="32"/>
  <c r="M14" i="32"/>
  <c r="N14" i="32" s="1"/>
  <c r="K14" i="32"/>
  <c r="E14" i="32"/>
  <c r="B14" i="32"/>
  <c r="M13" i="32"/>
  <c r="N13" i="32" s="1"/>
  <c r="K13" i="32"/>
  <c r="E13" i="32"/>
  <c r="B13" i="32"/>
  <c r="N12" i="32"/>
  <c r="M12" i="32"/>
  <c r="K12" i="32"/>
  <c r="E12" i="32"/>
  <c r="B12" i="32"/>
  <c r="M11" i="32"/>
  <c r="N11" i="32" s="1"/>
  <c r="K11" i="32"/>
  <c r="E11" i="32"/>
  <c r="B11" i="32"/>
  <c r="M10" i="32"/>
  <c r="N10" i="32" s="1"/>
  <c r="K10" i="32"/>
  <c r="E10" i="32"/>
  <c r="B10" i="32"/>
  <c r="M9" i="32"/>
  <c r="N9" i="32" s="1"/>
  <c r="K9" i="32"/>
  <c r="E9" i="32"/>
  <c r="B9" i="32"/>
  <c r="M8" i="32"/>
  <c r="N8" i="32" s="1"/>
  <c r="K8" i="32"/>
  <c r="E8" i="32"/>
  <c r="B8" i="32"/>
  <c r="M7" i="32"/>
  <c r="N7" i="32" s="1"/>
  <c r="K7" i="32"/>
  <c r="E7" i="32"/>
  <c r="B7" i="32"/>
  <c r="M6" i="32"/>
  <c r="N6" i="32" s="1"/>
  <c r="K6" i="32"/>
  <c r="E6" i="32"/>
  <c r="B6" i="32"/>
  <c r="M5" i="32"/>
  <c r="N5" i="32" s="1"/>
  <c r="K5" i="32"/>
  <c r="E5" i="32"/>
  <c r="B5" i="32"/>
  <c r="N4" i="32"/>
  <c r="M4" i="32"/>
  <c r="K4" i="32"/>
  <c r="E4" i="32"/>
  <c r="B4" i="32"/>
  <c r="V2" i="32"/>
  <c r="U2" i="32"/>
  <c r="T2" i="32"/>
  <c r="S2" i="32"/>
  <c r="R2" i="32"/>
  <c r="Q2" i="32"/>
  <c r="P2" i="32"/>
  <c r="O2" i="32"/>
  <c r="L2" i="32"/>
  <c r="J2" i="32"/>
  <c r="I2" i="32"/>
  <c r="H2" i="32"/>
  <c r="G2" i="32"/>
  <c r="F2" i="32"/>
  <c r="E165" i="31"/>
  <c r="B165" i="31"/>
  <c r="E164" i="31"/>
  <c r="B164" i="31"/>
  <c r="E163" i="31"/>
  <c r="B163" i="31"/>
  <c r="E162" i="31"/>
  <c r="B162" i="31"/>
  <c r="E161" i="31"/>
  <c r="B161" i="31"/>
  <c r="E160" i="31"/>
  <c r="B160" i="31"/>
  <c r="E159" i="31"/>
  <c r="B159" i="31"/>
  <c r="E158" i="31"/>
  <c r="B158" i="31"/>
  <c r="E157" i="31"/>
  <c r="B157" i="31"/>
  <c r="E156" i="31"/>
  <c r="B156" i="31"/>
  <c r="E155" i="31"/>
  <c r="B155" i="31"/>
  <c r="E154" i="31"/>
  <c r="B154" i="31"/>
  <c r="E153" i="31"/>
  <c r="B153" i="31"/>
  <c r="E152" i="31"/>
  <c r="B152" i="31"/>
  <c r="E151" i="31"/>
  <c r="B151" i="31"/>
  <c r="E150" i="31"/>
  <c r="B150" i="31"/>
  <c r="E149" i="31"/>
  <c r="B149" i="31"/>
  <c r="E148" i="31"/>
  <c r="B148" i="31"/>
  <c r="E147" i="31"/>
  <c r="B147" i="31"/>
  <c r="E146" i="31"/>
  <c r="B146" i="31"/>
  <c r="E145" i="31"/>
  <c r="B145" i="31"/>
  <c r="E144" i="31"/>
  <c r="B144" i="31"/>
  <c r="E143" i="31"/>
  <c r="B143" i="31"/>
  <c r="E142" i="31"/>
  <c r="B142" i="31"/>
  <c r="E141" i="31"/>
  <c r="B141" i="31"/>
  <c r="E140" i="31"/>
  <c r="B140" i="31"/>
  <c r="E139" i="31"/>
  <c r="B139" i="31"/>
  <c r="E138" i="31"/>
  <c r="B138" i="31"/>
  <c r="E137" i="31"/>
  <c r="B137" i="31"/>
  <c r="E136" i="31"/>
  <c r="B136" i="31"/>
  <c r="E135" i="31"/>
  <c r="B135" i="31"/>
  <c r="E134" i="31"/>
  <c r="B134" i="31"/>
  <c r="E133" i="31"/>
  <c r="B133" i="31"/>
  <c r="E132" i="31"/>
  <c r="B132" i="31"/>
  <c r="E131" i="31"/>
  <c r="B131" i="31"/>
  <c r="E130" i="31"/>
  <c r="B130" i="31"/>
  <c r="E129" i="31"/>
  <c r="B129" i="31"/>
  <c r="E128" i="31"/>
  <c r="B128" i="31"/>
  <c r="E127" i="31"/>
  <c r="B127" i="31"/>
  <c r="E126" i="31"/>
  <c r="B126" i="31"/>
  <c r="E125" i="31"/>
  <c r="B125" i="31"/>
  <c r="E124" i="31"/>
  <c r="B124" i="31"/>
  <c r="E123" i="31"/>
  <c r="B123" i="31"/>
  <c r="E122" i="31"/>
  <c r="B122" i="31"/>
  <c r="E121" i="31"/>
  <c r="B121" i="31"/>
  <c r="E120" i="31"/>
  <c r="B120" i="31"/>
  <c r="E119" i="31"/>
  <c r="B119" i="31"/>
  <c r="E118" i="31"/>
  <c r="B118" i="31"/>
  <c r="E117" i="31"/>
  <c r="B117" i="31"/>
  <c r="E116" i="31"/>
  <c r="B116" i="31"/>
  <c r="E115" i="31"/>
  <c r="B115" i="31"/>
  <c r="E114" i="31"/>
  <c r="B114" i="31"/>
  <c r="E113" i="31"/>
  <c r="B113" i="31"/>
  <c r="E112" i="31"/>
  <c r="B112" i="31"/>
  <c r="E111" i="31"/>
  <c r="B111" i="31"/>
  <c r="E110" i="31"/>
  <c r="B110" i="31"/>
  <c r="E109" i="31"/>
  <c r="B109" i="31"/>
  <c r="E108" i="31"/>
  <c r="B108" i="31"/>
  <c r="E107" i="31"/>
  <c r="B107" i="31"/>
  <c r="E106" i="31"/>
  <c r="B106" i="31"/>
  <c r="E105" i="31"/>
  <c r="B105" i="31"/>
  <c r="E104" i="31"/>
  <c r="B104" i="31"/>
  <c r="E103" i="31"/>
  <c r="B103" i="31"/>
  <c r="E102" i="31"/>
  <c r="B102" i="31"/>
  <c r="E101" i="31"/>
  <c r="B101" i="31"/>
  <c r="E100" i="31"/>
  <c r="B100" i="31"/>
  <c r="E99" i="31"/>
  <c r="B99" i="31"/>
  <c r="E98" i="31"/>
  <c r="B98" i="31"/>
  <c r="E97" i="31"/>
  <c r="B97" i="31"/>
  <c r="E96" i="31"/>
  <c r="B96" i="31"/>
  <c r="E95" i="31"/>
  <c r="B95" i="31"/>
  <c r="E94" i="31"/>
  <c r="B94" i="31"/>
  <c r="E93" i="31"/>
  <c r="B93" i="31"/>
  <c r="E92" i="31"/>
  <c r="B92" i="31"/>
  <c r="E91" i="31"/>
  <c r="B91" i="31"/>
  <c r="E90" i="31"/>
  <c r="B90" i="31"/>
  <c r="E89" i="31"/>
  <c r="B89" i="31"/>
  <c r="E88" i="31"/>
  <c r="B88" i="31"/>
  <c r="E87" i="31"/>
  <c r="B87" i="31"/>
  <c r="E86" i="31"/>
  <c r="B86" i="31"/>
  <c r="E85" i="31"/>
  <c r="B85" i="31"/>
  <c r="E84" i="31"/>
  <c r="B84" i="31"/>
  <c r="E83" i="31"/>
  <c r="B83" i="31"/>
  <c r="E82" i="31"/>
  <c r="B82" i="31"/>
  <c r="E81" i="31"/>
  <c r="B81" i="31"/>
  <c r="E80" i="31"/>
  <c r="B80" i="31"/>
  <c r="E79" i="31"/>
  <c r="B79" i="31"/>
  <c r="E78" i="31"/>
  <c r="B78" i="31"/>
  <c r="E77" i="31"/>
  <c r="B77" i="31"/>
  <c r="E76" i="31"/>
  <c r="B76" i="31"/>
  <c r="E75" i="31"/>
  <c r="B75" i="31"/>
  <c r="E74" i="31"/>
  <c r="B74" i="31"/>
  <c r="E73" i="31"/>
  <c r="B73" i="31"/>
  <c r="E72" i="31"/>
  <c r="B72" i="31"/>
  <c r="E71" i="31"/>
  <c r="B71" i="31"/>
  <c r="E70" i="31"/>
  <c r="B70" i="31"/>
  <c r="E69" i="31"/>
  <c r="B69" i="31"/>
  <c r="E68" i="31"/>
  <c r="B68" i="31"/>
  <c r="E67" i="31"/>
  <c r="B67" i="31"/>
  <c r="E66" i="31"/>
  <c r="B66" i="31"/>
  <c r="E65" i="31"/>
  <c r="B65" i="31"/>
  <c r="E64" i="31"/>
  <c r="B64" i="31"/>
  <c r="E63" i="31"/>
  <c r="B63" i="31"/>
  <c r="E62" i="31"/>
  <c r="B62" i="31"/>
  <c r="E61" i="31"/>
  <c r="B61" i="31"/>
  <c r="E60" i="31"/>
  <c r="B60" i="31"/>
  <c r="E59" i="31"/>
  <c r="B59" i="31"/>
  <c r="E58" i="31"/>
  <c r="B58" i="31"/>
  <c r="E57" i="31"/>
  <c r="B57" i="31"/>
  <c r="E56" i="31"/>
  <c r="B56" i="31"/>
  <c r="E55" i="31"/>
  <c r="B55" i="31"/>
  <c r="E54" i="31"/>
  <c r="B54" i="31"/>
  <c r="E53" i="31"/>
  <c r="B53" i="31"/>
  <c r="E52" i="31"/>
  <c r="B52" i="31"/>
  <c r="E51" i="31"/>
  <c r="B51" i="31"/>
  <c r="E50" i="31"/>
  <c r="B50" i="31"/>
  <c r="E49" i="31"/>
  <c r="B49" i="31"/>
  <c r="E48" i="31"/>
  <c r="B48" i="31"/>
  <c r="E47" i="31"/>
  <c r="B47" i="31"/>
  <c r="E46" i="31"/>
  <c r="B46" i="31"/>
  <c r="E45" i="31"/>
  <c r="B45" i="31"/>
  <c r="E44" i="31"/>
  <c r="B44" i="31"/>
  <c r="E43" i="31"/>
  <c r="B43" i="31"/>
  <c r="E42" i="31"/>
  <c r="B42" i="31"/>
  <c r="E41" i="31"/>
  <c r="B41" i="31"/>
  <c r="E40" i="31"/>
  <c r="B40" i="31"/>
  <c r="E39" i="31"/>
  <c r="B39" i="31"/>
  <c r="E38" i="31"/>
  <c r="B38" i="31"/>
  <c r="E37" i="31"/>
  <c r="B37" i="31"/>
  <c r="E36" i="31"/>
  <c r="B36" i="31"/>
  <c r="E35" i="31"/>
  <c r="B35" i="31"/>
  <c r="E34" i="31"/>
  <c r="B34" i="31"/>
  <c r="E33" i="31"/>
  <c r="B33" i="31"/>
  <c r="E32" i="31"/>
  <c r="B32" i="31"/>
  <c r="E31" i="31"/>
  <c r="B31" i="31"/>
  <c r="E30" i="31"/>
  <c r="B30" i="31"/>
  <c r="E29" i="31"/>
  <c r="B29" i="31"/>
  <c r="E28" i="31"/>
  <c r="B28" i="31"/>
  <c r="E27" i="31"/>
  <c r="B27" i="31"/>
  <c r="E26" i="31"/>
  <c r="B26" i="31"/>
  <c r="E25" i="31"/>
  <c r="B25" i="31"/>
  <c r="E24" i="31"/>
  <c r="B24" i="31"/>
  <c r="E23" i="31"/>
  <c r="B23" i="31"/>
  <c r="E22" i="31"/>
  <c r="B22" i="31"/>
  <c r="E21" i="31"/>
  <c r="B21" i="31"/>
  <c r="E20" i="31"/>
  <c r="B20" i="31"/>
  <c r="E19" i="31"/>
  <c r="B19" i="31"/>
  <c r="E18" i="31"/>
  <c r="B18" i="31"/>
  <c r="E17" i="31"/>
  <c r="B17" i="31"/>
  <c r="E16" i="31"/>
  <c r="B16" i="31"/>
  <c r="E15" i="31"/>
  <c r="B15" i="31"/>
  <c r="E14" i="31"/>
  <c r="B14" i="31"/>
  <c r="E13" i="31"/>
  <c r="B13" i="31"/>
  <c r="E12" i="31"/>
  <c r="B12" i="31"/>
  <c r="E11" i="31"/>
  <c r="B11" i="31"/>
  <c r="E10" i="31"/>
  <c r="B10" i="31"/>
  <c r="E9" i="31"/>
  <c r="B9" i="31"/>
  <c r="E8" i="31"/>
  <c r="B8" i="31"/>
  <c r="E7" i="31"/>
  <c r="B7" i="31"/>
  <c r="E6" i="31"/>
  <c r="B6" i="31"/>
  <c r="E5" i="31"/>
  <c r="B5" i="31"/>
  <c r="M4" i="31"/>
  <c r="N4" i="31" s="1"/>
  <c r="K4" i="31"/>
  <c r="E4" i="31"/>
  <c r="B4" i="31"/>
  <c r="V2" i="31"/>
  <c r="U2" i="31"/>
  <c r="T2" i="31"/>
  <c r="S2" i="31"/>
  <c r="R2" i="31"/>
  <c r="Q2" i="31"/>
  <c r="P2" i="31"/>
  <c r="O2" i="31"/>
  <c r="L2" i="31"/>
  <c r="J2" i="31"/>
  <c r="I2" i="31"/>
  <c r="H2" i="31"/>
  <c r="G2" i="31"/>
  <c r="F2" i="31"/>
  <c r="E134" i="30"/>
  <c r="B134" i="30"/>
  <c r="E133" i="30"/>
  <c r="B133" i="30"/>
  <c r="E132" i="30"/>
  <c r="B132" i="30"/>
  <c r="E131" i="30"/>
  <c r="B131" i="30"/>
  <c r="E130" i="30"/>
  <c r="B130" i="30"/>
  <c r="E129" i="30"/>
  <c r="B129" i="30"/>
  <c r="E128" i="30"/>
  <c r="B128" i="30"/>
  <c r="E127" i="30"/>
  <c r="B127" i="30"/>
  <c r="E126" i="30"/>
  <c r="B126" i="30"/>
  <c r="E125" i="30"/>
  <c r="B125" i="30"/>
  <c r="E124" i="30"/>
  <c r="B124" i="30"/>
  <c r="E123" i="30"/>
  <c r="B123" i="30"/>
  <c r="E122" i="30"/>
  <c r="B122" i="30"/>
  <c r="E121" i="30"/>
  <c r="B121" i="30"/>
  <c r="E120" i="30"/>
  <c r="B120" i="30"/>
  <c r="E119" i="30"/>
  <c r="B119" i="30"/>
  <c r="E118" i="30"/>
  <c r="B118" i="30"/>
  <c r="E117" i="30"/>
  <c r="B117" i="30"/>
  <c r="E116" i="30"/>
  <c r="B116" i="30"/>
  <c r="E115" i="30"/>
  <c r="B115" i="30"/>
  <c r="E114" i="30"/>
  <c r="B114" i="30"/>
  <c r="E113" i="30"/>
  <c r="B113" i="30"/>
  <c r="E112" i="30"/>
  <c r="B112" i="30"/>
  <c r="E111" i="30"/>
  <c r="B111" i="30"/>
  <c r="E110" i="30"/>
  <c r="B110" i="30"/>
  <c r="E109" i="30"/>
  <c r="B109" i="30"/>
  <c r="E108" i="30"/>
  <c r="B108" i="30"/>
  <c r="E107" i="30"/>
  <c r="B107" i="30"/>
  <c r="E106" i="30"/>
  <c r="B106" i="30"/>
  <c r="E105" i="30"/>
  <c r="B105" i="30"/>
  <c r="E104" i="30"/>
  <c r="B104" i="30"/>
  <c r="E103" i="30"/>
  <c r="B103" i="30"/>
  <c r="E102" i="30"/>
  <c r="B102" i="30"/>
  <c r="E101" i="30"/>
  <c r="B101" i="30"/>
  <c r="E100" i="30"/>
  <c r="B100" i="30"/>
  <c r="E99" i="30"/>
  <c r="B99" i="30"/>
  <c r="E98" i="30"/>
  <c r="B98" i="30"/>
  <c r="E97" i="30"/>
  <c r="B97" i="30"/>
  <c r="E96" i="30"/>
  <c r="B96" i="30"/>
  <c r="E95" i="30"/>
  <c r="B95" i="30"/>
  <c r="E94" i="30"/>
  <c r="B94" i="30"/>
  <c r="E93" i="30"/>
  <c r="B93" i="30"/>
  <c r="E92" i="30"/>
  <c r="B92" i="30"/>
  <c r="E91" i="30"/>
  <c r="B91" i="30"/>
  <c r="E90" i="30"/>
  <c r="B90" i="30"/>
  <c r="E89" i="30"/>
  <c r="B89" i="30"/>
  <c r="E88" i="30"/>
  <c r="B88" i="30"/>
  <c r="E87" i="30"/>
  <c r="B87" i="30"/>
  <c r="E86" i="30"/>
  <c r="B86" i="30"/>
  <c r="E85" i="30"/>
  <c r="B85" i="30"/>
  <c r="E84" i="30"/>
  <c r="B84" i="30"/>
  <c r="E83" i="30"/>
  <c r="B83" i="30"/>
  <c r="E82" i="30"/>
  <c r="B82" i="30"/>
  <c r="E81" i="30"/>
  <c r="B81" i="30"/>
  <c r="E80" i="30"/>
  <c r="B80" i="30"/>
  <c r="E79" i="30"/>
  <c r="B79" i="30"/>
  <c r="E78" i="30"/>
  <c r="B78" i="30"/>
  <c r="E77" i="30"/>
  <c r="B77" i="30"/>
  <c r="E76" i="30"/>
  <c r="B76" i="30"/>
  <c r="E75" i="30"/>
  <c r="B75" i="30"/>
  <c r="E74" i="30"/>
  <c r="B74" i="30"/>
  <c r="E73" i="30"/>
  <c r="B73" i="30"/>
  <c r="E72" i="30"/>
  <c r="B72" i="30"/>
  <c r="E71" i="30"/>
  <c r="B71" i="30"/>
  <c r="E70" i="30"/>
  <c r="B70" i="30"/>
  <c r="E69" i="30"/>
  <c r="B69" i="30"/>
  <c r="E68" i="30"/>
  <c r="B68" i="30"/>
  <c r="E67" i="30"/>
  <c r="B67" i="30"/>
  <c r="E66" i="30"/>
  <c r="B66" i="30"/>
  <c r="E65" i="30"/>
  <c r="B65" i="30"/>
  <c r="E64" i="30"/>
  <c r="B64" i="30"/>
  <c r="E63" i="30"/>
  <c r="B63" i="30"/>
  <c r="E62" i="30"/>
  <c r="B62" i="30"/>
  <c r="E61" i="30"/>
  <c r="B61" i="30"/>
  <c r="E60" i="30"/>
  <c r="B60" i="30"/>
  <c r="E59" i="30"/>
  <c r="B59" i="30"/>
  <c r="E58" i="30"/>
  <c r="B58" i="30"/>
  <c r="E57" i="30"/>
  <c r="B57" i="30"/>
  <c r="E56" i="30"/>
  <c r="B56" i="30"/>
  <c r="E55" i="30"/>
  <c r="B55" i="30"/>
  <c r="E54" i="30"/>
  <c r="B54" i="30"/>
  <c r="E53" i="30"/>
  <c r="B53" i="30"/>
  <c r="E52" i="30"/>
  <c r="B52" i="30"/>
  <c r="E51" i="30"/>
  <c r="B51" i="30"/>
  <c r="E50" i="30"/>
  <c r="B50" i="30"/>
  <c r="E49" i="30"/>
  <c r="B49" i="30"/>
  <c r="E48" i="30"/>
  <c r="B48" i="30"/>
  <c r="E47" i="30"/>
  <c r="B47" i="30"/>
  <c r="E46" i="30"/>
  <c r="B46" i="30"/>
  <c r="E45" i="30"/>
  <c r="B45" i="30"/>
  <c r="E44" i="30"/>
  <c r="B44" i="30"/>
  <c r="E43" i="30"/>
  <c r="B43" i="30"/>
  <c r="E42" i="30"/>
  <c r="B42" i="30"/>
  <c r="E41" i="30"/>
  <c r="B41" i="30"/>
  <c r="E40" i="30"/>
  <c r="B40" i="30"/>
  <c r="E39" i="30"/>
  <c r="B39" i="30"/>
  <c r="E38" i="30"/>
  <c r="B38" i="30"/>
  <c r="E37" i="30"/>
  <c r="B37" i="30"/>
  <c r="E36" i="30"/>
  <c r="B36" i="30"/>
  <c r="E35" i="30"/>
  <c r="B35" i="30"/>
  <c r="E34" i="30"/>
  <c r="B34" i="30"/>
  <c r="E33" i="30"/>
  <c r="B33" i="30"/>
  <c r="E32" i="30"/>
  <c r="B32" i="30"/>
  <c r="E31" i="30"/>
  <c r="B31" i="30"/>
  <c r="E30" i="30"/>
  <c r="B30" i="30"/>
  <c r="E29" i="30"/>
  <c r="B29" i="30"/>
  <c r="E28" i="30"/>
  <c r="B28" i="30"/>
  <c r="E27" i="30"/>
  <c r="B27" i="30"/>
  <c r="E26" i="30"/>
  <c r="B26" i="30"/>
  <c r="E25" i="30"/>
  <c r="B25" i="30"/>
  <c r="E24" i="30"/>
  <c r="B24" i="30"/>
  <c r="E23" i="30"/>
  <c r="B23" i="30"/>
  <c r="E22" i="30"/>
  <c r="B22" i="30"/>
  <c r="E21" i="30"/>
  <c r="B21" i="30"/>
  <c r="E20" i="30"/>
  <c r="B20" i="30"/>
  <c r="E19" i="30"/>
  <c r="B19" i="30"/>
  <c r="E18" i="30"/>
  <c r="B18" i="30"/>
  <c r="E17" i="30"/>
  <c r="B17" i="30"/>
  <c r="E16" i="30"/>
  <c r="B16" i="30"/>
  <c r="E15" i="30"/>
  <c r="B15" i="30"/>
  <c r="E14" i="30"/>
  <c r="B14" i="30"/>
  <c r="E13" i="30"/>
  <c r="B13" i="30"/>
  <c r="E12" i="30"/>
  <c r="B12" i="30"/>
  <c r="E11" i="30"/>
  <c r="B11" i="30"/>
  <c r="E10" i="30"/>
  <c r="B10" i="30"/>
  <c r="E9" i="30"/>
  <c r="B9" i="30"/>
  <c r="E8" i="30"/>
  <c r="B8" i="30"/>
  <c r="E7" i="30"/>
  <c r="B7" i="30"/>
  <c r="E6" i="30"/>
  <c r="B6" i="30"/>
  <c r="E5" i="30"/>
  <c r="B5" i="30"/>
  <c r="N4" i="30"/>
  <c r="M4" i="30"/>
  <c r="E4" i="30"/>
  <c r="B4" i="30"/>
  <c r="V2" i="30"/>
  <c r="U2" i="30"/>
  <c r="T2" i="30"/>
  <c r="S2" i="30"/>
  <c r="R2" i="30"/>
  <c r="Q2" i="30"/>
  <c r="P2" i="30"/>
  <c r="O2" i="30"/>
  <c r="L2" i="30"/>
  <c r="J2" i="30"/>
  <c r="I2" i="30"/>
  <c r="H2" i="30"/>
  <c r="G2" i="30"/>
  <c r="F2" i="30"/>
  <c r="M134" i="29"/>
  <c r="N134" i="29" s="1"/>
  <c r="K134" i="29"/>
  <c r="E134" i="29"/>
  <c r="B134" i="29"/>
  <c r="M133" i="29"/>
  <c r="N133" i="29" s="1"/>
  <c r="K133" i="29"/>
  <c r="E133" i="29"/>
  <c r="B133" i="29"/>
  <c r="N132" i="29"/>
  <c r="M132" i="29"/>
  <c r="K132" i="29"/>
  <c r="E132" i="29"/>
  <c r="B132" i="29"/>
  <c r="N131" i="29"/>
  <c r="M131" i="29"/>
  <c r="K131" i="29"/>
  <c r="E131" i="29"/>
  <c r="B131" i="29"/>
  <c r="M130" i="29"/>
  <c r="N130" i="29" s="1"/>
  <c r="K130" i="29"/>
  <c r="E130" i="29"/>
  <c r="B130" i="29"/>
  <c r="M129" i="29"/>
  <c r="N129" i="29" s="1"/>
  <c r="K129" i="29"/>
  <c r="E129" i="29"/>
  <c r="B129" i="29"/>
  <c r="M128" i="29"/>
  <c r="N128" i="29" s="1"/>
  <c r="K128" i="29"/>
  <c r="E128" i="29"/>
  <c r="B128" i="29"/>
  <c r="M127" i="29"/>
  <c r="N127" i="29" s="1"/>
  <c r="K127" i="29"/>
  <c r="E127" i="29"/>
  <c r="B127" i="29"/>
  <c r="M126" i="29"/>
  <c r="N126" i="29" s="1"/>
  <c r="K126" i="29"/>
  <c r="E126" i="29"/>
  <c r="B126" i="29"/>
  <c r="M125" i="29"/>
  <c r="N125" i="29" s="1"/>
  <c r="K125" i="29"/>
  <c r="E125" i="29"/>
  <c r="B125" i="29"/>
  <c r="M124" i="29"/>
  <c r="N124" i="29" s="1"/>
  <c r="K124" i="29"/>
  <c r="E124" i="29"/>
  <c r="B124" i="29"/>
  <c r="M123" i="29"/>
  <c r="N123" i="29" s="1"/>
  <c r="K123" i="29"/>
  <c r="E123" i="29"/>
  <c r="B123" i="29"/>
  <c r="M122" i="29"/>
  <c r="N122" i="29" s="1"/>
  <c r="K122" i="29"/>
  <c r="E122" i="29"/>
  <c r="B122" i="29"/>
  <c r="M121" i="29"/>
  <c r="N121" i="29" s="1"/>
  <c r="K121" i="29"/>
  <c r="E121" i="29"/>
  <c r="B121" i="29"/>
  <c r="M120" i="29"/>
  <c r="N120" i="29" s="1"/>
  <c r="K120" i="29"/>
  <c r="E120" i="29"/>
  <c r="B120" i="29"/>
  <c r="M119" i="29"/>
  <c r="N119" i="29" s="1"/>
  <c r="K119" i="29"/>
  <c r="E119" i="29"/>
  <c r="B119" i="29"/>
  <c r="N118" i="29"/>
  <c r="M118" i="29"/>
  <c r="K118" i="29"/>
  <c r="E118" i="29"/>
  <c r="B118" i="29"/>
  <c r="M117" i="29"/>
  <c r="N117" i="29" s="1"/>
  <c r="K117" i="29"/>
  <c r="E117" i="29"/>
  <c r="B117" i="29"/>
  <c r="M116" i="29"/>
  <c r="N116" i="29" s="1"/>
  <c r="K116" i="29"/>
  <c r="E116" i="29"/>
  <c r="B116" i="29"/>
  <c r="N115" i="29"/>
  <c r="M115" i="29"/>
  <c r="K115" i="29"/>
  <c r="E115" i="29"/>
  <c r="B115" i="29"/>
  <c r="N114" i="29"/>
  <c r="M114" i="29"/>
  <c r="K114" i="29"/>
  <c r="E114" i="29"/>
  <c r="B114" i="29"/>
  <c r="M113" i="29"/>
  <c r="N113" i="29" s="1"/>
  <c r="K113" i="29"/>
  <c r="E113" i="29"/>
  <c r="B113" i="29"/>
  <c r="M112" i="29"/>
  <c r="N112" i="29" s="1"/>
  <c r="K112" i="29"/>
  <c r="E112" i="29"/>
  <c r="B112" i="29"/>
  <c r="M111" i="29"/>
  <c r="N111" i="29" s="1"/>
  <c r="K111" i="29"/>
  <c r="E111" i="29"/>
  <c r="B111" i="29"/>
  <c r="M110" i="29"/>
  <c r="N110" i="29" s="1"/>
  <c r="K110" i="29"/>
  <c r="E110" i="29"/>
  <c r="B110" i="29"/>
  <c r="M109" i="29"/>
  <c r="N109" i="29" s="1"/>
  <c r="K109" i="29"/>
  <c r="E109" i="29"/>
  <c r="B109" i="29"/>
  <c r="M108" i="29"/>
  <c r="N108" i="29" s="1"/>
  <c r="K108" i="29"/>
  <c r="E108" i="29"/>
  <c r="B108" i="29"/>
  <c r="M107" i="29"/>
  <c r="N107" i="29" s="1"/>
  <c r="K107" i="29"/>
  <c r="E107" i="29"/>
  <c r="B107" i="29"/>
  <c r="M106" i="29"/>
  <c r="N106" i="29" s="1"/>
  <c r="K106" i="29"/>
  <c r="E106" i="29"/>
  <c r="B106" i="29"/>
  <c r="M105" i="29"/>
  <c r="N105" i="29" s="1"/>
  <c r="K105" i="29"/>
  <c r="E105" i="29"/>
  <c r="B105" i="29"/>
  <c r="M104" i="29"/>
  <c r="N104" i="29" s="1"/>
  <c r="K104" i="29"/>
  <c r="E104" i="29"/>
  <c r="B104" i="29"/>
  <c r="M103" i="29"/>
  <c r="N103" i="29" s="1"/>
  <c r="K103" i="29"/>
  <c r="E103" i="29"/>
  <c r="B103" i="29"/>
  <c r="M102" i="29"/>
  <c r="N102" i="29" s="1"/>
  <c r="K102" i="29"/>
  <c r="E102" i="29"/>
  <c r="B102" i="29"/>
  <c r="M101" i="29"/>
  <c r="N101" i="29" s="1"/>
  <c r="K101" i="29"/>
  <c r="E101" i="29"/>
  <c r="B101" i="29"/>
  <c r="M100" i="29"/>
  <c r="N100" i="29" s="1"/>
  <c r="K100" i="29"/>
  <c r="E100" i="29"/>
  <c r="B100" i="29"/>
  <c r="M99" i="29"/>
  <c r="N99" i="29" s="1"/>
  <c r="K99" i="29"/>
  <c r="E99" i="29"/>
  <c r="B99" i="29"/>
  <c r="M98" i="29"/>
  <c r="N98" i="29" s="1"/>
  <c r="K98" i="29"/>
  <c r="E98" i="29"/>
  <c r="B98" i="29"/>
  <c r="M97" i="29"/>
  <c r="N97" i="29" s="1"/>
  <c r="K97" i="29"/>
  <c r="E97" i="29"/>
  <c r="B97" i="29"/>
  <c r="M96" i="29"/>
  <c r="N96" i="29" s="1"/>
  <c r="K96" i="29"/>
  <c r="E96" i="29"/>
  <c r="B96" i="29"/>
  <c r="N95" i="29"/>
  <c r="M95" i="29"/>
  <c r="K95" i="29"/>
  <c r="E95" i="29"/>
  <c r="B95" i="29"/>
  <c r="M94" i="29"/>
  <c r="N94" i="29" s="1"/>
  <c r="K94" i="29"/>
  <c r="E94" i="29"/>
  <c r="B94" i="29"/>
  <c r="M93" i="29"/>
  <c r="N93" i="29" s="1"/>
  <c r="K93" i="29"/>
  <c r="E93" i="29"/>
  <c r="B93" i="29"/>
  <c r="M92" i="29"/>
  <c r="N92" i="29" s="1"/>
  <c r="K92" i="29"/>
  <c r="E92" i="29"/>
  <c r="B92" i="29"/>
  <c r="M91" i="29"/>
  <c r="N91" i="29" s="1"/>
  <c r="K91" i="29"/>
  <c r="E91" i="29"/>
  <c r="B91" i="29"/>
  <c r="M90" i="29"/>
  <c r="N90" i="29" s="1"/>
  <c r="K90" i="29"/>
  <c r="E90" i="29"/>
  <c r="B90" i="29"/>
  <c r="M89" i="29"/>
  <c r="N89" i="29" s="1"/>
  <c r="K89" i="29"/>
  <c r="E89" i="29"/>
  <c r="B89" i="29"/>
  <c r="M88" i="29"/>
  <c r="N88" i="29" s="1"/>
  <c r="K88" i="29"/>
  <c r="E88" i="29"/>
  <c r="B88" i="29"/>
  <c r="M87" i="29"/>
  <c r="N87" i="29" s="1"/>
  <c r="K87" i="29"/>
  <c r="E87" i="29"/>
  <c r="B87" i="29"/>
  <c r="N86" i="29"/>
  <c r="M86" i="29"/>
  <c r="K86" i="29"/>
  <c r="E86" i="29"/>
  <c r="B86" i="29"/>
  <c r="M85" i="29"/>
  <c r="N85" i="29" s="1"/>
  <c r="K85" i="29"/>
  <c r="E85" i="29"/>
  <c r="B85" i="29"/>
  <c r="M84" i="29"/>
  <c r="N84" i="29" s="1"/>
  <c r="K84" i="29"/>
  <c r="E84" i="29"/>
  <c r="B84" i="29"/>
  <c r="N83" i="29"/>
  <c r="M83" i="29"/>
  <c r="K83" i="29"/>
  <c r="E83" i="29"/>
  <c r="B83" i="29"/>
  <c r="N82" i="29"/>
  <c r="M82" i="29"/>
  <c r="K82" i="29"/>
  <c r="E82" i="29"/>
  <c r="B82" i="29"/>
  <c r="M81" i="29"/>
  <c r="N81" i="29" s="1"/>
  <c r="K81" i="29"/>
  <c r="E81" i="29"/>
  <c r="B81" i="29"/>
  <c r="M80" i="29"/>
  <c r="N80" i="29" s="1"/>
  <c r="K80" i="29"/>
  <c r="E80" i="29"/>
  <c r="B80" i="29"/>
  <c r="M79" i="29"/>
  <c r="N79" i="29" s="1"/>
  <c r="K79" i="29"/>
  <c r="E79" i="29"/>
  <c r="B79" i="29"/>
  <c r="M78" i="29"/>
  <c r="N78" i="29" s="1"/>
  <c r="K78" i="29"/>
  <c r="E78" i="29"/>
  <c r="B78" i="29"/>
  <c r="M77" i="29"/>
  <c r="N77" i="29" s="1"/>
  <c r="K77" i="29"/>
  <c r="E77" i="29"/>
  <c r="B77" i="29"/>
  <c r="M76" i="29"/>
  <c r="N76" i="29" s="1"/>
  <c r="K76" i="29"/>
  <c r="E76" i="29"/>
  <c r="B76" i="29"/>
  <c r="M75" i="29"/>
  <c r="N75" i="29" s="1"/>
  <c r="K75" i="29"/>
  <c r="E75" i="29"/>
  <c r="B75" i="29"/>
  <c r="M74" i="29"/>
  <c r="N74" i="29" s="1"/>
  <c r="K74" i="29"/>
  <c r="E74" i="29"/>
  <c r="B74" i="29"/>
  <c r="M73" i="29"/>
  <c r="N73" i="29" s="1"/>
  <c r="K73" i="29"/>
  <c r="E73" i="29"/>
  <c r="B73" i="29"/>
  <c r="M72" i="29"/>
  <c r="N72" i="29" s="1"/>
  <c r="K72" i="29"/>
  <c r="E72" i="29"/>
  <c r="B72" i="29"/>
  <c r="M71" i="29"/>
  <c r="N71" i="29" s="1"/>
  <c r="K71" i="29"/>
  <c r="E71" i="29"/>
  <c r="B71" i="29"/>
  <c r="M70" i="29"/>
  <c r="N70" i="29" s="1"/>
  <c r="K70" i="29"/>
  <c r="E70" i="29"/>
  <c r="B70" i="29"/>
  <c r="M69" i="29"/>
  <c r="N69" i="29" s="1"/>
  <c r="K69" i="29"/>
  <c r="E69" i="29"/>
  <c r="B69" i="29"/>
  <c r="M68" i="29"/>
  <c r="N68" i="29" s="1"/>
  <c r="K68" i="29"/>
  <c r="E68" i="29"/>
  <c r="B68" i="29"/>
  <c r="M67" i="29"/>
  <c r="N67" i="29" s="1"/>
  <c r="K67" i="29"/>
  <c r="E67" i="29"/>
  <c r="B67" i="29"/>
  <c r="M66" i="29"/>
  <c r="N66" i="29" s="1"/>
  <c r="K66" i="29"/>
  <c r="E66" i="29"/>
  <c r="B66" i="29"/>
  <c r="M65" i="29"/>
  <c r="N65" i="29" s="1"/>
  <c r="K65" i="29"/>
  <c r="E65" i="29"/>
  <c r="B65" i="29"/>
  <c r="M64" i="29"/>
  <c r="N64" i="29" s="1"/>
  <c r="K64" i="29"/>
  <c r="E64" i="29"/>
  <c r="B64" i="29"/>
  <c r="N63" i="29"/>
  <c r="M63" i="29"/>
  <c r="K63" i="29"/>
  <c r="E63" i="29"/>
  <c r="B63" i="29"/>
  <c r="M62" i="29"/>
  <c r="N62" i="29" s="1"/>
  <c r="K62" i="29"/>
  <c r="E62" i="29"/>
  <c r="B62" i="29"/>
  <c r="M61" i="29"/>
  <c r="N61" i="29" s="1"/>
  <c r="K61" i="29"/>
  <c r="E61" i="29"/>
  <c r="B61" i="29"/>
  <c r="M60" i="29"/>
  <c r="N60" i="29" s="1"/>
  <c r="K60" i="29"/>
  <c r="E60" i="29"/>
  <c r="B60" i="29"/>
  <c r="M59" i="29"/>
  <c r="N59" i="29" s="1"/>
  <c r="K59" i="29"/>
  <c r="E59" i="29"/>
  <c r="B59" i="29"/>
  <c r="M58" i="29"/>
  <c r="N58" i="29" s="1"/>
  <c r="K58" i="29"/>
  <c r="E58" i="29"/>
  <c r="B58" i="29"/>
  <c r="M57" i="29"/>
  <c r="N57" i="29" s="1"/>
  <c r="K57" i="29"/>
  <c r="E57" i="29"/>
  <c r="B57" i="29"/>
  <c r="M56" i="29"/>
  <c r="N56" i="29" s="1"/>
  <c r="K56" i="29"/>
  <c r="E56" i="29"/>
  <c r="B56" i="29"/>
  <c r="M55" i="29"/>
  <c r="N55" i="29" s="1"/>
  <c r="K55" i="29"/>
  <c r="E55" i="29"/>
  <c r="B55" i="29"/>
  <c r="N54" i="29"/>
  <c r="M54" i="29"/>
  <c r="K54" i="29"/>
  <c r="E54" i="29"/>
  <c r="B54" i="29"/>
  <c r="M53" i="29"/>
  <c r="N53" i="29" s="1"/>
  <c r="K53" i="29"/>
  <c r="E53" i="29"/>
  <c r="B53" i="29"/>
  <c r="M52" i="29"/>
  <c r="N52" i="29" s="1"/>
  <c r="K52" i="29"/>
  <c r="E52" i="29"/>
  <c r="B52" i="29"/>
  <c r="N51" i="29"/>
  <c r="M51" i="29"/>
  <c r="K51" i="29"/>
  <c r="E51" i="29"/>
  <c r="B51" i="29"/>
  <c r="N50" i="29"/>
  <c r="M50" i="29"/>
  <c r="K50" i="29"/>
  <c r="E50" i="29"/>
  <c r="B50" i="29"/>
  <c r="M49" i="29"/>
  <c r="N49" i="29" s="1"/>
  <c r="K49" i="29"/>
  <c r="E49" i="29"/>
  <c r="B49" i="29"/>
  <c r="M48" i="29"/>
  <c r="N48" i="29" s="1"/>
  <c r="K48" i="29"/>
  <c r="E48" i="29"/>
  <c r="B48" i="29"/>
  <c r="M47" i="29"/>
  <c r="N47" i="29" s="1"/>
  <c r="K47" i="29"/>
  <c r="E47" i="29"/>
  <c r="B47" i="29"/>
  <c r="M46" i="29"/>
  <c r="N46" i="29" s="1"/>
  <c r="K46" i="29"/>
  <c r="E46" i="29"/>
  <c r="B46" i="29"/>
  <c r="M45" i="29"/>
  <c r="N45" i="29" s="1"/>
  <c r="K45" i="29"/>
  <c r="E45" i="29"/>
  <c r="B45" i="29"/>
  <c r="M44" i="29"/>
  <c r="N44" i="29" s="1"/>
  <c r="K44" i="29"/>
  <c r="E44" i="29"/>
  <c r="B44" i="29"/>
  <c r="M43" i="29"/>
  <c r="N43" i="29" s="1"/>
  <c r="K43" i="29"/>
  <c r="E43" i="29"/>
  <c r="B43" i="29"/>
  <c r="M42" i="29"/>
  <c r="N42" i="29" s="1"/>
  <c r="K42" i="29"/>
  <c r="E42" i="29"/>
  <c r="B42" i="29"/>
  <c r="M41" i="29"/>
  <c r="N41" i="29" s="1"/>
  <c r="K41" i="29"/>
  <c r="E41" i="29"/>
  <c r="B41" i="29"/>
  <c r="M40" i="29"/>
  <c r="N40" i="29" s="1"/>
  <c r="K40" i="29"/>
  <c r="E40" i="29"/>
  <c r="B40" i="29"/>
  <c r="N39" i="29"/>
  <c r="M39" i="29"/>
  <c r="K39" i="29"/>
  <c r="E39" i="29"/>
  <c r="B39" i="29"/>
  <c r="N38" i="29"/>
  <c r="M38" i="29"/>
  <c r="K38" i="29"/>
  <c r="E38" i="29"/>
  <c r="B38" i="29"/>
  <c r="M37" i="29"/>
  <c r="N37" i="29" s="1"/>
  <c r="K37" i="29"/>
  <c r="E37" i="29"/>
  <c r="B37" i="29"/>
  <c r="M36" i="29"/>
  <c r="N36" i="29" s="1"/>
  <c r="K36" i="29"/>
  <c r="E36" i="29"/>
  <c r="B36" i="29"/>
  <c r="N35" i="29"/>
  <c r="M35" i="29"/>
  <c r="K35" i="29"/>
  <c r="E35" i="29"/>
  <c r="B35" i="29"/>
  <c r="M34" i="29"/>
  <c r="N34" i="29" s="1"/>
  <c r="K34" i="29"/>
  <c r="E34" i="29"/>
  <c r="B34" i="29"/>
  <c r="M33" i="29"/>
  <c r="N33" i="29" s="1"/>
  <c r="K33" i="29"/>
  <c r="E33" i="29"/>
  <c r="B33" i="29"/>
  <c r="M32" i="29"/>
  <c r="N32" i="29" s="1"/>
  <c r="K32" i="29"/>
  <c r="E32" i="29"/>
  <c r="B32" i="29"/>
  <c r="N31" i="29"/>
  <c r="M31" i="29"/>
  <c r="K31" i="29"/>
  <c r="E31" i="29"/>
  <c r="B31" i="29"/>
  <c r="M30" i="29"/>
  <c r="N30" i="29" s="1"/>
  <c r="K30" i="29"/>
  <c r="E30" i="29"/>
  <c r="B30" i="29"/>
  <c r="M29" i="29"/>
  <c r="N29" i="29" s="1"/>
  <c r="K29" i="29"/>
  <c r="E29" i="29"/>
  <c r="B29" i="29"/>
  <c r="M28" i="29"/>
  <c r="N28" i="29" s="1"/>
  <c r="K28" i="29"/>
  <c r="E28" i="29"/>
  <c r="B28" i="29"/>
  <c r="M27" i="29"/>
  <c r="N27" i="29" s="1"/>
  <c r="K27" i="29"/>
  <c r="E27" i="29"/>
  <c r="B27" i="29"/>
  <c r="M26" i="29"/>
  <c r="N26" i="29" s="1"/>
  <c r="K26" i="29"/>
  <c r="E26" i="29"/>
  <c r="B26" i="29"/>
  <c r="M25" i="29"/>
  <c r="N25" i="29" s="1"/>
  <c r="K25" i="29"/>
  <c r="E25" i="29"/>
  <c r="B25" i="29"/>
  <c r="M24" i="29"/>
  <c r="N24" i="29" s="1"/>
  <c r="K24" i="29"/>
  <c r="E24" i="29"/>
  <c r="B24" i="29"/>
  <c r="N23" i="29"/>
  <c r="M23" i="29"/>
  <c r="K23" i="29"/>
  <c r="E23" i="29"/>
  <c r="B23" i="29"/>
  <c r="N22" i="29"/>
  <c r="M22" i="29"/>
  <c r="K22" i="29"/>
  <c r="E22" i="29"/>
  <c r="B22" i="29"/>
  <c r="M21" i="29"/>
  <c r="N21" i="29" s="1"/>
  <c r="K21" i="29"/>
  <c r="E21" i="29"/>
  <c r="B21" i="29"/>
  <c r="M20" i="29"/>
  <c r="N20" i="29" s="1"/>
  <c r="K20" i="29"/>
  <c r="E20" i="29"/>
  <c r="B20" i="29"/>
  <c r="M19" i="29"/>
  <c r="N19" i="29" s="1"/>
  <c r="K19" i="29"/>
  <c r="E19" i="29"/>
  <c r="B19" i="29"/>
  <c r="M18" i="29"/>
  <c r="N18" i="29" s="1"/>
  <c r="K18" i="29"/>
  <c r="E18" i="29"/>
  <c r="B18" i="29"/>
  <c r="M17" i="29"/>
  <c r="N17" i="29" s="1"/>
  <c r="K17" i="29"/>
  <c r="E17" i="29"/>
  <c r="B17" i="29"/>
  <c r="M16" i="29"/>
  <c r="N16" i="29" s="1"/>
  <c r="K16" i="29"/>
  <c r="E16" i="29"/>
  <c r="B16" i="29"/>
  <c r="M15" i="29"/>
  <c r="N15" i="29" s="1"/>
  <c r="K15" i="29"/>
  <c r="E15" i="29"/>
  <c r="B15" i="29"/>
  <c r="M14" i="29"/>
  <c r="N14" i="29" s="1"/>
  <c r="K14" i="29"/>
  <c r="E14" i="29"/>
  <c r="B14" i="29"/>
  <c r="M13" i="29"/>
  <c r="N13" i="29" s="1"/>
  <c r="K13" i="29"/>
  <c r="E13" i="29"/>
  <c r="B13" i="29"/>
  <c r="M12" i="29"/>
  <c r="N12" i="29" s="1"/>
  <c r="K12" i="29"/>
  <c r="E12" i="29"/>
  <c r="B12" i="29"/>
  <c r="M11" i="29"/>
  <c r="N11" i="29" s="1"/>
  <c r="K11" i="29"/>
  <c r="E11" i="29"/>
  <c r="B11" i="29"/>
  <c r="M10" i="29"/>
  <c r="N10" i="29" s="1"/>
  <c r="K10" i="29"/>
  <c r="E10" i="29"/>
  <c r="B10" i="29"/>
  <c r="M9" i="29"/>
  <c r="N9" i="29" s="1"/>
  <c r="K9" i="29"/>
  <c r="E9" i="29"/>
  <c r="B9" i="29"/>
  <c r="M8" i="29"/>
  <c r="N8" i="29" s="1"/>
  <c r="K8" i="29"/>
  <c r="E8" i="29"/>
  <c r="B8" i="29"/>
  <c r="N7" i="29"/>
  <c r="M7" i="29"/>
  <c r="K7" i="29"/>
  <c r="E7" i="29"/>
  <c r="B7" i="29"/>
  <c r="M6" i="29"/>
  <c r="N6" i="29" s="1"/>
  <c r="K6" i="29"/>
  <c r="E6" i="29"/>
  <c r="B6" i="29"/>
  <c r="M5" i="29"/>
  <c r="N5" i="29" s="1"/>
  <c r="K5" i="29"/>
  <c r="E5" i="29"/>
  <c r="B5" i="29"/>
  <c r="M4" i="29"/>
  <c r="N4" i="29" s="1"/>
  <c r="K4" i="29"/>
  <c r="E4" i="29"/>
  <c r="B4" i="29"/>
  <c r="V2" i="29"/>
  <c r="U2" i="29"/>
  <c r="T2" i="29"/>
  <c r="S2" i="29"/>
  <c r="R2" i="29"/>
  <c r="Q2" i="29"/>
  <c r="P2" i="29"/>
  <c r="O2" i="29"/>
  <c r="L2" i="29"/>
  <c r="J2" i="29"/>
  <c r="I2" i="29"/>
  <c r="H2" i="29"/>
  <c r="G2" i="29"/>
  <c r="F2" i="29"/>
  <c r="E133" i="28"/>
  <c r="B133" i="28"/>
  <c r="E132" i="28"/>
  <c r="B132" i="28"/>
  <c r="E131" i="28"/>
  <c r="B131" i="28"/>
  <c r="E130" i="28"/>
  <c r="B130" i="28"/>
  <c r="E129" i="28"/>
  <c r="B129" i="28"/>
  <c r="E128" i="28"/>
  <c r="B128" i="28"/>
  <c r="E127" i="28"/>
  <c r="B127" i="28"/>
  <c r="E126" i="28"/>
  <c r="B126" i="28"/>
  <c r="E125" i="28"/>
  <c r="B125" i="28"/>
  <c r="E124" i="28"/>
  <c r="B124" i="28"/>
  <c r="E123" i="28"/>
  <c r="B123" i="28"/>
  <c r="E122" i="28"/>
  <c r="B122" i="28"/>
  <c r="E121" i="28"/>
  <c r="B121" i="28"/>
  <c r="E120" i="28"/>
  <c r="B120" i="28"/>
  <c r="E119" i="28"/>
  <c r="B119" i="28"/>
  <c r="E118" i="28"/>
  <c r="B118" i="28"/>
  <c r="E117" i="28"/>
  <c r="B117" i="28"/>
  <c r="E116" i="28"/>
  <c r="B116" i="28"/>
  <c r="E115" i="28"/>
  <c r="B115" i="28"/>
  <c r="E114" i="28"/>
  <c r="B114" i="28"/>
  <c r="E113" i="28"/>
  <c r="B113" i="28"/>
  <c r="E112" i="28"/>
  <c r="B112" i="28"/>
  <c r="E111" i="28"/>
  <c r="B111" i="28"/>
  <c r="E110" i="28"/>
  <c r="B110" i="28"/>
  <c r="E109" i="28"/>
  <c r="B109" i="28"/>
  <c r="E108" i="28"/>
  <c r="B108" i="28"/>
  <c r="E107" i="28"/>
  <c r="B107" i="28"/>
  <c r="E106" i="28"/>
  <c r="B106" i="28"/>
  <c r="E105" i="28"/>
  <c r="B105" i="28"/>
  <c r="E104" i="28"/>
  <c r="B104" i="28"/>
  <c r="E103" i="28"/>
  <c r="B103" i="28"/>
  <c r="E102" i="28"/>
  <c r="B102" i="28"/>
  <c r="E101" i="28"/>
  <c r="B101" i="28"/>
  <c r="E100" i="28"/>
  <c r="B100" i="28"/>
  <c r="E99" i="28"/>
  <c r="B99" i="28"/>
  <c r="E98" i="28"/>
  <c r="B98" i="28"/>
  <c r="E97" i="28"/>
  <c r="B97" i="28"/>
  <c r="E96" i="28"/>
  <c r="B96" i="28"/>
  <c r="E95" i="28"/>
  <c r="B95" i="28"/>
  <c r="E94" i="28"/>
  <c r="B94" i="28"/>
  <c r="E93" i="28"/>
  <c r="B93" i="28"/>
  <c r="E92" i="28"/>
  <c r="B92" i="28"/>
  <c r="E91" i="28"/>
  <c r="B91" i="28"/>
  <c r="E90" i="28"/>
  <c r="B90" i="28"/>
  <c r="E89" i="28"/>
  <c r="B89" i="28"/>
  <c r="E88" i="28"/>
  <c r="B88" i="28"/>
  <c r="E87" i="28"/>
  <c r="B87" i="28"/>
  <c r="E86" i="28"/>
  <c r="B86" i="28"/>
  <c r="E85" i="28"/>
  <c r="B85" i="28"/>
  <c r="E84" i="28"/>
  <c r="B84" i="28"/>
  <c r="E83" i="28"/>
  <c r="B83" i="28"/>
  <c r="E82" i="28"/>
  <c r="B82" i="28"/>
  <c r="E81" i="28"/>
  <c r="B81" i="28"/>
  <c r="E80" i="28"/>
  <c r="B80" i="28"/>
  <c r="E79" i="28"/>
  <c r="B79" i="28"/>
  <c r="E78" i="28"/>
  <c r="B78" i="28"/>
  <c r="E77" i="28"/>
  <c r="B77" i="28"/>
  <c r="E76" i="28"/>
  <c r="B76" i="28"/>
  <c r="E75" i="28"/>
  <c r="B75" i="28"/>
  <c r="E74" i="28"/>
  <c r="B74" i="28"/>
  <c r="E73" i="28"/>
  <c r="B73" i="28"/>
  <c r="E72" i="28"/>
  <c r="B72" i="28"/>
  <c r="E71" i="28"/>
  <c r="B71" i="28"/>
  <c r="E70" i="28"/>
  <c r="B70" i="28"/>
  <c r="E69" i="28"/>
  <c r="B69" i="28"/>
  <c r="E68" i="28"/>
  <c r="B68" i="28"/>
  <c r="E67" i="28"/>
  <c r="B67" i="28"/>
  <c r="E66" i="28"/>
  <c r="B66" i="28"/>
  <c r="E65" i="28"/>
  <c r="B65" i="28"/>
  <c r="E64" i="28"/>
  <c r="B64" i="28"/>
  <c r="E63" i="28"/>
  <c r="B63" i="28"/>
  <c r="E62" i="28"/>
  <c r="B62" i="28"/>
  <c r="E61" i="28"/>
  <c r="B61" i="28"/>
  <c r="E60" i="28"/>
  <c r="B60" i="28"/>
  <c r="E59" i="28"/>
  <c r="B59" i="28"/>
  <c r="E58" i="28"/>
  <c r="B58" i="28"/>
  <c r="E57" i="28"/>
  <c r="B57" i="28"/>
  <c r="E56" i="28"/>
  <c r="B56" i="28"/>
  <c r="E55" i="28"/>
  <c r="B55" i="28"/>
  <c r="E54" i="28"/>
  <c r="B54" i="28"/>
  <c r="E53" i="28"/>
  <c r="B53" i="28"/>
  <c r="E52" i="28"/>
  <c r="B52" i="28"/>
  <c r="E51" i="28"/>
  <c r="B51" i="28"/>
  <c r="E50" i="28"/>
  <c r="B50" i="28"/>
  <c r="E49" i="28"/>
  <c r="B49" i="28"/>
  <c r="E48" i="28"/>
  <c r="B48" i="28"/>
  <c r="E47" i="28"/>
  <c r="B47" i="28"/>
  <c r="E46" i="28"/>
  <c r="B46" i="28"/>
  <c r="E45" i="28"/>
  <c r="B45" i="28"/>
  <c r="E44" i="28"/>
  <c r="B44" i="28"/>
  <c r="E43" i="28"/>
  <c r="B43" i="28"/>
  <c r="E42" i="28"/>
  <c r="B42" i="28"/>
  <c r="E41" i="28"/>
  <c r="B41" i="28"/>
  <c r="E40" i="28"/>
  <c r="B40" i="28"/>
  <c r="E39" i="28"/>
  <c r="B39" i="28"/>
  <c r="E38" i="28"/>
  <c r="B38" i="28"/>
  <c r="E37" i="28"/>
  <c r="B37" i="28"/>
  <c r="E36" i="28"/>
  <c r="B36" i="28"/>
  <c r="E35" i="28"/>
  <c r="B35" i="28"/>
  <c r="E34" i="28"/>
  <c r="B34" i="28"/>
  <c r="E33" i="28"/>
  <c r="B33" i="28"/>
  <c r="E32" i="28"/>
  <c r="B32" i="28"/>
  <c r="E31" i="28"/>
  <c r="B31" i="28"/>
  <c r="E30" i="28"/>
  <c r="B30" i="28"/>
  <c r="E29" i="28"/>
  <c r="B29" i="28"/>
  <c r="E28" i="28"/>
  <c r="B28" i="28"/>
  <c r="E27" i="28"/>
  <c r="B27" i="28"/>
  <c r="E26" i="28"/>
  <c r="B26" i="28"/>
  <c r="E25" i="28"/>
  <c r="B25" i="28"/>
  <c r="E24" i="28"/>
  <c r="B24" i="28"/>
  <c r="E23" i="28"/>
  <c r="B23" i="28"/>
  <c r="E22" i="28"/>
  <c r="B22" i="28"/>
  <c r="E21" i="28"/>
  <c r="B21" i="28"/>
  <c r="E20" i="28"/>
  <c r="B20" i="28"/>
  <c r="E19" i="28"/>
  <c r="B19" i="28"/>
  <c r="E18" i="28"/>
  <c r="B18" i="28"/>
  <c r="E17" i="28"/>
  <c r="B17" i="28"/>
  <c r="E16" i="28"/>
  <c r="B16" i="28"/>
  <c r="E15" i="28"/>
  <c r="B15" i="28"/>
  <c r="E14" i="28"/>
  <c r="B14" i="28"/>
  <c r="E13" i="28"/>
  <c r="B13" i="28"/>
  <c r="E12" i="28"/>
  <c r="B12" i="28"/>
  <c r="E11" i="28"/>
  <c r="B11" i="28"/>
  <c r="E10" i="28"/>
  <c r="B10" i="28"/>
  <c r="E9" i="28"/>
  <c r="B9" i="28"/>
  <c r="E8" i="28"/>
  <c r="B8" i="28"/>
  <c r="E7" i="28"/>
  <c r="B7" i="28"/>
  <c r="E6" i="28"/>
  <c r="B6" i="28"/>
  <c r="E5" i="28"/>
  <c r="B5" i="28"/>
  <c r="E4" i="28"/>
  <c r="B4" i="28"/>
  <c r="V2" i="28"/>
  <c r="U2" i="28"/>
  <c r="T2" i="28"/>
  <c r="S2" i="28"/>
  <c r="R2" i="28"/>
  <c r="Q2" i="28"/>
  <c r="P2" i="28"/>
  <c r="O2" i="28"/>
  <c r="L2" i="28"/>
  <c r="J2" i="28"/>
  <c r="I2" i="28"/>
  <c r="H2" i="28"/>
  <c r="G2" i="28"/>
  <c r="F2" i="28"/>
  <c r="M134" i="27"/>
  <c r="N134" i="27" s="1"/>
  <c r="K134" i="27"/>
  <c r="E134" i="27"/>
  <c r="B134" i="27"/>
  <c r="M133" i="27"/>
  <c r="N133" i="27" s="1"/>
  <c r="K133" i="27"/>
  <c r="E133" i="27"/>
  <c r="B133" i="27"/>
  <c r="M132" i="27"/>
  <c r="N132" i="27" s="1"/>
  <c r="K132" i="27"/>
  <c r="E132" i="27"/>
  <c r="B132" i="27"/>
  <c r="M131" i="27"/>
  <c r="N131" i="27" s="1"/>
  <c r="K131" i="27"/>
  <c r="E131" i="27"/>
  <c r="B131" i="27"/>
  <c r="N130" i="27"/>
  <c r="M130" i="27"/>
  <c r="K130" i="27"/>
  <c r="E130" i="27"/>
  <c r="B130" i="27"/>
  <c r="N129" i="27"/>
  <c r="M129" i="27"/>
  <c r="K129" i="27"/>
  <c r="E129" i="27"/>
  <c r="B129" i="27"/>
  <c r="M128" i="27"/>
  <c r="N128" i="27" s="1"/>
  <c r="K128" i="27"/>
  <c r="E128" i="27"/>
  <c r="B128" i="27"/>
  <c r="M127" i="27"/>
  <c r="N127" i="27" s="1"/>
  <c r="K127" i="27"/>
  <c r="E127" i="27"/>
  <c r="B127" i="27"/>
  <c r="N126" i="27"/>
  <c r="M126" i="27"/>
  <c r="K126" i="27"/>
  <c r="E126" i="27"/>
  <c r="B126" i="27"/>
  <c r="M125" i="27"/>
  <c r="N125" i="27" s="1"/>
  <c r="K125" i="27"/>
  <c r="E125" i="27"/>
  <c r="B125" i="27"/>
  <c r="M124" i="27"/>
  <c r="N124" i="27" s="1"/>
  <c r="K124" i="27"/>
  <c r="E124" i="27"/>
  <c r="B124" i="27"/>
  <c r="M123" i="27"/>
  <c r="N123" i="27" s="1"/>
  <c r="K123" i="27"/>
  <c r="E123" i="27"/>
  <c r="B123" i="27"/>
  <c r="N122" i="27"/>
  <c r="M122" i="27"/>
  <c r="K122" i="27"/>
  <c r="E122" i="27"/>
  <c r="B122" i="27"/>
  <c r="N121" i="27"/>
  <c r="M121" i="27"/>
  <c r="K121" i="27"/>
  <c r="E121" i="27"/>
  <c r="B121" i="27"/>
  <c r="M120" i="27"/>
  <c r="N120" i="27" s="1"/>
  <c r="K120" i="27"/>
  <c r="E120" i="27"/>
  <c r="B120" i="27"/>
  <c r="M119" i="27"/>
  <c r="N119" i="27" s="1"/>
  <c r="K119" i="27"/>
  <c r="E119" i="27"/>
  <c r="B119" i="27"/>
  <c r="N118" i="27"/>
  <c r="M118" i="27"/>
  <c r="K118" i="27"/>
  <c r="E118" i="27"/>
  <c r="B118" i="27"/>
  <c r="N117" i="27"/>
  <c r="M117" i="27"/>
  <c r="K117" i="27"/>
  <c r="E117" i="27"/>
  <c r="B117" i="27"/>
  <c r="M116" i="27"/>
  <c r="N116" i="27" s="1"/>
  <c r="K116" i="27"/>
  <c r="E116" i="27"/>
  <c r="B116" i="27"/>
  <c r="M115" i="27"/>
  <c r="N115" i="27" s="1"/>
  <c r="K115" i="27"/>
  <c r="E115" i="27"/>
  <c r="B115" i="27"/>
  <c r="N114" i="27"/>
  <c r="M114" i="27"/>
  <c r="K114" i="27"/>
  <c r="E114" i="27"/>
  <c r="B114" i="27"/>
  <c r="M113" i="27"/>
  <c r="N113" i="27" s="1"/>
  <c r="K113" i="27"/>
  <c r="E113" i="27"/>
  <c r="B113" i="27"/>
  <c r="M112" i="27"/>
  <c r="N112" i="27" s="1"/>
  <c r="K112" i="27"/>
  <c r="E112" i="27"/>
  <c r="B112" i="27"/>
  <c r="M111" i="27"/>
  <c r="N111" i="27" s="1"/>
  <c r="K111" i="27"/>
  <c r="E111" i="27"/>
  <c r="B111" i="27"/>
  <c r="N110" i="27"/>
  <c r="M110" i="27"/>
  <c r="K110" i="27"/>
  <c r="E110" i="27"/>
  <c r="B110" i="27"/>
  <c r="N109" i="27"/>
  <c r="M109" i="27"/>
  <c r="K109" i="27"/>
  <c r="E109" i="27"/>
  <c r="B109" i="27"/>
  <c r="M108" i="27"/>
  <c r="N108" i="27" s="1"/>
  <c r="K108" i="27"/>
  <c r="E108" i="27"/>
  <c r="B108" i="27"/>
  <c r="M107" i="27"/>
  <c r="N107" i="27" s="1"/>
  <c r="K107" i="27"/>
  <c r="E107" i="27"/>
  <c r="B107" i="27"/>
  <c r="M106" i="27"/>
  <c r="N106" i="27" s="1"/>
  <c r="K106" i="27"/>
  <c r="E106" i="27"/>
  <c r="B106" i="27"/>
  <c r="M105" i="27"/>
  <c r="N105" i="27" s="1"/>
  <c r="K105" i="27"/>
  <c r="E105" i="27"/>
  <c r="B105" i="27"/>
  <c r="M104" i="27"/>
  <c r="N104" i="27" s="1"/>
  <c r="K104" i="27"/>
  <c r="E104" i="27"/>
  <c r="B104" i="27"/>
  <c r="M103" i="27"/>
  <c r="N103" i="27" s="1"/>
  <c r="K103" i="27"/>
  <c r="E103" i="27"/>
  <c r="B103" i="27"/>
  <c r="M102" i="27"/>
  <c r="N102" i="27" s="1"/>
  <c r="K102" i="27"/>
  <c r="E102" i="27"/>
  <c r="B102" i="27"/>
  <c r="M101" i="27"/>
  <c r="N101" i="27" s="1"/>
  <c r="K101" i="27"/>
  <c r="E101" i="27"/>
  <c r="B101" i="27"/>
  <c r="M100" i="27"/>
  <c r="N100" i="27" s="1"/>
  <c r="K100" i="27"/>
  <c r="E100" i="27"/>
  <c r="B100" i="27"/>
  <c r="M99" i="27"/>
  <c r="N99" i="27" s="1"/>
  <c r="K99" i="27"/>
  <c r="E99" i="27"/>
  <c r="B99" i="27"/>
  <c r="M98" i="27"/>
  <c r="N98" i="27" s="1"/>
  <c r="K98" i="27"/>
  <c r="E98" i="27"/>
  <c r="B98" i="27"/>
  <c r="M97" i="27"/>
  <c r="N97" i="27" s="1"/>
  <c r="K97" i="27"/>
  <c r="E97" i="27"/>
  <c r="B97" i="27"/>
  <c r="M96" i="27"/>
  <c r="N96" i="27" s="1"/>
  <c r="K96" i="27"/>
  <c r="E96" i="27"/>
  <c r="B96" i="27"/>
  <c r="M95" i="27"/>
  <c r="N95" i="27" s="1"/>
  <c r="K95" i="27"/>
  <c r="E95" i="27"/>
  <c r="B95" i="27"/>
  <c r="M94" i="27"/>
  <c r="N94" i="27" s="1"/>
  <c r="K94" i="27"/>
  <c r="E94" i="27"/>
  <c r="B94" i="27"/>
  <c r="M93" i="27"/>
  <c r="N93" i="27" s="1"/>
  <c r="K93" i="27"/>
  <c r="E93" i="27"/>
  <c r="B93" i="27"/>
  <c r="M92" i="27"/>
  <c r="N92" i="27" s="1"/>
  <c r="K92" i="27"/>
  <c r="E92" i="27"/>
  <c r="B92" i="27"/>
  <c r="M91" i="27"/>
  <c r="N91" i="27" s="1"/>
  <c r="K91" i="27"/>
  <c r="E91" i="27"/>
  <c r="B91" i="27"/>
  <c r="M90" i="27"/>
  <c r="N90" i="27" s="1"/>
  <c r="K90" i="27"/>
  <c r="E90" i="27"/>
  <c r="B90" i="27"/>
  <c r="M89" i="27"/>
  <c r="N89" i="27" s="1"/>
  <c r="K89" i="27"/>
  <c r="E89" i="27"/>
  <c r="B89" i="27"/>
  <c r="N88" i="27"/>
  <c r="M88" i="27"/>
  <c r="K88" i="27"/>
  <c r="E88" i="27"/>
  <c r="B88" i="27"/>
  <c r="M87" i="27"/>
  <c r="N87" i="27" s="1"/>
  <c r="K87" i="27"/>
  <c r="E87" i="27"/>
  <c r="B87" i="27"/>
  <c r="M86" i="27"/>
  <c r="N86" i="27" s="1"/>
  <c r="K86" i="27"/>
  <c r="E86" i="27"/>
  <c r="B86" i="27"/>
  <c r="M85" i="27"/>
  <c r="N85" i="27" s="1"/>
  <c r="K85" i="27"/>
  <c r="E85" i="27"/>
  <c r="B85" i="27"/>
  <c r="M84" i="27"/>
  <c r="N84" i="27" s="1"/>
  <c r="K84" i="27"/>
  <c r="E84" i="27"/>
  <c r="B84" i="27"/>
  <c r="M83" i="27"/>
  <c r="N83" i="27" s="1"/>
  <c r="K83" i="27"/>
  <c r="E83" i="27"/>
  <c r="B83" i="27"/>
  <c r="M82" i="27"/>
  <c r="N82" i="27" s="1"/>
  <c r="K82" i="27"/>
  <c r="E82" i="27"/>
  <c r="B82" i="27"/>
  <c r="M81" i="27"/>
  <c r="N81" i="27" s="1"/>
  <c r="K81" i="27"/>
  <c r="E81" i="27"/>
  <c r="B81" i="27"/>
  <c r="M80" i="27"/>
  <c r="N80" i="27" s="1"/>
  <c r="K80" i="27"/>
  <c r="E80" i="27"/>
  <c r="B80" i="27"/>
  <c r="M79" i="27"/>
  <c r="N79" i="27" s="1"/>
  <c r="K79" i="27"/>
  <c r="E79" i="27"/>
  <c r="B79" i="27"/>
  <c r="M78" i="27"/>
  <c r="N78" i="27" s="1"/>
  <c r="K78" i="27"/>
  <c r="E78" i="27"/>
  <c r="B78" i="27"/>
  <c r="M77" i="27"/>
  <c r="N77" i="27" s="1"/>
  <c r="K77" i="27"/>
  <c r="E77" i="27"/>
  <c r="B77" i="27"/>
  <c r="M76" i="27"/>
  <c r="N76" i="27" s="1"/>
  <c r="K76" i="27"/>
  <c r="E76" i="27"/>
  <c r="B76" i="27"/>
  <c r="M75" i="27"/>
  <c r="N75" i="27" s="1"/>
  <c r="K75" i="27"/>
  <c r="E75" i="27"/>
  <c r="B75" i="27"/>
  <c r="M74" i="27"/>
  <c r="N74" i="27" s="1"/>
  <c r="K74" i="27"/>
  <c r="E74" i="27"/>
  <c r="B74" i="27"/>
  <c r="M73" i="27"/>
  <c r="N73" i="27" s="1"/>
  <c r="K73" i="27"/>
  <c r="E73" i="27"/>
  <c r="B73" i="27"/>
  <c r="M72" i="27"/>
  <c r="N72" i="27" s="1"/>
  <c r="K72" i="27"/>
  <c r="E72" i="27"/>
  <c r="B72" i="27"/>
  <c r="M71" i="27"/>
  <c r="N71" i="27" s="1"/>
  <c r="K71" i="27"/>
  <c r="E71" i="27"/>
  <c r="B71" i="27"/>
  <c r="M70" i="27"/>
  <c r="N70" i="27" s="1"/>
  <c r="K70" i="27"/>
  <c r="E70" i="27"/>
  <c r="B70" i="27"/>
  <c r="N69" i="27"/>
  <c r="M69" i="27"/>
  <c r="K69" i="27"/>
  <c r="E69" i="27"/>
  <c r="B69" i="27"/>
  <c r="M68" i="27"/>
  <c r="N68" i="27" s="1"/>
  <c r="K68" i="27"/>
  <c r="E68" i="27"/>
  <c r="B68" i="27"/>
  <c r="M67" i="27"/>
  <c r="N67" i="27" s="1"/>
  <c r="K67" i="27"/>
  <c r="E67" i="27"/>
  <c r="B67" i="27"/>
  <c r="M66" i="27"/>
  <c r="N66" i="27" s="1"/>
  <c r="K66" i="27"/>
  <c r="E66" i="27"/>
  <c r="B66" i="27"/>
  <c r="M65" i="27"/>
  <c r="N65" i="27" s="1"/>
  <c r="K65" i="27"/>
  <c r="E65" i="27"/>
  <c r="B65" i="27"/>
  <c r="M64" i="27"/>
  <c r="N64" i="27" s="1"/>
  <c r="K64" i="27"/>
  <c r="E64" i="27"/>
  <c r="B64" i="27"/>
  <c r="M63" i="27"/>
  <c r="N63" i="27" s="1"/>
  <c r="K63" i="27"/>
  <c r="E63" i="27"/>
  <c r="B63" i="27"/>
  <c r="N62" i="27"/>
  <c r="M62" i="27"/>
  <c r="K62" i="27"/>
  <c r="E62" i="27"/>
  <c r="B62" i="27"/>
  <c r="N61" i="27"/>
  <c r="M61" i="27"/>
  <c r="K61" i="27"/>
  <c r="E61" i="27"/>
  <c r="B61" i="27"/>
  <c r="M60" i="27"/>
  <c r="N60" i="27" s="1"/>
  <c r="K60" i="27"/>
  <c r="E60" i="27"/>
  <c r="B60" i="27"/>
  <c r="M59" i="27"/>
  <c r="N59" i="27" s="1"/>
  <c r="K59" i="27"/>
  <c r="E59" i="27"/>
  <c r="B59" i="27"/>
  <c r="M58" i="27"/>
  <c r="N58" i="27" s="1"/>
  <c r="K58" i="27"/>
  <c r="E58" i="27"/>
  <c r="B58" i="27"/>
  <c r="M57" i="27"/>
  <c r="N57" i="27" s="1"/>
  <c r="K57" i="27"/>
  <c r="E57" i="27"/>
  <c r="B57" i="27"/>
  <c r="M56" i="27"/>
  <c r="N56" i="27" s="1"/>
  <c r="K56" i="27"/>
  <c r="E56" i="27"/>
  <c r="B56" i="27"/>
  <c r="M55" i="27"/>
  <c r="N55" i="27" s="1"/>
  <c r="K55" i="27"/>
  <c r="E55" i="27"/>
  <c r="B55" i="27"/>
  <c r="N54" i="27"/>
  <c r="M54" i="27"/>
  <c r="K54" i="27"/>
  <c r="E54" i="27"/>
  <c r="B54" i="27"/>
  <c r="N53" i="27"/>
  <c r="M53" i="27"/>
  <c r="K53" i="27"/>
  <c r="E53" i="27"/>
  <c r="B53" i="27"/>
  <c r="N52" i="27"/>
  <c r="M52" i="27"/>
  <c r="K52" i="27"/>
  <c r="E52" i="27"/>
  <c r="B52" i="27"/>
  <c r="M51" i="27"/>
  <c r="N51" i="27" s="1"/>
  <c r="K51" i="27"/>
  <c r="E51" i="27"/>
  <c r="B51" i="27"/>
  <c r="M50" i="27"/>
  <c r="N50" i="27" s="1"/>
  <c r="K50" i="27"/>
  <c r="E50" i="27"/>
  <c r="B50" i="27"/>
  <c r="M49" i="27"/>
  <c r="N49" i="27" s="1"/>
  <c r="K49" i="27"/>
  <c r="E49" i="27"/>
  <c r="B49" i="27"/>
  <c r="M48" i="27"/>
  <c r="N48" i="27" s="1"/>
  <c r="K48" i="27"/>
  <c r="E48" i="27"/>
  <c r="B48" i="27"/>
  <c r="N47" i="27"/>
  <c r="M47" i="27"/>
  <c r="K47" i="27"/>
  <c r="E47" i="27"/>
  <c r="B47" i="27"/>
  <c r="N46" i="27"/>
  <c r="M46" i="27"/>
  <c r="K46" i="27"/>
  <c r="E46" i="27"/>
  <c r="B46" i="27"/>
  <c r="N45" i="27"/>
  <c r="M45" i="27"/>
  <c r="K45" i="27"/>
  <c r="E45" i="27"/>
  <c r="B45" i="27"/>
  <c r="M44" i="27"/>
  <c r="N44" i="27" s="1"/>
  <c r="K44" i="27"/>
  <c r="E44" i="27"/>
  <c r="B44" i="27"/>
  <c r="M43" i="27"/>
  <c r="N43" i="27" s="1"/>
  <c r="K43" i="27"/>
  <c r="E43" i="27"/>
  <c r="B43" i="27"/>
  <c r="M42" i="27"/>
  <c r="N42" i="27" s="1"/>
  <c r="K42" i="27"/>
  <c r="E42" i="27"/>
  <c r="B42" i="27"/>
  <c r="M41" i="27"/>
  <c r="N41" i="27" s="1"/>
  <c r="K41" i="27"/>
  <c r="E41" i="27"/>
  <c r="B41" i="27"/>
  <c r="M40" i="27"/>
  <c r="N40" i="27" s="1"/>
  <c r="K40" i="27"/>
  <c r="E40" i="27"/>
  <c r="B40" i="27"/>
  <c r="N39" i="27"/>
  <c r="M39" i="27"/>
  <c r="K39" i="27"/>
  <c r="E39" i="27"/>
  <c r="B39" i="27"/>
  <c r="N38" i="27"/>
  <c r="M38" i="27"/>
  <c r="K38" i="27"/>
  <c r="E38" i="27"/>
  <c r="B38" i="27"/>
  <c r="M37" i="27"/>
  <c r="N37" i="27" s="1"/>
  <c r="K37" i="27"/>
  <c r="E37" i="27"/>
  <c r="B37" i="27"/>
  <c r="M36" i="27"/>
  <c r="N36" i="27" s="1"/>
  <c r="K36" i="27"/>
  <c r="E36" i="27"/>
  <c r="B36" i="27"/>
  <c r="M35" i="27"/>
  <c r="N35" i="27" s="1"/>
  <c r="K35" i="27"/>
  <c r="E35" i="27"/>
  <c r="B35" i="27"/>
  <c r="M34" i="27"/>
  <c r="N34" i="27" s="1"/>
  <c r="K34" i="27"/>
  <c r="E34" i="27"/>
  <c r="B34" i="27"/>
  <c r="N33" i="27"/>
  <c r="M33" i="27"/>
  <c r="K33" i="27"/>
  <c r="E33" i="27"/>
  <c r="B33" i="27"/>
  <c r="M32" i="27"/>
  <c r="N32" i="27" s="1"/>
  <c r="K32" i="27"/>
  <c r="E32" i="27"/>
  <c r="B32" i="27"/>
  <c r="N31" i="27"/>
  <c r="M31" i="27"/>
  <c r="K31" i="27"/>
  <c r="E31" i="27"/>
  <c r="B31" i="27"/>
  <c r="M30" i="27"/>
  <c r="N30" i="27" s="1"/>
  <c r="K30" i="27"/>
  <c r="E30" i="27"/>
  <c r="B30" i="27"/>
  <c r="M29" i="27"/>
  <c r="N29" i="27" s="1"/>
  <c r="K29" i="27"/>
  <c r="E29" i="27"/>
  <c r="B29" i="27"/>
  <c r="M28" i="27"/>
  <c r="N28" i="27" s="1"/>
  <c r="K28" i="27"/>
  <c r="E28" i="27"/>
  <c r="B28" i="27"/>
  <c r="N27" i="27"/>
  <c r="M27" i="27"/>
  <c r="K27" i="27"/>
  <c r="E27" i="27"/>
  <c r="B27" i="27"/>
  <c r="N26" i="27"/>
  <c r="M26" i="27"/>
  <c r="K26" i="27"/>
  <c r="E26" i="27"/>
  <c r="B26" i="27"/>
  <c r="M25" i="27"/>
  <c r="N25" i="27" s="1"/>
  <c r="K25" i="27"/>
  <c r="E25" i="27"/>
  <c r="B25" i="27"/>
  <c r="M24" i="27"/>
  <c r="N24" i="27" s="1"/>
  <c r="K24" i="27"/>
  <c r="E24" i="27"/>
  <c r="B24" i="27"/>
  <c r="M23" i="27"/>
  <c r="N23" i="27" s="1"/>
  <c r="K23" i="27"/>
  <c r="E23" i="27"/>
  <c r="B23" i="27"/>
  <c r="M22" i="27"/>
  <c r="N22" i="27" s="1"/>
  <c r="K22" i="27"/>
  <c r="E22" i="27"/>
  <c r="B22" i="27"/>
  <c r="N21" i="27"/>
  <c r="M21" i="27"/>
  <c r="K21" i="27"/>
  <c r="E21" i="27"/>
  <c r="B21" i="27"/>
  <c r="M20" i="27"/>
  <c r="N20" i="27" s="1"/>
  <c r="K20" i="27"/>
  <c r="E20" i="27"/>
  <c r="B20" i="27"/>
  <c r="M19" i="27"/>
  <c r="N19" i="27" s="1"/>
  <c r="K19" i="27"/>
  <c r="E19" i="27"/>
  <c r="B19" i="27"/>
  <c r="M18" i="27"/>
  <c r="N18" i="27" s="1"/>
  <c r="K18" i="27"/>
  <c r="E18" i="27"/>
  <c r="B18" i="27"/>
  <c r="N17" i="27"/>
  <c r="M17" i="27"/>
  <c r="K17" i="27"/>
  <c r="E17" i="27"/>
  <c r="B17" i="27"/>
  <c r="M16" i="27"/>
  <c r="N16" i="27" s="1"/>
  <c r="K16" i="27"/>
  <c r="E16" i="27"/>
  <c r="B16" i="27"/>
  <c r="M15" i="27"/>
  <c r="N15" i="27" s="1"/>
  <c r="K15" i="27"/>
  <c r="E15" i="27"/>
  <c r="B15" i="27"/>
  <c r="M14" i="27"/>
  <c r="N14" i="27" s="1"/>
  <c r="K14" i="27"/>
  <c r="E14" i="27"/>
  <c r="B14" i="27"/>
  <c r="M13" i="27"/>
  <c r="N13" i="27" s="1"/>
  <c r="K13" i="27"/>
  <c r="E13" i="27"/>
  <c r="B13" i="27"/>
  <c r="M12" i="27"/>
  <c r="N12" i="27" s="1"/>
  <c r="K12" i="27"/>
  <c r="E12" i="27"/>
  <c r="B12" i="27"/>
  <c r="M11" i="27"/>
  <c r="N11" i="27" s="1"/>
  <c r="K11" i="27"/>
  <c r="E11" i="27"/>
  <c r="B11" i="27"/>
  <c r="M10" i="27"/>
  <c r="N10" i="27" s="1"/>
  <c r="K10" i="27"/>
  <c r="E10" i="27"/>
  <c r="B10" i="27"/>
  <c r="M9" i="27"/>
  <c r="N9" i="27" s="1"/>
  <c r="K9" i="27"/>
  <c r="E9" i="27"/>
  <c r="B9" i="27"/>
  <c r="M8" i="27"/>
  <c r="N8" i="27" s="1"/>
  <c r="K8" i="27"/>
  <c r="E8" i="27"/>
  <c r="B8" i="27"/>
  <c r="M7" i="27"/>
  <c r="N7" i="27" s="1"/>
  <c r="K7" i="27"/>
  <c r="E7" i="27"/>
  <c r="B7" i="27"/>
  <c r="N6" i="27"/>
  <c r="M6" i="27"/>
  <c r="K6" i="27"/>
  <c r="E6" i="27"/>
  <c r="B6" i="27"/>
  <c r="M5" i="27"/>
  <c r="N5" i="27" s="1"/>
  <c r="K5" i="27"/>
  <c r="E5" i="27"/>
  <c r="B5" i="27"/>
  <c r="M4" i="27"/>
  <c r="N4" i="27" s="1"/>
  <c r="K4" i="27"/>
  <c r="E4" i="27"/>
  <c r="B4" i="27"/>
  <c r="V2" i="27"/>
  <c r="U2" i="27"/>
  <c r="T2" i="27"/>
  <c r="S2" i="27"/>
  <c r="R2" i="27"/>
  <c r="Q2" i="27"/>
  <c r="P2" i="27"/>
  <c r="O2" i="27"/>
  <c r="L2" i="27"/>
  <c r="J2" i="27"/>
  <c r="I2" i="27"/>
  <c r="H2" i="27"/>
  <c r="G2" i="27"/>
  <c r="F2" i="27"/>
  <c r="E2" i="27" s="1"/>
  <c r="E150" i="26"/>
  <c r="B150" i="26"/>
  <c r="E149" i="26"/>
  <c r="B149" i="26"/>
  <c r="E148" i="26"/>
  <c r="B148" i="26"/>
  <c r="E147" i="26"/>
  <c r="B147" i="26"/>
  <c r="E146" i="26"/>
  <c r="B146" i="26"/>
  <c r="E145" i="26"/>
  <c r="B145" i="26"/>
  <c r="E144" i="26"/>
  <c r="B144" i="26"/>
  <c r="E143" i="26"/>
  <c r="B143" i="26"/>
  <c r="E142" i="26"/>
  <c r="B142" i="26"/>
  <c r="E141" i="26"/>
  <c r="B141" i="26"/>
  <c r="E140" i="26"/>
  <c r="B140" i="26"/>
  <c r="E139" i="26"/>
  <c r="B139" i="26"/>
  <c r="E138" i="26"/>
  <c r="B138" i="26"/>
  <c r="E137" i="26"/>
  <c r="B137" i="26"/>
  <c r="E136" i="26"/>
  <c r="B136" i="26"/>
  <c r="E135" i="26"/>
  <c r="B135" i="26"/>
  <c r="E134" i="26"/>
  <c r="B134" i="26"/>
  <c r="E133" i="26"/>
  <c r="B133" i="26"/>
  <c r="E132" i="26"/>
  <c r="B132" i="26"/>
  <c r="E131" i="26"/>
  <c r="B131" i="26"/>
  <c r="E130" i="26"/>
  <c r="B130" i="26"/>
  <c r="E129" i="26"/>
  <c r="B129" i="26"/>
  <c r="E128" i="26"/>
  <c r="B128" i="26"/>
  <c r="E127" i="26"/>
  <c r="B127" i="26"/>
  <c r="E126" i="26"/>
  <c r="B126" i="26"/>
  <c r="E125" i="26"/>
  <c r="B125" i="26"/>
  <c r="E124" i="26"/>
  <c r="B124" i="26"/>
  <c r="E123" i="26"/>
  <c r="B123" i="26"/>
  <c r="E122" i="26"/>
  <c r="B122" i="26"/>
  <c r="E121" i="26"/>
  <c r="B121" i="26"/>
  <c r="E120" i="26"/>
  <c r="B120" i="26"/>
  <c r="E119" i="26"/>
  <c r="B119" i="26"/>
  <c r="E118" i="26"/>
  <c r="B118" i="26"/>
  <c r="E117" i="26"/>
  <c r="B117" i="26"/>
  <c r="E116" i="26"/>
  <c r="B116" i="26"/>
  <c r="E115" i="26"/>
  <c r="B115" i="26"/>
  <c r="E114" i="26"/>
  <c r="B114" i="26"/>
  <c r="E113" i="26"/>
  <c r="B113" i="26"/>
  <c r="E112" i="26"/>
  <c r="B112" i="26"/>
  <c r="E111" i="26"/>
  <c r="B111" i="26"/>
  <c r="E110" i="26"/>
  <c r="B110" i="26"/>
  <c r="E109" i="26"/>
  <c r="B109" i="26"/>
  <c r="E108" i="26"/>
  <c r="B108" i="26"/>
  <c r="E107" i="26"/>
  <c r="B107" i="26"/>
  <c r="E106" i="26"/>
  <c r="B106" i="26"/>
  <c r="E105" i="26"/>
  <c r="B105" i="26"/>
  <c r="E104" i="26"/>
  <c r="B104" i="26"/>
  <c r="E103" i="26"/>
  <c r="B103" i="26"/>
  <c r="E102" i="26"/>
  <c r="B102" i="26"/>
  <c r="E101" i="26"/>
  <c r="B101" i="26"/>
  <c r="E100" i="26"/>
  <c r="B100" i="26"/>
  <c r="E99" i="26"/>
  <c r="B99" i="26"/>
  <c r="E98" i="26"/>
  <c r="B98" i="26"/>
  <c r="E97" i="26"/>
  <c r="B97" i="26"/>
  <c r="E96" i="26"/>
  <c r="B96" i="26"/>
  <c r="E95" i="26"/>
  <c r="B95" i="26"/>
  <c r="E94" i="26"/>
  <c r="B94" i="26"/>
  <c r="E93" i="26"/>
  <c r="B93" i="26"/>
  <c r="E92" i="26"/>
  <c r="B92" i="26"/>
  <c r="E91" i="26"/>
  <c r="B91" i="26"/>
  <c r="E90" i="26"/>
  <c r="B90" i="26"/>
  <c r="E89" i="26"/>
  <c r="B89" i="26"/>
  <c r="E88" i="26"/>
  <c r="B88" i="26"/>
  <c r="E87" i="26"/>
  <c r="B87" i="26"/>
  <c r="E86" i="26"/>
  <c r="B86" i="26"/>
  <c r="E85" i="26"/>
  <c r="B85" i="26"/>
  <c r="E84" i="26"/>
  <c r="B84" i="26"/>
  <c r="E83" i="26"/>
  <c r="B83" i="26"/>
  <c r="E82" i="26"/>
  <c r="B82" i="26"/>
  <c r="E81" i="26"/>
  <c r="B81" i="26"/>
  <c r="E80" i="26"/>
  <c r="B80" i="26"/>
  <c r="E79" i="26"/>
  <c r="B79" i="26"/>
  <c r="E78" i="26"/>
  <c r="B78" i="26"/>
  <c r="E77" i="26"/>
  <c r="B77" i="26"/>
  <c r="E76" i="26"/>
  <c r="B76" i="26"/>
  <c r="E75" i="26"/>
  <c r="B75" i="26"/>
  <c r="E74" i="26"/>
  <c r="B74" i="26"/>
  <c r="E73" i="26"/>
  <c r="B73" i="26"/>
  <c r="E72" i="26"/>
  <c r="B72" i="26"/>
  <c r="E71" i="26"/>
  <c r="B71" i="26"/>
  <c r="E70" i="26"/>
  <c r="B70" i="26"/>
  <c r="E69" i="26"/>
  <c r="B69" i="26"/>
  <c r="E68" i="26"/>
  <c r="B68" i="26"/>
  <c r="E67" i="26"/>
  <c r="B67" i="26"/>
  <c r="E66" i="26"/>
  <c r="B66" i="26"/>
  <c r="E65" i="26"/>
  <c r="B65" i="26"/>
  <c r="E64" i="26"/>
  <c r="B64" i="26"/>
  <c r="E63" i="26"/>
  <c r="B63" i="26"/>
  <c r="E62" i="26"/>
  <c r="B62" i="26"/>
  <c r="E61" i="26"/>
  <c r="B61" i="26"/>
  <c r="E60" i="26"/>
  <c r="B60" i="26"/>
  <c r="E59" i="26"/>
  <c r="B59" i="26"/>
  <c r="E58" i="26"/>
  <c r="B58" i="26"/>
  <c r="E57" i="26"/>
  <c r="B57" i="26"/>
  <c r="E56" i="26"/>
  <c r="B56" i="26"/>
  <c r="E55" i="26"/>
  <c r="B55" i="26"/>
  <c r="E54" i="26"/>
  <c r="B54" i="26"/>
  <c r="B53" i="26"/>
  <c r="E52" i="26"/>
  <c r="B52" i="26"/>
  <c r="E51" i="26"/>
  <c r="B51" i="26"/>
  <c r="E50" i="26"/>
  <c r="B50" i="26"/>
  <c r="E49" i="26"/>
  <c r="B49" i="26"/>
  <c r="E48" i="26"/>
  <c r="B48" i="26"/>
  <c r="E47" i="26"/>
  <c r="B47" i="26"/>
  <c r="E46" i="26"/>
  <c r="B46" i="26"/>
  <c r="E45" i="26"/>
  <c r="B45" i="26"/>
  <c r="E44" i="26"/>
  <c r="B44" i="26"/>
  <c r="E43" i="26"/>
  <c r="B43" i="26"/>
  <c r="E42" i="26"/>
  <c r="B42" i="26"/>
  <c r="E41" i="26"/>
  <c r="B41" i="26"/>
  <c r="E40" i="26"/>
  <c r="B40" i="26"/>
  <c r="E39" i="26"/>
  <c r="B39" i="26"/>
  <c r="E38" i="26"/>
  <c r="B38" i="26"/>
  <c r="E37" i="26"/>
  <c r="B37" i="26"/>
  <c r="E36" i="26"/>
  <c r="B36" i="26"/>
  <c r="E35" i="26"/>
  <c r="B35" i="26"/>
  <c r="E34" i="26"/>
  <c r="B34" i="26"/>
  <c r="E33" i="26"/>
  <c r="B33" i="26"/>
  <c r="E32" i="26"/>
  <c r="B32" i="26"/>
  <c r="E31" i="26"/>
  <c r="B31" i="26"/>
  <c r="E30" i="26"/>
  <c r="B30" i="26"/>
  <c r="E29" i="26"/>
  <c r="B29" i="26"/>
  <c r="E28" i="26"/>
  <c r="B28" i="26"/>
  <c r="E27" i="26"/>
  <c r="B27" i="26"/>
  <c r="E26" i="26"/>
  <c r="B26" i="26"/>
  <c r="E25" i="26"/>
  <c r="B25" i="26"/>
  <c r="E24" i="26"/>
  <c r="B24" i="26"/>
  <c r="E23" i="26"/>
  <c r="B23" i="26"/>
  <c r="E22" i="26"/>
  <c r="B22" i="26"/>
  <c r="E21" i="26"/>
  <c r="B21" i="26"/>
  <c r="E20" i="26"/>
  <c r="B20" i="26"/>
  <c r="E19" i="26"/>
  <c r="B19" i="26"/>
  <c r="E18" i="26"/>
  <c r="B18" i="26"/>
  <c r="E17" i="26"/>
  <c r="B17" i="26"/>
  <c r="E16" i="26"/>
  <c r="B16" i="26"/>
  <c r="E15" i="26"/>
  <c r="B15" i="26"/>
  <c r="E14" i="26"/>
  <c r="B14" i="26"/>
  <c r="E13" i="26"/>
  <c r="B13" i="26"/>
  <c r="E12" i="26"/>
  <c r="B12" i="26"/>
  <c r="E11" i="26"/>
  <c r="B11" i="26"/>
  <c r="E10" i="26"/>
  <c r="B10" i="26"/>
  <c r="E9" i="26"/>
  <c r="B9" i="26"/>
  <c r="E8" i="26"/>
  <c r="B8" i="26"/>
  <c r="E7" i="26"/>
  <c r="B7" i="26"/>
  <c r="E6" i="26"/>
  <c r="B6" i="26"/>
  <c r="E5" i="26"/>
  <c r="B5" i="26"/>
  <c r="M4" i="26"/>
  <c r="N4" i="26" s="1"/>
  <c r="E4" i="26"/>
  <c r="B4" i="26"/>
  <c r="V2" i="26"/>
  <c r="U2" i="26"/>
  <c r="T2" i="26"/>
  <c r="S2" i="26"/>
  <c r="R2" i="26"/>
  <c r="Q2" i="26"/>
  <c r="P2" i="26"/>
  <c r="O2" i="26"/>
  <c r="L2" i="26"/>
  <c r="J2" i="26"/>
  <c r="I2" i="26"/>
  <c r="H2" i="26"/>
  <c r="G2" i="26"/>
  <c r="F2" i="26"/>
  <c r="E134" i="3"/>
  <c r="B134" i="3"/>
  <c r="E133" i="3"/>
  <c r="B133" i="3"/>
  <c r="E132" i="3"/>
  <c r="B132" i="3"/>
  <c r="E131" i="3"/>
  <c r="B131" i="3"/>
  <c r="E130" i="3"/>
  <c r="B130" i="3"/>
  <c r="E129" i="3"/>
  <c r="B129" i="3"/>
  <c r="E128" i="3"/>
  <c r="B128" i="3"/>
  <c r="E127" i="3"/>
  <c r="B127" i="3"/>
  <c r="E126" i="3"/>
  <c r="B126" i="3"/>
  <c r="E125" i="3"/>
  <c r="B125" i="3"/>
  <c r="E124" i="3"/>
  <c r="B124" i="3"/>
  <c r="E123" i="3"/>
  <c r="B123" i="3"/>
  <c r="E122" i="3"/>
  <c r="B122" i="3"/>
  <c r="E121" i="3"/>
  <c r="B121" i="3"/>
  <c r="E120" i="3"/>
  <c r="B120" i="3"/>
  <c r="E119" i="3"/>
  <c r="B119" i="3"/>
  <c r="E118" i="3"/>
  <c r="B118" i="3"/>
  <c r="E117" i="3"/>
  <c r="B117" i="3"/>
  <c r="E116" i="3"/>
  <c r="B116" i="3"/>
  <c r="E115" i="3"/>
  <c r="B115" i="3"/>
  <c r="E114" i="3"/>
  <c r="B114" i="3"/>
  <c r="E113" i="3"/>
  <c r="B113" i="3"/>
  <c r="E112" i="3"/>
  <c r="B112" i="3"/>
  <c r="E111" i="3"/>
  <c r="B111" i="3"/>
  <c r="E110" i="3"/>
  <c r="B110" i="3"/>
  <c r="E109" i="3"/>
  <c r="B109" i="3"/>
  <c r="E108" i="3"/>
  <c r="B108" i="3"/>
  <c r="E107" i="3"/>
  <c r="B107" i="3"/>
  <c r="E106" i="3"/>
  <c r="B106" i="3"/>
  <c r="E105" i="3"/>
  <c r="B105" i="3"/>
  <c r="E104" i="3"/>
  <c r="B104" i="3"/>
  <c r="E103" i="3"/>
  <c r="B103" i="3"/>
  <c r="E102" i="3"/>
  <c r="B102" i="3"/>
  <c r="E101" i="3"/>
  <c r="B101" i="3"/>
  <c r="E100" i="3"/>
  <c r="B100" i="3"/>
  <c r="E99" i="3"/>
  <c r="B99" i="3"/>
  <c r="E98" i="3"/>
  <c r="B98" i="3"/>
  <c r="E97" i="3"/>
  <c r="B97" i="3"/>
  <c r="E96" i="3"/>
  <c r="B96" i="3"/>
  <c r="E95" i="3"/>
  <c r="B95" i="3"/>
  <c r="E94" i="3"/>
  <c r="B94" i="3"/>
  <c r="E93" i="3"/>
  <c r="B93" i="3"/>
  <c r="E92" i="3"/>
  <c r="B92" i="3"/>
  <c r="E91" i="3"/>
  <c r="B91" i="3"/>
  <c r="E90" i="3"/>
  <c r="B90" i="3"/>
  <c r="E89" i="3"/>
  <c r="B89" i="3"/>
  <c r="E88" i="3"/>
  <c r="B88" i="3"/>
  <c r="E87" i="3"/>
  <c r="B87" i="3"/>
  <c r="E86" i="3"/>
  <c r="B86" i="3"/>
  <c r="E85" i="3"/>
  <c r="B85" i="3"/>
  <c r="E84" i="3"/>
  <c r="B84" i="3"/>
  <c r="E83" i="3"/>
  <c r="B83" i="3"/>
  <c r="E82" i="3"/>
  <c r="B82" i="3"/>
  <c r="E81" i="3"/>
  <c r="B81" i="3"/>
  <c r="E80" i="3"/>
  <c r="B80" i="3"/>
  <c r="E79" i="3"/>
  <c r="B79" i="3"/>
  <c r="E78" i="3"/>
  <c r="B78" i="3"/>
  <c r="E77" i="3"/>
  <c r="B77" i="3"/>
  <c r="E76" i="3"/>
  <c r="B76" i="3"/>
  <c r="E75" i="3"/>
  <c r="B75" i="3"/>
  <c r="E74" i="3"/>
  <c r="B74" i="3"/>
  <c r="E73" i="3"/>
  <c r="B73" i="3"/>
  <c r="E72" i="3"/>
  <c r="B72" i="3"/>
  <c r="E71" i="3"/>
  <c r="B71" i="3"/>
  <c r="E70" i="3"/>
  <c r="B70" i="3"/>
  <c r="E69" i="3"/>
  <c r="B69" i="3"/>
  <c r="E68" i="3"/>
  <c r="B68" i="3"/>
  <c r="E67" i="3"/>
  <c r="B67" i="3"/>
  <c r="E66" i="3"/>
  <c r="B66" i="3"/>
  <c r="E65" i="3"/>
  <c r="B65" i="3"/>
  <c r="E64" i="3"/>
  <c r="B64" i="3"/>
  <c r="E63" i="3"/>
  <c r="B63" i="3"/>
  <c r="E62" i="3"/>
  <c r="B62" i="3"/>
  <c r="E61" i="3"/>
  <c r="B61" i="3"/>
  <c r="E60" i="3"/>
  <c r="B60" i="3"/>
  <c r="E59" i="3"/>
  <c r="B59" i="3"/>
  <c r="E58" i="3"/>
  <c r="B58" i="3"/>
  <c r="E57" i="3"/>
  <c r="B57" i="3"/>
  <c r="E56" i="3"/>
  <c r="B56" i="3"/>
  <c r="E55" i="3"/>
  <c r="B55" i="3"/>
  <c r="E54" i="3"/>
  <c r="B54" i="3"/>
  <c r="E53" i="3"/>
  <c r="B53" i="3"/>
  <c r="E52" i="3"/>
  <c r="B52" i="3"/>
  <c r="E51" i="3"/>
  <c r="B51" i="3"/>
  <c r="E50" i="3"/>
  <c r="B50" i="3"/>
  <c r="E49" i="3"/>
  <c r="B49" i="3"/>
  <c r="E48" i="3"/>
  <c r="B48" i="3"/>
  <c r="E47" i="3"/>
  <c r="B47" i="3"/>
  <c r="E46" i="3"/>
  <c r="B46" i="3"/>
  <c r="E45" i="3"/>
  <c r="B45" i="3"/>
  <c r="E44" i="3"/>
  <c r="B44" i="3"/>
  <c r="E43" i="3"/>
  <c r="B43" i="3"/>
  <c r="E42" i="3"/>
  <c r="B42" i="3"/>
  <c r="E41" i="3"/>
  <c r="B41" i="3"/>
  <c r="E40" i="3"/>
  <c r="B40" i="3"/>
  <c r="E39" i="3"/>
  <c r="B39" i="3"/>
  <c r="E38" i="3"/>
  <c r="B38" i="3"/>
  <c r="E37" i="3"/>
  <c r="B37" i="3"/>
  <c r="E36" i="3"/>
  <c r="B36" i="3"/>
  <c r="E35" i="3"/>
  <c r="B35" i="3"/>
  <c r="E34" i="3"/>
  <c r="B34" i="3"/>
  <c r="E33" i="3"/>
  <c r="B33" i="3"/>
  <c r="E32" i="3"/>
  <c r="B32" i="3"/>
  <c r="E31" i="3"/>
  <c r="B31" i="3"/>
  <c r="E30" i="3"/>
  <c r="B30" i="3"/>
  <c r="E29" i="3"/>
  <c r="B29" i="3"/>
  <c r="E28" i="3"/>
  <c r="B28" i="3"/>
  <c r="E27" i="3"/>
  <c r="B27" i="3"/>
  <c r="E26" i="3"/>
  <c r="B26" i="3"/>
  <c r="E25" i="3"/>
  <c r="B25" i="3"/>
  <c r="E24" i="3"/>
  <c r="B24" i="3"/>
  <c r="E23" i="3"/>
  <c r="B23" i="3"/>
  <c r="E22" i="3"/>
  <c r="B22" i="3"/>
  <c r="E21" i="3"/>
  <c r="B21" i="3"/>
  <c r="E20" i="3"/>
  <c r="B20" i="3"/>
  <c r="E19" i="3"/>
  <c r="B19" i="3"/>
  <c r="E18" i="3"/>
  <c r="B18" i="3"/>
  <c r="E17" i="3"/>
  <c r="B17" i="3"/>
  <c r="E16" i="3"/>
  <c r="B16" i="3"/>
  <c r="E15" i="3"/>
  <c r="B15" i="3"/>
  <c r="E14" i="3"/>
  <c r="B14" i="3"/>
  <c r="E13" i="3"/>
  <c r="B13" i="3"/>
  <c r="E12" i="3"/>
  <c r="B12" i="3"/>
  <c r="E11" i="3"/>
  <c r="B11" i="3"/>
  <c r="E10" i="3"/>
  <c r="B10" i="3"/>
  <c r="E9" i="3"/>
  <c r="B9" i="3"/>
  <c r="E8" i="3"/>
  <c r="B8" i="3"/>
  <c r="E7" i="3"/>
  <c r="B7" i="3"/>
  <c r="E6" i="3"/>
  <c r="B6" i="3"/>
  <c r="E5" i="3"/>
  <c r="B5" i="3"/>
  <c r="M4" i="3"/>
  <c r="N4" i="3" s="1"/>
  <c r="E4" i="3"/>
  <c r="B4" i="3"/>
  <c r="V2" i="3"/>
  <c r="U2" i="3"/>
  <c r="T2" i="3"/>
  <c r="S2" i="3"/>
  <c r="R2" i="3"/>
  <c r="Q2" i="3"/>
  <c r="P2" i="3"/>
  <c r="O2" i="3"/>
  <c r="L2" i="3"/>
  <c r="J2" i="3"/>
  <c r="I2" i="3"/>
  <c r="H2" i="3"/>
  <c r="G2" i="3"/>
  <c r="F2" i="3"/>
  <c r="W4" i="41"/>
  <c r="E2" i="26" l="1"/>
  <c r="N33" i="38"/>
  <c r="N32" i="38"/>
  <c r="N30" i="38"/>
  <c r="N28" i="38"/>
  <c r="N26" i="38"/>
  <c r="N24" i="38"/>
  <c r="N22" i="38"/>
  <c r="N18" i="38"/>
  <c r="K2" i="41"/>
  <c r="E2" i="41"/>
  <c r="M2" i="41"/>
  <c r="E2" i="34"/>
  <c r="M2" i="34"/>
  <c r="M2" i="30"/>
  <c r="M2" i="25"/>
  <c r="N2" i="25" s="1"/>
  <c r="N5" i="38"/>
  <c r="M2" i="3"/>
  <c r="N2" i="3" s="1"/>
  <c r="K2" i="3"/>
  <c r="M2" i="26"/>
  <c r="N2" i="26" s="1"/>
  <c r="M2" i="37"/>
  <c r="N2" i="37" s="1"/>
  <c r="K2" i="26"/>
  <c r="M2" i="27"/>
  <c r="K2" i="25"/>
  <c r="K2" i="33"/>
  <c r="N2" i="34"/>
  <c r="K2" i="27"/>
  <c r="K2" i="30"/>
  <c r="N2" i="30" s="1"/>
  <c r="K2" i="36"/>
  <c r="N2" i="29"/>
  <c r="M2" i="29"/>
  <c r="M2" i="35"/>
  <c r="N2" i="35" s="1"/>
  <c r="M2" i="28"/>
  <c r="E2" i="28"/>
  <c r="K2" i="31"/>
  <c r="E2" i="3"/>
  <c r="K2" i="28"/>
  <c r="N2" i="27"/>
  <c r="E2" i="33"/>
  <c r="M2" i="33"/>
  <c r="N2" i="33" s="1"/>
  <c r="M2" i="31"/>
  <c r="E2" i="31"/>
  <c r="E2" i="30"/>
  <c r="K2" i="29"/>
  <c r="E2" i="29"/>
  <c r="K2" i="32"/>
  <c r="M2" i="32"/>
  <c r="N2" i="32" s="1"/>
  <c r="E2" i="32"/>
  <c r="E2" i="25"/>
  <c r="M2" i="38"/>
  <c r="E2" i="38"/>
  <c r="K2" i="38"/>
  <c r="K2" i="35"/>
  <c r="M2" i="36"/>
  <c r="N2" i="36" s="1"/>
  <c r="E2" i="35"/>
  <c r="E2" i="36"/>
  <c r="K2" i="37"/>
  <c r="E2" i="37"/>
  <c r="W2" i="41"/>
  <c r="N2" i="41" l="1"/>
  <c r="N2" i="38"/>
  <c r="N2" i="28"/>
  <c r="N2" i="31"/>
  <c r="W90" i="29"/>
  <c r="W78" i="38"/>
  <c r="W18" i="35"/>
  <c r="W94" i="35"/>
  <c r="W114" i="38"/>
  <c r="W70" i="32"/>
  <c r="W97" i="37"/>
  <c r="W102" i="35"/>
  <c r="W46" i="35"/>
  <c r="W87" i="36"/>
  <c r="W2" i="36"/>
  <c r="W56" i="36"/>
  <c r="W75" i="38"/>
  <c r="W75" i="34"/>
  <c r="W87" i="32"/>
  <c r="W31" i="29"/>
  <c r="W9" i="34"/>
  <c r="W54" i="34"/>
  <c r="W74" i="29"/>
  <c r="W37" i="36"/>
  <c r="W103" i="32"/>
  <c r="W11" i="35"/>
  <c r="W124" i="37"/>
  <c r="W107" i="34"/>
  <c r="W82" i="38"/>
  <c r="W70" i="35"/>
  <c r="W81" i="34"/>
  <c r="W98" i="37"/>
  <c r="W55" i="34"/>
  <c r="W8" i="32"/>
  <c r="W97" i="36"/>
  <c r="W35" i="29"/>
  <c r="W126" i="32"/>
  <c r="W74" i="34"/>
  <c r="W22" i="37"/>
  <c r="W51" i="37"/>
  <c r="W26" i="36"/>
  <c r="W33" i="34"/>
  <c r="W52" i="37"/>
  <c r="W119" i="36"/>
  <c r="W125" i="37"/>
  <c r="W111" i="27"/>
  <c r="W68" i="38"/>
  <c r="W29" i="36"/>
  <c r="W51" i="35"/>
  <c r="W101" i="38"/>
  <c r="W132" i="32"/>
  <c r="W84" i="36"/>
  <c r="W103" i="35"/>
  <c r="W14" i="34"/>
  <c r="W57" i="34"/>
  <c r="W32" i="36"/>
  <c r="W133" i="27"/>
  <c r="W4" i="29"/>
  <c r="W58" i="35"/>
  <c r="W89" i="35"/>
  <c r="W11" i="38"/>
  <c r="W38" i="35"/>
  <c r="W73" i="29"/>
  <c r="W65" i="38"/>
  <c r="W39" i="34"/>
  <c r="W110" i="36"/>
  <c r="W47" i="37"/>
  <c r="W55" i="37"/>
  <c r="W32" i="35"/>
  <c r="W32" i="32"/>
  <c r="W85" i="32"/>
  <c r="W83" i="35"/>
  <c r="W36" i="34"/>
  <c r="W51" i="34"/>
  <c r="W72" i="32"/>
  <c r="W40" i="36"/>
  <c r="W85" i="36"/>
  <c r="W43" i="32"/>
  <c r="W16" i="36"/>
  <c r="W9" i="32"/>
  <c r="W68" i="27"/>
  <c r="W44" i="34"/>
  <c r="W120" i="29"/>
  <c r="W80" i="32"/>
  <c r="W75" i="27"/>
  <c r="W108" i="29"/>
  <c r="W17" i="29"/>
  <c r="W22" i="36"/>
  <c r="W75" i="29"/>
  <c r="W116" i="35"/>
  <c r="W51" i="29"/>
  <c r="W123" i="27"/>
  <c r="W103" i="27"/>
  <c r="W133" i="38"/>
  <c r="W131" i="34"/>
  <c r="W55" i="27"/>
  <c r="W110" i="29"/>
  <c r="W124" i="32"/>
  <c r="W130" i="32"/>
  <c r="W85" i="37"/>
  <c r="W15" i="32"/>
  <c r="W44" i="29"/>
  <c r="W36" i="32"/>
  <c r="W100" i="38"/>
  <c r="W119" i="32"/>
  <c r="W93" i="35"/>
  <c r="P60" i="24"/>
  <c r="P56" i="24"/>
  <c r="W69" i="27"/>
  <c r="W104" i="34"/>
  <c r="W75" i="32"/>
  <c r="W28" i="29"/>
  <c r="W99" i="27"/>
  <c r="W46" i="27"/>
  <c r="W132" i="34"/>
  <c r="W14" i="27"/>
  <c r="W58" i="29"/>
  <c r="W42" i="27"/>
  <c r="W107" i="29"/>
  <c r="W122" i="37"/>
  <c r="W22" i="32"/>
  <c r="W41" i="29"/>
  <c r="W32" i="27"/>
  <c r="W27" i="35"/>
  <c r="W91" i="29"/>
  <c r="W46" i="29"/>
  <c r="W30" i="29"/>
  <c r="W105" i="38"/>
  <c r="W34" i="32"/>
  <c r="W44" i="38"/>
  <c r="W127" i="34"/>
  <c r="W84" i="35"/>
  <c r="W71" i="38"/>
  <c r="W128" i="34"/>
  <c r="W39" i="37"/>
  <c r="W50" i="35"/>
  <c r="W116" i="32"/>
  <c r="W104" i="37"/>
  <c r="W68" i="34"/>
  <c r="W54" i="36"/>
  <c r="W26" i="35"/>
  <c r="W48" i="32"/>
  <c r="W79" i="37"/>
  <c r="W14" i="38"/>
  <c r="W88" i="35"/>
  <c r="W19" i="35"/>
  <c r="W42" i="29"/>
  <c r="W54" i="38"/>
  <c r="W59" i="34"/>
  <c r="W44" i="35"/>
  <c r="W19" i="37"/>
  <c r="W10" i="27"/>
  <c r="W105" i="32"/>
  <c r="W121" i="37"/>
  <c r="W63" i="34"/>
  <c r="W81" i="35"/>
  <c r="W102" i="29"/>
  <c r="W13" i="32"/>
  <c r="W14" i="37"/>
  <c r="W110" i="34"/>
  <c r="W56" i="35"/>
  <c r="W80" i="36"/>
  <c r="W61" i="27"/>
  <c r="W8" i="38"/>
  <c r="W110" i="37"/>
  <c r="W61" i="36"/>
  <c r="W90" i="38"/>
  <c r="W121" i="29"/>
  <c r="W115" i="37"/>
  <c r="W112" i="32"/>
  <c r="W107" i="36"/>
  <c r="W68" i="37"/>
  <c r="W44" i="27"/>
  <c r="W61" i="38"/>
  <c r="W20" i="36"/>
  <c r="W7" i="32"/>
  <c r="W127" i="37"/>
  <c r="W63" i="29"/>
  <c r="W83" i="37"/>
  <c r="W120" i="38"/>
  <c r="W16" i="37"/>
  <c r="W64" i="37"/>
  <c r="W28" i="34"/>
  <c r="P52" i="24"/>
  <c r="W77" i="38"/>
  <c r="W45" i="29"/>
  <c r="W122" i="38"/>
  <c r="W48" i="34"/>
  <c r="W99" i="35"/>
  <c r="W61" i="32"/>
  <c r="W67" i="35"/>
  <c r="W76" i="34"/>
  <c r="W86" i="36"/>
  <c r="W29" i="29"/>
  <c r="W15" i="34"/>
  <c r="W133" i="36"/>
  <c r="W26" i="37"/>
  <c r="W61" i="37"/>
  <c r="W23" i="32"/>
  <c r="W117" i="37"/>
  <c r="W56" i="34"/>
  <c r="W129" i="35"/>
  <c r="W67" i="38"/>
  <c r="W42" i="35"/>
  <c r="W94" i="29"/>
  <c r="W71" i="34"/>
  <c r="W87" i="27"/>
  <c r="W43" i="36"/>
  <c r="W113" i="36"/>
  <c r="W93" i="27"/>
  <c r="W47" i="29"/>
  <c r="W88" i="27"/>
  <c r="W93" i="29"/>
  <c r="W58" i="32"/>
  <c r="W101" i="36"/>
  <c r="W134" i="27"/>
  <c r="W69" i="38"/>
  <c r="W40" i="35"/>
  <c r="W91" i="32"/>
  <c r="W128" i="35"/>
  <c r="W57" i="37"/>
  <c r="W44" i="32"/>
  <c r="W37" i="27"/>
  <c r="W79" i="32"/>
  <c r="W2" i="37"/>
  <c r="W31" i="32"/>
  <c r="W98" i="34"/>
  <c r="W116" i="27"/>
  <c r="W109" i="27"/>
  <c r="W45" i="27"/>
  <c r="W126" i="34"/>
  <c r="W54" i="32"/>
  <c r="W125" i="27"/>
  <c r="W114" i="35"/>
  <c r="W100" i="36"/>
  <c r="W34" i="35"/>
  <c r="W22" i="34"/>
  <c r="W134" i="29"/>
  <c r="W25" i="27"/>
  <c r="W76" i="29"/>
  <c r="W56" i="27"/>
  <c r="W39" i="38"/>
  <c r="W111" i="32"/>
  <c r="W64" i="32"/>
  <c r="W117" i="38"/>
  <c r="W58" i="36"/>
  <c r="W77" i="37"/>
  <c r="W118" i="27"/>
  <c r="W123" i="29"/>
  <c r="W26" i="27"/>
  <c r="W60" i="32"/>
  <c r="W122" i="32"/>
  <c r="W12" i="38"/>
  <c r="W2" i="27"/>
  <c r="W94" i="37"/>
  <c r="W47" i="36"/>
  <c r="W109" i="36"/>
  <c r="W8" i="35"/>
  <c r="W112" i="37"/>
  <c r="W49" i="35"/>
  <c r="W115" i="35"/>
  <c r="W96" i="38"/>
  <c r="W21" i="36"/>
  <c r="W59" i="37"/>
  <c r="W42" i="38"/>
  <c r="W31" i="36"/>
  <c r="W57" i="32"/>
  <c r="W19" i="34"/>
  <c r="W116" i="34"/>
  <c r="W85" i="38"/>
  <c r="W69" i="35"/>
  <c r="W46" i="38"/>
  <c r="W115" i="36"/>
  <c r="W87" i="35"/>
  <c r="W30" i="37"/>
  <c r="W98" i="38"/>
  <c r="W84" i="29"/>
  <c r="W86" i="32"/>
  <c r="W20" i="32"/>
  <c r="W70" i="29"/>
  <c r="W119" i="34"/>
  <c r="W71" i="35"/>
  <c r="W65" i="37"/>
  <c r="W101" i="27"/>
  <c r="W48" i="37"/>
  <c r="W16" i="34"/>
  <c r="W17" i="38"/>
  <c r="W16" i="38"/>
  <c r="W53" i="35"/>
  <c r="W36" i="35"/>
  <c r="W100" i="37"/>
  <c r="W17" i="36"/>
  <c r="W76" i="35"/>
  <c r="W97" i="35"/>
  <c r="W104" i="32"/>
  <c r="W109" i="37"/>
  <c r="W129" i="36"/>
  <c r="W132" i="38"/>
  <c r="W53" i="29"/>
  <c r="W99" i="34"/>
  <c r="W53" i="38"/>
  <c r="W55" i="36"/>
  <c r="W36" i="38"/>
  <c r="W20" i="37"/>
  <c r="W50" i="34"/>
  <c r="W48" i="38"/>
  <c r="W87" i="34"/>
  <c r="W42" i="34"/>
  <c r="W2" i="32"/>
  <c r="W86" i="34"/>
  <c r="W29" i="37"/>
  <c r="W66" i="36"/>
  <c r="W125" i="29"/>
  <c r="W102" i="38"/>
  <c r="W74" i="35"/>
  <c r="W83" i="36"/>
  <c r="W38" i="37"/>
  <c r="W82" i="35"/>
  <c r="W70" i="37"/>
  <c r="W83" i="38"/>
  <c r="W130" i="36"/>
  <c r="W8" i="37"/>
  <c r="W104" i="36"/>
  <c r="W100" i="29"/>
  <c r="W35" i="35"/>
  <c r="W34" i="34"/>
  <c r="W20" i="34"/>
  <c r="W81" i="38"/>
  <c r="W87" i="37"/>
  <c r="W66" i="35"/>
  <c r="W6" i="27"/>
  <c r="W134" i="34"/>
  <c r="W128" i="27"/>
  <c r="W86" i="38"/>
  <c r="W133" i="29"/>
  <c r="W64" i="29"/>
  <c r="W89" i="36"/>
  <c r="W80" i="27"/>
  <c r="W110" i="27"/>
  <c r="W26" i="34"/>
  <c r="W99" i="36"/>
  <c r="W4" i="3"/>
  <c r="W94" i="27"/>
  <c r="W121" i="27"/>
  <c r="W14" i="32"/>
  <c r="W37" i="38"/>
  <c r="W114" i="34"/>
  <c r="W46" i="37"/>
  <c r="W90" i="27"/>
  <c r="W101" i="35"/>
  <c r="W117" i="32"/>
  <c r="W41" i="35"/>
  <c r="W76" i="38"/>
  <c r="W37" i="29"/>
  <c r="W71" i="29"/>
  <c r="W9" i="38"/>
  <c r="W93" i="38"/>
  <c r="W27" i="36"/>
  <c r="W97" i="29"/>
  <c r="W89" i="32"/>
  <c r="W55" i="29"/>
  <c r="W57" i="38"/>
  <c r="W123" i="32"/>
  <c r="W43" i="35"/>
  <c r="W78" i="35"/>
  <c r="W47" i="27"/>
  <c r="W39" i="32"/>
  <c r="W82" i="32"/>
  <c r="W78" i="37"/>
  <c r="W27" i="32"/>
  <c r="W108" i="32"/>
  <c r="W131" i="29"/>
  <c r="W68" i="29"/>
  <c r="W105" i="34"/>
  <c r="W77" i="27"/>
  <c r="W16" i="27"/>
  <c r="W48" i="29"/>
  <c r="W119" i="37"/>
  <c r="W81" i="29"/>
  <c r="W133" i="35"/>
  <c r="W122" i="35"/>
  <c r="W36" i="29"/>
  <c r="W59" i="32"/>
  <c r="W11" i="32"/>
  <c r="W49" i="37"/>
  <c r="W35" i="32"/>
  <c r="W8" i="36"/>
  <c r="W67" i="29"/>
  <c r="W126" i="37"/>
  <c r="W13" i="36"/>
  <c r="W66" i="38"/>
  <c r="W72" i="37"/>
  <c r="W130" i="34"/>
  <c r="W70" i="34"/>
  <c r="W113" i="34"/>
  <c r="W109" i="38"/>
  <c r="W5" i="36"/>
  <c r="W129" i="34"/>
  <c r="W121" i="38"/>
  <c r="W94" i="32"/>
  <c r="W41" i="37"/>
  <c r="W97" i="38"/>
  <c r="W118" i="36"/>
  <c r="W119" i="35"/>
  <c r="W95" i="38"/>
  <c r="W85" i="35"/>
  <c r="W94" i="34"/>
  <c r="W22" i="35"/>
  <c r="W95" i="34"/>
  <c r="W34" i="36"/>
  <c r="W50" i="37"/>
  <c r="W107" i="37"/>
  <c r="W52" i="34"/>
  <c r="W52" i="32"/>
  <c r="W28" i="27"/>
  <c r="W33" i="35"/>
  <c r="W15" i="38"/>
  <c r="W6" i="36"/>
  <c r="W4" i="35"/>
  <c r="W114" i="32"/>
  <c r="W62" i="34"/>
  <c r="W125" i="32"/>
  <c r="W13" i="34"/>
  <c r="W109" i="34"/>
  <c r="W63" i="32"/>
  <c r="W118" i="29"/>
  <c r="W109" i="32"/>
  <c r="W92" i="35"/>
  <c r="W12" i="37"/>
  <c r="W73" i="36"/>
  <c r="W91" i="37"/>
  <c r="W79" i="36"/>
  <c r="W34" i="37"/>
  <c r="W79" i="34"/>
  <c r="W122" i="29"/>
  <c r="W80" i="37"/>
  <c r="W117" i="36"/>
  <c r="W47" i="38"/>
  <c r="W65" i="34"/>
  <c r="W90" i="32"/>
  <c r="W66" i="34"/>
  <c r="W112" i="34"/>
  <c r="W119" i="29"/>
  <c r="W105" i="36"/>
  <c r="W125" i="38"/>
  <c r="W95" i="27"/>
  <c r="W116" i="36"/>
  <c r="W127" i="35"/>
  <c r="W132" i="35"/>
  <c r="W30" i="36"/>
  <c r="W104" i="38"/>
  <c r="W73" i="38"/>
  <c r="W74" i="36"/>
  <c r="W106" i="34"/>
  <c r="W132" i="37"/>
  <c r="W51" i="38"/>
  <c r="W82" i="27"/>
  <c r="W42" i="37"/>
  <c r="W76" i="27"/>
  <c r="W4" i="37"/>
  <c r="W97" i="27"/>
  <c r="W86" i="29"/>
  <c r="W60" i="27"/>
  <c r="W5" i="35"/>
  <c r="W117" i="29"/>
  <c r="W48" i="36"/>
  <c r="W132" i="29"/>
  <c r="W62" i="27"/>
  <c r="W102" i="34"/>
  <c r="W75" i="37"/>
  <c r="W40" i="27"/>
  <c r="W96" i="36"/>
  <c r="W131" i="35"/>
  <c r="W11" i="36"/>
  <c r="W11" i="34"/>
  <c r="W82" i="29"/>
  <c r="W67" i="34"/>
  <c r="W85" i="29"/>
  <c r="P47" i="24"/>
  <c r="W101" i="37"/>
  <c r="W49" i="29"/>
  <c r="W7" i="27"/>
  <c r="W129" i="38"/>
  <c r="W127" i="27"/>
  <c r="W17" i="27"/>
  <c r="W52" i="27"/>
  <c r="W114" i="27"/>
  <c r="W106" i="32"/>
  <c r="W86" i="37"/>
  <c r="W120" i="36"/>
  <c r="W66" i="32"/>
  <c r="W93" i="32"/>
  <c r="W49" i="34"/>
  <c r="W27" i="29"/>
  <c r="W65" i="36"/>
  <c r="W43" i="27"/>
  <c r="W64" i="27"/>
  <c r="W71" i="37"/>
  <c r="W59" i="27"/>
  <c r="W95" i="37"/>
  <c r="W119" i="27"/>
  <c r="W89" i="29"/>
  <c r="W107" i="27"/>
  <c r="W24" i="34"/>
  <c r="W128" i="32"/>
  <c r="W101" i="29"/>
  <c r="W103" i="34"/>
  <c r="W46" i="32"/>
  <c r="W40" i="29"/>
  <c r="W128" i="36"/>
  <c r="W40" i="37"/>
  <c r="W33" i="37"/>
  <c r="W60" i="35"/>
  <c r="W105" i="29"/>
  <c r="W90" i="37"/>
  <c r="W127" i="32"/>
  <c r="W103" i="37"/>
  <c r="W79" i="35"/>
  <c r="W77" i="35"/>
  <c r="W63" i="36"/>
  <c r="W96" i="29"/>
  <c r="W50" i="32"/>
  <c r="W7" i="29"/>
  <c r="W7" i="37"/>
  <c r="W95" i="35"/>
  <c r="W30" i="35"/>
  <c r="W17" i="35"/>
  <c r="W132" i="36"/>
  <c r="W108" i="36"/>
  <c r="W92" i="34"/>
  <c r="W100" i="35"/>
  <c r="W58" i="34"/>
  <c r="W69" i="37"/>
  <c r="W88" i="38"/>
  <c r="W67" i="37"/>
  <c r="W9" i="35"/>
  <c r="W91" i="36"/>
  <c r="W17" i="34"/>
  <c r="W10" i="32"/>
  <c r="W90" i="34"/>
  <c r="W29" i="35"/>
  <c r="W76" i="32"/>
  <c r="W41" i="34"/>
  <c r="W94" i="36"/>
  <c r="W5" i="37"/>
  <c r="W123" i="34"/>
  <c r="W102" i="37"/>
  <c r="W78" i="34"/>
  <c r="W114" i="37"/>
  <c r="W118" i="35"/>
  <c r="W57" i="29"/>
  <c r="W126" i="29"/>
  <c r="W37" i="37"/>
  <c r="W65" i="32"/>
  <c r="W60" i="34"/>
  <c r="W89" i="38"/>
  <c r="W8" i="34"/>
  <c r="W111" i="29"/>
  <c r="W82" i="36"/>
  <c r="W53" i="32"/>
  <c r="W53" i="37"/>
  <c r="W78" i="27"/>
  <c r="W60" i="37"/>
  <c r="W6" i="37"/>
  <c r="W13" i="35"/>
  <c r="W92" i="37"/>
  <c r="W87" i="29"/>
  <c r="W49" i="38"/>
  <c r="W106" i="38"/>
  <c r="W80" i="29"/>
  <c r="W21" i="29"/>
  <c r="W95" i="36"/>
  <c r="W113" i="27"/>
  <c r="W50" i="36"/>
  <c r="W62" i="35"/>
  <c r="W92" i="38"/>
  <c r="W43" i="34"/>
  <c r="W105" i="35"/>
  <c r="W18" i="29"/>
  <c r="W20" i="29"/>
  <c r="W14" i="35"/>
  <c r="W134" i="32"/>
  <c r="W4" i="32"/>
  <c r="W70" i="27"/>
  <c r="W111" i="34"/>
  <c r="W115" i="34"/>
  <c r="W95" i="32"/>
  <c r="W71" i="27"/>
  <c r="W53" i="27"/>
  <c r="W30" i="32"/>
  <c r="W12" i="35"/>
  <c r="W52" i="29"/>
  <c r="W53" i="34"/>
  <c r="W84" i="37"/>
  <c r="W102" i="32"/>
  <c r="W130" i="29"/>
  <c r="W109" i="35"/>
  <c r="W63" i="37"/>
  <c r="W86" i="35"/>
  <c r="W4" i="36"/>
  <c r="W38" i="34"/>
  <c r="P59" i="24"/>
  <c r="W130" i="35"/>
  <c r="W11" i="29"/>
  <c r="W112" i="27"/>
  <c r="W4" i="38"/>
  <c r="W66" i="37"/>
  <c r="W6" i="29"/>
  <c r="W38" i="27"/>
  <c r="W36" i="37"/>
  <c r="P50" i="24"/>
  <c r="W19" i="27"/>
  <c r="W78" i="32"/>
  <c r="W66" i="27"/>
  <c r="W80" i="35"/>
  <c r="W84" i="38"/>
  <c r="P49" i="24"/>
  <c r="W91" i="27"/>
  <c r="W51" i="27"/>
  <c r="W24" i="29"/>
  <c r="W105" i="37"/>
  <c r="W7" i="36"/>
  <c r="W101" i="34"/>
  <c r="W22" i="27"/>
  <c r="W112" i="35"/>
  <c r="W62" i="37"/>
  <c r="W49" i="32"/>
  <c r="W109" i="29"/>
  <c r="W83" i="32"/>
  <c r="W99" i="32"/>
  <c r="W130" i="27"/>
  <c r="W50" i="29"/>
  <c r="P55" i="24"/>
  <c r="W42" i="36"/>
  <c r="W122" i="27"/>
  <c r="P45" i="24"/>
  <c r="W73" i="37"/>
  <c r="W70" i="36"/>
  <c r="W43" i="37"/>
  <c r="W96" i="34"/>
  <c r="W36" i="36"/>
  <c r="W73" i="34"/>
  <c r="W35" i="36"/>
  <c r="W6" i="32"/>
  <c r="W35" i="37"/>
  <c r="W20" i="35"/>
  <c r="W93" i="36"/>
  <c r="W84" i="32"/>
  <c r="W46" i="36"/>
  <c r="W23" i="35"/>
  <c r="W45" i="34"/>
  <c r="W113" i="37"/>
  <c r="W116" i="37"/>
  <c r="W112" i="36"/>
  <c r="W130" i="37"/>
  <c r="W16" i="29"/>
  <c r="W73" i="32"/>
  <c r="W121" i="35"/>
  <c r="W63" i="35"/>
  <c r="W76" i="37"/>
  <c r="W108" i="34"/>
  <c r="W11" i="37"/>
  <c r="W112" i="38"/>
  <c r="W50" i="38"/>
  <c r="W36" i="27"/>
  <c r="W91" i="34"/>
  <c r="W120" i="37"/>
  <c r="W78" i="36"/>
  <c r="W125" i="34"/>
  <c r="W125" i="35"/>
  <c r="W40" i="34"/>
  <c r="W81" i="37"/>
  <c r="W72" i="35"/>
  <c r="W46" i="34"/>
  <c r="W28" i="37"/>
  <c r="W44" i="37"/>
  <c r="W64" i="38"/>
  <c r="W134" i="35"/>
  <c r="W74" i="38"/>
  <c r="W10" i="38"/>
  <c r="W25" i="36"/>
  <c r="W57" i="35"/>
  <c r="W100" i="34"/>
  <c r="W45" i="36"/>
  <c r="W54" i="29"/>
  <c r="W31" i="35"/>
  <c r="W127" i="36"/>
  <c r="W12" i="34"/>
  <c r="W81" i="32"/>
  <c r="W82" i="37"/>
  <c r="W67" i="36"/>
  <c r="W19" i="36"/>
  <c r="W126" i="36"/>
  <c r="W68" i="32"/>
  <c r="W84" i="34"/>
  <c r="W61" i="35"/>
  <c r="W117" i="35"/>
  <c r="W115" i="29"/>
  <c r="W88" i="32"/>
  <c r="W20" i="27"/>
  <c r="W41" i="36"/>
  <c r="W59" i="35"/>
  <c r="W116" i="38"/>
  <c r="W74" i="37"/>
  <c r="W124" i="38"/>
  <c r="W60" i="38"/>
  <c r="W128" i="29"/>
  <c r="W111" i="37"/>
  <c r="W87" i="38"/>
  <c r="W16" i="35"/>
  <c r="W63" i="38"/>
  <c r="W5" i="38"/>
  <c r="W18" i="36"/>
  <c r="P54" i="24"/>
  <c r="W18" i="27"/>
  <c r="W93" i="34"/>
  <c r="W101" i="32"/>
  <c r="W45" i="37"/>
  <c r="W4" i="31"/>
  <c r="W134" i="38"/>
  <c r="W27" i="34"/>
  <c r="W39" i="27"/>
  <c r="W12" i="32"/>
  <c r="W24" i="32"/>
  <c r="W33" i="27"/>
  <c r="W110" i="32"/>
  <c r="W33" i="29"/>
  <c r="W123" i="37"/>
  <c r="W56" i="32"/>
  <c r="W75" i="36"/>
  <c r="W123" i="36"/>
  <c r="W9" i="27"/>
  <c r="W126" i="27"/>
  <c r="W98" i="32"/>
  <c r="W28" i="32"/>
  <c r="W17" i="37"/>
  <c r="W122" i="36"/>
  <c r="W106" i="29"/>
  <c r="W11" i="27"/>
  <c r="W84" i="27"/>
  <c r="W72" i="29"/>
  <c r="W74" i="27"/>
  <c r="W39" i="36"/>
  <c r="W128" i="37"/>
  <c r="W86" i="27"/>
  <c r="W121" i="32"/>
  <c r="W33" i="32"/>
  <c r="W56" i="37"/>
  <c r="W111" i="36"/>
  <c r="W106" i="37"/>
  <c r="W78" i="29"/>
  <c r="W133" i="34"/>
  <c r="W113" i="32"/>
  <c r="P46" i="24"/>
  <c r="W61" i="29"/>
  <c r="W65" i="27"/>
  <c r="W50" i="27"/>
  <c r="W8" i="29"/>
  <c r="W126" i="35"/>
  <c r="W118" i="32"/>
  <c r="W15" i="37"/>
  <c r="W34" i="27"/>
  <c r="W73" i="27"/>
  <c r="W104" i="35"/>
  <c r="W90" i="36"/>
  <c r="W124" i="36"/>
  <c r="W112" i="29"/>
  <c r="W45" i="38"/>
  <c r="W77" i="36"/>
  <c r="W80" i="34"/>
  <c r="W29" i="32"/>
  <c r="W77" i="32"/>
  <c r="W7" i="34"/>
  <c r="W49" i="36"/>
  <c r="W111" i="38"/>
  <c r="W10" i="34"/>
  <c r="W26" i="32"/>
  <c r="W30" i="34"/>
  <c r="W118" i="38"/>
  <c r="W89" i="34"/>
  <c r="W128" i="38"/>
  <c r="W71" i="36"/>
  <c r="W72" i="38"/>
  <c r="W9" i="29"/>
  <c r="W110" i="35"/>
  <c r="W108" i="35"/>
  <c r="W60" i="36"/>
  <c r="W33" i="36"/>
  <c r="W61" i="34"/>
  <c r="W23" i="37"/>
  <c r="W31" i="34"/>
  <c r="W98" i="35"/>
  <c r="W9" i="36"/>
  <c r="W23" i="34"/>
  <c r="W34" i="29"/>
  <c r="W118" i="34"/>
  <c r="W35" i="34"/>
  <c r="W37" i="34"/>
  <c r="W7" i="38"/>
  <c r="W113" i="38"/>
  <c r="W99" i="38"/>
  <c r="W25" i="35"/>
  <c r="W25" i="34"/>
  <c r="W4" i="34"/>
  <c r="W5" i="29"/>
  <c r="W34" i="38"/>
  <c r="W47" i="34"/>
  <c r="W72" i="36"/>
  <c r="W114" i="29"/>
  <c r="W124" i="34"/>
  <c r="W21" i="35"/>
  <c r="W98" i="36"/>
  <c r="W66" i="29"/>
  <c r="W47" i="32"/>
  <c r="W45" i="35"/>
  <c r="W129" i="32"/>
  <c r="W134" i="36"/>
  <c r="W65" i="35"/>
  <c r="W6" i="35"/>
  <c r="W68" i="36"/>
  <c r="W31" i="37"/>
  <c r="W9" i="37"/>
  <c r="W35" i="38"/>
  <c r="W117" i="34"/>
  <c r="W62" i="32"/>
  <c r="W62" i="36"/>
  <c r="W98" i="27"/>
  <c r="W89" i="37"/>
  <c r="W115" i="32"/>
  <c r="W94" i="38"/>
  <c r="W97" i="34"/>
  <c r="W75" i="35"/>
  <c r="W24" i="35"/>
  <c r="W68" i="35"/>
  <c r="W131" i="37"/>
  <c r="W32" i="37"/>
  <c r="W30" i="27"/>
  <c r="W58" i="37"/>
  <c r="W23" i="36"/>
  <c r="W25" i="37"/>
  <c r="W98" i="29"/>
  <c r="W97" i="32"/>
  <c r="W29" i="27"/>
  <c r="W59" i="29"/>
  <c r="W5" i="27"/>
  <c r="W40" i="38"/>
  <c r="W72" i="34"/>
  <c r="W90" i="35"/>
  <c r="W82" i="34"/>
  <c r="W51" i="32"/>
  <c r="W60" i="29"/>
  <c r="W38" i="32"/>
  <c r="W104" i="27"/>
  <c r="W57" i="36"/>
  <c r="W80" i="38"/>
  <c r="W124" i="29"/>
  <c r="W43" i="29"/>
  <c r="W92" i="27"/>
  <c r="W17" i="32"/>
  <c r="W32" i="29"/>
  <c r="W120" i="32"/>
  <c r="W57" i="27"/>
  <c r="W43" i="38"/>
  <c r="W15" i="36"/>
  <c r="W64" i="34"/>
  <c r="W99" i="29"/>
  <c r="W106" i="27"/>
  <c r="W21" i="32"/>
  <c r="W37" i="32"/>
  <c r="W28" i="35"/>
  <c r="W12" i="27"/>
  <c r="W108" i="27"/>
  <c r="W23" i="29"/>
  <c r="W131" i="38"/>
  <c r="W4" i="25"/>
  <c r="W27" i="27"/>
  <c r="W56" i="38"/>
  <c r="W111" i="35"/>
  <c r="W119" i="38"/>
  <c r="W13" i="38"/>
  <c r="W48" i="27"/>
  <c r="W85" i="27"/>
  <c r="W5" i="32"/>
  <c r="W2" i="29"/>
  <c r="W95" i="29"/>
  <c r="W88" i="29"/>
  <c r="W24" i="37"/>
  <c r="W113" i="35"/>
  <c r="W8" i="27"/>
  <c r="W58" i="38"/>
  <c r="W96" i="35"/>
  <c r="W48" i="35"/>
  <c r="W39" i="35"/>
  <c r="W62" i="38"/>
  <c r="W77" i="34"/>
  <c r="W126" i="38"/>
  <c r="W2" i="35"/>
  <c r="W10" i="35"/>
  <c r="W125" i="36"/>
  <c r="W15" i="35"/>
  <c r="W12" i="36"/>
  <c r="W24" i="36"/>
  <c r="W53" i="36"/>
  <c r="W14" i="36"/>
  <c r="W18" i="34"/>
  <c r="W69" i="36"/>
  <c r="W74" i="32"/>
  <c r="W129" i="37"/>
  <c r="W64" i="36"/>
  <c r="W51" i="36"/>
  <c r="W81" i="27"/>
  <c r="W83" i="34"/>
  <c r="W71" i="32"/>
  <c r="W81" i="36"/>
  <c r="W110" i="38"/>
  <c r="W76" i="36"/>
  <c r="W38" i="38"/>
  <c r="W93" i="37"/>
  <c r="W108" i="38"/>
  <c r="W85" i="34"/>
  <c r="W124" i="35"/>
  <c r="W58" i="27"/>
  <c r="W38" i="36"/>
  <c r="W70" i="38"/>
  <c r="W83" i="29"/>
  <c r="W118" i="37"/>
  <c r="W41" i="38"/>
  <c r="W55" i="35"/>
  <c r="W99" i="37"/>
  <c r="W103" i="36"/>
  <c r="W127" i="38"/>
  <c r="W19" i="32"/>
  <c r="W79" i="38"/>
  <c r="W121" i="36"/>
  <c r="W91" i="35"/>
  <c r="W120" i="34"/>
  <c r="W131" i="36"/>
  <c r="W123" i="38"/>
  <c r="W54" i="35"/>
  <c r="W133" i="32"/>
  <c r="W7" i="35"/>
  <c r="W44" i="36"/>
  <c r="W42" i="32"/>
  <c r="W106" i="36"/>
  <c r="W47" i="35"/>
  <c r="W52" i="35"/>
  <c r="W123" i="35"/>
  <c r="W102" i="36"/>
  <c r="W122" i="34"/>
  <c r="W59" i="38"/>
  <c r="W55" i="38"/>
  <c r="W73" i="35"/>
  <c r="W28" i="36"/>
  <c r="W18" i="37"/>
  <c r="W77" i="29"/>
  <c r="W88" i="34"/>
  <c r="W88" i="36"/>
  <c r="W121" i="34"/>
  <c r="W88" i="37"/>
  <c r="W130" i="38"/>
  <c r="W10" i="36"/>
  <c r="W133" i="37"/>
  <c r="W114" i="36"/>
  <c r="W92" i="36"/>
  <c r="W69" i="29"/>
  <c r="W108" i="37"/>
  <c r="W54" i="37"/>
  <c r="W6" i="38"/>
  <c r="W15" i="29"/>
  <c r="W21" i="27"/>
  <c r="P53" i="24"/>
  <c r="W69" i="34"/>
  <c r="W32" i="34"/>
  <c r="W116" i="29"/>
  <c r="W67" i="27"/>
  <c r="W25" i="29"/>
  <c r="W10" i="37"/>
  <c r="W72" i="27"/>
  <c r="W63" i="27"/>
  <c r="P51" i="24"/>
  <c r="W27" i="37"/>
  <c r="W4" i="27"/>
  <c r="W62" i="29"/>
  <c r="W40" i="32"/>
  <c r="W26" i="29"/>
  <c r="W10" i="29"/>
  <c r="W96" i="27"/>
  <c r="W29" i="34"/>
  <c r="W13" i="37"/>
  <c r="W120" i="35"/>
  <c r="W134" i="37"/>
  <c r="P57" i="24"/>
  <c r="W21" i="34"/>
  <c r="W49" i="27"/>
  <c r="W107" i="35"/>
  <c r="W52" i="38"/>
  <c r="W67" i="32"/>
  <c r="W120" i="27"/>
  <c r="W92" i="29"/>
  <c r="W105" i="27"/>
  <c r="P48" i="24"/>
  <c r="W79" i="27"/>
  <c r="W115" i="38"/>
  <c r="W31" i="27"/>
  <c r="W35" i="27"/>
  <c r="W107" i="38"/>
  <c r="W55" i="32"/>
  <c r="W96" i="32"/>
  <c r="W16" i="32"/>
  <c r="W103" i="38"/>
  <c r="W13" i="29"/>
  <c r="W25" i="32"/>
  <c r="W129" i="27"/>
  <c r="W39" i="29"/>
  <c r="W18" i="32"/>
  <c r="W15" i="27"/>
  <c r="W69" i="32"/>
  <c r="W113" i="29"/>
  <c r="W127" i="29"/>
  <c r="W107" i="32"/>
  <c r="W54" i="27"/>
  <c r="W103" i="29"/>
  <c r="W22" i="29"/>
  <c r="W102" i="27"/>
  <c r="W92" i="32"/>
  <c r="W65" i="29"/>
  <c r="W41" i="32"/>
  <c r="W12" i="29"/>
  <c r="W89" i="27"/>
  <c r="W23" i="27"/>
  <c r="W117" i="27"/>
  <c r="W38" i="29"/>
  <c r="W132" i="27"/>
  <c r="P58" i="24"/>
  <c r="W41" i="27"/>
  <c r="W52" i="36"/>
  <c r="W2" i="34"/>
  <c r="W91" i="38"/>
  <c r="W13" i="27"/>
  <c r="W115" i="27"/>
  <c r="W100" i="32"/>
  <c r="W6" i="34"/>
  <c r="W131" i="32"/>
  <c r="P44" i="24"/>
  <c r="W96" i="37"/>
  <c r="W21" i="37"/>
  <c r="W129" i="29"/>
  <c r="W100" i="27"/>
  <c r="W79" i="29"/>
  <c r="W45" i="32"/>
  <c r="W5" i="34"/>
  <c r="W56" i="29"/>
  <c r="W64" i="35"/>
  <c r="W37" i="35"/>
  <c r="W106" i="35"/>
  <c r="W131" i="27"/>
  <c r="W59" i="36"/>
  <c r="W24" i="27"/>
  <c r="W19" i="29"/>
  <c r="W14" i="29"/>
  <c r="W83" i="27"/>
  <c r="W124" i="27"/>
  <c r="W104" i="29"/>
  <c r="W4" i="26"/>
  <c r="W33" i="38"/>
  <c r="W32" i="38"/>
  <c r="W31" i="38"/>
  <c r="W30" i="38"/>
  <c r="W29" i="38"/>
  <c r="W28" i="38"/>
  <c r="W27" i="38"/>
  <c r="W26" i="38"/>
  <c r="W25" i="38"/>
  <c r="W24" i="38"/>
  <c r="W23" i="38"/>
  <c r="W22" i="38"/>
  <c r="W21" i="38"/>
  <c r="W20" i="38"/>
  <c r="W19" i="38"/>
  <c r="W18" i="38"/>
  <c r="W2" i="38"/>
  <c r="W4" i="33"/>
  <c r="W2" i="33"/>
  <c r="W2" i="25"/>
  <c r="W2" i="31"/>
  <c r="W4" i="30"/>
  <c r="W2" i="30"/>
  <c r="W2" i="28"/>
  <c r="W5" i="3"/>
  <c r="W42" i="3"/>
  <c r="W52" i="3"/>
  <c r="W129" i="3"/>
  <c r="W106" i="3"/>
  <c r="W44" i="3"/>
  <c r="W76" i="3"/>
  <c r="W6" i="3"/>
  <c r="W31" i="3"/>
  <c r="W55" i="3"/>
  <c r="W84" i="3"/>
  <c r="W100" i="3"/>
  <c r="W114" i="3"/>
  <c r="W95" i="3"/>
  <c r="W104" i="3"/>
  <c r="W83" i="3"/>
  <c r="W43" i="3"/>
  <c r="W20" i="3"/>
  <c r="W45" i="3"/>
  <c r="W25" i="3"/>
  <c r="W12" i="3"/>
  <c r="W128" i="3"/>
  <c r="W68" i="3"/>
  <c r="W69" i="3"/>
  <c r="W36" i="3"/>
  <c r="W131" i="3"/>
  <c r="W127" i="3"/>
  <c r="W47" i="3"/>
  <c r="W56" i="3"/>
  <c r="W72" i="3"/>
  <c r="W86" i="3"/>
  <c r="W19" i="3"/>
  <c r="W46" i="3"/>
  <c r="W22" i="3"/>
  <c r="W57" i="3"/>
  <c r="W85" i="3"/>
  <c r="W110" i="3"/>
  <c r="W49" i="3"/>
  <c r="W59" i="3"/>
  <c r="W38" i="3"/>
  <c r="W2" i="3"/>
  <c r="W123" i="3"/>
  <c r="W70" i="3"/>
  <c r="W63" i="3"/>
  <c r="W82" i="3"/>
  <c r="W60" i="3"/>
  <c r="W10" i="3"/>
  <c r="W122" i="3"/>
  <c r="W21" i="3"/>
  <c r="W118" i="3"/>
  <c r="W37" i="3"/>
  <c r="W124" i="3"/>
  <c r="W96" i="3"/>
  <c r="W54" i="3"/>
  <c r="W126" i="3"/>
  <c r="W92" i="3"/>
  <c r="W116" i="3"/>
  <c r="W29" i="3"/>
  <c r="W87" i="3"/>
  <c r="W130" i="3"/>
  <c r="W9" i="3"/>
  <c r="W109" i="3"/>
  <c r="W102" i="3"/>
  <c r="W14" i="3"/>
  <c r="W101" i="3"/>
  <c r="W64" i="3"/>
  <c r="W71" i="3"/>
  <c r="W30" i="3"/>
  <c r="W117" i="3"/>
  <c r="W24" i="3"/>
  <c r="W53" i="3"/>
  <c r="W65" i="3"/>
  <c r="W23" i="3"/>
  <c r="W41" i="3"/>
  <c r="W77" i="3"/>
  <c r="W75" i="3"/>
  <c r="W97" i="3"/>
  <c r="W27" i="3"/>
  <c r="W26" i="3"/>
  <c r="W51" i="3"/>
  <c r="W39" i="3"/>
  <c r="W81" i="3"/>
  <c r="W74" i="3"/>
  <c r="W125" i="3"/>
  <c r="W18" i="3"/>
  <c r="W7" i="3"/>
  <c r="W93" i="3"/>
  <c r="W99" i="3"/>
  <c r="W132" i="3"/>
  <c r="W16" i="3"/>
  <c r="W8" i="3"/>
  <c r="W66" i="3"/>
  <c r="W119" i="3"/>
  <c r="W90" i="3"/>
  <c r="W33" i="3"/>
  <c r="W17" i="3"/>
  <c r="W80" i="3"/>
  <c r="W134" i="3"/>
  <c r="W34" i="3"/>
  <c r="W79" i="3"/>
  <c r="W40" i="3"/>
  <c r="W32" i="3"/>
  <c r="W62" i="3"/>
  <c r="W89" i="3"/>
  <c r="W35" i="3"/>
  <c r="W113" i="3"/>
  <c r="W11" i="3"/>
  <c r="W103" i="3"/>
  <c r="W98" i="3"/>
  <c r="W120" i="3"/>
  <c r="W112" i="3"/>
  <c r="W133" i="3"/>
  <c r="W28" i="3"/>
  <c r="W78" i="3"/>
  <c r="W13" i="3"/>
  <c r="W61" i="3"/>
  <c r="W108" i="3"/>
  <c r="W107" i="3"/>
  <c r="W15" i="3"/>
  <c r="W67" i="3"/>
  <c r="W115" i="3"/>
  <c r="W73" i="3"/>
  <c r="W111" i="3"/>
  <c r="W91" i="3"/>
  <c r="W121" i="3"/>
  <c r="W48" i="3"/>
  <c r="W50" i="3"/>
  <c r="W88" i="3"/>
  <c r="W105" i="3"/>
  <c r="W94" i="3"/>
  <c r="W58" i="3"/>
  <c r="Q13" i="24"/>
  <c r="Q25" i="24"/>
  <c r="Q14" i="24"/>
  <c r="Q40" i="24"/>
  <c r="Q7" i="24"/>
  <c r="Q23" i="24"/>
  <c r="Q38" i="24"/>
  <c r="Q5" i="24"/>
  <c r="Q37" i="24"/>
  <c r="Q17" i="24"/>
  <c r="Q28" i="24"/>
  <c r="Q31" i="24"/>
  <c r="Q34" i="24"/>
  <c r="Q29" i="24"/>
  <c r="Q8" i="24"/>
  <c r="Q21" i="24"/>
  <c r="Q30" i="24"/>
  <c r="Q41" i="24"/>
  <c r="Q4" i="24"/>
  <c r="Q35" i="24"/>
  <c r="Q24" i="24"/>
  <c r="Q27" i="24"/>
  <c r="Q33" i="24"/>
  <c r="Q15" i="24"/>
  <c r="Q39" i="24"/>
  <c r="Q11" i="24"/>
  <c r="Q18" i="24"/>
  <c r="Q12" i="24"/>
  <c r="Q9" i="24"/>
  <c r="Q36" i="24"/>
  <c r="Q43" i="24"/>
  <c r="Q16" i="24"/>
  <c r="Q32" i="24"/>
  <c r="Q42" i="24"/>
  <c r="Q6" i="24"/>
  <c r="Q20" i="24"/>
  <c r="Q10" i="24"/>
  <c r="Q26" i="24"/>
  <c r="Q22" i="24"/>
  <c r="Q19" i="24"/>
  <c r="P43" i="24"/>
  <c r="P16" i="24"/>
  <c r="P19" i="24"/>
  <c r="P34" i="24"/>
  <c r="P42" i="24"/>
  <c r="P39" i="24"/>
  <c r="P40" i="24"/>
  <c r="P28" i="24"/>
  <c r="P10" i="24"/>
  <c r="P18" i="24"/>
  <c r="P30" i="24"/>
  <c r="P5" i="24"/>
  <c r="P15" i="24"/>
  <c r="P35" i="24"/>
  <c r="P26" i="24"/>
  <c r="P8" i="24"/>
  <c r="P4" i="24"/>
  <c r="P13" i="24"/>
  <c r="P29" i="24"/>
  <c r="P31" i="24"/>
  <c r="P36" i="24"/>
  <c r="P11" i="24"/>
  <c r="P37" i="24"/>
  <c r="P33" i="24"/>
  <c r="P6" i="24"/>
  <c r="P9" i="24"/>
  <c r="P12" i="24"/>
  <c r="P17" i="24"/>
  <c r="P38" i="24"/>
  <c r="P23" i="24"/>
  <c r="P22" i="24"/>
  <c r="P21" i="24"/>
  <c r="P14" i="24"/>
  <c r="P20" i="24"/>
  <c r="P24" i="24"/>
  <c r="P32" i="24"/>
  <c r="P7" i="24"/>
  <c r="P27" i="24"/>
  <c r="P41" i="24"/>
  <c r="P25" i="24"/>
  <c r="L10" i="24"/>
  <c r="L6" i="24"/>
  <c r="W2" i="26"/>
</calcChain>
</file>

<file path=xl/sharedStrings.xml><?xml version="1.0" encoding="utf-8"?>
<sst xmlns="http://schemas.openxmlformats.org/spreadsheetml/2006/main" count="6210" uniqueCount="2632">
  <si>
    <t>打数</t>
    <rPh sb="0" eb="2">
      <t>ダスウ</t>
    </rPh>
    <phoneticPr fontId="1"/>
  </si>
  <si>
    <t>安打</t>
    <rPh sb="0" eb="2">
      <t>アンダ</t>
    </rPh>
    <phoneticPr fontId="1"/>
  </si>
  <si>
    <t>打点</t>
    <rPh sb="0" eb="2">
      <t>ダテン</t>
    </rPh>
    <phoneticPr fontId="1"/>
  </si>
  <si>
    <t>丸</t>
    <rPh sb="0" eb="1">
      <t>マル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</si>
  <si>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</si>
  <si>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星</t>
    <rPh sb="0" eb="1">
      <t>ホシ</t>
    </rPh>
    <phoneticPr fontId="1"/>
  </si>
  <si>
    <t>石山</t>
    <rPh sb="0" eb="1">
      <t>イシ</t>
    </rPh>
    <rPh sb="1" eb="2">
      <t>ヤマ</t>
    </rPh>
    <phoneticPr fontId="1"/>
  </si>
  <si>
    <t>山﨑康</t>
    <rPh sb="0" eb="2">
      <t>ヤマサキ</t>
    </rPh>
    <rPh sb="2" eb="3">
      <t>ヤス</t>
    </rPh>
    <phoneticPr fontId="1"/>
  </si>
  <si>
    <t>神里</t>
    <rPh sb="0" eb="1">
      <t>カミ</t>
    </rPh>
    <rPh sb="1" eb="2">
      <t>リ</t>
    </rPh>
    <phoneticPr fontId="1"/>
  </si>
  <si>
    <t>戸柱</t>
    <rPh sb="0" eb="1">
      <t>ト</t>
    </rPh>
    <rPh sb="1" eb="2">
      <t>ハシラ</t>
    </rPh>
    <phoneticPr fontId="1"/>
  </si>
  <si>
    <t>三嶋</t>
    <rPh sb="0" eb="1">
      <t>サン</t>
    </rPh>
    <rPh sb="1" eb="2">
      <t>シマ</t>
    </rPh>
    <phoneticPr fontId="1"/>
  </si>
  <si>
    <t>関根</t>
    <rPh sb="0" eb="1">
      <t>カン</t>
    </rPh>
    <rPh sb="1" eb="2">
      <t>ネ</t>
    </rPh>
    <phoneticPr fontId="1"/>
  </si>
  <si>
    <t>柳</t>
    <rPh sb="0" eb="1">
      <t>ヤナギ</t>
    </rPh>
    <phoneticPr fontId="1"/>
  </si>
  <si>
    <t>木下拓</t>
    <rPh sb="0" eb="2">
      <t>キノシタ</t>
    </rPh>
    <rPh sb="2" eb="3">
      <t>タク</t>
    </rPh>
    <phoneticPr fontId="1"/>
  </si>
  <si>
    <t>大島</t>
    <rPh sb="0" eb="1">
      <t>ダイ</t>
    </rPh>
    <rPh sb="1" eb="2">
      <t>シマ</t>
    </rPh>
    <phoneticPr fontId="1"/>
  </si>
  <si>
    <t>藤嶋</t>
    <rPh sb="0" eb="1">
      <t>フジ</t>
    </rPh>
    <rPh sb="1" eb="2">
      <t>シマ</t>
    </rPh>
    <phoneticPr fontId="1"/>
  </si>
  <si>
    <t>福</t>
    <rPh sb="0" eb="1">
      <t>フク</t>
    </rPh>
    <phoneticPr fontId="1"/>
  </si>
  <si>
    <t>田口</t>
    <rPh sb="0" eb="2">
      <t>タグチ</t>
    </rPh>
    <phoneticPr fontId="1"/>
  </si>
  <si>
    <t>横川</t>
    <rPh sb="0" eb="2">
      <t>ヨコガワ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</si>
  <si>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</si>
  <si>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</si>
  <si>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高梨</t>
    <rPh sb="0" eb="2">
      <t>タカナシ</t>
    </rPh>
    <phoneticPr fontId="1"/>
  </si>
  <si>
    <t>大貫</t>
    <rPh sb="0" eb="2">
      <t>オオヌキ</t>
    </rPh>
    <phoneticPr fontId="1"/>
  </si>
  <si>
    <t>益子</t>
    <rPh sb="0" eb="2">
      <t>マスコ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</si>
  <si>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</si>
  <si>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</si>
  <si>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</si>
  <si>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石橋</t>
    <rPh sb="0" eb="2">
      <t>イシバシ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</si>
  <si>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</si>
  <si>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</si>
  <si>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谷川原</t>
    <rPh sb="0" eb="3">
      <t>タニガワラ</t>
    </rPh>
    <phoneticPr fontId="1"/>
  </si>
  <si>
    <t>松本裕</t>
    <rPh sb="0" eb="2">
      <t>マツモト</t>
    </rPh>
    <rPh sb="2" eb="3">
      <t>ユウ</t>
    </rPh>
    <phoneticPr fontId="1"/>
  </si>
  <si>
    <t>呉</t>
    <rPh sb="0" eb="1">
      <t>クレ</t>
    </rPh>
    <phoneticPr fontId="1"/>
  </si>
  <si>
    <t>伊藤 裕季也</t>
  </si>
  <si>
    <t>上茶谷 大河</t>
  </si>
  <si>
    <t>大竹 耕太郎</t>
  </si>
  <si>
    <t>谷川原 健太</t>
  </si>
  <si>
    <t>今宮</t>
    <rPh sb="0" eb="2">
      <t>イマミヤ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</si>
  <si>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</si>
  <si>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</si>
  <si>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泉</t>
    <rPh sb="0" eb="1">
      <t>イズミ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</si>
  <si>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</si>
  <si>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</si>
  <si>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</si>
  <si>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ビエイラ</t>
  </si>
  <si>
    <t>髙橋</t>
    <rPh sb="0" eb="2">
      <t>タカハシ</t>
    </rPh>
    <phoneticPr fontId="1"/>
  </si>
  <si>
    <t>坂本 誠志郎</t>
  </si>
  <si>
    <t>板山 祐太郎</t>
  </si>
  <si>
    <t>奥川</t>
    <rPh sb="0" eb="2">
      <t>オクガワ</t>
    </rPh>
    <phoneticPr fontId="1"/>
  </si>
  <si>
    <t>大西</t>
    <rPh sb="0" eb="2">
      <t>オオニシ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</si>
  <si>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</si>
  <si>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</si>
  <si>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ビシエド</t>
  </si>
  <si>
    <t>鈴木翔</t>
    <rPh sb="0" eb="2">
      <t>スズキ</t>
    </rPh>
    <rPh sb="2" eb="3">
      <t>ショウ</t>
    </rPh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</si>
  <si>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</si>
  <si>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</si>
  <si>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</si>
  <si>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</si>
  <si>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</si>
  <si>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堀内</t>
    <rPh sb="0" eb="2">
      <t>ホリウチ</t>
    </rPh>
    <phoneticPr fontId="1"/>
  </si>
  <si>
    <t>紅林 弘太郎</t>
  </si>
  <si>
    <t>杉本 裕太郎</t>
  </si>
  <si>
    <t>西野</t>
    <rPh sb="0" eb="2">
      <t>ニシノ</t>
    </rPh>
    <phoneticPr fontId="1"/>
  </si>
  <si>
    <t>宗</t>
    <rPh sb="0" eb="1">
      <t>ムネ</t>
    </rPh>
    <phoneticPr fontId="1"/>
  </si>
  <si>
    <t>山﨑福</t>
    <rPh sb="0" eb="2">
      <t>ヤマサキ</t>
    </rPh>
    <rPh sb="2" eb="3">
      <t>フク</t>
    </rPh>
    <phoneticPr fontId="1"/>
  </si>
  <si>
    <t>山岡</t>
    <rPh sb="0" eb="2">
      <t>ヤマオカ</t>
    </rPh>
    <phoneticPr fontId="1"/>
  </si>
  <si>
    <t>紅林</t>
    <rPh sb="0" eb="2">
      <t>クレバヤシ</t>
    </rPh>
    <phoneticPr fontId="1"/>
  </si>
  <si>
    <t>田嶋</t>
    <rPh sb="0" eb="2">
      <t>タジマ</t>
    </rPh>
    <phoneticPr fontId="1"/>
  </si>
  <si>
    <t>頓宮</t>
    <rPh sb="0" eb="2">
      <t>トングウ</t>
    </rPh>
    <phoneticPr fontId="1"/>
  </si>
  <si>
    <t>杉本</t>
    <rPh sb="0" eb="2">
      <t>スギモト</t>
    </rPh>
    <phoneticPr fontId="1"/>
  </si>
  <si>
    <t>渡邉 勇太朗</t>
  </si>
  <si>
    <t>柘植</t>
    <rPh sb="0" eb="2">
      <t>ツゲ</t>
    </rPh>
    <phoneticPr fontId="1"/>
  </si>
  <si>
    <t>岸</t>
    <rPh sb="0" eb="1">
      <t>キシ</t>
    </rPh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</si>
  <si>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</si>
  <si>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</si>
  <si>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</si>
  <si>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</si>
  <si>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宮西</t>
    <rPh sb="0" eb="2">
      <t>ミヤニシ</t>
    </rPh>
    <phoneticPr fontId="1"/>
  </si>
  <si>
    <t>郡</t>
    <rPh sb="0" eb="1">
      <t>コオリ</t>
    </rPh>
    <phoneticPr fontId="1"/>
  </si>
  <si>
    <t>田宮</t>
    <rPh sb="0" eb="2">
      <t>タミヤ</t>
    </rPh>
    <phoneticPr fontId="1"/>
  </si>
  <si>
    <t>万波</t>
    <rPh sb="0" eb="2">
      <t>マンナミ</t>
    </rPh>
    <phoneticPr fontId="1"/>
  </si>
  <si>
    <t>小深田 大翔</t>
  </si>
  <si>
    <t>茂木 栄五郎</t>
  </si>
  <si>
    <t>浅村</t>
    <rPh sb="0" eb="2">
      <t>アサムラ</t>
    </rPh>
    <phoneticPr fontId="1"/>
  </si>
  <si>
    <t>辰己</t>
    <rPh sb="0" eb="2">
      <t>タツミ</t>
    </rPh>
    <phoneticPr fontId="1"/>
  </si>
  <si>
    <t>則本</t>
    <rPh sb="0" eb="2">
      <t>ノリモト</t>
    </rPh>
    <phoneticPr fontId="1"/>
  </si>
  <si>
    <t>酒居</t>
    <rPh sb="0" eb="2">
      <t>サカイ</t>
    </rPh>
    <phoneticPr fontId="1"/>
  </si>
  <si>
    <t>宋</t>
    <rPh sb="0" eb="1">
      <t>ソン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</si>
  <si>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</si>
  <si>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</si>
  <si>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</si>
  <si>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</si>
  <si>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佐々木 千隼</t>
  </si>
  <si>
    <t>佐藤 都志也</t>
  </si>
  <si>
    <t>荻野貴</t>
    <rPh sb="0" eb="2">
      <t>オギノ</t>
    </rPh>
    <rPh sb="2" eb="3">
      <t>タカ</t>
    </rPh>
    <phoneticPr fontId="1"/>
  </si>
  <si>
    <t>角中</t>
    <rPh sb="0" eb="1">
      <t>カク</t>
    </rPh>
    <rPh sb="1" eb="2">
      <t>ナカ</t>
    </rPh>
    <phoneticPr fontId="1"/>
  </si>
  <si>
    <t>唐川</t>
    <rPh sb="0" eb="2">
      <t>カラカワ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</si>
  <si>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</si>
  <si>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</si>
  <si>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茶谷</t>
    <rPh sb="0" eb="2">
      <t>チャタニ</t>
    </rPh>
    <phoneticPr fontId="1"/>
  </si>
  <si>
    <t>伊勢</t>
    <rPh sb="0" eb="2">
      <t>イセ</t>
    </rPh>
    <phoneticPr fontId="1"/>
  </si>
  <si>
    <t>蝦名</t>
    <rPh sb="0" eb="2">
      <t>エビナ</t>
    </rPh>
    <phoneticPr fontId="1"/>
  </si>
  <si>
    <t>00</t>
  </si>
  <si>
    <t>戸郷</t>
    <rPh sb="0" eb="1">
      <t>ト</t>
    </rPh>
    <rPh sb="1" eb="2">
      <t>ゴウ</t>
    </rPh>
    <phoneticPr fontId="1"/>
  </si>
  <si>
    <t>平内</t>
    <rPh sb="0" eb="2">
      <t>ヘイナイ</t>
    </rPh>
    <phoneticPr fontId="1"/>
  </si>
  <si>
    <t>ウィーラー</t>
  </si>
  <si>
    <t>ウレーニャ</t>
  </si>
  <si>
    <t>並木</t>
    <rPh sb="0" eb="2">
      <t>ナミキ</t>
    </rPh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</si>
  <si>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</si>
  <si>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</si>
  <si>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</si>
  <si>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ソト</t>
  </si>
  <si>
    <t>ディアス</t>
  </si>
  <si>
    <t>佐野</t>
  </si>
  <si>
    <t>入江</t>
  </si>
  <si>
    <t>松本 隆之介</t>
  </si>
  <si>
    <t>小深田 大地</t>
  </si>
  <si>
    <t>牧原巧</t>
  </si>
  <si>
    <t>モイネロ</t>
  </si>
  <si>
    <t>尾形</t>
  </si>
  <si>
    <t>笹川</t>
  </si>
  <si>
    <t>川原田</t>
  </si>
  <si>
    <t>川原田 純平</t>
  </si>
  <si>
    <t>山村</t>
  </si>
  <si>
    <t>五十幡</t>
  </si>
  <si>
    <t>五十幡 亮汰</t>
  </si>
  <si>
    <t>今川</t>
    <rPh sb="0" eb="2">
      <t>イマガワ</t>
    </rPh>
    <phoneticPr fontId="1"/>
  </si>
  <si>
    <t>レアード</t>
  </si>
  <si>
    <t>中森</t>
  </si>
  <si>
    <t>和田 康士朗</t>
  </si>
  <si>
    <t>マーティン</t>
  </si>
  <si>
    <t>若月</t>
  </si>
  <si>
    <t>山下 舜平大</t>
  </si>
  <si>
    <t>平野佳</t>
  </si>
  <si>
    <t>元</t>
  </si>
  <si>
    <t>来田</t>
  </si>
  <si>
    <t>山﨑 颯一郎</t>
  </si>
  <si>
    <t>早川</t>
  </si>
  <si>
    <t>田中和</t>
    <rPh sb="0" eb="2">
      <t>タナカ</t>
    </rPh>
    <rPh sb="2" eb="3">
      <t>ワ</t>
    </rPh>
    <phoneticPr fontId="1"/>
  </si>
  <si>
    <t>武藤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</si>
  <si>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</si>
  <si>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</si>
  <si>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</si>
  <si>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</si>
  <si>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</si>
  <si>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</si>
  <si>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</si>
  <si>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</si>
  <si>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</si>
  <si>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</si>
  <si>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</si>
  <si>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</si>
  <si>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</si>
  <si>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</si>
  <si>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</si>
  <si>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</si>
  <si>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</si>
  <si>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</si>
  <si>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</si>
  <si>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</si>
  <si>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</si>
  <si>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</si>
  <si>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</si>
  <si>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</si>
  <si>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</si>
  <si>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</si>
  <si>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</si>
  <si>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</si>
  <si>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</si>
  <si>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</si>
  <si>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</si>
  <si>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</si>
  <si>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</si>
  <si>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</si>
  <si>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</si>
  <si>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t>大瀬良 大地</t>
  </si>
  <si>
    <t>島内 颯太郎</t>
  </si>
  <si>
    <t>アドゥワ 誠</t>
  </si>
  <si>
    <t>マクガフ</t>
  </si>
  <si>
    <t>齋藤 友貴哉</t>
  </si>
  <si>
    <t>打　率</t>
  </si>
  <si>
    <t>試　合</t>
  </si>
  <si>
    <t>打　席</t>
  </si>
  <si>
    <t>打　数</t>
  </si>
  <si>
    <t>安　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</si>
  <si>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</si>
  <si>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</si>
  <si>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</si>
  <si>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</si>
  <si>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</si>
  <si>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</si>
  <si>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</si>
  <si>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</si>
  <si>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</si>
  <si>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長打率</t>
  </si>
  <si>
    <t>ＯＰＳ</t>
  </si>
  <si>
    <t>得点圏</t>
  </si>
  <si>
    <t>失　策</t>
  </si>
  <si>
    <t>鈴木 誠也</t>
  </si>
  <si>
    <t>堂林 翔太</t>
  </si>
  <si>
    <t>中村 奨成</t>
  </si>
  <si>
    <t>會澤 翼</t>
  </si>
  <si>
    <t>坂倉 将吾</t>
  </si>
  <si>
    <t>菊池 涼介</t>
  </si>
  <si>
    <t>野間 峻祥</t>
  </si>
  <si>
    <t>林 晃汰</t>
  </si>
  <si>
    <t>小園 海斗</t>
  </si>
  <si>
    <t>大盛 穂</t>
  </si>
  <si>
    <t>矢野 雅哉</t>
  </si>
  <si>
    <t>石原 貴規</t>
  </si>
  <si>
    <t>二俣 翔一</t>
  </si>
  <si>
    <t>持丸 泰輝</t>
  </si>
  <si>
    <t>九里 亜蓮</t>
  </si>
  <si>
    <t>大道 温貴</t>
  </si>
  <si>
    <t>森浦 大輔</t>
  </si>
  <si>
    <t>森下 暢仁</t>
  </si>
  <si>
    <t>栗林 良吏</t>
  </si>
  <si>
    <t>床田 寛樹</t>
  </si>
  <si>
    <t>ケムナ 誠</t>
  </si>
  <si>
    <t>高橋 昂也</t>
  </si>
  <si>
    <t>塹江 敦哉</t>
  </si>
  <si>
    <t>矢崎 拓也</t>
  </si>
  <si>
    <t>玉村 昇悟</t>
  </si>
  <si>
    <t>遠藤 淳志</t>
  </si>
  <si>
    <t>佐々木 健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</si>
  <si>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</si>
  <si>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</si>
  <si>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</si>
  <si>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</si>
  <si>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</si>
  <si>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</si>
  <si>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</si>
  <si>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</si>
  <si>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上原 健太</t>
  </si>
  <si>
    <t>野村 佑希</t>
  </si>
  <si>
    <t>宮西 尚生</t>
  </si>
  <si>
    <t>淺間 大基</t>
  </si>
  <si>
    <t>河野 竜生</t>
  </si>
  <si>
    <t>堀 瑞輝</t>
  </si>
  <si>
    <t>石井 一成</t>
  </si>
  <si>
    <t>福田 俊</t>
  </si>
  <si>
    <t>田中 瑛斗</t>
  </si>
  <si>
    <t>鈴木 健矢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</si>
  <si>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</si>
  <si>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</si>
  <si>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</si>
  <si>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</si>
  <si>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</si>
  <si>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</si>
  <si>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</si>
  <si>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</si>
  <si>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万波 中正</t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</si>
  <si>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</si>
  <si>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</si>
  <si>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</si>
  <si>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</si>
  <si>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</si>
  <si>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</si>
  <si>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</si>
  <si>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</si>
  <si>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</si>
  <si>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</si>
  <si>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</si>
  <si>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</si>
  <si>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</si>
  <si>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田中 将大</t>
  </si>
  <si>
    <t>早川 隆久</t>
  </si>
  <si>
    <t>黒川 史陽</t>
  </si>
  <si>
    <t>田中 和基</t>
  </si>
  <si>
    <t>酒居 知史</t>
  </si>
  <si>
    <t>島内 宏明</t>
  </si>
  <si>
    <t>宋 家豪</t>
  </si>
  <si>
    <t>藤井 聖</t>
  </si>
  <si>
    <t>武藤 敦貴</t>
  </si>
  <si>
    <t>小郷 裕哉</t>
  </si>
  <si>
    <t>鈴木 翔天</t>
  </si>
  <si>
    <t>瀧中 瞭太</t>
  </si>
  <si>
    <t>辛島 航</t>
  </si>
  <si>
    <t>西口 直人</t>
  </si>
  <si>
    <t>入江 大樹</t>
  </si>
  <si>
    <t>堀内 謙伍</t>
  </si>
  <si>
    <t>村林 一輝</t>
  </si>
  <si>
    <t>内 星龍</t>
  </si>
  <si>
    <t>石原 彪</t>
  </si>
  <si>
    <t>水上 桂</t>
  </si>
  <si>
    <t>若月 健矢</t>
  </si>
  <si>
    <t>西野 真弘</t>
  </si>
  <si>
    <t>宗 佑磨</t>
  </si>
  <si>
    <t>宮城 大弥</t>
  </si>
  <si>
    <t>平野 佳寿</t>
  </si>
  <si>
    <t>山本 由伸</t>
  </si>
  <si>
    <t>山岡 泰輔</t>
  </si>
  <si>
    <t>伏見 寅威</t>
  </si>
  <si>
    <t>元 謙太</t>
  </si>
  <si>
    <t>富山 凌雅</t>
  </si>
  <si>
    <t>田嶋 大樹</t>
  </si>
  <si>
    <t>太田 椋</t>
  </si>
  <si>
    <t>中川 颯</t>
  </si>
  <si>
    <t>来田 涼斗</t>
  </si>
  <si>
    <t>前 佑囲斗</t>
  </si>
  <si>
    <t>頓宮 裕真</t>
  </si>
  <si>
    <t>阿部 翔太</t>
  </si>
  <si>
    <t>本田 仁海</t>
  </si>
  <si>
    <t>齋藤 綱記</t>
  </si>
  <si>
    <t>澤田 圭佑</t>
  </si>
  <si>
    <t>宜保 翔</t>
  </si>
  <si>
    <t>山田 修義</t>
  </si>
  <si>
    <t>中川 圭太</t>
  </si>
  <si>
    <t>佐藤 一磨</t>
  </si>
  <si>
    <t>荻野 貴司</t>
  </si>
  <si>
    <t>角中 勝也</t>
  </si>
  <si>
    <t>藤岡 裕大</t>
  </si>
  <si>
    <t>安田 尚憲</t>
  </si>
  <si>
    <t>中村 奨吾</t>
  </si>
  <si>
    <t>平沢 大河</t>
  </si>
  <si>
    <t>種市 篤暉</t>
  </si>
  <si>
    <t>唐川 侑己</t>
  </si>
  <si>
    <t>田村 龍弘</t>
  </si>
  <si>
    <t>東妻 勇輔</t>
  </si>
  <si>
    <t>岡 大海</t>
  </si>
  <si>
    <t>西野 勇士</t>
  </si>
  <si>
    <t>鈴木 昭汰</t>
  </si>
  <si>
    <t>小野 郁</t>
  </si>
  <si>
    <t>中村 稔弥</t>
  </si>
  <si>
    <t>山口 航輝</t>
  </si>
  <si>
    <t>益田 直也</t>
  </si>
  <si>
    <t>中森 俊介</t>
  </si>
  <si>
    <t>小川 龍成</t>
  </si>
  <si>
    <t>河村 説人</t>
  </si>
  <si>
    <t>横山 陸人</t>
  </si>
  <si>
    <t>茶谷 健太</t>
  </si>
  <si>
    <t>西巻 賢二</t>
  </si>
  <si>
    <t>柿沼 友哉</t>
  </si>
  <si>
    <t>植田 将太</t>
  </si>
  <si>
    <t>栗山 巧</t>
  </si>
  <si>
    <t>山川 穂高</t>
  </si>
  <si>
    <t>山野辺 翔</t>
  </si>
  <si>
    <t>外崎 修汰</t>
  </si>
  <si>
    <t>源田 壮亮</t>
  </si>
  <si>
    <t>森 友哉</t>
  </si>
  <si>
    <t>今井 達也</t>
  </si>
  <si>
    <t>髙橋 光成</t>
  </si>
  <si>
    <t>松本 航</t>
  </si>
  <si>
    <t>浜屋 将太</t>
  </si>
  <si>
    <t>森脇 亮介</t>
  </si>
  <si>
    <t>山村 崇嘉</t>
  </si>
  <si>
    <t>若林 楽人</t>
  </si>
  <si>
    <t>柘植 世那</t>
  </si>
  <si>
    <t>牧野 翔矢</t>
  </si>
  <si>
    <t>呉 念庭</t>
  </si>
  <si>
    <t>與座 海人</t>
  </si>
  <si>
    <t>西川 愛也</t>
  </si>
  <si>
    <t>中村 剛也</t>
  </si>
  <si>
    <t>平良 海馬</t>
  </si>
  <si>
    <t>岸 潤一郎</t>
  </si>
  <si>
    <t>川越 誠司</t>
  </si>
  <si>
    <t>川瀬 晃</t>
  </si>
  <si>
    <t>松田 宣浩</t>
  </si>
  <si>
    <t>今宮 健太</t>
  </si>
  <si>
    <t>中村 晃</t>
  </si>
  <si>
    <t>柳田 悠岐</t>
  </si>
  <si>
    <t>津森 宥紀</t>
  </si>
  <si>
    <t>東浜 巨</t>
  </si>
  <si>
    <t>甲斐 拓也</t>
  </si>
  <si>
    <t>甲斐野 央</t>
  </si>
  <si>
    <t>牧原 巧汰</t>
  </si>
  <si>
    <t>周東 佑京</t>
  </si>
  <si>
    <t>石川 柊太</t>
  </si>
  <si>
    <t>佐藤 直樹</t>
  </si>
  <si>
    <t>柳町 達</t>
  </si>
  <si>
    <t>牧原 大成</t>
  </si>
  <si>
    <t>尾形 崇斗</t>
  </si>
  <si>
    <t>杉山 一樹</t>
  </si>
  <si>
    <t>井上 朋也</t>
  </si>
  <si>
    <t>笹川 吉康</t>
  </si>
  <si>
    <t>板東 湧梧</t>
  </si>
  <si>
    <t>上林 誠知</t>
  </si>
  <si>
    <t>泉 圭輔</t>
  </si>
  <si>
    <t>野村 大樹</t>
  </si>
  <si>
    <t>海野 隆司</t>
  </si>
  <si>
    <t>九鬼 隆平</t>
  </si>
  <si>
    <t>松本 裕樹</t>
  </si>
  <si>
    <t>三森 大貴</t>
  </si>
  <si>
    <t>田上 奏大</t>
  </si>
  <si>
    <t>髙松 渡</t>
  </si>
  <si>
    <t>京田 陽太</t>
  </si>
  <si>
    <t>石川 昂弥</t>
  </si>
  <si>
    <t>高橋 周平</t>
  </si>
  <si>
    <t>阿部 寿樹</t>
  </si>
  <si>
    <t>根尾 昂</t>
  </si>
  <si>
    <t>大島 洋平</t>
  </si>
  <si>
    <t>橋本 侑樹</t>
  </si>
  <si>
    <t>柳 裕也</t>
  </si>
  <si>
    <t>梅津 晃大</t>
  </si>
  <si>
    <t>福谷 浩司</t>
  </si>
  <si>
    <t>森 博人</t>
  </si>
  <si>
    <t>福 敬登</t>
  </si>
  <si>
    <t>木下 拓哉</t>
  </si>
  <si>
    <t>松葉 貴大</t>
  </si>
  <si>
    <t>勝野 昌慶</t>
  </si>
  <si>
    <t>郡司 裕也</t>
  </si>
  <si>
    <t>清水 達也</t>
  </si>
  <si>
    <t>藤嶋 健人</t>
  </si>
  <si>
    <t>石橋 康太</t>
  </si>
  <si>
    <t>山本 拓実</t>
  </si>
  <si>
    <t>岡林 勇希</t>
  </si>
  <si>
    <t>山本 泰寛</t>
  </si>
  <si>
    <t>木浪 聖也</t>
  </si>
  <si>
    <t>大山 悠輔</t>
  </si>
  <si>
    <t>熊谷 敬宥</t>
  </si>
  <si>
    <t>近本 光司</t>
  </si>
  <si>
    <t>佐藤 輝明</t>
  </si>
  <si>
    <t>岩崎 優</t>
  </si>
  <si>
    <t>西 純矢</t>
  </si>
  <si>
    <t>西 勇輝</t>
  </si>
  <si>
    <t>岩貞 祐太</t>
  </si>
  <si>
    <t>馬場 皐輔</t>
  </si>
  <si>
    <t>伊藤 将司</t>
  </si>
  <si>
    <t>髙橋 遥人</t>
  </si>
  <si>
    <t>井上 広大</t>
  </si>
  <si>
    <t>糸原 健斗</t>
  </si>
  <si>
    <t>浜地 真澄</t>
  </si>
  <si>
    <t>及川 雅貴</t>
  </si>
  <si>
    <t>小幡 竜平</t>
  </si>
  <si>
    <t>榮枝 裕貴</t>
  </si>
  <si>
    <t>村上 頌樹</t>
  </si>
  <si>
    <t>遠藤 成</t>
  </si>
  <si>
    <t>青柳 晃洋</t>
  </si>
  <si>
    <t>中野 拓夢</t>
  </si>
  <si>
    <t>島田 海吏</t>
  </si>
  <si>
    <t>加治屋 蓮</t>
  </si>
  <si>
    <t>長坂 拳弥</t>
  </si>
  <si>
    <t>藤田 健斗</t>
  </si>
  <si>
    <t>植田 海</t>
  </si>
  <si>
    <t>湯浅 京己</t>
  </si>
  <si>
    <t>小川 一平</t>
  </si>
  <si>
    <t>髙寺 望夢</t>
  </si>
  <si>
    <t>石井 大智</t>
  </si>
  <si>
    <t>島本 浩也</t>
  </si>
  <si>
    <t>才木 浩人</t>
  </si>
  <si>
    <t>岩田 将貴</t>
  </si>
  <si>
    <t>小野寺 暖</t>
  </si>
  <si>
    <t>桑原 将志</t>
  </si>
  <si>
    <t>牧 秀悟</t>
  </si>
  <si>
    <t>森 敬斗</t>
  </si>
  <si>
    <t>佐野 恵太</t>
  </si>
  <si>
    <t>神里 和毅</t>
  </si>
  <si>
    <t>戸柱 恭孝</t>
  </si>
  <si>
    <t>東 克樹</t>
  </si>
  <si>
    <t>伊勢 大夢</t>
  </si>
  <si>
    <t>石田 健大</t>
  </si>
  <si>
    <t>大貫 晋一</t>
  </si>
  <si>
    <t>三嶋 一輝</t>
  </si>
  <si>
    <t>山﨑 康晃</t>
  </si>
  <si>
    <t>坂本 裕哉</t>
  </si>
  <si>
    <t>入江 大生</t>
  </si>
  <si>
    <t>伊藤 光</t>
  </si>
  <si>
    <t>柴田 竜拓</t>
  </si>
  <si>
    <t>益子 京右</t>
  </si>
  <si>
    <t>嶺井 博希</t>
  </si>
  <si>
    <t>山本 祐大</t>
  </si>
  <si>
    <t>宮﨑 敏郎</t>
  </si>
  <si>
    <t>細川 成也</t>
  </si>
  <si>
    <t>東妻 純平</t>
  </si>
  <si>
    <t>知野 直人</t>
  </si>
  <si>
    <t>蝦名 達夫</t>
  </si>
  <si>
    <t>関根 大気</t>
  </si>
  <si>
    <t>中村剛</t>
    <rPh sb="0" eb="1">
      <t>ナカ</t>
    </rPh>
    <rPh sb="1" eb="2">
      <t>ムラ</t>
    </rPh>
    <rPh sb="2" eb="3">
      <t>ゴウ</t>
    </rPh>
    <phoneticPr fontId="1"/>
  </si>
  <si>
    <t>加藤 匠馬</t>
  </si>
  <si>
    <t>岩崎</t>
  </si>
  <si>
    <t>桐敷</t>
  </si>
  <si>
    <t>前川</t>
  </si>
  <si>
    <t>豊田</t>
  </si>
  <si>
    <t>岡留</t>
  </si>
  <si>
    <t>桐敷 拓馬</t>
  </si>
  <si>
    <t>前川 右京</t>
  </si>
  <si>
    <t>豊田 寛</t>
  </si>
  <si>
    <t>岡留 英貴</t>
  </si>
  <si>
    <t>中川 勇斗</t>
  </si>
  <si>
    <t>伊藤 稜</t>
  </si>
  <si>
    <t>黒原</t>
  </si>
  <si>
    <t>ケムナ</t>
  </si>
  <si>
    <t>アドゥワ</t>
  </si>
  <si>
    <t>末包</t>
  </si>
  <si>
    <t>髙木</t>
  </si>
  <si>
    <t>コルニエル</t>
  </si>
  <si>
    <t>二俣</t>
  </si>
  <si>
    <t>持丸</t>
  </si>
  <si>
    <t>森 翔平</t>
  </si>
  <si>
    <t>黒原 拓未</t>
  </si>
  <si>
    <t>松本 竜也</t>
  </si>
  <si>
    <t>末包 昇大</t>
  </si>
  <si>
    <t>田村 俊介</t>
  </si>
  <si>
    <t>髙木 翔斗</t>
  </si>
  <si>
    <t>前川 誠太</t>
  </si>
  <si>
    <t>017</t>
  </si>
  <si>
    <t>ティマ</t>
  </si>
  <si>
    <t>喜多</t>
    <rPh sb="0" eb="2">
      <t>キタ</t>
    </rPh>
    <phoneticPr fontId="1"/>
  </si>
  <si>
    <t>山田 哲人</t>
    <phoneticPr fontId="1"/>
  </si>
  <si>
    <t>清水 昇</t>
    <phoneticPr fontId="1"/>
  </si>
  <si>
    <t>中村 悠平</t>
    <phoneticPr fontId="1"/>
  </si>
  <si>
    <t>村上 宗隆</t>
    <phoneticPr fontId="1"/>
  </si>
  <si>
    <t>丸山和</t>
    <rPh sb="0" eb="2">
      <t>マルヤマ</t>
    </rPh>
    <rPh sb="2" eb="3">
      <t>ワ</t>
    </rPh>
    <phoneticPr fontId="1"/>
  </si>
  <si>
    <t>丸山翔</t>
    <rPh sb="0" eb="2">
      <t>マルヤマ</t>
    </rPh>
    <rPh sb="2" eb="3">
      <t>ショウ</t>
    </rPh>
    <phoneticPr fontId="1"/>
  </si>
  <si>
    <t>松井</t>
    <rPh sb="0" eb="2">
      <t>マツイ</t>
    </rPh>
    <phoneticPr fontId="1"/>
  </si>
  <si>
    <t>深沢</t>
    <rPh sb="0" eb="2">
      <t>フカザワ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</si>
  <si>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</si>
  <si>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</si>
  <si>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味谷</t>
    <rPh sb="0" eb="1">
      <t>アジ</t>
    </rPh>
    <rPh sb="1" eb="2">
      <t>タニ</t>
    </rPh>
    <phoneticPr fontId="1"/>
  </si>
  <si>
    <t>又吉 克樹</t>
    <phoneticPr fontId="1"/>
  </si>
  <si>
    <t>栗原 陵矢</t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</si>
  <si>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</si>
  <si>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</si>
  <si>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髙橋光成</t>
  </si>
  <si>
    <t>羽田</t>
    <rPh sb="0" eb="2">
      <t>ハネダ</t>
    </rPh>
    <phoneticPr fontId="1"/>
  </si>
  <si>
    <t>黒田</t>
    <rPh sb="0" eb="2">
      <t>クロダ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</si>
  <si>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</si>
  <si>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</si>
  <si>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石田 駿</t>
    <phoneticPr fontId="1"/>
  </si>
  <si>
    <t>田中貴</t>
    <rPh sb="0" eb="2">
      <t>タナカ</t>
    </rPh>
    <rPh sb="2" eb="3">
      <t>タカ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</si>
  <si>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</si>
  <si>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</si>
  <si>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</si>
  <si>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吉田正</t>
    <rPh sb="0" eb="2">
      <t>ヨシダ</t>
    </rPh>
    <rPh sb="2" eb="3">
      <t>タダシ</t>
    </rPh>
    <phoneticPr fontId="1"/>
  </si>
  <si>
    <t>渡部</t>
    <rPh sb="0" eb="2">
      <t>ワタベ</t>
    </rPh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</si>
  <si>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</si>
  <si>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</si>
  <si>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</si>
  <si>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</si>
  <si>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</si>
  <si>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</si>
  <si>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</si>
  <si>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</si>
  <si>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</si>
  <si>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チーム名</t>
    <rPh sb="3" eb="4">
      <t>メイ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</si>
  <si>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</si>
  <si>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</si>
  <si>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</si>
  <si>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</si>
  <si>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</si>
  <si>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</si>
  <si>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</si>
  <si>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</si>
  <si>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</si>
  <si>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</si>
  <si>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</si>
  <si>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</si>
  <si>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</si>
  <si>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</si>
  <si>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</si>
  <si>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</si>
  <si>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</si>
  <si>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</si>
  <si>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</si>
  <si>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</si>
  <si>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</si>
  <si>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イニング</t>
    <phoneticPr fontId="1"/>
  </si>
  <si>
    <t>成績加算</t>
    <rPh sb="0" eb="4">
      <t>セイセキカサン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</si>
  <si>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</si>
  <si>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</si>
  <si>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</si>
  <si>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</si>
  <si>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</si>
  <si>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</si>
  <si>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</si>
  <si>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</si>
  <si>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</si>
  <si>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</si>
  <si>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</si>
  <si>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</si>
  <si>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</si>
  <si>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</si>
  <si>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</si>
  <si>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</si>
  <si>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</si>
  <si>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</si>
  <si>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</si>
  <si>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</si>
  <si>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</si>
  <si>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</si>
  <si>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</si>
  <si>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</si>
  <si>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</si>
  <si>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</si>
  <si>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</si>
  <si>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</si>
  <si>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</si>
  <si>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t>益田</t>
  </si>
  <si>
    <t>長谷部</t>
  </si>
  <si>
    <t>久保</t>
  </si>
  <si>
    <t>内田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</si>
  <si>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</si>
  <si>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</si>
  <si>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</si>
  <si>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</si>
  <si>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</si>
  <si>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</si>
  <si>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</si>
  <si>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</si>
  <si>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久保 修</t>
  </si>
  <si>
    <t>清水 叶人</t>
  </si>
  <si>
    <t>中村 貴浩</t>
  </si>
  <si>
    <t>名原 典彦</t>
  </si>
  <si>
    <t>辻 大雅</t>
  </si>
  <si>
    <t>マルティネス</t>
  </si>
  <si>
    <t>上川畑</t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</si>
  <si>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</si>
  <si>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</si>
  <si>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</si>
  <si>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</si>
  <si>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</si>
  <si>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</si>
  <si>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有薗</t>
  </si>
  <si>
    <t>水野</t>
  </si>
  <si>
    <t>畔柳</t>
  </si>
  <si>
    <t>松浦</t>
  </si>
  <si>
    <t>北山</t>
  </si>
  <si>
    <t>奈良間</t>
  </si>
  <si>
    <t>山本拓</t>
    <rPh sb="0" eb="2">
      <t>ヤマモト</t>
    </rPh>
    <rPh sb="2" eb="3">
      <t>タク</t>
    </rPh>
    <phoneticPr fontId="1"/>
  </si>
  <si>
    <t>田中瑛</t>
  </si>
  <si>
    <t>上川畑 大悟</t>
  </si>
  <si>
    <t>矢澤 宏太</t>
  </si>
  <si>
    <t>達 孝太</t>
  </si>
  <si>
    <t>杉浦 稔大</t>
  </si>
  <si>
    <t>金村 尚真</t>
  </si>
  <si>
    <t>有薗 直輝</t>
  </si>
  <si>
    <t>水野 達稀</t>
  </si>
  <si>
    <t>阪口 樂</t>
  </si>
  <si>
    <t>畔柳 亨丞</t>
  </si>
  <si>
    <t>松浦 慶斗</t>
  </si>
  <si>
    <t>北山 亘基</t>
  </si>
  <si>
    <t>奈良間 大己</t>
  </si>
  <si>
    <t>松本 遼大</t>
  </si>
  <si>
    <t>福島 蓮</t>
  </si>
  <si>
    <t>柳川 大晟</t>
  </si>
  <si>
    <t>藤田 大清</t>
  </si>
  <si>
    <t>山口 アタル</t>
  </si>
  <si>
    <t>犠打</t>
    <rPh sb="0" eb="2">
      <t>ギダ</t>
    </rPh>
    <phoneticPr fontId="1"/>
  </si>
  <si>
    <t>犠飛</t>
    <rPh sb="0" eb="2">
      <t>ギヒ</t>
    </rPh>
    <phoneticPr fontId="1"/>
  </si>
  <si>
    <t>三振</t>
    <rPh sb="0" eb="2">
      <t>サンシン</t>
    </rPh>
    <phoneticPr fontId="1"/>
  </si>
  <si>
    <t>盗塁</t>
    <rPh sb="0" eb="2">
      <t>トウルイ</t>
    </rPh>
    <phoneticPr fontId="1"/>
  </si>
  <si>
    <t>盗塁死</t>
    <rPh sb="0" eb="3">
      <t>トウルイシ</t>
    </rPh>
    <phoneticPr fontId="1"/>
  </si>
  <si>
    <t>併殺打</t>
    <rPh sb="0" eb="3">
      <t>ヘイサツダ</t>
    </rPh>
    <phoneticPr fontId="1"/>
  </si>
  <si>
    <t>RC27</t>
    <phoneticPr fontId="1"/>
  </si>
  <si>
    <t>塁打</t>
    <rPh sb="0" eb="2">
      <t>ルイダ</t>
    </rPh>
    <phoneticPr fontId="1"/>
  </si>
  <si>
    <t>堂林</t>
  </si>
  <si>
    <t>九里</t>
  </si>
  <si>
    <t>大道</t>
  </si>
  <si>
    <t>森浦</t>
  </si>
  <si>
    <t>大瀬良</t>
  </si>
  <si>
    <t>常廣</t>
  </si>
  <si>
    <t>栗林</t>
  </si>
  <si>
    <t>中﨑</t>
  </si>
  <si>
    <t>髙</t>
  </si>
  <si>
    <t>會澤</t>
  </si>
  <si>
    <t>床田</t>
  </si>
  <si>
    <t>滝田</t>
  </si>
  <si>
    <t>坂倉</t>
  </si>
  <si>
    <t>菊池</t>
  </si>
  <si>
    <t>高橋昂</t>
  </si>
  <si>
    <t>塹江</t>
  </si>
  <si>
    <t>野間</t>
  </si>
  <si>
    <t>島内</t>
  </si>
  <si>
    <t>小園</t>
  </si>
  <si>
    <t>大盛</t>
  </si>
  <si>
    <t>矢野</t>
  </si>
  <si>
    <t>遠藤</t>
  </si>
  <si>
    <t>ハーン</t>
  </si>
  <si>
    <t>中村奨</t>
  </si>
  <si>
    <t>杉田</t>
  </si>
  <si>
    <t>杉原</t>
  </si>
  <si>
    <t>常廣 羽也斗</t>
  </si>
  <si>
    <t>中﨑 翔太</t>
  </si>
  <si>
    <t>髙 太一</t>
  </si>
  <si>
    <t>滝田 一希</t>
  </si>
  <si>
    <t>仲田 侑仁</t>
  </si>
  <si>
    <t>内田 湘大</t>
  </si>
  <si>
    <t>テイラー・ハーン</t>
  </si>
  <si>
    <t>杉田 健</t>
  </si>
  <si>
    <t>佐藤 啓介</t>
  </si>
  <si>
    <t>杉原 望来</t>
  </si>
  <si>
    <t>背番号</t>
    <rPh sb="0" eb="3">
      <t>セバンゴウ</t>
    </rPh>
    <phoneticPr fontId="1"/>
  </si>
  <si>
    <t>選手名</t>
    <rPh sb="0" eb="3">
      <t>センシュメイ</t>
    </rPh>
    <phoneticPr fontId="1"/>
  </si>
  <si>
    <t>本塁打</t>
    <rPh sb="0" eb="3">
      <t>ホンルイダ</t>
    </rPh>
    <phoneticPr fontId="1"/>
  </si>
  <si>
    <t>湯浅 大</t>
  </si>
  <si>
    <t>増田 大輝</t>
  </si>
  <si>
    <t>吉川 尚輝</t>
  </si>
  <si>
    <t>坂本 勇人</t>
  </si>
  <si>
    <t>丸 佳浩</t>
  </si>
  <si>
    <t>平内 龍太</t>
  </si>
  <si>
    <t>萩尾</t>
  </si>
  <si>
    <t>萩尾 匡也</t>
  </si>
  <si>
    <t>大勢</t>
  </si>
  <si>
    <t>菅野 智之</t>
  </si>
  <si>
    <t>戸郷 翔征</t>
  </si>
  <si>
    <t>小林 誠司</t>
  </si>
  <si>
    <t>大城 卓三</t>
  </si>
  <si>
    <t>岡本</t>
    <rPh sb="0" eb="1">
      <t>オカ</t>
    </rPh>
    <rPh sb="1" eb="2">
      <t>モト</t>
    </rPh>
    <phoneticPr fontId="1"/>
  </si>
  <si>
    <t>岡本 和真</t>
  </si>
  <si>
    <t>岸田</t>
  </si>
  <si>
    <t>岸田 行倫</t>
  </si>
  <si>
    <t>赤星</t>
  </si>
  <si>
    <t>赤星 優志</t>
  </si>
  <si>
    <t>岡田 悠希</t>
  </si>
  <si>
    <t>中山 礼都</t>
  </si>
  <si>
    <t>中川 皓太</t>
  </si>
  <si>
    <t>又木</t>
    <rPh sb="0" eb="2">
      <t>マタギ</t>
    </rPh>
    <phoneticPr fontId="1"/>
  </si>
  <si>
    <t>森田</t>
    <rPh sb="0" eb="2">
      <t>モリタ</t>
    </rPh>
    <phoneticPr fontId="1"/>
  </si>
  <si>
    <t>田中千</t>
  </si>
  <si>
    <t>田中 千晴</t>
  </si>
  <si>
    <t>浅野</t>
  </si>
  <si>
    <t>浅野 翔吾</t>
  </si>
  <si>
    <t>高梨 雄平</t>
  </si>
  <si>
    <t>秋広</t>
  </si>
  <si>
    <t>秋広 優人</t>
  </si>
  <si>
    <t>石田</t>
  </si>
  <si>
    <t>石田 隼都</t>
  </si>
  <si>
    <t>髙橋 優貴</t>
  </si>
  <si>
    <t>船迫</t>
  </si>
  <si>
    <t>船迫 大雅</t>
  </si>
  <si>
    <t>増田 陸</t>
  </si>
  <si>
    <t>横川 凱</t>
  </si>
  <si>
    <t>山瀬</t>
    <rPh sb="0" eb="2">
      <t>ヤマセ</t>
    </rPh>
    <phoneticPr fontId="1"/>
  </si>
  <si>
    <t>山瀬 慎之助</t>
  </si>
  <si>
    <t>代木</t>
  </si>
  <si>
    <t>代木 大和</t>
  </si>
  <si>
    <t>堀田</t>
  </si>
  <si>
    <t>堀田 賢慎</t>
  </si>
  <si>
    <t>沼田 翔平</t>
  </si>
  <si>
    <t>喜多 隆介</t>
  </si>
  <si>
    <t>菊地 大稀</t>
  </si>
  <si>
    <t>井上 温大</t>
  </si>
  <si>
    <t>ロペス</t>
  </si>
  <si>
    <t>ルシアーノ</t>
  </si>
  <si>
    <t>ラモス</t>
  </si>
  <si>
    <t>塩見</t>
    <rPh sb="0" eb="1">
      <t>シオ</t>
    </rPh>
    <rPh sb="1" eb="2">
      <t>ミ</t>
    </rPh>
    <phoneticPr fontId="1"/>
  </si>
  <si>
    <t>宮本</t>
    <rPh sb="0" eb="2">
      <t>ミヤモト</t>
    </rPh>
    <phoneticPr fontId="1"/>
  </si>
  <si>
    <t>オスナ</t>
  </si>
  <si>
    <t>清水</t>
    <rPh sb="0" eb="2">
      <t>シミズ</t>
    </rPh>
    <phoneticPr fontId="1"/>
  </si>
  <si>
    <t>サンタナ</t>
  </si>
  <si>
    <t>松本健</t>
    <rPh sb="0" eb="2">
      <t>マツモト</t>
    </rPh>
    <rPh sb="2" eb="3">
      <t>ケン</t>
    </rPh>
    <phoneticPr fontId="1"/>
  </si>
  <si>
    <t>石原</t>
    <rPh sb="0" eb="2">
      <t>イシハラ</t>
    </rPh>
    <phoneticPr fontId="1"/>
  </si>
  <si>
    <t>澤井</t>
    <rPh sb="0" eb="2">
      <t>サワイ</t>
    </rPh>
    <phoneticPr fontId="1"/>
  </si>
  <si>
    <t>小澤</t>
    <rPh sb="0" eb="2">
      <t>コザワ</t>
    </rPh>
    <phoneticPr fontId="1"/>
  </si>
  <si>
    <t>北村恵</t>
    <rPh sb="0" eb="2">
      <t>キタムラ</t>
    </rPh>
    <rPh sb="2" eb="3">
      <t>ケイ</t>
    </rPh>
    <phoneticPr fontId="1"/>
  </si>
  <si>
    <t>増田</t>
    <rPh sb="0" eb="2">
      <t>マスダ</t>
    </rPh>
    <phoneticPr fontId="1"/>
  </si>
  <si>
    <t>中村 祐太</t>
  </si>
  <si>
    <t>ケラー</t>
  </si>
  <si>
    <t>ロドリゲス</t>
  </si>
  <si>
    <t>ブライト</t>
  </si>
  <si>
    <t>ガルシア</t>
  </si>
  <si>
    <t>宮城</t>
  </si>
  <si>
    <t>001</t>
  </si>
  <si>
    <t>002</t>
  </si>
  <si>
    <t>003</t>
  </si>
  <si>
    <t>004</t>
  </si>
  <si>
    <t>005</t>
  </si>
  <si>
    <t>008</t>
  </si>
  <si>
    <t>011</t>
  </si>
  <si>
    <t>012</t>
  </si>
  <si>
    <t>013</t>
  </si>
  <si>
    <t>014</t>
  </si>
  <si>
    <t>020</t>
  </si>
  <si>
    <t>021</t>
  </si>
  <si>
    <t>022</t>
  </si>
  <si>
    <t>渡部 遼人</t>
  </si>
  <si>
    <t>吉田 正尚</t>
  </si>
  <si>
    <t>野口 智哉</t>
  </si>
  <si>
    <t>大城 滉二</t>
  </si>
  <si>
    <t>椋木 蓮</t>
  </si>
  <si>
    <t>福永 奨</t>
  </si>
  <si>
    <t>池田 陵真</t>
  </si>
  <si>
    <t>横山 楓</t>
  </si>
  <si>
    <t>小木田 敦也</t>
  </si>
  <si>
    <t>川瀬 堅斗</t>
  </si>
  <si>
    <t>宇田川 優希</t>
  </si>
  <si>
    <t>大里 昂生</t>
  </si>
  <si>
    <t>東 晃平</t>
  </si>
  <si>
    <t>007</t>
  </si>
  <si>
    <t>016</t>
  </si>
  <si>
    <t>スアレス</t>
  </si>
  <si>
    <t>進藤</t>
    <rPh sb="0" eb="2">
      <t>シントウ</t>
    </rPh>
    <phoneticPr fontId="1"/>
  </si>
  <si>
    <t>細野</t>
    <rPh sb="0" eb="2">
      <t>ホソノ</t>
    </rPh>
    <phoneticPr fontId="1"/>
  </si>
  <si>
    <t>明瀬</t>
    <rPh sb="0" eb="2">
      <t>ミョウセ</t>
    </rPh>
    <phoneticPr fontId="1"/>
  </si>
  <si>
    <t>宮崎</t>
    <rPh sb="0" eb="2">
      <t>ミヤザキ</t>
    </rPh>
    <phoneticPr fontId="1"/>
  </si>
  <si>
    <t>水谷</t>
    <rPh sb="0" eb="2">
      <t>ミズタニ</t>
    </rPh>
    <phoneticPr fontId="1"/>
  </si>
  <si>
    <t>玉村</t>
    <rPh sb="0" eb="2">
      <t>タマムラ</t>
    </rPh>
    <phoneticPr fontId="1"/>
  </si>
  <si>
    <t>日髙</t>
    <rPh sb="0" eb="2">
      <t>ヒダカ</t>
    </rPh>
    <phoneticPr fontId="1"/>
  </si>
  <si>
    <t>エスパーダ</t>
  </si>
  <si>
    <t>村上</t>
    <phoneticPr fontId="1"/>
  </si>
  <si>
    <t>鈴木</t>
    <phoneticPr fontId="1"/>
  </si>
  <si>
    <t>015</t>
  </si>
  <si>
    <t>019</t>
  </si>
  <si>
    <t>023</t>
  </si>
  <si>
    <t>024</t>
  </si>
  <si>
    <t>025</t>
  </si>
  <si>
    <t>026</t>
  </si>
  <si>
    <t>赤羽 由紘</t>
  </si>
  <si>
    <t>石田健</t>
    <rPh sb="2" eb="3">
      <t>ケン</t>
    </rPh>
    <phoneticPr fontId="1"/>
  </si>
  <si>
    <t>松本</t>
    <phoneticPr fontId="1"/>
  </si>
  <si>
    <t>佐々木</t>
    <phoneticPr fontId="1"/>
  </si>
  <si>
    <t>ジャクソン</t>
  </si>
  <si>
    <t>平良</t>
    <phoneticPr fontId="1"/>
  </si>
  <si>
    <t>マルセリーノ</t>
  </si>
  <si>
    <t>粟飯原</t>
    <phoneticPr fontId="1"/>
  </si>
  <si>
    <t>小深田</t>
    <phoneticPr fontId="1"/>
  </si>
  <si>
    <t>林 琢真</t>
  </si>
  <si>
    <t>度会 隆輝</t>
  </si>
  <si>
    <t>松尾 汐恩</t>
  </si>
  <si>
    <t>小園 健太</t>
  </si>
  <si>
    <t>吉野 光樹</t>
  </si>
  <si>
    <t>勝又 温史</t>
  </si>
  <si>
    <t>武田 陸玖</t>
  </si>
  <si>
    <t>松本 凌人</t>
  </si>
  <si>
    <t>橋本 達弥</t>
  </si>
  <si>
    <t>森下 瑠大</t>
  </si>
  <si>
    <t>深沢 鳳介</t>
  </si>
  <si>
    <t>石上 泰輝</t>
  </si>
  <si>
    <t>石川 達也</t>
  </si>
  <si>
    <t>石田 裕太郎</t>
  </si>
  <si>
    <t>井上 絢登</t>
  </si>
  <si>
    <t>梶原 昂希</t>
  </si>
  <si>
    <t>平良 拳太郎</t>
  </si>
  <si>
    <t>中川 虎大</t>
  </si>
  <si>
    <t>上甲 凌大</t>
  </si>
  <si>
    <t>堀岡 隼人</t>
  </si>
  <si>
    <t>庄司 陽斗</t>
  </si>
  <si>
    <t>小笠原 蒼</t>
  </si>
  <si>
    <t>近藤 大雅</t>
  </si>
  <si>
    <t>粟飯原 龍之介</t>
  </si>
  <si>
    <t>大竹</t>
    <phoneticPr fontId="1"/>
  </si>
  <si>
    <t>森下 翔太</t>
  </si>
  <si>
    <t>下村 海翔</t>
  </si>
  <si>
    <t>椎葉 剛</t>
  </si>
  <si>
    <t>門別 啓人</t>
  </si>
  <si>
    <t>井坪 陽生</t>
  </si>
  <si>
    <t>戸井 零士</t>
  </si>
  <si>
    <t>茨木 秀俊</t>
  </si>
  <si>
    <t>富田 蓮</t>
  </si>
  <si>
    <t>山田 脩也</t>
  </si>
  <si>
    <t>百﨑 蒼生</t>
  </si>
  <si>
    <t>石黒 佑弥</t>
  </si>
  <si>
    <t>津田 淳哉</t>
  </si>
  <si>
    <t>松原 快</t>
  </si>
  <si>
    <t>福島 圭音</t>
  </si>
  <si>
    <t>仲地</t>
    <phoneticPr fontId="1"/>
  </si>
  <si>
    <t>カリステ</t>
  </si>
  <si>
    <t>菊田</t>
    <phoneticPr fontId="1"/>
  </si>
  <si>
    <t>モニエル</t>
  </si>
  <si>
    <t>田中 幹也</t>
  </si>
  <si>
    <t>鵜飼 航丞</t>
  </si>
  <si>
    <t>村松 開人</t>
  </si>
  <si>
    <t>草加 勝</t>
  </si>
  <si>
    <t>大野 雄大</t>
  </si>
  <si>
    <t>津田 啓史</t>
  </si>
  <si>
    <t>辻本 倫太郎</t>
  </si>
  <si>
    <t>仲地 礼亜</t>
  </si>
  <si>
    <t>福田 幸之介</t>
  </si>
  <si>
    <t>濱 将乃介</t>
  </si>
  <si>
    <t>宇佐見 真吾</t>
  </si>
  <si>
    <t>ブライト 健太</t>
  </si>
  <si>
    <t>味谷 大誠</t>
  </si>
  <si>
    <t>梅野 雄吾</t>
  </si>
  <si>
    <t>土生 翔太</t>
  </si>
  <si>
    <t>山浅 龍之介</t>
  </si>
  <si>
    <t>福永 裕基</t>
  </si>
  <si>
    <t>松山 晋也</t>
  </si>
  <si>
    <t>樋口 正修</t>
  </si>
  <si>
    <t>岩嵜 翔</t>
  </si>
  <si>
    <t>松木平 優太</t>
  </si>
  <si>
    <t>福元 悠真</t>
  </si>
  <si>
    <t>森山 暁生</t>
  </si>
  <si>
    <t>近藤 廉</t>
  </si>
  <si>
    <t>日渡 騰輝</t>
  </si>
  <si>
    <t>菊田 翔友</t>
  </si>
  <si>
    <t>尾田 剛樹</t>
  </si>
  <si>
    <t>川上 理偉</t>
  </si>
  <si>
    <t>山川</t>
    <phoneticPr fontId="1"/>
  </si>
  <si>
    <t>生海</t>
  </si>
  <si>
    <t>ヘルナンデス</t>
  </si>
  <si>
    <t>野村 勇</t>
  </si>
  <si>
    <t>ハモンド</t>
  </si>
  <si>
    <t>仲田</t>
    <phoneticPr fontId="1"/>
  </si>
  <si>
    <t>オスーナ</t>
  </si>
  <si>
    <t>アルモンテ</t>
  </si>
  <si>
    <t>サルディ</t>
  </si>
  <si>
    <t>有原 航平</t>
  </si>
  <si>
    <t>大津 亮介</t>
  </si>
  <si>
    <t>岩井 俊介</t>
  </si>
  <si>
    <t>廣瀨 隆太</t>
  </si>
  <si>
    <t>村田 賢一</t>
  </si>
  <si>
    <t>イヒネ イツア</t>
  </si>
  <si>
    <t>澤柳 亮太郎</t>
  </si>
  <si>
    <t>前田 悠伍</t>
  </si>
  <si>
    <t>大関 友久</t>
  </si>
  <si>
    <t>松本 晴</t>
  </si>
  <si>
    <t>大山 凌</t>
  </si>
  <si>
    <t>長谷川 威展</t>
  </si>
  <si>
    <t>大野 稼頭央</t>
  </si>
  <si>
    <t>吉田 賢吾</t>
  </si>
  <si>
    <t>藤田 悠太郎</t>
  </si>
  <si>
    <t>木村 光</t>
  </si>
  <si>
    <t>石塚 綜一郎</t>
  </si>
  <si>
    <t>藤野 恵音</t>
  </si>
  <si>
    <t>大泉 周也</t>
  </si>
  <si>
    <t>桑原 秀侍</t>
  </si>
  <si>
    <t>宮里 優吾</t>
  </si>
  <si>
    <t>緒方 理貢</t>
  </si>
  <si>
    <t>佐倉 侠史朗</t>
  </si>
  <si>
    <t>中澤 恒貴</t>
  </si>
  <si>
    <t>川村 友斗</t>
  </si>
  <si>
    <t>大竹 風雅</t>
  </si>
  <si>
    <t>中村 亮太</t>
  </si>
  <si>
    <t>井﨑 燦志郎</t>
  </si>
  <si>
    <t>三浦 瑞樹</t>
  </si>
  <si>
    <t>藤原 大翔</t>
  </si>
  <si>
    <t>山崎 琢磨</t>
  </si>
  <si>
    <t>山本 恵大</t>
  </si>
  <si>
    <t>佐藤 琢磨</t>
  </si>
  <si>
    <t>仲田 慶介</t>
  </si>
  <si>
    <t>山下 恭吾</t>
  </si>
  <si>
    <t>長水 啓眞</t>
  </si>
  <si>
    <t>内野 海斗</t>
  </si>
  <si>
    <t>岡植 純平</t>
  </si>
  <si>
    <t>佐々木 明都</t>
  </si>
  <si>
    <t>宮﨑 颯</t>
  </si>
  <si>
    <t>重松 凱人</t>
  </si>
  <si>
    <t>前田 純</t>
  </si>
  <si>
    <t>佐藤 航太</t>
  </si>
  <si>
    <t>飛田 悠成</t>
  </si>
  <si>
    <t>西尾 歩真</t>
  </si>
  <si>
    <t>盛島 稜大</t>
  </si>
  <si>
    <t>糸川</t>
    <phoneticPr fontId="1"/>
  </si>
  <si>
    <t>今井</t>
    <phoneticPr fontId="1"/>
  </si>
  <si>
    <t>アブレイユ</t>
  </si>
  <si>
    <t>シンクレア</t>
  </si>
  <si>
    <t>児玉 亮涼</t>
  </si>
  <si>
    <t>蛭間 拓哉</t>
  </si>
  <si>
    <t>上田 大河</t>
  </si>
  <si>
    <t>武内 夏暉</t>
  </si>
  <si>
    <t>糸川 亮太</t>
  </si>
  <si>
    <t>炭谷 銀仁朗</t>
  </si>
  <si>
    <t>青山 美夏人</t>
  </si>
  <si>
    <t>元山 飛優</t>
  </si>
  <si>
    <t>古川 雄大</t>
  </si>
  <si>
    <t>山田 陽翔</t>
  </si>
  <si>
    <t>野田 海人</t>
  </si>
  <si>
    <t>成田 晴風</t>
  </si>
  <si>
    <t>ボー・タカハシ</t>
  </si>
  <si>
    <t>杉山 遙希</t>
  </si>
  <si>
    <t>宮澤 太成</t>
  </si>
  <si>
    <t>滝澤 夏央</t>
  </si>
  <si>
    <t>長谷川 信哉</t>
  </si>
  <si>
    <t>古市 尊</t>
  </si>
  <si>
    <t>豆田 泰志</t>
  </si>
  <si>
    <t>村田 怜音</t>
  </si>
  <si>
    <t>上間 永遠</t>
  </si>
  <si>
    <t>三浦 大輝</t>
  </si>
  <si>
    <t>是澤 涼輔</t>
  </si>
  <si>
    <t>谷口 朝陽</t>
  </si>
  <si>
    <t>菅井 信也</t>
  </si>
  <si>
    <t>川下 将勲</t>
  </si>
  <si>
    <t>金子 功児</t>
  </si>
  <si>
    <t>木瀬 翔太</t>
  </si>
  <si>
    <t>奥村 光一</t>
  </si>
  <si>
    <t>児玉</t>
    <rPh sb="0" eb="2">
      <t>コダマ</t>
    </rPh>
    <phoneticPr fontId="1"/>
  </si>
  <si>
    <t>ポランコ</t>
  </si>
  <si>
    <t>田中</t>
    <phoneticPr fontId="1"/>
  </si>
  <si>
    <t>坂本</t>
    <phoneticPr fontId="1"/>
  </si>
  <si>
    <t>愛斗</t>
  </si>
  <si>
    <t>友杉 篤輝</t>
  </si>
  <si>
    <t>上田 希由翔</t>
  </si>
  <si>
    <t>石川 慎吾</t>
  </si>
  <si>
    <t>菊地 吏玖</t>
  </si>
  <si>
    <t>大谷 輝龍</t>
  </si>
  <si>
    <t>高野 脩汰</t>
  </si>
  <si>
    <t>田中 晴也</t>
  </si>
  <si>
    <t>坂本 光士郎</t>
  </si>
  <si>
    <t>木村 優人</t>
  </si>
  <si>
    <t>早坂 響</t>
  </si>
  <si>
    <t>山本 大斗</t>
  </si>
  <si>
    <t>寺地 隆成</t>
  </si>
  <si>
    <t>金田 優太</t>
  </si>
  <si>
    <t>永島田 輝斗</t>
  </si>
  <si>
    <t>吉川 悠斗</t>
  </si>
  <si>
    <t>勝又 琉偉</t>
  </si>
  <si>
    <t>武内 涼太</t>
  </si>
  <si>
    <t>松石 信八</t>
  </si>
  <si>
    <t>髙野 光海</t>
  </si>
  <si>
    <t>藤田 和樹</t>
  </si>
  <si>
    <t>富山 紘之進</t>
  </si>
  <si>
    <t>エスピノーザ</t>
  </si>
  <si>
    <t>ゴンザレス</t>
  </si>
  <si>
    <t>マチャド</t>
  </si>
  <si>
    <t>東松</t>
    <phoneticPr fontId="1"/>
  </si>
  <si>
    <t>カスティーヨ</t>
  </si>
  <si>
    <t>河内 康介</t>
  </si>
  <si>
    <t>034</t>
  </si>
  <si>
    <t>041</t>
  </si>
  <si>
    <t>042</t>
  </si>
  <si>
    <t>043</t>
  </si>
  <si>
    <t>044</t>
  </si>
  <si>
    <t>045</t>
  </si>
  <si>
    <t>西川 龍馬</t>
  </si>
  <si>
    <t>曽谷 龍平</t>
  </si>
  <si>
    <t>吉田 輝星</t>
  </si>
  <si>
    <t>内藤 鵬</t>
  </si>
  <si>
    <t>齋藤 響介</t>
  </si>
  <si>
    <t>廣岡 大志</t>
  </si>
  <si>
    <t>杉澤 龍</t>
  </si>
  <si>
    <t>横山 聖哉</t>
  </si>
  <si>
    <t>石川 亮</t>
  </si>
  <si>
    <t>東松 快征</t>
  </si>
  <si>
    <t>茶野 篤政</t>
  </si>
  <si>
    <t>堀 柊那</t>
  </si>
  <si>
    <t>髙島 泰都</t>
  </si>
  <si>
    <t>古田島 成龍</t>
  </si>
  <si>
    <t>権田 琉成</t>
  </si>
  <si>
    <t>才木 海翔</t>
  </si>
  <si>
    <t>入山 海斗</t>
  </si>
  <si>
    <t>村上 喬一朗</t>
  </si>
  <si>
    <t>寿賀 弘都</t>
  </si>
  <si>
    <t>宮國 凌空</t>
  </si>
  <si>
    <t>芦田 丈飛</t>
  </si>
  <si>
    <t>河野 聡太</t>
  </si>
  <si>
    <t>香月 一也</t>
  </si>
  <si>
    <t>松田</t>
    <phoneticPr fontId="1"/>
  </si>
  <si>
    <t>大河原</t>
    <phoneticPr fontId="1"/>
  </si>
  <si>
    <t>古謝 樹</t>
  </si>
  <si>
    <t>荘司 康誠</t>
  </si>
  <si>
    <t>平良 竜哉</t>
  </si>
  <si>
    <t>渡辺 翔太</t>
  </si>
  <si>
    <t>中島 大輔</t>
  </si>
  <si>
    <t>伊藤 茉央</t>
  </si>
  <si>
    <t>坂井 陽翔</t>
  </si>
  <si>
    <t>日當 直喜</t>
  </si>
  <si>
    <t>松田 啄磨</t>
  </si>
  <si>
    <t>林 優樹</t>
  </si>
  <si>
    <t>大内 誠弥</t>
  </si>
  <si>
    <t>青野 拓海</t>
  </si>
  <si>
    <t>古賀 康誠</t>
  </si>
  <si>
    <t>清宮 虎多朗</t>
  </si>
  <si>
    <t>澤野 聖悠</t>
  </si>
  <si>
    <t>大河原 翔</t>
  </si>
  <si>
    <t>竹下 瑛広</t>
  </si>
  <si>
    <t>アンドレ・ジャクソン</t>
    <phoneticPr fontId="1"/>
  </si>
  <si>
    <t>ダヤン・ビシエド</t>
    <phoneticPr fontId="1"/>
  </si>
  <si>
    <t>松山</t>
    <rPh sb="0" eb="2">
      <t>マツヤマ</t>
    </rPh>
    <phoneticPr fontId="1"/>
  </si>
  <si>
    <t>カルロス・モニエル</t>
    <phoneticPr fontId="1"/>
  </si>
  <si>
    <t>ヤクルト</t>
    <phoneticPr fontId="1"/>
  </si>
  <si>
    <t>阪神</t>
    <rPh sb="0" eb="2">
      <t>ハンシン</t>
    </rPh>
    <phoneticPr fontId="1"/>
  </si>
  <si>
    <t>中日</t>
    <rPh sb="0" eb="2">
      <t>チュウニチ</t>
    </rPh>
    <phoneticPr fontId="1"/>
  </si>
  <si>
    <t>ソフトバンク</t>
    <phoneticPr fontId="1"/>
  </si>
  <si>
    <t>ロッテ</t>
    <phoneticPr fontId="1"/>
  </si>
  <si>
    <t>オリックス</t>
    <phoneticPr fontId="1"/>
  </si>
  <si>
    <t>中山</t>
    <phoneticPr fontId="1"/>
  </si>
  <si>
    <t>孫易磊</t>
    <phoneticPr fontId="1"/>
  </si>
  <si>
    <t>濵田 泰希</t>
  </si>
  <si>
    <t>加藤 大和</t>
  </si>
  <si>
    <t>宮内 春輝</t>
  </si>
  <si>
    <t>梅林 優貴</t>
  </si>
  <si>
    <t>松岡 洸希</t>
  </si>
  <si>
    <t>孫 易磊</t>
  </si>
  <si>
    <t>縁取り</t>
    <rPh sb="0" eb="2">
      <t>フチド</t>
    </rPh>
    <phoneticPr fontId="1"/>
  </si>
  <si>
    <t>山﨑伊</t>
    <rPh sb="2" eb="3">
      <t>イ</t>
    </rPh>
    <phoneticPr fontId="1"/>
  </si>
  <si>
    <t>田中 貴也</t>
  </si>
  <si>
    <t>山﨑 剛</t>
  </si>
  <si>
    <t>吉野 創士</t>
  </si>
  <si>
    <t>前田 銀治</t>
  </si>
  <si>
    <t>渡辺翔</t>
    <rPh sb="2" eb="3">
      <t>ショウ</t>
    </rPh>
    <phoneticPr fontId="1"/>
  </si>
  <si>
    <t>楽天</t>
    <rPh sb="0" eb="2">
      <t>ラクテン</t>
    </rPh>
    <phoneticPr fontId="1"/>
  </si>
  <si>
    <t>山田</t>
    <rPh sb="0" eb="2">
      <t>ヤマダ</t>
    </rPh>
    <phoneticPr fontId="1"/>
  </si>
  <si>
    <t>高橋</t>
    <rPh sb="0" eb="2">
      <t>タカハシ</t>
    </rPh>
    <phoneticPr fontId="1"/>
  </si>
  <si>
    <t>中村</t>
    <rPh sb="0" eb="2">
      <t>ナカムラ</t>
    </rPh>
    <phoneticPr fontId="1"/>
  </si>
  <si>
    <t>山本</t>
    <rPh sb="0" eb="2">
      <t>ヤマモト</t>
    </rPh>
    <phoneticPr fontId="1"/>
  </si>
  <si>
    <t>近藤</t>
    <rPh sb="0" eb="2">
      <t>コンドウ</t>
    </rPh>
    <phoneticPr fontId="1"/>
  </si>
  <si>
    <t>森</t>
    <rPh sb="0" eb="1">
      <t>モリ</t>
    </rPh>
    <phoneticPr fontId="1"/>
  </si>
  <si>
    <t>西村</t>
    <rPh sb="0" eb="2">
      <t>ニシムラ</t>
    </rPh>
    <phoneticPr fontId="1"/>
  </si>
  <si>
    <t>タイブレーク開始回</t>
    <rPh sb="6" eb="8">
      <t>カイシ</t>
    </rPh>
    <rPh sb="8" eb="9">
      <t>カイ</t>
    </rPh>
    <phoneticPr fontId="1"/>
  </si>
  <si>
    <t>アウトカウント</t>
    <phoneticPr fontId="1"/>
  </si>
  <si>
    <t>走者</t>
    <rPh sb="0" eb="2">
      <t>ソウシャ</t>
    </rPh>
    <phoneticPr fontId="1"/>
  </si>
  <si>
    <t>標準</t>
    <rPh sb="0" eb="2">
      <t>ヒョウジュン</t>
    </rPh>
    <phoneticPr fontId="1"/>
  </si>
  <si>
    <t>甲子園</t>
    <rPh sb="0" eb="3">
      <t>コウシエン</t>
    </rPh>
    <phoneticPr fontId="1"/>
  </si>
  <si>
    <t>古賀 悠斗</t>
  </si>
  <si>
    <t>平沼 翔太</t>
  </si>
  <si>
    <t>モンテル</t>
  </si>
  <si>
    <t>先攻略称（得点経過）</t>
    <rPh sb="0" eb="2">
      <t>センコウ</t>
    </rPh>
    <rPh sb="2" eb="4">
      <t>リャクショウ</t>
    </rPh>
    <rPh sb="5" eb="9">
      <t>トクテンケイカ</t>
    </rPh>
    <phoneticPr fontId="1"/>
  </si>
  <si>
    <t>後攻略称（得点経過）</t>
    <rPh sb="0" eb="2">
      <t>コウコウ</t>
    </rPh>
    <rPh sb="2" eb="4">
      <t>リャクショウ</t>
    </rPh>
    <rPh sb="3" eb="4">
      <t>コウリャク</t>
    </rPh>
    <rPh sb="5" eb="9">
      <t>トクテンケイカ</t>
    </rPh>
    <phoneticPr fontId="1"/>
  </si>
  <si>
    <t>捕</t>
  </si>
  <si>
    <t>外</t>
  </si>
  <si>
    <t>門脇 誠</t>
  </si>
  <si>
    <t>泉口 友汰</t>
  </si>
  <si>
    <t>中田 歩夢</t>
  </si>
  <si>
    <t>佐々木 俊輔</t>
  </si>
  <si>
    <t>山﨑 伊織</t>
  </si>
  <si>
    <t>高橋 礼</t>
  </si>
  <si>
    <t>006</t>
  </si>
  <si>
    <t>亀田 啓太</t>
  </si>
  <si>
    <t>069</t>
  </si>
  <si>
    <t>村山 源</t>
  </si>
  <si>
    <t>田上 優弥</t>
  </si>
  <si>
    <t>宇都宮 葵星</t>
  </si>
  <si>
    <t>相澤 白虎</t>
  </si>
  <si>
    <t>027</t>
  </si>
  <si>
    <t>北村 流音</t>
  </si>
  <si>
    <t>鈴木 大和</t>
  </si>
  <si>
    <t>笹原 操希</t>
  </si>
  <si>
    <t>三塚 琉生</t>
  </si>
  <si>
    <t>033</t>
  </si>
  <si>
    <t>平山 功太</t>
  </si>
  <si>
    <t>051</t>
  </si>
  <si>
    <t>舟越 秀虎</t>
  </si>
  <si>
    <t>巨人</t>
  </si>
  <si>
    <t>ラミレス</t>
  </si>
  <si>
    <t>ロベルト</t>
  </si>
  <si>
    <t>DeNA</t>
  </si>
  <si>
    <t>広島</t>
  </si>
  <si>
    <t>エスコン</t>
    <phoneticPr fontId="1"/>
  </si>
  <si>
    <t>日本ハム</t>
    <rPh sb="0" eb="2">
      <t>ニッポン</t>
    </rPh>
    <phoneticPr fontId="1"/>
  </si>
  <si>
    <t>西武</t>
    <rPh sb="0" eb="2">
      <t>セイブ</t>
    </rPh>
    <phoneticPr fontId="1"/>
  </si>
  <si>
    <t>しない</t>
  </si>
  <si>
    <t>一塁側</t>
  </si>
  <si>
    <t>スチュワートJr.</t>
    <phoneticPr fontId="1"/>
  </si>
  <si>
    <t>ダウンズ</t>
    <phoneticPr fontId="1"/>
  </si>
  <si>
    <t/>
  </si>
  <si>
    <t>侍ビジター</t>
    <rPh sb="0" eb="1">
      <t>サムライ</t>
    </rPh>
    <phoneticPr fontId="1"/>
  </si>
  <si>
    <t>侍ホーム</t>
    <rPh sb="0" eb="1">
      <t>サムライ</t>
    </rPh>
    <phoneticPr fontId="1"/>
  </si>
  <si>
    <t>汎用</t>
    <rPh sb="0" eb="2">
      <t>ハンヨウ</t>
    </rPh>
    <phoneticPr fontId="1"/>
  </si>
  <si>
    <t>韓国</t>
    <rPh sb="0" eb="2">
      <t>カンコク</t>
    </rPh>
    <phoneticPr fontId="1"/>
  </si>
  <si>
    <t>豪州</t>
    <rPh sb="0" eb="2">
      <t>ゴウシュウ</t>
    </rPh>
    <phoneticPr fontId="1"/>
  </si>
  <si>
    <t>チェコ</t>
    <phoneticPr fontId="1"/>
  </si>
  <si>
    <t>勝田</t>
  </si>
  <si>
    <t>秋山</t>
  </si>
  <si>
    <t>佐々木</t>
  </si>
  <si>
    <t>齊藤汰</t>
  </si>
  <si>
    <t>森</t>
  </si>
  <si>
    <t>森下</t>
  </si>
  <si>
    <t>佐藤柳</t>
  </si>
  <si>
    <t>工藤</t>
  </si>
  <si>
    <t>赤木</t>
  </si>
  <si>
    <t>ターノック</t>
  </si>
  <si>
    <t>林</t>
  </si>
  <si>
    <t>松本</t>
  </si>
  <si>
    <t>斉藤優</t>
    <rPh sb="2" eb="3">
      <t>ユウ</t>
    </rPh>
    <phoneticPr fontId="1"/>
  </si>
  <si>
    <t>渡邉</t>
  </si>
  <si>
    <t>岡本</t>
  </si>
  <si>
    <t>西川</t>
  </si>
  <si>
    <t>仲田</t>
  </si>
  <si>
    <t>田村</t>
  </si>
  <si>
    <t>ファビアン</t>
  </si>
  <si>
    <t>清水</t>
  </si>
  <si>
    <t>菊地ハ</t>
  </si>
  <si>
    <t>辰見</t>
  </si>
  <si>
    <t>佐藤啓</t>
    <rPh sb="2" eb="3">
      <t>ケイ</t>
    </rPh>
    <phoneticPr fontId="1"/>
  </si>
  <si>
    <t>モンテロ</t>
  </si>
  <si>
    <t>安竹</t>
  </si>
  <si>
    <t>小船</t>
  </si>
  <si>
    <t>小林</t>
  </si>
  <si>
    <t>岸本</t>
  </si>
  <si>
    <t>竹下</t>
  </si>
  <si>
    <t>河野</t>
  </si>
  <si>
    <t>勝田 成</t>
  </si>
  <si>
    <t>佐々木 泰</t>
  </si>
  <si>
    <t>齊藤 汰直</t>
  </si>
  <si>
    <t>佐藤 柳之介</t>
  </si>
  <si>
    <t>工藤 泰己</t>
  </si>
  <si>
    <t>赤木 晴哉</t>
  </si>
  <si>
    <t>フレディ・ターノック</t>
  </si>
  <si>
    <t>髙木 快大</t>
  </si>
  <si>
    <t>渡邉 悠斗</t>
  </si>
  <si>
    <t>平川 蓮</t>
  </si>
  <si>
    <t>岡本 駿</t>
  </si>
  <si>
    <t>西川 篤夢</t>
  </si>
  <si>
    <t>サンドロ・ファビアン</t>
  </si>
  <si>
    <t>菊地 ハルン</t>
  </si>
  <si>
    <t>辰見 鴻之介</t>
  </si>
  <si>
    <t>日髙 暖己</t>
  </si>
  <si>
    <t>エレフリス・モンテロ</t>
  </si>
  <si>
    <t>安竹 俊喜</t>
  </si>
  <si>
    <t>小船 翼</t>
  </si>
  <si>
    <t>小林 結太</t>
  </si>
  <si>
    <t>岸本 大希</t>
  </si>
  <si>
    <t>竹下 海斗</t>
  </si>
  <si>
    <t>モイセス・ラミレス</t>
  </si>
  <si>
    <t>ネルソン・ロベルト</t>
  </si>
  <si>
    <t>菊池</t>
    <phoneticPr fontId="1"/>
  </si>
  <si>
    <t>鈴木</t>
  </si>
  <si>
    <t>湯浅</t>
  </si>
  <si>
    <t>吉川尚</t>
  </si>
  <si>
    <t>門脇</t>
  </si>
  <si>
    <t>坂本</t>
  </si>
  <si>
    <t>甲斐</t>
  </si>
  <si>
    <t>田中将</t>
    <rPh sb="2" eb="3">
      <t>ショウ</t>
    </rPh>
    <phoneticPr fontId="1"/>
  </si>
  <si>
    <t>キャベッジ</t>
  </si>
  <si>
    <t>西舘</t>
  </si>
  <si>
    <t>竹丸</t>
  </si>
  <si>
    <t>石塚</t>
  </si>
  <si>
    <t>大城</t>
  </si>
  <si>
    <t>ウィットリー</t>
  </si>
  <si>
    <t>ハワード</t>
  </si>
  <si>
    <t>ダルベック</t>
  </si>
  <si>
    <t>田和</t>
  </si>
  <si>
    <t>浦田</t>
  </si>
  <si>
    <t>小濱</t>
  </si>
  <si>
    <t>泉口</t>
  </si>
  <si>
    <t>山城</t>
  </si>
  <si>
    <t>岡田</t>
  </si>
  <si>
    <t>皆川</t>
  </si>
  <si>
    <t>中山</t>
  </si>
  <si>
    <t>マタ</t>
  </si>
  <si>
    <t>則本</t>
  </si>
  <si>
    <t>バルドナード</t>
  </si>
  <si>
    <t>北浦</t>
  </si>
  <si>
    <t>宮原</t>
  </si>
  <si>
    <t>若林</t>
  </si>
  <si>
    <t>荒巻</t>
  </si>
  <si>
    <t>山田龍</t>
  </si>
  <si>
    <t>石川</t>
  </si>
  <si>
    <t>三塚</t>
  </si>
  <si>
    <t>井上</t>
  </si>
  <si>
    <t>藤井</t>
  </si>
  <si>
    <t>鈴木大</t>
    <rPh sb="2" eb="3">
      <t>ダイ</t>
    </rPh>
    <phoneticPr fontId="1"/>
  </si>
  <si>
    <t>中田</t>
  </si>
  <si>
    <t>知念</t>
  </si>
  <si>
    <t>村山</t>
  </si>
  <si>
    <t>田上</t>
  </si>
  <si>
    <t>松井蓮</t>
  </si>
  <si>
    <t>宇都宮</t>
  </si>
  <si>
    <t>相澤</t>
  </si>
  <si>
    <t>冨重</t>
  </si>
  <si>
    <t>林燦</t>
  </si>
  <si>
    <t>堀江</t>
  </si>
  <si>
    <t>鈴木圭</t>
  </si>
  <si>
    <t>千葉</t>
  </si>
  <si>
    <t>018</t>
  </si>
  <si>
    <t>木下</t>
  </si>
  <si>
    <t>園田</t>
  </si>
  <si>
    <t>松井颯</t>
  </si>
  <si>
    <t>亀田</t>
  </si>
  <si>
    <t>坂本達</t>
  </si>
  <si>
    <t>吉村</t>
  </si>
  <si>
    <t>北村</t>
  </si>
  <si>
    <t>028</t>
  </si>
  <si>
    <t>富田</t>
  </si>
  <si>
    <t>029</t>
  </si>
  <si>
    <t>030</t>
  </si>
  <si>
    <t>吹田</t>
  </si>
  <si>
    <t>平山</t>
  </si>
  <si>
    <t>森本</t>
  </si>
  <si>
    <t>035</t>
  </si>
  <si>
    <t>黄錦豪</t>
  </si>
  <si>
    <t>グズマン</t>
  </si>
  <si>
    <t>047</t>
  </si>
  <si>
    <t>049</t>
  </si>
  <si>
    <t>フェリス</t>
  </si>
  <si>
    <t>050</t>
  </si>
  <si>
    <t>板東</t>
  </si>
  <si>
    <t>舟越</t>
  </si>
  <si>
    <t>063</t>
  </si>
  <si>
    <t>花田</t>
  </si>
  <si>
    <t>067</t>
  </si>
  <si>
    <t>068</t>
  </si>
  <si>
    <t>笹原</t>
  </si>
  <si>
    <t>077</t>
  </si>
  <si>
    <t>石田隼</t>
  </si>
  <si>
    <t>090</t>
  </si>
  <si>
    <t>石田充</t>
  </si>
  <si>
    <t>099</t>
  </si>
  <si>
    <t>京本</t>
  </si>
  <si>
    <t>トレイ・キャベッジ</t>
  </si>
  <si>
    <t>西舘 勇陽</t>
  </si>
  <si>
    <t>竹丸 和幸</t>
  </si>
  <si>
    <t>石塚 裕惺</t>
  </si>
  <si>
    <t>田和 廉</t>
  </si>
  <si>
    <t>浦田 俊輔</t>
  </si>
  <si>
    <t>小濱 佑斗</t>
  </si>
  <si>
    <t>山城 京平</t>
  </si>
  <si>
    <t>皆川 岳飛</t>
  </si>
  <si>
    <t>又木 鉄平</t>
  </si>
  <si>
    <t>森田 駿哉</t>
  </si>
  <si>
    <t>アルベルト・バルドナード</t>
  </si>
  <si>
    <t>宮原 駿介</t>
  </si>
  <si>
    <t>荒巻 悠</t>
  </si>
  <si>
    <t>山田 龍聖</t>
  </si>
  <si>
    <t>ライデル・マルティネス</t>
  </si>
  <si>
    <t>藤井 健翔</t>
  </si>
  <si>
    <t>知念 大成</t>
  </si>
  <si>
    <t>松井 蓮太朗</t>
  </si>
  <si>
    <t>冨重 英二郎</t>
  </si>
  <si>
    <t>林 燦</t>
  </si>
  <si>
    <t>堀江 正太郎</t>
  </si>
  <si>
    <t>鈴木 圭晋</t>
  </si>
  <si>
    <t>千葉 隆広</t>
  </si>
  <si>
    <t>木下 幹也</t>
  </si>
  <si>
    <t>園田 純規</t>
  </si>
  <si>
    <t>松井 颯</t>
  </si>
  <si>
    <t>田村 朋輝</t>
  </si>
  <si>
    <t>坂本 達也</t>
  </si>
  <si>
    <t>竹下 徠空</t>
  </si>
  <si>
    <t>吉村 優聖歩</t>
  </si>
  <si>
    <t>富田 龍</t>
  </si>
  <si>
    <t>西川 歩</t>
  </si>
  <si>
    <t>吹田 志道</t>
  </si>
  <si>
    <t>森本 哲星</t>
  </si>
  <si>
    <t>黄 錦豪</t>
  </si>
  <si>
    <t>河野 優作</t>
  </si>
  <si>
    <t>花田 侑樹</t>
  </si>
  <si>
    <t>石田 充冴</t>
  </si>
  <si>
    <t>京本 眞</t>
  </si>
  <si>
    <t>00</t>
    <phoneticPr fontId="1"/>
  </si>
  <si>
    <t>赤羽</t>
  </si>
  <si>
    <t>古賀</t>
  </si>
  <si>
    <t>内山</t>
  </si>
  <si>
    <t>松下</t>
  </si>
  <si>
    <t>茂木</t>
  </si>
  <si>
    <t>キハダ</t>
  </si>
  <si>
    <t>中村優</t>
  </si>
  <si>
    <t>中村</t>
  </si>
  <si>
    <t>小川</t>
  </si>
  <si>
    <t>荘司</t>
  </si>
  <si>
    <t>モイセエフ</t>
  </si>
  <si>
    <t>山崎</t>
  </si>
  <si>
    <t>山野辺</t>
  </si>
  <si>
    <t>石井巧</t>
  </si>
  <si>
    <t>松川</t>
  </si>
  <si>
    <t>拓也</t>
  </si>
  <si>
    <t>増居</t>
  </si>
  <si>
    <t>柿沼</t>
  </si>
  <si>
    <t>鈴木蓮</t>
  </si>
  <si>
    <t>橋本</t>
  </si>
  <si>
    <t>長谷川</t>
  </si>
  <si>
    <t>田中陽</t>
  </si>
  <si>
    <t>ウォルターズ</t>
  </si>
  <si>
    <t>飯田</t>
  </si>
  <si>
    <t>リランソ</t>
  </si>
  <si>
    <t>岩田</t>
  </si>
  <si>
    <t>阪口</t>
  </si>
  <si>
    <t>伊藤</t>
  </si>
  <si>
    <t>下川</t>
  </si>
  <si>
    <t>沼田</t>
  </si>
  <si>
    <t>青柳</t>
  </si>
  <si>
    <t>廣澤</t>
  </si>
  <si>
    <t>竹山</t>
  </si>
  <si>
    <t>小宮</t>
  </si>
  <si>
    <t>西濱</t>
  </si>
  <si>
    <t>翔聖</t>
  </si>
  <si>
    <t>佐藤</t>
    <phoneticPr fontId="1"/>
  </si>
  <si>
    <t>澤野</t>
  </si>
  <si>
    <t>根岸</t>
  </si>
  <si>
    <t>髙野</t>
  </si>
  <si>
    <t>中川</t>
  </si>
  <si>
    <t>並木 秀尊</t>
  </si>
  <si>
    <t>山田 哲人</t>
  </si>
  <si>
    <t>古賀 優大</t>
  </si>
  <si>
    <t>内山 壮真</t>
  </si>
  <si>
    <t>丸山 和郁</t>
  </si>
  <si>
    <t>松下 歩叶</t>
  </si>
  <si>
    <t>長岡 秀樹</t>
  </si>
  <si>
    <t>塩見 泰隆</t>
  </si>
  <si>
    <t>宮本 丈</t>
  </si>
  <si>
    <t>石山 泰稚</t>
  </si>
  <si>
    <t>ホセ・オスナ</t>
  </si>
  <si>
    <t>中村 優斗</t>
  </si>
  <si>
    <t>清水 昇</t>
  </si>
  <si>
    <t>奥川 恭伸</t>
  </si>
  <si>
    <t>石川 雅規</t>
  </si>
  <si>
    <t>木澤 尚文</t>
  </si>
  <si>
    <t>吉村 貢司郎</t>
  </si>
  <si>
    <t>星 知弥</t>
  </si>
  <si>
    <t>ドミンゴ・サンタナ</t>
  </si>
  <si>
    <t>山野 太一</t>
  </si>
  <si>
    <t>中村 悠平</t>
  </si>
  <si>
    <t>松本 健吾</t>
  </si>
  <si>
    <t>小川 泰弘</t>
  </si>
  <si>
    <t>荘司 宏太</t>
  </si>
  <si>
    <t>モイセエフ ニキータ</t>
  </si>
  <si>
    <t>松本 直樹</t>
  </si>
  <si>
    <t>山崎 太陽</t>
  </si>
  <si>
    <t>田口 麗斗</t>
  </si>
  <si>
    <t>石原 勇輝</t>
  </si>
  <si>
    <t>西村 瑠伊斗</t>
  </si>
  <si>
    <t>石井 巧</t>
  </si>
  <si>
    <t>松川 玲央</t>
  </si>
  <si>
    <t>高梨 裕稔</t>
  </si>
  <si>
    <t>澤井 廉</t>
  </si>
  <si>
    <t>増居 翔太</t>
  </si>
  <si>
    <t>大西 広樹</t>
  </si>
  <si>
    <t>小澤 怜史</t>
  </si>
  <si>
    <t>高橋 奎二</t>
  </si>
  <si>
    <t>鈴木 蓮吾</t>
  </si>
  <si>
    <t>北村 恵吾</t>
  </si>
  <si>
    <t>橋本 星哉</t>
  </si>
  <si>
    <t>長谷川 宙輝</t>
  </si>
  <si>
    <t>田中 陽翔</t>
  </si>
  <si>
    <t>坂本 拓己</t>
  </si>
  <si>
    <t>矢野 泰二郎</t>
  </si>
  <si>
    <t>武岡 龍世</t>
  </si>
  <si>
    <t>飯田 琉斗</t>
  </si>
  <si>
    <t>増田 珠</t>
  </si>
  <si>
    <t>岩田 幸宏</t>
  </si>
  <si>
    <t>鈴木 叶</t>
  </si>
  <si>
    <t>阪口 皓亮</t>
  </si>
  <si>
    <t>伊藤 琉偉</t>
  </si>
  <si>
    <t>丸山 翔大</t>
  </si>
  <si>
    <t>下川 隼佑</t>
  </si>
  <si>
    <t>廣澤 優</t>
  </si>
  <si>
    <t>竹山 日向</t>
  </si>
  <si>
    <t>西舘 昂汰</t>
  </si>
  <si>
    <t>小宮 悠瞳</t>
  </si>
  <si>
    <t>西濱 勇星</t>
  </si>
  <si>
    <t>松本 龍之介</t>
  </si>
  <si>
    <t>根岸 辰昇</t>
  </si>
  <si>
    <t>髙野 颯太</t>
  </si>
  <si>
    <t>中川 拓真</t>
  </si>
  <si>
    <t>デュプランティエ</t>
  </si>
  <si>
    <t>牧</t>
    <phoneticPr fontId="1"/>
  </si>
  <si>
    <t>小田</t>
  </si>
  <si>
    <t>度会</t>
  </si>
  <si>
    <t>松尾</t>
  </si>
  <si>
    <t>京田</t>
  </si>
  <si>
    <t>東</t>
  </si>
  <si>
    <t>竹田</t>
  </si>
  <si>
    <t>島田</t>
  </si>
  <si>
    <t>吉野</t>
  </si>
  <si>
    <t>筒香</t>
  </si>
  <si>
    <t>三森</t>
  </si>
  <si>
    <t>藤浪</t>
  </si>
  <si>
    <t>勝又</t>
  </si>
  <si>
    <t>篠木</t>
  </si>
  <si>
    <t>柴田</t>
  </si>
  <si>
    <t>武田</t>
  </si>
  <si>
    <t>宮下</t>
  </si>
  <si>
    <t>加藤</t>
  </si>
  <si>
    <t>若松</t>
  </si>
  <si>
    <t>石上</t>
  </si>
  <si>
    <t>森原</t>
  </si>
  <si>
    <t>坂口</t>
  </si>
  <si>
    <t>片山</t>
  </si>
  <si>
    <t>成瀬</t>
  </si>
  <si>
    <t>山本</t>
  </si>
  <si>
    <t>宮﨑</t>
  </si>
  <si>
    <t>浜地</t>
  </si>
  <si>
    <t>石田裕</t>
  </si>
  <si>
    <t>田内</t>
  </si>
  <si>
    <t>平良</t>
  </si>
  <si>
    <t>古市</t>
  </si>
  <si>
    <t>濱</t>
  </si>
  <si>
    <t>堀岡</t>
  </si>
  <si>
    <t xml:space="preserve">九鬼 </t>
  </si>
  <si>
    <t>清水麻</t>
  </si>
  <si>
    <t>金渕</t>
  </si>
  <si>
    <t>吉岡</t>
  </si>
  <si>
    <t>馬場</t>
  </si>
  <si>
    <t>庄司</t>
  </si>
  <si>
    <t>小笠原</t>
  </si>
  <si>
    <t>上甲</t>
  </si>
  <si>
    <t>西巻</t>
  </si>
  <si>
    <t>近藤</t>
  </si>
  <si>
    <t>清水詩</t>
  </si>
  <si>
    <t>松本隆</t>
  </si>
  <si>
    <t>小針</t>
  </si>
  <si>
    <t>高見澤</t>
  </si>
  <si>
    <t>小深田</t>
  </si>
  <si>
    <t>小田 康一郎</t>
  </si>
  <si>
    <t>竹田 祐</t>
  </si>
  <si>
    <t>島田 舜也</t>
  </si>
  <si>
    <t>筒香 嘉智</t>
  </si>
  <si>
    <t>藤浪 晋太郎</t>
  </si>
  <si>
    <t>篠木 健太郎</t>
  </si>
  <si>
    <t>宮下 朝陽</t>
  </si>
  <si>
    <t>加藤 響</t>
  </si>
  <si>
    <t>若松 尚輝</t>
  </si>
  <si>
    <t>坂口 翔颯</t>
  </si>
  <si>
    <t>片山 皓心</t>
  </si>
  <si>
    <t>成瀬 脩人</t>
  </si>
  <si>
    <t>田内 真翔</t>
  </si>
  <si>
    <t>宮城 滝太</t>
  </si>
  <si>
    <t>ハンセル・マルセリーノ</t>
  </si>
  <si>
    <t>清水 麻成</t>
  </si>
  <si>
    <t>金渕 光希</t>
  </si>
  <si>
    <t>吉岡 暖</t>
  </si>
  <si>
    <t>清水 詩太</t>
  </si>
  <si>
    <t>小針 大輝</t>
  </si>
  <si>
    <t>高見澤 郁魅</t>
  </si>
  <si>
    <t>元山</t>
  </si>
  <si>
    <t>中野</t>
  </si>
  <si>
    <t>立石</t>
  </si>
  <si>
    <t>岩貞</t>
  </si>
  <si>
    <t>伏見</t>
  </si>
  <si>
    <t>伊原</t>
  </si>
  <si>
    <t>下村</t>
  </si>
  <si>
    <t>ディベイニー</t>
  </si>
  <si>
    <t>谷端</t>
  </si>
  <si>
    <t>椎葉</t>
  </si>
  <si>
    <t>今朝丸</t>
  </si>
  <si>
    <t>髙橋遥</t>
  </si>
  <si>
    <t>門別</t>
  </si>
  <si>
    <t>濱田</t>
  </si>
  <si>
    <t>岡城</t>
  </si>
  <si>
    <t>才木</t>
  </si>
  <si>
    <t>畠</t>
  </si>
  <si>
    <t xml:space="preserve">井坪 </t>
  </si>
  <si>
    <t>ルーカス</t>
  </si>
  <si>
    <t>町田</t>
  </si>
  <si>
    <t>早瀬</t>
  </si>
  <si>
    <t>ラグズデール</t>
  </si>
  <si>
    <t>茨木</t>
  </si>
  <si>
    <t>能登</t>
  </si>
  <si>
    <t>百﨑</t>
  </si>
  <si>
    <t>小野寺</t>
  </si>
  <si>
    <t>石黒</t>
  </si>
  <si>
    <t>津田</t>
  </si>
  <si>
    <t>ドリス</t>
  </si>
  <si>
    <t>モレッタ</t>
  </si>
  <si>
    <t>西純</t>
  </si>
  <si>
    <t>戸井</t>
  </si>
  <si>
    <t>松原</t>
  </si>
  <si>
    <t>伊藤稜</t>
  </si>
  <si>
    <t>福島</t>
  </si>
  <si>
    <t>神宮</t>
  </si>
  <si>
    <t>嶋村</t>
  </si>
  <si>
    <t>山﨑</t>
  </si>
  <si>
    <t>川﨑</t>
  </si>
  <si>
    <t>アルナエス</t>
  </si>
  <si>
    <t>コンスエグラ</t>
  </si>
  <si>
    <t>立石 正広</t>
  </si>
  <si>
    <t>伊原 陵人</t>
  </si>
  <si>
    <t>キャム・ディベイニー</t>
  </si>
  <si>
    <t>谷端 将伍</t>
  </si>
  <si>
    <t>今朝丸 裕喜</t>
  </si>
  <si>
    <t>濱田 太貴</t>
  </si>
  <si>
    <t>岡城 快生</t>
  </si>
  <si>
    <t>畠 世周</t>
  </si>
  <si>
    <t>イーストン・ルーカス</t>
  </si>
  <si>
    <t>町田 隼乙</t>
  </si>
  <si>
    <t>早瀬 朔</t>
  </si>
  <si>
    <t>佐野 大陽</t>
  </si>
  <si>
    <t>カーソン・ラグズデール</t>
  </si>
  <si>
    <t>工藤 泰成</t>
  </si>
  <si>
    <t>早川 太貴</t>
  </si>
  <si>
    <t>木下 里都</t>
  </si>
  <si>
    <t>能登 嵩都</t>
  </si>
  <si>
    <t>ラファエル・ドリス</t>
  </si>
  <si>
    <t>ダウリ・モレッタ</t>
  </si>
  <si>
    <t>神宮 僚介</t>
  </si>
  <si>
    <t>嶋村 麟士朗</t>
  </si>
  <si>
    <t>山﨑 照英</t>
  </si>
  <si>
    <t>川﨑 俊哲</t>
  </si>
  <si>
    <t>西</t>
    <rPh sb="0" eb="1">
      <t>ニシ</t>
    </rPh>
    <phoneticPr fontId="1"/>
  </si>
  <si>
    <t>大竹</t>
  </si>
  <si>
    <t>尾田</t>
  </si>
  <si>
    <t>辻本</t>
  </si>
  <si>
    <t>岡林</t>
  </si>
  <si>
    <t>田中幹</t>
  </si>
  <si>
    <t>村松</t>
  </si>
  <si>
    <t>福永</t>
  </si>
  <si>
    <t>石伊</t>
  </si>
  <si>
    <t>中西</t>
  </si>
  <si>
    <t>草加</t>
  </si>
  <si>
    <t>櫻井</t>
  </si>
  <si>
    <t>涌井</t>
  </si>
  <si>
    <t>金丸</t>
  </si>
  <si>
    <t>サノー</t>
  </si>
  <si>
    <t>ボスラー</t>
  </si>
  <si>
    <t>アブレウ</t>
  </si>
  <si>
    <t>松木平</t>
  </si>
  <si>
    <t>根尾</t>
    <phoneticPr fontId="1"/>
  </si>
  <si>
    <t>福田</t>
  </si>
  <si>
    <t>宇佐見</t>
  </si>
  <si>
    <t>川越</t>
  </si>
  <si>
    <t>土田</t>
  </si>
  <si>
    <t>梅野</t>
  </si>
  <si>
    <t>吉田</t>
  </si>
  <si>
    <t>阿部</t>
  </si>
  <si>
    <t>上林</t>
  </si>
  <si>
    <t>篠﨑</t>
  </si>
  <si>
    <t>細川</t>
  </si>
  <si>
    <t>新保</t>
  </si>
  <si>
    <t>齋藤綱</t>
  </si>
  <si>
    <t>高橋幸</t>
  </si>
  <si>
    <t>板山</t>
  </si>
  <si>
    <t>有馬</t>
  </si>
  <si>
    <t>知野</t>
  </si>
  <si>
    <t>鵜飼</t>
  </si>
  <si>
    <t>能戸</t>
  </si>
  <si>
    <t>三浦</t>
  </si>
  <si>
    <t>メヒア</t>
  </si>
  <si>
    <t>マラー</t>
  </si>
  <si>
    <t>樋口</t>
  </si>
  <si>
    <t>牧野</t>
  </si>
  <si>
    <t>井上剣</t>
  </si>
  <si>
    <t>土生</t>
  </si>
  <si>
    <t>山浅</t>
  </si>
  <si>
    <t>福元</t>
  </si>
  <si>
    <t>梅津</t>
  </si>
  <si>
    <t>森山</t>
  </si>
  <si>
    <t>日渡</t>
  </si>
  <si>
    <t>石川大</t>
  </si>
  <si>
    <t>三上</t>
  </si>
  <si>
    <t>川上</t>
  </si>
  <si>
    <t>オルランド・カリステ</t>
  </si>
  <si>
    <t>石伊 雄太</t>
  </si>
  <si>
    <t>中西 聖輝</t>
  </si>
  <si>
    <t>櫻井 頼之介</t>
  </si>
  <si>
    <t>髙橋 宏斗</t>
  </si>
  <si>
    <t>金丸 夢斗</t>
  </si>
  <si>
    <t>ジェイソン・ボスラー</t>
  </si>
  <si>
    <t>森 駿太</t>
  </si>
  <si>
    <t>土田 龍空</t>
  </si>
  <si>
    <t>吉田 聖弥</t>
  </si>
  <si>
    <t>篠﨑 国忠</t>
  </si>
  <si>
    <t>新保 茉良</t>
  </si>
  <si>
    <t>花田 旭</t>
  </si>
  <si>
    <t>高橋 幸佑</t>
  </si>
  <si>
    <t>有馬 惠叶</t>
  </si>
  <si>
    <t>能戸 輝夢</t>
  </si>
  <si>
    <t>ウンベルト・メヒア</t>
  </si>
  <si>
    <t>カイル・マラー</t>
  </si>
  <si>
    <t>クリスチャン・ロドリゲス</t>
  </si>
  <si>
    <t>牧野 憲伸</t>
  </si>
  <si>
    <t>中村 奈一輝</t>
  </si>
  <si>
    <t>井上 剣也</t>
  </si>
  <si>
    <t>石川 大峨</t>
  </si>
  <si>
    <t>三上 愛介</t>
  </si>
  <si>
    <t>高橋周</t>
    <rPh sb="0" eb="2">
      <t>タカハシ</t>
    </rPh>
    <rPh sb="2" eb="3">
      <t>シュウ</t>
    </rPh>
    <phoneticPr fontId="1"/>
  </si>
  <si>
    <t>髙橋宏斗</t>
    <rPh sb="0" eb="2">
      <t>タカハシ</t>
    </rPh>
    <rPh sb="2" eb="4">
      <t>ヒロト</t>
    </rPh>
    <phoneticPr fontId="1"/>
  </si>
  <si>
    <t>川瀬</t>
  </si>
  <si>
    <t>山川</t>
  </si>
  <si>
    <t>牧原大</t>
  </si>
  <si>
    <t>上沢</t>
  </si>
  <si>
    <t>嶺井</t>
  </si>
  <si>
    <t>稲川</t>
  </si>
  <si>
    <t>徐若熙</t>
  </si>
  <si>
    <t>大津</t>
  </si>
  <si>
    <t>村上</t>
  </si>
  <si>
    <t>周東</t>
  </si>
  <si>
    <t>庄子</t>
  </si>
  <si>
    <t>鈴木豪</t>
  </si>
  <si>
    <t>岩井</t>
  </si>
  <si>
    <t>安德</t>
  </si>
  <si>
    <t>大江</t>
  </si>
  <si>
    <t>中村稔</t>
  </si>
  <si>
    <t>正木</t>
  </si>
  <si>
    <t>廣瀨</t>
  </si>
  <si>
    <t>イヒネ</t>
  </si>
  <si>
    <t>杉山</t>
  </si>
  <si>
    <t>前田悠</t>
  </si>
  <si>
    <t>宇野</t>
  </si>
  <si>
    <t>大関</t>
  </si>
  <si>
    <t>松本晴</t>
  </si>
  <si>
    <t>相良</t>
  </si>
  <si>
    <t>前田純</t>
  </si>
  <si>
    <t>大山</t>
  </si>
  <si>
    <t>髙橋隆</t>
  </si>
  <si>
    <t>緒方</t>
  </si>
  <si>
    <t>木村</t>
  </si>
  <si>
    <t>大野</t>
  </si>
  <si>
    <t>川村</t>
  </si>
  <si>
    <t>上茶谷</t>
  </si>
  <si>
    <t>藤田</t>
  </si>
  <si>
    <t>石見</t>
  </si>
  <si>
    <t>山本恵</t>
  </si>
  <si>
    <t>野村勇</t>
  </si>
  <si>
    <t>ザイレン</t>
  </si>
  <si>
    <t>藤野</t>
  </si>
  <si>
    <t>大泉</t>
  </si>
  <si>
    <t>桑原</t>
  </si>
  <si>
    <t>大友</t>
  </si>
  <si>
    <t>宮里</t>
  </si>
  <si>
    <t>広瀬</t>
  </si>
  <si>
    <t>佐倉</t>
  </si>
  <si>
    <t>中澤</t>
  </si>
  <si>
    <t>池田</t>
  </si>
  <si>
    <t>アルメンタ</t>
  </si>
  <si>
    <t xml:space="preserve">津嘉山 </t>
  </si>
  <si>
    <t>相原</t>
  </si>
  <si>
    <t>井﨑</t>
  </si>
  <si>
    <t>澤柳</t>
  </si>
  <si>
    <t>藤原</t>
  </si>
  <si>
    <t>漁府</t>
  </si>
  <si>
    <t>江崎</t>
  </si>
  <si>
    <t>大矢</t>
  </si>
  <si>
    <t>熊谷</t>
  </si>
  <si>
    <t>大橋</t>
  </si>
  <si>
    <t>鈴木貴</t>
  </si>
  <si>
    <t>塩士</t>
  </si>
  <si>
    <t>張</t>
  </si>
  <si>
    <t>長﨑</t>
  </si>
  <si>
    <t>エミール セラーノ プレンサ</t>
  </si>
  <si>
    <t>山下</t>
  </si>
  <si>
    <t>長水</t>
  </si>
  <si>
    <t xml:space="preserve">内野 </t>
  </si>
  <si>
    <t>岡植</t>
  </si>
  <si>
    <t>北斗</t>
  </si>
  <si>
    <t>重松</t>
  </si>
  <si>
    <t>佐藤航</t>
  </si>
  <si>
    <t>飛田</t>
  </si>
  <si>
    <t>西尾</t>
  </si>
  <si>
    <t>盛島</t>
  </si>
  <si>
    <t>モレノ</t>
  </si>
  <si>
    <t>川口</t>
  </si>
  <si>
    <t>村田</t>
  </si>
  <si>
    <t>渡邉 陸</t>
  </si>
  <si>
    <t>ジーター・ダウンズ</t>
  </si>
  <si>
    <t>稲川 竜汰</t>
  </si>
  <si>
    <t>徐 若熙</t>
  </si>
  <si>
    <t>村上 泰斗</t>
  </si>
  <si>
    <t>栗原 陵矢</t>
  </si>
  <si>
    <t>庄子 雄大</t>
  </si>
  <si>
    <t>鈴木 豪太</t>
  </si>
  <si>
    <t>安德 駿</t>
  </si>
  <si>
    <t>大江竜聖</t>
  </si>
  <si>
    <t>正木 智也</t>
  </si>
  <si>
    <t>リバン・モイネロ</t>
  </si>
  <si>
    <t>伊藤 優輔</t>
  </si>
  <si>
    <t>宇野 真仁朗</t>
  </si>
  <si>
    <t>藤井 皓哉</t>
  </si>
  <si>
    <t>相良 雅斗</t>
  </si>
  <si>
    <t>ロベルト・オスナ</t>
  </si>
  <si>
    <t>髙橋 隆慶</t>
  </si>
  <si>
    <t>木村 大成</t>
  </si>
  <si>
    <t>ダーウィンゾン・ヘルナンデス</t>
  </si>
  <si>
    <t>石見 颯真</t>
  </si>
  <si>
    <t>岩崎 峻典</t>
  </si>
  <si>
    <t>大友 宗</t>
  </si>
  <si>
    <t>広瀬 結煌</t>
  </si>
  <si>
    <t>河野 伸一朗</t>
  </si>
  <si>
    <t>池田 栞太</t>
  </si>
  <si>
    <t>津嘉山 憲志郎</t>
  </si>
  <si>
    <t>相原 雄太</t>
  </si>
  <si>
    <t>岡田 皓一朗</t>
  </si>
  <si>
    <t>漁府 輝羽</t>
  </si>
  <si>
    <t>江崎 歩</t>
  </si>
  <si>
    <t>大矢 琉晟</t>
  </si>
  <si>
    <t>木下 勇人</t>
  </si>
  <si>
    <t>熊谷 太雅</t>
  </si>
  <si>
    <t>大橋 令和</t>
  </si>
  <si>
    <t>鈴木 貴大</t>
  </si>
  <si>
    <t>塩士 暖</t>
  </si>
  <si>
    <t>張 峻ウェイ</t>
  </si>
  <si>
    <t>長﨑 蓮汰</t>
  </si>
  <si>
    <t>川口 冬弥</t>
  </si>
  <si>
    <t>齋藤</t>
  </si>
  <si>
    <t>石井一</t>
  </si>
  <si>
    <t>源田</t>
  </si>
  <si>
    <t>渡部聖</t>
    <rPh sb="0" eb="2">
      <t>ワタベ</t>
    </rPh>
    <rPh sb="2" eb="3">
      <t>ヒジリ</t>
    </rPh>
    <phoneticPr fontId="1"/>
  </si>
  <si>
    <t>蛭間</t>
  </si>
  <si>
    <t>小島</t>
  </si>
  <si>
    <t>上田</t>
  </si>
  <si>
    <t>與座</t>
  </si>
  <si>
    <t>隅田</t>
  </si>
  <si>
    <t>佐藤隼</t>
  </si>
  <si>
    <t>岩城</t>
  </si>
  <si>
    <t>武内</t>
  </si>
  <si>
    <t>古賀悠</t>
    <rPh sb="2" eb="3">
      <t>ユウ</t>
    </rPh>
    <phoneticPr fontId="1"/>
  </si>
  <si>
    <t>カナリオ</t>
  </si>
  <si>
    <t>ネビン</t>
  </si>
  <si>
    <t>炭谷</t>
  </si>
  <si>
    <t>青山</t>
  </si>
  <si>
    <t>ワイナンス</t>
  </si>
  <si>
    <t>茶野</t>
  </si>
  <si>
    <t>古川</t>
  </si>
  <si>
    <t>甲斐野</t>
  </si>
  <si>
    <t>山田陽</t>
  </si>
  <si>
    <t>佐藤太</t>
  </si>
  <si>
    <t>平沢</t>
  </si>
  <si>
    <t>堀越</t>
  </si>
  <si>
    <t>成田</t>
  </si>
  <si>
    <t>ボー</t>
  </si>
  <si>
    <t>ウィンゲンター</t>
  </si>
  <si>
    <t>狩生</t>
  </si>
  <si>
    <t>髙松</t>
  </si>
  <si>
    <t>篠原</t>
    <phoneticPr fontId="1"/>
  </si>
  <si>
    <t>黒木</t>
  </si>
  <si>
    <t>仲三</t>
    <phoneticPr fontId="1"/>
  </si>
  <si>
    <t>中村祐</t>
    <rPh sb="2" eb="3">
      <t>ユウ</t>
    </rPh>
    <phoneticPr fontId="1"/>
  </si>
  <si>
    <t>横田</t>
  </si>
  <si>
    <t>滝澤</t>
  </si>
  <si>
    <t>龍山</t>
  </si>
  <si>
    <t>川田</t>
  </si>
  <si>
    <t>豆田</t>
  </si>
  <si>
    <t>菅井</t>
  </si>
  <si>
    <t>林安可</t>
  </si>
  <si>
    <t>浜屋</t>
  </si>
  <si>
    <t>ムサ</t>
  </si>
  <si>
    <t>フレッド</t>
  </si>
  <si>
    <t>トバー</t>
  </si>
  <si>
    <t>オリバー</t>
  </si>
  <si>
    <t>新井</t>
  </si>
  <si>
    <t>今岡</t>
  </si>
  <si>
    <t>野田</t>
  </si>
  <si>
    <t>上間</t>
  </si>
  <si>
    <t>奥村</t>
  </si>
  <si>
    <t>宮澤</t>
  </si>
  <si>
    <t>斎藤佳</t>
  </si>
  <si>
    <t>古賀輝</t>
  </si>
  <si>
    <t>野村大</t>
  </si>
  <si>
    <t>三浦大</t>
  </si>
  <si>
    <t>是澤</t>
  </si>
  <si>
    <t>冨士</t>
  </si>
  <si>
    <t>濱岡</t>
  </si>
  <si>
    <t>谷口</t>
  </si>
  <si>
    <t>森脇</t>
  </si>
  <si>
    <t>平口</t>
  </si>
  <si>
    <t>川下</t>
  </si>
  <si>
    <t>金子</t>
  </si>
  <si>
    <t>木瀬</t>
  </si>
  <si>
    <t>ラマル</t>
  </si>
  <si>
    <t>佐藤爽</t>
  </si>
  <si>
    <t>安藤</t>
  </si>
  <si>
    <t>高橋礼</t>
  </si>
  <si>
    <t>澤田</t>
  </si>
  <si>
    <t>福尾</t>
  </si>
  <si>
    <t>オケム</t>
  </si>
  <si>
    <t>齋藤 大翔</t>
  </si>
  <si>
    <t>渡部 聖弥</t>
  </si>
  <si>
    <t>小島 大河</t>
  </si>
  <si>
    <t>隅田 知一郎</t>
  </si>
  <si>
    <t>佐藤 隼輔</t>
  </si>
  <si>
    <t>岩城 颯空</t>
  </si>
  <si>
    <t>アレクサンダー・カナリオ</t>
  </si>
  <si>
    <t>タイラー・ネビン</t>
  </si>
  <si>
    <t>アラン・ワイナンス</t>
  </si>
  <si>
    <t>秋山 俊</t>
  </si>
  <si>
    <t>佐藤　太陽</t>
  </si>
  <si>
    <t>堀越 啓太</t>
  </si>
  <si>
    <t>羽田 慎之介</t>
  </si>
  <si>
    <t>林 冠臣</t>
  </si>
  <si>
    <t>トレイ・ウィンゲンター</t>
  </si>
  <si>
    <t>狩生 聖真</t>
  </si>
  <si>
    <t>篠原 響</t>
  </si>
  <si>
    <t>黒木 優太</t>
  </si>
  <si>
    <t>仲三 優太</t>
    <phoneticPr fontId="1"/>
  </si>
  <si>
    <t>エマニュエル・ラミレス</t>
  </si>
  <si>
    <t>黒田 将矢</t>
  </si>
  <si>
    <t>横田 蒼和</t>
  </si>
  <si>
    <t>龍山 暖</t>
  </si>
  <si>
    <t>川田 悠慎</t>
  </si>
  <si>
    <t>林 安可</t>
  </si>
  <si>
    <t>ムサ・イサビリエ</t>
  </si>
  <si>
    <t>フレッド・チャッゼ</t>
  </si>
  <si>
    <t>カルロス・トバー</t>
  </si>
  <si>
    <t>ホルヘ・ゴンザレス</t>
  </si>
  <si>
    <t>ロニー・オリバー</t>
  </si>
  <si>
    <t>新井 唯斗</t>
  </si>
  <si>
    <t>今岡 拓夢</t>
  </si>
  <si>
    <t>斎藤 佳紳</t>
  </si>
  <si>
    <t>古賀 輝希</t>
  </si>
  <si>
    <t>冨士 大和</t>
  </si>
  <si>
    <t>濱岡 蒼太</t>
  </si>
  <si>
    <t>平口 寛人</t>
  </si>
  <si>
    <t>佐藤 爽</t>
  </si>
  <si>
    <t>正木 悠馬</t>
  </si>
  <si>
    <t>安藤 銀杜</t>
  </si>
  <si>
    <t>澤田 遥斗</t>
  </si>
  <si>
    <t>福尾 遥真</t>
  </si>
  <si>
    <t>郡司</t>
  </si>
  <si>
    <t>野村</t>
  </si>
  <si>
    <t>カストロ</t>
  </si>
  <si>
    <t>清水優</t>
    <rPh sb="0" eb="2">
      <t>シミズ</t>
    </rPh>
    <rPh sb="2" eb="3">
      <t>ユウ</t>
    </rPh>
    <phoneticPr fontId="1"/>
  </si>
  <si>
    <t>加藤貴</t>
    <rPh sb="2" eb="3">
      <t>タカ</t>
    </rPh>
    <phoneticPr fontId="1"/>
  </si>
  <si>
    <t>上原</t>
  </si>
  <si>
    <t>清宮幸</t>
    <rPh sb="2" eb="3">
      <t>コウ</t>
    </rPh>
    <phoneticPr fontId="1"/>
  </si>
  <si>
    <t>田中正義</t>
  </si>
  <si>
    <t>大川</t>
  </si>
  <si>
    <t>ラオ</t>
  </si>
  <si>
    <t>藤田琉</t>
  </si>
  <si>
    <t>堀</t>
  </si>
  <si>
    <t>浅利</t>
  </si>
  <si>
    <t>古林</t>
  </si>
  <si>
    <t>島本</t>
  </si>
  <si>
    <t>福谷</t>
  </si>
  <si>
    <t>エドポロ</t>
  </si>
  <si>
    <t>柳川</t>
  </si>
  <si>
    <t>齋藤友</t>
    <rPh sb="0" eb="2">
      <t>サイトウ</t>
    </rPh>
    <rPh sb="2" eb="3">
      <t>トモ</t>
    </rPh>
    <phoneticPr fontId="1"/>
  </si>
  <si>
    <t>大塚</t>
  </si>
  <si>
    <t>半田</t>
  </si>
  <si>
    <t>山縣</t>
  </si>
  <si>
    <t>菊地</t>
  </si>
  <si>
    <t>藤森</t>
  </si>
  <si>
    <t>吉田賢</t>
  </si>
  <si>
    <t>清水大</t>
  </si>
  <si>
    <t>有原</t>
  </si>
  <si>
    <t>梅林</t>
  </si>
  <si>
    <t>レイエス</t>
  </si>
  <si>
    <t>濵田</t>
  </si>
  <si>
    <t>加藤大</t>
  </si>
  <si>
    <t>清宮虎</t>
  </si>
  <si>
    <t>松岡</t>
  </si>
  <si>
    <t>宮内</t>
  </si>
  <si>
    <t>川勝</t>
  </si>
  <si>
    <t>澁谷</t>
  </si>
  <si>
    <t>常谷</t>
  </si>
  <si>
    <t>横山</t>
  </si>
  <si>
    <t>藤田大</t>
    <rPh sb="2" eb="3">
      <t>ダイ</t>
    </rPh>
    <phoneticPr fontId="1"/>
  </si>
  <si>
    <t>山口</t>
  </si>
  <si>
    <t>安西</t>
  </si>
  <si>
    <t>根本</t>
  </si>
  <si>
    <t>星野</t>
  </si>
  <si>
    <t>アリエル・マルティネス</t>
  </si>
  <si>
    <t>ロドルフォ・カストロ</t>
  </si>
  <si>
    <t>西川 遥輝</t>
  </si>
  <si>
    <t>山﨑 福也</t>
  </si>
  <si>
    <t>田中 正義</t>
  </si>
  <si>
    <t>大川 慈英</t>
  </si>
  <si>
    <t>細野 晴希</t>
  </si>
  <si>
    <t>サウリン・ラオ</t>
  </si>
  <si>
    <t>柴田 獅子</t>
  </si>
  <si>
    <t>藤田 琉生</t>
  </si>
  <si>
    <t>進藤 勇也</t>
  </si>
  <si>
    <t>浅利 太門</t>
  </si>
  <si>
    <t>宮崎 一樹</t>
  </si>
  <si>
    <t>古林 睿煬</t>
  </si>
  <si>
    <t>エドポロ ケイン</t>
  </si>
  <si>
    <t>大塚 瑠晏</t>
  </si>
  <si>
    <t>半田 南十</t>
  </si>
  <si>
    <t>水谷 瞬</t>
  </si>
  <si>
    <t>山縣 秀</t>
  </si>
  <si>
    <t>藤森 海斗</t>
  </si>
  <si>
    <t>清水 大暉</t>
  </si>
  <si>
    <t>山城 航太郎</t>
  </si>
  <si>
    <t>明瀬 諒介</t>
  </si>
  <si>
    <t>フランミル・レイエス</t>
  </si>
  <si>
    <t>川勝 空人</t>
  </si>
  <si>
    <t>澁谷 純希</t>
  </si>
  <si>
    <t>常谷 拓輝</t>
  </si>
  <si>
    <t>横山 永遠</t>
  </si>
  <si>
    <t>安西 叶翔</t>
  </si>
  <si>
    <t>星野 ひので</t>
  </si>
  <si>
    <t>髙部</t>
  </si>
  <si>
    <t>友杉</t>
  </si>
  <si>
    <t>藤岡</t>
  </si>
  <si>
    <t>毛利</t>
  </si>
  <si>
    <t>種市</t>
  </si>
  <si>
    <t>石垣元</t>
  </si>
  <si>
    <t>石川柊</t>
  </si>
  <si>
    <t>石川慎</t>
  </si>
  <si>
    <t>大谷</t>
  </si>
  <si>
    <t>高野</t>
  </si>
  <si>
    <t>田中</t>
  </si>
  <si>
    <t>小野</t>
  </si>
  <si>
    <t>一條</t>
  </si>
  <si>
    <t>石垣勝</t>
  </si>
  <si>
    <t>宮崎竜</t>
  </si>
  <si>
    <t>植田</t>
  </si>
  <si>
    <t>鈴木昭</t>
  </si>
  <si>
    <t>立松</t>
  </si>
  <si>
    <t>河村</t>
  </si>
  <si>
    <t>早坂</t>
  </si>
  <si>
    <t>大聖</t>
  </si>
  <si>
    <t>坂井</t>
  </si>
  <si>
    <t>和田</t>
    <rPh sb="0" eb="2">
      <t>ワダ</t>
    </rPh>
    <phoneticPr fontId="1"/>
  </si>
  <si>
    <t>廣池</t>
  </si>
  <si>
    <t>寺地</t>
  </si>
  <si>
    <t>宮﨑颯</t>
  </si>
  <si>
    <t>岡村</t>
  </si>
  <si>
    <t>ロング</t>
  </si>
  <si>
    <t>吉川</t>
  </si>
  <si>
    <t>金田</t>
  </si>
  <si>
    <t>本前</t>
  </si>
  <si>
    <t>中村亮</t>
  </si>
  <si>
    <t>永島田</t>
  </si>
  <si>
    <t>髙橋</t>
  </si>
  <si>
    <t>谷村</t>
  </si>
  <si>
    <t>長島</t>
  </si>
  <si>
    <t>松石</t>
  </si>
  <si>
    <t>富山</t>
  </si>
  <si>
    <t>山﨑剛</t>
  </si>
  <si>
    <t>ラドニー</t>
  </si>
  <si>
    <t>アセベド</t>
  </si>
  <si>
    <t>池田 来翔</t>
  </si>
  <si>
    <t>髙部 瑛斗</t>
  </si>
  <si>
    <t>藤原 恭大</t>
  </si>
  <si>
    <t>松川 虎生</t>
  </si>
  <si>
    <t>西川 史礁</t>
  </si>
  <si>
    <t>毛利 海大</t>
  </si>
  <si>
    <t>小島 和哉</t>
  </si>
  <si>
    <t>石垣 元気</t>
  </si>
  <si>
    <t>グレゴリー・ポランコ</t>
  </si>
  <si>
    <t>廣畑 敦也</t>
  </si>
  <si>
    <t>八木 彬</t>
  </si>
  <si>
    <t>奥村 頼人</t>
  </si>
  <si>
    <t>一條 力真</t>
  </si>
  <si>
    <t>石垣 勝海</t>
  </si>
  <si>
    <t>宮崎 竜成</t>
  </si>
  <si>
    <t>冨士 隼斗</t>
  </si>
  <si>
    <t>立松 由宇</t>
  </si>
  <si>
    <t>櫻井 ユウヤ</t>
  </si>
  <si>
    <t>坂井 遼</t>
  </si>
  <si>
    <t>廣池 康志郎</t>
  </si>
  <si>
    <t>岡村 了樹</t>
  </si>
  <si>
    <t>ネフタリ・ソト</t>
  </si>
  <si>
    <t>本前 郁也</t>
  </si>
  <si>
    <t>森 遼大朗</t>
  </si>
  <si>
    <t>秋山 正雲</t>
  </si>
  <si>
    <t>中山 優人</t>
  </si>
  <si>
    <t>髙橋 快秀</t>
  </si>
  <si>
    <t>杉山 諒</t>
  </si>
  <si>
    <t>谷村 剛</t>
  </si>
  <si>
    <t>茨木 佑太</t>
  </si>
  <si>
    <t>長島 幸佑</t>
  </si>
  <si>
    <t>太田</t>
  </si>
  <si>
    <t>麦谷</t>
  </si>
  <si>
    <t>野口</t>
  </si>
  <si>
    <t>寺西</t>
  </si>
  <si>
    <t>椋木</t>
  </si>
  <si>
    <t>曽谷</t>
  </si>
  <si>
    <t>内藤</t>
  </si>
  <si>
    <t>齋藤響</t>
  </si>
  <si>
    <t>廣岡</t>
  </si>
  <si>
    <t>藤川</t>
  </si>
  <si>
    <t>杉澤</t>
  </si>
  <si>
    <t>古田島</t>
  </si>
  <si>
    <t>森陽</t>
  </si>
  <si>
    <t>岩嵜</t>
  </si>
  <si>
    <t>佐藤龍</t>
  </si>
  <si>
    <t>髙谷</t>
  </si>
  <si>
    <t>シーモア</t>
  </si>
  <si>
    <t>山中</t>
  </si>
  <si>
    <t>横山楓</t>
  </si>
  <si>
    <t>窪田</t>
  </si>
  <si>
    <t>ペルドモ</t>
  </si>
  <si>
    <t>野上</t>
  </si>
  <si>
    <t>平沼</t>
  </si>
  <si>
    <t>博志</t>
  </si>
  <si>
    <t>入山</t>
  </si>
  <si>
    <t>ジェリー</t>
  </si>
  <si>
    <t>佐藤一</t>
    <rPh sb="2" eb="3">
      <t>イチ</t>
    </rPh>
    <phoneticPr fontId="1"/>
  </si>
  <si>
    <t>川瀬堅</t>
  </si>
  <si>
    <t>髙島</t>
  </si>
  <si>
    <t>権田</t>
  </si>
  <si>
    <t>三方</t>
  </si>
  <si>
    <t>マシュー</t>
  </si>
  <si>
    <t>陳睦衡</t>
  </si>
  <si>
    <t>寿賀</t>
  </si>
  <si>
    <t>宮國</t>
  </si>
  <si>
    <t>芦田</t>
  </si>
  <si>
    <t>今坂</t>
  </si>
  <si>
    <t>052</t>
  </si>
  <si>
    <t>053</t>
  </si>
  <si>
    <t>054</t>
  </si>
  <si>
    <t>寺本</t>
  </si>
  <si>
    <t>055</t>
  </si>
  <si>
    <t>田島</t>
  </si>
  <si>
    <t>056</t>
  </si>
  <si>
    <t>乾</t>
  </si>
  <si>
    <t>小木田</t>
  </si>
  <si>
    <t>宇田川</t>
  </si>
  <si>
    <t>大里</t>
  </si>
  <si>
    <t>本田</t>
  </si>
  <si>
    <t>香月</t>
  </si>
  <si>
    <t xml:space="preserve">前 </t>
  </si>
  <si>
    <t>東山</t>
  </si>
  <si>
    <t>河内</t>
  </si>
  <si>
    <t>宜保</t>
  </si>
  <si>
    <t>アンダーソン・エスピノーザ</t>
  </si>
  <si>
    <t>若月 健矢</t>
    <phoneticPr fontId="1"/>
  </si>
  <si>
    <t>麦谷 祐介</t>
  </si>
  <si>
    <t>寺西 成騎</t>
  </si>
  <si>
    <t>藤川 敦也</t>
  </si>
  <si>
    <t>森 陽樹</t>
  </si>
  <si>
    <t>佐藤 龍月</t>
  </si>
  <si>
    <t>アンドレス・マチャド</t>
  </si>
  <si>
    <t>髙谷 舟</t>
  </si>
  <si>
    <t>山口 廉王</t>
  </si>
  <si>
    <t>片山 楽生</t>
  </si>
  <si>
    <t>山中 稜真</t>
  </si>
  <si>
    <t>窪田 洋祐</t>
  </si>
  <si>
    <t>ルイス・ペルドモ</t>
  </si>
  <si>
    <t>野上 士耀</t>
  </si>
  <si>
    <t>三方 陽登</t>
  </si>
  <si>
    <t>中西 創大</t>
  </si>
  <si>
    <t>渡邉 一生</t>
  </si>
  <si>
    <t>陳 睦衡</t>
  </si>
  <si>
    <t>今坂 幸暉</t>
  </si>
  <si>
    <t>清水 武蔵</t>
  </si>
  <si>
    <t>上原 堆我</t>
  </si>
  <si>
    <t>寺本 聖一</t>
  </si>
  <si>
    <t>田島 光祐</t>
  </si>
  <si>
    <t>乾 健斗</t>
  </si>
  <si>
    <t>東山 玲士</t>
  </si>
  <si>
    <t>宗山</t>
  </si>
  <si>
    <t>村林</t>
  </si>
  <si>
    <t>ボイト</t>
  </si>
  <si>
    <t>コントレラス</t>
  </si>
  <si>
    <t>古謝</t>
  </si>
  <si>
    <t>前田健</t>
  </si>
  <si>
    <t>伊藤樹</t>
  </si>
  <si>
    <t>黒川</t>
  </si>
  <si>
    <t xml:space="preserve">中込 </t>
  </si>
  <si>
    <t>伊藤光</t>
  </si>
  <si>
    <t>繁永</t>
  </si>
  <si>
    <t>中島</t>
  </si>
  <si>
    <t>マッカスカー</t>
  </si>
  <si>
    <t>渡邊佳明</t>
  </si>
  <si>
    <t>吉納</t>
  </si>
  <si>
    <t>佐藤直</t>
  </si>
  <si>
    <t>伊藤裕</t>
  </si>
  <si>
    <t>江原</t>
  </si>
  <si>
    <t>加治屋</t>
  </si>
  <si>
    <t>阪上</t>
  </si>
  <si>
    <t>九谷</t>
  </si>
  <si>
    <t>藤平</t>
  </si>
  <si>
    <t>日當</t>
  </si>
  <si>
    <t>YG安田</t>
  </si>
  <si>
    <t>ワォーターズ</t>
  </si>
  <si>
    <t>西口</t>
  </si>
  <si>
    <t>今野</t>
  </si>
  <si>
    <t>大内</t>
  </si>
  <si>
    <t>青野</t>
  </si>
  <si>
    <t>大栄</t>
  </si>
  <si>
    <t>小森</t>
  </si>
  <si>
    <t>陽柏翔</t>
  </si>
  <si>
    <t xml:space="preserve">吉野 </t>
  </si>
  <si>
    <t>伊藤大</t>
  </si>
  <si>
    <t>水上</t>
  </si>
  <si>
    <t>德山</t>
  </si>
  <si>
    <t>061</t>
  </si>
  <si>
    <t>松田</t>
  </si>
  <si>
    <t>079</t>
  </si>
  <si>
    <t>前田銀</t>
    <rPh sb="2" eb="3">
      <t>ギン</t>
    </rPh>
    <phoneticPr fontId="1"/>
  </si>
  <si>
    <t>島原</t>
  </si>
  <si>
    <t>幌村</t>
  </si>
  <si>
    <t>大坪</t>
  </si>
  <si>
    <t>中沢</t>
  </si>
  <si>
    <t>蕭齊</t>
  </si>
  <si>
    <t>宗山 塁</t>
  </si>
  <si>
    <t>ルーク・ボイト</t>
  </si>
  <si>
    <t>オスカー・ゴンザレス</t>
  </si>
  <si>
    <t>藤原 聡大</t>
  </si>
  <si>
    <t>ロアンシー・コントレラス</t>
  </si>
  <si>
    <t>前田 健太</t>
  </si>
  <si>
    <t>伊藤 樹</t>
  </si>
  <si>
    <t>ホセ・ウレーニャ</t>
  </si>
  <si>
    <t>中込 陽翔</t>
  </si>
  <si>
    <t>繁永 晟</t>
  </si>
  <si>
    <t>カーソン・マッカスカー</t>
  </si>
  <si>
    <t>渡邊 佳明</t>
  </si>
  <si>
    <t>吉納 翼</t>
  </si>
  <si>
    <t>江原 雅裕</t>
  </si>
  <si>
    <t>阪上 翔也</t>
  </si>
  <si>
    <t>九谷 瑠</t>
  </si>
  <si>
    <t>藤平 尚真</t>
  </si>
  <si>
    <t>西垣 雅矢</t>
  </si>
  <si>
    <t>津留﨑 大成</t>
  </si>
  <si>
    <t>泰 勝利</t>
  </si>
  <si>
    <t>ワォーターズ 璃海ジュミル</t>
  </si>
  <si>
    <t>今野 龍太</t>
  </si>
  <si>
    <t>柴田 大地</t>
  </si>
  <si>
    <t>大栄 利哉</t>
  </si>
  <si>
    <t>小森 航大郎</t>
  </si>
  <si>
    <t>陽 柏翔</t>
  </si>
  <si>
    <t>伊藤 大晟</t>
  </si>
  <si>
    <t>德山 一翔</t>
  </si>
  <si>
    <t>島原 大河</t>
  </si>
  <si>
    <t>幌村 黛汰</t>
  </si>
  <si>
    <t>大坪 梓恩</t>
  </si>
  <si>
    <t>岸本 佑也</t>
  </si>
  <si>
    <t>中沢 匠磨</t>
  </si>
  <si>
    <t>金子 京介</t>
  </si>
  <si>
    <t>蕭 齊</t>
  </si>
  <si>
    <t>牧原</t>
  </si>
  <si>
    <t>佐藤輝</t>
    <rPh sb="2" eb="3">
      <t>テル</t>
    </rPh>
    <phoneticPr fontId="1"/>
  </si>
  <si>
    <t>吉田正</t>
    <rPh sb="2" eb="3">
      <t>タダ</t>
    </rPh>
    <phoneticPr fontId="1"/>
  </si>
  <si>
    <t>鈴木誠</t>
    <rPh sb="2" eb="3">
      <t>マコト</t>
    </rPh>
    <phoneticPr fontId="1"/>
  </si>
  <si>
    <t>石垣</t>
    <phoneticPr fontId="1"/>
  </si>
  <si>
    <t>湯浅</t>
    <phoneticPr fontId="1"/>
  </si>
  <si>
    <t>石上泰</t>
    <phoneticPr fontId="1"/>
  </si>
  <si>
    <t>山本大</t>
    <phoneticPr fontId="1"/>
  </si>
  <si>
    <t>不明</t>
    <rPh sb="0" eb="2">
      <t>フメイ</t>
    </rPh>
    <phoneticPr fontId="1"/>
  </si>
  <si>
    <t>菅野</t>
  </si>
  <si>
    <t>菊池 雄星</t>
  </si>
  <si>
    <t>村上 宗隆</t>
  </si>
  <si>
    <t>大谷 翔平</t>
  </si>
  <si>
    <t>不明選手</t>
    <rPh sb="0" eb="4">
      <t>フメイセンシュ</t>
    </rPh>
    <phoneticPr fontId="1"/>
  </si>
  <si>
    <t>髙橋宏斗</t>
    <rPh sb="2" eb="4">
      <t>ヒロト</t>
    </rPh>
    <phoneticPr fontId="1"/>
  </si>
  <si>
    <t>松本裕</t>
    <rPh sb="2" eb="3">
      <t>ヒロ</t>
    </rPh>
    <phoneticPr fontId="1"/>
  </si>
  <si>
    <t>ダニエル・パレンシア</t>
  </si>
  <si>
    <t>エドゥアルド・ロドリゲス</t>
  </si>
  <si>
    <t>ケイダー・モンテロ</t>
  </si>
  <si>
    <t>レンジャー・スアレス</t>
  </si>
  <si>
    <t>アンヘル・セルパ</t>
  </si>
  <si>
    <t>リカルド・サンチェス</t>
  </si>
  <si>
    <t>ホセ・ブット</t>
  </si>
  <si>
    <t>ヨエンドリス・ゴメス</t>
  </si>
  <si>
    <t>サルバドール・ペレス</t>
  </si>
  <si>
    <t>ウィリアム・コントレラス</t>
  </si>
  <si>
    <t>アンドレス・ヒメネス</t>
  </si>
  <si>
    <t>ルイス・アラエス</t>
  </si>
  <si>
    <t>エウヘニオ・スアレス</t>
  </si>
  <si>
    <t>マイケル・ガルシア</t>
  </si>
  <si>
    <t>グレイバー・トーレス</t>
  </si>
  <si>
    <t>ウィルソン・コントレラス</t>
  </si>
  <si>
    <t>ジャクソン・チョーリオ</t>
  </si>
  <si>
    <t>ハビアー・サノハ</t>
  </si>
  <si>
    <t>ウィルヤー・アブレイユ</t>
  </si>
  <si>
    <t>ロナルド・アクーニャ・ジュニア</t>
  </si>
  <si>
    <t>パレンシア</t>
  </si>
  <si>
    <t>セルパ</t>
  </si>
  <si>
    <t>サンチェス</t>
  </si>
  <si>
    <t>ブット</t>
  </si>
  <si>
    <t>バザード</t>
  </si>
  <si>
    <t>ゴメス</t>
  </si>
  <si>
    <t>ペレス</t>
  </si>
  <si>
    <t>ヒメネス</t>
  </si>
  <si>
    <t>アラエス</t>
  </si>
  <si>
    <t>トーバー</t>
  </si>
  <si>
    <t>トーレス</t>
  </si>
  <si>
    <t>チョーリオ</t>
  </si>
  <si>
    <t>サノハ</t>
  </si>
  <si>
    <t>ベネズエラ</t>
    <phoneticPr fontId="1"/>
  </si>
  <si>
    <t>日本</t>
    <rPh sb="0" eb="2">
      <t>ニホン</t>
    </rPh>
    <phoneticPr fontId="1"/>
  </si>
  <si>
    <t>-</t>
  </si>
  <si>
    <t>23</t>
  </si>
  <si>
    <t>2</t>
  </si>
  <si>
    <t>7</t>
  </si>
  <si>
    <t>25</t>
  </si>
  <si>
    <t>4</t>
  </si>
  <si>
    <t>16</t>
  </si>
  <si>
    <t>Willi.コントレラス</t>
    <phoneticPr fontId="1"/>
  </si>
  <si>
    <t>Wills.コントレラス</t>
    <phoneticPr fontId="1"/>
  </si>
  <si>
    <t>12</t>
  </si>
  <si>
    <t>27</t>
  </si>
  <si>
    <t>3</t>
  </si>
  <si>
    <t>5</t>
  </si>
  <si>
    <t>6</t>
  </si>
  <si>
    <t>55</t>
  </si>
  <si>
    <t>8</t>
  </si>
  <si>
    <t>20</t>
  </si>
  <si>
    <t>34</t>
  </si>
  <si>
    <t>51</t>
  </si>
  <si>
    <t>指</t>
  </si>
  <si>
    <t>メイソン・ミラー</t>
  </si>
  <si>
    <t>クレイトン・カーショウ</t>
  </si>
  <si>
    <t>ノーラン・マクリーン</t>
  </si>
  <si>
    <t>タリック・スクーバル</t>
  </si>
  <si>
    <t>ポール・スキーンズ</t>
  </si>
  <si>
    <t>マシュー・ボイド</t>
  </si>
  <si>
    <t>クレイ・ホームズ</t>
  </si>
  <si>
    <t>ブラッド・ケラー</t>
  </si>
  <si>
    <t>ライアン・ヤーブロー</t>
  </si>
  <si>
    <t>グリフィン・ジャックス</t>
  </si>
  <si>
    <t>マイケル・ワカ</t>
  </si>
  <si>
    <t>ギャレット・ウィットロック</t>
  </si>
  <si>
    <t>ローガン・ウェブ</t>
  </si>
  <si>
    <t>ウィル・ベスト</t>
  </si>
  <si>
    <t>ティム・ヒル</t>
  </si>
  <si>
    <t>ウィル・スミス</t>
  </si>
  <si>
    <t>カル・ローリー</t>
  </si>
  <si>
    <t>アレックス・ブレグマン</t>
  </si>
  <si>
    <t>アーニー・クレメント</t>
  </si>
  <si>
    <t>ボビー・ウィット・ジュニア</t>
  </si>
  <si>
    <t>ガナー・ヘンダーソン</t>
  </si>
  <si>
    <t>ブライス・トゥラング</t>
  </si>
  <si>
    <t>ブライス・ハーパー</t>
  </si>
  <si>
    <t>ポール・ゴールドシュミット</t>
  </si>
  <si>
    <t>ロマン・アンソニー</t>
  </si>
  <si>
    <t>ピート・クロウ＝アームストロング</t>
  </si>
  <si>
    <t>バイロン・バクストン</t>
  </si>
  <si>
    <t>アーロン・ジャッジ</t>
  </si>
  <si>
    <t>カイル・シュワーバー</t>
  </si>
  <si>
    <t>ミラー</t>
  </si>
  <si>
    <t>カーショウ</t>
  </si>
  <si>
    <t>マクリーン</t>
  </si>
  <si>
    <t>スクーバル</t>
  </si>
  <si>
    <t>スキーンズ</t>
  </si>
  <si>
    <t>ボイド</t>
  </si>
  <si>
    <t>ホームズ</t>
  </si>
  <si>
    <t>ヤーブロー</t>
  </si>
  <si>
    <t>ジャックス</t>
  </si>
  <si>
    <t>ワカ</t>
  </si>
  <si>
    <t>ベッドナー</t>
  </si>
  <si>
    <t>スパイアー</t>
  </si>
  <si>
    <t>ウィットロック</t>
  </si>
  <si>
    <t>ウェブ</t>
  </si>
  <si>
    <t>ベスト</t>
  </si>
  <si>
    <t>ヒル</t>
  </si>
  <si>
    <t>スミス</t>
  </si>
  <si>
    <t>ローリー</t>
  </si>
  <si>
    <t>ブレグマン</t>
  </si>
  <si>
    <t>クレメント</t>
  </si>
  <si>
    <t>ヘンダーソン</t>
  </si>
  <si>
    <t>トゥラング</t>
  </si>
  <si>
    <t>ハーパー</t>
  </si>
  <si>
    <t>ゴールドシュミット</t>
  </si>
  <si>
    <t>アンソニー</t>
  </si>
  <si>
    <t>クロウ＝アームストロング</t>
  </si>
  <si>
    <t>バクストン</t>
  </si>
  <si>
    <t>ジャッジ</t>
  </si>
  <si>
    <t>シュワーバー</t>
  </si>
  <si>
    <t>ジョーダン・バラゾビック</t>
  </si>
  <si>
    <t>ローガン・アレン</t>
  </si>
  <si>
    <t>マット・ウィルキンソン</t>
  </si>
  <si>
    <t>フィリップ・オーモン</t>
  </si>
  <si>
    <t>カル・クアントリル</t>
  </si>
  <si>
    <t>インディゴ・ディアス</t>
  </si>
  <si>
    <t>ロブ・ザストリズニー</t>
  </si>
  <si>
    <t>エリック・セラントラ</t>
  </si>
  <si>
    <t>アダム・マッコ</t>
  </si>
  <si>
    <t>ジェームズ・パクストン</t>
  </si>
  <si>
    <t>ボー・ネイラー</t>
  </si>
  <si>
    <t>リアム・ヒックス</t>
  </si>
  <si>
    <t>アダム・ホール</t>
  </si>
  <si>
    <t>オット・ロペス</t>
  </si>
  <si>
    <t>タイラー・ブラック</t>
  </si>
  <si>
    <t>ジョシュ・ネイラー</t>
  </si>
  <si>
    <t>エドゥアルド・ジュリエン</t>
  </si>
  <si>
    <t>マット・デビッドソン</t>
  </si>
  <si>
    <t>エイブラハム・トロ</t>
  </si>
  <si>
    <t>デンゼル・クラーク</t>
  </si>
  <si>
    <t>ジェイコブ・ロブソン</t>
  </si>
  <si>
    <t>タイラー・オニール</t>
  </si>
  <si>
    <t>オーウェン・ケイシー</t>
  </si>
  <si>
    <t>ジャレッド・ヤング</t>
  </si>
  <si>
    <t>バラゾビック</t>
  </si>
  <si>
    <t>アレン</t>
  </si>
  <si>
    <t>スキロー</t>
  </si>
  <si>
    <t>ウィルキンソン</t>
  </si>
  <si>
    <t>オーモン</t>
  </si>
  <si>
    <t>ソロカ</t>
  </si>
  <si>
    <t>クアントリル</t>
  </si>
  <si>
    <t>ザストリズニー</t>
  </si>
  <si>
    <t>セラントラ</t>
  </si>
  <si>
    <t>マッコ</t>
  </si>
  <si>
    <t>パクストン</t>
  </si>
  <si>
    <t>ヒックス</t>
  </si>
  <si>
    <t>ホール</t>
  </si>
  <si>
    <t>ブラック</t>
  </si>
  <si>
    <t>ジュリエン</t>
  </si>
  <si>
    <t>デビッドソン</t>
  </si>
  <si>
    <t>トロ</t>
  </si>
  <si>
    <t>クラーク</t>
  </si>
  <si>
    <t>ロブソン</t>
  </si>
  <si>
    <t>オニール</t>
  </si>
  <si>
    <t>ケイシー</t>
  </si>
  <si>
    <t>ヤング</t>
  </si>
  <si>
    <t>カルロス・グーズマン</t>
  </si>
  <si>
    <t>アントニオ・センザテラ</t>
  </si>
  <si>
    <t>クリスティアン・スアレス</t>
  </si>
  <si>
    <t>ジョナサン・ディアス</t>
  </si>
  <si>
    <t>エドワード・バザード</t>
  </si>
  <si>
    <t>エセキエル・トーバー</t>
  </si>
  <si>
    <t>グーズマン</t>
  </si>
  <si>
    <t>センザテラ</t>
  </si>
  <si>
    <t>モリーナ</t>
    <phoneticPr fontId="1"/>
  </si>
  <si>
    <t>デヘスス</t>
    <phoneticPr fontId="1"/>
  </si>
  <si>
    <t>アビラ</t>
    <phoneticPr fontId="1"/>
  </si>
  <si>
    <t>アンソニー・モリーナ</t>
    <phoneticPr fontId="1"/>
  </si>
  <si>
    <t>エンマヌエル・デヘスス</t>
    <phoneticPr fontId="1"/>
  </si>
  <si>
    <t>ルインダー・アビラ</t>
    <phoneticPr fontId="1"/>
  </si>
  <si>
    <t>デビッド・ベッドナー</t>
  </si>
  <si>
    <t>ゲイブ・スパイアー</t>
  </si>
  <si>
    <t>ギャレット・クレービンジャー</t>
  </si>
  <si>
    <t>タイラー・ロジャース</t>
  </si>
  <si>
    <t>クレービンジャー</t>
  </si>
  <si>
    <t>ロジャース</t>
  </si>
  <si>
    <t>ウィットJr.</t>
    <phoneticPr fontId="1"/>
  </si>
  <si>
    <t>アントワーヌ・ジーン</t>
  </si>
  <si>
    <t>マイケル・ソロカ</t>
  </si>
  <si>
    <t>ブロック・ダイクゾーン</t>
  </si>
  <si>
    <t>ジェイムソン・タイヨン</t>
  </si>
  <si>
    <t>ミカ・アッシュマン</t>
  </si>
  <si>
    <t>ジーン</t>
  </si>
  <si>
    <t>ダイクゾーン</t>
  </si>
  <si>
    <t>タイヨン</t>
  </si>
  <si>
    <t>アッシュマン</t>
  </si>
  <si>
    <t>ノア・スキロー</t>
    <phoneticPr fontId="1"/>
  </si>
  <si>
    <t>B.ネイラー</t>
    <phoneticPr fontId="1"/>
  </si>
  <si>
    <t>J.ネイラー</t>
    <phoneticPr fontId="1"/>
  </si>
  <si>
    <t>1</t>
    <phoneticPr fontId="1"/>
  </si>
  <si>
    <t>11</t>
    <phoneticPr fontId="1"/>
  </si>
  <si>
    <t>14</t>
    <phoneticPr fontId="1"/>
  </si>
  <si>
    <t>19</t>
    <phoneticPr fontId="1"/>
  </si>
  <si>
    <t>29</t>
    <phoneticPr fontId="1"/>
  </si>
  <si>
    <t>30</t>
    <phoneticPr fontId="1"/>
  </si>
  <si>
    <t>33</t>
    <phoneticPr fontId="1"/>
  </si>
  <si>
    <t>38</t>
    <phoneticPr fontId="1"/>
  </si>
  <si>
    <t>47</t>
    <phoneticPr fontId="1"/>
  </si>
  <si>
    <t>54</t>
    <phoneticPr fontId="1"/>
  </si>
  <si>
    <t>60</t>
    <phoneticPr fontId="1"/>
  </si>
  <si>
    <t>61</t>
    <phoneticPr fontId="1"/>
  </si>
  <si>
    <t>63</t>
    <phoneticPr fontId="1"/>
  </si>
  <si>
    <t>66</t>
    <phoneticPr fontId="1"/>
  </si>
  <si>
    <t>99</t>
    <phoneticPr fontId="1"/>
  </si>
  <si>
    <t>25</t>
    <phoneticPr fontId="1"/>
  </si>
  <si>
    <t>27</t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</si>
  <si>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</si>
  <si>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</si>
  <si>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</si>
  <si>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</si>
  <si>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7</t>
    <phoneticPr fontId="1"/>
  </si>
  <si>
    <t>8</t>
    <phoneticPr fontId="1"/>
  </si>
  <si>
    <t>10</t>
    <phoneticPr fontId="1"/>
  </si>
  <si>
    <t>15</t>
    <phoneticPr fontId="1"/>
  </si>
  <si>
    <t>17</t>
    <phoneticPr fontId="1"/>
  </si>
  <si>
    <t>22</t>
    <phoneticPr fontId="1"/>
  </si>
  <si>
    <t>23</t>
    <phoneticPr fontId="1"/>
  </si>
  <si>
    <t>51</t>
    <phoneticPr fontId="1"/>
  </si>
  <si>
    <t>65</t>
    <phoneticPr fontId="1"/>
  </si>
  <si>
    <t>コ・ヨンピョ</t>
    <phoneticPr fontId="1"/>
  </si>
  <si>
    <t>チョ・ビョンヒョン</t>
    <phoneticPr fontId="1"/>
  </si>
  <si>
    <t>キム・ヨンギュ</t>
    <phoneticPr fontId="1"/>
  </si>
  <si>
    <t>コ・ウソク</t>
    <phoneticPr fontId="1"/>
  </si>
  <si>
    <t>ソン・ジュヨン</t>
    <phoneticPr fontId="1"/>
  </si>
  <si>
    <t>ソ・ヒョンジュン</t>
    <phoneticPr fontId="1"/>
  </si>
  <si>
    <t>デーン・ダニング</t>
    <phoneticPr fontId="1"/>
  </si>
  <si>
    <t>ノ・ギョンウン</t>
    <phoneticPr fontId="1"/>
  </si>
  <si>
    <t>グァク・ピン</t>
    <phoneticPr fontId="1"/>
  </si>
  <si>
    <t>ユ・ヨンチャン</t>
    <phoneticPr fontId="1"/>
  </si>
  <si>
    <t>パク・ヨンヒョン</t>
    <phoneticPr fontId="1"/>
  </si>
  <si>
    <t>チョン・ウジュ</t>
    <phoneticPr fontId="1"/>
  </si>
  <si>
    <t>キム・テギョン</t>
    <phoneticPr fontId="1"/>
  </si>
  <si>
    <t>ソン・スンギ</t>
    <phoneticPr fontId="1"/>
  </si>
  <si>
    <t>リュ・ヒョンジン</t>
    <phoneticPr fontId="1"/>
  </si>
  <si>
    <t>キム・ヒョンジュン</t>
    <phoneticPr fontId="1"/>
  </si>
  <si>
    <t>パク・ドンウォン</t>
    <phoneticPr fontId="1"/>
  </si>
  <si>
    <t>ムン・ボギョン</t>
    <phoneticPr fontId="1"/>
  </si>
  <si>
    <t>キム・ヘソン</t>
    <phoneticPr fontId="1"/>
  </si>
  <si>
    <t>シン・ミンジェ</t>
    <phoneticPr fontId="1"/>
  </si>
  <si>
    <t>キム・ドヨン</t>
    <phoneticPr fontId="1"/>
  </si>
  <si>
    <t>キム・ジュウォン</t>
    <phoneticPr fontId="1"/>
  </si>
  <si>
    <t>ノ・シファン</t>
    <phoneticPr fontId="1"/>
  </si>
  <si>
    <t xml:space="preserve">シェイ・ウィットコム	</t>
    <phoneticPr fontId="1"/>
  </si>
  <si>
    <t xml:space="preserve">ジャーメイ・ジョーンズ	</t>
    <phoneticPr fontId="1"/>
  </si>
  <si>
    <t>パク・ヘミン</t>
    <phoneticPr fontId="1"/>
  </si>
  <si>
    <t>イ・ジョンフ</t>
    <phoneticPr fontId="1"/>
  </si>
  <si>
    <t>ムン・ヒョンビン</t>
    <phoneticPr fontId="1"/>
  </si>
  <si>
    <t>アン・ヒョンミン</t>
    <phoneticPr fontId="1"/>
  </si>
  <si>
    <t>ク・ジャウク</t>
    <phoneticPr fontId="1"/>
  </si>
  <si>
    <t>ダニング</t>
    <phoneticPr fontId="1"/>
  </si>
  <si>
    <t xml:space="preserve">ウィットコム	</t>
    <phoneticPr fontId="1"/>
  </si>
  <si>
    <t xml:space="preserve">ジョーンズ	</t>
    <phoneticPr fontId="1"/>
  </si>
  <si>
    <t>サンディ・アルカンタラ</t>
  </si>
  <si>
    <t>ルイス・セベリーノ</t>
  </si>
  <si>
    <t>ワスカル・ブラゾバン</t>
  </si>
  <si>
    <t>アブナー・ウリーベ</t>
  </si>
  <si>
    <t>セランソニー・ドミンゲス</t>
  </si>
  <si>
    <t>カルロス・エステべス</t>
  </si>
  <si>
    <t>アルバート・アブレイユ</t>
  </si>
  <si>
    <t>ワンディ・ペラルタ</t>
  </si>
  <si>
    <t>デニス・サンタナ</t>
  </si>
  <si>
    <t>クリストファー・サンチェス</t>
  </si>
  <si>
    <t>グレゴリー・ソト</t>
  </si>
  <si>
    <t>ブライアン・ベイオ</t>
  </si>
  <si>
    <t>カミロ・ドバル</t>
  </si>
  <si>
    <t>オースティン・ウェルズ</t>
  </si>
  <si>
    <t>オーガスティン・ラミレス</t>
  </si>
  <si>
    <t>ヘラルド・ペルドモ</t>
  </si>
  <si>
    <t>マニー・マチャド</t>
  </si>
  <si>
    <t>エリック・ゴンザレス</t>
  </si>
  <si>
    <t>ジュニオール・カミネロ</t>
  </si>
  <si>
    <t>アーメッド・ロザリオ</t>
  </si>
  <si>
    <t>ブラディミール・ゲレーロ・ジュニア</t>
  </si>
  <si>
    <t>カルロス・サンタナ</t>
  </si>
  <si>
    <t>ジュニオール・レイク</t>
  </si>
  <si>
    <t>オニール・クルーズ</t>
  </si>
  <si>
    <t>フアン・ソト</t>
  </si>
  <si>
    <t>フェルナンド・タティス・ジュニア</t>
  </si>
  <si>
    <t>フリオ・ロドリゲス</t>
  </si>
  <si>
    <t>アルカンタラ</t>
  </si>
  <si>
    <t>セベリーノ</t>
  </si>
  <si>
    <t>ブラゾバン</t>
  </si>
  <si>
    <t>ウリーベ</t>
  </si>
  <si>
    <t>ドミンゲス</t>
  </si>
  <si>
    <t>エステべス</t>
  </si>
  <si>
    <t>ペラルタ</t>
  </si>
  <si>
    <t>ベイオ</t>
  </si>
  <si>
    <t>ドバル</t>
  </si>
  <si>
    <t>ウェルズ</t>
  </si>
  <si>
    <t>カミネロ</t>
  </si>
  <si>
    <t>ロザリオ</t>
  </si>
  <si>
    <t>レイク</t>
  </si>
  <si>
    <t>クルーズ</t>
  </si>
  <si>
    <t>ゲレーロJr.</t>
    <phoneticPr fontId="1"/>
  </si>
  <si>
    <t>タティスJr.</t>
    <phoneticPr fontId="1"/>
  </si>
  <si>
    <t>アルバラード</t>
  </si>
  <si>
    <t>エルビス・アルバラード</t>
  </si>
  <si>
    <t>フアン・メヒア</t>
  </si>
  <si>
    <t>ケテル・マルテ</t>
    <phoneticPr fontId="1"/>
  </si>
  <si>
    <t>ロザリオ</t>
    <phoneticPr fontId="1"/>
  </si>
  <si>
    <t>G.ソト</t>
    <phoneticPr fontId="1"/>
  </si>
  <si>
    <t>J.ソト</t>
    <phoneticPr fontId="1"/>
  </si>
  <si>
    <t>D.サンタナ</t>
    <phoneticPr fontId="1"/>
  </si>
  <si>
    <t>C.サンタナ</t>
    <phoneticPr fontId="1"/>
  </si>
  <si>
    <t>アダム・オッタビーノ</t>
  </si>
  <si>
    <t>サム・アルデゲリ</t>
  </si>
  <si>
    <t>マイケル・ローレンゼン</t>
  </si>
  <si>
    <t>アーロン・ノラ</t>
  </si>
  <si>
    <t>アレク・ジェイコブ</t>
  </si>
  <si>
    <t>ゴードン・グレースフォ</t>
  </si>
  <si>
    <t>マシュー・フェスタ</t>
  </si>
  <si>
    <t>ダン・アルタビラ</t>
  </si>
  <si>
    <t>グレッグ・ワイサート</t>
  </si>
  <si>
    <t>ガブリエレ・クアトリーニ</t>
  </si>
  <si>
    <t>ロン・マリナッシオ</t>
  </si>
  <si>
    <t>クラウディオ・スコッティ</t>
  </si>
  <si>
    <t>カイル・ティール</t>
  </si>
  <si>
    <t>J.J.ドラジオ</t>
  </si>
  <si>
    <t>ジョン・バーティ</t>
  </si>
  <si>
    <t>マイルズ・マストロブオーニ</t>
  </si>
  <si>
    <t>ザック・デゼンゾ</t>
  </si>
  <si>
    <t>トーマス・サジェイシー</t>
  </si>
  <si>
    <t>ビニー・パスカンティーノ</t>
  </si>
  <si>
    <t>レンゾ・マルティーニ</t>
  </si>
  <si>
    <t>ジェイコブ・マーシー</t>
  </si>
  <si>
    <t>ドミニク・キャンゾーン</t>
  </si>
  <si>
    <t>ジャック・カグリオン</t>
  </si>
  <si>
    <t>カイル・ニコラス</t>
  </si>
  <si>
    <t>ディラン・デルーシア</t>
  </si>
  <si>
    <t>ジョー・ラソーサ</t>
  </si>
  <si>
    <t>サム・アントナッチ</t>
  </si>
  <si>
    <t>アンドリュー・フィッシャー</t>
  </si>
  <si>
    <t>ニック・モラビト</t>
  </si>
  <si>
    <t>ダンテ・ノーリ</t>
  </si>
  <si>
    <t>ドラジオ</t>
  </si>
  <si>
    <t>オッタビーノ</t>
  </si>
  <si>
    <t>アルデゲリ</t>
  </si>
  <si>
    <t>ニコラス</t>
  </si>
  <si>
    <t>デルーシア</t>
  </si>
  <si>
    <t>ローレンゼン</t>
  </si>
  <si>
    <t>ノラ</t>
  </si>
  <si>
    <t>ジェイコブ</t>
  </si>
  <si>
    <t>グレースフォ</t>
  </si>
  <si>
    <t>フェスタ</t>
  </si>
  <si>
    <t>アルタビラ</t>
  </si>
  <si>
    <t>ワイサート</t>
  </si>
  <si>
    <t>ラソーサ</t>
  </si>
  <si>
    <t>クアトリーニ</t>
  </si>
  <si>
    <t>マリナッシオ</t>
  </si>
  <si>
    <t>スコッティ</t>
  </si>
  <si>
    <t>ティール</t>
  </si>
  <si>
    <t>バーティ</t>
  </si>
  <si>
    <t>マストロブオーニ</t>
  </si>
  <si>
    <t>デゼンゾ</t>
  </si>
  <si>
    <t>サジェイシー</t>
  </si>
  <si>
    <t>パスカンティーノ</t>
  </si>
  <si>
    <t>アントナッチ</t>
  </si>
  <si>
    <t>フィッシャー</t>
  </si>
  <si>
    <t>マルティーニ</t>
  </si>
  <si>
    <t>マーシー</t>
  </si>
  <si>
    <t>モラビト</t>
  </si>
  <si>
    <t>キャンゾーン</t>
  </si>
  <si>
    <t>カグリオン</t>
  </si>
  <si>
    <t>ノーリ</t>
  </si>
  <si>
    <t>ホセ・エスパーダ</t>
  </si>
  <si>
    <t>エドウィン・ディアス</t>
  </si>
  <si>
    <t>ホルヘ・ロペス</t>
  </si>
  <si>
    <t>フェルナンド・クルーズ</t>
  </si>
  <si>
    <t>セス・ルーゴ</t>
  </si>
  <si>
    <t>ヤックセル・リオス</t>
  </si>
  <si>
    <t>ホセ・デレオン</t>
  </si>
  <si>
    <t>クリスチャン・バスケス</t>
  </si>
  <si>
    <t>マーティン・マルドナード</t>
  </si>
  <si>
    <t>エドウィン・アローヨ</t>
  </si>
  <si>
    <t>エマヌエル・リベラ</t>
  </si>
  <si>
    <t>ノーラン・アレナド</t>
  </si>
  <si>
    <t>ウィリ・カストロ</t>
  </si>
  <si>
    <t>マシュー・ルーゴ</t>
  </si>
  <si>
    <t>MJ・メレンデス</t>
  </si>
  <si>
    <t>エディ・ロザリオ</t>
  </si>
  <si>
    <t>エリオット・ラモス</t>
  </si>
  <si>
    <t>リオス</t>
  </si>
  <si>
    <t>デレオン</t>
  </si>
  <si>
    <t>マルドナード</t>
  </si>
  <si>
    <t>アローヨ</t>
  </si>
  <si>
    <t>アレナド</t>
  </si>
  <si>
    <t>メレンデス</t>
  </si>
  <si>
    <t>ジョバニ・モラン</t>
  </si>
  <si>
    <t>エルマー・ロドリゲス</t>
  </si>
  <si>
    <t>レイモンド・ブルゴス</t>
  </si>
  <si>
    <t>アンヘル・レイエス</t>
  </si>
  <si>
    <t>リカルド・ベレス</t>
  </si>
  <si>
    <t>ルイス・キニョーネス</t>
  </si>
  <si>
    <t>リコ・ガルシア</t>
  </si>
  <si>
    <t>ガブリエル・ロドリゲス</t>
  </si>
  <si>
    <t>エドゥアルド・リベラ</t>
  </si>
  <si>
    <t>ルイス・バスケス</t>
  </si>
  <si>
    <t>ダレル・エルナイス</t>
  </si>
  <si>
    <t>ブライアン・トーレス</t>
  </si>
  <si>
    <t>カルロス・コーテズ</t>
  </si>
  <si>
    <t>モラン</t>
  </si>
  <si>
    <t>ブルゴス</t>
  </si>
  <si>
    <t>ベレス</t>
  </si>
  <si>
    <t>キニョーネス</t>
  </si>
  <si>
    <t>エルナイス</t>
  </si>
  <si>
    <t>コーテズ</t>
  </si>
  <si>
    <t>E.ロドリゲス</t>
    <phoneticPr fontId="1"/>
  </si>
  <si>
    <t>G.ロドリゲス</t>
    <phoneticPr fontId="1"/>
  </si>
  <si>
    <t>C.バスケス</t>
    <phoneticPr fontId="1"/>
  </si>
  <si>
    <t>L.バスケス</t>
    <phoneticPr fontId="1"/>
  </si>
  <si>
    <t>Ed.リベラ</t>
    <phoneticPr fontId="1"/>
  </si>
  <si>
    <t>Em.リベラ</t>
    <phoneticPr fontId="1"/>
  </si>
  <si>
    <t>S.ルーゴ</t>
    <phoneticPr fontId="1"/>
  </si>
  <si>
    <t>M.ルーゴ</t>
    <phoneticPr fontId="1"/>
  </si>
  <si>
    <t>R.スアレス</t>
    <phoneticPr fontId="1"/>
  </si>
  <si>
    <t>C.スアレス</t>
    <phoneticPr fontId="1"/>
  </si>
  <si>
    <t>E.スアレス</t>
    <phoneticPr fontId="1"/>
  </si>
  <si>
    <t>ホセ・キハダ</t>
    <phoneticPr fontId="1"/>
  </si>
  <si>
    <t>ナッシュ・ウォルターズ</t>
    <phoneticPr fontId="1"/>
  </si>
  <si>
    <t>ヘスス・リランソ</t>
    <phoneticPr fontId="1"/>
  </si>
  <si>
    <t>ジョン・デュプランティエ</t>
    <phoneticPr fontId="1"/>
  </si>
  <si>
    <t>ミゲル・サノー</t>
    <phoneticPr fontId="1"/>
  </si>
  <si>
    <t>アルベルト・アブレウ</t>
    <phoneticPr fontId="1"/>
  </si>
  <si>
    <t>ホセ・カスティーヨ</t>
    <phoneticPr fontId="1"/>
  </si>
  <si>
    <t>サム・ロング</t>
    <phoneticPr fontId="1"/>
  </si>
  <si>
    <t>ショーン・ジェリー</t>
    <phoneticPr fontId="1"/>
  </si>
  <si>
    <t>アメリカ</t>
    <phoneticPr fontId="1"/>
  </si>
  <si>
    <t>カナダ</t>
    <phoneticPr fontId="1"/>
  </si>
  <si>
    <t>ドミニカ</t>
    <phoneticPr fontId="1"/>
  </si>
  <si>
    <t>イタリア</t>
    <phoneticPr fontId="1"/>
  </si>
  <si>
    <t>プエルトリコ</t>
    <phoneticPr fontId="1"/>
  </si>
  <si>
    <t>アクーニャJr.</t>
    <phoneticPr fontId="1"/>
  </si>
  <si>
    <t>平川</t>
    <phoneticPr fontId="1"/>
  </si>
  <si>
    <t>フォレスト・ウィットリー</t>
    <phoneticPr fontId="1"/>
  </si>
  <si>
    <t>スペンサー・ハワード</t>
    <phoneticPr fontId="1"/>
  </si>
  <si>
    <t>ボビー・ダルベック</t>
    <phoneticPr fontId="1"/>
  </si>
  <si>
    <t>ブライアン・マタ</t>
    <phoneticPr fontId="1"/>
  </si>
  <si>
    <t>フリアン・ティマ</t>
    <phoneticPr fontId="1"/>
  </si>
  <si>
    <t>エルビス・ルシアーノ</t>
  </si>
  <si>
    <t>エルビス・ルシアーノ</t>
    <phoneticPr fontId="1"/>
  </si>
  <si>
    <t>---</t>
  </si>
  <si>
    <t>カーター・スチュワート・ジュニア</t>
    <phoneticPr fontId="1"/>
  </si>
  <si>
    <t>ボブ・シーモア</t>
    <phoneticPr fontId="1"/>
  </si>
  <si>
    <t>中川</t>
    <phoneticPr fontId="1"/>
  </si>
  <si>
    <t>森友</t>
    <rPh sb="1" eb="2">
      <t>トモ</t>
    </rPh>
    <phoneticPr fontId="1"/>
  </si>
  <si>
    <t>石井</t>
    <rPh sb="0" eb="2">
      <t>イシイ</t>
    </rPh>
    <phoneticPr fontId="1"/>
  </si>
  <si>
    <t>森博人</t>
    <rPh sb="1" eb="3">
      <t>ヒロト</t>
    </rPh>
    <phoneticPr fontId="1"/>
  </si>
  <si>
    <t>森駿太</t>
    <rPh sb="1" eb="3">
      <t>シュンタ</t>
    </rPh>
    <phoneticPr fontId="1"/>
  </si>
  <si>
    <t>森敬斗</t>
    <rPh sb="1" eb="2">
      <t>タカシ</t>
    </rPh>
    <rPh sb="2" eb="3">
      <t>ト</t>
    </rPh>
    <phoneticPr fontId="1"/>
  </si>
  <si>
    <t>広島</t>
    <rPh sb="0" eb="2">
      <t>ヒロシマ</t>
    </rPh>
    <phoneticPr fontId="1"/>
  </si>
  <si>
    <t>CARP</t>
    <phoneticPr fontId="1"/>
  </si>
  <si>
    <t>広</t>
    <rPh sb="0" eb="1">
      <t>ヒロ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</si>
</sst>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3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006298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94C52B"/>
      <name val="ＭＳ Ｐゴシック"/>
      <family val="2"/>
      <charset val="128"/>
      <scheme val="minor"/>
    </font>
    <font>
      <sz val="11"/>
      <color rgb="FF001443"/>
      <name val="ＭＳ Ｐゴシック"/>
      <family val="3"/>
      <charset val="128"/>
      <scheme val="minor"/>
    </font>
    <font>
      <sz val="11"/>
      <color rgb="FFF79727"/>
      <name val="ＭＳ Ｐゴシック"/>
      <family val="2"/>
      <charset val="128"/>
      <scheme val="minor"/>
    </font>
    <font>
      <sz val="11"/>
      <color rgb="FFFFE30D"/>
      <name val="ＭＳ Ｐゴシック"/>
      <family val="2"/>
      <charset val="128"/>
      <scheme val="minor"/>
    </font>
    <font>
      <sz val="11"/>
      <color rgb="FF261C1A"/>
      <name val="ＭＳ Ｐゴシック"/>
      <family val="2"/>
      <charset val="128"/>
      <scheme val="minor"/>
    </font>
    <font>
      <sz val="11"/>
      <color rgb="FF00408E"/>
      <name val="ＭＳ Ｐゴシック"/>
      <family val="3"/>
      <charset val="128"/>
      <scheme val="minor"/>
    </font>
    <font>
      <sz val="11"/>
      <color rgb="FF00037A"/>
      <name val="ＭＳ Ｐゴシック"/>
      <family val="3"/>
      <charset val="128"/>
      <scheme val="minor"/>
    </font>
    <font>
      <sz val="11"/>
      <color rgb="FFB8A536"/>
      <name val="ＭＳ Ｐゴシック"/>
      <family val="2"/>
      <charset val="128"/>
      <scheme val="minor"/>
    </font>
    <font>
      <sz val="11"/>
      <color rgb="FFF6AB00"/>
      <name val="ＭＳ Ｐゴシック"/>
      <family val="2"/>
      <charset val="128"/>
      <scheme val="minor"/>
    </font>
    <font>
      <sz val="11"/>
      <color rgb="FFFF71FF"/>
      <name val="ＭＳ Ｐゴシック"/>
      <family val="3"/>
      <charset val="128"/>
      <scheme val="minor"/>
    </font>
    <font>
      <sz val="11"/>
      <color rgb="FF00FF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color rgb="FF17242D"/>
      <name val="ＭＳ Ｐゴシック"/>
      <family val="2"/>
      <charset val="128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F79727"/>
        <bgColor indexed="64"/>
      </patternFill>
    </fill>
    <fill>
      <patternFill patternType="solid">
        <fgColor rgb="FFD77907"/>
        <bgColor indexed="64"/>
      </patternFill>
    </fill>
    <fill>
      <patternFill patternType="solid">
        <fgColor rgb="FF94C52B"/>
        <bgColor indexed="64"/>
      </patternFill>
    </fill>
    <fill>
      <patternFill patternType="solid">
        <fgColor rgb="FF001443"/>
        <bgColor indexed="64"/>
      </patternFill>
    </fill>
    <fill>
      <patternFill patternType="solid">
        <fgColor rgb="FF000C26"/>
        <bgColor indexed="64"/>
      </patternFill>
    </fill>
    <fill>
      <patternFill patternType="solid">
        <fgColor rgb="FF00428E"/>
        <bgColor indexed="64"/>
      </patternFill>
    </fill>
    <fill>
      <patternFill patternType="solid">
        <fgColor rgb="FFFEE101"/>
        <bgColor indexed="64"/>
      </patternFill>
    </fill>
    <fill>
      <patternFill patternType="solid">
        <fgColor rgb="FFD5BC01"/>
        <bgColor indexed="64"/>
      </patternFill>
    </fill>
    <fill>
      <patternFill patternType="solid">
        <fgColor rgb="FF006FEA"/>
        <bgColor indexed="64"/>
      </patternFill>
    </fill>
    <fill>
      <patternFill patternType="solid">
        <fgColor rgb="FF003B90"/>
        <bgColor indexed="64"/>
      </patternFill>
    </fill>
    <fill>
      <patternFill patternType="solid">
        <fgColor rgb="FFFCC700"/>
        <bgColor indexed="64"/>
      </patternFill>
    </fill>
    <fill>
      <patternFill patternType="solid">
        <fgColor rgb="FFD2A500"/>
        <bgColor indexed="64"/>
      </patternFill>
    </fill>
    <fill>
      <patternFill patternType="solid">
        <fgColor rgb="FF005FEA"/>
        <bgColor indexed="64"/>
      </patternFill>
    </fill>
    <fill>
      <patternFill patternType="solid">
        <fgColor rgb="FF001F45"/>
        <bgColor indexed="64"/>
      </patternFill>
    </fill>
    <fill>
      <patternFill patternType="solid">
        <fgColor rgb="FF00408E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121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B8A536"/>
        <bgColor indexed="64"/>
      </patternFill>
    </fill>
    <fill>
      <patternFill patternType="solid">
        <fgColor rgb="FF870011"/>
        <bgColor indexed="64"/>
      </patternFill>
    </fill>
    <fill>
      <patternFill patternType="solid">
        <fgColor rgb="FF60000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89E22"/>
        <bgColor indexed="64"/>
      </patternFill>
    </fill>
    <fill>
      <patternFill patternType="solid">
        <fgColor rgb="FF1E4430"/>
        <bgColor indexed="64"/>
      </patternFill>
    </fill>
    <fill>
      <patternFill patternType="solid">
        <fgColor rgb="FF17242D"/>
        <bgColor indexed="64"/>
      </patternFill>
    </fill>
    <fill>
      <patternFill patternType="solid">
        <fgColor rgb="FF223542"/>
        <bgColor indexed="64"/>
      </patternFill>
    </fill>
    <fill>
      <patternFill patternType="solid">
        <fgColor rgb="FFB6A367"/>
        <bgColor indexed="64"/>
      </patternFill>
    </fill>
    <fill>
      <patternFill patternType="solid">
        <fgColor rgb="FF2B6346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16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6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8" fillId="1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76" fontId="15" fillId="2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right" vertical="center"/>
    </xf>
    <xf numFmtId="0" fontId="8" fillId="17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/>
    </xf>
    <xf numFmtId="0" fontId="8" fillId="18" borderId="4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8" fillId="20" borderId="4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20" fillId="23" borderId="4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21" fillId="22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8" fillId="25" borderId="4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24" fillId="26" borderId="4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23" fillId="28" borderId="4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0" fontId="24" fillId="30" borderId="4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32" borderId="4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18" fillId="33" borderId="4" xfId="0" applyFont="1" applyFill="1" applyBorder="1" applyAlignment="1">
      <alignment horizontal="center" vertical="center"/>
    </xf>
    <xf numFmtId="0" fontId="8" fillId="34" borderId="4" xfId="0" applyFont="1" applyFill="1" applyBorder="1" applyAlignment="1">
      <alignment horizontal="center" vertical="center"/>
    </xf>
    <xf numFmtId="0" fontId="8" fillId="34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18" fillId="36" borderId="4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27" fillId="37" borderId="4" xfId="0" applyFont="1" applyFill="1" applyBorder="1" applyAlignment="1">
      <alignment horizontal="center" vertical="center"/>
    </xf>
    <xf numFmtId="0" fontId="8" fillId="39" borderId="1" xfId="0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28" fillId="39" borderId="4" xfId="0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11" fillId="16" borderId="4" xfId="0" applyFont="1" applyFill="1" applyBorder="1" applyAlignment="1">
      <alignment horizontal="center" vertical="center"/>
    </xf>
    <xf numFmtId="0" fontId="18" fillId="20" borderId="1" xfId="0" applyFont="1" applyFill="1" applyBorder="1" applyAlignment="1">
      <alignment horizontal="center" vertical="center"/>
    </xf>
    <xf numFmtId="0" fontId="21" fillId="22" borderId="1" xfId="0" applyFont="1" applyFill="1" applyBorder="1" applyAlignment="1">
      <alignment horizontal="center" vertical="center"/>
    </xf>
    <xf numFmtId="0" fontId="23" fillId="28" borderId="1" xfId="0" applyFont="1" applyFill="1" applyBorder="1" applyAlignment="1">
      <alignment horizontal="center" vertical="center"/>
    </xf>
    <xf numFmtId="0" fontId="24" fillId="26" borderId="1" xfId="0" applyFont="1" applyFill="1" applyBorder="1" applyAlignment="1">
      <alignment horizontal="center" vertical="center"/>
    </xf>
    <xf numFmtId="0" fontId="24" fillId="30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28" fillId="39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13" fillId="41" borderId="4" xfId="0" applyFont="1" applyFill="1" applyBorder="1" applyAlignment="1">
      <alignment horizontal="center" vertical="center"/>
    </xf>
    <xf numFmtId="0" fontId="8" fillId="42" borderId="1" xfId="0" applyFont="1" applyFill="1" applyBorder="1" applyAlignment="1">
      <alignment horizontal="center" vertical="center"/>
    </xf>
    <xf numFmtId="0" fontId="8" fillId="43" borderId="4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11" fillId="43" borderId="4" xfId="0" applyFont="1" applyFill="1" applyBorder="1" applyAlignment="1">
      <alignment horizontal="center" vertical="center"/>
    </xf>
    <xf numFmtId="0" fontId="30" fillId="43" borderId="4" xfId="0" applyFont="1" applyFill="1" applyBorder="1" applyAlignment="1">
      <alignment horizontal="center" vertical="center"/>
    </xf>
    <xf numFmtId="0" fontId="31" fillId="43" borderId="4" xfId="0" applyFont="1" applyFill="1" applyBorder="1" applyAlignment="1">
      <alignment horizontal="center" vertical="center"/>
    </xf>
    <xf numFmtId="0" fontId="14" fillId="43" borderId="4" xfId="0" applyFont="1" applyFill="1" applyBorder="1" applyAlignment="1">
      <alignment horizontal="center" vertical="center"/>
    </xf>
    <xf numFmtId="0" fontId="9" fillId="43" borderId="4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3" fillId="44" borderId="4" xfId="0" applyFont="1" applyFill="1" applyBorder="1" applyAlignment="1">
      <alignment horizontal="center" vertical="center"/>
    </xf>
    <xf numFmtId="0" fontId="33" fillId="45" borderId="4" xfId="0" applyFont="1" applyFill="1" applyBorder="1" applyAlignment="1">
      <alignment horizontal="center" vertical="center"/>
    </xf>
    <xf numFmtId="0" fontId="8" fillId="46" borderId="1" xfId="0" applyFont="1" applyFill="1" applyBorder="1" applyAlignment="1">
      <alignment horizontal="center" vertical="center"/>
    </xf>
    <xf numFmtId="0" fontId="34" fillId="3" borderId="1" xfId="0" applyFont="1" applyFill="1" applyBorder="1" applyAlignment="1">
      <alignment horizontal="center" vertical="center"/>
    </xf>
    <xf numFmtId="0" fontId="8" fillId="45" borderId="4" xfId="0" applyFont="1" applyFill="1" applyBorder="1" applyAlignment="1">
      <alignment horizontal="center" vertical="center"/>
    </xf>
    <xf numFmtId="0" fontId="28" fillId="3" borderId="4" xfId="0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8" fillId="47" borderId="4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DFDA00"/>
      <color rgb="FF2B6346"/>
      <color rgb="FF17242D"/>
      <color rgb="FFB6A367"/>
      <color rgb="FF223542"/>
      <color rgb="FF1E4430"/>
      <color rgb="FF00FF00"/>
      <color rgb="FF789E22"/>
      <color rgb="FFE6E6E6"/>
      <color rgb="FFFF71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成績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dimension ref="B3:R85"/>
  <sheetViews>
    <sheetView tabSelected="1" zoomScaleNormal="100" workbookViewId="0">
      <selection activeCell="L13" sqref="L13"/>
    </sheetView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21.6640625" customWidth="1"/>
    <col min="12" max="12" width="13.5546875" customWidth="1"/>
    <col min="14" max="14" width="20" bestFit="1" customWidth="1"/>
    <col min="15" max="15" width="7.21875" customWidth="1"/>
    <col min="16" max="16" width="8.88671875" customWidth="1"/>
  </cols>
  <sheetData>
    <row r="3" spans="2:18" x14ac:dyDescent="0.2">
      <c r="D3" s="2" t="s">
        <v>558</v>
      </c>
      <c r="E3" s="2" t="s">
        <v>559</v>
      </c>
      <c r="P3" s="2" t="s">
        <v>558</v>
      </c>
      <c r="Q3" s="2" t="s">
        <v>559</v>
      </c>
    </row>
    <row r="4" spans="2:18" ht="13.2" customHeight="1" x14ac:dyDescent="0.2">
      <c r="B4" s="147" t="s">
        <v>528</v>
      </c>
      <c r="C4" s="2" t="s">
        <v>530</v>
      </c>
      <c r="D4" s="33" t="s">
        <v>534</v>
      </c>
      <c r="E4" s="33" t="s">
        <v>534</v>
      </c>
      <c r="G4" s="151" t="s">
        <v>548</v>
      </c>
      <c r="H4" s="2" t="s">
        <v>530</v>
      </c>
      <c r="I4" s="40" t="s">
        <v>549</v>
      </c>
      <c r="K4" s="3" t="s">
        <v>554</v>
      </c>
      <c r="L4" s="3" t="s">
        <v>2629</v>
      </c>
      <c r="N4" s="139" t="s">
        <v>528</v>
      </c>
      <c r="O4" s="43" t="s">
        <v>560</v>
      </c>
      <c r="P4" s="3" t="str">
        <f>textcolor(D4)</f>
        <v>#FFFFFF</v>
      </c>
      <c r="Q4" s="3" t="str">
        <f>textcolor(E4)</f>
        <v>#FFFFFF</v>
      </c>
      <c r="R4" t="s">
        <v>573</v>
      </c>
    </row>
    <row r="5" spans="2:18" x14ac:dyDescent="0.2">
      <c r="B5" s="148"/>
      <c r="C5" s="2" t="s">
        <v>531</v>
      </c>
      <c r="D5" s="32"/>
      <c r="E5" s="32"/>
      <c r="G5" s="152"/>
      <c r="H5" s="2" t="s">
        <v>531</v>
      </c>
      <c r="I5" s="37"/>
      <c r="K5" s="3" t="s">
        <v>571</v>
      </c>
      <c r="L5" s="3" t="s">
        <v>2630</v>
      </c>
      <c r="N5" s="140"/>
      <c r="O5" s="43" t="s">
        <v>567</v>
      </c>
      <c r="P5" s="3" t="str">
        <f>BackGroundColor(D4,D5,D6,D7,D8,FALSE)</f>
        <v>linear-gradient(to bottom, #FF0000 0%, #FF0000 40%, #CC0000 60%, #CC0000 100%)</v>
      </c>
      <c r="Q5" s="3" t="str">
        <f>BackGroundColor(E4,E5,E6,E7,E8,FALSE)</f>
        <v>linear-gradient(to bottom, #FF0000 0%, #FF0000 40%, #CC0000 60%, #CC0000 100%)</v>
      </c>
      <c r="R5" t="s">
        <v>573</v>
      </c>
    </row>
    <row r="6" spans="2:18" x14ac:dyDescent="0.2">
      <c r="B6" s="148"/>
      <c r="C6" s="2" t="s">
        <v>526</v>
      </c>
      <c r="D6" s="2" t="s">
        <v>527</v>
      </c>
      <c r="E6" s="2" t="s">
        <v>527</v>
      </c>
      <c r="G6" s="152"/>
      <c r="H6" s="2" t="s">
        <v>526</v>
      </c>
      <c r="I6" s="2"/>
      <c r="K6" s="3" t="s">
        <v>585</v>
      </c>
      <c r="L6" s="42">
        <f>GetLastRow(L4)</f>
        <v>116</v>
      </c>
      <c r="N6" s="153" t="s">
        <v>545</v>
      </c>
      <c r="O6" s="43" t="s">
        <v>560</v>
      </c>
      <c r="P6" s="3" t="str">
        <f>textcolor(D9)</f>
        <v>#FFFFFF</v>
      </c>
      <c r="Q6" s="3" t="str">
        <f>textcolor(E9)</f>
        <v>#FFFFFF</v>
      </c>
      <c r="R6" t="s">
        <v>573</v>
      </c>
    </row>
    <row r="7" spans="2:18" x14ac:dyDescent="0.2">
      <c r="B7" s="148"/>
      <c r="C7" s="2" t="s">
        <v>535</v>
      </c>
      <c r="D7" s="34">
        <v>0.4</v>
      </c>
      <c r="E7" s="34">
        <v>0.4</v>
      </c>
      <c r="G7" s="152"/>
      <c r="H7" s="2" t="s">
        <v>535</v>
      </c>
      <c r="I7" s="34"/>
      <c r="K7" s="3" t="s">
        <v>1086</v>
      </c>
      <c r="L7" s="3" t="s">
        <v>2631</v>
      </c>
      <c r="N7" s="154"/>
      <c r="O7" s="43" t="s">
        <v>567</v>
      </c>
      <c r="P7" s="3" t="str">
        <f>BackGroundColor(D9,D10,D11,D12,D13,FALSE)</f>
        <v>#3B3B3B</v>
      </c>
      <c r="Q7" s="3" t="str">
        <f>BackGroundColor(E9,E10,E11,E12,E13,FALSE)</f>
        <v>#3B3B3B</v>
      </c>
      <c r="R7" t="s">
        <v>573</v>
      </c>
    </row>
    <row r="8" spans="2:18" x14ac:dyDescent="0.2">
      <c r="B8" s="149"/>
      <c r="C8" s="2" t="s">
        <v>536</v>
      </c>
      <c r="D8" s="34">
        <v>0.6</v>
      </c>
      <c r="E8" s="34">
        <v>0.6</v>
      </c>
      <c r="G8" s="152"/>
      <c r="H8" s="2" t="s">
        <v>536</v>
      </c>
      <c r="I8" s="34"/>
      <c r="K8" s="3" t="s">
        <v>555</v>
      </c>
      <c r="L8" s="3" t="s">
        <v>2629</v>
      </c>
      <c r="N8" s="47" t="s">
        <v>529</v>
      </c>
      <c r="O8" s="43" t="s">
        <v>570</v>
      </c>
      <c r="P8" s="3" t="str">
        <f t="shared" ref="P8:Q10" si="0">BackGroundColorSingle(D14)</f>
        <v>#FF0000</v>
      </c>
      <c r="Q8" s="3" t="str">
        <f t="shared" si="0"/>
        <v>#FF0000</v>
      </c>
      <c r="R8" t="s">
        <v>573</v>
      </c>
    </row>
    <row r="9" spans="2:18" x14ac:dyDescent="0.2">
      <c r="B9" s="147" t="s">
        <v>545</v>
      </c>
      <c r="C9" s="2" t="s">
        <v>530</v>
      </c>
      <c r="D9" s="29" t="s">
        <v>534</v>
      </c>
      <c r="E9" s="29" t="s">
        <v>534</v>
      </c>
      <c r="G9" s="151" t="s">
        <v>550</v>
      </c>
      <c r="H9" s="2" t="s">
        <v>530</v>
      </c>
      <c r="I9" s="119" t="s">
        <v>549</v>
      </c>
      <c r="K9" s="3" t="s">
        <v>572</v>
      </c>
      <c r="L9" s="3" t="s">
        <v>2630</v>
      </c>
      <c r="N9" s="47" t="s">
        <v>578</v>
      </c>
      <c r="O9" s="43" t="s">
        <v>570</v>
      </c>
      <c r="P9" s="3" t="str">
        <f t="shared" si="0"/>
        <v>#7F7F7F</v>
      </c>
      <c r="Q9" s="3" t="str">
        <f t="shared" si="0"/>
        <v>#7F7F7F</v>
      </c>
      <c r="R9" t="s">
        <v>573</v>
      </c>
    </row>
    <row r="10" spans="2:18" x14ac:dyDescent="0.2">
      <c r="B10" s="148"/>
      <c r="C10" s="2" t="s">
        <v>531</v>
      </c>
      <c r="D10" s="37"/>
      <c r="E10" s="37"/>
      <c r="G10" s="152"/>
      <c r="H10" s="2" t="s">
        <v>531</v>
      </c>
      <c r="I10" s="37"/>
      <c r="K10" s="3" t="s">
        <v>586</v>
      </c>
      <c r="L10" s="42">
        <f>GetLastRow(L8)</f>
        <v>116</v>
      </c>
      <c r="N10" s="47" t="s">
        <v>577</v>
      </c>
      <c r="O10" s="43" t="s">
        <v>570</v>
      </c>
      <c r="P10" s="3" t="str">
        <f t="shared" si="0"/>
        <v>#FFFFFF</v>
      </c>
      <c r="Q10" s="3" t="str">
        <f t="shared" si="0"/>
        <v>#FFFFFF</v>
      </c>
      <c r="R10" t="s">
        <v>573</v>
      </c>
    </row>
    <row r="11" spans="2:18" x14ac:dyDescent="0.2">
      <c r="B11" s="148"/>
      <c r="C11" s="2" t="s">
        <v>526</v>
      </c>
      <c r="D11" s="2"/>
      <c r="E11" s="2"/>
      <c r="G11" s="152"/>
      <c r="H11" s="2" t="s">
        <v>526</v>
      </c>
      <c r="I11" s="2"/>
      <c r="K11" s="3" t="s">
        <v>1087</v>
      </c>
      <c r="L11" s="3" t="s">
        <v>2631</v>
      </c>
      <c r="N11" s="139" t="s">
        <v>532</v>
      </c>
      <c r="O11" s="43" t="s">
        <v>560</v>
      </c>
      <c r="P11" s="3" t="str">
        <f>textcolor(D17)</f>
        <v>#FFFFFF</v>
      </c>
      <c r="Q11" s="3" t="str">
        <f>textcolor(E16)</f>
        <v>#FFFFFF</v>
      </c>
      <c r="R11" t="s">
        <v>573</v>
      </c>
    </row>
    <row r="12" spans="2:18" x14ac:dyDescent="0.2">
      <c r="B12" s="148"/>
      <c r="C12" s="2" t="s">
        <v>535</v>
      </c>
      <c r="D12" s="34"/>
      <c r="E12" s="34"/>
      <c r="G12" s="152"/>
      <c r="H12" s="2" t="s">
        <v>535</v>
      </c>
      <c r="I12" s="34"/>
      <c r="K12" s="3" t="s">
        <v>556</v>
      </c>
      <c r="L12" s="42">
        <v>100</v>
      </c>
      <c r="N12" s="140"/>
      <c r="O12" s="43" t="s">
        <v>567</v>
      </c>
      <c r="P12" s="3" t="str">
        <f>BackGroundColor(D17,D18,D19,D20,D21,FALSE)</f>
        <v>linear-gradient(to bottom, #3B3B3B 0%, #3B3B3B 40%, #1E1E1E 60%, #1E1E1E 100%)</v>
      </c>
      <c r="Q12" s="3" t="str">
        <f>BackGroundColor(E17,E18,E19,E20,E21,FALSE)</f>
        <v>linear-gradient(to bottom, #3B3B3B 0%, #3B3B3B 40%, #1E1E1E 60%, #1E1E1E 100%)</v>
      </c>
      <c r="R12" t="s">
        <v>573</v>
      </c>
    </row>
    <row r="13" spans="2:18" x14ac:dyDescent="0.2">
      <c r="B13" s="149"/>
      <c r="C13" s="2" t="s">
        <v>536</v>
      </c>
      <c r="D13" s="34"/>
      <c r="E13" s="34"/>
      <c r="G13" s="152"/>
      <c r="H13" s="2" t="s">
        <v>536</v>
      </c>
      <c r="I13" s="34"/>
      <c r="K13" s="3" t="s">
        <v>557</v>
      </c>
      <c r="L13" s="3" t="s">
        <v>1120</v>
      </c>
      <c r="N13" s="139" t="s">
        <v>533</v>
      </c>
      <c r="O13" s="43" t="s">
        <v>560</v>
      </c>
      <c r="P13" s="3" t="str">
        <f>textcolor(D22)</f>
        <v>#FFFFFF</v>
      </c>
      <c r="Q13" s="3" t="str">
        <f>textcolor(E22)</f>
        <v>#FFFFFF</v>
      </c>
      <c r="R13" t="s">
        <v>573</v>
      </c>
    </row>
    <row r="14" spans="2:18" ht="13.2" customHeight="1" x14ac:dyDescent="0.2">
      <c r="B14" s="28" t="s">
        <v>529</v>
      </c>
      <c r="C14" s="2" t="s">
        <v>570</v>
      </c>
      <c r="D14" s="27"/>
      <c r="E14" s="27"/>
      <c r="G14" s="151" t="s">
        <v>551</v>
      </c>
      <c r="H14" s="2" t="s">
        <v>530</v>
      </c>
      <c r="I14" s="38" t="s">
        <v>549</v>
      </c>
      <c r="K14" s="3" t="s">
        <v>584</v>
      </c>
      <c r="L14" s="3" t="s">
        <v>1121</v>
      </c>
      <c r="N14" s="150"/>
      <c r="O14" s="43" t="s">
        <v>567</v>
      </c>
      <c r="P14" s="3" t="str">
        <f>BackGroundColor(D22,D23,D24,D25,D26,TRUE)</f>
        <v>#404040</v>
      </c>
      <c r="Q14" s="3" t="str">
        <f>BackGroundColor(E22,E23,E24,E25,E26,TRUE)</f>
        <v>#404040</v>
      </c>
      <c r="R14" t="s">
        <v>573</v>
      </c>
    </row>
    <row r="15" spans="2:18" ht="13.2" customHeight="1" x14ac:dyDescent="0.2">
      <c r="B15" s="28" t="s">
        <v>578</v>
      </c>
      <c r="C15" s="2" t="s">
        <v>570</v>
      </c>
      <c r="D15" s="51"/>
      <c r="E15" s="51"/>
      <c r="G15" s="152"/>
      <c r="H15" s="2" t="s">
        <v>531</v>
      </c>
      <c r="I15" s="37"/>
      <c r="K15" s="3" t="s">
        <v>1078</v>
      </c>
      <c r="L15" s="42"/>
      <c r="N15" s="140"/>
      <c r="O15" s="43" t="s">
        <v>1063</v>
      </c>
      <c r="P15" s="3" t="str">
        <f>BackGroundColorSingle(D27)</f>
        <v/>
      </c>
      <c r="Q15" s="3" t="str">
        <f>BackGroundColorSingle(E27)</f>
        <v/>
      </c>
      <c r="R15" t="s">
        <v>573</v>
      </c>
    </row>
    <row r="16" spans="2:18" x14ac:dyDescent="0.2">
      <c r="B16" s="28" t="s">
        <v>577</v>
      </c>
      <c r="C16" s="2" t="s">
        <v>570</v>
      </c>
      <c r="D16" s="50"/>
      <c r="E16" s="50"/>
      <c r="G16" s="152"/>
      <c r="H16" s="2" t="s">
        <v>526</v>
      </c>
      <c r="I16" s="2"/>
      <c r="K16" s="3" t="s">
        <v>1079</v>
      </c>
      <c r="L16" s="42"/>
      <c r="N16" s="139" t="s">
        <v>538</v>
      </c>
      <c r="O16" s="43" t="s">
        <v>560</v>
      </c>
      <c r="P16" s="3" t="str">
        <f>textcolor(D28)</f>
        <v>#FFFFFF</v>
      </c>
      <c r="Q16" s="3" t="str">
        <f>textcolor(E28)</f>
        <v>#FFFFFF</v>
      </c>
      <c r="R16" t="s">
        <v>573</v>
      </c>
    </row>
    <row r="17" spans="2:18" x14ac:dyDescent="0.2">
      <c r="B17" s="147" t="s">
        <v>532</v>
      </c>
      <c r="C17" s="2" t="s">
        <v>530</v>
      </c>
      <c r="D17" s="29" t="s">
        <v>540</v>
      </c>
      <c r="E17" s="29" t="s">
        <v>540</v>
      </c>
      <c r="G17" s="152"/>
      <c r="H17" s="2" t="s">
        <v>535</v>
      </c>
      <c r="I17" s="34"/>
      <c r="K17" s="3" t="s">
        <v>1080</v>
      </c>
      <c r="L17" s="42"/>
      <c r="N17" s="140"/>
      <c r="O17" s="43" t="s">
        <v>567</v>
      </c>
      <c r="P17" s="3" t="str">
        <f>BackGroundColor(D28,D29,D30,D31,D32,FALSE)</f>
        <v>linear-gradient(to bottom, #FF0000 0%, #FF0000 40%, #CC0000 60%, #CC0000 100%)</v>
      </c>
      <c r="Q17" s="3" t="str">
        <f>BackGroundColor(E28,E29,E30,E31,E32,FALSE)</f>
        <v>linear-gradient(to bottom, #FF0000 0%, #FF0000 40%, #CC0000 60%, #CC0000 100%)</v>
      </c>
      <c r="R17" t="s">
        <v>573</v>
      </c>
    </row>
    <row r="18" spans="2:18" x14ac:dyDescent="0.2">
      <c r="B18" s="148"/>
      <c r="C18" s="2" t="s">
        <v>531</v>
      </c>
      <c r="D18" s="30"/>
      <c r="E18" s="30"/>
      <c r="G18" s="152"/>
      <c r="H18" s="2" t="s">
        <v>536</v>
      </c>
      <c r="I18" s="34"/>
      <c r="N18" s="139" t="s">
        <v>539</v>
      </c>
      <c r="O18" s="43" t="s">
        <v>560</v>
      </c>
      <c r="P18" s="3" t="str">
        <f>textcolor(D33)</f>
        <v>#FFFFFF</v>
      </c>
      <c r="Q18" s="3" t="str">
        <f>textcolor(E33)</f>
        <v>#FFFFFF</v>
      </c>
      <c r="R18" t="s">
        <v>573</v>
      </c>
    </row>
    <row r="19" spans="2:18" x14ac:dyDescent="0.2">
      <c r="B19" s="148"/>
      <c r="C19" s="2" t="s">
        <v>526</v>
      </c>
      <c r="D19" s="2" t="s">
        <v>527</v>
      </c>
      <c r="E19" s="2" t="s">
        <v>527</v>
      </c>
      <c r="G19" s="151" t="s">
        <v>568</v>
      </c>
      <c r="H19" s="2" t="s">
        <v>530</v>
      </c>
      <c r="I19" s="63">
        <v>1</v>
      </c>
      <c r="N19" s="150"/>
      <c r="O19" s="43" t="s">
        <v>567</v>
      </c>
      <c r="P19" s="3" t="str">
        <f>BackGroundColor(D33,D34,D35,D36,D37,FALSE)</f>
        <v>linear-gradient(to bottom, #FF0000 0%, #FF0000 40%, #CC0000 60%, #CC0000 100%)</v>
      </c>
      <c r="Q19" s="3" t="str">
        <f>BackGroundColor(E33,E34,E35,E36,E37,FALSE)</f>
        <v>linear-gradient(to bottom, #FF0000 0%, #FF0000 40%, #CC0000 60%, #CC0000 100%)</v>
      </c>
      <c r="R19" t="s">
        <v>573</v>
      </c>
    </row>
    <row r="20" spans="2:18" ht="13.2" customHeight="1" x14ac:dyDescent="0.2">
      <c r="B20" s="148"/>
      <c r="C20" s="2" t="s">
        <v>535</v>
      </c>
      <c r="D20" s="34">
        <v>0.4</v>
      </c>
      <c r="E20" s="34">
        <v>0.4</v>
      </c>
      <c r="G20" s="152"/>
      <c r="H20" s="2" t="s">
        <v>531</v>
      </c>
      <c r="I20" s="37"/>
      <c r="N20" s="140"/>
      <c r="O20" s="43" t="s">
        <v>1063</v>
      </c>
      <c r="P20" s="3" t="str">
        <f>BackGroundColorSingle(D38)</f>
        <v/>
      </c>
      <c r="Q20" s="3" t="str">
        <f>BackGroundColorSingle(E38)</f>
        <v/>
      </c>
      <c r="R20" t="s">
        <v>573</v>
      </c>
    </row>
    <row r="21" spans="2:18" x14ac:dyDescent="0.2">
      <c r="B21" s="149"/>
      <c r="C21" s="2" t="s">
        <v>536</v>
      </c>
      <c r="D21" s="34">
        <v>0.6</v>
      </c>
      <c r="E21" s="34">
        <v>0.6</v>
      </c>
      <c r="G21" s="152"/>
      <c r="H21" s="2" t="s">
        <v>526</v>
      </c>
      <c r="I21" s="2"/>
      <c r="N21" s="139" t="s">
        <v>541</v>
      </c>
      <c r="O21" s="43" t="s">
        <v>560</v>
      </c>
      <c r="P21" s="3" t="str">
        <f>textcolor(D39)</f>
        <v>#FFFFFF</v>
      </c>
      <c r="Q21" s="3" t="str">
        <f>textcolor(E39)</f>
        <v>#FFFFFF</v>
      </c>
      <c r="R21" t="s">
        <v>573</v>
      </c>
    </row>
    <row r="22" spans="2:18" ht="13.2" customHeight="1" x14ac:dyDescent="0.2">
      <c r="B22" s="147" t="s">
        <v>533</v>
      </c>
      <c r="C22" s="2" t="s">
        <v>530</v>
      </c>
      <c r="D22" s="52" t="s">
        <v>537</v>
      </c>
      <c r="E22" s="52" t="s">
        <v>537</v>
      </c>
      <c r="G22" s="152"/>
      <c r="H22" s="2" t="s">
        <v>535</v>
      </c>
      <c r="I22" s="34"/>
      <c r="N22" s="140"/>
      <c r="O22" s="43" t="s">
        <v>567</v>
      </c>
      <c r="P22" s="3" t="str">
        <f>BackGroundColor(D39,D40,D41,D42,D43,FALSE)</f>
        <v>linear-gradient(to bottom, #3B3B3B 0%, #3B3B3B 40%, #1E1E1E 60%, #1E1E1E 100%)</v>
      </c>
      <c r="Q22" s="3" t="str">
        <f>BackGroundColor(E39,E40,E41,E42,E43,FALSE)</f>
        <v>linear-gradient(to bottom, #3B3B3B 0%, #3B3B3B 40%, #1E1E1E 60%, #1E1E1E 100%)</v>
      </c>
      <c r="R22" t="s">
        <v>573</v>
      </c>
    </row>
    <row r="23" spans="2:18" x14ac:dyDescent="0.2">
      <c r="B23" s="148"/>
      <c r="C23" s="2" t="s">
        <v>531</v>
      </c>
      <c r="D23" s="35" t="s">
        <v>537</v>
      </c>
      <c r="E23" s="35" t="s">
        <v>537</v>
      </c>
      <c r="G23" s="152"/>
      <c r="H23" s="2" t="s">
        <v>536</v>
      </c>
      <c r="I23" s="34"/>
      <c r="N23" s="139" t="s">
        <v>542</v>
      </c>
      <c r="O23" s="43" t="s">
        <v>560</v>
      </c>
      <c r="P23" s="3" t="str">
        <f>textcolor(D44)</f>
        <v>#00FF00</v>
      </c>
      <c r="Q23" s="3" t="str">
        <f>textcolor(E44)</f>
        <v>#00FF00</v>
      </c>
      <c r="R23" t="s">
        <v>573</v>
      </c>
    </row>
    <row r="24" spans="2:18" x14ac:dyDescent="0.2">
      <c r="B24" s="148"/>
      <c r="C24" s="2" t="s">
        <v>526</v>
      </c>
      <c r="D24" s="2"/>
      <c r="E24" s="2"/>
      <c r="G24" s="151" t="s">
        <v>552</v>
      </c>
      <c r="H24" s="2" t="s">
        <v>530</v>
      </c>
      <c r="I24" s="39" t="s">
        <v>553</v>
      </c>
      <c r="N24" s="150"/>
      <c r="O24" s="43" t="s">
        <v>567</v>
      </c>
      <c r="P24" s="3" t="str">
        <f>BackGroundColor(D44,D45,D46,D47,D48,TRUE)</f>
        <v>#404040</v>
      </c>
      <c r="Q24" s="3" t="str">
        <f>BackGroundColor(E44,E45,E46,E47,E48,TRUE)</f>
        <v>#404040</v>
      </c>
      <c r="R24" t="s">
        <v>573</v>
      </c>
    </row>
    <row r="25" spans="2:18" ht="13.2" customHeight="1" x14ac:dyDescent="0.2">
      <c r="B25" s="148"/>
      <c r="C25" s="2" t="s">
        <v>535</v>
      </c>
      <c r="D25" s="34"/>
      <c r="E25" s="34"/>
      <c r="G25" s="152"/>
      <c r="H25" s="2" t="s">
        <v>531</v>
      </c>
      <c r="I25" s="37"/>
      <c r="N25" s="140"/>
      <c r="O25" s="43" t="s">
        <v>1063</v>
      </c>
      <c r="P25" s="3" t="str">
        <f>BackGroundColorSingle(D49)</f>
        <v/>
      </c>
      <c r="Q25" s="3" t="str">
        <f>BackGroundColorSingle(E49)</f>
        <v/>
      </c>
      <c r="R25" t="s">
        <v>573</v>
      </c>
    </row>
    <row r="26" spans="2:18" x14ac:dyDescent="0.2">
      <c r="B26" s="148"/>
      <c r="C26" s="2" t="s">
        <v>536</v>
      </c>
      <c r="D26" s="34"/>
      <c r="E26" s="34"/>
      <c r="G26" s="152"/>
      <c r="H26" s="2" t="s">
        <v>526</v>
      </c>
      <c r="I26" s="2"/>
      <c r="N26" s="139" t="s">
        <v>576</v>
      </c>
      <c r="O26" s="43" t="s">
        <v>560</v>
      </c>
      <c r="P26" s="3" t="str">
        <f>textcolor(D50)</f>
        <v>#FFFFFF</v>
      </c>
      <c r="Q26" s="3" t="str">
        <f>textcolor(E50)</f>
        <v>#FFFFFF</v>
      </c>
      <c r="R26" t="s">
        <v>573</v>
      </c>
    </row>
    <row r="27" spans="2:18" x14ac:dyDescent="0.2">
      <c r="B27" s="149"/>
      <c r="C27" s="2" t="s">
        <v>1063</v>
      </c>
      <c r="D27" s="34"/>
      <c r="E27" s="34"/>
      <c r="G27" s="152"/>
      <c r="H27" s="2" t="s">
        <v>535</v>
      </c>
      <c r="I27" s="34"/>
      <c r="N27" s="140"/>
      <c r="O27" s="43" t="s">
        <v>567</v>
      </c>
      <c r="P27" s="3" t="str">
        <f>BackGroundColor(D50,D51,D52,D53,D54,FALSE)</f>
        <v>linear-gradient(to bottom, #FF0000 0%, #FF0000 40%, #CC0000 60%, #CC0000 100%)</v>
      </c>
      <c r="Q27" s="3" t="str">
        <f>BackGroundColor(E50,E51,E52,E53,E54,FALSE)</f>
        <v>linear-gradient(to bottom, #FF0000 0%, #FF0000 40%, #CC0000 60%, #CC0000 100%)</v>
      </c>
      <c r="R27" t="s">
        <v>573</v>
      </c>
    </row>
    <row r="28" spans="2:18" x14ac:dyDescent="0.2">
      <c r="B28" s="147" t="s">
        <v>538</v>
      </c>
      <c r="C28" s="2" t="s">
        <v>530</v>
      </c>
      <c r="D28" s="27" t="s">
        <v>540</v>
      </c>
      <c r="E28" s="27" t="s">
        <v>540</v>
      </c>
      <c r="G28" s="152"/>
      <c r="H28" s="2" t="s">
        <v>536</v>
      </c>
      <c r="I28" s="34"/>
      <c r="N28" s="139" t="s">
        <v>575</v>
      </c>
      <c r="O28" s="43" t="s">
        <v>560</v>
      </c>
      <c r="P28" s="3" t="str">
        <f>textcolor(D55)</f>
        <v>#FFFFFF</v>
      </c>
      <c r="Q28" s="3" t="str">
        <f>textcolor(E55)</f>
        <v>#FFFFFF</v>
      </c>
      <c r="R28" t="s">
        <v>573</v>
      </c>
    </row>
    <row r="29" spans="2:18" x14ac:dyDescent="0.2">
      <c r="B29" s="148"/>
      <c r="C29" s="2" t="s">
        <v>531</v>
      </c>
      <c r="D29" s="32"/>
      <c r="E29" s="32"/>
      <c r="G29" s="147" t="s">
        <v>567</v>
      </c>
      <c r="H29" s="2" t="s">
        <v>530</v>
      </c>
      <c r="I29" s="41"/>
      <c r="N29" s="150"/>
      <c r="O29" s="43" t="s">
        <v>567</v>
      </c>
      <c r="P29" s="3" t="str">
        <f>BackGroundColor(D55,D56,D57,D58,D59,TRUE)</f>
        <v>#404040</v>
      </c>
      <c r="Q29" s="3" t="str">
        <f>BackGroundColor(E55,E56,E57,E58,E59,TRUE)</f>
        <v>#404040</v>
      </c>
      <c r="R29" t="s">
        <v>573</v>
      </c>
    </row>
    <row r="30" spans="2:18" x14ac:dyDescent="0.2">
      <c r="B30" s="148"/>
      <c r="C30" s="2" t="s">
        <v>526</v>
      </c>
      <c r="D30" s="2" t="s">
        <v>527</v>
      </c>
      <c r="E30" s="2" t="s">
        <v>527</v>
      </c>
      <c r="G30" s="148"/>
      <c r="H30" s="2" t="s">
        <v>531</v>
      </c>
      <c r="I30" s="37"/>
      <c r="N30" s="140"/>
      <c r="O30" s="43" t="s">
        <v>1063</v>
      </c>
      <c r="P30" s="3" t="str">
        <f>BackGroundColorSingle(D60)</f>
        <v/>
      </c>
      <c r="Q30" s="3" t="str">
        <f>BackGroundColorSingle(E60)</f>
        <v/>
      </c>
      <c r="R30" t="s">
        <v>573</v>
      </c>
    </row>
    <row r="31" spans="2:18" ht="13.2" customHeight="1" x14ac:dyDescent="0.2">
      <c r="B31" s="148"/>
      <c r="C31" s="2" t="s">
        <v>535</v>
      </c>
      <c r="D31" s="34">
        <v>0.4</v>
      </c>
      <c r="E31" s="34">
        <v>0.4</v>
      </c>
      <c r="G31" s="148"/>
      <c r="H31" s="2" t="s">
        <v>526</v>
      </c>
      <c r="I31" s="2"/>
      <c r="N31" s="141" t="s">
        <v>543</v>
      </c>
      <c r="O31" s="43" t="s">
        <v>560</v>
      </c>
      <c r="P31" s="3" t="str">
        <f>textcolor(D61)</f>
        <v>#FFFFFF</v>
      </c>
      <c r="Q31" s="3" t="str">
        <f>textcolor(E61)</f>
        <v>#FFFFFF</v>
      </c>
      <c r="R31" t="s">
        <v>573</v>
      </c>
    </row>
    <row r="32" spans="2:18" x14ac:dyDescent="0.2">
      <c r="B32" s="149"/>
      <c r="C32" s="2" t="s">
        <v>536</v>
      </c>
      <c r="D32" s="34">
        <v>0.6</v>
      </c>
      <c r="E32" s="34">
        <v>0.6</v>
      </c>
      <c r="G32" s="148"/>
      <c r="H32" s="2" t="s">
        <v>535</v>
      </c>
      <c r="I32" s="34"/>
      <c r="N32" s="142"/>
      <c r="O32" s="43" t="s">
        <v>567</v>
      </c>
      <c r="P32" s="3" t="str">
        <f>BackGroundColor(D61,D62,D63,D64,D65,TRUE)</f>
        <v>linear-gradient(to bottom, #FF0000 0%, #FF0000 40%, #CC0000 60%, #CC0000 100%)</v>
      </c>
      <c r="Q32" s="3" t="str">
        <f>BackGroundColor(E61,E62,E63,E64,E65,TRUE)</f>
        <v>linear-gradient(to bottom, #FF0000 0%, #FF0000 40%, #CC0000 60%, #CC0000 100%)</v>
      </c>
      <c r="R32" t="s">
        <v>573</v>
      </c>
    </row>
    <row r="33" spans="2:18" ht="13.2" customHeight="1" x14ac:dyDescent="0.2">
      <c r="B33" s="147" t="s">
        <v>539</v>
      </c>
      <c r="C33" s="2" t="s">
        <v>530</v>
      </c>
      <c r="D33" s="33" t="s">
        <v>537</v>
      </c>
      <c r="E33" s="33" t="s">
        <v>537</v>
      </c>
      <c r="G33" s="149"/>
      <c r="H33" s="2" t="s">
        <v>536</v>
      </c>
      <c r="I33" s="34"/>
      <c r="N33" s="143"/>
      <c r="O33" s="43" t="s">
        <v>1063</v>
      </c>
      <c r="P33" s="3" t="str">
        <f>BackGroundColorSingle(D66)</f>
        <v/>
      </c>
      <c r="Q33" s="3" t="str">
        <f>BackGroundColorSingle(E66)</f>
        <v/>
      </c>
      <c r="R33" t="s">
        <v>573</v>
      </c>
    </row>
    <row r="34" spans="2:18" x14ac:dyDescent="0.2">
      <c r="B34" s="148"/>
      <c r="C34" s="2" t="s">
        <v>531</v>
      </c>
      <c r="D34" s="32"/>
      <c r="E34" s="32"/>
      <c r="G34" s="2" t="s">
        <v>569</v>
      </c>
      <c r="H34" s="2" t="s">
        <v>570</v>
      </c>
      <c r="I34" s="46"/>
      <c r="N34" s="144" t="s">
        <v>546</v>
      </c>
      <c r="O34" s="43" t="s">
        <v>560</v>
      </c>
      <c r="P34" s="3" t="str">
        <f>textcolor(D67)</f>
        <v>#FFFFFF</v>
      </c>
      <c r="Q34" s="3" t="str">
        <f>textcolor(E67)</f>
        <v>#FFFFFF</v>
      </c>
      <c r="R34" t="s">
        <v>573</v>
      </c>
    </row>
    <row r="35" spans="2:18" x14ac:dyDescent="0.2">
      <c r="B35" s="148"/>
      <c r="C35" s="2" t="s">
        <v>526</v>
      </c>
      <c r="D35" s="2" t="s">
        <v>527</v>
      </c>
      <c r="E35" s="2" t="s">
        <v>527</v>
      </c>
      <c r="G35" s="2" t="s">
        <v>579</v>
      </c>
      <c r="H35" s="2" t="s">
        <v>570</v>
      </c>
      <c r="I35" s="51"/>
      <c r="N35" s="145"/>
      <c r="O35" s="43" t="s">
        <v>567</v>
      </c>
      <c r="P35" s="3" t="str">
        <f>BackGroundColor(D67,D68,D69,D70,D71,FALSE)</f>
        <v>linear-gradient(to bottom, #FF0000 0%, #FF0000 40%, #CC0000 60%, #CC0000 100%)</v>
      </c>
      <c r="Q35" s="3" t="str">
        <f>BackGroundColor(E67,E68,E69,E70,E71,FALSE)</f>
        <v>linear-gradient(to bottom, #FF0000 0%, #FF0000 40%, #CC0000 60%, #CC0000 100%)</v>
      </c>
      <c r="R35" t="s">
        <v>573</v>
      </c>
    </row>
    <row r="36" spans="2:18" ht="13.2" customHeight="1" x14ac:dyDescent="0.2">
      <c r="B36" s="148"/>
      <c r="C36" s="2" t="s">
        <v>535</v>
      </c>
      <c r="D36" s="34">
        <v>0.4</v>
      </c>
      <c r="E36" s="34">
        <v>0.4</v>
      </c>
      <c r="G36" s="147" t="s">
        <v>580</v>
      </c>
      <c r="H36" s="2" t="s">
        <v>530</v>
      </c>
      <c r="I36" s="39" t="s">
        <v>540</v>
      </c>
      <c r="N36" s="146"/>
      <c r="O36" s="43" t="s">
        <v>1063</v>
      </c>
      <c r="P36" s="3" t="str">
        <f>BackGroundColorSingle(D72)</f>
        <v/>
      </c>
      <c r="Q36" s="3" t="str">
        <f>BackGroundColorSingle(E72)</f>
        <v/>
      </c>
      <c r="R36" t="s">
        <v>573</v>
      </c>
    </row>
    <row r="37" spans="2:18" x14ac:dyDescent="0.2">
      <c r="B37" s="148"/>
      <c r="C37" s="2" t="s">
        <v>536</v>
      </c>
      <c r="D37" s="34">
        <v>0.6</v>
      </c>
      <c r="E37" s="34">
        <v>0.6</v>
      </c>
      <c r="G37" s="148"/>
      <c r="H37" s="2" t="s">
        <v>531</v>
      </c>
      <c r="I37" s="37"/>
      <c r="N37" s="144" t="s">
        <v>547</v>
      </c>
      <c r="O37" s="43" t="s">
        <v>560</v>
      </c>
      <c r="P37" s="3" t="str">
        <f>textcolor(D73)</f>
        <v>#00FF00</v>
      </c>
      <c r="Q37" s="3" t="str">
        <f>textcolor(E73)</f>
        <v>#00FF00</v>
      </c>
      <c r="R37" t="s">
        <v>573</v>
      </c>
    </row>
    <row r="38" spans="2:18" x14ac:dyDescent="0.2">
      <c r="B38" s="149"/>
      <c r="C38" s="2" t="s">
        <v>1063</v>
      </c>
      <c r="D38" s="116"/>
      <c r="E38" s="116"/>
      <c r="G38" s="148"/>
      <c r="H38" s="2" t="s">
        <v>526</v>
      </c>
      <c r="I38" s="2"/>
      <c r="N38" s="145"/>
      <c r="O38" s="43" t="s">
        <v>567</v>
      </c>
      <c r="P38" s="3" t="str">
        <f>BackGroundColor(D73,D74,D75,D76,D77,FALSE)</f>
        <v>#404040</v>
      </c>
      <c r="Q38" s="3" t="str">
        <f>BackGroundColor(E73,E74,E75,E76,E77,FALSE)</f>
        <v>#404040</v>
      </c>
      <c r="R38" t="s">
        <v>573</v>
      </c>
    </row>
    <row r="39" spans="2:18" x14ac:dyDescent="0.2">
      <c r="B39" s="147" t="s">
        <v>541</v>
      </c>
      <c r="C39" s="2" t="s">
        <v>530</v>
      </c>
      <c r="D39" s="29" t="s">
        <v>540</v>
      </c>
      <c r="E39" s="29" t="s">
        <v>540</v>
      </c>
      <c r="G39" s="148"/>
      <c r="H39" s="2" t="s">
        <v>535</v>
      </c>
      <c r="I39" s="34"/>
      <c r="N39" s="146"/>
      <c r="O39" s="43" t="s">
        <v>1063</v>
      </c>
      <c r="P39" s="3" t="str">
        <f>BackGroundColorSingle(D78)</f>
        <v/>
      </c>
      <c r="Q39" s="3" t="str">
        <f>BackGroundColorSingle(E78)</f>
        <v/>
      </c>
      <c r="R39" t="s">
        <v>573</v>
      </c>
    </row>
    <row r="40" spans="2:18" x14ac:dyDescent="0.2">
      <c r="B40" s="148"/>
      <c r="C40" s="2" t="s">
        <v>531</v>
      </c>
      <c r="D40" s="30"/>
      <c r="E40" s="30"/>
      <c r="G40" s="149"/>
      <c r="H40" s="2" t="s">
        <v>536</v>
      </c>
      <c r="I40" s="34"/>
      <c r="N40" s="155" t="s">
        <v>544</v>
      </c>
      <c r="O40" s="43" t="s">
        <v>560</v>
      </c>
      <c r="P40" s="3" t="str">
        <f>textcolor(D79)</f>
        <v>#FFFFFF</v>
      </c>
      <c r="Q40" s="3" t="str">
        <f>textcolor(E79)</f>
        <v>#FFFFFF</v>
      </c>
      <c r="R40" t="s">
        <v>573</v>
      </c>
    </row>
    <row r="41" spans="2:18" x14ac:dyDescent="0.2">
      <c r="B41" s="148"/>
      <c r="C41" s="2" t="s">
        <v>526</v>
      </c>
      <c r="D41" s="2" t="s">
        <v>527</v>
      </c>
      <c r="E41" s="2" t="s">
        <v>527</v>
      </c>
      <c r="G41" s="151" t="s">
        <v>581</v>
      </c>
      <c r="H41" s="2" t="s">
        <v>530</v>
      </c>
      <c r="I41" s="52" t="s">
        <v>537</v>
      </c>
      <c r="N41" s="156"/>
      <c r="O41" s="43" t="s">
        <v>567</v>
      </c>
      <c r="P41" s="3" t="str">
        <f>BackGroundColor(D79,D80,D81,D82,D83,TRUE)</f>
        <v>linear-gradient(to bottom, #FF0000 0%, #FF0000 40%, #CC0000 60%, #CC0000 100%)</v>
      </c>
      <c r="Q41" s="3" t="str">
        <f>BackGroundColor(E79,E80,E81,E82,E83,TRUE)</f>
        <v>linear-gradient(to bottom, #FF0000 0%, #FF0000 40%, #CC0000 60%, #CC0000 100%)</v>
      </c>
      <c r="R41" t="s">
        <v>573</v>
      </c>
    </row>
    <row r="42" spans="2:18" ht="13.2" customHeight="1" x14ac:dyDescent="0.2">
      <c r="B42" s="148"/>
      <c r="C42" s="2" t="s">
        <v>535</v>
      </c>
      <c r="D42" s="34">
        <v>0.4</v>
      </c>
      <c r="E42" s="34">
        <v>0.4</v>
      </c>
      <c r="G42" s="151"/>
      <c r="H42" s="2" t="s">
        <v>531</v>
      </c>
      <c r="I42" s="37"/>
      <c r="N42" s="157"/>
      <c r="O42" s="43" t="s">
        <v>1063</v>
      </c>
      <c r="P42" s="3" t="str">
        <f>BackGroundColorSingle(D84)</f>
        <v/>
      </c>
      <c r="Q42" s="3" t="str">
        <f>BackGroundColorSingle(E84)</f>
        <v/>
      </c>
      <c r="R42" t="s">
        <v>573</v>
      </c>
    </row>
    <row r="43" spans="2:18" x14ac:dyDescent="0.2">
      <c r="B43" s="149"/>
      <c r="C43" s="2" t="s">
        <v>536</v>
      </c>
      <c r="D43" s="34">
        <v>0.6</v>
      </c>
      <c r="E43" s="34">
        <v>0.6</v>
      </c>
      <c r="G43" s="151"/>
      <c r="H43" s="2" t="s">
        <v>526</v>
      </c>
      <c r="I43" s="2"/>
      <c r="N43" s="47" t="s">
        <v>561</v>
      </c>
      <c r="O43" s="43" t="s">
        <v>560</v>
      </c>
      <c r="P43" s="3" t="str">
        <f>textcolor(D85)</f>
        <v>#FFFF00</v>
      </c>
      <c r="Q43" s="3" t="str">
        <f>textcolor(E85)</f>
        <v>#FFFF00</v>
      </c>
      <c r="R43" t="s">
        <v>573</v>
      </c>
    </row>
    <row r="44" spans="2:18" ht="13.2" customHeight="1" x14ac:dyDescent="0.2">
      <c r="B44" s="147" t="s">
        <v>542</v>
      </c>
      <c r="C44" s="2" t="s">
        <v>530</v>
      </c>
      <c r="D44" s="53" t="s">
        <v>537</v>
      </c>
      <c r="E44" s="53" t="s">
        <v>537</v>
      </c>
      <c r="G44" s="151"/>
      <c r="H44" s="2" t="s">
        <v>535</v>
      </c>
      <c r="I44" s="34"/>
      <c r="N44" s="153" t="s">
        <v>563</v>
      </c>
      <c r="O44" s="43" t="s">
        <v>560</v>
      </c>
      <c r="P44" s="3" t="str">
        <f>textcolor(I4)</f>
        <v>#000000</v>
      </c>
      <c r="Q44" t="s">
        <v>573</v>
      </c>
      <c r="R44" t="s">
        <v>573</v>
      </c>
    </row>
    <row r="45" spans="2:18" x14ac:dyDescent="0.2">
      <c r="B45" s="148"/>
      <c r="C45" s="2" t="s">
        <v>531</v>
      </c>
      <c r="D45" s="31" t="s">
        <v>537</v>
      </c>
      <c r="E45" s="31" t="s">
        <v>537</v>
      </c>
      <c r="G45" s="151"/>
      <c r="H45" s="2" t="s">
        <v>536</v>
      </c>
      <c r="I45" s="34"/>
      <c r="N45" s="154"/>
      <c r="O45" s="43" t="s">
        <v>567</v>
      </c>
      <c r="P45" s="3" t="str">
        <f>BackGroundColor(I4,I5,I6,I7,I8,TRUE)</f>
        <v>#FFFFFF</v>
      </c>
      <c r="Q45" t="s">
        <v>573</v>
      </c>
      <c r="R45" t="s">
        <v>573</v>
      </c>
    </row>
    <row r="46" spans="2:18" x14ac:dyDescent="0.2">
      <c r="B46" s="148"/>
      <c r="C46" s="2" t="s">
        <v>526</v>
      </c>
      <c r="D46" s="2"/>
      <c r="E46" s="2"/>
      <c r="N46" s="153" t="s">
        <v>564</v>
      </c>
      <c r="O46" s="43" t="s">
        <v>560</v>
      </c>
      <c r="P46" s="3" t="str">
        <f>textcolor(I9)</f>
        <v>#000000</v>
      </c>
      <c r="Q46" t="s">
        <v>573</v>
      </c>
      <c r="R46" t="s">
        <v>573</v>
      </c>
    </row>
    <row r="47" spans="2:18" ht="13.2" customHeight="1" x14ac:dyDescent="0.2">
      <c r="B47" s="148"/>
      <c r="C47" s="2" t="s">
        <v>535</v>
      </c>
      <c r="D47" s="34"/>
      <c r="E47" s="34"/>
      <c r="N47" s="154"/>
      <c r="O47" s="43" t="s">
        <v>567</v>
      </c>
      <c r="P47" s="3" t="str">
        <f>BackGroundColor(I9,I10,I11,I12,I13,TRUE)</f>
        <v>#E6E6E6</v>
      </c>
      <c r="Q47" t="s">
        <v>573</v>
      </c>
      <c r="R47" t="s">
        <v>573</v>
      </c>
    </row>
    <row r="48" spans="2:18" x14ac:dyDescent="0.2">
      <c r="B48" s="148"/>
      <c r="C48" s="2" t="s">
        <v>536</v>
      </c>
      <c r="D48" s="34"/>
      <c r="E48" s="34"/>
      <c r="N48" s="153" t="s">
        <v>565</v>
      </c>
      <c r="O48" s="43" t="s">
        <v>560</v>
      </c>
      <c r="P48" s="3" t="str">
        <f>textcolor(I14)</f>
        <v>#FFFF00</v>
      </c>
      <c r="Q48" t="s">
        <v>573</v>
      </c>
      <c r="R48" t="s">
        <v>573</v>
      </c>
    </row>
    <row r="49" spans="2:18" x14ac:dyDescent="0.2">
      <c r="B49" s="149"/>
      <c r="C49" s="2" t="s">
        <v>1063</v>
      </c>
      <c r="D49" s="3"/>
      <c r="E49" s="3"/>
      <c r="N49" s="154"/>
      <c r="O49" s="43" t="s">
        <v>567</v>
      </c>
      <c r="P49" s="3" t="str">
        <f>BackGroundColor(I14,I15,I16,I17,I18,TRUE)</f>
        <v>#000000</v>
      </c>
      <c r="Q49" t="s">
        <v>573</v>
      </c>
      <c r="R49" t="s">
        <v>573</v>
      </c>
    </row>
    <row r="50" spans="2:18" x14ac:dyDescent="0.2">
      <c r="B50" s="147" t="s">
        <v>576</v>
      </c>
      <c r="C50" s="2" t="s">
        <v>530</v>
      </c>
      <c r="D50" s="33" t="s">
        <v>540</v>
      </c>
      <c r="E50" s="33" t="s">
        <v>540</v>
      </c>
      <c r="N50" s="153" t="s">
        <v>574</v>
      </c>
      <c r="O50" s="43" t="s">
        <v>560</v>
      </c>
      <c r="P50" s="3" t="str">
        <f>textcolor(I19)</f>
        <v>#FFFFFF</v>
      </c>
      <c r="Q50" t="s">
        <v>573</v>
      </c>
      <c r="R50" t="s">
        <v>573</v>
      </c>
    </row>
    <row r="51" spans="2:18" x14ac:dyDescent="0.2">
      <c r="B51" s="148"/>
      <c r="C51" s="2" t="s">
        <v>531</v>
      </c>
      <c r="D51" s="32"/>
      <c r="E51" s="32"/>
      <c r="N51" s="154"/>
      <c r="O51" s="43" t="s">
        <v>567</v>
      </c>
      <c r="P51" s="3" t="str">
        <f>BackGroundColor(I19,I20,I21,I22,I23,FALSE)</f>
        <v>#595959</v>
      </c>
      <c r="Q51" t="s">
        <v>573</v>
      </c>
      <c r="R51" t="s">
        <v>573</v>
      </c>
    </row>
    <row r="52" spans="2:18" x14ac:dyDescent="0.2">
      <c r="B52" s="148"/>
      <c r="C52" s="2" t="s">
        <v>526</v>
      </c>
      <c r="D52" s="2" t="s">
        <v>527</v>
      </c>
      <c r="E52" s="2" t="s">
        <v>527</v>
      </c>
      <c r="N52" s="153" t="s">
        <v>566</v>
      </c>
      <c r="O52" s="43" t="s">
        <v>560</v>
      </c>
      <c r="P52" s="3" t="str">
        <f>textcolor(I24)</f>
        <v>#000000</v>
      </c>
      <c r="Q52" t="s">
        <v>573</v>
      </c>
      <c r="R52" t="s">
        <v>573</v>
      </c>
    </row>
    <row r="53" spans="2:18" x14ac:dyDescent="0.2">
      <c r="B53" s="148"/>
      <c r="C53" s="2" t="s">
        <v>535</v>
      </c>
      <c r="D53" s="34">
        <v>0.4</v>
      </c>
      <c r="E53" s="34">
        <v>0.4</v>
      </c>
      <c r="N53" s="154"/>
      <c r="O53" s="43" t="s">
        <v>567</v>
      </c>
      <c r="P53" s="3" t="str">
        <f>BackGroundColor(I24,I25,I26,I27,I28,FALSE)</f>
        <v>#FFFFFF</v>
      </c>
      <c r="Q53" t="s">
        <v>573</v>
      </c>
      <c r="R53" t="s">
        <v>573</v>
      </c>
    </row>
    <row r="54" spans="2:18" x14ac:dyDescent="0.2">
      <c r="B54" s="149"/>
      <c r="C54" s="2" t="s">
        <v>536</v>
      </c>
      <c r="D54" s="34">
        <v>0.6</v>
      </c>
      <c r="E54" s="34">
        <v>0.6</v>
      </c>
      <c r="N54" s="49" t="s">
        <v>567</v>
      </c>
      <c r="O54" s="43" t="s">
        <v>570</v>
      </c>
      <c r="P54" s="3" t="str">
        <f>BackGroundColor(I29,I30,I31,I32,I33,FALSE)</f>
        <v>#000000</v>
      </c>
      <c r="Q54" t="s">
        <v>573</v>
      </c>
      <c r="R54" t="s">
        <v>573</v>
      </c>
    </row>
    <row r="55" spans="2:18" ht="13.2" customHeight="1" x14ac:dyDescent="0.2">
      <c r="B55" s="147" t="s">
        <v>575</v>
      </c>
      <c r="C55" s="2" t="s">
        <v>530</v>
      </c>
      <c r="D55" s="52" t="s">
        <v>537</v>
      </c>
      <c r="E55" s="52" t="s">
        <v>537</v>
      </c>
      <c r="N55" s="48" t="s">
        <v>569</v>
      </c>
      <c r="O55" s="43" t="s">
        <v>570</v>
      </c>
      <c r="P55" s="3" t="str">
        <f>BackGroundColorSingle(I34)</f>
        <v>#FF0000</v>
      </c>
      <c r="Q55" t="s">
        <v>573</v>
      </c>
      <c r="R55" t="s">
        <v>573</v>
      </c>
    </row>
    <row r="56" spans="2:18" x14ac:dyDescent="0.2">
      <c r="B56" s="148"/>
      <c r="C56" s="2" t="s">
        <v>531</v>
      </c>
      <c r="D56" s="31" t="s">
        <v>537</v>
      </c>
      <c r="E56" s="31" t="s">
        <v>537</v>
      </c>
      <c r="N56" s="48" t="s">
        <v>579</v>
      </c>
      <c r="O56" s="43" t="s">
        <v>570</v>
      </c>
      <c r="P56" s="3" t="str">
        <f>BackGroundColorSingle(I35)</f>
        <v>#7F7F7F</v>
      </c>
      <c r="Q56" t="s">
        <v>573</v>
      </c>
      <c r="R56" t="s">
        <v>573</v>
      </c>
    </row>
    <row r="57" spans="2:18" x14ac:dyDescent="0.2">
      <c r="B57" s="148"/>
      <c r="C57" s="2" t="s">
        <v>526</v>
      </c>
      <c r="D57" s="2"/>
      <c r="E57" s="2"/>
      <c r="N57" s="153" t="s">
        <v>582</v>
      </c>
      <c r="O57" s="43" t="s">
        <v>560</v>
      </c>
      <c r="P57" s="3" t="str">
        <f>textcolor(I36)</f>
        <v>#000000</v>
      </c>
      <c r="Q57" t="s">
        <v>573</v>
      </c>
      <c r="R57" t="s">
        <v>573</v>
      </c>
    </row>
    <row r="58" spans="2:18" x14ac:dyDescent="0.2">
      <c r="B58" s="148"/>
      <c r="C58" s="2" t="s">
        <v>535</v>
      </c>
      <c r="D58" s="34"/>
      <c r="E58" s="34"/>
      <c r="N58" s="154"/>
      <c r="O58" s="43" t="s">
        <v>567</v>
      </c>
      <c r="P58" s="3" t="str">
        <f>BackGroundColor(I36,I37,I38,I39,I40,FALSE)</f>
        <v>#FFFFFF</v>
      </c>
      <c r="Q58" t="s">
        <v>573</v>
      </c>
      <c r="R58" t="s">
        <v>573</v>
      </c>
    </row>
    <row r="59" spans="2:18" x14ac:dyDescent="0.2">
      <c r="B59" s="148"/>
      <c r="C59" s="2" t="s">
        <v>536</v>
      </c>
      <c r="D59" s="34"/>
      <c r="E59" s="34"/>
      <c r="N59" s="153" t="s">
        <v>583</v>
      </c>
      <c r="O59" s="43" t="s">
        <v>560</v>
      </c>
      <c r="P59" s="3" t="str">
        <f>textcolor(I41)</f>
        <v>#FFFFFF</v>
      </c>
      <c r="Q59" t="s">
        <v>573</v>
      </c>
      <c r="R59" t="s">
        <v>573</v>
      </c>
    </row>
    <row r="60" spans="2:18" x14ac:dyDescent="0.2">
      <c r="B60" s="149"/>
      <c r="C60" s="2" t="s">
        <v>1063</v>
      </c>
      <c r="D60" s="3"/>
      <c r="E60" s="3"/>
      <c r="N60" s="154"/>
      <c r="O60" s="43" t="s">
        <v>567</v>
      </c>
      <c r="P60" s="3" t="str">
        <f>BackGroundColor(I41,I42,I43,I44,I45,FALSE)</f>
        <v>#404040</v>
      </c>
      <c r="Q60" t="s">
        <v>573</v>
      </c>
    </row>
    <row r="61" spans="2:18" x14ac:dyDescent="0.2">
      <c r="B61" s="147" t="s">
        <v>543</v>
      </c>
      <c r="C61" s="2" t="s">
        <v>530</v>
      </c>
      <c r="D61" s="33" t="s">
        <v>537</v>
      </c>
      <c r="E61" s="33" t="s">
        <v>537</v>
      </c>
    </row>
    <row r="62" spans="2:18" x14ac:dyDescent="0.2">
      <c r="B62" s="148"/>
      <c r="C62" s="2" t="s">
        <v>531</v>
      </c>
      <c r="D62" s="32"/>
      <c r="E62" s="32"/>
    </row>
    <row r="63" spans="2:18" x14ac:dyDescent="0.2">
      <c r="B63" s="148"/>
      <c r="C63" s="2" t="s">
        <v>526</v>
      </c>
      <c r="D63" s="2" t="s">
        <v>527</v>
      </c>
      <c r="E63" s="2" t="s">
        <v>527</v>
      </c>
    </row>
    <row r="64" spans="2:18" x14ac:dyDescent="0.2">
      <c r="B64" s="148"/>
      <c r="C64" s="2" t="s">
        <v>535</v>
      </c>
      <c r="D64" s="34">
        <v>0.4</v>
      </c>
      <c r="E64" s="34">
        <v>0.4</v>
      </c>
    </row>
    <row r="65" spans="2:5" x14ac:dyDescent="0.2">
      <c r="B65" s="148"/>
      <c r="C65" s="2" t="s">
        <v>536</v>
      </c>
      <c r="D65" s="34">
        <v>0.6</v>
      </c>
      <c r="E65" s="34">
        <v>0.6</v>
      </c>
    </row>
    <row r="66" spans="2:5" x14ac:dyDescent="0.2">
      <c r="B66" s="149"/>
      <c r="C66" s="2" t="s">
        <v>1063</v>
      </c>
      <c r="D66" s="116"/>
      <c r="E66" s="116"/>
    </row>
    <row r="67" spans="2:5" ht="13.2" customHeight="1" x14ac:dyDescent="0.2">
      <c r="B67" s="147" t="s">
        <v>546</v>
      </c>
      <c r="C67" s="2" t="s">
        <v>530</v>
      </c>
      <c r="D67" s="33" t="s">
        <v>537</v>
      </c>
      <c r="E67" s="33" t="s">
        <v>537</v>
      </c>
    </row>
    <row r="68" spans="2:5" x14ac:dyDescent="0.2">
      <c r="B68" s="148"/>
      <c r="C68" s="2" t="s">
        <v>531</v>
      </c>
      <c r="D68" s="32"/>
      <c r="E68" s="32"/>
    </row>
    <row r="69" spans="2:5" x14ac:dyDescent="0.2">
      <c r="B69" s="148"/>
      <c r="C69" s="2" t="s">
        <v>526</v>
      </c>
      <c r="D69" s="2" t="s">
        <v>527</v>
      </c>
      <c r="E69" s="2" t="s">
        <v>527</v>
      </c>
    </row>
    <row r="70" spans="2:5" x14ac:dyDescent="0.2">
      <c r="B70" s="148"/>
      <c r="C70" s="2" t="s">
        <v>535</v>
      </c>
      <c r="D70" s="34">
        <v>0.4</v>
      </c>
      <c r="E70" s="34">
        <v>0.4</v>
      </c>
    </row>
    <row r="71" spans="2:5" x14ac:dyDescent="0.2">
      <c r="B71" s="148"/>
      <c r="C71" s="2" t="s">
        <v>536</v>
      </c>
      <c r="D71" s="34">
        <v>0.6</v>
      </c>
      <c r="E71" s="34">
        <v>0.6</v>
      </c>
    </row>
    <row r="72" spans="2:5" x14ac:dyDescent="0.2">
      <c r="B72" s="149"/>
      <c r="C72" s="2" t="s">
        <v>1063</v>
      </c>
      <c r="D72" s="3"/>
      <c r="E72" s="3"/>
    </row>
    <row r="73" spans="2:5" ht="13.2" customHeight="1" x14ac:dyDescent="0.2">
      <c r="B73" s="147" t="s">
        <v>547</v>
      </c>
      <c r="C73" s="2" t="s">
        <v>530</v>
      </c>
      <c r="D73" s="105" t="s">
        <v>537</v>
      </c>
      <c r="E73" s="105" t="s">
        <v>537</v>
      </c>
    </row>
    <row r="74" spans="2:5" x14ac:dyDescent="0.2">
      <c r="B74" s="148"/>
      <c r="C74" s="2" t="s">
        <v>531</v>
      </c>
      <c r="D74" s="31" t="s">
        <v>537</v>
      </c>
      <c r="E74" s="31" t="s">
        <v>537</v>
      </c>
    </row>
    <row r="75" spans="2:5" x14ac:dyDescent="0.2">
      <c r="B75" s="148"/>
      <c r="C75" s="2" t="s">
        <v>526</v>
      </c>
      <c r="D75" s="2"/>
      <c r="E75" s="2"/>
    </row>
    <row r="76" spans="2:5" x14ac:dyDescent="0.2">
      <c r="B76" s="148"/>
      <c r="C76" s="2" t="s">
        <v>535</v>
      </c>
      <c r="D76" s="34"/>
      <c r="E76" s="34"/>
    </row>
    <row r="77" spans="2:5" x14ac:dyDescent="0.2">
      <c r="B77" s="148"/>
      <c r="C77" s="2" t="s">
        <v>536</v>
      </c>
      <c r="D77" s="34"/>
      <c r="E77" s="34"/>
    </row>
    <row r="78" spans="2:5" x14ac:dyDescent="0.2">
      <c r="B78" s="149"/>
      <c r="C78" s="2" t="s">
        <v>1063</v>
      </c>
      <c r="D78" s="3"/>
      <c r="E78" s="3"/>
    </row>
    <row r="79" spans="2:5" x14ac:dyDescent="0.2">
      <c r="B79" s="147" t="s">
        <v>544</v>
      </c>
      <c r="C79" s="2" t="s">
        <v>530</v>
      </c>
      <c r="D79" s="33" t="s">
        <v>537</v>
      </c>
      <c r="E79" s="33" t="s">
        <v>537</v>
      </c>
    </row>
    <row r="80" spans="2:5" x14ac:dyDescent="0.2">
      <c r="B80" s="148"/>
      <c r="C80" s="2" t="s">
        <v>531</v>
      </c>
      <c r="D80" s="32"/>
      <c r="E80" s="32"/>
    </row>
    <row r="81" spans="2:5" x14ac:dyDescent="0.2">
      <c r="B81" s="148"/>
      <c r="C81" s="2" t="s">
        <v>526</v>
      </c>
      <c r="D81" s="2" t="s">
        <v>527</v>
      </c>
      <c r="E81" s="2" t="s">
        <v>527</v>
      </c>
    </row>
    <row r="82" spans="2:5" x14ac:dyDescent="0.2">
      <c r="B82" s="148"/>
      <c r="C82" s="2" t="s">
        <v>535</v>
      </c>
      <c r="D82" s="34">
        <v>0.4</v>
      </c>
      <c r="E82" s="34">
        <v>0.4</v>
      </c>
    </row>
    <row r="83" spans="2:5" x14ac:dyDescent="0.2">
      <c r="B83" s="148"/>
      <c r="C83" s="2" t="s">
        <v>536</v>
      </c>
      <c r="D83" s="34">
        <v>0.6</v>
      </c>
      <c r="E83" s="34">
        <v>0.6</v>
      </c>
    </row>
    <row r="84" spans="2:5" x14ac:dyDescent="0.2">
      <c r="B84" s="149"/>
      <c r="C84" s="2" t="s">
        <v>1063</v>
      </c>
      <c r="D84" s="3"/>
      <c r="E84" s="3"/>
    </row>
    <row r="85" spans="2:5" x14ac:dyDescent="0.2">
      <c r="B85" s="28" t="s">
        <v>561</v>
      </c>
      <c r="C85" s="2" t="s">
        <v>562</v>
      </c>
      <c r="D85" s="44" t="s">
        <v>560</v>
      </c>
      <c r="E85" s="44" t="s">
        <v>560</v>
      </c>
    </row>
  </sheetData>
  <mergeCells count="43">
    <mergeCell ref="N59:N60"/>
    <mergeCell ref="G29:G33"/>
    <mergeCell ref="N48:N49"/>
    <mergeCell ref="N52:N53"/>
    <mergeCell ref="N44:N45"/>
    <mergeCell ref="N46:N47"/>
    <mergeCell ref="N50:N51"/>
    <mergeCell ref="N37:N39"/>
    <mergeCell ref="N40:N42"/>
    <mergeCell ref="G36:G40"/>
    <mergeCell ref="G41:G45"/>
    <mergeCell ref="N57:N58"/>
    <mergeCell ref="N13:N15"/>
    <mergeCell ref="N18:N20"/>
    <mergeCell ref="N23:N25"/>
    <mergeCell ref="N28:N30"/>
    <mergeCell ref="B4:B8"/>
    <mergeCell ref="B17:B21"/>
    <mergeCell ref="B28:B32"/>
    <mergeCell ref="G4:G8"/>
    <mergeCell ref="G9:G13"/>
    <mergeCell ref="G14:G18"/>
    <mergeCell ref="G19:G23"/>
    <mergeCell ref="G24:G28"/>
    <mergeCell ref="B22:B27"/>
    <mergeCell ref="N4:N5"/>
    <mergeCell ref="N6:N7"/>
    <mergeCell ref="N11:N12"/>
    <mergeCell ref="B79:B84"/>
    <mergeCell ref="B9:B13"/>
    <mergeCell ref="B39:B43"/>
    <mergeCell ref="B50:B54"/>
    <mergeCell ref="B61:B66"/>
    <mergeCell ref="B33:B38"/>
    <mergeCell ref="B44:B49"/>
    <mergeCell ref="B55:B60"/>
    <mergeCell ref="B67:B72"/>
    <mergeCell ref="B73:B78"/>
    <mergeCell ref="N16:N17"/>
    <mergeCell ref="N21:N22"/>
    <mergeCell ref="N26:N27"/>
    <mergeCell ref="N31:N33"/>
    <mergeCell ref="N34:N36"/>
  </mergeCells>
  <phoneticPr fontId="1"/>
  <dataValidations count="4">
    <dataValidation type="list" allowBlank="1" showInputMessage="1" showErrorMessage="1" sqref="I11 I16 I21 I26 I31 I43 I38 I6 D30:E30 D46:E46 D57:E57 D24:E24 D69:E69 D35:E35 D81:E81 D52:E52 D75:E75 D11:E11 D6:E6 D63:E63 D19:E19 D41:E41" xr:uid="{D5F97FF2-898C-40D7-9B01-C10686DBAF5C}">
      <formula1>"縦(上→下),横(左→右)"</formula1>
    </dataValidation>
    <dataValidation type="list" allowBlank="1" showInputMessage="1" showErrorMessage="1" sqref="L13" xr:uid="{D4136EE2-ABDE-4608-944D-C756BA3ED2C0}">
      <formula1>"する,しない"</formula1>
    </dataValidation>
    <dataValidation type="list" allowBlank="1" showInputMessage="1" showErrorMessage="1" sqref="L14" xr:uid="{597F7367-EBE6-46BE-82B3-BD968D45CF8E}">
      <formula1>"一塁側,三塁側"</formula1>
    </dataValidation>
    <dataValidation type="list" allowBlank="1" showInputMessage="1" showErrorMessage="1" sqref="L17" xr:uid="{368B21A1-A95D-45F8-B7D2-641215202281}">
      <formula1>"1塁,2塁,3塁,1、2塁,1、3塁,2、3塁,満塁"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E2A7-9B86-44CA-808A-F971A5933F78}">
  <sheetPr codeName="Sheet2"/>
  <dimension ref="B2:AB129"/>
  <sheetViews>
    <sheetView topLeftCell="A62" zoomScaleNormal="100" workbookViewId="0">
      <selection activeCell="D3" sqref="D3:D84"/>
    </sheetView>
  </sheetViews>
  <sheetFormatPr defaultColWidth="11.6640625" defaultRowHeight="13.2" x14ac:dyDescent="0.2"/>
  <cols>
    <col min="2" max="2" width="15.77734375" bestFit="1" customWidth="1"/>
    <col min="3" max="3" width="16.77734375" bestFit="1" customWidth="1"/>
  </cols>
  <sheetData>
    <row r="2" spans="2:28" x14ac:dyDescent="0.2">
      <c r="D2" s="67" t="s">
        <v>1116</v>
      </c>
      <c r="E2" s="68" t="s">
        <v>1112</v>
      </c>
      <c r="F2" s="68" t="s">
        <v>1049</v>
      </c>
      <c r="G2" s="68" t="s">
        <v>1115</v>
      </c>
      <c r="H2" s="68" t="s">
        <v>1050</v>
      </c>
      <c r="I2" s="68" t="s">
        <v>1051</v>
      </c>
      <c r="J2" s="68" t="s">
        <v>1052</v>
      </c>
      <c r="K2" s="68" t="s">
        <v>1119</v>
      </c>
      <c r="L2" s="68" t="s">
        <v>1118</v>
      </c>
      <c r="M2" s="68" t="s">
        <v>1053</v>
      </c>
      <c r="N2" s="68" t="s">
        <v>1054</v>
      </c>
      <c r="O2" s="68" t="s">
        <v>1070</v>
      </c>
      <c r="P2" s="68" t="s">
        <v>1082</v>
      </c>
      <c r="Q2" s="68" t="s">
        <v>1125</v>
      </c>
      <c r="R2" s="68" t="s">
        <v>1126</v>
      </c>
      <c r="S2" s="68" t="s">
        <v>1127</v>
      </c>
      <c r="T2" s="68" t="s">
        <v>1128</v>
      </c>
      <c r="U2" s="68" t="s">
        <v>1129</v>
      </c>
      <c r="V2" s="68" t="s">
        <v>1130</v>
      </c>
      <c r="W2" s="68" t="s">
        <v>2210</v>
      </c>
      <c r="X2" s="68" t="s">
        <v>2606</v>
      </c>
      <c r="Y2" s="67" t="s">
        <v>2607</v>
      </c>
      <c r="Z2" s="68" t="s">
        <v>2608</v>
      </c>
      <c r="AA2" s="68" t="s">
        <v>2609</v>
      </c>
      <c r="AB2" s="68" t="s">
        <v>2610</v>
      </c>
    </row>
    <row r="3" spans="2:28" x14ac:dyDescent="0.2">
      <c r="B3" s="147" t="s">
        <v>528</v>
      </c>
      <c r="C3" s="2" t="s">
        <v>530</v>
      </c>
      <c r="D3" s="33" t="s">
        <v>534</v>
      </c>
      <c r="E3" s="69" t="s">
        <v>534</v>
      </c>
      <c r="F3" s="73" t="s">
        <v>534</v>
      </c>
      <c r="G3" s="81" t="s">
        <v>534</v>
      </c>
      <c r="H3" s="79" t="s">
        <v>534</v>
      </c>
      <c r="I3" s="87" t="s">
        <v>534</v>
      </c>
      <c r="J3" s="84" t="s">
        <v>534</v>
      </c>
      <c r="K3" s="92" t="s">
        <v>534</v>
      </c>
      <c r="L3" s="66" t="s">
        <v>534</v>
      </c>
      <c r="M3" s="89" t="s">
        <v>534</v>
      </c>
      <c r="N3" s="99" t="s">
        <v>534</v>
      </c>
      <c r="O3" s="102" t="s">
        <v>534</v>
      </c>
      <c r="P3" s="121" t="s">
        <v>534</v>
      </c>
      <c r="Q3" s="132" t="s">
        <v>534</v>
      </c>
      <c r="R3" s="132" t="s">
        <v>534</v>
      </c>
      <c r="S3" s="39" t="s">
        <v>534</v>
      </c>
      <c r="T3" s="135" t="s">
        <v>534</v>
      </c>
      <c r="U3" s="138" t="s">
        <v>534</v>
      </c>
      <c r="V3" s="135" t="s">
        <v>534</v>
      </c>
      <c r="W3" s="87" t="s">
        <v>534</v>
      </c>
      <c r="X3" s="135" t="s">
        <v>534</v>
      </c>
      <c r="Y3" s="33" t="s">
        <v>534</v>
      </c>
      <c r="Z3" s="87" t="s">
        <v>534</v>
      </c>
      <c r="AA3" s="87" t="s">
        <v>534</v>
      </c>
      <c r="AB3" s="87" t="s">
        <v>534</v>
      </c>
    </row>
    <row r="4" spans="2:28" x14ac:dyDescent="0.2">
      <c r="B4" s="148"/>
      <c r="C4" s="2" t="s">
        <v>531</v>
      </c>
      <c r="D4" s="32"/>
      <c r="E4" s="71"/>
      <c r="F4" s="74"/>
      <c r="G4" s="77"/>
      <c r="H4" s="80"/>
      <c r="I4" s="83"/>
      <c r="J4" s="86"/>
      <c r="K4" s="91"/>
      <c r="L4" s="65"/>
      <c r="M4" s="103"/>
      <c r="N4" s="96"/>
      <c r="O4" s="101"/>
      <c r="P4" s="37"/>
      <c r="Q4" s="131"/>
      <c r="R4" s="131"/>
      <c r="S4" s="103"/>
      <c r="T4" s="131"/>
      <c r="U4" s="121"/>
      <c r="V4" s="131"/>
      <c r="W4" s="83"/>
      <c r="X4" s="131"/>
      <c r="Y4" s="32"/>
      <c r="Z4" s="83"/>
      <c r="AA4" s="83"/>
      <c r="AB4" s="83"/>
    </row>
    <row r="5" spans="2:28" x14ac:dyDescent="0.2">
      <c r="B5" s="148"/>
      <c r="C5" s="2" t="s">
        <v>526</v>
      </c>
      <c r="D5" s="2" t="s">
        <v>527</v>
      </c>
      <c r="E5" s="2" t="s">
        <v>527</v>
      </c>
      <c r="F5" s="2" t="s">
        <v>527</v>
      </c>
      <c r="G5" s="2" t="s">
        <v>527</v>
      </c>
      <c r="H5" s="2" t="s">
        <v>527</v>
      </c>
      <c r="I5" s="2" t="s">
        <v>527</v>
      </c>
      <c r="J5" s="2" t="s">
        <v>527</v>
      </c>
      <c r="K5" s="2" t="s">
        <v>527</v>
      </c>
      <c r="L5" s="2" t="s">
        <v>527</v>
      </c>
      <c r="M5" s="2" t="s">
        <v>527</v>
      </c>
      <c r="N5" s="2" t="s">
        <v>527</v>
      </c>
      <c r="O5" s="2" t="s">
        <v>527</v>
      </c>
      <c r="P5" s="2"/>
      <c r="Q5" s="2" t="s">
        <v>527</v>
      </c>
      <c r="R5" s="2" t="s">
        <v>527</v>
      </c>
      <c r="S5" s="2" t="s">
        <v>527</v>
      </c>
      <c r="T5" s="2" t="s">
        <v>527</v>
      </c>
      <c r="U5" s="2" t="s">
        <v>527</v>
      </c>
      <c r="V5" s="2" t="s">
        <v>527</v>
      </c>
      <c r="W5" s="2" t="s">
        <v>527</v>
      </c>
      <c r="X5" s="2" t="s">
        <v>527</v>
      </c>
      <c r="Y5" s="2" t="s">
        <v>527</v>
      </c>
      <c r="Z5" s="2" t="s">
        <v>527</v>
      </c>
      <c r="AA5" s="2" t="s">
        <v>527</v>
      </c>
      <c r="AB5" s="2" t="s">
        <v>527</v>
      </c>
    </row>
    <row r="6" spans="2:28" x14ac:dyDescent="0.2">
      <c r="B6" s="148"/>
      <c r="C6" s="2" t="s">
        <v>535</v>
      </c>
      <c r="D6" s="34">
        <v>0.4</v>
      </c>
      <c r="E6" s="34">
        <v>0.4</v>
      </c>
      <c r="F6" s="34">
        <v>0.4</v>
      </c>
      <c r="G6" s="34">
        <v>0.4</v>
      </c>
      <c r="H6" s="34">
        <v>0.4</v>
      </c>
      <c r="I6" s="34">
        <v>0.4</v>
      </c>
      <c r="J6" s="34">
        <v>0.4</v>
      </c>
      <c r="K6" s="34">
        <v>0.4</v>
      </c>
      <c r="L6" s="34">
        <v>0.4</v>
      </c>
      <c r="M6" s="34">
        <v>0.4</v>
      </c>
      <c r="N6" s="34">
        <v>0.4</v>
      </c>
      <c r="O6" s="34">
        <v>0.4</v>
      </c>
      <c r="P6" s="34"/>
      <c r="Q6" s="34">
        <v>0.4</v>
      </c>
      <c r="R6" s="34">
        <v>0.4</v>
      </c>
      <c r="S6" s="34">
        <v>0.4</v>
      </c>
      <c r="T6" s="34">
        <v>0.4</v>
      </c>
      <c r="U6" s="34">
        <v>0.4</v>
      </c>
      <c r="V6" s="34">
        <v>0.4</v>
      </c>
      <c r="W6" s="34">
        <v>0.4</v>
      </c>
      <c r="X6" s="34">
        <v>0.4</v>
      </c>
      <c r="Y6" s="34">
        <v>0.4</v>
      </c>
      <c r="Z6" s="34">
        <v>0.4</v>
      </c>
      <c r="AA6" s="34">
        <v>0.4</v>
      </c>
      <c r="AB6" s="34">
        <v>0.4</v>
      </c>
    </row>
    <row r="7" spans="2:28" x14ac:dyDescent="0.2">
      <c r="B7" s="149"/>
      <c r="C7" s="2" t="s">
        <v>536</v>
      </c>
      <c r="D7" s="34">
        <v>0.6</v>
      </c>
      <c r="E7" s="34">
        <v>0.6</v>
      </c>
      <c r="F7" s="34">
        <v>0.6</v>
      </c>
      <c r="G7" s="34">
        <v>0.6</v>
      </c>
      <c r="H7" s="34">
        <v>0.6</v>
      </c>
      <c r="I7" s="34">
        <v>0.6</v>
      </c>
      <c r="J7" s="34">
        <v>0.6</v>
      </c>
      <c r="K7" s="34">
        <v>0.6</v>
      </c>
      <c r="L7" s="34">
        <v>0.6</v>
      </c>
      <c r="M7" s="34">
        <v>0.6</v>
      </c>
      <c r="N7" s="34">
        <v>0.6</v>
      </c>
      <c r="O7" s="34">
        <v>0.6</v>
      </c>
      <c r="P7" s="34"/>
      <c r="Q7" s="34">
        <v>0.6</v>
      </c>
      <c r="R7" s="34">
        <v>0.6</v>
      </c>
      <c r="S7" s="34">
        <v>0.6</v>
      </c>
      <c r="T7" s="34">
        <v>0.6</v>
      </c>
      <c r="U7" s="34">
        <v>0.6</v>
      </c>
      <c r="V7" s="34">
        <v>0.6</v>
      </c>
      <c r="W7" s="34">
        <v>0.6</v>
      </c>
      <c r="X7" s="34">
        <v>0.6</v>
      </c>
      <c r="Y7" s="34">
        <v>0.6</v>
      </c>
      <c r="Z7" s="34">
        <v>0.6</v>
      </c>
      <c r="AA7" s="34">
        <v>0.6</v>
      </c>
      <c r="AB7" s="34">
        <v>0.6</v>
      </c>
    </row>
    <row r="8" spans="2:28" x14ac:dyDescent="0.2">
      <c r="B8" s="147" t="s">
        <v>545</v>
      </c>
      <c r="C8" s="2" t="s">
        <v>530</v>
      </c>
      <c r="D8" s="29" t="s">
        <v>534</v>
      </c>
      <c r="E8" s="29" t="s">
        <v>534</v>
      </c>
      <c r="F8" s="29" t="s">
        <v>534</v>
      </c>
      <c r="G8" s="29" t="s">
        <v>534</v>
      </c>
      <c r="H8" s="29" t="s">
        <v>534</v>
      </c>
      <c r="I8" s="29" t="s">
        <v>534</v>
      </c>
      <c r="J8" s="29" t="s">
        <v>534</v>
      </c>
      <c r="K8" s="29" t="s">
        <v>534</v>
      </c>
      <c r="L8" s="29" t="s">
        <v>534</v>
      </c>
      <c r="M8" s="29" t="s">
        <v>534</v>
      </c>
      <c r="N8" s="29" t="s">
        <v>534</v>
      </c>
      <c r="O8" s="29" t="s">
        <v>534</v>
      </c>
      <c r="P8" s="122" t="s">
        <v>534</v>
      </c>
      <c r="Q8" s="29" t="s">
        <v>534</v>
      </c>
      <c r="R8" s="29" t="s">
        <v>534</v>
      </c>
      <c r="S8" s="29" t="s">
        <v>534</v>
      </c>
      <c r="T8" s="29" t="s">
        <v>534</v>
      </c>
      <c r="U8" s="29" t="s">
        <v>534</v>
      </c>
      <c r="V8" s="29" t="s">
        <v>534</v>
      </c>
      <c r="W8" s="29" t="s">
        <v>534</v>
      </c>
      <c r="X8" s="29" t="s">
        <v>534</v>
      </c>
      <c r="Y8" s="29" t="s">
        <v>534</v>
      </c>
      <c r="Z8" s="29" t="s">
        <v>534</v>
      </c>
      <c r="AA8" s="29" t="s">
        <v>534</v>
      </c>
      <c r="AB8" s="29" t="s">
        <v>534</v>
      </c>
    </row>
    <row r="9" spans="2:28" x14ac:dyDescent="0.2">
      <c r="B9" s="148"/>
      <c r="C9" s="2" t="s">
        <v>531</v>
      </c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</row>
    <row r="10" spans="2:28" x14ac:dyDescent="0.2">
      <c r="B10" s="148"/>
      <c r="C10" s="2" t="s">
        <v>526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</row>
    <row r="11" spans="2:28" x14ac:dyDescent="0.2">
      <c r="B11" s="148"/>
      <c r="C11" s="2" t="s">
        <v>535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</row>
    <row r="12" spans="2:28" x14ac:dyDescent="0.2">
      <c r="B12" s="149"/>
      <c r="C12" s="2" t="s">
        <v>536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</row>
    <row r="13" spans="2:28" x14ac:dyDescent="0.2">
      <c r="B13" s="28" t="s">
        <v>529</v>
      </c>
      <c r="C13" s="2" t="s">
        <v>570</v>
      </c>
      <c r="D13" s="27"/>
      <c r="E13" s="70"/>
      <c r="F13" s="72"/>
      <c r="G13" s="82"/>
      <c r="H13" s="78"/>
      <c r="I13" s="88"/>
      <c r="J13" s="85"/>
      <c r="K13" s="93"/>
      <c r="L13" s="36"/>
      <c r="M13" s="50"/>
      <c r="N13" s="97"/>
      <c r="O13" s="100"/>
      <c r="P13" s="122"/>
      <c r="Q13" s="133"/>
      <c r="R13" s="133"/>
      <c r="S13" s="50"/>
      <c r="T13" s="27"/>
      <c r="U13" s="78"/>
      <c r="V13" s="27"/>
      <c r="W13" s="78"/>
      <c r="X13" s="32"/>
      <c r="Y13" s="27"/>
      <c r="Z13" s="27"/>
      <c r="AA13" s="88"/>
      <c r="AB13" s="27"/>
    </row>
    <row r="14" spans="2:28" x14ac:dyDescent="0.2">
      <c r="B14" s="28" t="s">
        <v>578</v>
      </c>
      <c r="C14" s="2" t="s">
        <v>570</v>
      </c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</row>
    <row r="15" spans="2:28" x14ac:dyDescent="0.2">
      <c r="B15" s="28" t="s">
        <v>577</v>
      </c>
      <c r="C15" s="2" t="s">
        <v>570</v>
      </c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</row>
    <row r="16" spans="2:28" x14ac:dyDescent="0.2">
      <c r="B16" s="147" t="s">
        <v>532</v>
      </c>
      <c r="C16" s="2" t="s">
        <v>530</v>
      </c>
      <c r="D16" s="29" t="s">
        <v>540</v>
      </c>
      <c r="E16" s="29" t="s">
        <v>540</v>
      </c>
      <c r="F16" s="29" t="s">
        <v>540</v>
      </c>
      <c r="G16" s="29" t="s">
        <v>540</v>
      </c>
      <c r="H16" s="29" t="s">
        <v>540</v>
      </c>
      <c r="I16" s="29" t="s">
        <v>540</v>
      </c>
      <c r="J16" s="29" t="s">
        <v>540</v>
      </c>
      <c r="K16" s="29" t="s">
        <v>540</v>
      </c>
      <c r="L16" s="29" t="s">
        <v>540</v>
      </c>
      <c r="M16" s="29" t="s">
        <v>540</v>
      </c>
      <c r="N16" s="29" t="s">
        <v>540</v>
      </c>
      <c r="O16" s="29" t="s">
        <v>540</v>
      </c>
      <c r="P16" s="121" t="s">
        <v>540</v>
      </c>
      <c r="Q16" s="29" t="s">
        <v>540</v>
      </c>
      <c r="R16" s="29" t="s">
        <v>540</v>
      </c>
      <c r="S16" s="29" t="s">
        <v>540</v>
      </c>
      <c r="T16" s="29" t="s">
        <v>540</v>
      </c>
      <c r="U16" s="29" t="s">
        <v>540</v>
      </c>
      <c r="V16" s="29" t="s">
        <v>540</v>
      </c>
      <c r="W16" s="29" t="s">
        <v>540</v>
      </c>
      <c r="X16" s="29" t="s">
        <v>540</v>
      </c>
      <c r="Y16" s="29" t="s">
        <v>540</v>
      </c>
      <c r="Z16" s="29" t="s">
        <v>540</v>
      </c>
      <c r="AA16" s="29" t="s">
        <v>540</v>
      </c>
      <c r="AB16" s="29" t="s">
        <v>540</v>
      </c>
    </row>
    <row r="17" spans="2:28" x14ac:dyDescent="0.2">
      <c r="B17" s="148"/>
      <c r="C17" s="2" t="s">
        <v>531</v>
      </c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7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</row>
    <row r="18" spans="2:28" x14ac:dyDescent="0.2">
      <c r="B18" s="148"/>
      <c r="C18" s="2" t="s">
        <v>526</v>
      </c>
      <c r="D18" s="2" t="s">
        <v>527</v>
      </c>
      <c r="E18" s="2" t="s">
        <v>527</v>
      </c>
      <c r="F18" s="2" t="s">
        <v>527</v>
      </c>
      <c r="G18" s="2" t="s">
        <v>527</v>
      </c>
      <c r="H18" s="2" t="s">
        <v>527</v>
      </c>
      <c r="I18" s="2" t="s">
        <v>527</v>
      </c>
      <c r="J18" s="2" t="s">
        <v>527</v>
      </c>
      <c r="K18" s="2" t="s">
        <v>527</v>
      </c>
      <c r="L18" s="2" t="s">
        <v>527</v>
      </c>
      <c r="M18" s="2" t="s">
        <v>527</v>
      </c>
      <c r="N18" s="2" t="s">
        <v>527</v>
      </c>
      <c r="O18" s="2" t="s">
        <v>527</v>
      </c>
      <c r="P18" s="2"/>
      <c r="Q18" s="2" t="s">
        <v>527</v>
      </c>
      <c r="R18" s="2" t="s">
        <v>527</v>
      </c>
      <c r="S18" s="2" t="s">
        <v>527</v>
      </c>
      <c r="T18" s="2" t="s">
        <v>527</v>
      </c>
      <c r="U18" s="2" t="s">
        <v>527</v>
      </c>
      <c r="V18" s="2" t="s">
        <v>527</v>
      </c>
      <c r="W18" s="2" t="s">
        <v>527</v>
      </c>
      <c r="X18" s="2" t="s">
        <v>527</v>
      </c>
      <c r="Y18" s="2" t="s">
        <v>527</v>
      </c>
      <c r="Z18" s="2" t="s">
        <v>527</v>
      </c>
      <c r="AA18" s="2" t="s">
        <v>527</v>
      </c>
      <c r="AB18" s="2" t="s">
        <v>527</v>
      </c>
    </row>
    <row r="19" spans="2:28" x14ac:dyDescent="0.2">
      <c r="B19" s="148"/>
      <c r="C19" s="2" t="s">
        <v>535</v>
      </c>
      <c r="D19" s="34">
        <v>0.4</v>
      </c>
      <c r="E19" s="34">
        <v>0.4</v>
      </c>
      <c r="F19" s="34">
        <v>0.4</v>
      </c>
      <c r="G19" s="34">
        <v>0.4</v>
      </c>
      <c r="H19" s="34">
        <v>0.4</v>
      </c>
      <c r="I19" s="34">
        <v>0.4</v>
      </c>
      <c r="J19" s="34">
        <v>0.4</v>
      </c>
      <c r="K19" s="34">
        <v>0.4</v>
      </c>
      <c r="L19" s="34">
        <v>0.4</v>
      </c>
      <c r="M19" s="34">
        <v>0.4</v>
      </c>
      <c r="N19" s="34">
        <v>0.4</v>
      </c>
      <c r="O19" s="34">
        <v>0.4</v>
      </c>
      <c r="P19" s="34"/>
      <c r="Q19" s="34">
        <v>0.4</v>
      </c>
      <c r="R19" s="34">
        <v>0.4</v>
      </c>
      <c r="S19" s="34">
        <v>0.4</v>
      </c>
      <c r="T19" s="34">
        <v>0.4</v>
      </c>
      <c r="U19" s="34">
        <v>0.4</v>
      </c>
      <c r="V19" s="34">
        <v>0.4</v>
      </c>
      <c r="W19" s="34">
        <v>0.4</v>
      </c>
      <c r="X19" s="34">
        <v>0.4</v>
      </c>
      <c r="Y19" s="34">
        <v>0.4</v>
      </c>
      <c r="Z19" s="34">
        <v>0.4</v>
      </c>
      <c r="AA19" s="34">
        <v>0.4</v>
      </c>
      <c r="AB19" s="34">
        <v>0.4</v>
      </c>
    </row>
    <row r="20" spans="2:28" x14ac:dyDescent="0.2">
      <c r="B20" s="149"/>
      <c r="C20" s="2" t="s">
        <v>536</v>
      </c>
      <c r="D20" s="34">
        <v>0.6</v>
      </c>
      <c r="E20" s="34">
        <v>0.6</v>
      </c>
      <c r="F20" s="34">
        <v>0.6</v>
      </c>
      <c r="G20" s="34">
        <v>0.6</v>
      </c>
      <c r="H20" s="34">
        <v>0.6</v>
      </c>
      <c r="I20" s="34">
        <v>0.6</v>
      </c>
      <c r="J20" s="34">
        <v>0.6</v>
      </c>
      <c r="K20" s="34">
        <v>0.6</v>
      </c>
      <c r="L20" s="34">
        <v>0.6</v>
      </c>
      <c r="M20" s="34">
        <v>0.6</v>
      </c>
      <c r="N20" s="34">
        <v>0.6</v>
      </c>
      <c r="O20" s="34">
        <v>0.6</v>
      </c>
      <c r="P20" s="34"/>
      <c r="Q20" s="34">
        <v>0.6</v>
      </c>
      <c r="R20" s="34">
        <v>0.6</v>
      </c>
      <c r="S20" s="34">
        <v>0.6</v>
      </c>
      <c r="T20" s="34">
        <v>0.6</v>
      </c>
      <c r="U20" s="34">
        <v>0.6</v>
      </c>
      <c r="V20" s="34">
        <v>0.6</v>
      </c>
      <c r="W20" s="34">
        <v>0.6</v>
      </c>
      <c r="X20" s="34">
        <v>0.6</v>
      </c>
      <c r="Y20" s="34">
        <v>0.6</v>
      </c>
      <c r="Z20" s="34">
        <v>0.6</v>
      </c>
      <c r="AA20" s="34">
        <v>0.6</v>
      </c>
      <c r="AB20" s="34">
        <v>0.6</v>
      </c>
    </row>
    <row r="21" spans="2:28" x14ac:dyDescent="0.2">
      <c r="B21" s="147" t="s">
        <v>533</v>
      </c>
      <c r="C21" s="2" t="s">
        <v>530</v>
      </c>
      <c r="D21" s="52" t="s">
        <v>537</v>
      </c>
      <c r="E21" s="52" t="s">
        <v>537</v>
      </c>
      <c r="F21" s="52" t="s">
        <v>537</v>
      </c>
      <c r="G21" s="52" t="s">
        <v>537</v>
      </c>
      <c r="H21" s="52" t="s">
        <v>537</v>
      </c>
      <c r="I21" s="52" t="s">
        <v>537</v>
      </c>
      <c r="J21" s="52" t="s">
        <v>537</v>
      </c>
      <c r="K21" s="52" t="s">
        <v>537</v>
      </c>
      <c r="L21" s="52" t="s">
        <v>537</v>
      </c>
      <c r="M21" s="52" t="s">
        <v>537</v>
      </c>
      <c r="N21" s="52" t="s">
        <v>537</v>
      </c>
      <c r="O21" s="52" t="s">
        <v>537</v>
      </c>
      <c r="P21" s="121" t="s">
        <v>537</v>
      </c>
      <c r="Q21" s="52" t="s">
        <v>537</v>
      </c>
      <c r="R21" s="52" t="s">
        <v>537</v>
      </c>
      <c r="S21" s="52" t="s">
        <v>537</v>
      </c>
      <c r="T21" s="52" t="s">
        <v>537</v>
      </c>
      <c r="U21" s="52" t="s">
        <v>537</v>
      </c>
      <c r="V21" s="52" t="s">
        <v>537</v>
      </c>
      <c r="W21" s="52" t="s">
        <v>537</v>
      </c>
      <c r="X21" s="52" t="s">
        <v>537</v>
      </c>
      <c r="Y21" s="52" t="s">
        <v>537</v>
      </c>
      <c r="Z21" s="52" t="s">
        <v>537</v>
      </c>
      <c r="AA21" s="52" t="s">
        <v>537</v>
      </c>
      <c r="AB21" s="52" t="s">
        <v>537</v>
      </c>
    </row>
    <row r="22" spans="2:28" x14ac:dyDescent="0.2">
      <c r="B22" s="148"/>
      <c r="C22" s="2" t="s">
        <v>531</v>
      </c>
      <c r="D22" s="35" t="s">
        <v>537</v>
      </c>
      <c r="E22" s="35" t="s">
        <v>537</v>
      </c>
      <c r="F22" s="35" t="s">
        <v>537</v>
      </c>
      <c r="G22" s="35" t="s">
        <v>537</v>
      </c>
      <c r="H22" s="35" t="s">
        <v>537</v>
      </c>
      <c r="I22" s="35" t="s">
        <v>537</v>
      </c>
      <c r="J22" s="35" t="s">
        <v>537</v>
      </c>
      <c r="K22" s="35" t="s">
        <v>537</v>
      </c>
      <c r="L22" s="35" t="s">
        <v>537</v>
      </c>
      <c r="M22" s="35" t="s">
        <v>537</v>
      </c>
      <c r="N22" s="35" t="s">
        <v>537</v>
      </c>
      <c r="O22" s="35" t="s">
        <v>537</v>
      </c>
      <c r="P22" s="35" t="s">
        <v>537</v>
      </c>
      <c r="Q22" s="35" t="s">
        <v>537</v>
      </c>
      <c r="R22" s="35" t="s">
        <v>537</v>
      </c>
      <c r="S22" s="35" t="s">
        <v>537</v>
      </c>
      <c r="T22" s="35" t="s">
        <v>537</v>
      </c>
      <c r="U22" s="35" t="s">
        <v>537</v>
      </c>
      <c r="V22" s="35" t="s">
        <v>537</v>
      </c>
      <c r="W22" s="35" t="s">
        <v>537</v>
      </c>
      <c r="X22" s="35" t="s">
        <v>537</v>
      </c>
      <c r="Y22" s="35" t="s">
        <v>537</v>
      </c>
      <c r="Z22" s="35" t="s">
        <v>537</v>
      </c>
      <c r="AA22" s="35" t="s">
        <v>537</v>
      </c>
      <c r="AB22" s="35" t="s">
        <v>537</v>
      </c>
    </row>
    <row r="23" spans="2:28" x14ac:dyDescent="0.2">
      <c r="B23" s="148"/>
      <c r="C23" s="2" t="s">
        <v>526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</row>
    <row r="24" spans="2:28" x14ac:dyDescent="0.2">
      <c r="B24" s="148"/>
      <c r="C24" s="2" t="s">
        <v>535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</row>
    <row r="25" spans="2:28" x14ac:dyDescent="0.2">
      <c r="B25" s="148"/>
      <c r="C25" s="2" t="s">
        <v>536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</row>
    <row r="26" spans="2:28" x14ac:dyDescent="0.2">
      <c r="B26" s="149"/>
      <c r="C26" s="2" t="s">
        <v>1063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</row>
    <row r="27" spans="2:28" x14ac:dyDescent="0.2">
      <c r="B27" s="147" t="s">
        <v>538</v>
      </c>
      <c r="C27" s="2" t="s">
        <v>530</v>
      </c>
      <c r="D27" s="27" t="s">
        <v>540</v>
      </c>
      <c r="E27" s="106" t="s">
        <v>540</v>
      </c>
      <c r="F27" s="107" t="s">
        <v>540</v>
      </c>
      <c r="G27" s="108" t="s">
        <v>540</v>
      </c>
      <c r="H27" s="109" t="s">
        <v>540</v>
      </c>
      <c r="I27" s="88" t="s">
        <v>540</v>
      </c>
      <c r="J27" s="110" t="s">
        <v>540</v>
      </c>
      <c r="K27" s="111" t="s">
        <v>540</v>
      </c>
      <c r="L27" s="112" t="s">
        <v>540</v>
      </c>
      <c r="M27" s="113" t="s">
        <v>540</v>
      </c>
      <c r="N27" s="114" t="s">
        <v>540</v>
      </c>
      <c r="O27" s="115" t="s">
        <v>540</v>
      </c>
      <c r="P27" s="33" t="s">
        <v>540</v>
      </c>
      <c r="Q27" s="134" t="s">
        <v>540</v>
      </c>
      <c r="R27" s="134" t="s">
        <v>540</v>
      </c>
      <c r="S27" s="27" t="s">
        <v>540</v>
      </c>
      <c r="T27" s="27" t="s">
        <v>540</v>
      </c>
      <c r="U27" s="109" t="s">
        <v>540</v>
      </c>
      <c r="V27" s="134" t="s">
        <v>540</v>
      </c>
      <c r="W27" s="88" t="s">
        <v>540</v>
      </c>
      <c r="X27" s="134" t="s">
        <v>540</v>
      </c>
      <c r="Y27" s="27" t="s">
        <v>540</v>
      </c>
      <c r="Z27" s="111" t="s">
        <v>540</v>
      </c>
      <c r="AA27" s="88" t="s">
        <v>540</v>
      </c>
      <c r="AB27" s="111" t="s">
        <v>540</v>
      </c>
    </row>
    <row r="28" spans="2:28" x14ac:dyDescent="0.2">
      <c r="B28" s="148"/>
      <c r="C28" s="2" t="s">
        <v>531</v>
      </c>
      <c r="D28" s="32"/>
      <c r="E28" s="71"/>
      <c r="F28" s="120"/>
      <c r="G28" s="77"/>
      <c r="H28" s="80"/>
      <c r="I28" s="83"/>
      <c r="J28" s="86"/>
      <c r="K28" s="103"/>
      <c r="L28" s="103"/>
      <c r="M28" s="103"/>
      <c r="N28" s="103"/>
      <c r="O28" s="101"/>
      <c r="P28" s="37"/>
      <c r="Q28" s="103"/>
      <c r="R28" s="103"/>
      <c r="S28" s="32"/>
      <c r="T28" s="32"/>
      <c r="U28" s="80"/>
      <c r="V28" s="103"/>
      <c r="W28" s="83"/>
      <c r="X28" s="103"/>
      <c r="Y28" s="32"/>
      <c r="Z28" s="103"/>
      <c r="AA28" s="83"/>
      <c r="AB28" s="103"/>
    </row>
    <row r="29" spans="2:28" x14ac:dyDescent="0.2">
      <c r="B29" s="148"/>
      <c r="C29" s="2" t="s">
        <v>526</v>
      </c>
      <c r="D29" s="2" t="s">
        <v>527</v>
      </c>
      <c r="E29" s="2" t="s">
        <v>527</v>
      </c>
      <c r="F29" s="2" t="s">
        <v>527</v>
      </c>
      <c r="G29" s="2" t="s">
        <v>527</v>
      </c>
      <c r="H29" s="2" t="s">
        <v>527</v>
      </c>
      <c r="I29" s="2" t="s">
        <v>527</v>
      </c>
      <c r="J29" s="2" t="s">
        <v>527</v>
      </c>
      <c r="K29" s="2" t="s">
        <v>527</v>
      </c>
      <c r="L29" s="2" t="s">
        <v>527</v>
      </c>
      <c r="M29" s="2" t="s">
        <v>527</v>
      </c>
      <c r="N29" s="2" t="s">
        <v>527</v>
      </c>
      <c r="O29" s="2" t="s">
        <v>527</v>
      </c>
      <c r="P29" s="2"/>
      <c r="Q29" s="2" t="s">
        <v>527</v>
      </c>
      <c r="R29" s="2" t="s">
        <v>527</v>
      </c>
      <c r="S29" s="2" t="s">
        <v>527</v>
      </c>
      <c r="T29" s="2" t="s">
        <v>527</v>
      </c>
      <c r="U29" s="2" t="s">
        <v>527</v>
      </c>
      <c r="V29" s="2" t="s">
        <v>527</v>
      </c>
      <c r="W29" s="2" t="s">
        <v>527</v>
      </c>
      <c r="X29" s="2" t="s">
        <v>527</v>
      </c>
      <c r="Y29" s="2" t="s">
        <v>527</v>
      </c>
      <c r="Z29" s="2" t="s">
        <v>527</v>
      </c>
      <c r="AA29" s="2" t="s">
        <v>527</v>
      </c>
      <c r="AB29" s="2" t="s">
        <v>527</v>
      </c>
    </row>
    <row r="30" spans="2:28" x14ac:dyDescent="0.2">
      <c r="B30" s="148"/>
      <c r="C30" s="2" t="s">
        <v>535</v>
      </c>
      <c r="D30" s="34">
        <v>0.4</v>
      </c>
      <c r="E30" s="34">
        <v>0.4</v>
      </c>
      <c r="F30" s="34">
        <v>0.4</v>
      </c>
      <c r="G30" s="34">
        <v>0.4</v>
      </c>
      <c r="H30" s="34">
        <v>0.4</v>
      </c>
      <c r="I30" s="34">
        <v>0.4</v>
      </c>
      <c r="J30" s="34">
        <v>0.4</v>
      </c>
      <c r="K30" s="34">
        <v>0.4</v>
      </c>
      <c r="L30" s="34">
        <v>0.4</v>
      </c>
      <c r="M30" s="34">
        <v>0.4</v>
      </c>
      <c r="N30" s="34">
        <v>0.4</v>
      </c>
      <c r="O30" s="34">
        <v>0.4</v>
      </c>
      <c r="P30" s="34"/>
      <c r="Q30" s="34">
        <v>0.4</v>
      </c>
      <c r="R30" s="34">
        <v>0.4</v>
      </c>
      <c r="S30" s="34">
        <v>0.4</v>
      </c>
      <c r="T30" s="34">
        <v>0.4</v>
      </c>
      <c r="U30" s="34">
        <v>0.4</v>
      </c>
      <c r="V30" s="34">
        <v>0.4</v>
      </c>
      <c r="W30" s="34">
        <v>0.4</v>
      </c>
      <c r="X30" s="34">
        <v>0.4</v>
      </c>
      <c r="Y30" s="34">
        <v>0.4</v>
      </c>
      <c r="Z30" s="34">
        <v>0.4</v>
      </c>
      <c r="AA30" s="34">
        <v>0.4</v>
      </c>
      <c r="AB30" s="34">
        <v>0.4</v>
      </c>
    </row>
    <row r="31" spans="2:28" x14ac:dyDescent="0.2">
      <c r="B31" s="149"/>
      <c r="C31" s="2" t="s">
        <v>536</v>
      </c>
      <c r="D31" s="34">
        <v>0.6</v>
      </c>
      <c r="E31" s="34">
        <v>0.6</v>
      </c>
      <c r="F31" s="34">
        <v>0.6</v>
      </c>
      <c r="G31" s="34">
        <v>0.6</v>
      </c>
      <c r="H31" s="34">
        <v>0.6</v>
      </c>
      <c r="I31" s="34">
        <v>0.6</v>
      </c>
      <c r="J31" s="34">
        <v>0.6</v>
      </c>
      <c r="K31" s="34">
        <v>0.6</v>
      </c>
      <c r="L31" s="34">
        <v>0.6</v>
      </c>
      <c r="M31" s="34">
        <v>0.6</v>
      </c>
      <c r="N31" s="34">
        <v>0.6</v>
      </c>
      <c r="O31" s="34">
        <v>0.6</v>
      </c>
      <c r="P31" s="34"/>
      <c r="Q31" s="34">
        <v>0.6</v>
      </c>
      <c r="R31" s="34">
        <v>0.6</v>
      </c>
      <c r="S31" s="34">
        <v>0.6</v>
      </c>
      <c r="T31" s="34">
        <v>0.6</v>
      </c>
      <c r="U31" s="34">
        <v>0.6</v>
      </c>
      <c r="V31" s="34">
        <v>0.6</v>
      </c>
      <c r="W31" s="34">
        <v>0.6</v>
      </c>
      <c r="X31" s="34">
        <v>0.6</v>
      </c>
      <c r="Y31" s="34">
        <v>0.6</v>
      </c>
      <c r="Z31" s="34">
        <v>0.6</v>
      </c>
      <c r="AA31" s="34">
        <v>0.6</v>
      </c>
      <c r="AB31" s="34">
        <v>0.6</v>
      </c>
    </row>
    <row r="32" spans="2:28" x14ac:dyDescent="0.2">
      <c r="B32" s="147" t="s">
        <v>539</v>
      </c>
      <c r="C32" s="2" t="s">
        <v>530</v>
      </c>
      <c r="D32" s="33" t="s">
        <v>537</v>
      </c>
      <c r="E32" s="69" t="s">
        <v>537</v>
      </c>
      <c r="F32" s="75" t="s">
        <v>537</v>
      </c>
      <c r="G32" s="81" t="s">
        <v>537</v>
      </c>
      <c r="H32" s="79" t="s">
        <v>537</v>
      </c>
      <c r="I32" s="87" t="s">
        <v>537</v>
      </c>
      <c r="J32" s="84" t="s">
        <v>537</v>
      </c>
      <c r="K32" s="95" t="s">
        <v>537</v>
      </c>
      <c r="L32" s="64" t="s">
        <v>537</v>
      </c>
      <c r="M32" s="89" t="s">
        <v>537</v>
      </c>
      <c r="N32" s="98" t="s">
        <v>537</v>
      </c>
      <c r="O32" s="102" t="s">
        <v>537</v>
      </c>
      <c r="P32" s="121" t="s">
        <v>537</v>
      </c>
      <c r="Q32" s="134" t="s">
        <v>537</v>
      </c>
      <c r="R32" s="134" t="s">
        <v>537</v>
      </c>
      <c r="S32" s="33" t="s">
        <v>537</v>
      </c>
      <c r="T32" s="33" t="s">
        <v>537</v>
      </c>
      <c r="U32" s="79" t="s">
        <v>537</v>
      </c>
      <c r="V32" s="134" t="s">
        <v>537</v>
      </c>
      <c r="W32" s="87" t="s">
        <v>537</v>
      </c>
      <c r="X32" s="134" t="s">
        <v>537</v>
      </c>
      <c r="Y32" s="33" t="s">
        <v>537</v>
      </c>
      <c r="Z32" s="95" t="s">
        <v>537</v>
      </c>
      <c r="AA32" s="87" t="s">
        <v>537</v>
      </c>
      <c r="AB32" s="95" t="s">
        <v>537</v>
      </c>
    </row>
    <row r="33" spans="2:28" x14ac:dyDescent="0.2">
      <c r="B33" s="148"/>
      <c r="C33" s="2" t="s">
        <v>531</v>
      </c>
      <c r="D33" s="32"/>
      <c r="E33" s="71"/>
      <c r="F33" s="120"/>
      <c r="G33" s="77"/>
      <c r="H33" s="80"/>
      <c r="I33" s="83"/>
      <c r="J33" s="86"/>
      <c r="K33" s="103"/>
      <c r="L33" s="103"/>
      <c r="M33" s="103"/>
      <c r="N33" s="103"/>
      <c r="O33" s="101"/>
      <c r="P33" s="35"/>
      <c r="Q33" s="103"/>
      <c r="R33" s="103"/>
      <c r="S33" s="32"/>
      <c r="T33" s="32"/>
      <c r="U33" s="80"/>
      <c r="V33" s="103"/>
      <c r="W33" s="83"/>
      <c r="X33" s="103"/>
      <c r="Y33" s="32"/>
      <c r="Z33" s="103"/>
      <c r="AA33" s="83"/>
      <c r="AB33" s="103"/>
    </row>
    <row r="34" spans="2:28" x14ac:dyDescent="0.2">
      <c r="B34" s="148"/>
      <c r="C34" s="2" t="s">
        <v>526</v>
      </c>
      <c r="D34" s="2" t="s">
        <v>527</v>
      </c>
      <c r="E34" s="2" t="s">
        <v>527</v>
      </c>
      <c r="F34" s="2" t="s">
        <v>527</v>
      </c>
      <c r="G34" s="2" t="s">
        <v>527</v>
      </c>
      <c r="H34" s="2" t="s">
        <v>527</v>
      </c>
      <c r="I34" s="2" t="s">
        <v>527</v>
      </c>
      <c r="J34" s="2" t="s">
        <v>527</v>
      </c>
      <c r="K34" s="2" t="s">
        <v>527</v>
      </c>
      <c r="L34" s="2" t="s">
        <v>527</v>
      </c>
      <c r="M34" s="2" t="s">
        <v>527</v>
      </c>
      <c r="N34" s="2" t="s">
        <v>527</v>
      </c>
      <c r="O34" s="2" t="s">
        <v>527</v>
      </c>
      <c r="P34" s="2"/>
      <c r="Q34" s="2" t="s">
        <v>527</v>
      </c>
      <c r="R34" s="2" t="s">
        <v>527</v>
      </c>
      <c r="S34" s="2" t="s">
        <v>527</v>
      </c>
      <c r="T34" s="2" t="s">
        <v>527</v>
      </c>
      <c r="U34" s="2" t="s">
        <v>527</v>
      </c>
      <c r="V34" s="2" t="s">
        <v>527</v>
      </c>
      <c r="W34" s="2" t="s">
        <v>527</v>
      </c>
      <c r="X34" s="2" t="s">
        <v>527</v>
      </c>
      <c r="Y34" s="2" t="s">
        <v>527</v>
      </c>
      <c r="Z34" s="2" t="s">
        <v>527</v>
      </c>
      <c r="AA34" s="2" t="s">
        <v>527</v>
      </c>
      <c r="AB34" s="2" t="s">
        <v>527</v>
      </c>
    </row>
    <row r="35" spans="2:28" x14ac:dyDescent="0.2">
      <c r="B35" s="148"/>
      <c r="C35" s="2" t="s">
        <v>535</v>
      </c>
      <c r="D35" s="34">
        <v>0.4</v>
      </c>
      <c r="E35" s="34">
        <v>0.4</v>
      </c>
      <c r="F35" s="34">
        <v>0.4</v>
      </c>
      <c r="G35" s="34">
        <v>0.4</v>
      </c>
      <c r="H35" s="34">
        <v>0.4</v>
      </c>
      <c r="I35" s="34">
        <v>0.4</v>
      </c>
      <c r="J35" s="34">
        <v>0.4</v>
      </c>
      <c r="K35" s="34">
        <v>0.4</v>
      </c>
      <c r="L35" s="34">
        <v>0.4</v>
      </c>
      <c r="M35" s="34">
        <v>0.4</v>
      </c>
      <c r="N35" s="34">
        <v>0.4</v>
      </c>
      <c r="O35" s="34">
        <v>0.4</v>
      </c>
      <c r="P35" s="34"/>
      <c r="Q35" s="34">
        <v>0.4</v>
      </c>
      <c r="R35" s="34">
        <v>0.4</v>
      </c>
      <c r="S35" s="34">
        <v>0.4</v>
      </c>
      <c r="T35" s="34">
        <v>0.4</v>
      </c>
      <c r="U35" s="34">
        <v>0.4</v>
      </c>
      <c r="V35" s="34">
        <v>0.4</v>
      </c>
      <c r="W35" s="34">
        <v>0.4</v>
      </c>
      <c r="X35" s="34">
        <v>0.4</v>
      </c>
      <c r="Y35" s="34">
        <v>0.4</v>
      </c>
      <c r="Z35" s="34">
        <v>0.4</v>
      </c>
      <c r="AA35" s="34">
        <v>0.4</v>
      </c>
      <c r="AB35" s="34">
        <v>0.4</v>
      </c>
    </row>
    <row r="36" spans="2:28" x14ac:dyDescent="0.2">
      <c r="B36" s="148"/>
      <c r="C36" s="2" t="s">
        <v>536</v>
      </c>
      <c r="D36" s="34">
        <v>0.6</v>
      </c>
      <c r="E36" s="34">
        <v>0.6</v>
      </c>
      <c r="F36" s="34">
        <v>0.6</v>
      </c>
      <c r="G36" s="34">
        <v>0.6</v>
      </c>
      <c r="H36" s="34">
        <v>0.6</v>
      </c>
      <c r="I36" s="34">
        <v>0.6</v>
      </c>
      <c r="J36" s="34">
        <v>0.6</v>
      </c>
      <c r="K36" s="34">
        <v>0.6</v>
      </c>
      <c r="L36" s="34">
        <v>0.6</v>
      </c>
      <c r="M36" s="34">
        <v>0.6</v>
      </c>
      <c r="N36" s="34">
        <v>0.6</v>
      </c>
      <c r="O36" s="34">
        <v>0.6</v>
      </c>
      <c r="P36" s="34"/>
      <c r="Q36" s="34">
        <v>0.6</v>
      </c>
      <c r="R36" s="34">
        <v>0.6</v>
      </c>
      <c r="S36" s="34">
        <v>0.6</v>
      </c>
      <c r="T36" s="34">
        <v>0.6</v>
      </c>
      <c r="U36" s="34">
        <v>0.6</v>
      </c>
      <c r="V36" s="34">
        <v>0.6</v>
      </c>
      <c r="W36" s="34">
        <v>0.6</v>
      </c>
      <c r="X36" s="34">
        <v>0.6</v>
      </c>
      <c r="Y36" s="34">
        <v>0.6</v>
      </c>
      <c r="Z36" s="34">
        <v>0.6</v>
      </c>
      <c r="AA36" s="34">
        <v>0.6</v>
      </c>
      <c r="AB36" s="34">
        <v>0.6</v>
      </c>
    </row>
    <row r="37" spans="2:28" x14ac:dyDescent="0.2">
      <c r="B37" s="149"/>
      <c r="C37" s="2" t="s">
        <v>1063</v>
      </c>
      <c r="D37" s="116"/>
      <c r="E37" s="69"/>
      <c r="F37" s="75"/>
      <c r="G37" s="117"/>
      <c r="H37" s="79"/>
      <c r="I37" s="116"/>
      <c r="J37" s="84"/>
      <c r="K37" s="95"/>
      <c r="L37" s="64"/>
      <c r="M37" s="89"/>
      <c r="N37" s="98"/>
      <c r="O37" s="118"/>
      <c r="P37" s="34"/>
      <c r="Q37" s="136"/>
      <c r="R37" s="136"/>
      <c r="S37" s="118"/>
      <c r="T37" s="118"/>
      <c r="U37" s="79"/>
      <c r="V37" s="136"/>
      <c r="W37" s="118"/>
      <c r="X37" s="136"/>
      <c r="Y37" s="116"/>
      <c r="Z37" s="95"/>
      <c r="AA37" s="118"/>
      <c r="AB37" s="95"/>
    </row>
    <row r="38" spans="2:28" x14ac:dyDescent="0.2">
      <c r="B38" s="147" t="s">
        <v>541</v>
      </c>
      <c r="C38" s="2" t="s">
        <v>530</v>
      </c>
      <c r="D38" s="29" t="s">
        <v>540</v>
      </c>
      <c r="E38" s="29" t="s">
        <v>540</v>
      </c>
      <c r="F38" s="29" t="s">
        <v>540</v>
      </c>
      <c r="G38" s="29" t="s">
        <v>540</v>
      </c>
      <c r="H38" s="29" t="s">
        <v>540</v>
      </c>
      <c r="I38" s="29" t="s">
        <v>540</v>
      </c>
      <c r="J38" s="29" t="s">
        <v>540</v>
      </c>
      <c r="K38" s="29" t="s">
        <v>540</v>
      </c>
      <c r="L38" s="29" t="s">
        <v>540</v>
      </c>
      <c r="M38" s="29" t="s">
        <v>540</v>
      </c>
      <c r="N38" s="29" t="s">
        <v>540</v>
      </c>
      <c r="O38" s="29" t="s">
        <v>540</v>
      </c>
      <c r="P38" s="121" t="s">
        <v>540</v>
      </c>
      <c r="Q38" s="29" t="s">
        <v>540</v>
      </c>
      <c r="R38" s="29" t="s">
        <v>540</v>
      </c>
      <c r="S38" s="29" t="s">
        <v>540</v>
      </c>
      <c r="T38" s="29" t="s">
        <v>540</v>
      </c>
      <c r="U38" s="29" t="s">
        <v>540</v>
      </c>
      <c r="V38" s="29" t="s">
        <v>540</v>
      </c>
      <c r="W38" s="29" t="s">
        <v>540</v>
      </c>
      <c r="X38" s="29" t="s">
        <v>540</v>
      </c>
      <c r="Y38" s="29" t="s">
        <v>540</v>
      </c>
      <c r="Z38" s="29" t="s">
        <v>540</v>
      </c>
      <c r="AA38" s="29" t="s">
        <v>540</v>
      </c>
      <c r="AB38" s="29" t="s">
        <v>540</v>
      </c>
    </row>
    <row r="39" spans="2:28" x14ac:dyDescent="0.2">
      <c r="B39" s="148"/>
      <c r="C39" s="2" t="s">
        <v>531</v>
      </c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7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</row>
    <row r="40" spans="2:28" x14ac:dyDescent="0.2">
      <c r="B40" s="148"/>
      <c r="C40" s="2" t="s">
        <v>526</v>
      </c>
      <c r="D40" s="2" t="s">
        <v>527</v>
      </c>
      <c r="E40" s="2" t="s">
        <v>527</v>
      </c>
      <c r="F40" s="2" t="s">
        <v>527</v>
      </c>
      <c r="G40" s="2" t="s">
        <v>527</v>
      </c>
      <c r="H40" s="2" t="s">
        <v>527</v>
      </c>
      <c r="I40" s="2" t="s">
        <v>527</v>
      </c>
      <c r="J40" s="2" t="s">
        <v>527</v>
      </c>
      <c r="K40" s="2" t="s">
        <v>527</v>
      </c>
      <c r="L40" s="2" t="s">
        <v>527</v>
      </c>
      <c r="M40" s="2" t="s">
        <v>527</v>
      </c>
      <c r="N40" s="2" t="s">
        <v>527</v>
      </c>
      <c r="O40" s="2" t="s">
        <v>527</v>
      </c>
      <c r="P40" s="2"/>
      <c r="Q40" s="2" t="s">
        <v>527</v>
      </c>
      <c r="R40" s="2" t="s">
        <v>527</v>
      </c>
      <c r="S40" s="2" t="s">
        <v>527</v>
      </c>
      <c r="T40" s="2" t="s">
        <v>527</v>
      </c>
      <c r="U40" s="2" t="s">
        <v>527</v>
      </c>
      <c r="V40" s="2" t="s">
        <v>527</v>
      </c>
      <c r="W40" s="2" t="s">
        <v>527</v>
      </c>
      <c r="X40" s="2" t="s">
        <v>527</v>
      </c>
      <c r="Y40" s="2" t="s">
        <v>527</v>
      </c>
      <c r="Z40" s="2" t="s">
        <v>527</v>
      </c>
      <c r="AA40" s="2" t="s">
        <v>527</v>
      </c>
      <c r="AB40" s="2" t="s">
        <v>527</v>
      </c>
    </row>
    <row r="41" spans="2:28" x14ac:dyDescent="0.2">
      <c r="B41" s="148"/>
      <c r="C41" s="2" t="s">
        <v>535</v>
      </c>
      <c r="D41" s="34">
        <v>0.4</v>
      </c>
      <c r="E41" s="34">
        <v>0.4</v>
      </c>
      <c r="F41" s="34">
        <v>0.4</v>
      </c>
      <c r="G41" s="34">
        <v>0.4</v>
      </c>
      <c r="H41" s="34">
        <v>0.4</v>
      </c>
      <c r="I41" s="34">
        <v>0.4</v>
      </c>
      <c r="J41" s="34">
        <v>0.4</v>
      </c>
      <c r="K41" s="34">
        <v>0.4</v>
      </c>
      <c r="L41" s="34">
        <v>0.4</v>
      </c>
      <c r="M41" s="34">
        <v>0.4</v>
      </c>
      <c r="N41" s="34">
        <v>0.4</v>
      </c>
      <c r="O41" s="34">
        <v>0.4</v>
      </c>
      <c r="P41" s="34"/>
      <c r="Q41" s="34">
        <v>0.4</v>
      </c>
      <c r="R41" s="34">
        <v>0.4</v>
      </c>
      <c r="S41" s="34">
        <v>0.4</v>
      </c>
      <c r="T41" s="34">
        <v>0.4</v>
      </c>
      <c r="U41" s="34">
        <v>0.4</v>
      </c>
      <c r="V41" s="34">
        <v>0.4</v>
      </c>
      <c r="W41" s="34">
        <v>0.4</v>
      </c>
      <c r="X41" s="34">
        <v>0.4</v>
      </c>
      <c r="Y41" s="34">
        <v>0.4</v>
      </c>
      <c r="Z41" s="34">
        <v>0.4</v>
      </c>
      <c r="AA41" s="34">
        <v>0.4</v>
      </c>
      <c r="AB41" s="34">
        <v>0.4</v>
      </c>
    </row>
    <row r="42" spans="2:28" x14ac:dyDescent="0.2">
      <c r="B42" s="149"/>
      <c r="C42" s="2" t="s">
        <v>536</v>
      </c>
      <c r="D42" s="34">
        <v>0.6</v>
      </c>
      <c r="E42" s="34">
        <v>0.6</v>
      </c>
      <c r="F42" s="34">
        <v>0.6</v>
      </c>
      <c r="G42" s="34">
        <v>0.6</v>
      </c>
      <c r="H42" s="34">
        <v>0.6</v>
      </c>
      <c r="I42" s="34">
        <v>0.6</v>
      </c>
      <c r="J42" s="34">
        <v>0.6</v>
      </c>
      <c r="K42" s="34">
        <v>0.6</v>
      </c>
      <c r="L42" s="34">
        <v>0.6</v>
      </c>
      <c r="M42" s="34">
        <v>0.6</v>
      </c>
      <c r="N42" s="34">
        <v>0.6</v>
      </c>
      <c r="O42" s="34">
        <v>0.6</v>
      </c>
      <c r="P42" s="34"/>
      <c r="Q42" s="34">
        <v>0.6</v>
      </c>
      <c r="R42" s="34">
        <v>0.6</v>
      </c>
      <c r="S42" s="34">
        <v>0.6</v>
      </c>
      <c r="T42" s="34">
        <v>0.6</v>
      </c>
      <c r="U42" s="34">
        <v>0.6</v>
      </c>
      <c r="V42" s="34">
        <v>0.6</v>
      </c>
      <c r="W42" s="34">
        <v>0.6</v>
      </c>
      <c r="X42" s="34">
        <v>0.6</v>
      </c>
      <c r="Y42" s="34">
        <v>0.6</v>
      </c>
      <c r="Z42" s="34">
        <v>0.6</v>
      </c>
      <c r="AA42" s="34">
        <v>0.6</v>
      </c>
      <c r="AB42" s="34">
        <v>0.6</v>
      </c>
    </row>
    <row r="43" spans="2:28" x14ac:dyDescent="0.2">
      <c r="B43" s="147" t="s">
        <v>542</v>
      </c>
      <c r="C43" s="2" t="s">
        <v>530</v>
      </c>
      <c r="D43" s="53" t="s">
        <v>537</v>
      </c>
      <c r="E43" s="53" t="s">
        <v>537</v>
      </c>
      <c r="F43" s="53" t="s">
        <v>537</v>
      </c>
      <c r="G43" s="53" t="s">
        <v>537</v>
      </c>
      <c r="H43" s="53" t="s">
        <v>537</v>
      </c>
      <c r="I43" s="53" t="s">
        <v>537</v>
      </c>
      <c r="J43" s="53" t="s">
        <v>537</v>
      </c>
      <c r="K43" s="53" t="s">
        <v>537</v>
      </c>
      <c r="L43" s="53" t="s">
        <v>537</v>
      </c>
      <c r="M43" s="53" t="s">
        <v>537</v>
      </c>
      <c r="N43" s="53" t="s">
        <v>537</v>
      </c>
      <c r="O43" s="53" t="s">
        <v>537</v>
      </c>
      <c r="P43" s="124" t="s">
        <v>537</v>
      </c>
      <c r="Q43" s="53" t="s">
        <v>537</v>
      </c>
      <c r="R43" s="53" t="s">
        <v>537</v>
      </c>
      <c r="S43" s="53" t="s">
        <v>537</v>
      </c>
      <c r="T43" s="53" t="s">
        <v>537</v>
      </c>
      <c r="U43" s="53" t="s">
        <v>537</v>
      </c>
      <c r="V43" s="53" t="s">
        <v>537</v>
      </c>
      <c r="W43" s="53" t="s">
        <v>537</v>
      </c>
      <c r="X43" s="53" t="s">
        <v>537</v>
      </c>
      <c r="Y43" s="53" t="s">
        <v>537</v>
      </c>
      <c r="Z43" s="53" t="s">
        <v>537</v>
      </c>
      <c r="AA43" s="53" t="s">
        <v>537</v>
      </c>
      <c r="AB43" s="53" t="s">
        <v>537</v>
      </c>
    </row>
    <row r="44" spans="2:28" x14ac:dyDescent="0.2">
      <c r="B44" s="148"/>
      <c r="C44" s="2" t="s">
        <v>531</v>
      </c>
      <c r="D44" s="31" t="s">
        <v>537</v>
      </c>
      <c r="E44" s="31" t="s">
        <v>537</v>
      </c>
      <c r="F44" s="31" t="s">
        <v>537</v>
      </c>
      <c r="G44" s="31" t="s">
        <v>537</v>
      </c>
      <c r="H44" s="31" t="s">
        <v>537</v>
      </c>
      <c r="I44" s="31" t="s">
        <v>537</v>
      </c>
      <c r="J44" s="31" t="s">
        <v>537</v>
      </c>
      <c r="K44" s="31" t="s">
        <v>537</v>
      </c>
      <c r="L44" s="31" t="s">
        <v>537</v>
      </c>
      <c r="M44" s="31" t="s">
        <v>537</v>
      </c>
      <c r="N44" s="31" t="s">
        <v>537</v>
      </c>
      <c r="O44" s="31" t="s">
        <v>537</v>
      </c>
      <c r="P44" s="35" t="s">
        <v>537</v>
      </c>
      <c r="Q44" s="31" t="s">
        <v>537</v>
      </c>
      <c r="R44" s="31" t="s">
        <v>537</v>
      </c>
      <c r="S44" s="31" t="s">
        <v>537</v>
      </c>
      <c r="T44" s="31" t="s">
        <v>537</v>
      </c>
      <c r="U44" s="31" t="s">
        <v>537</v>
      </c>
      <c r="V44" s="31" t="s">
        <v>537</v>
      </c>
      <c r="W44" s="31" t="s">
        <v>537</v>
      </c>
      <c r="X44" s="31" t="s">
        <v>537</v>
      </c>
      <c r="Y44" s="31" t="s">
        <v>537</v>
      </c>
      <c r="Z44" s="31" t="s">
        <v>537</v>
      </c>
      <c r="AA44" s="31" t="s">
        <v>537</v>
      </c>
      <c r="AB44" s="31" t="s">
        <v>537</v>
      </c>
    </row>
    <row r="45" spans="2:28" x14ac:dyDescent="0.2">
      <c r="B45" s="148"/>
      <c r="C45" s="2" t="s">
        <v>526</v>
      </c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</row>
    <row r="46" spans="2:28" x14ac:dyDescent="0.2">
      <c r="B46" s="148"/>
      <c r="C46" s="2" t="s">
        <v>535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</row>
    <row r="47" spans="2:28" x14ac:dyDescent="0.2">
      <c r="B47" s="148"/>
      <c r="C47" s="2" t="s">
        <v>536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</row>
    <row r="48" spans="2:28" x14ac:dyDescent="0.2">
      <c r="B48" s="149"/>
      <c r="C48" s="2" t="s">
        <v>1063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4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">
      <c r="B49" s="147" t="s">
        <v>576</v>
      </c>
      <c r="C49" s="2" t="s">
        <v>530</v>
      </c>
      <c r="D49" s="33" t="s">
        <v>540</v>
      </c>
      <c r="E49" s="69" t="s">
        <v>540</v>
      </c>
      <c r="F49" s="75" t="s">
        <v>540</v>
      </c>
      <c r="G49" s="81" t="s">
        <v>540</v>
      </c>
      <c r="H49" s="79" t="s">
        <v>540</v>
      </c>
      <c r="I49" s="87" t="s">
        <v>540</v>
      </c>
      <c r="J49" s="84" t="s">
        <v>540</v>
      </c>
      <c r="K49" s="95" t="s">
        <v>540</v>
      </c>
      <c r="L49" s="64" t="s">
        <v>540</v>
      </c>
      <c r="M49" s="89" t="s">
        <v>540</v>
      </c>
      <c r="N49" s="98" t="s">
        <v>540</v>
      </c>
      <c r="O49" s="102" t="s">
        <v>540</v>
      </c>
      <c r="P49" s="125" t="s">
        <v>540</v>
      </c>
      <c r="Q49" s="134" t="s">
        <v>540</v>
      </c>
      <c r="R49" s="134" t="s">
        <v>540</v>
      </c>
      <c r="S49" s="134" t="s">
        <v>540</v>
      </c>
      <c r="T49" s="27" t="s">
        <v>540</v>
      </c>
      <c r="U49" s="79" t="s">
        <v>540</v>
      </c>
      <c r="V49" s="134" t="s">
        <v>540</v>
      </c>
      <c r="W49" s="87" t="s">
        <v>540</v>
      </c>
      <c r="X49" s="134" t="s">
        <v>540</v>
      </c>
      <c r="Y49" s="33" t="s">
        <v>540</v>
      </c>
      <c r="Z49" s="95" t="s">
        <v>540</v>
      </c>
      <c r="AA49" s="87" t="s">
        <v>540</v>
      </c>
      <c r="AB49" s="95" t="s">
        <v>540</v>
      </c>
    </row>
    <row r="50" spans="2:28" x14ac:dyDescent="0.2">
      <c r="B50" s="148"/>
      <c r="C50" s="2" t="s">
        <v>531</v>
      </c>
      <c r="D50" s="32"/>
      <c r="E50" s="71"/>
      <c r="F50" s="120"/>
      <c r="G50" s="77"/>
      <c r="H50" s="80"/>
      <c r="I50" s="83"/>
      <c r="J50" s="86"/>
      <c r="K50" s="103"/>
      <c r="L50" s="103"/>
      <c r="M50" s="103"/>
      <c r="N50" s="103"/>
      <c r="O50" s="101"/>
      <c r="P50" s="37"/>
      <c r="Q50" s="103"/>
      <c r="R50" s="103"/>
      <c r="S50" s="103"/>
      <c r="T50" s="32"/>
      <c r="U50" s="80"/>
      <c r="V50" s="103"/>
      <c r="W50" s="83"/>
      <c r="X50" s="103"/>
      <c r="Y50" s="32"/>
      <c r="Z50" s="103"/>
      <c r="AA50" s="83"/>
      <c r="AB50" s="103"/>
    </row>
    <row r="51" spans="2:28" x14ac:dyDescent="0.2">
      <c r="B51" s="148"/>
      <c r="C51" s="2" t="s">
        <v>526</v>
      </c>
      <c r="D51" s="2" t="s">
        <v>527</v>
      </c>
      <c r="E51" s="2" t="s">
        <v>527</v>
      </c>
      <c r="F51" s="2" t="s">
        <v>527</v>
      </c>
      <c r="G51" s="2" t="s">
        <v>527</v>
      </c>
      <c r="H51" s="2" t="s">
        <v>527</v>
      </c>
      <c r="I51" s="2" t="s">
        <v>527</v>
      </c>
      <c r="J51" s="2" t="s">
        <v>527</v>
      </c>
      <c r="K51" s="2" t="s">
        <v>527</v>
      </c>
      <c r="L51" s="2" t="s">
        <v>527</v>
      </c>
      <c r="M51" s="2" t="s">
        <v>527</v>
      </c>
      <c r="N51" s="2" t="s">
        <v>527</v>
      </c>
      <c r="O51" s="2" t="s">
        <v>527</v>
      </c>
      <c r="P51" s="2"/>
      <c r="Q51" s="2" t="s">
        <v>527</v>
      </c>
      <c r="R51" s="2" t="s">
        <v>527</v>
      </c>
      <c r="S51" s="2" t="s">
        <v>527</v>
      </c>
      <c r="T51" s="2" t="s">
        <v>527</v>
      </c>
      <c r="U51" s="2" t="s">
        <v>527</v>
      </c>
      <c r="V51" s="2" t="s">
        <v>527</v>
      </c>
      <c r="W51" s="2" t="s">
        <v>527</v>
      </c>
      <c r="X51" s="2" t="s">
        <v>527</v>
      </c>
      <c r="Y51" s="2" t="s">
        <v>527</v>
      </c>
      <c r="Z51" s="2" t="s">
        <v>527</v>
      </c>
      <c r="AA51" s="2" t="s">
        <v>527</v>
      </c>
      <c r="AB51" s="2" t="s">
        <v>527</v>
      </c>
    </row>
    <row r="52" spans="2:28" x14ac:dyDescent="0.2">
      <c r="B52" s="148"/>
      <c r="C52" s="2" t="s">
        <v>535</v>
      </c>
      <c r="D52" s="34">
        <v>0.4</v>
      </c>
      <c r="E52" s="34">
        <v>0.4</v>
      </c>
      <c r="F52" s="34">
        <v>0.4</v>
      </c>
      <c r="G52" s="34">
        <v>0.4</v>
      </c>
      <c r="H52" s="34">
        <v>0.4</v>
      </c>
      <c r="I52" s="34">
        <v>0.4</v>
      </c>
      <c r="J52" s="34">
        <v>0.4</v>
      </c>
      <c r="K52" s="34">
        <v>0.4</v>
      </c>
      <c r="L52" s="34">
        <v>0.4</v>
      </c>
      <c r="M52" s="34">
        <v>0.4</v>
      </c>
      <c r="N52" s="34">
        <v>0.4</v>
      </c>
      <c r="O52" s="34">
        <v>0.4</v>
      </c>
      <c r="P52" s="34"/>
      <c r="Q52" s="34">
        <v>0.4</v>
      </c>
      <c r="R52" s="34">
        <v>0.4</v>
      </c>
      <c r="S52" s="34">
        <v>0.4</v>
      </c>
      <c r="T52" s="34">
        <v>0.4</v>
      </c>
      <c r="U52" s="34">
        <v>0.4</v>
      </c>
      <c r="V52" s="34">
        <v>0.4</v>
      </c>
      <c r="W52" s="34">
        <v>0.4</v>
      </c>
      <c r="X52" s="34">
        <v>0.4</v>
      </c>
      <c r="Y52" s="34">
        <v>0.4</v>
      </c>
      <c r="Z52" s="34">
        <v>0.4</v>
      </c>
      <c r="AA52" s="34">
        <v>0.4</v>
      </c>
      <c r="AB52" s="34">
        <v>0.4</v>
      </c>
    </row>
    <row r="53" spans="2:28" x14ac:dyDescent="0.2">
      <c r="B53" s="149"/>
      <c r="C53" s="2" t="s">
        <v>536</v>
      </c>
      <c r="D53" s="34">
        <v>0.6</v>
      </c>
      <c r="E53" s="34">
        <v>0.6</v>
      </c>
      <c r="F53" s="34">
        <v>0.6</v>
      </c>
      <c r="G53" s="34">
        <v>0.6</v>
      </c>
      <c r="H53" s="34">
        <v>0.6</v>
      </c>
      <c r="I53" s="34">
        <v>0.6</v>
      </c>
      <c r="J53" s="34">
        <v>0.6</v>
      </c>
      <c r="K53" s="34">
        <v>0.6</v>
      </c>
      <c r="L53" s="34">
        <v>0.6</v>
      </c>
      <c r="M53" s="34">
        <v>0.6</v>
      </c>
      <c r="N53" s="34">
        <v>0.6</v>
      </c>
      <c r="O53" s="34">
        <v>0.6</v>
      </c>
      <c r="P53" s="34"/>
      <c r="Q53" s="34">
        <v>0.6</v>
      </c>
      <c r="R53" s="34">
        <v>0.6</v>
      </c>
      <c r="S53" s="34">
        <v>0.6</v>
      </c>
      <c r="T53" s="34">
        <v>0.6</v>
      </c>
      <c r="U53" s="34">
        <v>0.6</v>
      </c>
      <c r="V53" s="34">
        <v>0.6</v>
      </c>
      <c r="W53" s="34">
        <v>0.6</v>
      </c>
      <c r="X53" s="34">
        <v>0.6</v>
      </c>
      <c r="Y53" s="34">
        <v>0.6</v>
      </c>
      <c r="Z53" s="34">
        <v>0.6</v>
      </c>
      <c r="AA53" s="34">
        <v>0.6</v>
      </c>
      <c r="AB53" s="34">
        <v>0.6</v>
      </c>
    </row>
    <row r="54" spans="2:28" x14ac:dyDescent="0.2">
      <c r="B54" s="147" t="s">
        <v>575</v>
      </c>
      <c r="C54" s="2" t="s">
        <v>530</v>
      </c>
      <c r="D54" s="52" t="s">
        <v>537</v>
      </c>
      <c r="E54" s="52" t="s">
        <v>537</v>
      </c>
      <c r="F54" s="52" t="s">
        <v>537</v>
      </c>
      <c r="G54" s="52" t="s">
        <v>537</v>
      </c>
      <c r="H54" s="52" t="s">
        <v>537</v>
      </c>
      <c r="I54" s="52" t="s">
        <v>537</v>
      </c>
      <c r="J54" s="52" t="s">
        <v>537</v>
      </c>
      <c r="K54" s="52" t="s">
        <v>537</v>
      </c>
      <c r="L54" s="52" t="s">
        <v>537</v>
      </c>
      <c r="M54" s="52" t="s">
        <v>537</v>
      </c>
      <c r="N54" s="52" t="s">
        <v>537</v>
      </c>
      <c r="O54" s="52" t="s">
        <v>537</v>
      </c>
      <c r="P54" s="121" t="s">
        <v>537</v>
      </c>
      <c r="Q54" s="52" t="s">
        <v>537</v>
      </c>
      <c r="R54" s="52" t="s">
        <v>537</v>
      </c>
      <c r="S54" s="52" t="s">
        <v>537</v>
      </c>
      <c r="T54" s="52" t="s">
        <v>537</v>
      </c>
      <c r="U54" s="52" t="s">
        <v>537</v>
      </c>
      <c r="V54" s="52" t="s">
        <v>537</v>
      </c>
      <c r="W54" s="52" t="s">
        <v>537</v>
      </c>
      <c r="X54" s="52" t="s">
        <v>537</v>
      </c>
      <c r="Y54" s="52" t="s">
        <v>537</v>
      </c>
      <c r="Z54" s="52" t="s">
        <v>537</v>
      </c>
      <c r="AA54" s="52" t="s">
        <v>537</v>
      </c>
      <c r="AB54" s="52" t="s">
        <v>537</v>
      </c>
    </row>
    <row r="55" spans="2:28" x14ac:dyDescent="0.2">
      <c r="B55" s="148"/>
      <c r="C55" s="2" t="s">
        <v>531</v>
      </c>
      <c r="D55" s="31" t="s">
        <v>537</v>
      </c>
      <c r="E55" s="31" t="s">
        <v>537</v>
      </c>
      <c r="F55" s="31" t="s">
        <v>537</v>
      </c>
      <c r="G55" s="31" t="s">
        <v>537</v>
      </c>
      <c r="H55" s="31" t="s">
        <v>537</v>
      </c>
      <c r="I55" s="31" t="s">
        <v>537</v>
      </c>
      <c r="J55" s="31" t="s">
        <v>537</v>
      </c>
      <c r="K55" s="31" t="s">
        <v>537</v>
      </c>
      <c r="L55" s="31" t="s">
        <v>537</v>
      </c>
      <c r="M55" s="31" t="s">
        <v>537</v>
      </c>
      <c r="N55" s="31" t="s">
        <v>537</v>
      </c>
      <c r="O55" s="31" t="s">
        <v>537</v>
      </c>
      <c r="P55" s="35" t="s">
        <v>537</v>
      </c>
      <c r="Q55" s="31" t="s">
        <v>537</v>
      </c>
      <c r="R55" s="31" t="s">
        <v>537</v>
      </c>
      <c r="S55" s="31" t="s">
        <v>537</v>
      </c>
      <c r="T55" s="31" t="s">
        <v>537</v>
      </c>
      <c r="U55" s="31" t="s">
        <v>537</v>
      </c>
      <c r="V55" s="31" t="s">
        <v>537</v>
      </c>
      <c r="W55" s="31" t="s">
        <v>537</v>
      </c>
      <c r="X55" s="31" t="s">
        <v>537</v>
      </c>
      <c r="Y55" s="31" t="s">
        <v>537</v>
      </c>
      <c r="Z55" s="31" t="s">
        <v>537</v>
      </c>
      <c r="AA55" s="31" t="s">
        <v>537</v>
      </c>
      <c r="AB55" s="31" t="s">
        <v>537</v>
      </c>
    </row>
    <row r="56" spans="2:28" x14ac:dyDescent="0.2">
      <c r="B56" s="148"/>
      <c r="C56" s="2" t="s">
        <v>526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</row>
    <row r="57" spans="2:28" x14ac:dyDescent="0.2">
      <c r="B57" s="148"/>
      <c r="C57" s="2" t="s">
        <v>535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</row>
    <row r="58" spans="2:28" x14ac:dyDescent="0.2">
      <c r="B58" s="148"/>
      <c r="C58" s="2" t="s">
        <v>536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</row>
    <row r="59" spans="2:28" x14ac:dyDescent="0.2">
      <c r="B59" s="149"/>
      <c r="C59" s="2" t="s">
        <v>1063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4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</row>
    <row r="60" spans="2:28" x14ac:dyDescent="0.2">
      <c r="B60" s="147" t="s">
        <v>543</v>
      </c>
      <c r="C60" s="2" t="s">
        <v>530</v>
      </c>
      <c r="D60" s="33" t="s">
        <v>537</v>
      </c>
      <c r="E60" s="76" t="s">
        <v>537</v>
      </c>
      <c r="F60" s="75" t="s">
        <v>537</v>
      </c>
      <c r="G60" s="81" t="s">
        <v>537</v>
      </c>
      <c r="H60" s="79" t="s">
        <v>537</v>
      </c>
      <c r="I60" s="87" t="s">
        <v>537</v>
      </c>
      <c r="J60" s="84" t="s">
        <v>537</v>
      </c>
      <c r="K60" s="92" t="s">
        <v>537</v>
      </c>
      <c r="L60" s="66" t="s">
        <v>537</v>
      </c>
      <c r="M60" s="90" t="s">
        <v>537</v>
      </c>
      <c r="N60" s="99" t="s">
        <v>537</v>
      </c>
      <c r="O60" s="102" t="s">
        <v>537</v>
      </c>
      <c r="P60" s="126" t="s">
        <v>537</v>
      </c>
      <c r="Q60" s="132" t="s">
        <v>537</v>
      </c>
      <c r="R60" s="134" t="s">
        <v>537</v>
      </c>
      <c r="S60" s="90" t="s">
        <v>537</v>
      </c>
      <c r="T60" s="135" t="s">
        <v>537</v>
      </c>
      <c r="U60" s="138" t="s">
        <v>537</v>
      </c>
      <c r="V60" s="135" t="s">
        <v>537</v>
      </c>
      <c r="W60" s="87" t="s">
        <v>537</v>
      </c>
      <c r="X60" s="135" t="s">
        <v>537</v>
      </c>
      <c r="Y60" s="33" t="s">
        <v>537</v>
      </c>
      <c r="Z60" s="87" t="s">
        <v>537</v>
      </c>
      <c r="AA60" s="87" t="s">
        <v>537</v>
      </c>
      <c r="AB60" s="87" t="s">
        <v>537</v>
      </c>
    </row>
    <row r="61" spans="2:28" x14ac:dyDescent="0.2">
      <c r="B61" s="148"/>
      <c r="C61" s="2" t="s">
        <v>531</v>
      </c>
      <c r="D61" s="32"/>
      <c r="E61" s="94"/>
      <c r="F61" s="120"/>
      <c r="G61" s="77"/>
      <c r="H61" s="80"/>
      <c r="I61" s="83"/>
      <c r="J61" s="86"/>
      <c r="K61" s="91"/>
      <c r="L61" s="65"/>
      <c r="M61" s="94"/>
      <c r="N61" s="96"/>
      <c r="O61" s="101"/>
      <c r="P61" s="35" t="s">
        <v>537</v>
      </c>
      <c r="Q61" s="131"/>
      <c r="R61" s="103"/>
      <c r="S61" s="94"/>
      <c r="T61" s="131"/>
      <c r="U61" s="121"/>
      <c r="V61" s="131"/>
      <c r="W61" s="83"/>
      <c r="X61" s="131"/>
      <c r="Y61" s="32"/>
      <c r="Z61" s="83"/>
      <c r="AA61" s="83"/>
      <c r="AB61" s="83"/>
    </row>
    <row r="62" spans="2:28" x14ac:dyDescent="0.2">
      <c r="B62" s="148"/>
      <c r="C62" s="2" t="s">
        <v>526</v>
      </c>
      <c r="D62" s="2" t="s">
        <v>527</v>
      </c>
      <c r="E62" s="2" t="s">
        <v>527</v>
      </c>
      <c r="F62" s="2" t="s">
        <v>527</v>
      </c>
      <c r="G62" s="2" t="s">
        <v>527</v>
      </c>
      <c r="H62" s="2" t="s">
        <v>527</v>
      </c>
      <c r="I62" s="2" t="s">
        <v>527</v>
      </c>
      <c r="J62" s="2" t="s">
        <v>527</v>
      </c>
      <c r="K62" s="2" t="s">
        <v>527</v>
      </c>
      <c r="L62" s="2" t="s">
        <v>527</v>
      </c>
      <c r="M62" s="2" t="s">
        <v>527</v>
      </c>
      <c r="N62" s="2" t="s">
        <v>527</v>
      </c>
      <c r="O62" s="2" t="s">
        <v>527</v>
      </c>
      <c r="P62" s="2"/>
      <c r="Q62" s="2" t="s">
        <v>527</v>
      </c>
      <c r="R62" s="2" t="s">
        <v>527</v>
      </c>
      <c r="S62" s="2" t="s">
        <v>527</v>
      </c>
      <c r="T62" s="2" t="s">
        <v>527</v>
      </c>
      <c r="U62" s="2" t="s">
        <v>527</v>
      </c>
      <c r="V62" s="2" t="s">
        <v>527</v>
      </c>
      <c r="W62" s="2" t="s">
        <v>527</v>
      </c>
      <c r="X62" s="2" t="s">
        <v>527</v>
      </c>
      <c r="Y62" s="2" t="s">
        <v>527</v>
      </c>
      <c r="Z62" s="2" t="s">
        <v>527</v>
      </c>
      <c r="AA62" s="2" t="s">
        <v>527</v>
      </c>
      <c r="AB62" s="2" t="s">
        <v>527</v>
      </c>
    </row>
    <row r="63" spans="2:28" x14ac:dyDescent="0.2">
      <c r="B63" s="148"/>
      <c r="C63" s="2" t="s">
        <v>535</v>
      </c>
      <c r="D63" s="34">
        <v>0.4</v>
      </c>
      <c r="E63" s="34">
        <v>0.4</v>
      </c>
      <c r="F63" s="34">
        <v>0.4</v>
      </c>
      <c r="G63" s="34">
        <v>0.4</v>
      </c>
      <c r="H63" s="34">
        <v>0.4</v>
      </c>
      <c r="I63" s="34">
        <v>0.4</v>
      </c>
      <c r="J63" s="34">
        <v>0.4</v>
      </c>
      <c r="K63" s="34">
        <v>0.4</v>
      </c>
      <c r="L63" s="34">
        <v>0.4</v>
      </c>
      <c r="M63" s="34">
        <v>0.4</v>
      </c>
      <c r="N63" s="34">
        <v>0.4</v>
      </c>
      <c r="O63" s="34">
        <v>0.4</v>
      </c>
      <c r="P63" s="34"/>
      <c r="Q63" s="34">
        <v>0.4</v>
      </c>
      <c r="R63" s="34">
        <v>0.4</v>
      </c>
      <c r="S63" s="34">
        <v>0.4</v>
      </c>
      <c r="T63" s="34">
        <v>0.4</v>
      </c>
      <c r="U63" s="34">
        <v>0.4</v>
      </c>
      <c r="V63" s="34">
        <v>0.4</v>
      </c>
      <c r="W63" s="34">
        <v>0.4</v>
      </c>
      <c r="X63" s="34">
        <v>0.4</v>
      </c>
      <c r="Y63" s="34">
        <v>0.4</v>
      </c>
      <c r="Z63" s="34">
        <v>0.4</v>
      </c>
      <c r="AA63" s="34">
        <v>0.4</v>
      </c>
      <c r="AB63" s="34">
        <v>0.4</v>
      </c>
    </row>
    <row r="64" spans="2:28" x14ac:dyDescent="0.2">
      <c r="B64" s="148"/>
      <c r="C64" s="2" t="s">
        <v>536</v>
      </c>
      <c r="D64" s="34">
        <v>0.6</v>
      </c>
      <c r="E64" s="34">
        <v>0.6</v>
      </c>
      <c r="F64" s="34">
        <v>0.6</v>
      </c>
      <c r="G64" s="34">
        <v>0.6</v>
      </c>
      <c r="H64" s="34">
        <v>0.6</v>
      </c>
      <c r="I64" s="34">
        <v>0.6</v>
      </c>
      <c r="J64" s="34">
        <v>0.6</v>
      </c>
      <c r="K64" s="34">
        <v>0.6</v>
      </c>
      <c r="L64" s="34">
        <v>0.6</v>
      </c>
      <c r="M64" s="34">
        <v>0.6</v>
      </c>
      <c r="N64" s="34">
        <v>0.6</v>
      </c>
      <c r="O64" s="34">
        <v>0.6</v>
      </c>
      <c r="P64" s="34"/>
      <c r="Q64" s="34">
        <v>0.6</v>
      </c>
      <c r="R64" s="34">
        <v>0.6</v>
      </c>
      <c r="S64" s="34">
        <v>0.6</v>
      </c>
      <c r="T64" s="34">
        <v>0.6</v>
      </c>
      <c r="U64" s="34">
        <v>0.6</v>
      </c>
      <c r="V64" s="34">
        <v>0.6</v>
      </c>
      <c r="W64" s="34">
        <v>0.6</v>
      </c>
      <c r="X64" s="34">
        <v>0.6</v>
      </c>
      <c r="Y64" s="34">
        <v>0.6</v>
      </c>
      <c r="Z64" s="34">
        <v>0.6</v>
      </c>
      <c r="AA64" s="34">
        <v>0.6</v>
      </c>
      <c r="AB64" s="34">
        <v>0.6</v>
      </c>
    </row>
    <row r="65" spans="2:28" x14ac:dyDescent="0.2">
      <c r="B65" s="149"/>
      <c r="C65" s="2" t="s">
        <v>1063</v>
      </c>
      <c r="D65" s="116"/>
      <c r="E65" s="76"/>
      <c r="F65" s="75"/>
      <c r="G65" s="117"/>
      <c r="H65" s="79"/>
      <c r="I65" s="116"/>
      <c r="J65" s="84"/>
      <c r="K65" s="116"/>
      <c r="L65" s="116"/>
      <c r="M65" s="116"/>
      <c r="N65" s="99"/>
      <c r="O65" s="118"/>
      <c r="P65" s="34"/>
      <c r="Q65" s="118"/>
      <c r="R65" s="136"/>
      <c r="S65" s="118"/>
      <c r="T65" s="118"/>
      <c r="U65" s="118"/>
      <c r="V65" s="118"/>
      <c r="W65" s="118"/>
      <c r="X65" s="118"/>
      <c r="Y65" s="116"/>
      <c r="Z65" s="118"/>
      <c r="AA65" s="118"/>
      <c r="AB65" s="118"/>
    </row>
    <row r="66" spans="2:28" x14ac:dyDescent="0.2">
      <c r="B66" s="147" t="s">
        <v>546</v>
      </c>
      <c r="C66" s="2" t="s">
        <v>530</v>
      </c>
      <c r="D66" s="33" t="s">
        <v>537</v>
      </c>
      <c r="E66" s="76" t="s">
        <v>537</v>
      </c>
      <c r="F66" s="75" t="s">
        <v>537</v>
      </c>
      <c r="G66" s="81" t="s">
        <v>537</v>
      </c>
      <c r="H66" s="79" t="s">
        <v>537</v>
      </c>
      <c r="I66" s="87" t="s">
        <v>537</v>
      </c>
      <c r="J66" s="84" t="s">
        <v>537</v>
      </c>
      <c r="K66" s="92" t="s">
        <v>537</v>
      </c>
      <c r="L66" s="66" t="s">
        <v>537</v>
      </c>
      <c r="M66" s="90" t="s">
        <v>537</v>
      </c>
      <c r="N66" s="99" t="s">
        <v>537</v>
      </c>
      <c r="O66" s="102" t="s">
        <v>537</v>
      </c>
      <c r="P66" s="127" t="s">
        <v>537</v>
      </c>
      <c r="Q66" s="132" t="s">
        <v>537</v>
      </c>
      <c r="R66" s="134" t="s">
        <v>537</v>
      </c>
      <c r="S66" s="90" t="s">
        <v>537</v>
      </c>
      <c r="T66" s="135" t="s">
        <v>537</v>
      </c>
      <c r="U66" s="138" t="s">
        <v>537</v>
      </c>
      <c r="V66" s="135" t="s">
        <v>537</v>
      </c>
      <c r="W66" s="87" t="s">
        <v>537</v>
      </c>
      <c r="X66" s="135" t="s">
        <v>537</v>
      </c>
      <c r="Y66" s="33" t="s">
        <v>537</v>
      </c>
      <c r="Z66" s="87" t="s">
        <v>537</v>
      </c>
      <c r="AA66" s="87" t="s">
        <v>537</v>
      </c>
      <c r="AB66" s="87" t="s">
        <v>537</v>
      </c>
    </row>
    <row r="67" spans="2:28" x14ac:dyDescent="0.2">
      <c r="B67" s="148"/>
      <c r="C67" s="2" t="s">
        <v>531</v>
      </c>
      <c r="D67" s="32"/>
      <c r="E67" s="94"/>
      <c r="F67" s="120"/>
      <c r="G67" s="77"/>
      <c r="H67" s="80"/>
      <c r="I67" s="83"/>
      <c r="J67" s="86"/>
      <c r="K67" s="91"/>
      <c r="L67" s="65"/>
      <c r="M67" s="94"/>
      <c r="N67" s="96"/>
      <c r="O67" s="101"/>
      <c r="P67" s="37"/>
      <c r="Q67" s="131"/>
      <c r="R67" s="103"/>
      <c r="S67" s="94"/>
      <c r="T67" s="131"/>
      <c r="U67" s="121"/>
      <c r="V67" s="131"/>
      <c r="W67" s="83"/>
      <c r="X67" s="131"/>
      <c r="Y67" s="32"/>
      <c r="Z67" s="83"/>
      <c r="AA67" s="83"/>
      <c r="AB67" s="83"/>
    </row>
    <row r="68" spans="2:28" x14ac:dyDescent="0.2">
      <c r="B68" s="148"/>
      <c r="C68" s="2" t="s">
        <v>526</v>
      </c>
      <c r="D68" s="2" t="s">
        <v>527</v>
      </c>
      <c r="E68" s="2" t="s">
        <v>527</v>
      </c>
      <c r="F68" s="2" t="s">
        <v>527</v>
      </c>
      <c r="G68" s="2" t="s">
        <v>527</v>
      </c>
      <c r="H68" s="2" t="s">
        <v>527</v>
      </c>
      <c r="I68" s="2" t="s">
        <v>527</v>
      </c>
      <c r="J68" s="2" t="s">
        <v>527</v>
      </c>
      <c r="K68" s="2" t="s">
        <v>527</v>
      </c>
      <c r="L68" s="2" t="s">
        <v>527</v>
      </c>
      <c r="M68" s="2" t="s">
        <v>527</v>
      </c>
      <c r="N68" s="2" t="s">
        <v>527</v>
      </c>
      <c r="O68" s="2" t="s">
        <v>527</v>
      </c>
      <c r="P68" s="2"/>
      <c r="Q68" s="2" t="s">
        <v>527</v>
      </c>
      <c r="R68" s="2" t="s">
        <v>527</v>
      </c>
      <c r="S68" s="2" t="s">
        <v>527</v>
      </c>
      <c r="T68" s="2" t="s">
        <v>527</v>
      </c>
      <c r="U68" s="2" t="s">
        <v>527</v>
      </c>
      <c r="V68" s="2" t="s">
        <v>527</v>
      </c>
      <c r="W68" s="2" t="s">
        <v>527</v>
      </c>
      <c r="X68" s="2" t="s">
        <v>527</v>
      </c>
      <c r="Y68" s="2" t="s">
        <v>527</v>
      </c>
      <c r="Z68" s="2" t="s">
        <v>527</v>
      </c>
      <c r="AA68" s="2" t="s">
        <v>527</v>
      </c>
      <c r="AB68" s="2" t="s">
        <v>527</v>
      </c>
    </row>
    <row r="69" spans="2:28" x14ac:dyDescent="0.2">
      <c r="B69" s="148"/>
      <c r="C69" s="2" t="s">
        <v>535</v>
      </c>
      <c r="D69" s="34">
        <v>0.4</v>
      </c>
      <c r="E69" s="34">
        <v>0.4</v>
      </c>
      <c r="F69" s="34">
        <v>0.4</v>
      </c>
      <c r="G69" s="34">
        <v>0.4</v>
      </c>
      <c r="H69" s="34">
        <v>0.4</v>
      </c>
      <c r="I69" s="34">
        <v>0.4</v>
      </c>
      <c r="J69" s="34">
        <v>0.4</v>
      </c>
      <c r="K69" s="34">
        <v>0.4</v>
      </c>
      <c r="L69" s="34">
        <v>0.4</v>
      </c>
      <c r="M69" s="34">
        <v>0.4</v>
      </c>
      <c r="N69" s="34">
        <v>0.4</v>
      </c>
      <c r="O69" s="34">
        <v>0.4</v>
      </c>
      <c r="P69" s="34"/>
      <c r="Q69" s="34">
        <v>0.4</v>
      </c>
      <c r="R69" s="34">
        <v>0.4</v>
      </c>
      <c r="S69" s="34">
        <v>0.4</v>
      </c>
      <c r="T69" s="34">
        <v>0.4</v>
      </c>
      <c r="U69" s="34">
        <v>0.4</v>
      </c>
      <c r="V69" s="34">
        <v>0.4</v>
      </c>
      <c r="W69" s="34">
        <v>0.4</v>
      </c>
      <c r="X69" s="34">
        <v>0.4</v>
      </c>
      <c r="Y69" s="34">
        <v>0.4</v>
      </c>
      <c r="Z69" s="34">
        <v>0.4</v>
      </c>
      <c r="AA69" s="34">
        <v>0.4</v>
      </c>
      <c r="AB69" s="34">
        <v>0.4</v>
      </c>
    </row>
    <row r="70" spans="2:28" x14ac:dyDescent="0.2">
      <c r="B70" s="148"/>
      <c r="C70" s="2" t="s">
        <v>536</v>
      </c>
      <c r="D70" s="34">
        <v>0.6</v>
      </c>
      <c r="E70" s="34">
        <v>0.6</v>
      </c>
      <c r="F70" s="34">
        <v>0.6</v>
      </c>
      <c r="G70" s="34">
        <v>0.6</v>
      </c>
      <c r="H70" s="34">
        <v>0.6</v>
      </c>
      <c r="I70" s="34">
        <v>0.6</v>
      </c>
      <c r="J70" s="34">
        <v>0.6</v>
      </c>
      <c r="K70" s="34">
        <v>0.6</v>
      </c>
      <c r="L70" s="34">
        <v>0.6</v>
      </c>
      <c r="M70" s="34">
        <v>0.6</v>
      </c>
      <c r="N70" s="34">
        <v>0.6</v>
      </c>
      <c r="O70" s="34">
        <v>0.6</v>
      </c>
      <c r="P70" s="34"/>
      <c r="Q70" s="34">
        <v>0.6</v>
      </c>
      <c r="R70" s="34">
        <v>0.6</v>
      </c>
      <c r="S70" s="34">
        <v>0.6</v>
      </c>
      <c r="T70" s="34">
        <v>0.6</v>
      </c>
      <c r="U70" s="34">
        <v>0.6</v>
      </c>
      <c r="V70" s="34">
        <v>0.6</v>
      </c>
      <c r="W70" s="34">
        <v>0.6</v>
      </c>
      <c r="X70" s="34">
        <v>0.6</v>
      </c>
      <c r="Y70" s="34">
        <v>0.6</v>
      </c>
      <c r="Z70" s="34">
        <v>0.6</v>
      </c>
      <c r="AA70" s="34">
        <v>0.6</v>
      </c>
      <c r="AB70" s="34">
        <v>0.6</v>
      </c>
    </row>
    <row r="71" spans="2:28" x14ac:dyDescent="0.2">
      <c r="B71" s="149"/>
      <c r="C71" s="2" t="s">
        <v>1063</v>
      </c>
      <c r="D71" s="3"/>
      <c r="E71" s="3"/>
      <c r="F71" s="75"/>
      <c r="G71" s="117"/>
      <c r="H71" s="79"/>
      <c r="I71" s="116"/>
      <c r="J71" s="84"/>
      <c r="K71" s="3"/>
      <c r="L71" s="3"/>
      <c r="M71" s="3"/>
      <c r="N71" s="3"/>
      <c r="O71" s="3"/>
      <c r="P71" s="3"/>
      <c r="Q71" s="3"/>
      <c r="R71" s="137"/>
      <c r="S71" s="3"/>
      <c r="T71" s="3"/>
      <c r="U71" s="3"/>
      <c r="V71" s="3"/>
      <c r="W71" s="3"/>
      <c r="X71" s="3"/>
      <c r="Y71" s="3"/>
      <c r="Z71" s="3"/>
      <c r="AA71" s="3"/>
      <c r="AB71" s="3"/>
    </row>
    <row r="72" spans="2:28" x14ac:dyDescent="0.2">
      <c r="B72" s="147" t="s">
        <v>547</v>
      </c>
      <c r="C72" s="2" t="s">
        <v>530</v>
      </c>
      <c r="D72" s="105" t="s">
        <v>537</v>
      </c>
      <c r="E72" s="105" t="s">
        <v>537</v>
      </c>
      <c r="F72" s="105" t="s">
        <v>537</v>
      </c>
      <c r="G72" s="105" t="s">
        <v>537</v>
      </c>
      <c r="H72" s="105" t="s">
        <v>537</v>
      </c>
      <c r="I72" s="105" t="s">
        <v>537</v>
      </c>
      <c r="J72" s="105" t="s">
        <v>537</v>
      </c>
      <c r="K72" s="105" t="s">
        <v>537</v>
      </c>
      <c r="L72" s="105" t="s">
        <v>537</v>
      </c>
      <c r="M72" s="105" t="s">
        <v>537</v>
      </c>
      <c r="N72" s="105" t="s">
        <v>537</v>
      </c>
      <c r="O72" s="105" t="s">
        <v>537</v>
      </c>
      <c r="P72" s="123" t="s">
        <v>537</v>
      </c>
      <c r="Q72" s="105" t="s">
        <v>537</v>
      </c>
      <c r="R72" s="105" t="s">
        <v>537</v>
      </c>
      <c r="S72" s="105" t="s">
        <v>537</v>
      </c>
      <c r="T72" s="105" t="s">
        <v>537</v>
      </c>
      <c r="U72" s="105" t="s">
        <v>537</v>
      </c>
      <c r="V72" s="105" t="s">
        <v>537</v>
      </c>
      <c r="W72" s="105" t="s">
        <v>537</v>
      </c>
      <c r="X72" s="105" t="s">
        <v>537</v>
      </c>
      <c r="Y72" s="105" t="s">
        <v>537</v>
      </c>
      <c r="Z72" s="105" t="s">
        <v>537</v>
      </c>
      <c r="AA72" s="105" t="s">
        <v>537</v>
      </c>
      <c r="AB72" s="105" t="s">
        <v>537</v>
      </c>
    </row>
    <row r="73" spans="2:28" x14ac:dyDescent="0.2">
      <c r="B73" s="148"/>
      <c r="C73" s="2" t="s">
        <v>531</v>
      </c>
      <c r="D73" s="31" t="s">
        <v>537</v>
      </c>
      <c r="E73" s="31" t="s">
        <v>537</v>
      </c>
      <c r="F73" s="31" t="s">
        <v>537</v>
      </c>
      <c r="G73" s="31" t="s">
        <v>537</v>
      </c>
      <c r="H73" s="31" t="s">
        <v>537</v>
      </c>
      <c r="I73" s="31" t="s">
        <v>537</v>
      </c>
      <c r="J73" s="31" t="s">
        <v>537</v>
      </c>
      <c r="K73" s="31" t="s">
        <v>537</v>
      </c>
      <c r="L73" s="31" t="s">
        <v>537</v>
      </c>
      <c r="M73" s="31" t="s">
        <v>537</v>
      </c>
      <c r="N73" s="31" t="s">
        <v>537</v>
      </c>
      <c r="O73" s="31" t="s">
        <v>537</v>
      </c>
      <c r="P73" s="31" t="s">
        <v>537</v>
      </c>
      <c r="Q73" s="31" t="s">
        <v>537</v>
      </c>
      <c r="R73" s="31" t="s">
        <v>537</v>
      </c>
      <c r="S73" s="31" t="s">
        <v>537</v>
      </c>
      <c r="T73" s="31" t="s">
        <v>537</v>
      </c>
      <c r="U73" s="31" t="s">
        <v>537</v>
      </c>
      <c r="V73" s="31" t="s">
        <v>537</v>
      </c>
      <c r="W73" s="31" t="s">
        <v>537</v>
      </c>
      <c r="X73" s="31" t="s">
        <v>537</v>
      </c>
      <c r="Y73" s="31" t="s">
        <v>537</v>
      </c>
      <c r="Z73" s="31" t="s">
        <v>537</v>
      </c>
      <c r="AA73" s="31" t="s">
        <v>537</v>
      </c>
      <c r="AB73" s="31" t="s">
        <v>537</v>
      </c>
    </row>
    <row r="74" spans="2:28" x14ac:dyDescent="0.2">
      <c r="B74" s="148"/>
      <c r="C74" s="2" t="s">
        <v>526</v>
      </c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</row>
    <row r="75" spans="2:28" x14ac:dyDescent="0.2">
      <c r="B75" s="148"/>
      <c r="C75" s="2" t="s">
        <v>535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</row>
    <row r="76" spans="2:28" x14ac:dyDescent="0.2">
      <c r="B76" s="148"/>
      <c r="C76" s="2" t="s">
        <v>536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</row>
    <row r="77" spans="2:28" x14ac:dyDescent="0.2">
      <c r="B77" s="149"/>
      <c r="C77" s="2" t="s">
        <v>1063</v>
      </c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</row>
    <row r="78" spans="2:28" x14ac:dyDescent="0.2">
      <c r="B78" s="147" t="s">
        <v>544</v>
      </c>
      <c r="C78" s="2" t="s">
        <v>530</v>
      </c>
      <c r="D78" s="33" t="s">
        <v>537</v>
      </c>
      <c r="E78" s="76" t="s">
        <v>537</v>
      </c>
      <c r="F78" s="75" t="s">
        <v>537</v>
      </c>
      <c r="G78" s="81" t="s">
        <v>537</v>
      </c>
      <c r="H78" s="79" t="s">
        <v>537</v>
      </c>
      <c r="I78" s="87" t="s">
        <v>537</v>
      </c>
      <c r="J78" s="84" t="s">
        <v>537</v>
      </c>
      <c r="K78" s="92" t="s">
        <v>537</v>
      </c>
      <c r="L78" s="66" t="s">
        <v>537</v>
      </c>
      <c r="M78" s="90" t="s">
        <v>537</v>
      </c>
      <c r="N78" s="99" t="s">
        <v>537</v>
      </c>
      <c r="O78" s="102" t="s">
        <v>537</v>
      </c>
      <c r="P78" s="126" t="s">
        <v>537</v>
      </c>
      <c r="Q78" s="132" t="s">
        <v>537</v>
      </c>
      <c r="R78" s="134" t="s">
        <v>537</v>
      </c>
      <c r="S78" s="90" t="s">
        <v>537</v>
      </c>
      <c r="T78" s="135" t="s">
        <v>537</v>
      </c>
      <c r="U78" s="138" t="s">
        <v>537</v>
      </c>
      <c r="V78" s="135" t="s">
        <v>537</v>
      </c>
      <c r="W78" s="87" t="s">
        <v>537</v>
      </c>
      <c r="X78" s="135" t="s">
        <v>537</v>
      </c>
      <c r="Y78" s="33" t="s">
        <v>537</v>
      </c>
      <c r="Z78" s="87" t="s">
        <v>537</v>
      </c>
      <c r="AA78" s="87" t="s">
        <v>537</v>
      </c>
      <c r="AB78" s="87" t="s">
        <v>537</v>
      </c>
    </row>
    <row r="79" spans="2:28" x14ac:dyDescent="0.2">
      <c r="B79" s="148"/>
      <c r="C79" s="2" t="s">
        <v>531</v>
      </c>
      <c r="D79" s="32"/>
      <c r="E79" s="94"/>
      <c r="F79" s="120"/>
      <c r="G79" s="77"/>
      <c r="H79" s="80"/>
      <c r="I79" s="83"/>
      <c r="J79" s="86"/>
      <c r="K79" s="91"/>
      <c r="L79" s="65"/>
      <c r="M79" s="94"/>
      <c r="N79" s="96"/>
      <c r="O79" s="101"/>
      <c r="P79" s="35" t="s">
        <v>537</v>
      </c>
      <c r="Q79" s="131"/>
      <c r="R79" s="103"/>
      <c r="S79" s="94"/>
      <c r="T79" s="131"/>
      <c r="U79" s="121"/>
      <c r="V79" s="131"/>
      <c r="W79" s="83"/>
      <c r="X79" s="131"/>
      <c r="Y79" s="32"/>
      <c r="Z79" s="83"/>
      <c r="AA79" s="83"/>
      <c r="AB79" s="83"/>
    </row>
    <row r="80" spans="2:28" x14ac:dyDescent="0.2">
      <c r="B80" s="148"/>
      <c r="C80" s="2" t="s">
        <v>526</v>
      </c>
      <c r="D80" s="2" t="s">
        <v>527</v>
      </c>
      <c r="E80" s="2" t="s">
        <v>527</v>
      </c>
      <c r="F80" s="2" t="s">
        <v>527</v>
      </c>
      <c r="G80" s="2" t="s">
        <v>527</v>
      </c>
      <c r="H80" s="2" t="s">
        <v>527</v>
      </c>
      <c r="I80" s="2" t="s">
        <v>527</v>
      </c>
      <c r="J80" s="2" t="s">
        <v>527</v>
      </c>
      <c r="K80" s="2" t="s">
        <v>527</v>
      </c>
      <c r="L80" s="2" t="s">
        <v>527</v>
      </c>
      <c r="M80" s="2" t="s">
        <v>527</v>
      </c>
      <c r="N80" s="2" t="s">
        <v>527</v>
      </c>
      <c r="O80" s="2" t="s">
        <v>527</v>
      </c>
      <c r="P80" s="2"/>
      <c r="Q80" s="2" t="s">
        <v>527</v>
      </c>
      <c r="R80" s="2" t="s">
        <v>527</v>
      </c>
      <c r="S80" s="2" t="s">
        <v>527</v>
      </c>
      <c r="T80" s="2" t="s">
        <v>527</v>
      </c>
      <c r="U80" s="2" t="s">
        <v>527</v>
      </c>
      <c r="V80" s="2" t="s">
        <v>527</v>
      </c>
      <c r="W80" s="2" t="s">
        <v>527</v>
      </c>
      <c r="X80" s="2" t="s">
        <v>527</v>
      </c>
      <c r="Y80" s="2" t="s">
        <v>527</v>
      </c>
      <c r="Z80" s="2" t="s">
        <v>527</v>
      </c>
      <c r="AA80" s="2" t="s">
        <v>527</v>
      </c>
      <c r="AB80" s="2" t="s">
        <v>527</v>
      </c>
    </row>
    <row r="81" spans="2:28" x14ac:dyDescent="0.2">
      <c r="B81" s="148"/>
      <c r="C81" s="2" t="s">
        <v>535</v>
      </c>
      <c r="D81" s="34">
        <v>0.4</v>
      </c>
      <c r="E81" s="34">
        <v>0.4</v>
      </c>
      <c r="F81" s="34">
        <v>0.4</v>
      </c>
      <c r="G81" s="34">
        <v>0.4</v>
      </c>
      <c r="H81" s="34">
        <v>0.4</v>
      </c>
      <c r="I81" s="34">
        <v>0.4</v>
      </c>
      <c r="J81" s="34">
        <v>0.4</v>
      </c>
      <c r="K81" s="34">
        <v>0.4</v>
      </c>
      <c r="L81" s="34">
        <v>0.4</v>
      </c>
      <c r="M81" s="34">
        <v>0.4</v>
      </c>
      <c r="N81" s="34">
        <v>0.4</v>
      </c>
      <c r="O81" s="34">
        <v>0.4</v>
      </c>
      <c r="P81" s="34"/>
      <c r="Q81" s="34">
        <v>0.4</v>
      </c>
      <c r="R81" s="34">
        <v>0.4</v>
      </c>
      <c r="S81" s="34">
        <v>0.4</v>
      </c>
      <c r="T81" s="34">
        <v>0.4</v>
      </c>
      <c r="U81" s="34">
        <v>0.4</v>
      </c>
      <c r="V81" s="34">
        <v>0.4</v>
      </c>
      <c r="W81" s="34">
        <v>0.4</v>
      </c>
      <c r="X81" s="34">
        <v>0.4</v>
      </c>
      <c r="Y81" s="34">
        <v>0.4</v>
      </c>
      <c r="Z81" s="34">
        <v>0.4</v>
      </c>
      <c r="AA81" s="34">
        <v>0.4</v>
      </c>
      <c r="AB81" s="34">
        <v>0.4</v>
      </c>
    </row>
    <row r="82" spans="2:28" x14ac:dyDescent="0.2">
      <c r="B82" s="148"/>
      <c r="C82" s="2" t="s">
        <v>536</v>
      </c>
      <c r="D82" s="34">
        <v>0.6</v>
      </c>
      <c r="E82" s="34">
        <v>0.6</v>
      </c>
      <c r="F82" s="34">
        <v>0.6</v>
      </c>
      <c r="G82" s="34">
        <v>0.6</v>
      </c>
      <c r="H82" s="34">
        <v>0.6</v>
      </c>
      <c r="I82" s="34">
        <v>0.6</v>
      </c>
      <c r="J82" s="34">
        <v>0.6</v>
      </c>
      <c r="K82" s="34">
        <v>0.6</v>
      </c>
      <c r="L82" s="34">
        <v>0.6</v>
      </c>
      <c r="M82" s="34">
        <v>0.6</v>
      </c>
      <c r="N82" s="34">
        <v>0.6</v>
      </c>
      <c r="O82" s="34">
        <v>0.6</v>
      </c>
      <c r="P82" s="34"/>
      <c r="Q82" s="34">
        <v>0.6</v>
      </c>
      <c r="R82" s="34">
        <v>0.6</v>
      </c>
      <c r="S82" s="34">
        <v>0.6</v>
      </c>
      <c r="T82" s="34">
        <v>0.6</v>
      </c>
      <c r="U82" s="34">
        <v>0.6</v>
      </c>
      <c r="V82" s="34">
        <v>0.6</v>
      </c>
      <c r="W82" s="34">
        <v>0.6</v>
      </c>
      <c r="X82" s="34">
        <v>0.6</v>
      </c>
      <c r="Y82" s="34">
        <v>0.6</v>
      </c>
      <c r="Z82" s="34">
        <v>0.6</v>
      </c>
      <c r="AA82" s="34">
        <v>0.6</v>
      </c>
      <c r="AB82" s="34">
        <v>0.6</v>
      </c>
    </row>
    <row r="83" spans="2:28" x14ac:dyDescent="0.2">
      <c r="B83" s="149"/>
      <c r="C83" s="2" t="s">
        <v>1063</v>
      </c>
      <c r="D83" s="3"/>
      <c r="E83" s="3"/>
      <c r="F83" s="75"/>
      <c r="G83" s="117"/>
      <c r="H83" s="79"/>
      <c r="I83" s="116"/>
      <c r="J83" s="84"/>
      <c r="K83" s="3"/>
      <c r="L83" s="3"/>
      <c r="M83" s="3"/>
      <c r="N83" s="3"/>
      <c r="O83" s="3"/>
      <c r="P83" s="34"/>
      <c r="Q83" s="3"/>
      <c r="R83" s="137"/>
      <c r="S83" s="3"/>
      <c r="T83" s="3"/>
      <c r="U83" s="3"/>
      <c r="V83" s="3"/>
      <c r="W83" s="3"/>
      <c r="X83" s="3"/>
      <c r="Y83" s="3"/>
      <c r="Z83" s="3"/>
      <c r="AA83" s="3"/>
      <c r="AB83" s="3"/>
    </row>
    <row r="84" spans="2:28" x14ac:dyDescent="0.2">
      <c r="B84" s="28" t="s">
        <v>561</v>
      </c>
      <c r="C84" s="2" t="s">
        <v>562</v>
      </c>
      <c r="D84" s="44" t="s">
        <v>560</v>
      </c>
      <c r="E84" s="44" t="s">
        <v>560</v>
      </c>
      <c r="F84" s="45" t="s">
        <v>560</v>
      </c>
      <c r="G84" s="104" t="s">
        <v>560</v>
      </c>
      <c r="H84" s="104" t="s">
        <v>560</v>
      </c>
      <c r="I84" s="44" t="s">
        <v>560</v>
      </c>
      <c r="J84" s="104" t="s">
        <v>560</v>
      </c>
      <c r="K84" s="44" t="s">
        <v>560</v>
      </c>
      <c r="L84" s="45" t="s">
        <v>560</v>
      </c>
      <c r="M84" s="45" t="s">
        <v>560</v>
      </c>
      <c r="N84" s="44" t="s">
        <v>560</v>
      </c>
      <c r="O84" s="45" t="s">
        <v>560</v>
      </c>
      <c r="P84" s="44" t="s">
        <v>560</v>
      </c>
      <c r="Q84" s="45" t="s">
        <v>560</v>
      </c>
      <c r="R84" s="45" t="s">
        <v>560</v>
      </c>
      <c r="S84" s="45" t="s">
        <v>560</v>
      </c>
      <c r="T84" s="45" t="s">
        <v>560</v>
      </c>
      <c r="U84" s="45" t="s">
        <v>560</v>
      </c>
      <c r="V84" s="45" t="s">
        <v>560</v>
      </c>
      <c r="W84" s="45" t="s">
        <v>560</v>
      </c>
      <c r="X84" s="45" t="s">
        <v>560</v>
      </c>
      <c r="Y84" s="44" t="s">
        <v>560</v>
      </c>
      <c r="Z84" s="45" t="s">
        <v>560</v>
      </c>
      <c r="AA84" s="45" t="s">
        <v>560</v>
      </c>
      <c r="AB84" s="45" t="s">
        <v>560</v>
      </c>
    </row>
    <row r="87" spans="2:28" x14ac:dyDescent="0.2">
      <c r="D87" s="2" t="s">
        <v>1081</v>
      </c>
      <c r="E87" s="2" t="s">
        <v>1082</v>
      </c>
      <c r="F87" s="2" t="s">
        <v>1117</v>
      </c>
    </row>
    <row r="88" spans="2:28" x14ac:dyDescent="0.2">
      <c r="B88" s="151" t="s">
        <v>548</v>
      </c>
      <c r="C88" s="2" t="s">
        <v>530</v>
      </c>
      <c r="D88" s="40" t="s">
        <v>549</v>
      </c>
      <c r="E88" s="122" t="s">
        <v>549</v>
      </c>
      <c r="F88" s="37" t="s">
        <v>549</v>
      </c>
    </row>
    <row r="89" spans="2:28" x14ac:dyDescent="0.2">
      <c r="B89" s="152"/>
      <c r="C89" s="2" t="s">
        <v>531</v>
      </c>
      <c r="D89" s="37"/>
      <c r="E89" s="37"/>
      <c r="F89" s="37"/>
    </row>
    <row r="90" spans="2:28" x14ac:dyDescent="0.2">
      <c r="B90" s="152"/>
      <c r="C90" s="2" t="s">
        <v>526</v>
      </c>
      <c r="D90" s="2"/>
      <c r="E90" s="2"/>
      <c r="F90" s="2"/>
    </row>
    <row r="91" spans="2:28" x14ac:dyDescent="0.2">
      <c r="B91" s="152"/>
      <c r="C91" s="2" t="s">
        <v>535</v>
      </c>
      <c r="D91" s="34"/>
      <c r="E91" s="34"/>
      <c r="F91" s="34"/>
    </row>
    <row r="92" spans="2:28" x14ac:dyDescent="0.2">
      <c r="B92" s="152"/>
      <c r="C92" s="2" t="s">
        <v>536</v>
      </c>
      <c r="D92" s="34"/>
      <c r="E92" s="34"/>
      <c r="F92" s="34"/>
    </row>
    <row r="93" spans="2:28" x14ac:dyDescent="0.2">
      <c r="B93" s="151" t="s">
        <v>550</v>
      </c>
      <c r="C93" s="2" t="s">
        <v>530</v>
      </c>
      <c r="D93" s="119" t="s">
        <v>549</v>
      </c>
      <c r="E93" s="128" t="s">
        <v>549</v>
      </c>
      <c r="F93" s="37" t="s">
        <v>549</v>
      </c>
    </row>
    <row r="94" spans="2:28" x14ac:dyDescent="0.2">
      <c r="B94" s="152"/>
      <c r="C94" s="2" t="s">
        <v>531</v>
      </c>
      <c r="D94" s="37"/>
      <c r="E94" s="37"/>
      <c r="F94" s="37"/>
    </row>
    <row r="95" spans="2:28" x14ac:dyDescent="0.2">
      <c r="B95" s="152"/>
      <c r="C95" s="2" t="s">
        <v>526</v>
      </c>
      <c r="D95" s="2"/>
      <c r="E95" s="2"/>
      <c r="F95" s="2"/>
    </row>
    <row r="96" spans="2:28" x14ac:dyDescent="0.2">
      <c r="B96" s="152"/>
      <c r="C96" s="2" t="s">
        <v>535</v>
      </c>
      <c r="D96" s="34"/>
      <c r="E96" s="34"/>
      <c r="F96" s="34"/>
    </row>
    <row r="97" spans="2:6" x14ac:dyDescent="0.2">
      <c r="B97" s="152"/>
      <c r="C97" s="2" t="s">
        <v>536</v>
      </c>
      <c r="D97" s="34"/>
      <c r="E97" s="34"/>
      <c r="F97" s="34"/>
    </row>
    <row r="98" spans="2:6" x14ac:dyDescent="0.2">
      <c r="B98" s="151" t="s">
        <v>551</v>
      </c>
      <c r="C98" s="2" t="s">
        <v>530</v>
      </c>
      <c r="D98" s="38" t="s">
        <v>549</v>
      </c>
      <c r="E98" s="129" t="s">
        <v>549</v>
      </c>
      <c r="F98" s="37" t="s">
        <v>549</v>
      </c>
    </row>
    <row r="99" spans="2:6" x14ac:dyDescent="0.2">
      <c r="B99" s="152"/>
      <c r="C99" s="2" t="s">
        <v>531</v>
      </c>
      <c r="D99" s="37"/>
      <c r="E99" s="37"/>
      <c r="F99" s="37"/>
    </row>
    <row r="100" spans="2:6" x14ac:dyDescent="0.2">
      <c r="B100" s="152"/>
      <c r="C100" s="2" t="s">
        <v>526</v>
      </c>
      <c r="D100" s="2"/>
      <c r="E100" s="2"/>
      <c r="F100" s="2"/>
    </row>
    <row r="101" spans="2:6" x14ac:dyDescent="0.2">
      <c r="B101" s="152"/>
      <c r="C101" s="2" t="s">
        <v>535</v>
      </c>
      <c r="D101" s="34"/>
      <c r="E101" s="34"/>
      <c r="F101" s="34"/>
    </row>
    <row r="102" spans="2:6" x14ac:dyDescent="0.2">
      <c r="B102" s="152"/>
      <c r="C102" s="2" t="s">
        <v>536</v>
      </c>
      <c r="D102" s="34"/>
      <c r="E102" s="34"/>
      <c r="F102" s="34"/>
    </row>
    <row r="103" spans="2:6" x14ac:dyDescent="0.2">
      <c r="B103" s="151" t="s">
        <v>568</v>
      </c>
      <c r="C103" s="2" t="s">
        <v>530</v>
      </c>
      <c r="D103" s="63">
        <v>1</v>
      </c>
      <c r="E103" s="122">
        <v>1</v>
      </c>
      <c r="F103" s="130">
        <v>1</v>
      </c>
    </row>
    <row r="104" spans="2:6" x14ac:dyDescent="0.2">
      <c r="B104" s="152"/>
      <c r="C104" s="2" t="s">
        <v>531</v>
      </c>
      <c r="D104" s="37"/>
      <c r="E104" s="37"/>
      <c r="F104" s="37"/>
    </row>
    <row r="105" spans="2:6" x14ac:dyDescent="0.2">
      <c r="B105" s="152"/>
      <c r="C105" s="2" t="s">
        <v>526</v>
      </c>
      <c r="D105" s="2"/>
      <c r="E105" s="2"/>
      <c r="F105" s="2"/>
    </row>
    <row r="106" spans="2:6" x14ac:dyDescent="0.2">
      <c r="B106" s="152"/>
      <c r="C106" s="2" t="s">
        <v>535</v>
      </c>
      <c r="D106" s="34"/>
      <c r="E106" s="34"/>
      <c r="F106" s="34"/>
    </row>
    <row r="107" spans="2:6" x14ac:dyDescent="0.2">
      <c r="B107" s="152"/>
      <c r="C107" s="2" t="s">
        <v>536</v>
      </c>
      <c r="D107" s="34"/>
      <c r="E107" s="34"/>
      <c r="F107" s="34"/>
    </row>
    <row r="108" spans="2:6" x14ac:dyDescent="0.2">
      <c r="B108" s="151" t="s">
        <v>552</v>
      </c>
      <c r="C108" s="2" t="s">
        <v>530</v>
      </c>
      <c r="D108" s="39" t="s">
        <v>553</v>
      </c>
      <c r="E108" s="129" t="s">
        <v>553</v>
      </c>
      <c r="F108" s="130">
        <v>1</v>
      </c>
    </row>
    <row r="109" spans="2:6" x14ac:dyDescent="0.2">
      <c r="B109" s="152"/>
      <c r="C109" s="2" t="s">
        <v>531</v>
      </c>
      <c r="D109" s="37"/>
      <c r="E109" s="37"/>
      <c r="F109" s="37"/>
    </row>
    <row r="110" spans="2:6" x14ac:dyDescent="0.2">
      <c r="B110" s="152"/>
      <c r="C110" s="2" t="s">
        <v>526</v>
      </c>
      <c r="D110" s="2"/>
      <c r="E110" s="2"/>
      <c r="F110" s="2"/>
    </row>
    <row r="111" spans="2:6" x14ac:dyDescent="0.2">
      <c r="B111" s="152"/>
      <c r="C111" s="2" t="s">
        <v>535</v>
      </c>
      <c r="D111" s="34"/>
      <c r="E111" s="34"/>
      <c r="F111" s="34"/>
    </row>
    <row r="112" spans="2:6" x14ac:dyDescent="0.2">
      <c r="B112" s="152"/>
      <c r="C112" s="2" t="s">
        <v>536</v>
      </c>
      <c r="D112" s="34"/>
      <c r="E112" s="34"/>
      <c r="F112" s="34"/>
    </row>
    <row r="113" spans="2:6" x14ac:dyDescent="0.2">
      <c r="B113" s="147" t="s">
        <v>567</v>
      </c>
      <c r="C113" s="2" t="s">
        <v>530</v>
      </c>
      <c r="D113" s="41"/>
      <c r="E113" s="41"/>
      <c r="F113" s="41"/>
    </row>
    <row r="114" spans="2:6" x14ac:dyDescent="0.2">
      <c r="B114" s="148"/>
      <c r="C114" s="2" t="s">
        <v>531</v>
      </c>
      <c r="D114" s="37"/>
      <c r="E114" s="37"/>
      <c r="F114" s="37"/>
    </row>
    <row r="115" spans="2:6" x14ac:dyDescent="0.2">
      <c r="B115" s="148"/>
      <c r="C115" s="2" t="s">
        <v>526</v>
      </c>
      <c r="D115" s="2"/>
      <c r="E115" s="2"/>
      <c r="F115" s="2"/>
    </row>
    <row r="116" spans="2:6" x14ac:dyDescent="0.2">
      <c r="B116" s="148"/>
      <c r="C116" s="2" t="s">
        <v>535</v>
      </c>
      <c r="D116" s="34"/>
      <c r="E116" s="34"/>
      <c r="F116" s="34"/>
    </row>
    <row r="117" spans="2:6" x14ac:dyDescent="0.2">
      <c r="B117" s="149"/>
      <c r="C117" s="2" t="s">
        <v>536</v>
      </c>
      <c r="D117" s="34"/>
      <c r="E117" s="34"/>
      <c r="F117" s="34"/>
    </row>
    <row r="118" spans="2:6" x14ac:dyDescent="0.2">
      <c r="B118" s="2" t="s">
        <v>569</v>
      </c>
      <c r="C118" s="2" t="s">
        <v>570</v>
      </c>
      <c r="D118" s="46"/>
      <c r="E118" s="46"/>
      <c r="F118" s="46"/>
    </row>
    <row r="119" spans="2:6" x14ac:dyDescent="0.2">
      <c r="B119" s="2" t="s">
        <v>579</v>
      </c>
      <c r="C119" s="2" t="s">
        <v>570</v>
      </c>
      <c r="D119" s="51"/>
      <c r="E119" s="122"/>
      <c r="F119" s="50"/>
    </row>
    <row r="120" spans="2:6" x14ac:dyDescent="0.2">
      <c r="B120" s="147" t="s">
        <v>580</v>
      </c>
      <c r="C120" s="2" t="s">
        <v>530</v>
      </c>
      <c r="D120" s="39" t="s">
        <v>540</v>
      </c>
      <c r="E120" s="129" t="s">
        <v>540</v>
      </c>
      <c r="F120" s="129" t="s">
        <v>540</v>
      </c>
    </row>
    <row r="121" spans="2:6" x14ac:dyDescent="0.2">
      <c r="B121" s="148"/>
      <c r="C121" s="2" t="s">
        <v>531</v>
      </c>
      <c r="D121" s="37"/>
      <c r="E121" s="37"/>
      <c r="F121" s="37"/>
    </row>
    <row r="122" spans="2:6" x14ac:dyDescent="0.2">
      <c r="B122" s="148"/>
      <c r="C122" s="2" t="s">
        <v>526</v>
      </c>
      <c r="D122" s="2"/>
      <c r="E122" s="2"/>
      <c r="F122" s="2"/>
    </row>
    <row r="123" spans="2:6" x14ac:dyDescent="0.2">
      <c r="B123" s="148"/>
      <c r="C123" s="2" t="s">
        <v>535</v>
      </c>
      <c r="D123" s="34"/>
      <c r="E123" s="34"/>
      <c r="F123" s="34"/>
    </row>
    <row r="124" spans="2:6" x14ac:dyDescent="0.2">
      <c r="B124" s="149"/>
      <c r="C124" s="2" t="s">
        <v>536</v>
      </c>
      <c r="D124" s="34"/>
      <c r="E124" s="34"/>
      <c r="F124" s="34"/>
    </row>
    <row r="125" spans="2:6" x14ac:dyDescent="0.2">
      <c r="B125" s="151" t="s">
        <v>581</v>
      </c>
      <c r="C125" s="2" t="s">
        <v>530</v>
      </c>
      <c r="D125" s="52" t="s">
        <v>537</v>
      </c>
      <c r="E125" s="121" t="s">
        <v>537</v>
      </c>
      <c r="F125" s="121" t="s">
        <v>537</v>
      </c>
    </row>
    <row r="126" spans="2:6" x14ac:dyDescent="0.2">
      <c r="B126" s="151"/>
      <c r="C126" s="2" t="s">
        <v>531</v>
      </c>
      <c r="D126" s="37"/>
      <c r="E126" s="37"/>
      <c r="F126" s="37"/>
    </row>
    <row r="127" spans="2:6" x14ac:dyDescent="0.2">
      <c r="B127" s="151"/>
      <c r="C127" s="2" t="s">
        <v>526</v>
      </c>
      <c r="D127" s="2"/>
      <c r="E127" s="2"/>
      <c r="F127" s="2"/>
    </row>
    <row r="128" spans="2:6" x14ac:dyDescent="0.2">
      <c r="B128" s="151"/>
      <c r="C128" s="2" t="s">
        <v>535</v>
      </c>
      <c r="D128" s="34"/>
      <c r="E128" s="34"/>
      <c r="F128" s="34"/>
    </row>
    <row r="129" spans="2:6" x14ac:dyDescent="0.2">
      <c r="B129" s="151"/>
      <c r="C129" s="2" t="s">
        <v>536</v>
      </c>
      <c r="D129" s="34"/>
      <c r="E129" s="34"/>
      <c r="F129" s="34"/>
    </row>
  </sheetData>
  <mergeCells count="22">
    <mergeCell ref="B113:B117"/>
    <mergeCell ref="B120:B124"/>
    <mergeCell ref="B125:B129"/>
    <mergeCell ref="B88:B92"/>
    <mergeCell ref="B93:B97"/>
    <mergeCell ref="B98:B102"/>
    <mergeCell ref="B103:B107"/>
    <mergeCell ref="B108:B112"/>
    <mergeCell ref="B72:B77"/>
    <mergeCell ref="B78:B83"/>
    <mergeCell ref="B38:B42"/>
    <mergeCell ref="B43:B48"/>
    <mergeCell ref="B49:B53"/>
    <mergeCell ref="B54:B59"/>
    <mergeCell ref="B60:B65"/>
    <mergeCell ref="B66:B71"/>
    <mergeCell ref="B32:B37"/>
    <mergeCell ref="B3:B7"/>
    <mergeCell ref="B8:B12"/>
    <mergeCell ref="B16:B20"/>
    <mergeCell ref="B21:B26"/>
    <mergeCell ref="B27:B31"/>
  </mergeCells>
  <phoneticPr fontId="1"/>
  <dataValidations count="1">
    <dataValidation type="list" allowBlank="1" showInputMessage="1" showErrorMessage="1" sqref="D62:AB62 D10:AB10 D80:AB80 D127:F127 D40:AB40 D18:AB18 D29:AB29 D45:AB45 D56:AB56 D34:AB34 D23:AB23 D68:AB68 D51:AB51 D74:AB74 D122:F122 D90:F90 D95:F95 D100:F100 D105:F105 D110:F110 D115:F115 D5:AB5" xr:uid="{311AC8CB-2F7D-4A52-AD98-C190B2975A5A}">
      <formula1>"縦(上→下),横(左→右)"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525</v>
      </c>
      <c r="C3" s="55" t="s">
        <v>681</v>
      </c>
      <c r="D3" s="55" t="s">
        <v>682</v>
      </c>
      <c r="E3" s="56" t="s">
        <v>28</v>
      </c>
      <c r="F3" s="57" t="s">
        <v>0</v>
      </c>
      <c r="G3" s="54" t="s">
        <v>1</v>
      </c>
      <c r="H3" s="54" t="s">
        <v>253</v>
      </c>
      <c r="I3" s="54" t="s">
        <v>254</v>
      </c>
      <c r="J3" s="58" t="s">
        <v>683</v>
      </c>
      <c r="K3" s="54" t="s">
        <v>644</v>
      </c>
      <c r="L3" s="59" t="s">
        <v>2</v>
      </c>
      <c r="M3" s="60" t="s">
        <v>252</v>
      </c>
      <c r="N3" s="56" t="s">
        <v>255</v>
      </c>
      <c r="O3" s="61" t="s">
        <v>639</v>
      </c>
      <c r="P3" s="54" t="s">
        <v>150</v>
      </c>
      <c r="Q3" s="54" t="s">
        <v>151</v>
      </c>
      <c r="R3" s="54" t="s">
        <v>637</v>
      </c>
      <c r="S3" s="54" t="s">
        <v>638</v>
      </c>
      <c r="T3" s="54" t="s">
        <v>640</v>
      </c>
      <c r="U3" s="54" t="s">
        <v>641</v>
      </c>
      <c r="V3" s="54" t="s">
        <v>642</v>
      </c>
      <c r="W3" s="54" t="s">
        <v>643</v>
      </c>
      <c r="X3" s="158"/>
    </row>
    <row r="4" spans="2:24" ht="13.8" x14ac:dyDescent="0.2">
      <c r="B4" s="8" t="str">
        <f>IF(C4="","",C4)</f>
        <v>00</v>
      </c>
      <c r="C4" s="10" t="s">
        <v>102</v>
      </c>
      <c r="D4" s="13"/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/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1131</v>
      </c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v>0</v>
      </c>
      <c r="L5" s="7">
        <v>0</v>
      </c>
      <c r="M5" s="11">
        <f t="shared" ref="M5:M68" si="5">IFERROR(IF((G5+P5+Q5)/(F5+P5+Q5+S5)=1,"1.00",(G5+P5+Q5)/(F5+P5+Q5+S5)),0)</f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1161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v>0</v>
      </c>
      <c r="L6" s="7">
        <v>0</v>
      </c>
      <c r="M6" s="11">
        <f t="shared" si="5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/>
      <c r="E7" s="11" t="str">
        <f t="shared" si="3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v>0</v>
      </c>
      <c r="L7" s="7">
        <v>0</v>
      </c>
      <c r="M7" s="11">
        <f t="shared" si="5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/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v>0</v>
      </c>
      <c r="L8" s="7">
        <v>0</v>
      </c>
      <c r="M8" s="11">
        <f t="shared" si="5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 t="s">
        <v>665</v>
      </c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5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208</v>
      </c>
    </row>
    <row r="10" spans="2:24" ht="13.8" x14ac:dyDescent="0.2">
      <c r="B10" s="8">
        <f t="shared" si="4"/>
        <v>5</v>
      </c>
      <c r="C10" s="10">
        <v>5</v>
      </c>
      <c r="D10" s="13" t="s">
        <v>663</v>
      </c>
      <c r="E10" s="11" t="str">
        <f t="shared" ref="E10" si="7">IFERROR(IF(G10/F10=1,"1.00",G10/F10),"---")</f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v>0</v>
      </c>
      <c r="L10" s="7">
        <v>0</v>
      </c>
      <c r="M10" s="11">
        <f t="shared" si="5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206</v>
      </c>
    </row>
    <row r="11" spans="2:24" ht="13.8" x14ac:dyDescent="0.2">
      <c r="B11" s="8">
        <f t="shared" si="4"/>
        <v>6</v>
      </c>
      <c r="C11" s="10">
        <v>6</v>
      </c>
      <c r="D11" s="13"/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v>0</v>
      </c>
      <c r="L11" s="7">
        <v>0</v>
      </c>
      <c r="M11" s="11">
        <f t="shared" si="5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4"/>
        <v>7</v>
      </c>
      <c r="C12" s="10">
        <v>7</v>
      </c>
      <c r="D12" s="13" t="s">
        <v>645</v>
      </c>
      <c r="E12" s="11" t="str">
        <f t="shared" si="3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v>0</v>
      </c>
      <c r="L12" s="7">
        <v>0</v>
      </c>
      <c r="M12" s="11">
        <f t="shared" si="5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199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v>0</v>
      </c>
      <c r="L13" s="7">
        <v>0</v>
      </c>
      <c r="M13" s="11">
        <f t="shared" si="5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/>
    </row>
    <row r="14" spans="2:24" ht="13.8" x14ac:dyDescent="0.2">
      <c r="B14" s="8">
        <f t="shared" si="4"/>
        <v>9</v>
      </c>
      <c r="C14" s="10">
        <v>9</v>
      </c>
      <c r="D14" s="13" t="s">
        <v>1132</v>
      </c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v>0</v>
      </c>
      <c r="L14" s="7">
        <v>0</v>
      </c>
      <c r="M14" s="11">
        <f t="shared" si="5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594</v>
      </c>
    </row>
    <row r="15" spans="2:24" ht="13.8" x14ac:dyDescent="0.2">
      <c r="B15" s="8">
        <f t="shared" si="4"/>
        <v>10</v>
      </c>
      <c r="C15" s="10">
        <v>10</v>
      </c>
      <c r="D15" s="13" t="s">
        <v>1133</v>
      </c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v>0</v>
      </c>
      <c r="L15" s="7">
        <v>0</v>
      </c>
      <c r="M15" s="11">
        <f t="shared" si="5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 t="s">
        <v>1162</v>
      </c>
    </row>
    <row r="16" spans="2:24" ht="13.8" x14ac:dyDescent="0.2">
      <c r="B16" s="8">
        <f t="shared" si="4"/>
        <v>11</v>
      </c>
      <c r="C16" s="10">
        <v>11</v>
      </c>
      <c r="D16" s="13" t="s">
        <v>1134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0</v>
      </c>
      <c r="M16" s="11">
        <f t="shared" si="5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1163</v>
      </c>
    </row>
    <row r="17" spans="2:24" ht="13.8" x14ac:dyDescent="0.2">
      <c r="B17" s="8">
        <f t="shared" si="4"/>
        <v>12</v>
      </c>
      <c r="C17" s="10">
        <v>12</v>
      </c>
      <c r="D17" s="13"/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v>0</v>
      </c>
      <c r="L17" s="7">
        <v>0</v>
      </c>
      <c r="M17" s="11">
        <f t="shared" si="5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/>
    </row>
    <row r="18" spans="2:24" ht="13.8" x14ac:dyDescent="0.2">
      <c r="B18" s="8">
        <f t="shared" si="4"/>
        <v>13</v>
      </c>
      <c r="C18" s="10">
        <v>13</v>
      </c>
      <c r="D18" s="13" t="s">
        <v>648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5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214</v>
      </c>
    </row>
    <row r="19" spans="2:24" ht="13.8" x14ac:dyDescent="0.2">
      <c r="B19" s="8">
        <f t="shared" si="4"/>
        <v>14</v>
      </c>
      <c r="C19" s="10">
        <v>14</v>
      </c>
      <c r="D19" s="13" t="s">
        <v>649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v>0</v>
      </c>
      <c r="L19" s="7">
        <v>0</v>
      </c>
      <c r="M19" s="11">
        <f t="shared" si="5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175</v>
      </c>
    </row>
    <row r="20" spans="2:24" ht="13.8" x14ac:dyDescent="0.2">
      <c r="B20" s="8">
        <f t="shared" si="4"/>
        <v>15</v>
      </c>
      <c r="C20" s="10">
        <v>15</v>
      </c>
      <c r="D20" s="13"/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v>0</v>
      </c>
      <c r="L20" s="7">
        <v>0</v>
      </c>
      <c r="M20" s="11">
        <f t="shared" si="5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4"/>
        <v>16</v>
      </c>
      <c r="C21" s="10">
        <v>16</v>
      </c>
      <c r="D21" s="13" t="s">
        <v>1135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5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488</v>
      </c>
    </row>
    <row r="22" spans="2:24" ht="13.8" x14ac:dyDescent="0.2">
      <c r="B22" s="8">
        <f t="shared" si="4"/>
        <v>17</v>
      </c>
      <c r="C22" s="10">
        <v>17</v>
      </c>
      <c r="D22" s="13" t="s">
        <v>650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v>0</v>
      </c>
      <c r="L22" s="7">
        <v>0</v>
      </c>
      <c r="M22" s="11">
        <f t="shared" si="5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671</v>
      </c>
    </row>
    <row r="23" spans="2:24" ht="13.8" x14ac:dyDescent="0.2">
      <c r="B23" s="8">
        <f t="shared" si="4"/>
        <v>18</v>
      </c>
      <c r="C23" s="10">
        <v>18</v>
      </c>
      <c r="D23" s="13" t="s">
        <v>1136</v>
      </c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5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215</v>
      </c>
    </row>
    <row r="24" spans="2:24" ht="13.8" x14ac:dyDescent="0.2">
      <c r="B24" s="8">
        <f t="shared" si="4"/>
        <v>19</v>
      </c>
      <c r="C24" s="10">
        <v>19</v>
      </c>
      <c r="D24" s="13" t="s">
        <v>655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v>0</v>
      </c>
      <c r="L24" s="7">
        <v>0</v>
      </c>
      <c r="M24" s="11">
        <f t="shared" si="5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217</v>
      </c>
    </row>
    <row r="25" spans="2:24" ht="13.8" x14ac:dyDescent="0.2">
      <c r="B25" s="8">
        <f t="shared" si="4"/>
        <v>20</v>
      </c>
      <c r="C25" s="10">
        <v>20</v>
      </c>
      <c r="D25" s="13" t="s">
        <v>651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5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216</v>
      </c>
    </row>
    <row r="26" spans="2:24" ht="13.8" x14ac:dyDescent="0.2">
      <c r="B26" s="8">
        <f t="shared" si="4"/>
        <v>21</v>
      </c>
      <c r="C26" s="10">
        <v>21</v>
      </c>
      <c r="D26" s="13" t="s">
        <v>652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v>0</v>
      </c>
      <c r="L26" s="7">
        <v>0</v>
      </c>
      <c r="M26" s="11">
        <f t="shared" si="5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672</v>
      </c>
    </row>
    <row r="27" spans="2:24" ht="13.8" x14ac:dyDescent="0.2">
      <c r="B27" s="8">
        <f t="shared" si="4"/>
        <v>22</v>
      </c>
      <c r="C27" s="10">
        <v>22</v>
      </c>
      <c r="D27" s="13" t="s">
        <v>653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5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673</v>
      </c>
    </row>
    <row r="28" spans="2:24" ht="13.8" x14ac:dyDescent="0.2">
      <c r="B28" s="8">
        <f t="shared" si="4"/>
        <v>23</v>
      </c>
      <c r="C28" s="10">
        <v>23</v>
      </c>
      <c r="D28" s="13"/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v>0</v>
      </c>
      <c r="L28" s="7">
        <v>0</v>
      </c>
      <c r="M28" s="11">
        <f t="shared" si="5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4"/>
        <v>24</v>
      </c>
      <c r="C29" s="10">
        <v>24</v>
      </c>
      <c r="D29" s="13" t="s">
        <v>480</v>
      </c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v>0</v>
      </c>
      <c r="L29" s="7">
        <v>0</v>
      </c>
      <c r="M29" s="11">
        <f t="shared" si="5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489</v>
      </c>
    </row>
    <row r="30" spans="2:24" ht="13.8" x14ac:dyDescent="0.2">
      <c r="B30" s="8">
        <f t="shared" si="4"/>
        <v>25</v>
      </c>
      <c r="C30" s="10">
        <v>25</v>
      </c>
      <c r="D30" s="13"/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v>0</v>
      </c>
      <c r="L30" s="7">
        <v>0</v>
      </c>
      <c r="M30" s="11">
        <f t="shared" si="5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/>
    </row>
    <row r="31" spans="2:24" ht="13.8" x14ac:dyDescent="0.2">
      <c r="B31" s="8">
        <f t="shared" si="4"/>
        <v>26</v>
      </c>
      <c r="C31" s="10">
        <v>26</v>
      </c>
      <c r="D31" s="13" t="s">
        <v>587</v>
      </c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v>0</v>
      </c>
      <c r="L31" s="7">
        <v>0</v>
      </c>
      <c r="M31" s="11">
        <f t="shared" si="5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595</v>
      </c>
    </row>
    <row r="32" spans="2:24" ht="13.8" x14ac:dyDescent="0.2">
      <c r="B32" s="8">
        <f t="shared" si="4"/>
        <v>27</v>
      </c>
      <c r="C32" s="10">
        <v>27</v>
      </c>
      <c r="D32" s="13" t="s">
        <v>654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v>0</v>
      </c>
      <c r="L32" s="7">
        <v>0</v>
      </c>
      <c r="M32" s="11">
        <f t="shared" si="5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201</v>
      </c>
    </row>
    <row r="33" spans="2:24" ht="13.8" x14ac:dyDescent="0.2">
      <c r="B33" s="8">
        <f t="shared" si="4"/>
        <v>28</v>
      </c>
      <c r="C33" s="10">
        <v>28</v>
      </c>
      <c r="D33" s="13" t="s">
        <v>1137</v>
      </c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v>0</v>
      </c>
      <c r="L33" s="7">
        <v>0</v>
      </c>
      <c r="M33" s="11">
        <f t="shared" si="5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1164</v>
      </c>
    </row>
    <row r="34" spans="2:24" ht="13.8" x14ac:dyDescent="0.2">
      <c r="B34" s="8">
        <f t="shared" si="4"/>
        <v>29</v>
      </c>
      <c r="C34" s="10">
        <v>29</v>
      </c>
      <c r="D34" s="13" t="s">
        <v>481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5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218</v>
      </c>
    </row>
    <row r="35" spans="2:24" ht="13.8" x14ac:dyDescent="0.2">
      <c r="B35" s="8">
        <f t="shared" si="4"/>
        <v>30</v>
      </c>
      <c r="C35" s="10">
        <v>30</v>
      </c>
      <c r="D35" s="13" t="s">
        <v>656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v>0</v>
      </c>
      <c r="L35" s="7">
        <v>0</v>
      </c>
      <c r="M35" s="11">
        <f t="shared" si="5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674</v>
      </c>
    </row>
    <row r="36" spans="2:24" ht="13.8" x14ac:dyDescent="0.2">
      <c r="B36" s="8">
        <f t="shared" si="4"/>
        <v>31</v>
      </c>
      <c r="C36" s="10">
        <v>31</v>
      </c>
      <c r="D36" s="13" t="s">
        <v>657</v>
      </c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v>0</v>
      </c>
      <c r="L36" s="7">
        <v>0</v>
      </c>
      <c r="M36" s="11">
        <f t="shared" si="5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202</v>
      </c>
    </row>
    <row r="37" spans="2:24" ht="13.8" x14ac:dyDescent="0.2">
      <c r="B37" s="8">
        <f t="shared" si="4"/>
        <v>32</v>
      </c>
      <c r="C37" s="10">
        <v>32</v>
      </c>
      <c r="D37" s="13" t="s">
        <v>741</v>
      </c>
      <c r="E37" s="11" t="str">
        <f t="shared" si="3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v>0</v>
      </c>
      <c r="L37" s="7">
        <v>0</v>
      </c>
      <c r="M37" s="11">
        <f t="shared" si="5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209</v>
      </c>
    </row>
    <row r="38" spans="2:24" ht="13.8" x14ac:dyDescent="0.2">
      <c r="B38" s="8">
        <f t="shared" si="4"/>
        <v>33</v>
      </c>
      <c r="C38" s="10">
        <v>33</v>
      </c>
      <c r="D38" s="13" t="s">
        <v>1185</v>
      </c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v>0</v>
      </c>
      <c r="L38" s="7">
        <v>0</v>
      </c>
      <c r="M38" s="11">
        <f t="shared" si="5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203</v>
      </c>
    </row>
    <row r="39" spans="2:24" ht="13.8" x14ac:dyDescent="0.2">
      <c r="B39" s="8">
        <f t="shared" si="4"/>
        <v>34</v>
      </c>
      <c r="C39" s="10">
        <v>34</v>
      </c>
      <c r="D39" s="13" t="s">
        <v>659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v>0</v>
      </c>
      <c r="L39" s="7">
        <v>0</v>
      </c>
      <c r="M39" s="11">
        <f t="shared" si="5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219</v>
      </c>
    </row>
    <row r="40" spans="2:24" ht="13.8" x14ac:dyDescent="0.2">
      <c r="B40" s="8">
        <f t="shared" si="4"/>
        <v>35</v>
      </c>
      <c r="C40" s="10">
        <v>35</v>
      </c>
      <c r="D40" s="13" t="s">
        <v>1138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5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1165</v>
      </c>
    </row>
    <row r="41" spans="2:24" ht="13.8" x14ac:dyDescent="0.2">
      <c r="B41" s="8">
        <f t="shared" si="4"/>
        <v>36</v>
      </c>
      <c r="C41" s="10">
        <v>36</v>
      </c>
      <c r="D41" s="13" t="s">
        <v>660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v>0</v>
      </c>
      <c r="L41" s="7">
        <v>0</v>
      </c>
      <c r="M41" s="11">
        <f t="shared" si="5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220</v>
      </c>
    </row>
    <row r="42" spans="2:24" ht="13.8" x14ac:dyDescent="0.2">
      <c r="B42" s="8">
        <f t="shared" si="4"/>
        <v>37</v>
      </c>
      <c r="C42" s="10">
        <v>37</v>
      </c>
      <c r="D42" s="13" t="s">
        <v>661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5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204</v>
      </c>
    </row>
    <row r="43" spans="2:24" ht="13.8" x14ac:dyDescent="0.2">
      <c r="B43" s="8">
        <f t="shared" si="4"/>
        <v>38</v>
      </c>
      <c r="C43" s="10">
        <v>38</v>
      </c>
      <c r="D43" s="13" t="s">
        <v>1139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v>0</v>
      </c>
      <c r="L43" s="7">
        <v>0</v>
      </c>
      <c r="M43" s="11">
        <f t="shared" si="5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1166</v>
      </c>
    </row>
    <row r="44" spans="2:24" ht="13.8" x14ac:dyDescent="0.2">
      <c r="B44" s="8">
        <f t="shared" si="4"/>
        <v>39</v>
      </c>
      <c r="C44" s="10">
        <v>39</v>
      </c>
      <c r="D44" s="13" t="s">
        <v>588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v>0</v>
      </c>
      <c r="L44" s="7">
        <v>0</v>
      </c>
      <c r="M44" s="11">
        <f t="shared" si="5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596</v>
      </c>
    </row>
    <row r="45" spans="2:24" ht="13.8" x14ac:dyDescent="0.2">
      <c r="B45" s="8">
        <f t="shared" si="4"/>
        <v>40</v>
      </c>
      <c r="C45" s="10">
        <v>40</v>
      </c>
      <c r="D45" s="13"/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5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/>
    </row>
    <row r="46" spans="2:24" ht="13.8" x14ac:dyDescent="0.2">
      <c r="B46" s="8">
        <f t="shared" si="4"/>
        <v>41</v>
      </c>
      <c r="C46" s="10">
        <v>41</v>
      </c>
      <c r="D46" s="13" t="s">
        <v>790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v>0</v>
      </c>
      <c r="L46" s="7">
        <v>0</v>
      </c>
      <c r="M46" s="11">
        <f t="shared" si="5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242</v>
      </c>
    </row>
    <row r="47" spans="2:24" ht="13.8" x14ac:dyDescent="0.2">
      <c r="B47" s="8">
        <f t="shared" si="4"/>
        <v>42</v>
      </c>
      <c r="C47" s="10">
        <v>42</v>
      </c>
      <c r="D47" s="13" t="s">
        <v>1140</v>
      </c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5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1167</v>
      </c>
    </row>
    <row r="48" spans="2:24" ht="13.8" x14ac:dyDescent="0.2">
      <c r="B48" s="8">
        <f t="shared" si="4"/>
        <v>43</v>
      </c>
      <c r="C48" s="10">
        <v>43</v>
      </c>
      <c r="D48" s="13" t="s">
        <v>662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5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176</v>
      </c>
    </row>
    <row r="49" spans="2:24" ht="13.8" x14ac:dyDescent="0.2">
      <c r="B49" s="8">
        <f t="shared" si="4"/>
        <v>44</v>
      </c>
      <c r="C49" s="10">
        <v>44</v>
      </c>
      <c r="D49" s="13" t="s">
        <v>1141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5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205</v>
      </c>
    </row>
    <row r="50" spans="2:24" ht="13.8" x14ac:dyDescent="0.2">
      <c r="B50" s="8">
        <f t="shared" si="4"/>
        <v>45</v>
      </c>
      <c r="C50" s="10">
        <v>45</v>
      </c>
      <c r="D50" s="13" t="s">
        <v>1142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5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490</v>
      </c>
    </row>
    <row r="51" spans="2:24" ht="13.8" x14ac:dyDescent="0.2">
      <c r="B51" s="8">
        <f t="shared" si="4"/>
        <v>46</v>
      </c>
      <c r="C51" s="10">
        <v>46</v>
      </c>
      <c r="D51" s="13" t="s">
        <v>484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v>0</v>
      </c>
      <c r="L51" s="7">
        <v>0</v>
      </c>
      <c r="M51" s="11">
        <f t="shared" si="5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1168</v>
      </c>
    </row>
    <row r="52" spans="2:24" ht="13.8" x14ac:dyDescent="0.2">
      <c r="B52" s="8">
        <f t="shared" si="4"/>
        <v>47</v>
      </c>
      <c r="C52" s="10">
        <v>47</v>
      </c>
      <c r="D52" s="13" t="s">
        <v>1143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v>0</v>
      </c>
      <c r="L52" s="7">
        <v>0</v>
      </c>
      <c r="M52" s="11">
        <f t="shared" si="5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598</v>
      </c>
    </row>
    <row r="53" spans="2:24" ht="13.8" x14ac:dyDescent="0.2">
      <c r="B53" s="8">
        <f t="shared" si="4"/>
        <v>48</v>
      </c>
      <c r="C53" s="10">
        <v>48</v>
      </c>
      <c r="D53" s="13" t="s">
        <v>482</v>
      </c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v>0</v>
      </c>
      <c r="L53" s="7">
        <v>0</v>
      </c>
      <c r="M53" s="11">
        <f t="shared" si="5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177</v>
      </c>
    </row>
    <row r="54" spans="2:24" ht="13.8" x14ac:dyDescent="0.2">
      <c r="B54" s="8">
        <f t="shared" si="4"/>
        <v>49</v>
      </c>
      <c r="C54" s="10">
        <v>49</v>
      </c>
      <c r="D54" s="13" t="s">
        <v>1144</v>
      </c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v>0</v>
      </c>
      <c r="L54" s="7">
        <v>0</v>
      </c>
      <c r="M54" s="11">
        <f t="shared" si="5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1169</v>
      </c>
    </row>
    <row r="55" spans="2:24" ht="13.8" x14ac:dyDescent="0.2">
      <c r="B55" s="8">
        <f t="shared" si="4"/>
        <v>50</v>
      </c>
      <c r="C55" s="10">
        <v>50</v>
      </c>
      <c r="D55" s="13"/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v>0</v>
      </c>
      <c r="L55" s="7">
        <v>0</v>
      </c>
      <c r="M55" s="11">
        <f t="shared" si="5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/>
    </row>
    <row r="56" spans="2:24" ht="13.8" x14ac:dyDescent="0.2">
      <c r="B56" s="8">
        <f t="shared" si="4"/>
        <v>51</v>
      </c>
      <c r="C56" s="10">
        <v>51</v>
      </c>
      <c r="D56" s="13" t="s">
        <v>2612</v>
      </c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v>0</v>
      </c>
      <c r="L56" s="7">
        <v>0</v>
      </c>
      <c r="M56" s="11">
        <f t="shared" si="5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1170</v>
      </c>
    </row>
    <row r="57" spans="2:24" ht="13.8" x14ac:dyDescent="0.2">
      <c r="B57" s="8">
        <f t="shared" si="4"/>
        <v>52</v>
      </c>
      <c r="C57" s="10">
        <v>52</v>
      </c>
      <c r="D57" s="13" t="s">
        <v>483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v>0</v>
      </c>
      <c r="L57" s="7">
        <v>0</v>
      </c>
      <c r="M57" s="11">
        <f t="shared" si="5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491</v>
      </c>
    </row>
    <row r="58" spans="2:24" ht="13.8" x14ac:dyDescent="0.2">
      <c r="B58" s="8">
        <f t="shared" si="4"/>
        <v>53</v>
      </c>
      <c r="C58" s="10">
        <v>53</v>
      </c>
      <c r="D58" s="13" t="s">
        <v>1145</v>
      </c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5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1171</v>
      </c>
    </row>
    <row r="59" spans="2:24" ht="13.8" x14ac:dyDescent="0.2">
      <c r="B59" s="8">
        <f t="shared" si="4"/>
        <v>54</v>
      </c>
      <c r="C59" s="10">
        <v>54</v>
      </c>
      <c r="D59" s="13" t="s">
        <v>1146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v>0</v>
      </c>
      <c r="L59" s="7">
        <v>0</v>
      </c>
      <c r="M59" s="11">
        <f t="shared" si="5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1172</v>
      </c>
    </row>
    <row r="60" spans="2:24" ht="13.8" x14ac:dyDescent="0.2">
      <c r="B60" s="8">
        <f t="shared" si="4"/>
        <v>55</v>
      </c>
      <c r="C60" s="10">
        <v>55</v>
      </c>
      <c r="D60" s="13"/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v>0</v>
      </c>
      <c r="L60" s="7">
        <v>0</v>
      </c>
      <c r="M60" s="11">
        <f t="shared" si="5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/>
    </row>
    <row r="61" spans="2:24" ht="13.8" x14ac:dyDescent="0.2">
      <c r="B61" s="8">
        <f t="shared" si="4"/>
        <v>56</v>
      </c>
      <c r="C61" s="10">
        <v>56</v>
      </c>
      <c r="D61" s="13" t="s">
        <v>589</v>
      </c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v>0</v>
      </c>
      <c r="L61" s="7">
        <v>0</v>
      </c>
      <c r="M61" s="11">
        <f t="shared" si="5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599</v>
      </c>
    </row>
    <row r="62" spans="2:24" ht="13.8" x14ac:dyDescent="0.2">
      <c r="B62" s="8">
        <f t="shared" si="4"/>
        <v>57</v>
      </c>
      <c r="C62" s="10">
        <v>57</v>
      </c>
      <c r="D62" s="13" t="s">
        <v>487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5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211</v>
      </c>
    </row>
    <row r="63" spans="2:24" ht="13.8" x14ac:dyDescent="0.2">
      <c r="B63" s="8">
        <f t="shared" si="4"/>
        <v>58</v>
      </c>
      <c r="C63" s="10">
        <v>58</v>
      </c>
      <c r="D63" s="13" t="s">
        <v>1147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5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675</v>
      </c>
    </row>
    <row r="64" spans="2:24" ht="13.8" x14ac:dyDescent="0.2">
      <c r="B64" s="8">
        <f t="shared" si="4"/>
        <v>59</v>
      </c>
      <c r="C64" s="10">
        <v>59</v>
      </c>
      <c r="D64" s="13" t="s">
        <v>664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v>0</v>
      </c>
      <c r="L64" s="7">
        <v>0</v>
      </c>
      <c r="M64" s="11">
        <f t="shared" si="5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207</v>
      </c>
    </row>
    <row r="65" spans="2:24" ht="13.8" x14ac:dyDescent="0.2">
      <c r="B65" s="8">
        <f t="shared" si="4"/>
        <v>60</v>
      </c>
      <c r="C65" s="10">
        <v>60</v>
      </c>
      <c r="D65" s="13" t="s">
        <v>1148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v>0</v>
      </c>
      <c r="L65" s="7">
        <v>0</v>
      </c>
      <c r="M65" s="11">
        <f t="shared" si="5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492</v>
      </c>
    </row>
    <row r="66" spans="2:24" ht="13.8" x14ac:dyDescent="0.2">
      <c r="B66" s="8">
        <f t="shared" si="4"/>
        <v>61</v>
      </c>
      <c r="C66" s="10">
        <v>61</v>
      </c>
      <c r="D66" s="13" t="s">
        <v>1149</v>
      </c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v>0</v>
      </c>
      <c r="L66" s="7">
        <v>0</v>
      </c>
      <c r="M66" s="11">
        <f t="shared" si="5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1173</v>
      </c>
    </row>
    <row r="67" spans="2:24" ht="13.8" x14ac:dyDescent="0.2">
      <c r="B67" s="8">
        <f t="shared" si="4"/>
        <v>62</v>
      </c>
      <c r="C67" s="10">
        <v>62</v>
      </c>
      <c r="D67" s="13" t="s">
        <v>1150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v>0</v>
      </c>
      <c r="L67" s="7">
        <v>0</v>
      </c>
      <c r="M67" s="11">
        <f t="shared" si="5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600</v>
      </c>
    </row>
    <row r="68" spans="2:24" ht="13.8" x14ac:dyDescent="0.2">
      <c r="B68" s="8">
        <f t="shared" si="4"/>
        <v>63</v>
      </c>
      <c r="C68" s="10">
        <v>63</v>
      </c>
      <c r="D68" s="13" t="s">
        <v>590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v>0</v>
      </c>
      <c r="L68" s="7">
        <v>0</v>
      </c>
      <c r="M68" s="11">
        <f t="shared" si="5"/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676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484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493</v>
      </c>
    </row>
    <row r="70" spans="2:24" ht="13.8" x14ac:dyDescent="0.2">
      <c r="B70" s="8">
        <f t="shared" si="8"/>
        <v>65</v>
      </c>
      <c r="C70" s="10">
        <v>65</v>
      </c>
      <c r="D70" s="13" t="s">
        <v>786</v>
      </c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222</v>
      </c>
    </row>
    <row r="71" spans="2:24" ht="13.8" x14ac:dyDescent="0.2">
      <c r="B71" s="8">
        <f t="shared" si="8"/>
        <v>66</v>
      </c>
      <c r="C71" s="10">
        <v>66</v>
      </c>
      <c r="D71" s="13" t="s">
        <v>666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223</v>
      </c>
    </row>
    <row r="72" spans="2:24" ht="13.8" x14ac:dyDescent="0.2">
      <c r="B72" s="8">
        <f t="shared" si="8"/>
        <v>67</v>
      </c>
      <c r="C72" s="10">
        <v>67</v>
      </c>
      <c r="D72" s="13" t="s">
        <v>1151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1174</v>
      </c>
    </row>
    <row r="73" spans="2:24" ht="13.8" x14ac:dyDescent="0.2">
      <c r="B73" s="8">
        <f t="shared" si="8"/>
        <v>68</v>
      </c>
      <c r="C73" s="10">
        <v>68</v>
      </c>
      <c r="D73" s="13" t="s">
        <v>667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677</v>
      </c>
    </row>
    <row r="74" spans="2:24" ht="13.8" x14ac:dyDescent="0.2">
      <c r="B74" s="8">
        <f t="shared" si="8"/>
        <v>69</v>
      </c>
      <c r="C74" s="10">
        <v>69</v>
      </c>
      <c r="D74" s="13" t="s">
        <v>1152</v>
      </c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1175</v>
      </c>
    </row>
    <row r="75" spans="2:24" ht="13.8" x14ac:dyDescent="0.2">
      <c r="B75" s="8">
        <f t="shared" si="8"/>
        <v>70</v>
      </c>
      <c r="C75" s="10">
        <v>70</v>
      </c>
      <c r="D75" s="13" t="s">
        <v>787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 t="s">
        <v>1176</v>
      </c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8"/>
        <v>91</v>
      </c>
      <c r="C96" s="10">
        <v>91</v>
      </c>
      <c r="D96" s="13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8"/>
        <v>92</v>
      </c>
      <c r="C97" s="10">
        <v>92</v>
      </c>
      <c r="D97" s="13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8"/>
        <v>93</v>
      </c>
      <c r="C98" s="10">
        <v>93</v>
      </c>
      <c r="D98" s="13" t="s">
        <v>471</v>
      </c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494</v>
      </c>
    </row>
    <row r="99" spans="2:24" ht="13.8" x14ac:dyDescent="0.2">
      <c r="B99" s="8">
        <f t="shared" si="8"/>
        <v>94</v>
      </c>
      <c r="C99" s="10">
        <v>94</v>
      </c>
      <c r="D99" s="13" t="s">
        <v>1153</v>
      </c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679</v>
      </c>
    </row>
    <row r="100" spans="2:24" ht="13.8" x14ac:dyDescent="0.2">
      <c r="B100" s="8">
        <f t="shared" si="8"/>
        <v>95</v>
      </c>
      <c r="C100" s="10">
        <v>95</v>
      </c>
      <c r="D100" s="13" t="s">
        <v>1154</v>
      </c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 t="s">
        <v>1177</v>
      </c>
    </row>
    <row r="101" spans="2:24" ht="13.8" x14ac:dyDescent="0.2">
      <c r="B101" s="8">
        <f t="shared" si="8"/>
        <v>96</v>
      </c>
      <c r="C101" s="10">
        <v>96</v>
      </c>
      <c r="D101" s="13" t="s">
        <v>668</v>
      </c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200</v>
      </c>
    </row>
    <row r="102" spans="2:24" ht="13.8" x14ac:dyDescent="0.2">
      <c r="B102" s="8">
        <f t="shared" si="8"/>
        <v>97</v>
      </c>
      <c r="C102" s="10">
        <v>97</v>
      </c>
      <c r="D102" s="13" t="s">
        <v>591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601</v>
      </c>
    </row>
    <row r="103" spans="2:24" ht="13.8" x14ac:dyDescent="0.2">
      <c r="B103" s="8">
        <f t="shared" si="8"/>
        <v>98</v>
      </c>
      <c r="C103" s="10">
        <v>98</v>
      </c>
      <c r="D103" s="13" t="s">
        <v>593</v>
      </c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 t="s">
        <v>603</v>
      </c>
    </row>
    <row r="104" spans="2:24" ht="13.8" x14ac:dyDescent="0.2">
      <c r="B104" s="8">
        <f t="shared" si="8"/>
        <v>99</v>
      </c>
      <c r="C104" s="10">
        <v>99</v>
      </c>
      <c r="D104" s="13" t="s">
        <v>486</v>
      </c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210</v>
      </c>
    </row>
    <row r="105" spans="2:24" ht="13.8" x14ac:dyDescent="0.2">
      <c r="B105" s="8">
        <f t="shared" si="8"/>
        <v>120</v>
      </c>
      <c r="C105" s="10">
        <v>120</v>
      </c>
      <c r="D105" s="23" t="s">
        <v>669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678</v>
      </c>
    </row>
    <row r="106" spans="2:24" ht="13.8" x14ac:dyDescent="0.2">
      <c r="B106" s="8">
        <f t="shared" si="8"/>
        <v>121</v>
      </c>
      <c r="C106" s="10">
        <v>121</v>
      </c>
      <c r="D106" s="13" t="s">
        <v>592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602</v>
      </c>
    </row>
    <row r="107" spans="2:24" ht="13.8" x14ac:dyDescent="0.2">
      <c r="B107" s="8">
        <f t="shared" si="8"/>
        <v>122</v>
      </c>
      <c r="C107" s="10">
        <v>122</v>
      </c>
      <c r="D107" s="13" t="s">
        <v>1155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1178</v>
      </c>
    </row>
    <row r="108" spans="2:24" ht="13.8" x14ac:dyDescent="0.2">
      <c r="B108" s="8">
        <f t="shared" si="8"/>
        <v>123</v>
      </c>
      <c r="C108" s="10">
        <v>123</v>
      </c>
      <c r="D108" s="13" t="s">
        <v>1156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1179</v>
      </c>
    </row>
    <row r="109" spans="2:24" ht="13.8" x14ac:dyDescent="0.2">
      <c r="B109" s="8">
        <f t="shared" si="8"/>
        <v>124</v>
      </c>
      <c r="C109" s="10">
        <v>124</v>
      </c>
      <c r="D109" s="13" t="s">
        <v>1157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1180</v>
      </c>
    </row>
    <row r="110" spans="2:24" ht="13.8" x14ac:dyDescent="0.2">
      <c r="B110" s="8">
        <f t="shared" si="8"/>
        <v>125</v>
      </c>
      <c r="C110" s="10">
        <v>125</v>
      </c>
      <c r="D110" s="13" t="s">
        <v>1158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1181</v>
      </c>
    </row>
    <row r="111" spans="2:24" ht="13.8" x14ac:dyDescent="0.2">
      <c r="B111" s="8">
        <f t="shared" si="8"/>
        <v>126</v>
      </c>
      <c r="C111" s="10">
        <v>126</v>
      </c>
      <c r="D111" s="13" t="s">
        <v>1159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1182</v>
      </c>
    </row>
    <row r="112" spans="2:24" ht="13.8" x14ac:dyDescent="0.2">
      <c r="B112" s="8">
        <f t="shared" si="8"/>
        <v>127</v>
      </c>
      <c r="C112" s="10">
        <v>127</v>
      </c>
      <c r="D112" s="13" t="s">
        <v>1160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597</v>
      </c>
    </row>
    <row r="113" spans="2:24" ht="13.8" x14ac:dyDescent="0.2">
      <c r="B113" s="8">
        <f t="shared" si="8"/>
        <v>128</v>
      </c>
      <c r="C113" s="10">
        <v>128</v>
      </c>
      <c r="D113" s="13" t="s">
        <v>670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680</v>
      </c>
    </row>
    <row r="114" spans="2:24" ht="13.8" x14ac:dyDescent="0.2">
      <c r="B114" s="8">
        <f t="shared" si="8"/>
        <v>129</v>
      </c>
      <c r="C114" s="10">
        <v>129</v>
      </c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>
        <f t="shared" si="8"/>
        <v>130</v>
      </c>
      <c r="C115" s="10">
        <v>130</v>
      </c>
      <c r="D115" s="9" t="s">
        <v>1113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1183</v>
      </c>
    </row>
    <row r="116" spans="2:24" ht="13.8" x14ac:dyDescent="0.2">
      <c r="B116" s="8">
        <f t="shared" si="8"/>
        <v>131</v>
      </c>
      <c r="C116" s="10">
        <v>131</v>
      </c>
      <c r="D116" s="9" t="s">
        <v>1114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1184</v>
      </c>
    </row>
    <row r="117" spans="2:24" ht="13.8" x14ac:dyDescent="0.2">
      <c r="B117" s="8" t="str">
        <f t="shared" si="8"/>
        <v/>
      </c>
      <c r="C117" s="10"/>
      <c r="D117" s="8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8"/>
        <v/>
      </c>
      <c r="C118" s="10"/>
      <c r="D118" s="8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8"/>
        <v/>
      </c>
      <c r="C119" s="10"/>
      <c r="D119" s="8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8"/>
        <v/>
      </c>
      <c r="C120" s="10"/>
      <c r="D120" s="8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8"/>
        <v/>
      </c>
      <c r="C121" s="10"/>
      <c r="D121" s="8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8"/>
        <v/>
      </c>
      <c r="C122" s="10"/>
      <c r="D122" s="8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8"/>
        <v/>
      </c>
      <c r="C123" s="10"/>
      <c r="D123" s="8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8"/>
        <v/>
      </c>
      <c r="C124" s="10"/>
      <c r="D124" s="8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8"/>
        <v/>
      </c>
      <c r="C125" s="10"/>
      <c r="D125" s="8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8"/>
        <v/>
      </c>
      <c r="C126" s="10"/>
      <c r="D126" s="8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8"/>
        <v/>
      </c>
      <c r="C127" s="10"/>
      <c r="D127" s="8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8"/>
        <v/>
      </c>
      <c r="C128" s="10"/>
      <c r="D128" s="8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8"/>
        <v/>
      </c>
      <c r="C129" s="10"/>
      <c r="D129" s="8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8"/>
        <v/>
      </c>
      <c r="C130" s="10"/>
      <c r="D130" s="8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8"/>
        <v/>
      </c>
      <c r="C131" s="10"/>
      <c r="D131" s="8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v>0</v>
      </c>
      <c r="L131" s="7">
        <v>0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8"/>
        <v/>
      </c>
      <c r="C132" s="10"/>
      <c r="D132" s="8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v>0</v>
      </c>
      <c r="L132" s="7">
        <v>0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2">IF(C133="","",C133)</f>
        <v/>
      </c>
      <c r="C133" s="10"/>
      <c r="D133" s="8"/>
      <c r="E133" s="11" t="str">
        <f t="shared" ref="E133:E134" si="13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34" si="14">IFERROR(IF((G133+P133+Q133)/(F133+P133+Q133+S133)=1,"1.00",(G133+P133+Q133)/(F133+P133+Q133+S133)),0)</f>
        <v>0</v>
      </c>
      <c r="N133" s="11">
        <f t="shared" ref="N133:N134" si="15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2"/>
        <v/>
      </c>
      <c r="C134" s="10"/>
      <c r="D134" s="8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4"/>
        <v>0</v>
      </c>
      <c r="N134" s="11">
        <f t="shared" si="15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X2:X3"/>
    <mergeCell ref="B2:D2"/>
  </mergeCells>
  <phoneticPr fontId="1"/>
  <pageMargins left="0.7" right="0.7" top="0.75" bottom="0.75" header="0.3" footer="0.3"/>
  <ignoredErrors>
    <ignoredError sqref="L2 F2:G2 J2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78C3-0D30-45AE-8AB7-6D73231D05C8}">
  <sheetPr codeName="Sheet11"/>
  <dimension ref="B1:X150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525</v>
      </c>
      <c r="C3" s="55" t="s">
        <v>681</v>
      </c>
      <c r="D3" s="55" t="s">
        <v>682</v>
      </c>
      <c r="E3" s="56" t="s">
        <v>28</v>
      </c>
      <c r="F3" s="57" t="s">
        <v>0</v>
      </c>
      <c r="G3" s="54" t="s">
        <v>1</v>
      </c>
      <c r="H3" s="54" t="s">
        <v>253</v>
      </c>
      <c r="I3" s="54" t="s">
        <v>254</v>
      </c>
      <c r="J3" s="58" t="s">
        <v>683</v>
      </c>
      <c r="K3" s="54" t="s">
        <v>644</v>
      </c>
      <c r="L3" s="59" t="s">
        <v>2</v>
      </c>
      <c r="M3" s="60" t="s">
        <v>252</v>
      </c>
      <c r="N3" s="56" t="s">
        <v>255</v>
      </c>
      <c r="O3" s="61" t="s">
        <v>639</v>
      </c>
      <c r="P3" s="54" t="s">
        <v>150</v>
      </c>
      <c r="Q3" s="54" t="s">
        <v>151</v>
      </c>
      <c r="R3" s="54" t="s">
        <v>637</v>
      </c>
      <c r="S3" s="54" t="s">
        <v>638</v>
      </c>
      <c r="T3" s="54" t="s">
        <v>640</v>
      </c>
      <c r="U3" s="54" t="s">
        <v>641</v>
      </c>
      <c r="V3" s="54" t="s">
        <v>642</v>
      </c>
      <c r="W3" s="54" t="s">
        <v>643</v>
      </c>
      <c r="X3" s="158"/>
    </row>
    <row r="4" spans="2:24" ht="13.8" x14ac:dyDescent="0.2">
      <c r="B4" s="8" t="str">
        <f>IF(C4="","",C4)</f>
        <v>00</v>
      </c>
      <c r="C4" s="10" t="s">
        <v>102</v>
      </c>
      <c r="D4" s="13" t="s">
        <v>1187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684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20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685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1188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686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 t="s">
        <v>1189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1090</v>
      </c>
    </row>
    <row r="11" spans="2:24" ht="13.8" x14ac:dyDescent="0.2">
      <c r="B11" s="8">
        <f t="shared" si="4"/>
        <v>6</v>
      </c>
      <c r="C11" s="10">
        <v>6</v>
      </c>
      <c r="D11" s="13" t="s">
        <v>1190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 t="s">
        <v>687</v>
      </c>
    </row>
    <row r="12" spans="2:24" ht="13.8" x14ac:dyDescent="0.2">
      <c r="B12" s="8">
        <f t="shared" si="4"/>
        <v>7</v>
      </c>
      <c r="C12" s="10">
        <v>7</v>
      </c>
      <c r="D12" s="13"/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/>
    </row>
    <row r="13" spans="2:24" ht="13.8" x14ac:dyDescent="0.2">
      <c r="B13" s="8">
        <f t="shared" si="4"/>
        <v>8</v>
      </c>
      <c r="C13" s="10">
        <v>8</v>
      </c>
      <c r="D13" s="13" t="s">
        <v>3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688</v>
      </c>
    </row>
    <row r="14" spans="2:24" ht="13.8" x14ac:dyDescent="0.2">
      <c r="B14" s="8">
        <f t="shared" si="4"/>
        <v>9</v>
      </c>
      <c r="C14" s="10">
        <v>9</v>
      </c>
      <c r="D14" s="13" t="s">
        <v>1142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228</v>
      </c>
    </row>
    <row r="15" spans="2:24" ht="13.8" x14ac:dyDescent="0.2">
      <c r="B15" s="8">
        <f t="shared" si="4"/>
        <v>10</v>
      </c>
      <c r="C15" s="10">
        <v>10</v>
      </c>
      <c r="D15" s="13" t="s">
        <v>1191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 t="s">
        <v>363</v>
      </c>
    </row>
    <row r="16" spans="2:24" ht="13.8" x14ac:dyDescent="0.2">
      <c r="B16" s="8">
        <f t="shared" si="4"/>
        <v>11</v>
      </c>
      <c r="C16" s="10">
        <v>11</v>
      </c>
      <c r="D16" s="13" t="s">
        <v>1192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265</v>
      </c>
    </row>
    <row r="17" spans="2:24" ht="13.8" x14ac:dyDescent="0.2">
      <c r="B17" s="8">
        <f t="shared" si="4"/>
        <v>12</v>
      </c>
      <c r="C17" s="10">
        <v>12</v>
      </c>
      <c r="D17" s="13" t="s">
        <v>690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691</v>
      </c>
    </row>
    <row r="18" spans="2:24" ht="13.8" x14ac:dyDescent="0.2">
      <c r="B18" s="8">
        <f t="shared" si="4"/>
        <v>13</v>
      </c>
      <c r="C18" s="10">
        <v>13</v>
      </c>
      <c r="D18" s="13" t="s">
        <v>1193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1269</v>
      </c>
    </row>
    <row r="19" spans="2:24" ht="13.8" x14ac:dyDescent="0.2">
      <c r="B19" s="8">
        <f t="shared" si="4"/>
        <v>14</v>
      </c>
      <c r="C19" s="10">
        <v>14</v>
      </c>
      <c r="D19" s="13"/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/>
    </row>
    <row r="20" spans="2:24" ht="13.8" x14ac:dyDescent="0.2">
      <c r="B20" s="8">
        <f t="shared" si="4"/>
        <v>15</v>
      </c>
      <c r="C20" s="10">
        <v>15</v>
      </c>
      <c r="D20" s="13" t="s">
        <v>692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692</v>
      </c>
    </row>
    <row r="21" spans="2:24" ht="13.8" x14ac:dyDescent="0.2">
      <c r="B21" s="8">
        <f t="shared" si="4"/>
        <v>16</v>
      </c>
      <c r="C21" s="10">
        <v>16</v>
      </c>
      <c r="D21" s="13"/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4"/>
        <v>17</v>
      </c>
      <c r="C22" s="10">
        <v>17</v>
      </c>
      <c r="D22" s="13" t="s">
        <v>1194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1270</v>
      </c>
    </row>
    <row r="23" spans="2:24" ht="13.8" x14ac:dyDescent="0.2">
      <c r="B23" s="8">
        <f t="shared" si="4"/>
        <v>18</v>
      </c>
      <c r="C23" s="10">
        <v>18</v>
      </c>
      <c r="D23" s="13"/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/>
    </row>
    <row r="24" spans="2:24" ht="13.8" x14ac:dyDescent="0.2">
      <c r="B24" s="8">
        <f t="shared" si="4"/>
        <v>19</v>
      </c>
      <c r="C24" s="10">
        <v>19</v>
      </c>
      <c r="D24" s="13" t="s">
        <v>1064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1094</v>
      </c>
    </row>
    <row r="25" spans="2:24" ht="13.8" x14ac:dyDescent="0.2">
      <c r="B25" s="8">
        <f t="shared" si="4"/>
        <v>20</v>
      </c>
      <c r="C25" s="10">
        <v>20</v>
      </c>
      <c r="D25" s="13" t="s">
        <v>103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694</v>
      </c>
    </row>
    <row r="26" spans="2:24" ht="13.8" x14ac:dyDescent="0.2">
      <c r="B26" s="8">
        <f t="shared" si="4"/>
        <v>21</v>
      </c>
      <c r="C26" s="10">
        <v>21</v>
      </c>
      <c r="D26" s="13" t="s">
        <v>1195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1271</v>
      </c>
    </row>
    <row r="27" spans="2:24" ht="13.8" x14ac:dyDescent="0.2">
      <c r="B27" s="8">
        <f t="shared" si="4"/>
        <v>22</v>
      </c>
      <c r="C27" s="10">
        <v>22</v>
      </c>
      <c r="D27" s="13" t="s">
        <v>1157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695</v>
      </c>
    </row>
    <row r="28" spans="2:24" ht="13.8" x14ac:dyDescent="0.2">
      <c r="B28" s="8">
        <f t="shared" si="4"/>
        <v>23</v>
      </c>
      <c r="C28" s="10">
        <v>23</v>
      </c>
      <c r="D28" s="13" t="s">
        <v>1196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1272</v>
      </c>
    </row>
    <row r="29" spans="2:24" ht="13.8" x14ac:dyDescent="0.2">
      <c r="B29" s="8">
        <f t="shared" si="4"/>
        <v>24</v>
      </c>
      <c r="C29" s="10">
        <v>24</v>
      </c>
      <c r="D29" s="13" t="s">
        <v>1197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696</v>
      </c>
    </row>
    <row r="30" spans="2:24" ht="13.8" x14ac:dyDescent="0.2">
      <c r="B30" s="8">
        <f t="shared" si="4"/>
        <v>25</v>
      </c>
      <c r="C30" s="10">
        <v>25</v>
      </c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/>
    </row>
    <row r="31" spans="2:24" ht="13.8" x14ac:dyDescent="0.2">
      <c r="B31" s="8">
        <f t="shared" si="4"/>
        <v>26</v>
      </c>
      <c r="C31" s="10">
        <v>26</v>
      </c>
      <c r="D31" s="13" t="s">
        <v>1198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2613</v>
      </c>
    </row>
    <row r="32" spans="2:24" ht="13.8" x14ac:dyDescent="0.2">
      <c r="B32" s="8">
        <f t="shared" si="4"/>
        <v>27</v>
      </c>
      <c r="C32" s="10">
        <v>27</v>
      </c>
      <c r="D32" s="13" t="s">
        <v>699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700</v>
      </c>
    </row>
    <row r="33" spans="2:24" ht="13.8" x14ac:dyDescent="0.2">
      <c r="B33" s="8">
        <f t="shared" si="4"/>
        <v>28</v>
      </c>
      <c r="C33" s="10">
        <v>28</v>
      </c>
      <c r="D33" s="13" t="s">
        <v>1199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2614</v>
      </c>
    </row>
    <row r="34" spans="2:24" ht="13.8" x14ac:dyDescent="0.2">
      <c r="B34" s="8">
        <f t="shared" si="4"/>
        <v>29</v>
      </c>
      <c r="C34" s="10">
        <v>29</v>
      </c>
      <c r="D34" s="13" t="s">
        <v>1200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2615</v>
      </c>
    </row>
    <row r="35" spans="2:24" ht="13.8" x14ac:dyDescent="0.2">
      <c r="B35" s="8">
        <f t="shared" si="4"/>
        <v>30</v>
      </c>
      <c r="C35" s="10">
        <v>30</v>
      </c>
      <c r="D35" s="13" t="s">
        <v>1201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1273</v>
      </c>
    </row>
    <row r="36" spans="2:24" ht="13.8" x14ac:dyDescent="0.2">
      <c r="B36" s="8">
        <f t="shared" si="4"/>
        <v>31</v>
      </c>
      <c r="C36" s="10">
        <v>31</v>
      </c>
      <c r="D36" s="13" t="s">
        <v>701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702</v>
      </c>
    </row>
    <row r="37" spans="2:24" ht="13.8" x14ac:dyDescent="0.2">
      <c r="B37" s="8">
        <f t="shared" si="4"/>
        <v>32</v>
      </c>
      <c r="C37" s="10">
        <v>32</v>
      </c>
      <c r="D37" s="13" t="s">
        <v>1202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1274</v>
      </c>
    </row>
    <row r="38" spans="2:24" ht="13.8" x14ac:dyDescent="0.2">
      <c r="B38" s="8">
        <f t="shared" si="4"/>
        <v>33</v>
      </c>
      <c r="C38" s="10">
        <v>33</v>
      </c>
      <c r="D38" s="13" t="s">
        <v>1203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1275</v>
      </c>
    </row>
    <row r="39" spans="2:24" ht="13.8" x14ac:dyDescent="0.2">
      <c r="B39" s="8">
        <f t="shared" si="4"/>
        <v>34</v>
      </c>
      <c r="C39" s="10">
        <v>34</v>
      </c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/>
    </row>
    <row r="40" spans="2:24" ht="13.8" x14ac:dyDescent="0.2">
      <c r="B40" s="8">
        <f t="shared" si="4"/>
        <v>35</v>
      </c>
      <c r="C40" s="10">
        <v>35</v>
      </c>
      <c r="D40" s="13" t="s">
        <v>1204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1091</v>
      </c>
    </row>
    <row r="41" spans="2:24" ht="13.8" x14ac:dyDescent="0.2">
      <c r="B41" s="8">
        <f t="shared" si="4"/>
        <v>36</v>
      </c>
      <c r="C41" s="10">
        <v>36</v>
      </c>
      <c r="D41" s="13" t="s">
        <v>1205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1276</v>
      </c>
    </row>
    <row r="42" spans="2:24" ht="13.8" x14ac:dyDescent="0.2">
      <c r="B42" s="8">
        <f t="shared" si="4"/>
        <v>37</v>
      </c>
      <c r="C42" s="10">
        <v>37</v>
      </c>
      <c r="D42" s="13" t="s">
        <v>78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247</v>
      </c>
    </row>
    <row r="43" spans="2:24" ht="13.8" x14ac:dyDescent="0.2">
      <c r="B43" s="8">
        <f t="shared" si="4"/>
        <v>38</v>
      </c>
      <c r="C43" s="10">
        <v>38</v>
      </c>
      <c r="D43" s="13" t="s">
        <v>1206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703</v>
      </c>
    </row>
    <row r="44" spans="2:24" ht="13.8" x14ac:dyDescent="0.2">
      <c r="B44" s="8">
        <f t="shared" si="4"/>
        <v>39</v>
      </c>
      <c r="C44" s="10">
        <v>39</v>
      </c>
      <c r="D44" s="13" t="s">
        <v>1207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1277</v>
      </c>
    </row>
    <row r="45" spans="2:24" ht="13.8" x14ac:dyDescent="0.2">
      <c r="B45" s="8">
        <f t="shared" si="4"/>
        <v>40</v>
      </c>
      <c r="C45" s="10">
        <v>40</v>
      </c>
      <c r="D45" s="13" t="s">
        <v>1208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704</v>
      </c>
    </row>
    <row r="46" spans="2:24" ht="13.8" x14ac:dyDescent="0.2">
      <c r="B46" s="8">
        <f t="shared" si="4"/>
        <v>41</v>
      </c>
      <c r="C46" s="10">
        <v>41</v>
      </c>
      <c r="D46" s="13" t="s">
        <v>4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705</v>
      </c>
    </row>
    <row r="47" spans="2:24" ht="13.8" x14ac:dyDescent="0.2">
      <c r="B47" s="8">
        <f t="shared" si="4"/>
        <v>42</v>
      </c>
      <c r="C47" s="10">
        <v>42</v>
      </c>
      <c r="D47" s="13" t="s">
        <v>1209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2616</v>
      </c>
    </row>
    <row r="48" spans="2:24" ht="13.8" x14ac:dyDescent="0.2">
      <c r="B48" s="8">
        <f t="shared" si="4"/>
        <v>43</v>
      </c>
      <c r="C48" s="10">
        <v>43</v>
      </c>
      <c r="D48" s="13" t="s">
        <v>1210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263</v>
      </c>
    </row>
    <row r="49" spans="2:24" ht="13.8" x14ac:dyDescent="0.2">
      <c r="B49" s="8">
        <f t="shared" si="4"/>
        <v>44</v>
      </c>
      <c r="C49" s="10">
        <v>44</v>
      </c>
      <c r="D49" s="13" t="s">
        <v>1133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1093</v>
      </c>
    </row>
    <row r="50" spans="2:24" ht="13.8" x14ac:dyDescent="0.2">
      <c r="B50" s="8">
        <f t="shared" si="4"/>
        <v>45</v>
      </c>
      <c r="C50" s="10">
        <v>45</v>
      </c>
      <c r="D50" s="13" t="s">
        <v>619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241</v>
      </c>
    </row>
    <row r="51" spans="2:24" ht="13.8" x14ac:dyDescent="0.2">
      <c r="B51" s="8">
        <f t="shared" si="4"/>
        <v>46</v>
      </c>
      <c r="C51" s="10">
        <v>46</v>
      </c>
      <c r="D51" s="13" t="s">
        <v>706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1278</v>
      </c>
    </row>
    <row r="52" spans="2:24" ht="13.8" x14ac:dyDescent="0.2">
      <c r="B52" s="8">
        <f t="shared" si="4"/>
        <v>47</v>
      </c>
      <c r="C52" s="10">
        <v>47</v>
      </c>
      <c r="D52" s="13" t="s">
        <v>707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1279</v>
      </c>
    </row>
    <row r="53" spans="2:24" ht="13.8" x14ac:dyDescent="0.2">
      <c r="B53" s="8">
        <f t="shared" si="4"/>
        <v>48</v>
      </c>
      <c r="C53" s="10">
        <v>48</v>
      </c>
      <c r="D53" s="13" t="s">
        <v>733</v>
      </c>
      <c r="E53" s="11" t="s">
        <v>2620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v>0</v>
      </c>
      <c r="L53" s="7">
        <v>0</v>
      </c>
      <c r="M53" s="11">
        <v>0</v>
      </c>
      <c r="N53" s="11"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">
        <v>2212</v>
      </c>
      <c r="X53" s="13" t="s">
        <v>2618</v>
      </c>
    </row>
    <row r="54" spans="2:24" ht="13.8" x14ac:dyDescent="0.2">
      <c r="B54" s="8">
        <f t="shared" si="4"/>
        <v>49</v>
      </c>
      <c r="C54" s="10">
        <v>49</v>
      </c>
      <c r="D54" s="13" t="s">
        <v>1211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1280</v>
      </c>
    </row>
    <row r="55" spans="2:24" ht="13.8" x14ac:dyDescent="0.2">
      <c r="B55" s="8">
        <f t="shared" si="4"/>
        <v>50</v>
      </c>
      <c r="C55" s="10">
        <v>50</v>
      </c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/>
    </row>
    <row r="56" spans="2:24" ht="13.8" x14ac:dyDescent="0.2">
      <c r="B56" s="8">
        <f t="shared" si="4"/>
        <v>51</v>
      </c>
      <c r="C56" s="10">
        <v>51</v>
      </c>
      <c r="D56" s="13" t="s">
        <v>710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711</v>
      </c>
    </row>
    <row r="57" spans="2:24" ht="13.8" x14ac:dyDescent="0.2">
      <c r="B57" s="8">
        <f t="shared" si="4"/>
        <v>52</v>
      </c>
      <c r="C57" s="10">
        <v>52</v>
      </c>
      <c r="D57" s="13" t="s">
        <v>58</v>
      </c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58</v>
      </c>
    </row>
    <row r="58" spans="2:24" ht="13.8" x14ac:dyDescent="0.2">
      <c r="B58" s="8">
        <f t="shared" si="4"/>
        <v>53</v>
      </c>
      <c r="C58" s="10">
        <v>53</v>
      </c>
      <c r="D58" s="13" t="s">
        <v>21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712</v>
      </c>
    </row>
    <row r="59" spans="2:24" ht="13.8" x14ac:dyDescent="0.2">
      <c r="B59" s="8">
        <f t="shared" si="4"/>
        <v>54</v>
      </c>
      <c r="C59" s="10">
        <v>54</v>
      </c>
      <c r="D59" s="13" t="s">
        <v>615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629</v>
      </c>
    </row>
    <row r="60" spans="2:24" ht="13.8" x14ac:dyDescent="0.2">
      <c r="B60" s="8">
        <f t="shared" si="4"/>
        <v>55</v>
      </c>
      <c r="C60" s="10">
        <v>55</v>
      </c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/>
    </row>
    <row r="61" spans="2:24" ht="13.8" x14ac:dyDescent="0.2">
      <c r="B61" s="8">
        <f t="shared" si="4"/>
        <v>56</v>
      </c>
      <c r="C61" s="10">
        <v>56</v>
      </c>
      <c r="D61" s="13" t="s">
        <v>1212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249</v>
      </c>
    </row>
    <row r="62" spans="2:24" ht="13.8" x14ac:dyDescent="0.2">
      <c r="B62" s="8">
        <f t="shared" si="4"/>
        <v>57</v>
      </c>
      <c r="C62" s="10">
        <v>57</v>
      </c>
      <c r="D62" s="13" t="s">
        <v>1213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1281</v>
      </c>
    </row>
    <row r="63" spans="2:24" ht="13.8" x14ac:dyDescent="0.2">
      <c r="B63" s="8">
        <f t="shared" si="4"/>
        <v>58</v>
      </c>
      <c r="C63" s="10">
        <v>58</v>
      </c>
      <c r="D63" s="13" t="s">
        <v>718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719</v>
      </c>
    </row>
    <row r="64" spans="2:24" ht="13.8" x14ac:dyDescent="0.2">
      <c r="B64" s="8">
        <f t="shared" si="4"/>
        <v>59</v>
      </c>
      <c r="C64" s="10">
        <v>59</v>
      </c>
      <c r="D64" s="13" t="s">
        <v>1214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346</v>
      </c>
    </row>
    <row r="65" spans="2:24" ht="13.8" x14ac:dyDescent="0.2">
      <c r="B65" s="8">
        <f t="shared" si="4"/>
        <v>60</v>
      </c>
      <c r="C65" s="10">
        <v>60</v>
      </c>
      <c r="D65" s="13" t="s">
        <v>1215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1282</v>
      </c>
    </row>
    <row r="66" spans="2:24" ht="13.8" x14ac:dyDescent="0.2">
      <c r="B66" s="8">
        <f t="shared" si="4"/>
        <v>61</v>
      </c>
      <c r="C66" s="10">
        <v>61</v>
      </c>
      <c r="D66" s="13" t="s">
        <v>19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720</v>
      </c>
    </row>
    <row r="67" spans="2:24" ht="13.8" x14ac:dyDescent="0.2">
      <c r="B67" s="8">
        <f t="shared" si="4"/>
        <v>62</v>
      </c>
      <c r="C67" s="10">
        <v>62</v>
      </c>
      <c r="D67" s="13" t="s">
        <v>18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721</v>
      </c>
    </row>
    <row r="68" spans="2:24" ht="13.8" x14ac:dyDescent="0.2">
      <c r="B68" s="8">
        <f t="shared" si="4"/>
        <v>63</v>
      </c>
      <c r="C68" s="10">
        <v>63</v>
      </c>
      <c r="D68" s="13" t="s">
        <v>40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377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1216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1283</v>
      </c>
    </row>
    <row r="70" spans="2:24" ht="13.8" x14ac:dyDescent="0.2">
      <c r="B70" s="8">
        <f t="shared" si="8"/>
        <v>65</v>
      </c>
      <c r="C70" s="10">
        <v>65</v>
      </c>
      <c r="D70" s="13" t="s">
        <v>1217</v>
      </c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818</v>
      </c>
    </row>
    <row r="71" spans="2:24" ht="13.8" x14ac:dyDescent="0.2">
      <c r="B71" s="8">
        <f t="shared" si="8"/>
        <v>66</v>
      </c>
      <c r="C71" s="10">
        <v>66</v>
      </c>
      <c r="D71" s="13" t="s">
        <v>104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689</v>
      </c>
    </row>
    <row r="72" spans="2:24" ht="13.8" x14ac:dyDescent="0.2">
      <c r="B72" s="8">
        <f t="shared" si="8"/>
        <v>67</v>
      </c>
      <c r="C72" s="10">
        <v>67</v>
      </c>
      <c r="D72" s="13" t="s">
        <v>722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723</v>
      </c>
    </row>
    <row r="73" spans="2:24" ht="13.8" x14ac:dyDescent="0.2">
      <c r="B73" s="8">
        <f t="shared" si="8"/>
        <v>68</v>
      </c>
      <c r="C73" s="10">
        <v>68</v>
      </c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/>
    </row>
    <row r="74" spans="2:24" ht="13.8" x14ac:dyDescent="0.2">
      <c r="B74" s="8">
        <f t="shared" si="8"/>
        <v>69</v>
      </c>
      <c r="C74" s="10">
        <v>69</v>
      </c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8"/>
        <v>70</v>
      </c>
      <c r="C75" s="10">
        <v>70</v>
      </c>
      <c r="D75" s="13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8"/>
        <v>91</v>
      </c>
      <c r="C96" s="10">
        <v>91</v>
      </c>
      <c r="D96" s="13" t="s">
        <v>726</v>
      </c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 t="s">
        <v>727</v>
      </c>
    </row>
    <row r="97" spans="2:24" ht="13.8" x14ac:dyDescent="0.2">
      <c r="B97" s="8">
        <f t="shared" si="8"/>
        <v>92</v>
      </c>
      <c r="C97" s="10">
        <v>92</v>
      </c>
      <c r="D97" s="13" t="s">
        <v>604</v>
      </c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1284</v>
      </c>
    </row>
    <row r="98" spans="2:24" ht="13.8" x14ac:dyDescent="0.2">
      <c r="B98" s="8">
        <f t="shared" si="8"/>
        <v>93</v>
      </c>
      <c r="C98" s="10">
        <v>93</v>
      </c>
      <c r="D98" s="13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/>
    </row>
    <row r="99" spans="2:24" ht="13.8" x14ac:dyDescent="0.2">
      <c r="B99" s="8">
        <f t="shared" si="8"/>
        <v>94</v>
      </c>
      <c r="C99" s="10">
        <v>94</v>
      </c>
      <c r="D99" s="13" t="s">
        <v>497</v>
      </c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729</v>
      </c>
    </row>
    <row r="100" spans="2:24" ht="13.8" x14ac:dyDescent="0.2">
      <c r="B100" s="8">
        <f t="shared" si="8"/>
        <v>95</v>
      </c>
      <c r="C100" s="10">
        <v>95</v>
      </c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8"/>
        <v>96</v>
      </c>
      <c r="C101" s="10">
        <v>96</v>
      </c>
      <c r="D101" s="13" t="s">
        <v>1218</v>
      </c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1107</v>
      </c>
    </row>
    <row r="102" spans="2:24" ht="13.8" x14ac:dyDescent="0.2">
      <c r="B102" s="8">
        <f t="shared" si="8"/>
        <v>97</v>
      </c>
      <c r="C102" s="10">
        <v>97</v>
      </c>
      <c r="D102" s="13" t="s">
        <v>1219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731</v>
      </c>
    </row>
    <row r="103" spans="2:24" ht="13.8" x14ac:dyDescent="0.2">
      <c r="B103" s="8">
        <f t="shared" si="8"/>
        <v>98</v>
      </c>
      <c r="C103" s="10">
        <v>98</v>
      </c>
      <c r="D103" s="13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8"/>
        <v>99</v>
      </c>
      <c r="C104" s="10">
        <v>99</v>
      </c>
      <c r="D104" s="13" t="s">
        <v>1220</v>
      </c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1285</v>
      </c>
    </row>
    <row r="105" spans="2:24" ht="13.8" x14ac:dyDescent="0.2">
      <c r="B105" s="8" t="str">
        <f t="shared" si="8"/>
        <v>001</v>
      </c>
      <c r="C105" s="10" t="s">
        <v>752</v>
      </c>
      <c r="D105" s="23" t="s">
        <v>1221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1105</v>
      </c>
    </row>
    <row r="106" spans="2:24" ht="13.8" x14ac:dyDescent="0.2">
      <c r="B106" s="8" t="str">
        <f t="shared" si="8"/>
        <v>002</v>
      </c>
      <c r="C106" s="10" t="s">
        <v>753</v>
      </c>
      <c r="D106" s="13" t="s">
        <v>1222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1092</v>
      </c>
    </row>
    <row r="107" spans="2:24" ht="13.8" x14ac:dyDescent="0.2">
      <c r="B107" s="8" t="str">
        <f t="shared" si="8"/>
        <v>003</v>
      </c>
      <c r="C107" s="10" t="s">
        <v>754</v>
      </c>
      <c r="D107" s="13" t="s">
        <v>1223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1286</v>
      </c>
    </row>
    <row r="108" spans="2:24" ht="13.8" x14ac:dyDescent="0.2">
      <c r="B108" s="8" t="str">
        <f t="shared" si="8"/>
        <v>004</v>
      </c>
      <c r="C108" s="10" t="s">
        <v>755</v>
      </c>
      <c r="D108" s="13" t="s">
        <v>1224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1099</v>
      </c>
    </row>
    <row r="109" spans="2:24" ht="13.8" x14ac:dyDescent="0.2">
      <c r="B109" s="8" t="str">
        <f t="shared" si="8"/>
        <v>005</v>
      </c>
      <c r="C109" s="10" t="s">
        <v>756</v>
      </c>
      <c r="D109" s="13" t="s">
        <v>1225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1100</v>
      </c>
    </row>
    <row r="110" spans="2:24" ht="13.8" x14ac:dyDescent="0.2">
      <c r="B110" s="8" t="str">
        <f t="shared" si="8"/>
        <v>006</v>
      </c>
      <c r="C110" s="10" t="s">
        <v>1096</v>
      </c>
      <c r="D110" s="13" t="s">
        <v>1226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1287</v>
      </c>
    </row>
    <row r="111" spans="2:24" ht="13.8" x14ac:dyDescent="0.2">
      <c r="B111" s="8" t="str">
        <f t="shared" si="8"/>
        <v>007</v>
      </c>
      <c r="C111" s="10" t="s">
        <v>778</v>
      </c>
      <c r="D111" s="13" t="s">
        <v>1227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1101</v>
      </c>
    </row>
    <row r="112" spans="2:24" ht="13.8" x14ac:dyDescent="0.2">
      <c r="B112" s="8" t="str">
        <f t="shared" si="8"/>
        <v>008</v>
      </c>
      <c r="C112" s="10" t="s">
        <v>757</v>
      </c>
      <c r="D112" s="13" t="s">
        <v>1228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1102</v>
      </c>
    </row>
    <row r="113" spans="2:24" ht="13.8" x14ac:dyDescent="0.2">
      <c r="B113" s="8" t="str">
        <f t="shared" si="8"/>
        <v>011</v>
      </c>
      <c r="C113" s="10" t="s">
        <v>758</v>
      </c>
      <c r="D113" s="13" t="s">
        <v>1229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1288</v>
      </c>
    </row>
    <row r="114" spans="2:24" ht="13.8" x14ac:dyDescent="0.2">
      <c r="B114" s="8" t="str">
        <f t="shared" si="8"/>
        <v>012</v>
      </c>
      <c r="C114" s="10" t="s">
        <v>759</v>
      </c>
      <c r="D114" s="26" t="s">
        <v>1230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1289</v>
      </c>
    </row>
    <row r="115" spans="2:24" ht="13.8" x14ac:dyDescent="0.2">
      <c r="B115" s="8" t="str">
        <f t="shared" si="8"/>
        <v>013</v>
      </c>
      <c r="C115" s="10" t="s">
        <v>760</v>
      </c>
      <c r="D115" s="26" t="s">
        <v>496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2617</v>
      </c>
    </row>
    <row r="116" spans="2:24" ht="13.8" x14ac:dyDescent="0.2">
      <c r="B116" s="8" t="str">
        <f t="shared" si="8"/>
        <v>014</v>
      </c>
      <c r="C116" s="10" t="s">
        <v>761</v>
      </c>
      <c r="D116" s="26" t="s">
        <v>1231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1290</v>
      </c>
    </row>
    <row r="117" spans="2:24" ht="13.8" x14ac:dyDescent="0.2">
      <c r="B117" s="8" t="str">
        <f t="shared" si="8"/>
        <v>015</v>
      </c>
      <c r="C117" s="10" t="s">
        <v>791</v>
      </c>
      <c r="D117" s="8" t="s">
        <v>1232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1291</v>
      </c>
    </row>
    <row r="118" spans="2:24" ht="13.8" x14ac:dyDescent="0.2">
      <c r="B118" s="8" t="str">
        <f t="shared" si="8"/>
        <v>016</v>
      </c>
      <c r="C118" s="10" t="s">
        <v>779</v>
      </c>
      <c r="D118" s="26" t="s">
        <v>1233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1292</v>
      </c>
    </row>
    <row r="119" spans="2:24" ht="13.8" x14ac:dyDescent="0.2">
      <c r="B119" s="8" t="str">
        <f t="shared" si="8"/>
        <v>018</v>
      </c>
      <c r="C119" s="10" t="s">
        <v>1234</v>
      </c>
      <c r="D119" s="26" t="s">
        <v>1235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1293</v>
      </c>
    </row>
    <row r="120" spans="2:24" ht="13.8" x14ac:dyDescent="0.2">
      <c r="B120" s="8" t="str">
        <f t="shared" si="8"/>
        <v>019</v>
      </c>
      <c r="C120" s="10" t="s">
        <v>792</v>
      </c>
      <c r="D120" s="26" t="s">
        <v>1236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1294</v>
      </c>
    </row>
    <row r="121" spans="2:24" ht="13.8" x14ac:dyDescent="0.2">
      <c r="B121" s="8" t="str">
        <f t="shared" si="8"/>
        <v>020</v>
      </c>
      <c r="C121" s="10" t="s">
        <v>762</v>
      </c>
      <c r="D121" s="26" t="s">
        <v>729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729</v>
      </c>
    </row>
    <row r="122" spans="2:24" ht="13.8" x14ac:dyDescent="0.2">
      <c r="B122" s="8" t="str">
        <f t="shared" si="8"/>
        <v>021</v>
      </c>
      <c r="C122" s="10" t="s">
        <v>763</v>
      </c>
      <c r="D122" s="26" t="s">
        <v>1237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1295</v>
      </c>
    </row>
    <row r="123" spans="2:24" ht="13.8" x14ac:dyDescent="0.2">
      <c r="B123" s="8" t="str">
        <f t="shared" si="8"/>
        <v>022</v>
      </c>
      <c r="C123" s="10" t="s">
        <v>764</v>
      </c>
      <c r="D123" s="26" t="s">
        <v>1238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1097</v>
      </c>
    </row>
    <row r="124" spans="2:24" ht="13.8" x14ac:dyDescent="0.2">
      <c r="B124" s="8" t="str">
        <f t="shared" si="8"/>
        <v>023</v>
      </c>
      <c r="C124" s="10" t="s">
        <v>793</v>
      </c>
      <c r="D124" s="26" t="s">
        <v>1148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1296</v>
      </c>
    </row>
    <row r="125" spans="2:24" ht="13.8" x14ac:dyDescent="0.2">
      <c r="B125" s="8" t="str">
        <f t="shared" si="8"/>
        <v>024</v>
      </c>
      <c r="C125" s="10" t="s">
        <v>794</v>
      </c>
      <c r="D125" s="26" t="s">
        <v>1239</v>
      </c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 t="s">
        <v>1297</v>
      </c>
    </row>
    <row r="126" spans="2:24" ht="13.8" x14ac:dyDescent="0.2">
      <c r="B126" s="8" t="str">
        <f t="shared" si="8"/>
        <v>025</v>
      </c>
      <c r="C126" s="10" t="s">
        <v>795</v>
      </c>
      <c r="D126" s="26" t="s">
        <v>1159</v>
      </c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 t="s">
        <v>1298</v>
      </c>
    </row>
    <row r="127" spans="2:24" ht="13.8" x14ac:dyDescent="0.2">
      <c r="B127" s="8" t="str">
        <f t="shared" si="8"/>
        <v>026</v>
      </c>
      <c r="C127" s="10" t="s">
        <v>796</v>
      </c>
      <c r="D127" s="26" t="s">
        <v>1240</v>
      </c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 t="s">
        <v>1299</v>
      </c>
    </row>
    <row r="128" spans="2:24" ht="13.8" x14ac:dyDescent="0.2">
      <c r="B128" s="8" t="str">
        <f t="shared" si="8"/>
        <v>027</v>
      </c>
      <c r="C128" s="10" t="s">
        <v>1103</v>
      </c>
      <c r="D128" s="26" t="s">
        <v>1241</v>
      </c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 t="s">
        <v>1104</v>
      </c>
    </row>
    <row r="129" spans="2:24" ht="13.8" x14ac:dyDescent="0.2">
      <c r="B129" s="8" t="str">
        <f t="shared" si="8"/>
        <v>028</v>
      </c>
      <c r="C129" s="10" t="s">
        <v>1242</v>
      </c>
      <c r="D129" s="26" t="s">
        <v>1243</v>
      </c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 t="s">
        <v>1300</v>
      </c>
    </row>
    <row r="130" spans="2:24" ht="13.8" x14ac:dyDescent="0.2">
      <c r="B130" s="8" t="str">
        <f t="shared" si="8"/>
        <v>029</v>
      </c>
      <c r="C130" s="10" t="s">
        <v>1244</v>
      </c>
      <c r="D130" s="26" t="s">
        <v>1146</v>
      </c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 t="s">
        <v>1301</v>
      </c>
    </row>
    <row r="131" spans="2:24" ht="13.8" x14ac:dyDescent="0.2">
      <c r="B131" s="8" t="str">
        <f t="shared" si="8"/>
        <v>030</v>
      </c>
      <c r="C131" s="10" t="s">
        <v>1245</v>
      </c>
      <c r="D131" s="26" t="s">
        <v>1246</v>
      </c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v>0</v>
      </c>
      <c r="L131" s="7">
        <v>0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 t="s">
        <v>1302</v>
      </c>
    </row>
    <row r="132" spans="2:24" ht="13.8" x14ac:dyDescent="0.2">
      <c r="B132" s="8" t="str">
        <f t="shared" si="8"/>
        <v>033</v>
      </c>
      <c r="C132" s="10" t="s">
        <v>1108</v>
      </c>
      <c r="D132" s="26" t="s">
        <v>1247</v>
      </c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v>0</v>
      </c>
      <c r="L132" s="7">
        <v>0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 t="s">
        <v>1109</v>
      </c>
    </row>
    <row r="133" spans="2:24" ht="13.8" x14ac:dyDescent="0.2">
      <c r="B133" s="8" t="str">
        <f t="shared" ref="B133:B150" si="12">IF(C133="","",C133)</f>
        <v>034</v>
      </c>
      <c r="C133" s="10" t="s">
        <v>997</v>
      </c>
      <c r="D133" s="26" t="s">
        <v>1248</v>
      </c>
      <c r="E133" s="11" t="str">
        <f t="shared" ref="E133:E150" si="13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50" si="14">IFERROR(IF((G133+P133+Q133)/(F133+P133+Q133+S133)=1,"1.00",(G133+P133+Q133)/(F133+P133+Q133+S133)),0)</f>
        <v>0</v>
      </c>
      <c r="N133" s="11">
        <f t="shared" ref="N133:N150" si="15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 t="s">
        <v>1303</v>
      </c>
    </row>
    <row r="134" spans="2:24" ht="13.8" x14ac:dyDescent="0.2">
      <c r="B134" s="8" t="str">
        <f t="shared" si="12"/>
        <v>035</v>
      </c>
      <c r="C134" s="10" t="s">
        <v>1249</v>
      </c>
      <c r="D134" s="26" t="s">
        <v>733</v>
      </c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4"/>
        <v>0</v>
      </c>
      <c r="N134" s="11">
        <f t="shared" si="15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 t="s">
        <v>2619</v>
      </c>
    </row>
    <row r="135" spans="2:24" ht="13.8" x14ac:dyDescent="0.2">
      <c r="B135" s="8" t="str">
        <f t="shared" si="12"/>
        <v>041</v>
      </c>
      <c r="C135" s="10" t="s">
        <v>998</v>
      </c>
      <c r="D135" s="26" t="s">
        <v>1250</v>
      </c>
      <c r="E135" s="11" t="str">
        <f t="shared" si="13"/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v>0</v>
      </c>
      <c r="L135" s="7">
        <v>0</v>
      </c>
      <c r="M135" s="11">
        <f t="shared" si="14"/>
        <v>0</v>
      </c>
      <c r="N135" s="11">
        <f t="shared" si="15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13" t="s">
        <v>1304</v>
      </c>
    </row>
    <row r="136" spans="2:24" ht="13.8" x14ac:dyDescent="0.2">
      <c r="B136" s="8" t="str">
        <f t="shared" si="12"/>
        <v>042</v>
      </c>
      <c r="C136" s="10" t="s">
        <v>999</v>
      </c>
      <c r="D136" s="8" t="s">
        <v>1251</v>
      </c>
      <c r="E136" s="11" t="str">
        <f t="shared" si="13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v>0</v>
      </c>
      <c r="L136" s="7">
        <v>0</v>
      </c>
      <c r="M136" s="11">
        <f t="shared" si="14"/>
        <v>0</v>
      </c>
      <c r="N136" s="11">
        <f t="shared" si="15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13" t="s">
        <v>1251</v>
      </c>
    </row>
    <row r="137" spans="2:24" ht="13.8" x14ac:dyDescent="0.2">
      <c r="B137" s="8" t="str">
        <f t="shared" si="12"/>
        <v>047</v>
      </c>
      <c r="C137" s="10" t="s">
        <v>1252</v>
      </c>
      <c r="D137" s="26" t="s">
        <v>1160</v>
      </c>
      <c r="E137" s="11" t="str">
        <f t="shared" si="13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v>0</v>
      </c>
      <c r="L137" s="7">
        <v>0</v>
      </c>
      <c r="M137" s="11">
        <f t="shared" si="14"/>
        <v>0</v>
      </c>
      <c r="N137" s="11">
        <f t="shared" si="15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13" t="s">
        <v>1305</v>
      </c>
    </row>
    <row r="138" spans="2:24" ht="13.8" x14ac:dyDescent="0.2">
      <c r="B138" s="8" t="str">
        <f t="shared" si="12"/>
        <v>049</v>
      </c>
      <c r="C138" s="10" t="s">
        <v>1253</v>
      </c>
      <c r="D138" s="26" t="s">
        <v>1254</v>
      </c>
      <c r="E138" s="11" t="str">
        <f t="shared" si="13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v>0</v>
      </c>
      <c r="L138" s="7">
        <v>0</v>
      </c>
      <c r="M138" s="11">
        <f t="shared" si="14"/>
        <v>0</v>
      </c>
      <c r="N138" s="11">
        <f t="shared" si="15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13" t="s">
        <v>1254</v>
      </c>
    </row>
    <row r="139" spans="2:24" ht="13.8" x14ac:dyDescent="0.2">
      <c r="B139" s="8" t="str">
        <f t="shared" si="12"/>
        <v>050</v>
      </c>
      <c r="C139" s="10" t="s">
        <v>1255</v>
      </c>
      <c r="D139" s="26" t="s">
        <v>1256</v>
      </c>
      <c r="E139" s="11" t="str">
        <f t="shared" si="13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v>0</v>
      </c>
      <c r="L139" s="7">
        <v>0</v>
      </c>
      <c r="M139" s="11">
        <f t="shared" si="14"/>
        <v>0</v>
      </c>
      <c r="N139" s="11">
        <f t="shared" si="15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13" t="s">
        <v>375</v>
      </c>
    </row>
    <row r="140" spans="2:24" ht="13.8" x14ac:dyDescent="0.2">
      <c r="B140" s="8" t="str">
        <f t="shared" si="12"/>
        <v>051</v>
      </c>
      <c r="C140" s="10" t="s">
        <v>1110</v>
      </c>
      <c r="D140" s="26" t="s">
        <v>1257</v>
      </c>
      <c r="E140" s="11" t="str">
        <f t="shared" si="13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v>0</v>
      </c>
      <c r="L140" s="7">
        <v>0</v>
      </c>
      <c r="M140" s="11">
        <f t="shared" si="14"/>
        <v>0</v>
      </c>
      <c r="N140" s="11">
        <f t="shared" si="15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13" t="s">
        <v>1111</v>
      </c>
    </row>
    <row r="141" spans="2:24" ht="13.8" x14ac:dyDescent="0.2">
      <c r="B141" s="8" t="str">
        <f t="shared" si="12"/>
        <v>063</v>
      </c>
      <c r="C141" s="10" t="s">
        <v>1258</v>
      </c>
      <c r="D141" s="26" t="s">
        <v>1259</v>
      </c>
      <c r="E141" s="11" t="str">
        <f t="shared" si="13"/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v>0</v>
      </c>
      <c r="L141" s="7">
        <v>0</v>
      </c>
      <c r="M141" s="11">
        <f t="shared" si="14"/>
        <v>0</v>
      </c>
      <c r="N141" s="11">
        <f t="shared" si="15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13" t="s">
        <v>1306</v>
      </c>
    </row>
    <row r="142" spans="2:24" ht="13.8" x14ac:dyDescent="0.2">
      <c r="B142" s="8" t="str">
        <f t="shared" si="12"/>
        <v>067</v>
      </c>
      <c r="C142" s="10" t="s">
        <v>1260</v>
      </c>
      <c r="D142" s="8" t="s">
        <v>121</v>
      </c>
      <c r="E142" s="11" t="str">
        <f t="shared" si="13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v>0</v>
      </c>
      <c r="L142" s="7">
        <v>0</v>
      </c>
      <c r="M142" s="11">
        <f t="shared" si="14"/>
        <v>0</v>
      </c>
      <c r="N142" s="11">
        <f t="shared" si="15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13" t="s">
        <v>122</v>
      </c>
    </row>
    <row r="143" spans="2:24" ht="13.8" x14ac:dyDescent="0.2">
      <c r="B143" s="8" t="str">
        <f t="shared" si="12"/>
        <v>068</v>
      </c>
      <c r="C143" s="10" t="s">
        <v>1261</v>
      </c>
      <c r="D143" s="26" t="s">
        <v>724</v>
      </c>
      <c r="E143" s="11" t="str">
        <f t="shared" si="13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v>0</v>
      </c>
      <c r="L143" s="7">
        <v>0</v>
      </c>
      <c r="M143" s="11">
        <f t="shared" si="14"/>
        <v>0</v>
      </c>
      <c r="N143" s="11">
        <f t="shared" si="15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13" t="s">
        <v>725</v>
      </c>
    </row>
    <row r="144" spans="2:24" ht="13.8" x14ac:dyDescent="0.2">
      <c r="B144" s="8" t="str">
        <f t="shared" si="12"/>
        <v>069</v>
      </c>
      <c r="C144" s="10" t="s">
        <v>1098</v>
      </c>
      <c r="D144" s="26" t="s">
        <v>1262</v>
      </c>
      <c r="E144" s="11" t="str">
        <f t="shared" si="13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v>0</v>
      </c>
      <c r="L144" s="7">
        <v>0</v>
      </c>
      <c r="M144" s="11">
        <f t="shared" si="14"/>
        <v>0</v>
      </c>
      <c r="N144" s="11">
        <f t="shared" si="15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13" t="s">
        <v>1106</v>
      </c>
    </row>
    <row r="145" spans="2:24" ht="13.8" x14ac:dyDescent="0.2">
      <c r="B145" s="8" t="str">
        <f t="shared" si="12"/>
        <v>077</v>
      </c>
      <c r="C145" s="10" t="s">
        <v>1263</v>
      </c>
      <c r="D145" s="8" t="s">
        <v>1264</v>
      </c>
      <c r="E145" s="11" t="str">
        <f t="shared" si="13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v>0</v>
      </c>
      <c r="L145" s="7">
        <v>0</v>
      </c>
      <c r="M145" s="11">
        <f t="shared" si="14"/>
        <v>0</v>
      </c>
      <c r="N145" s="11">
        <f t="shared" si="15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13" t="s">
        <v>716</v>
      </c>
    </row>
    <row r="146" spans="2:24" ht="13.8" x14ac:dyDescent="0.2">
      <c r="B146" s="8" t="str">
        <f t="shared" si="12"/>
        <v>090</v>
      </c>
      <c r="C146" s="10" t="s">
        <v>1265</v>
      </c>
      <c r="D146" s="8" t="s">
        <v>1266</v>
      </c>
      <c r="E146" s="11" t="str">
        <f t="shared" si="13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v>0</v>
      </c>
      <c r="L146" s="7">
        <v>0</v>
      </c>
      <c r="M146" s="11">
        <f t="shared" si="14"/>
        <v>0</v>
      </c>
      <c r="N146" s="11">
        <f t="shared" si="15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13" t="s">
        <v>1307</v>
      </c>
    </row>
    <row r="147" spans="2:24" ht="13.8" x14ac:dyDescent="0.2">
      <c r="B147" s="8" t="str">
        <f t="shared" si="12"/>
        <v>099</v>
      </c>
      <c r="C147" s="10" t="s">
        <v>1267</v>
      </c>
      <c r="D147" s="8" t="s">
        <v>1268</v>
      </c>
      <c r="E147" s="11" t="str">
        <f t="shared" si="13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v>0</v>
      </c>
      <c r="L147" s="7">
        <v>0</v>
      </c>
      <c r="M147" s="11">
        <f t="shared" si="14"/>
        <v>0</v>
      </c>
      <c r="N147" s="11">
        <f t="shared" si="15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13" t="s">
        <v>1308</v>
      </c>
    </row>
    <row r="148" spans="2:24" ht="13.8" x14ac:dyDescent="0.2">
      <c r="B148" s="8" t="str">
        <f t="shared" si="12"/>
        <v/>
      </c>
      <c r="C148" s="10"/>
      <c r="D148" s="8"/>
      <c r="E148" s="11" t="str">
        <f t="shared" si="13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v>0</v>
      </c>
      <c r="L148" s="7">
        <v>0</v>
      </c>
      <c r="M148" s="11">
        <f t="shared" si="14"/>
        <v>0</v>
      </c>
      <c r="N148" s="11">
        <f t="shared" si="15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13"/>
    </row>
    <row r="149" spans="2:24" ht="13.8" x14ac:dyDescent="0.2">
      <c r="B149" s="8" t="str">
        <f t="shared" si="12"/>
        <v/>
      </c>
      <c r="C149" s="10"/>
      <c r="D149" s="8"/>
      <c r="E149" s="11" t="str">
        <f t="shared" si="13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v>0</v>
      </c>
      <c r="L149" s="7">
        <v>0</v>
      </c>
      <c r="M149" s="11">
        <f t="shared" si="14"/>
        <v>0</v>
      </c>
      <c r="N149" s="11">
        <f t="shared" si="15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13"/>
    </row>
    <row r="150" spans="2:24" ht="13.8" x14ac:dyDescent="0.2">
      <c r="B150" s="8" t="str">
        <f t="shared" si="12"/>
        <v/>
      </c>
      <c r="C150" s="10"/>
      <c r="D150" s="8"/>
      <c r="E150" s="11" t="str">
        <f t="shared" si="13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v>0</v>
      </c>
      <c r="L150" s="7">
        <v>0</v>
      </c>
      <c r="M150" s="11">
        <f t="shared" si="14"/>
        <v>0</v>
      </c>
      <c r="N150" s="11">
        <f t="shared" si="15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A797-777A-4B4F-877E-D48D0698BE83}">
  <sheetPr codeName="Sheet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525</v>
      </c>
      <c r="C3" s="55" t="s">
        <v>681</v>
      </c>
      <c r="D3" s="55" t="s">
        <v>682</v>
      </c>
      <c r="E3" s="56" t="s">
        <v>28</v>
      </c>
      <c r="F3" s="57" t="s">
        <v>0</v>
      </c>
      <c r="G3" s="54" t="s">
        <v>1</v>
      </c>
      <c r="H3" s="54" t="s">
        <v>253</v>
      </c>
      <c r="I3" s="54" t="s">
        <v>254</v>
      </c>
      <c r="J3" s="58" t="s">
        <v>683</v>
      </c>
      <c r="K3" s="54" t="s">
        <v>644</v>
      </c>
      <c r="L3" s="59" t="s">
        <v>2</v>
      </c>
      <c r="M3" s="60" t="s">
        <v>252</v>
      </c>
      <c r="N3" s="56" t="s">
        <v>255</v>
      </c>
      <c r="O3" s="61" t="s">
        <v>639</v>
      </c>
      <c r="P3" s="54" t="s">
        <v>150</v>
      </c>
      <c r="Q3" s="54" t="s">
        <v>151</v>
      </c>
      <c r="R3" s="54" t="s">
        <v>637</v>
      </c>
      <c r="S3" s="54" t="s">
        <v>638</v>
      </c>
      <c r="T3" s="54" t="s">
        <v>640</v>
      </c>
      <c r="U3" s="54" t="s">
        <v>641</v>
      </c>
      <c r="V3" s="54" t="s">
        <v>642</v>
      </c>
      <c r="W3" s="54" t="s">
        <v>643</v>
      </c>
      <c r="X3" s="158"/>
    </row>
    <row r="4" spans="2:24" ht="13.8" x14ac:dyDescent="0.2">
      <c r="B4" s="8" t="str">
        <f>IF(C4="","",C4)</f>
        <v>00</v>
      </c>
      <c r="C4" s="10" t="s">
        <v>1309</v>
      </c>
      <c r="D4" s="13" t="s">
        <v>1310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797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107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1351</v>
      </c>
    </row>
    <row r="6" spans="2:24" ht="13.8" x14ac:dyDescent="0.2">
      <c r="B6" s="8">
        <f t="shared" si="4"/>
        <v>1</v>
      </c>
      <c r="C6" s="10">
        <v>1</v>
      </c>
      <c r="D6" s="13" t="s">
        <v>1071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1352</v>
      </c>
    </row>
    <row r="7" spans="2:24" ht="13.8" x14ac:dyDescent="0.2">
      <c r="B7" s="8">
        <f t="shared" si="4"/>
        <v>2</v>
      </c>
      <c r="C7" s="10">
        <v>2</v>
      </c>
      <c r="D7" s="13" t="s">
        <v>1311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1353</v>
      </c>
    </row>
    <row r="8" spans="2:24" ht="13.8" x14ac:dyDescent="0.2">
      <c r="B8" s="8">
        <f t="shared" si="4"/>
        <v>3</v>
      </c>
      <c r="C8" s="10">
        <v>3</v>
      </c>
      <c r="D8" s="13" t="s">
        <v>1312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1354</v>
      </c>
    </row>
    <row r="9" spans="2:24" ht="13.8" x14ac:dyDescent="0.2">
      <c r="B9" s="8">
        <f t="shared" si="4"/>
        <v>4</v>
      </c>
      <c r="C9" s="10">
        <v>4</v>
      </c>
      <c r="D9" s="13" t="s">
        <v>502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1355</v>
      </c>
    </row>
    <row r="10" spans="2:24" ht="13.8" x14ac:dyDescent="0.2">
      <c r="B10" s="8">
        <f t="shared" si="4"/>
        <v>5</v>
      </c>
      <c r="C10" s="10">
        <v>5</v>
      </c>
      <c r="D10" s="13"/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>
        <f t="shared" si="4"/>
        <v>6</v>
      </c>
      <c r="C11" s="10">
        <v>6</v>
      </c>
      <c r="D11" s="9" t="s">
        <v>1313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1356</v>
      </c>
    </row>
    <row r="12" spans="2:24" ht="13.8" x14ac:dyDescent="0.2">
      <c r="B12" s="8">
        <f t="shared" si="4"/>
        <v>7</v>
      </c>
      <c r="C12" s="10">
        <v>7</v>
      </c>
      <c r="D12" s="9" t="s">
        <v>50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1357</v>
      </c>
    </row>
    <row r="13" spans="2:24" ht="13.8" x14ac:dyDescent="0.2">
      <c r="B13" s="8">
        <f t="shared" si="4"/>
        <v>8</v>
      </c>
      <c r="C13" s="10">
        <v>8</v>
      </c>
      <c r="D13" s="13" t="s">
        <v>1314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82</v>
      </c>
    </row>
    <row r="14" spans="2:24" ht="13.8" x14ac:dyDescent="0.2">
      <c r="B14" s="8">
        <f t="shared" si="4"/>
        <v>9</v>
      </c>
      <c r="C14" s="10">
        <v>9</v>
      </c>
      <c r="D14" s="13" t="s">
        <v>735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1358</v>
      </c>
    </row>
    <row r="15" spans="2:24" ht="13.8" x14ac:dyDescent="0.2">
      <c r="B15" s="8">
        <f t="shared" si="4"/>
        <v>10</v>
      </c>
      <c r="C15" s="10">
        <v>10</v>
      </c>
      <c r="D15" s="13" t="s">
        <v>736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1359</v>
      </c>
    </row>
    <row r="16" spans="2:24" ht="13.8" x14ac:dyDescent="0.2">
      <c r="B16" s="8">
        <f t="shared" si="4"/>
        <v>11</v>
      </c>
      <c r="C16" s="10">
        <v>11</v>
      </c>
      <c r="D16" s="13" t="s">
        <v>1315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2597</v>
      </c>
    </row>
    <row r="17" spans="2:24" ht="13.8" x14ac:dyDescent="0.2">
      <c r="B17" s="8">
        <f t="shared" si="4"/>
        <v>12</v>
      </c>
      <c r="C17" s="10">
        <v>12</v>
      </c>
      <c r="D17" s="13" t="s">
        <v>6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1360</v>
      </c>
    </row>
    <row r="18" spans="2:24" ht="13.8" x14ac:dyDescent="0.2">
      <c r="B18" s="8">
        <f t="shared" si="4"/>
        <v>13</v>
      </c>
      <c r="C18" s="10">
        <v>13</v>
      </c>
      <c r="D18" s="13" t="s">
        <v>737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1361</v>
      </c>
    </row>
    <row r="19" spans="2:24" ht="13.8" x14ac:dyDescent="0.2">
      <c r="B19" s="8">
        <f t="shared" si="4"/>
        <v>14</v>
      </c>
      <c r="C19" s="10">
        <v>14</v>
      </c>
      <c r="D19" s="13"/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/>
    </row>
    <row r="20" spans="2:24" ht="13.8" x14ac:dyDescent="0.2">
      <c r="B20" s="8">
        <f t="shared" si="4"/>
        <v>15</v>
      </c>
      <c r="C20" s="10">
        <v>15</v>
      </c>
      <c r="D20" s="2" t="s">
        <v>1316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1362</v>
      </c>
    </row>
    <row r="21" spans="2:24" ht="13.8" x14ac:dyDescent="0.2">
      <c r="B21" s="8">
        <f t="shared" si="4"/>
        <v>16</v>
      </c>
      <c r="C21" s="10">
        <v>16</v>
      </c>
      <c r="D21" s="13"/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4"/>
        <v>17</v>
      </c>
      <c r="C22" s="10">
        <v>17</v>
      </c>
      <c r="D22" s="13" t="s">
        <v>1150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1363</v>
      </c>
    </row>
    <row r="23" spans="2:24" ht="13.8" x14ac:dyDescent="0.2">
      <c r="B23" s="8">
        <f t="shared" si="4"/>
        <v>18</v>
      </c>
      <c r="C23" s="10">
        <v>18</v>
      </c>
      <c r="D23" s="13" t="s">
        <v>48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1364</v>
      </c>
    </row>
    <row r="24" spans="2:24" ht="13.8" x14ac:dyDescent="0.2">
      <c r="B24" s="8">
        <f t="shared" si="4"/>
        <v>19</v>
      </c>
      <c r="C24" s="10">
        <v>19</v>
      </c>
      <c r="D24" s="13" t="s">
        <v>1217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1365</v>
      </c>
    </row>
    <row r="25" spans="2:24" ht="13.8" x14ac:dyDescent="0.2">
      <c r="B25" s="8">
        <f t="shared" si="4"/>
        <v>20</v>
      </c>
      <c r="C25" s="10">
        <v>20</v>
      </c>
      <c r="D25" s="13" t="s">
        <v>108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1366</v>
      </c>
    </row>
    <row r="26" spans="2:24" ht="13.8" x14ac:dyDescent="0.2">
      <c r="B26" s="8">
        <f t="shared" si="4"/>
        <v>21</v>
      </c>
      <c r="C26" s="10">
        <v>21</v>
      </c>
      <c r="D26" s="13" t="s">
        <v>1240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1367</v>
      </c>
    </row>
    <row r="27" spans="2:24" ht="13.8" x14ac:dyDescent="0.2">
      <c r="B27" s="8">
        <f t="shared" si="4"/>
        <v>22</v>
      </c>
      <c r="C27" s="10">
        <v>22</v>
      </c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4"/>
        <v>23</v>
      </c>
      <c r="C28" s="10">
        <v>23</v>
      </c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4"/>
        <v>24</v>
      </c>
      <c r="C29" s="10">
        <v>24</v>
      </c>
      <c r="D29" s="13" t="s">
        <v>5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1368</v>
      </c>
    </row>
    <row r="30" spans="2:24" ht="13.8" x14ac:dyDescent="0.2">
      <c r="B30" s="8">
        <f t="shared" si="4"/>
        <v>25</v>
      </c>
      <c r="C30" s="10">
        <v>25</v>
      </c>
      <c r="D30" s="13" t="s">
        <v>739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1369</v>
      </c>
    </row>
    <row r="31" spans="2:24" ht="13.8" x14ac:dyDescent="0.2">
      <c r="B31" s="8">
        <f t="shared" si="4"/>
        <v>26</v>
      </c>
      <c r="C31" s="10">
        <v>26</v>
      </c>
      <c r="D31" s="13" t="s">
        <v>109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1370</v>
      </c>
    </row>
    <row r="32" spans="2:24" ht="13.8" x14ac:dyDescent="0.2">
      <c r="B32" s="8">
        <f t="shared" si="4"/>
        <v>27</v>
      </c>
      <c r="C32" s="10">
        <v>27</v>
      </c>
      <c r="D32" s="9" t="s">
        <v>1317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1371</v>
      </c>
    </row>
    <row r="33" spans="2:24" ht="13.8" x14ac:dyDescent="0.2">
      <c r="B33" s="8">
        <f t="shared" si="4"/>
        <v>28</v>
      </c>
      <c r="C33" s="10">
        <v>28</v>
      </c>
      <c r="D33" s="13" t="s">
        <v>740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1372</v>
      </c>
    </row>
    <row r="34" spans="2:24" ht="13.8" x14ac:dyDescent="0.2">
      <c r="B34" s="8">
        <f t="shared" si="4"/>
        <v>29</v>
      </c>
      <c r="C34" s="10">
        <v>29</v>
      </c>
      <c r="D34" s="13" t="s">
        <v>1318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1373</v>
      </c>
    </row>
    <row r="35" spans="2:24" ht="13.8" x14ac:dyDescent="0.2">
      <c r="B35" s="8">
        <f t="shared" si="4"/>
        <v>30</v>
      </c>
      <c r="C35" s="10">
        <v>30</v>
      </c>
      <c r="D35" s="13" t="s">
        <v>1319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1374</v>
      </c>
    </row>
    <row r="36" spans="2:24" ht="13.8" x14ac:dyDescent="0.2">
      <c r="B36" s="8">
        <f t="shared" si="4"/>
        <v>31</v>
      </c>
      <c r="C36" s="10">
        <v>31</v>
      </c>
      <c r="D36" s="13" t="s">
        <v>1320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1375</v>
      </c>
    </row>
    <row r="37" spans="2:24" ht="13.8" x14ac:dyDescent="0.2">
      <c r="B37" s="8">
        <f t="shared" si="4"/>
        <v>32</v>
      </c>
      <c r="C37" s="10">
        <v>32</v>
      </c>
      <c r="D37" s="13" t="s">
        <v>110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1376</v>
      </c>
    </row>
    <row r="38" spans="2:24" ht="13.8" x14ac:dyDescent="0.2">
      <c r="B38" s="8">
        <f t="shared" si="4"/>
        <v>33</v>
      </c>
      <c r="C38" s="10">
        <v>33</v>
      </c>
      <c r="D38" s="13" t="s">
        <v>1321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1377</v>
      </c>
    </row>
    <row r="39" spans="2:24" ht="13.8" x14ac:dyDescent="0.2">
      <c r="B39" s="8">
        <f t="shared" si="4"/>
        <v>34</v>
      </c>
      <c r="C39" s="10">
        <v>34</v>
      </c>
      <c r="D39" s="13" t="s">
        <v>17</v>
      </c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1378</v>
      </c>
    </row>
    <row r="40" spans="2:24" ht="13.8" x14ac:dyDescent="0.2">
      <c r="B40" s="8">
        <f t="shared" si="4"/>
        <v>35</v>
      </c>
      <c r="C40" s="10">
        <v>35</v>
      </c>
      <c r="D40" s="13" t="s">
        <v>741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1379</v>
      </c>
    </row>
    <row r="41" spans="2:24" ht="13.8" x14ac:dyDescent="0.2">
      <c r="B41" s="8">
        <f t="shared" si="4"/>
        <v>36</v>
      </c>
      <c r="C41" s="10">
        <v>36</v>
      </c>
      <c r="D41" s="13" t="s">
        <v>1077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1380</v>
      </c>
    </row>
    <row r="42" spans="2:24" ht="13.8" x14ac:dyDescent="0.2">
      <c r="B42" s="8">
        <f t="shared" si="4"/>
        <v>37</v>
      </c>
      <c r="C42" s="10">
        <v>37</v>
      </c>
      <c r="D42" s="13" t="s">
        <v>1322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336</v>
      </c>
    </row>
    <row r="43" spans="2:24" ht="13.8" x14ac:dyDescent="0.2">
      <c r="B43" s="8">
        <f t="shared" si="4"/>
        <v>38</v>
      </c>
      <c r="C43" s="10">
        <v>38</v>
      </c>
      <c r="D43" s="13" t="s">
        <v>1323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1381</v>
      </c>
    </row>
    <row r="44" spans="2:24" ht="13.8" x14ac:dyDescent="0.2">
      <c r="B44" s="8">
        <f t="shared" si="4"/>
        <v>39</v>
      </c>
      <c r="C44" s="10">
        <v>39</v>
      </c>
      <c r="D44" s="13" t="s">
        <v>1324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1382</v>
      </c>
    </row>
    <row r="45" spans="2:24" ht="13.8" x14ac:dyDescent="0.2">
      <c r="B45" s="8">
        <f t="shared" si="4"/>
        <v>40</v>
      </c>
      <c r="C45" s="10">
        <v>40</v>
      </c>
      <c r="D45" s="13" t="s">
        <v>21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1383</v>
      </c>
    </row>
    <row r="46" spans="2:24" ht="13.8" x14ac:dyDescent="0.2">
      <c r="B46" s="8">
        <f t="shared" si="4"/>
        <v>41</v>
      </c>
      <c r="C46" s="10">
        <v>41</v>
      </c>
      <c r="D46" s="13" t="s">
        <v>1325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221</v>
      </c>
    </row>
    <row r="47" spans="2:24" ht="13.8" x14ac:dyDescent="0.2">
      <c r="B47" s="8">
        <f t="shared" si="4"/>
        <v>42</v>
      </c>
      <c r="C47" s="10">
        <v>42</v>
      </c>
      <c r="D47" s="13" t="s">
        <v>742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1384</v>
      </c>
    </row>
    <row r="48" spans="2:24" ht="13.8" x14ac:dyDescent="0.2">
      <c r="B48" s="8">
        <f t="shared" si="4"/>
        <v>43</v>
      </c>
      <c r="C48" s="10">
        <v>43</v>
      </c>
      <c r="D48" s="13" t="s">
        <v>1326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1385</v>
      </c>
    </row>
    <row r="49" spans="2:24" ht="13.8" x14ac:dyDescent="0.2">
      <c r="B49" s="8">
        <f t="shared" si="4"/>
        <v>44</v>
      </c>
      <c r="C49" s="10">
        <v>44</v>
      </c>
      <c r="D49" s="13" t="s">
        <v>49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1386</v>
      </c>
    </row>
    <row r="50" spans="2:24" ht="13.8" x14ac:dyDescent="0.2">
      <c r="B50" s="8">
        <f t="shared" si="4"/>
        <v>45</v>
      </c>
      <c r="C50" s="10">
        <v>45</v>
      </c>
      <c r="D50" s="13" t="s">
        <v>743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1387</v>
      </c>
    </row>
    <row r="51" spans="2:24" ht="13.8" x14ac:dyDescent="0.2">
      <c r="B51" s="8">
        <f t="shared" si="4"/>
        <v>46</v>
      </c>
      <c r="C51" s="10">
        <v>46</v>
      </c>
      <c r="D51" s="13" t="s">
        <v>647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213</v>
      </c>
    </row>
    <row r="52" spans="2:24" ht="13.8" x14ac:dyDescent="0.2">
      <c r="B52" s="8">
        <f t="shared" si="4"/>
        <v>47</v>
      </c>
      <c r="C52" s="10">
        <v>47</v>
      </c>
      <c r="D52" s="13" t="s">
        <v>1072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1388</v>
      </c>
    </row>
    <row r="53" spans="2:24" ht="13.8" x14ac:dyDescent="0.2">
      <c r="B53" s="8">
        <f t="shared" si="4"/>
        <v>48</v>
      </c>
      <c r="C53" s="10">
        <v>48</v>
      </c>
      <c r="D53" s="13" t="s">
        <v>1327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332</v>
      </c>
    </row>
    <row r="54" spans="2:24" ht="13.8" x14ac:dyDescent="0.2">
      <c r="B54" s="8">
        <f t="shared" si="4"/>
        <v>49</v>
      </c>
      <c r="C54" s="10">
        <v>49</v>
      </c>
      <c r="D54" s="13" t="s">
        <v>1328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1389</v>
      </c>
    </row>
    <row r="55" spans="2:24" ht="13.8" x14ac:dyDescent="0.2">
      <c r="B55" s="8">
        <f t="shared" si="4"/>
        <v>50</v>
      </c>
      <c r="C55" s="10">
        <v>50</v>
      </c>
      <c r="D55" s="13" t="s">
        <v>744</v>
      </c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1390</v>
      </c>
    </row>
    <row r="56" spans="2:24" ht="13.8" x14ac:dyDescent="0.2">
      <c r="B56" s="8">
        <f t="shared" si="4"/>
        <v>51</v>
      </c>
      <c r="C56" s="10">
        <v>51</v>
      </c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f t="shared" si="4"/>
        <v>52</v>
      </c>
      <c r="C57" s="10">
        <v>52</v>
      </c>
      <c r="D57" s="13" t="s">
        <v>1329</v>
      </c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1391</v>
      </c>
    </row>
    <row r="58" spans="2:24" ht="13.8" x14ac:dyDescent="0.2">
      <c r="B58" s="8">
        <f t="shared" si="4"/>
        <v>53</v>
      </c>
      <c r="C58" s="10">
        <v>53</v>
      </c>
      <c r="D58" s="13" t="s">
        <v>1330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1392</v>
      </c>
    </row>
    <row r="59" spans="2:24" ht="13.8" x14ac:dyDescent="0.2">
      <c r="B59" s="8">
        <f t="shared" si="4"/>
        <v>54</v>
      </c>
      <c r="C59" s="10">
        <v>54</v>
      </c>
      <c r="D59" s="13" t="s">
        <v>1331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1393</v>
      </c>
    </row>
    <row r="60" spans="2:24" ht="13.8" x14ac:dyDescent="0.2">
      <c r="B60" s="8">
        <f t="shared" si="4"/>
        <v>55</v>
      </c>
      <c r="C60" s="10">
        <v>55</v>
      </c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>
        <f t="shared" si="4"/>
        <v>56</v>
      </c>
      <c r="C61" s="10">
        <v>56</v>
      </c>
      <c r="D61" s="13" t="s">
        <v>1190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1394</v>
      </c>
    </row>
    <row r="62" spans="2:24" ht="13.8" x14ac:dyDescent="0.2">
      <c r="B62" s="8">
        <f t="shared" si="4"/>
        <v>57</v>
      </c>
      <c r="C62" s="10">
        <v>57</v>
      </c>
      <c r="D62" s="13" t="s">
        <v>665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1395</v>
      </c>
    </row>
    <row r="63" spans="2:24" ht="13.8" x14ac:dyDescent="0.2">
      <c r="B63" s="8">
        <f t="shared" si="4"/>
        <v>58</v>
      </c>
      <c r="C63" s="10">
        <v>58</v>
      </c>
      <c r="D63" s="13" t="s">
        <v>1332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2598</v>
      </c>
    </row>
    <row r="64" spans="2:24" ht="13.8" x14ac:dyDescent="0.2">
      <c r="B64" s="8">
        <f t="shared" si="4"/>
        <v>59</v>
      </c>
      <c r="C64" s="10">
        <v>59</v>
      </c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>
        <f t="shared" si="4"/>
        <v>60</v>
      </c>
      <c r="C65" s="10">
        <v>60</v>
      </c>
      <c r="D65" s="13" t="s">
        <v>51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1396</v>
      </c>
    </row>
    <row r="66" spans="2:24" ht="13.8" x14ac:dyDescent="0.2">
      <c r="B66" s="8">
        <f t="shared" si="4"/>
        <v>61</v>
      </c>
      <c r="C66" s="10">
        <v>61</v>
      </c>
      <c r="D66" s="13" t="s">
        <v>1333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1397</v>
      </c>
    </row>
    <row r="67" spans="2:24" ht="13.8" x14ac:dyDescent="0.2">
      <c r="B67" s="8">
        <f t="shared" si="4"/>
        <v>62</v>
      </c>
      <c r="C67" s="10">
        <v>62</v>
      </c>
      <c r="D67" s="13" t="s">
        <v>1334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2599</v>
      </c>
    </row>
    <row r="68" spans="2:24" ht="13.8" x14ac:dyDescent="0.2">
      <c r="B68" s="8">
        <f t="shared" si="4"/>
        <v>63</v>
      </c>
      <c r="C68" s="10">
        <v>63</v>
      </c>
      <c r="D68" s="9" t="s">
        <v>745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1398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1335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1399</v>
      </c>
    </row>
    <row r="70" spans="2:24" ht="13.8" x14ac:dyDescent="0.2">
      <c r="B70" s="8">
        <f t="shared" si="10"/>
        <v>65</v>
      </c>
      <c r="C70" s="10">
        <v>65</v>
      </c>
      <c r="D70" s="9" t="s">
        <v>1186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1400</v>
      </c>
    </row>
    <row r="71" spans="2:24" ht="13.8" x14ac:dyDescent="0.2">
      <c r="B71" s="8">
        <f t="shared" si="10"/>
        <v>66</v>
      </c>
      <c r="C71" s="10">
        <v>66</v>
      </c>
      <c r="D71" s="13" t="s">
        <v>1336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1401</v>
      </c>
    </row>
    <row r="72" spans="2:24" ht="13.8" x14ac:dyDescent="0.2">
      <c r="B72" s="8">
        <f t="shared" si="10"/>
        <v>67</v>
      </c>
      <c r="C72" s="10">
        <v>67</v>
      </c>
      <c r="D72" s="13" t="s">
        <v>1337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1402</v>
      </c>
    </row>
    <row r="73" spans="2:24" ht="13.8" x14ac:dyDescent="0.2">
      <c r="B73" s="8">
        <f t="shared" si="10"/>
        <v>68</v>
      </c>
      <c r="C73" s="10">
        <v>68</v>
      </c>
      <c r="D73" s="13" t="s">
        <v>503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1403</v>
      </c>
    </row>
    <row r="74" spans="2:24" ht="13.8" x14ac:dyDescent="0.2">
      <c r="B74" s="8">
        <f t="shared" si="10"/>
        <v>69</v>
      </c>
      <c r="C74" s="10">
        <v>69</v>
      </c>
      <c r="D74" s="13" t="s">
        <v>1338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1404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 t="s">
        <v>1339</v>
      </c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 t="s">
        <v>728</v>
      </c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1340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9" t="s">
        <v>427</v>
      </c>
    </row>
    <row r="105" spans="2:24" ht="13.8" x14ac:dyDescent="0.2">
      <c r="B105" s="8" t="str">
        <f t="shared" si="10"/>
        <v>012</v>
      </c>
      <c r="C105" s="10" t="s">
        <v>759</v>
      </c>
      <c r="D105" s="14" t="s">
        <v>1341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1405</v>
      </c>
    </row>
    <row r="106" spans="2:24" ht="13.8" x14ac:dyDescent="0.2">
      <c r="B106" s="8" t="str">
        <f t="shared" si="10"/>
        <v>013</v>
      </c>
      <c r="C106" s="10" t="s">
        <v>760</v>
      </c>
      <c r="D106" s="9" t="s">
        <v>1342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1406</v>
      </c>
    </row>
    <row r="107" spans="2:24" ht="13.8" x14ac:dyDescent="0.2">
      <c r="B107" s="8" t="str">
        <f t="shared" si="10"/>
        <v>014</v>
      </c>
      <c r="C107" s="10" t="s">
        <v>761</v>
      </c>
      <c r="D107" s="9" t="s">
        <v>1194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1407</v>
      </c>
    </row>
    <row r="108" spans="2:24" ht="13.8" x14ac:dyDescent="0.2">
      <c r="B108" s="8" t="str">
        <f t="shared" si="10"/>
        <v>015</v>
      </c>
      <c r="C108" s="10" t="s">
        <v>791</v>
      </c>
      <c r="D108" s="9" t="s">
        <v>1343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1408</v>
      </c>
    </row>
    <row r="109" spans="2:24" ht="13.8" x14ac:dyDescent="0.2">
      <c r="B109" s="8" t="str">
        <f t="shared" si="10"/>
        <v>016</v>
      </c>
      <c r="C109" s="10" t="s">
        <v>779</v>
      </c>
      <c r="D109" s="9" t="s">
        <v>1344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1409</v>
      </c>
    </row>
    <row r="110" spans="2:24" ht="13.8" x14ac:dyDescent="0.2">
      <c r="B110" s="8" t="str">
        <f t="shared" si="10"/>
        <v>017</v>
      </c>
      <c r="C110" s="10" t="s">
        <v>495</v>
      </c>
      <c r="D110" s="9" t="s">
        <v>1345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1345</v>
      </c>
    </row>
    <row r="111" spans="2:24" ht="13.8" x14ac:dyDescent="0.2">
      <c r="B111" s="8" t="str">
        <f t="shared" si="10"/>
        <v>019</v>
      </c>
      <c r="C111" s="10" t="s">
        <v>792</v>
      </c>
      <c r="D111" s="9" t="s">
        <v>1346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918</v>
      </c>
    </row>
    <row r="112" spans="2:24" ht="13.8" x14ac:dyDescent="0.2">
      <c r="B112" s="8" t="str">
        <f t="shared" si="10"/>
        <v>022</v>
      </c>
      <c r="C112" s="10" t="s">
        <v>764</v>
      </c>
      <c r="D112" s="13" t="s">
        <v>1142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1410</v>
      </c>
    </row>
    <row r="113" spans="2:24" ht="13.8" x14ac:dyDescent="0.2">
      <c r="B113" s="8" t="str">
        <f t="shared" si="10"/>
        <v>023</v>
      </c>
      <c r="C113" s="10" t="s">
        <v>793</v>
      </c>
      <c r="D113" s="13" t="s">
        <v>1347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1042</v>
      </c>
    </row>
    <row r="114" spans="2:24" ht="13.8" x14ac:dyDescent="0.2">
      <c r="B114" s="8" t="str">
        <f t="shared" si="10"/>
        <v>024</v>
      </c>
      <c r="C114" s="10" t="s">
        <v>794</v>
      </c>
      <c r="D114" s="8" t="s">
        <v>1085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1085</v>
      </c>
    </row>
    <row r="115" spans="2:24" ht="13.8" x14ac:dyDescent="0.2">
      <c r="B115" s="8" t="str">
        <f t="shared" si="10"/>
        <v>025</v>
      </c>
      <c r="C115" s="10" t="s">
        <v>795</v>
      </c>
      <c r="D115" s="8" t="s">
        <v>1348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1411</v>
      </c>
    </row>
    <row r="116" spans="2:24" ht="13.8" x14ac:dyDescent="0.2">
      <c r="B116" s="8" t="str">
        <f t="shared" si="10"/>
        <v>026</v>
      </c>
      <c r="C116" s="10" t="s">
        <v>796</v>
      </c>
      <c r="D116" s="8" t="s">
        <v>1349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1412</v>
      </c>
    </row>
    <row r="117" spans="2:24" ht="13.8" x14ac:dyDescent="0.2">
      <c r="B117" s="8" t="str">
        <f t="shared" si="10"/>
        <v>027</v>
      </c>
      <c r="C117" s="10" t="s">
        <v>1103</v>
      </c>
      <c r="D117" s="8" t="s">
        <v>1350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1413</v>
      </c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1057-34FE-4DDA-9F7E-E896712DFF96}">
  <sheetPr codeName="Sheet5"/>
  <dimension ref="B1:X133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" si="1">((G2-H2-I2-J2)+(H2*2)+(I2*3)+(J2*4))</f>
        <v>0</v>
      </c>
      <c r="L2" s="7">
        <f t="shared" si="0"/>
        <v>0</v>
      </c>
      <c r="M2" s="11">
        <f t="shared" ref="M2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525</v>
      </c>
      <c r="C3" s="55" t="s">
        <v>681</v>
      </c>
      <c r="D3" s="55" t="s">
        <v>682</v>
      </c>
      <c r="E3" s="56" t="s">
        <v>28</v>
      </c>
      <c r="F3" s="57" t="s">
        <v>0</v>
      </c>
      <c r="G3" s="54" t="s">
        <v>1</v>
      </c>
      <c r="H3" s="54" t="s">
        <v>253</v>
      </c>
      <c r="I3" s="54" t="s">
        <v>254</v>
      </c>
      <c r="J3" s="58" t="s">
        <v>683</v>
      </c>
      <c r="K3" s="54" t="s">
        <v>644</v>
      </c>
      <c r="L3" s="59" t="s">
        <v>2</v>
      </c>
      <c r="M3" s="60" t="s">
        <v>252</v>
      </c>
      <c r="N3" s="56" t="s">
        <v>255</v>
      </c>
      <c r="O3" s="61" t="s">
        <v>639</v>
      </c>
      <c r="P3" s="54" t="s">
        <v>150</v>
      </c>
      <c r="Q3" s="54" t="s">
        <v>151</v>
      </c>
      <c r="R3" s="54" t="s">
        <v>637</v>
      </c>
      <c r="S3" s="54" t="s">
        <v>638</v>
      </c>
      <c r="T3" s="54" t="s">
        <v>640</v>
      </c>
      <c r="U3" s="54" t="s">
        <v>641</v>
      </c>
      <c r="V3" s="54" t="s">
        <v>642</v>
      </c>
      <c r="W3" s="54" t="s">
        <v>643</v>
      </c>
      <c r="X3" s="158"/>
    </row>
    <row r="4" spans="2:24" ht="13.8" x14ac:dyDescent="0.2">
      <c r="B4" s="8" t="str">
        <f>IF(C4="","",C4)</f>
        <v>00</v>
      </c>
      <c r="C4" s="10" t="s">
        <v>1309</v>
      </c>
      <c r="D4" s="13" t="s">
        <v>1141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5">((G4-H4-I4-J4)+(H4*2)+(I4*3)+(J4*4))</f>
        <v>0</v>
      </c>
      <c r="L4" s="7">
        <v>0</v>
      </c>
      <c r="M4" s="11">
        <f t="shared" ref="M4" si="6">IFERROR(IF((G4+P4+Q4)/(F4+P4+Q4+S4)=1,"1.00",(G4+P4+Q4)/(F4+P4+Q4+S4)),0)</f>
        <v>0</v>
      </c>
      <c r="N4" s="11">
        <f t="shared" ref="N4" si="7"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806</v>
      </c>
    </row>
    <row r="5" spans="2:24" ht="13.8" x14ac:dyDescent="0.2">
      <c r="B5" s="8">
        <f t="shared" ref="B5:B68" si="8">IF(C5="","",C5)</f>
        <v>0</v>
      </c>
      <c r="C5" s="10">
        <v>0</v>
      </c>
      <c r="D5" s="13" t="s">
        <v>1414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9">((G5-H5-I5-J5)+(H5*2)+(I5*3)+(J5*4))</f>
        <v>0</v>
      </c>
      <c r="L5" s="7">
        <v>0</v>
      </c>
      <c r="M5" s="11">
        <f t="shared" ref="M5:M68" si="10">IFERROR(IF((G5+P5+Q5)/(F5+P5+Q5+S5)=1,"1.00",(G5+P5+Q5)/(F5+P5+Q5+S5)),0)</f>
        <v>0</v>
      </c>
      <c r="N5" s="11">
        <f t="shared" ref="N5:N68" si="11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2600</v>
      </c>
    </row>
    <row r="6" spans="2:24" ht="13.8" x14ac:dyDescent="0.2">
      <c r="B6" s="8">
        <f t="shared" si="8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9"/>
        <v>0</v>
      </c>
      <c r="L6" s="7">
        <v>0</v>
      </c>
      <c r="M6" s="11">
        <f t="shared" si="10"/>
        <v>0</v>
      </c>
      <c r="N6" s="11">
        <f t="shared" si="11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8"/>
        <v>2</v>
      </c>
      <c r="C7" s="10">
        <v>2</v>
      </c>
      <c r="D7" s="13" t="s">
        <v>1415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9"/>
        <v>0</v>
      </c>
      <c r="L7" s="7">
        <v>0</v>
      </c>
      <c r="M7" s="11">
        <f t="shared" si="10"/>
        <v>0</v>
      </c>
      <c r="N7" s="11">
        <f t="shared" si="11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443</v>
      </c>
    </row>
    <row r="8" spans="2:24" ht="13.8" x14ac:dyDescent="0.2">
      <c r="B8" s="8">
        <f t="shared" si="8"/>
        <v>3</v>
      </c>
      <c r="C8" s="10">
        <v>3</v>
      </c>
      <c r="D8" s="9" t="s">
        <v>1416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9"/>
        <v>0</v>
      </c>
      <c r="L8" s="7">
        <v>0</v>
      </c>
      <c r="M8" s="11">
        <f t="shared" si="10"/>
        <v>0</v>
      </c>
      <c r="N8" s="11">
        <f t="shared" si="11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1463</v>
      </c>
    </row>
    <row r="9" spans="2:24" ht="13.8" x14ac:dyDescent="0.2">
      <c r="B9" s="8">
        <f t="shared" si="8"/>
        <v>4</v>
      </c>
      <c r="C9" s="10">
        <v>4</v>
      </c>
      <c r="D9" s="13" t="s">
        <v>1417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9"/>
        <v>0</v>
      </c>
      <c r="L9" s="7">
        <v>0</v>
      </c>
      <c r="M9" s="11">
        <f t="shared" si="10"/>
        <v>0</v>
      </c>
      <c r="N9" s="11">
        <f t="shared" si="11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807</v>
      </c>
    </row>
    <row r="10" spans="2:24" ht="13.8" x14ac:dyDescent="0.2">
      <c r="B10" s="8">
        <f t="shared" si="8"/>
        <v>5</v>
      </c>
      <c r="C10" s="10">
        <v>5</v>
      </c>
      <c r="D10" s="13" t="s">
        <v>1418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9"/>
        <v>0</v>
      </c>
      <c r="L10" s="7">
        <v>0</v>
      </c>
      <c r="M10" s="11">
        <f t="shared" si="10"/>
        <v>0</v>
      </c>
      <c r="N10" s="11">
        <f t="shared" si="11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808</v>
      </c>
    </row>
    <row r="11" spans="2:24" ht="13.8" x14ac:dyDescent="0.2">
      <c r="B11" s="8">
        <f t="shared" si="8"/>
        <v>6</v>
      </c>
      <c r="C11" s="10">
        <v>6</v>
      </c>
      <c r="D11" s="13" t="s">
        <v>2628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9"/>
        <v>0</v>
      </c>
      <c r="L11" s="7">
        <v>0</v>
      </c>
      <c r="M11" s="11">
        <f t="shared" si="10"/>
        <v>0</v>
      </c>
      <c r="N11" s="11">
        <f t="shared" si="11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444</v>
      </c>
    </row>
    <row r="12" spans="2:24" ht="13.8" x14ac:dyDescent="0.2">
      <c r="B12" s="8">
        <f t="shared" si="8"/>
        <v>7</v>
      </c>
      <c r="C12" s="10">
        <v>7</v>
      </c>
      <c r="D12" s="13" t="s">
        <v>113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9"/>
        <v>0</v>
      </c>
      <c r="L12" s="7">
        <v>0</v>
      </c>
      <c r="M12" s="11">
        <f t="shared" si="10"/>
        <v>0</v>
      </c>
      <c r="N12" s="11">
        <f t="shared" si="11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445</v>
      </c>
    </row>
    <row r="13" spans="2:24" ht="13.8" x14ac:dyDescent="0.2">
      <c r="B13" s="8">
        <f t="shared" si="8"/>
        <v>8</v>
      </c>
      <c r="C13" s="10">
        <v>8</v>
      </c>
      <c r="D13" s="13" t="s">
        <v>8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9"/>
        <v>0</v>
      </c>
      <c r="L13" s="7">
        <v>0</v>
      </c>
      <c r="M13" s="11">
        <f t="shared" si="10"/>
        <v>0</v>
      </c>
      <c r="N13" s="11">
        <f t="shared" si="11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446</v>
      </c>
    </row>
    <row r="14" spans="2:24" ht="13.8" x14ac:dyDescent="0.2">
      <c r="B14" s="8">
        <f t="shared" si="8"/>
        <v>9</v>
      </c>
      <c r="C14" s="10">
        <v>9</v>
      </c>
      <c r="D14" s="13" t="s">
        <v>1419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9"/>
        <v>0</v>
      </c>
      <c r="L14" s="7">
        <v>0</v>
      </c>
      <c r="M14" s="11">
        <f t="shared" si="10"/>
        <v>0</v>
      </c>
      <c r="N14" s="11">
        <f t="shared" si="11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385</v>
      </c>
    </row>
    <row r="15" spans="2:24" ht="13.8" x14ac:dyDescent="0.2">
      <c r="B15" s="8">
        <f t="shared" si="8"/>
        <v>10</v>
      </c>
      <c r="C15" s="10">
        <v>10</v>
      </c>
      <c r="D15" s="13" t="s">
        <v>9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9"/>
        <v>0</v>
      </c>
      <c r="L15" s="7">
        <v>0</v>
      </c>
      <c r="M15" s="11">
        <f t="shared" si="10"/>
        <v>0</v>
      </c>
      <c r="N15" s="11">
        <f t="shared" si="11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447</v>
      </c>
    </row>
    <row r="16" spans="2:24" ht="13.8" x14ac:dyDescent="0.2">
      <c r="B16" s="8">
        <f t="shared" si="8"/>
        <v>11</v>
      </c>
      <c r="C16" s="10">
        <v>11</v>
      </c>
      <c r="D16" s="13" t="s">
        <v>1420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9"/>
        <v>0</v>
      </c>
      <c r="L16" s="7">
        <v>0</v>
      </c>
      <c r="M16" s="11">
        <f t="shared" si="10"/>
        <v>0</v>
      </c>
      <c r="N16" s="11">
        <f t="shared" si="11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448</v>
      </c>
    </row>
    <row r="17" spans="2:24" ht="13.8" x14ac:dyDescent="0.2">
      <c r="B17" s="8">
        <f t="shared" si="8"/>
        <v>12</v>
      </c>
      <c r="C17" s="10">
        <v>12</v>
      </c>
      <c r="D17" s="13" t="s">
        <v>1421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9"/>
        <v>0</v>
      </c>
      <c r="L17" s="7">
        <v>0</v>
      </c>
      <c r="M17" s="11">
        <f t="shared" si="10"/>
        <v>0</v>
      </c>
      <c r="N17" s="11">
        <f t="shared" si="11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1464</v>
      </c>
    </row>
    <row r="18" spans="2:24" ht="13.8" x14ac:dyDescent="0.2">
      <c r="B18" s="8">
        <f t="shared" si="8"/>
        <v>13</v>
      </c>
      <c r="C18" s="10">
        <v>13</v>
      </c>
      <c r="D18" s="13" t="s">
        <v>100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9"/>
        <v>0</v>
      </c>
      <c r="L18" s="7">
        <v>0</v>
      </c>
      <c r="M18" s="11">
        <f t="shared" si="10"/>
        <v>0</v>
      </c>
      <c r="N18" s="11">
        <f t="shared" si="11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449</v>
      </c>
    </row>
    <row r="19" spans="2:24" ht="13.8" x14ac:dyDescent="0.2">
      <c r="B19" s="8">
        <f t="shared" si="8"/>
        <v>14</v>
      </c>
      <c r="C19" s="10">
        <v>14</v>
      </c>
      <c r="D19" s="13" t="s">
        <v>798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9"/>
        <v>0</v>
      </c>
      <c r="L19" s="7">
        <v>0</v>
      </c>
      <c r="M19" s="11">
        <f t="shared" si="10"/>
        <v>0</v>
      </c>
      <c r="N19" s="11">
        <f t="shared" si="11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450</v>
      </c>
    </row>
    <row r="20" spans="2:24" ht="13.8" x14ac:dyDescent="0.2">
      <c r="B20" s="8">
        <f t="shared" si="8"/>
        <v>15</v>
      </c>
      <c r="C20" s="10">
        <v>15</v>
      </c>
      <c r="D20" s="2" t="s">
        <v>1422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9"/>
        <v>0</v>
      </c>
      <c r="L20" s="7">
        <v>0</v>
      </c>
      <c r="M20" s="11">
        <f t="shared" si="10"/>
        <v>0</v>
      </c>
      <c r="N20" s="11">
        <f t="shared" si="11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1465</v>
      </c>
    </row>
    <row r="21" spans="2:24" ht="13.8" x14ac:dyDescent="0.2">
      <c r="B21" s="8">
        <f t="shared" si="8"/>
        <v>16</v>
      </c>
      <c r="C21" s="10">
        <v>16</v>
      </c>
      <c r="D21" s="13" t="s">
        <v>22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9"/>
        <v>0</v>
      </c>
      <c r="L21" s="7">
        <v>0</v>
      </c>
      <c r="M21" s="11">
        <f t="shared" si="10"/>
        <v>0</v>
      </c>
      <c r="N21" s="11">
        <f t="shared" si="11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451</v>
      </c>
    </row>
    <row r="22" spans="2:24" ht="13.8" x14ac:dyDescent="0.2">
      <c r="B22" s="8">
        <f t="shared" si="8"/>
        <v>17</v>
      </c>
      <c r="C22" s="10">
        <v>17</v>
      </c>
      <c r="D22" s="13" t="s">
        <v>10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9"/>
        <v>0</v>
      </c>
      <c r="L22" s="7">
        <v>0</v>
      </c>
      <c r="M22" s="11">
        <f t="shared" si="10"/>
        <v>0</v>
      </c>
      <c r="N22" s="11">
        <f t="shared" si="11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452</v>
      </c>
    </row>
    <row r="23" spans="2:24" ht="13.8" x14ac:dyDescent="0.2">
      <c r="B23" s="8">
        <f t="shared" si="8"/>
        <v>18</v>
      </c>
      <c r="C23" s="10">
        <v>18</v>
      </c>
      <c r="D23" s="9" t="s">
        <v>663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9"/>
        <v>0</v>
      </c>
      <c r="L23" s="7">
        <v>0</v>
      </c>
      <c r="M23" s="11">
        <f t="shared" si="10"/>
        <v>0</v>
      </c>
      <c r="N23" s="11">
        <f t="shared" si="11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809</v>
      </c>
    </row>
    <row r="24" spans="2:24" ht="13.8" x14ac:dyDescent="0.2">
      <c r="B24" s="8">
        <f t="shared" si="8"/>
        <v>19</v>
      </c>
      <c r="C24" s="10">
        <v>19</v>
      </c>
      <c r="D24" s="13" t="s">
        <v>7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9"/>
        <v>0</v>
      </c>
      <c r="L24" s="7">
        <v>0</v>
      </c>
      <c r="M24" s="11">
        <f t="shared" si="10"/>
        <v>0</v>
      </c>
      <c r="N24" s="11">
        <f t="shared" si="11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453</v>
      </c>
    </row>
    <row r="25" spans="2:24" ht="13.8" x14ac:dyDescent="0.2">
      <c r="B25" s="8">
        <f t="shared" si="8"/>
        <v>20</v>
      </c>
      <c r="C25" s="10">
        <v>20</v>
      </c>
      <c r="D25" s="13" t="s">
        <v>1190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9"/>
        <v>0</v>
      </c>
      <c r="L25" s="7">
        <v>0</v>
      </c>
      <c r="M25" s="11">
        <f t="shared" si="10"/>
        <v>0</v>
      </c>
      <c r="N25" s="11">
        <f t="shared" si="11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454</v>
      </c>
    </row>
    <row r="26" spans="2:24" ht="13.8" x14ac:dyDescent="0.2">
      <c r="B26" s="8">
        <f t="shared" si="8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9"/>
        <v>0</v>
      </c>
      <c r="L26" s="7">
        <v>0</v>
      </c>
      <c r="M26" s="11">
        <f t="shared" si="10"/>
        <v>0</v>
      </c>
      <c r="N26" s="11">
        <f t="shared" si="11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8"/>
        <v>22</v>
      </c>
      <c r="C27" s="10">
        <v>22</v>
      </c>
      <c r="D27" s="13" t="s">
        <v>114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9"/>
        <v>0</v>
      </c>
      <c r="L27" s="7">
        <v>0</v>
      </c>
      <c r="M27" s="11">
        <f t="shared" si="10"/>
        <v>0</v>
      </c>
      <c r="N27" s="11">
        <f t="shared" si="11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455</v>
      </c>
    </row>
    <row r="28" spans="2:24" ht="13.8" x14ac:dyDescent="0.2">
      <c r="B28" s="8">
        <f t="shared" si="8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9"/>
        <v>0</v>
      </c>
      <c r="L28" s="7">
        <v>0</v>
      </c>
      <c r="M28" s="11">
        <f t="shared" si="10"/>
        <v>0</v>
      </c>
      <c r="N28" s="11">
        <f t="shared" si="11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8"/>
        <v>24</v>
      </c>
      <c r="C29" s="10">
        <v>24</v>
      </c>
      <c r="D29" s="13" t="s">
        <v>1423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9"/>
        <v>0</v>
      </c>
      <c r="L29" s="7">
        <v>0</v>
      </c>
      <c r="M29" s="11">
        <f t="shared" si="10"/>
        <v>0</v>
      </c>
      <c r="N29" s="11">
        <f t="shared" si="11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810</v>
      </c>
    </row>
    <row r="30" spans="2:24" ht="13.8" x14ac:dyDescent="0.2">
      <c r="B30" s="8">
        <f t="shared" si="8"/>
        <v>25</v>
      </c>
      <c r="C30" s="10">
        <v>25</v>
      </c>
      <c r="D30" s="13" t="s">
        <v>1424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9"/>
        <v>0</v>
      </c>
      <c r="L30" s="7">
        <v>0</v>
      </c>
      <c r="M30" s="11">
        <f t="shared" si="10"/>
        <v>0</v>
      </c>
      <c r="N30" s="11">
        <f t="shared" si="11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1466</v>
      </c>
    </row>
    <row r="31" spans="2:24" ht="13.8" x14ac:dyDescent="0.2">
      <c r="B31" s="8">
        <f t="shared" si="8"/>
        <v>26</v>
      </c>
      <c r="C31" s="10">
        <v>26</v>
      </c>
      <c r="D31" s="13" t="s">
        <v>1425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9"/>
        <v>0</v>
      </c>
      <c r="L31" s="7">
        <v>0</v>
      </c>
      <c r="M31" s="11">
        <f t="shared" si="10"/>
        <v>0</v>
      </c>
      <c r="N31" s="11">
        <f t="shared" si="11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382</v>
      </c>
    </row>
    <row r="32" spans="2:24" ht="13.8" x14ac:dyDescent="0.2">
      <c r="B32" s="8">
        <f t="shared" si="8"/>
        <v>27</v>
      </c>
      <c r="C32" s="10">
        <v>27</v>
      </c>
      <c r="D32" s="13" t="s">
        <v>1426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9"/>
        <v>0</v>
      </c>
      <c r="L32" s="7">
        <v>0</v>
      </c>
      <c r="M32" s="11">
        <f t="shared" si="10"/>
        <v>0</v>
      </c>
      <c r="N32" s="11">
        <f t="shared" si="11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1467</v>
      </c>
    </row>
    <row r="33" spans="2:24" ht="13.8" x14ac:dyDescent="0.2">
      <c r="B33" s="8">
        <f t="shared" si="8"/>
        <v>28</v>
      </c>
      <c r="C33" s="10">
        <v>28</v>
      </c>
      <c r="D33" s="13" t="s">
        <v>1427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9"/>
        <v>0</v>
      </c>
      <c r="L33" s="7">
        <v>0</v>
      </c>
      <c r="M33" s="11">
        <f t="shared" si="10"/>
        <v>0</v>
      </c>
      <c r="N33" s="11">
        <f t="shared" si="11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811</v>
      </c>
    </row>
    <row r="34" spans="2:24" ht="13.8" x14ac:dyDescent="0.2">
      <c r="B34" s="8">
        <f t="shared" si="8"/>
        <v>29</v>
      </c>
      <c r="C34" s="10">
        <v>29</v>
      </c>
      <c r="D34" s="13"/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9"/>
        <v>0</v>
      </c>
      <c r="L34" s="7">
        <v>0</v>
      </c>
      <c r="M34" s="11">
        <f t="shared" si="10"/>
        <v>0</v>
      </c>
      <c r="N34" s="11">
        <f t="shared" si="11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>
        <f t="shared" si="8"/>
        <v>30</v>
      </c>
      <c r="C35" s="10">
        <v>30</v>
      </c>
      <c r="D35" s="13" t="s">
        <v>1428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9"/>
        <v>0</v>
      </c>
      <c r="L35" s="7">
        <v>0</v>
      </c>
      <c r="M35" s="11">
        <f t="shared" si="10"/>
        <v>0</v>
      </c>
      <c r="N35" s="11">
        <f t="shared" si="11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1468</v>
      </c>
    </row>
    <row r="36" spans="2:24" ht="13.8" x14ac:dyDescent="0.2">
      <c r="B36" s="8">
        <f t="shared" si="8"/>
        <v>31</v>
      </c>
      <c r="C36" s="10">
        <v>31</v>
      </c>
      <c r="D36" s="13" t="s">
        <v>1429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9"/>
        <v>0</v>
      </c>
      <c r="L36" s="7">
        <v>0</v>
      </c>
      <c r="M36" s="11">
        <f t="shared" si="10"/>
        <v>0</v>
      </c>
      <c r="N36" s="11">
        <f t="shared" si="11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457</v>
      </c>
    </row>
    <row r="37" spans="2:24" ht="13.8" x14ac:dyDescent="0.2">
      <c r="B37" s="8">
        <f t="shared" si="8"/>
        <v>32</v>
      </c>
      <c r="C37" s="10">
        <v>32</v>
      </c>
      <c r="D37" s="13" t="s">
        <v>23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9"/>
        <v>0</v>
      </c>
      <c r="L37" s="7">
        <v>0</v>
      </c>
      <c r="M37" s="11">
        <f t="shared" si="10"/>
        <v>0</v>
      </c>
      <c r="N37" s="11">
        <f t="shared" si="11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458</v>
      </c>
    </row>
    <row r="38" spans="2:24" ht="13.8" x14ac:dyDescent="0.2">
      <c r="B38" s="8">
        <f t="shared" si="8"/>
        <v>33</v>
      </c>
      <c r="C38" s="10">
        <v>33</v>
      </c>
      <c r="D38" s="13" t="s">
        <v>1430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9"/>
        <v>0</v>
      </c>
      <c r="L38" s="7">
        <v>0</v>
      </c>
      <c r="M38" s="11">
        <f t="shared" si="10"/>
        <v>0</v>
      </c>
      <c r="N38" s="11">
        <f t="shared" si="11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812</v>
      </c>
    </row>
    <row r="39" spans="2:24" ht="13.8" x14ac:dyDescent="0.2">
      <c r="B39" s="8">
        <f t="shared" si="8"/>
        <v>34</v>
      </c>
      <c r="C39" s="10">
        <v>34</v>
      </c>
      <c r="D39" s="13" t="s">
        <v>1431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9"/>
        <v>0</v>
      </c>
      <c r="L39" s="7">
        <v>0</v>
      </c>
      <c r="M39" s="11">
        <f t="shared" si="10"/>
        <v>0</v>
      </c>
      <c r="N39" s="11">
        <f t="shared" si="11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1469</v>
      </c>
    </row>
    <row r="40" spans="2:24" ht="13.8" x14ac:dyDescent="0.2">
      <c r="B40" s="8">
        <f t="shared" si="8"/>
        <v>35</v>
      </c>
      <c r="C40" s="10">
        <v>35</v>
      </c>
      <c r="D40" s="13" t="s">
        <v>1329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9"/>
        <v>0</v>
      </c>
      <c r="L40" s="7">
        <v>0</v>
      </c>
      <c r="M40" s="11">
        <f t="shared" si="10"/>
        <v>0</v>
      </c>
      <c r="N40" s="11">
        <f t="shared" si="11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814</v>
      </c>
    </row>
    <row r="41" spans="2:24" ht="13.8" x14ac:dyDescent="0.2">
      <c r="B41" s="8">
        <f t="shared" si="8"/>
        <v>36</v>
      </c>
      <c r="C41" s="10">
        <v>36</v>
      </c>
      <c r="D41" s="13"/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9"/>
        <v>0</v>
      </c>
      <c r="L41" s="7">
        <v>0</v>
      </c>
      <c r="M41" s="11">
        <f t="shared" si="10"/>
        <v>0</v>
      </c>
      <c r="N41" s="11">
        <f t="shared" si="11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f t="shared" si="8"/>
        <v>37</v>
      </c>
      <c r="C42" s="10">
        <v>37</v>
      </c>
      <c r="D42" s="13" t="s">
        <v>1432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9"/>
        <v>0</v>
      </c>
      <c r="L42" s="7">
        <v>0</v>
      </c>
      <c r="M42" s="11">
        <f t="shared" si="10"/>
        <v>0</v>
      </c>
      <c r="N42" s="11">
        <f t="shared" si="11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1470</v>
      </c>
    </row>
    <row r="43" spans="2:24" ht="13.8" x14ac:dyDescent="0.2">
      <c r="B43" s="8">
        <f t="shared" si="8"/>
        <v>38</v>
      </c>
      <c r="C43" s="10">
        <v>38</v>
      </c>
      <c r="D43" s="13" t="s">
        <v>1142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9"/>
        <v>0</v>
      </c>
      <c r="L43" s="7">
        <v>0</v>
      </c>
      <c r="M43" s="11">
        <f t="shared" si="10"/>
        <v>0</v>
      </c>
      <c r="N43" s="11">
        <f t="shared" si="11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813</v>
      </c>
    </row>
    <row r="44" spans="2:24" ht="13.8" x14ac:dyDescent="0.2">
      <c r="B44" s="8">
        <f t="shared" si="8"/>
        <v>39</v>
      </c>
      <c r="C44" s="10">
        <v>39</v>
      </c>
      <c r="D44" s="13" t="s">
        <v>1433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9"/>
        <v>0</v>
      </c>
      <c r="L44" s="7">
        <v>0</v>
      </c>
      <c r="M44" s="11">
        <f t="shared" si="10"/>
        <v>0</v>
      </c>
      <c r="N44" s="11">
        <f t="shared" si="11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1471</v>
      </c>
    </row>
    <row r="45" spans="2:24" ht="13.8" x14ac:dyDescent="0.2">
      <c r="B45" s="8">
        <f t="shared" si="8"/>
        <v>40</v>
      </c>
      <c r="C45" s="10">
        <v>40</v>
      </c>
      <c r="D45" s="13"/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9"/>
        <v>0</v>
      </c>
      <c r="L45" s="7">
        <v>0</v>
      </c>
      <c r="M45" s="11">
        <f t="shared" si="10"/>
        <v>0</v>
      </c>
      <c r="N45" s="11">
        <f t="shared" si="11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f t="shared" si="8"/>
        <v>41</v>
      </c>
      <c r="C46" s="10">
        <v>41</v>
      </c>
      <c r="D46" s="13" t="s">
        <v>1133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9"/>
        <v>0</v>
      </c>
      <c r="L46" s="7">
        <v>0</v>
      </c>
      <c r="M46" s="11">
        <f t="shared" si="10"/>
        <v>0</v>
      </c>
      <c r="N46" s="11">
        <f t="shared" si="11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92</v>
      </c>
    </row>
    <row r="47" spans="2:24" ht="13.8" x14ac:dyDescent="0.2">
      <c r="B47" s="8">
        <f t="shared" si="8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9"/>
        <v>0</v>
      </c>
      <c r="L47" s="7">
        <v>0</v>
      </c>
      <c r="M47" s="11">
        <f t="shared" si="10"/>
        <v>0</v>
      </c>
      <c r="N47" s="11">
        <f t="shared" si="11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8"/>
        <v>43</v>
      </c>
      <c r="C48" s="10">
        <v>43</v>
      </c>
      <c r="D48" s="13" t="s">
        <v>505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9"/>
        <v>0</v>
      </c>
      <c r="L48" s="7">
        <v>0</v>
      </c>
      <c r="M48" s="11">
        <f t="shared" si="10"/>
        <v>0</v>
      </c>
      <c r="N48" s="11">
        <f t="shared" si="11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816</v>
      </c>
    </row>
    <row r="49" spans="2:24" ht="13.8" x14ac:dyDescent="0.2">
      <c r="B49" s="8">
        <f t="shared" si="8"/>
        <v>44</v>
      </c>
      <c r="C49" s="10">
        <v>44</v>
      </c>
      <c r="D49" s="13" t="s">
        <v>1434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9"/>
        <v>0</v>
      </c>
      <c r="L49" s="7">
        <v>0</v>
      </c>
      <c r="M49" s="11">
        <f t="shared" si="10"/>
        <v>0</v>
      </c>
      <c r="N49" s="11">
        <f t="shared" si="11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817</v>
      </c>
    </row>
    <row r="50" spans="2:24" ht="13.8" x14ac:dyDescent="0.2">
      <c r="B50" s="8">
        <f t="shared" si="8"/>
        <v>45</v>
      </c>
      <c r="C50" s="10">
        <v>45</v>
      </c>
      <c r="D50" s="13" t="s">
        <v>1435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9"/>
        <v>0</v>
      </c>
      <c r="L50" s="7">
        <v>0</v>
      </c>
      <c r="M50" s="11">
        <f t="shared" si="10"/>
        <v>0</v>
      </c>
      <c r="N50" s="11">
        <f t="shared" si="11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262</v>
      </c>
    </row>
    <row r="51" spans="2:24" ht="13.8" x14ac:dyDescent="0.2">
      <c r="B51" s="8">
        <f t="shared" si="8"/>
        <v>46</v>
      </c>
      <c r="C51" s="10">
        <v>46</v>
      </c>
      <c r="D51" s="13" t="s">
        <v>1436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9"/>
        <v>0</v>
      </c>
      <c r="L51" s="7">
        <v>0</v>
      </c>
      <c r="M51" s="11">
        <f t="shared" si="10"/>
        <v>0</v>
      </c>
      <c r="N51" s="11">
        <f t="shared" si="11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1472</v>
      </c>
    </row>
    <row r="52" spans="2:24" ht="13.8" x14ac:dyDescent="0.2">
      <c r="B52" s="8">
        <f t="shared" si="8"/>
        <v>47</v>
      </c>
      <c r="C52" s="10">
        <v>47</v>
      </c>
      <c r="D52" s="13" t="s">
        <v>1437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9"/>
        <v>0</v>
      </c>
      <c r="L52" s="7">
        <v>0</v>
      </c>
      <c r="M52" s="11">
        <f t="shared" si="10"/>
        <v>0</v>
      </c>
      <c r="N52" s="11">
        <f t="shared" si="11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1473</v>
      </c>
    </row>
    <row r="53" spans="2:24" ht="13.8" x14ac:dyDescent="0.2">
      <c r="B53" s="8">
        <f t="shared" si="8"/>
        <v>48</v>
      </c>
      <c r="C53" s="10">
        <v>48</v>
      </c>
      <c r="D53" s="13" t="s">
        <v>1438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9"/>
        <v>0</v>
      </c>
      <c r="L53" s="7">
        <v>0</v>
      </c>
      <c r="M53" s="11">
        <f t="shared" si="10"/>
        <v>0</v>
      </c>
      <c r="N53" s="11">
        <f t="shared" si="11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1474</v>
      </c>
    </row>
    <row r="54" spans="2:24" ht="13.8" x14ac:dyDescent="0.2">
      <c r="B54" s="8">
        <f t="shared" si="8"/>
        <v>49</v>
      </c>
      <c r="C54" s="10">
        <v>49</v>
      </c>
      <c r="D54" s="9"/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9"/>
        <v>0</v>
      </c>
      <c r="L54" s="7">
        <v>0</v>
      </c>
      <c r="M54" s="11">
        <f t="shared" si="10"/>
        <v>0</v>
      </c>
      <c r="N54" s="11">
        <f t="shared" si="11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8"/>
        <v>50</v>
      </c>
      <c r="C55" s="10">
        <v>50</v>
      </c>
      <c r="D55" s="13" t="s">
        <v>1439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9"/>
        <v>0</v>
      </c>
      <c r="L55" s="7">
        <v>0</v>
      </c>
      <c r="M55" s="11">
        <f t="shared" si="10"/>
        <v>0</v>
      </c>
      <c r="N55" s="11">
        <f t="shared" si="11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460</v>
      </c>
    </row>
    <row r="56" spans="2:24" ht="13.8" x14ac:dyDescent="0.2">
      <c r="B56" s="8">
        <f t="shared" si="8"/>
        <v>51</v>
      </c>
      <c r="C56" s="10">
        <v>51</v>
      </c>
      <c r="D56" s="13" t="s">
        <v>1440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9"/>
        <v>0</v>
      </c>
      <c r="L56" s="7">
        <v>0</v>
      </c>
      <c r="M56" s="11">
        <f t="shared" si="10"/>
        <v>0</v>
      </c>
      <c r="N56" s="11">
        <f t="shared" si="11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461</v>
      </c>
    </row>
    <row r="57" spans="2:24" ht="13.8" x14ac:dyDescent="0.2">
      <c r="B57" s="8">
        <f t="shared" si="8"/>
        <v>52</v>
      </c>
      <c r="C57" s="10">
        <v>52</v>
      </c>
      <c r="D57" s="13" t="s">
        <v>1441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9"/>
        <v>0</v>
      </c>
      <c r="L57" s="7">
        <v>0</v>
      </c>
      <c r="M57" s="11">
        <f t="shared" si="10"/>
        <v>0</v>
      </c>
      <c r="N57" s="11">
        <f t="shared" si="11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421</v>
      </c>
    </row>
    <row r="58" spans="2:24" ht="13.8" x14ac:dyDescent="0.2">
      <c r="B58" s="8">
        <f t="shared" si="8"/>
        <v>53</v>
      </c>
      <c r="C58" s="10">
        <v>53</v>
      </c>
      <c r="D58" s="13" t="s">
        <v>1350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9"/>
        <v>0</v>
      </c>
      <c r="L58" s="7">
        <v>0</v>
      </c>
      <c r="M58" s="11">
        <f t="shared" si="10"/>
        <v>0</v>
      </c>
      <c r="N58" s="11">
        <f t="shared" si="11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297</v>
      </c>
    </row>
    <row r="59" spans="2:24" ht="13.8" x14ac:dyDescent="0.2">
      <c r="B59" s="8">
        <f t="shared" si="8"/>
        <v>54</v>
      </c>
      <c r="C59" s="10">
        <v>54</v>
      </c>
      <c r="D59" s="13" t="s">
        <v>1442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9"/>
        <v>0</v>
      </c>
      <c r="L59" s="7">
        <v>0</v>
      </c>
      <c r="M59" s="11">
        <f t="shared" si="10"/>
        <v>0</v>
      </c>
      <c r="N59" s="11">
        <f t="shared" si="11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819</v>
      </c>
    </row>
    <row r="60" spans="2:24" ht="13.8" x14ac:dyDescent="0.2">
      <c r="B60" s="8">
        <f t="shared" si="8"/>
        <v>55</v>
      </c>
      <c r="C60" s="10">
        <v>55</v>
      </c>
      <c r="D60" s="13" t="s">
        <v>1219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9"/>
        <v>0</v>
      </c>
      <c r="L60" s="7">
        <v>0</v>
      </c>
      <c r="M60" s="11">
        <f t="shared" si="10"/>
        <v>0</v>
      </c>
      <c r="N60" s="11">
        <f t="shared" si="11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820</v>
      </c>
    </row>
    <row r="61" spans="2:24" ht="13.8" x14ac:dyDescent="0.2">
      <c r="B61" s="8">
        <f t="shared" si="8"/>
        <v>56</v>
      </c>
      <c r="C61" s="10">
        <v>56</v>
      </c>
      <c r="D61" s="13" t="s">
        <v>1443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9"/>
        <v>0</v>
      </c>
      <c r="L61" s="7">
        <v>0</v>
      </c>
      <c r="M61" s="11">
        <f t="shared" si="10"/>
        <v>0</v>
      </c>
      <c r="N61" s="11">
        <f t="shared" si="11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1475</v>
      </c>
    </row>
    <row r="62" spans="2:24" ht="13.8" x14ac:dyDescent="0.2">
      <c r="B62" s="8">
        <f t="shared" si="8"/>
        <v>57</v>
      </c>
      <c r="C62" s="10">
        <v>57</v>
      </c>
      <c r="D62" s="13" t="s">
        <v>97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9"/>
        <v>0</v>
      </c>
      <c r="L62" s="7">
        <v>0</v>
      </c>
      <c r="M62" s="11">
        <f t="shared" si="10"/>
        <v>0</v>
      </c>
      <c r="N62" s="11">
        <f t="shared" si="11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463</v>
      </c>
    </row>
    <row r="63" spans="2:24" ht="13.8" x14ac:dyDescent="0.2">
      <c r="B63" s="8">
        <f t="shared" si="8"/>
        <v>58</v>
      </c>
      <c r="C63" s="10">
        <v>58</v>
      </c>
      <c r="D63" s="13" t="s">
        <v>506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9"/>
        <v>0</v>
      </c>
      <c r="L63" s="7">
        <v>0</v>
      </c>
      <c r="M63" s="11">
        <f t="shared" si="10"/>
        <v>0</v>
      </c>
      <c r="N63" s="11">
        <f t="shared" si="11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821</v>
      </c>
    </row>
    <row r="64" spans="2:24" ht="13.8" x14ac:dyDescent="0.2">
      <c r="B64" s="8">
        <f t="shared" si="8"/>
        <v>59</v>
      </c>
      <c r="C64" s="10">
        <v>59</v>
      </c>
      <c r="D64" s="13" t="s">
        <v>1444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9"/>
        <v>0</v>
      </c>
      <c r="L64" s="7">
        <v>0</v>
      </c>
      <c r="M64" s="11">
        <f t="shared" si="10"/>
        <v>0</v>
      </c>
      <c r="N64" s="11">
        <f t="shared" si="11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822</v>
      </c>
    </row>
    <row r="65" spans="2:24" ht="13.8" x14ac:dyDescent="0.2">
      <c r="B65" s="8">
        <f t="shared" si="8"/>
        <v>60</v>
      </c>
      <c r="C65" s="10">
        <v>60</v>
      </c>
      <c r="D65" s="13" t="s">
        <v>1445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9"/>
        <v>0</v>
      </c>
      <c r="L65" s="7">
        <v>0</v>
      </c>
      <c r="M65" s="11">
        <f t="shared" si="10"/>
        <v>0</v>
      </c>
      <c r="N65" s="11">
        <f t="shared" si="11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953</v>
      </c>
    </row>
    <row r="66" spans="2:24" ht="13.8" x14ac:dyDescent="0.2">
      <c r="B66" s="8">
        <f t="shared" si="8"/>
        <v>61</v>
      </c>
      <c r="C66" s="10">
        <v>61</v>
      </c>
      <c r="D66" s="13" t="s">
        <v>101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9"/>
        <v>0</v>
      </c>
      <c r="L66" s="7">
        <v>0</v>
      </c>
      <c r="M66" s="11">
        <f t="shared" si="10"/>
        <v>0</v>
      </c>
      <c r="N66" s="11">
        <f t="shared" si="11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465</v>
      </c>
    </row>
    <row r="67" spans="2:24" ht="13.8" x14ac:dyDescent="0.2">
      <c r="B67" s="8">
        <f t="shared" si="8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10"/>
        <v>0</v>
      </c>
      <c r="N67" s="11">
        <f t="shared" si="11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f t="shared" si="8"/>
        <v>63</v>
      </c>
      <c r="C68" s="10">
        <v>63</v>
      </c>
      <c r="D68" s="9" t="s">
        <v>11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10"/>
        <v>0</v>
      </c>
      <c r="N68" s="11">
        <f t="shared" si="11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466</v>
      </c>
    </row>
    <row r="69" spans="2:24" ht="13.8" x14ac:dyDescent="0.2">
      <c r="B69" s="8">
        <f t="shared" ref="B69:B132" si="12">IF(C69="","",C69)</f>
        <v>64</v>
      </c>
      <c r="C69" s="10">
        <v>64</v>
      </c>
      <c r="D69" s="13" t="s">
        <v>507</v>
      </c>
      <c r="E69" s="11" t="str">
        <f t="shared" ref="E69:E131" si="13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4">((G69-H69-I69-J69)+(H69*2)+(I69*3)+(J69*4))</f>
        <v>0</v>
      </c>
      <c r="L69" s="7">
        <v>0</v>
      </c>
      <c r="M69" s="11">
        <f t="shared" ref="M69:M132" si="15">IFERROR(IF((G69+P69+Q69)/(F69+P69+Q69+S69)=1,"1.00",(G69+P69+Q69)/(F69+P69+Q69+S69)),0)</f>
        <v>0</v>
      </c>
      <c r="N69" s="11">
        <f t="shared" ref="N69:N132" si="16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823</v>
      </c>
    </row>
    <row r="70" spans="2:24" ht="13.8" x14ac:dyDescent="0.2">
      <c r="B70" s="8">
        <f t="shared" si="12"/>
        <v>65</v>
      </c>
      <c r="C70" s="10">
        <v>65</v>
      </c>
      <c r="D70" s="9" t="s">
        <v>751</v>
      </c>
      <c r="E70" s="11" t="str">
        <f t="shared" si="13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4"/>
        <v>0</v>
      </c>
      <c r="L70" s="7">
        <v>0</v>
      </c>
      <c r="M70" s="11">
        <f t="shared" si="15"/>
        <v>0</v>
      </c>
      <c r="N70" s="11">
        <f t="shared" si="16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1476</v>
      </c>
    </row>
    <row r="71" spans="2:24" ht="13.8" x14ac:dyDescent="0.2">
      <c r="B71" s="8">
        <f t="shared" si="12"/>
        <v>66</v>
      </c>
      <c r="C71" s="10">
        <v>66</v>
      </c>
      <c r="D71" s="13" t="s">
        <v>52</v>
      </c>
      <c r="E71" s="11" t="str">
        <f t="shared" si="13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4"/>
        <v>0</v>
      </c>
      <c r="L71" s="7">
        <v>0</v>
      </c>
      <c r="M71" s="11">
        <f t="shared" si="15"/>
        <v>0</v>
      </c>
      <c r="N71" s="11">
        <f t="shared" si="16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1046</v>
      </c>
    </row>
    <row r="72" spans="2:24" ht="13.8" x14ac:dyDescent="0.2">
      <c r="B72" s="8">
        <f t="shared" si="12"/>
        <v>67</v>
      </c>
      <c r="C72" s="10">
        <v>67</v>
      </c>
      <c r="D72" s="13" t="s">
        <v>1446</v>
      </c>
      <c r="E72" s="11" t="str">
        <f t="shared" si="13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4"/>
        <v>0</v>
      </c>
      <c r="L72" s="7">
        <v>0</v>
      </c>
      <c r="M72" s="11">
        <f t="shared" si="15"/>
        <v>0</v>
      </c>
      <c r="N72" s="11">
        <f t="shared" si="16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858</v>
      </c>
    </row>
    <row r="73" spans="2:24" ht="13.8" x14ac:dyDescent="0.2">
      <c r="B73" s="8">
        <f t="shared" si="12"/>
        <v>68</v>
      </c>
      <c r="C73" s="10">
        <v>68</v>
      </c>
      <c r="D73" s="13" t="s">
        <v>1335</v>
      </c>
      <c r="E73" s="11" t="str">
        <f t="shared" si="13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4"/>
        <v>0</v>
      </c>
      <c r="L73" s="7">
        <v>0</v>
      </c>
      <c r="M73" s="11">
        <f t="shared" si="15"/>
        <v>0</v>
      </c>
      <c r="N73" s="11">
        <f t="shared" si="16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440</v>
      </c>
    </row>
    <row r="74" spans="2:24" ht="13.8" x14ac:dyDescent="0.2">
      <c r="B74" s="8">
        <f t="shared" si="12"/>
        <v>69</v>
      </c>
      <c r="C74" s="10">
        <v>69</v>
      </c>
      <c r="D74" s="8"/>
      <c r="E74" s="11" t="str">
        <f t="shared" si="13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4"/>
        <v>0</v>
      </c>
      <c r="L74" s="7">
        <v>0</v>
      </c>
      <c r="M74" s="11">
        <f t="shared" si="15"/>
        <v>0</v>
      </c>
      <c r="N74" s="11">
        <f t="shared" si="16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2"/>
        <v>70</v>
      </c>
      <c r="C75" s="10">
        <v>70</v>
      </c>
      <c r="D75" s="8"/>
      <c r="E75" s="11" t="str">
        <f t="shared" si="13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4"/>
        <v>0</v>
      </c>
      <c r="L75" s="7">
        <v>0</v>
      </c>
      <c r="M75" s="11">
        <f t="shared" si="15"/>
        <v>0</v>
      </c>
      <c r="N75" s="11">
        <f t="shared" si="16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2"/>
        <v>71</v>
      </c>
      <c r="C76" s="10">
        <v>71</v>
      </c>
      <c r="D76" s="8"/>
      <c r="E76" s="11" t="str">
        <f t="shared" si="13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4"/>
        <v>0</v>
      </c>
      <c r="L76" s="7">
        <v>0</v>
      </c>
      <c r="M76" s="11">
        <f t="shared" si="15"/>
        <v>0</v>
      </c>
      <c r="N76" s="11">
        <f t="shared" si="16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2"/>
        <v>72</v>
      </c>
      <c r="C77" s="10">
        <v>72</v>
      </c>
      <c r="D77" s="8"/>
      <c r="E77" s="11" t="str">
        <f t="shared" si="13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4"/>
        <v>0</v>
      </c>
      <c r="L77" s="7">
        <v>0</v>
      </c>
      <c r="M77" s="11">
        <f t="shared" si="15"/>
        <v>0</v>
      </c>
      <c r="N77" s="11">
        <f t="shared" si="16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2"/>
        <v>73</v>
      </c>
      <c r="C78" s="10">
        <v>73</v>
      </c>
      <c r="D78" s="8"/>
      <c r="E78" s="11" t="str">
        <f t="shared" si="13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4"/>
        <v>0</v>
      </c>
      <c r="L78" s="7">
        <v>0</v>
      </c>
      <c r="M78" s="11">
        <f t="shared" si="15"/>
        <v>0</v>
      </c>
      <c r="N78" s="11">
        <f t="shared" si="16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2"/>
        <v>74</v>
      </c>
      <c r="C79" s="10">
        <v>74</v>
      </c>
      <c r="D79" s="8"/>
      <c r="E79" s="11" t="str">
        <f t="shared" si="13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4"/>
        <v>0</v>
      </c>
      <c r="L79" s="7">
        <v>0</v>
      </c>
      <c r="M79" s="11">
        <f t="shared" si="15"/>
        <v>0</v>
      </c>
      <c r="N79" s="11">
        <f t="shared" si="16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2"/>
        <v>75</v>
      </c>
      <c r="C80" s="10">
        <v>75</v>
      </c>
      <c r="D80" s="8"/>
      <c r="E80" s="11" t="str">
        <f t="shared" si="13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4"/>
        <v>0</v>
      </c>
      <c r="L80" s="7">
        <v>0</v>
      </c>
      <c r="M80" s="11">
        <f t="shared" si="15"/>
        <v>0</v>
      </c>
      <c r="N80" s="11">
        <f t="shared" si="16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2"/>
        <v>76</v>
      </c>
      <c r="C81" s="10">
        <v>76</v>
      </c>
      <c r="D81" s="8"/>
      <c r="E81" s="11" t="str">
        <f t="shared" si="13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4"/>
        <v>0</v>
      </c>
      <c r="L81" s="7">
        <v>0</v>
      </c>
      <c r="M81" s="11">
        <f t="shared" si="15"/>
        <v>0</v>
      </c>
      <c r="N81" s="11">
        <f t="shared" si="16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2"/>
        <v>77</v>
      </c>
      <c r="C82" s="10">
        <v>77</v>
      </c>
      <c r="D82" s="8"/>
      <c r="E82" s="11" t="str">
        <f t="shared" si="13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4"/>
        <v>0</v>
      </c>
      <c r="L82" s="7">
        <v>0</v>
      </c>
      <c r="M82" s="11">
        <f t="shared" si="15"/>
        <v>0</v>
      </c>
      <c r="N82" s="11">
        <f t="shared" si="16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2"/>
        <v>78</v>
      </c>
      <c r="C83" s="10">
        <v>78</v>
      </c>
      <c r="D83" s="8"/>
      <c r="E83" s="11" t="str">
        <f t="shared" si="13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4"/>
        <v>0</v>
      </c>
      <c r="L83" s="7">
        <v>0</v>
      </c>
      <c r="M83" s="11">
        <f t="shared" si="15"/>
        <v>0</v>
      </c>
      <c r="N83" s="11">
        <f t="shared" si="16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2"/>
        <v>79</v>
      </c>
      <c r="C84" s="10">
        <v>79</v>
      </c>
      <c r="D84" s="8"/>
      <c r="E84" s="11" t="str">
        <f t="shared" si="13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4"/>
        <v>0</v>
      </c>
      <c r="L84" s="7">
        <v>0</v>
      </c>
      <c r="M84" s="11">
        <f t="shared" si="15"/>
        <v>0</v>
      </c>
      <c r="N84" s="11">
        <f t="shared" si="16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2"/>
        <v>80</v>
      </c>
      <c r="C85" s="10">
        <v>80</v>
      </c>
      <c r="D85" s="8"/>
      <c r="E85" s="11" t="str">
        <f t="shared" si="13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4"/>
        <v>0</v>
      </c>
      <c r="L85" s="7">
        <v>0</v>
      </c>
      <c r="M85" s="11">
        <f t="shared" si="15"/>
        <v>0</v>
      </c>
      <c r="N85" s="11">
        <f t="shared" si="16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2"/>
        <v>81</v>
      </c>
      <c r="C86" s="10">
        <v>81</v>
      </c>
      <c r="D86" s="8"/>
      <c r="E86" s="11" t="str">
        <f t="shared" si="13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4"/>
        <v>0</v>
      </c>
      <c r="L86" s="7">
        <v>0</v>
      </c>
      <c r="M86" s="11">
        <f t="shared" si="15"/>
        <v>0</v>
      </c>
      <c r="N86" s="11">
        <f t="shared" si="16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2"/>
        <v>82</v>
      </c>
      <c r="C87" s="10">
        <v>82</v>
      </c>
      <c r="D87" s="8"/>
      <c r="E87" s="11" t="str">
        <f t="shared" si="13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4"/>
        <v>0</v>
      </c>
      <c r="L87" s="7">
        <v>0</v>
      </c>
      <c r="M87" s="11">
        <f t="shared" si="15"/>
        <v>0</v>
      </c>
      <c r="N87" s="11">
        <f t="shared" si="16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2"/>
        <v>83</v>
      </c>
      <c r="C88" s="10">
        <v>83</v>
      </c>
      <c r="D88" s="8"/>
      <c r="E88" s="11" t="str">
        <f t="shared" si="13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4"/>
        <v>0</v>
      </c>
      <c r="L88" s="7">
        <v>0</v>
      </c>
      <c r="M88" s="11">
        <f t="shared" si="15"/>
        <v>0</v>
      </c>
      <c r="N88" s="11">
        <f t="shared" si="16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2"/>
        <v>84</v>
      </c>
      <c r="C89" s="10">
        <v>84</v>
      </c>
      <c r="D89" s="8"/>
      <c r="E89" s="11" t="str">
        <f t="shared" si="13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4"/>
        <v>0</v>
      </c>
      <c r="L89" s="7">
        <v>0</v>
      </c>
      <c r="M89" s="11">
        <f t="shared" si="15"/>
        <v>0</v>
      </c>
      <c r="N89" s="11">
        <f t="shared" si="16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2"/>
        <v>85</v>
      </c>
      <c r="C90" s="10">
        <v>85</v>
      </c>
      <c r="D90" s="8"/>
      <c r="E90" s="11" t="str">
        <f t="shared" si="13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4"/>
        <v>0</v>
      </c>
      <c r="L90" s="7">
        <v>0</v>
      </c>
      <c r="M90" s="11">
        <f t="shared" si="15"/>
        <v>0</v>
      </c>
      <c r="N90" s="11">
        <f t="shared" si="16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2"/>
        <v>86</v>
      </c>
      <c r="C91" s="10">
        <v>86</v>
      </c>
      <c r="D91" s="8"/>
      <c r="E91" s="11" t="str">
        <f t="shared" si="13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4"/>
        <v>0</v>
      </c>
      <c r="L91" s="7">
        <v>0</v>
      </c>
      <c r="M91" s="11">
        <f t="shared" si="15"/>
        <v>0</v>
      </c>
      <c r="N91" s="11">
        <f t="shared" si="16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2"/>
        <v>87</v>
      </c>
      <c r="C92" s="10">
        <v>87</v>
      </c>
      <c r="D92" s="8"/>
      <c r="E92" s="11" t="str">
        <f t="shared" si="13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4"/>
        <v>0</v>
      </c>
      <c r="L92" s="7">
        <v>0</v>
      </c>
      <c r="M92" s="11">
        <f t="shared" si="15"/>
        <v>0</v>
      </c>
      <c r="N92" s="11">
        <f t="shared" si="16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2"/>
        <v>88</v>
      </c>
      <c r="C93" s="10">
        <v>88</v>
      </c>
      <c r="D93" s="8"/>
      <c r="E93" s="11" t="str">
        <f t="shared" si="13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4"/>
        <v>0</v>
      </c>
      <c r="L93" s="7">
        <v>0</v>
      </c>
      <c r="M93" s="11">
        <f t="shared" si="15"/>
        <v>0</v>
      </c>
      <c r="N93" s="11">
        <f t="shared" si="16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2"/>
        <v>89</v>
      </c>
      <c r="C94" s="10">
        <v>89</v>
      </c>
      <c r="D94" s="8"/>
      <c r="E94" s="11" t="str">
        <f t="shared" si="13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4"/>
        <v>0</v>
      </c>
      <c r="L94" s="7">
        <v>0</v>
      </c>
      <c r="M94" s="11">
        <f t="shared" si="15"/>
        <v>0</v>
      </c>
      <c r="N94" s="11">
        <f t="shared" si="16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2"/>
        <v>90</v>
      </c>
      <c r="C95" s="10">
        <v>90</v>
      </c>
      <c r="D95" s="8"/>
      <c r="E95" s="11" t="str">
        <f t="shared" si="13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4"/>
        <v>0</v>
      </c>
      <c r="L95" s="7">
        <v>0</v>
      </c>
      <c r="M95" s="11">
        <f t="shared" si="15"/>
        <v>0</v>
      </c>
      <c r="N95" s="11">
        <f t="shared" si="16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2"/>
        <v>91</v>
      </c>
      <c r="C96" s="10">
        <v>91</v>
      </c>
      <c r="D96" s="13"/>
      <c r="E96" s="11" t="str">
        <f t="shared" si="13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4"/>
        <v>0</v>
      </c>
      <c r="L96" s="7">
        <v>0</v>
      </c>
      <c r="M96" s="11">
        <f t="shared" si="15"/>
        <v>0</v>
      </c>
      <c r="N96" s="11">
        <f t="shared" si="16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2"/>
        <v>92</v>
      </c>
      <c r="C97" s="10">
        <v>92</v>
      </c>
      <c r="D97" s="13" t="s">
        <v>1447</v>
      </c>
      <c r="E97" s="11" t="str">
        <f t="shared" si="13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4"/>
        <v>0</v>
      </c>
      <c r="L97" s="7">
        <v>0</v>
      </c>
      <c r="M97" s="11">
        <f t="shared" si="15"/>
        <v>0</v>
      </c>
      <c r="N97" s="11">
        <f t="shared" si="16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 t="s">
        <v>825</v>
      </c>
    </row>
    <row r="98" spans="2:24" ht="13.8" x14ac:dyDescent="0.2">
      <c r="B98" s="8">
        <f t="shared" si="12"/>
        <v>93</v>
      </c>
      <c r="C98" s="10">
        <v>93</v>
      </c>
      <c r="D98" s="13"/>
      <c r="E98" s="11" t="str">
        <f t="shared" si="13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4"/>
        <v>0</v>
      </c>
      <c r="L98" s="7">
        <v>0</v>
      </c>
      <c r="M98" s="11">
        <f t="shared" si="15"/>
        <v>0</v>
      </c>
      <c r="N98" s="11">
        <f t="shared" si="16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2"/>
        <v>94</v>
      </c>
      <c r="C99" s="10">
        <v>94</v>
      </c>
      <c r="D99" s="13"/>
      <c r="E99" s="11" t="str">
        <f t="shared" si="13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4"/>
        <v>0</v>
      </c>
      <c r="L99" s="7">
        <v>0</v>
      </c>
      <c r="M99" s="11">
        <f t="shared" si="15"/>
        <v>0</v>
      </c>
      <c r="N99" s="11">
        <f t="shared" si="16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2"/>
        <v>95</v>
      </c>
      <c r="C100" s="10">
        <v>95</v>
      </c>
      <c r="D100" s="8" t="s">
        <v>1448</v>
      </c>
      <c r="E100" s="11" t="str">
        <f t="shared" si="13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4"/>
        <v>0</v>
      </c>
      <c r="L100" s="7">
        <v>0</v>
      </c>
      <c r="M100" s="11">
        <f t="shared" si="15"/>
        <v>0</v>
      </c>
      <c r="N100" s="11">
        <f t="shared" si="16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 t="s">
        <v>380</v>
      </c>
    </row>
    <row r="101" spans="2:24" ht="13.8" x14ac:dyDescent="0.2">
      <c r="B101" s="8">
        <f t="shared" si="12"/>
        <v>96</v>
      </c>
      <c r="C101" s="10">
        <v>96</v>
      </c>
      <c r="D101" s="8"/>
      <c r="E101" s="11" t="str">
        <f t="shared" si="13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4"/>
        <v>0</v>
      </c>
      <c r="L101" s="7">
        <v>0</v>
      </c>
      <c r="M101" s="11">
        <f t="shared" si="15"/>
        <v>0</v>
      </c>
      <c r="N101" s="11">
        <f t="shared" si="16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2"/>
        <v>97</v>
      </c>
      <c r="C102" s="10">
        <v>97</v>
      </c>
      <c r="D102" s="13"/>
      <c r="E102" s="11" t="str">
        <f t="shared" si="13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4"/>
        <v>0</v>
      </c>
      <c r="L102" s="7">
        <v>0</v>
      </c>
      <c r="M102" s="11">
        <f t="shared" si="15"/>
        <v>0</v>
      </c>
      <c r="N102" s="11">
        <f t="shared" si="16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2"/>
        <v>98</v>
      </c>
      <c r="C103" s="10">
        <v>98</v>
      </c>
      <c r="D103" s="13" t="s">
        <v>803</v>
      </c>
      <c r="E103" s="11" t="str">
        <f t="shared" si="13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4"/>
        <v>0</v>
      </c>
      <c r="L103" s="7">
        <v>0</v>
      </c>
      <c r="M103" s="11">
        <f t="shared" si="15"/>
        <v>0</v>
      </c>
      <c r="N103" s="11">
        <f t="shared" si="16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1477</v>
      </c>
    </row>
    <row r="104" spans="2:24" ht="13.8" x14ac:dyDescent="0.2">
      <c r="B104" s="8">
        <f t="shared" si="12"/>
        <v>99</v>
      </c>
      <c r="C104" s="10">
        <v>99</v>
      </c>
      <c r="D104" s="13"/>
      <c r="E104" s="11" t="str">
        <f t="shared" si="13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4"/>
        <v>0</v>
      </c>
      <c r="L104" s="7">
        <v>0</v>
      </c>
      <c r="M104" s="11">
        <f t="shared" si="15"/>
        <v>0</v>
      </c>
      <c r="N104" s="11">
        <f t="shared" si="16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>
        <f t="shared" si="12"/>
        <v>102</v>
      </c>
      <c r="C105" s="10">
        <v>102</v>
      </c>
      <c r="D105" s="9" t="s">
        <v>1449</v>
      </c>
      <c r="E105" s="11" t="str">
        <f t="shared" si="13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4"/>
        <v>0</v>
      </c>
      <c r="L105" s="7">
        <v>0</v>
      </c>
      <c r="M105" s="11">
        <f t="shared" si="15"/>
        <v>0</v>
      </c>
      <c r="N105" s="11">
        <f t="shared" si="16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1478</v>
      </c>
    </row>
    <row r="106" spans="2:24" ht="13.8" x14ac:dyDescent="0.2">
      <c r="B106" s="8">
        <f t="shared" si="12"/>
        <v>103</v>
      </c>
      <c r="C106" s="10">
        <v>103</v>
      </c>
      <c r="D106" s="9" t="s">
        <v>1450</v>
      </c>
      <c r="E106" s="11" t="str">
        <f t="shared" si="13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4"/>
        <v>0</v>
      </c>
      <c r="L106" s="7">
        <v>0</v>
      </c>
      <c r="M106" s="11">
        <f t="shared" si="15"/>
        <v>0</v>
      </c>
      <c r="N106" s="11">
        <f t="shared" si="16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1479</v>
      </c>
    </row>
    <row r="107" spans="2:24" ht="13.8" x14ac:dyDescent="0.2">
      <c r="B107" s="8">
        <f t="shared" si="12"/>
        <v>111</v>
      </c>
      <c r="C107" s="10">
        <v>111</v>
      </c>
      <c r="D107" s="9" t="s">
        <v>1451</v>
      </c>
      <c r="E107" s="11" t="str">
        <f t="shared" si="13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4"/>
        <v>0</v>
      </c>
      <c r="L107" s="7">
        <v>0</v>
      </c>
      <c r="M107" s="11">
        <f t="shared" si="15"/>
        <v>0</v>
      </c>
      <c r="N107" s="11">
        <f t="shared" si="16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1480</v>
      </c>
    </row>
    <row r="108" spans="2:24" ht="13.8" x14ac:dyDescent="0.2">
      <c r="B108" s="8">
        <f t="shared" si="12"/>
        <v>115</v>
      </c>
      <c r="C108" s="10">
        <v>115</v>
      </c>
      <c r="D108" s="9" t="s">
        <v>1452</v>
      </c>
      <c r="E108" s="11" t="str">
        <f t="shared" si="13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4"/>
        <v>0</v>
      </c>
      <c r="L108" s="7">
        <v>0</v>
      </c>
      <c r="M108" s="11">
        <f t="shared" si="15"/>
        <v>0</v>
      </c>
      <c r="N108" s="11">
        <f t="shared" si="16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416</v>
      </c>
    </row>
    <row r="109" spans="2:24" ht="13.8" x14ac:dyDescent="0.2">
      <c r="B109" s="8">
        <f t="shared" si="12"/>
        <v>122</v>
      </c>
      <c r="C109" s="10">
        <v>122</v>
      </c>
      <c r="D109" s="9" t="s">
        <v>1453</v>
      </c>
      <c r="E109" s="11" t="str">
        <f t="shared" si="13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4"/>
        <v>0</v>
      </c>
      <c r="L109" s="7">
        <v>0</v>
      </c>
      <c r="M109" s="11">
        <f t="shared" si="15"/>
        <v>0</v>
      </c>
      <c r="N109" s="11">
        <f t="shared" si="16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826</v>
      </c>
    </row>
    <row r="110" spans="2:24" ht="13.8" x14ac:dyDescent="0.2">
      <c r="B110" s="8">
        <f t="shared" si="12"/>
        <v>125</v>
      </c>
      <c r="C110" s="10">
        <v>125</v>
      </c>
      <c r="D110" s="9" t="s">
        <v>1454</v>
      </c>
      <c r="E110" s="11" t="str">
        <f t="shared" si="13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4"/>
        <v>0</v>
      </c>
      <c r="L110" s="7">
        <v>0</v>
      </c>
      <c r="M110" s="11">
        <f t="shared" si="15"/>
        <v>0</v>
      </c>
      <c r="N110" s="11">
        <f t="shared" si="16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827</v>
      </c>
    </row>
    <row r="111" spans="2:24" ht="13.8" x14ac:dyDescent="0.2">
      <c r="B111" s="8">
        <f t="shared" si="12"/>
        <v>127</v>
      </c>
      <c r="C111" s="10">
        <v>127</v>
      </c>
      <c r="D111" s="9" t="s">
        <v>1455</v>
      </c>
      <c r="E111" s="11" t="str">
        <f t="shared" si="13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4"/>
        <v>0</v>
      </c>
      <c r="L111" s="7">
        <v>0</v>
      </c>
      <c r="M111" s="11">
        <f t="shared" si="15"/>
        <v>0</v>
      </c>
      <c r="N111" s="11">
        <f t="shared" si="16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824</v>
      </c>
    </row>
    <row r="112" spans="2:24" ht="13.8" x14ac:dyDescent="0.2">
      <c r="B112" s="8">
        <f t="shared" si="12"/>
        <v>129</v>
      </c>
      <c r="C112" s="10">
        <v>129</v>
      </c>
      <c r="D112" s="9" t="s">
        <v>1456</v>
      </c>
      <c r="E112" s="11" t="str">
        <f t="shared" si="13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4"/>
        <v>0</v>
      </c>
      <c r="L112" s="7">
        <v>0</v>
      </c>
      <c r="M112" s="11">
        <f t="shared" si="15"/>
        <v>0</v>
      </c>
      <c r="N112" s="11">
        <f t="shared" si="16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331</v>
      </c>
    </row>
    <row r="113" spans="2:24" ht="13.8" x14ac:dyDescent="0.2">
      <c r="B113" s="8">
        <f t="shared" si="12"/>
        <v>130</v>
      </c>
      <c r="C113" s="10">
        <v>130</v>
      </c>
      <c r="D113" s="9" t="s">
        <v>1457</v>
      </c>
      <c r="E113" s="11" t="str">
        <f t="shared" si="13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4"/>
        <v>0</v>
      </c>
      <c r="L113" s="7">
        <v>0</v>
      </c>
      <c r="M113" s="11">
        <f t="shared" si="15"/>
        <v>0</v>
      </c>
      <c r="N113" s="11">
        <f t="shared" si="16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828</v>
      </c>
    </row>
    <row r="114" spans="2:24" ht="13.8" x14ac:dyDescent="0.2">
      <c r="B114" s="8">
        <f t="shared" si="12"/>
        <v>131</v>
      </c>
      <c r="C114" s="10">
        <v>131</v>
      </c>
      <c r="D114" s="8" t="s">
        <v>1458</v>
      </c>
      <c r="E114" s="11" t="str">
        <f t="shared" si="13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4"/>
        <v>0</v>
      </c>
      <c r="L114" s="7">
        <v>0</v>
      </c>
      <c r="M114" s="11">
        <f t="shared" si="15"/>
        <v>0</v>
      </c>
      <c r="N114" s="11">
        <f t="shared" si="16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1481</v>
      </c>
    </row>
    <row r="115" spans="2:24" ht="13.8" x14ac:dyDescent="0.2">
      <c r="B115" s="8">
        <f t="shared" si="12"/>
        <v>136</v>
      </c>
      <c r="C115" s="10">
        <v>136</v>
      </c>
      <c r="D115" s="26" t="s">
        <v>1136</v>
      </c>
      <c r="E115" s="11" t="str">
        <f t="shared" si="13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4"/>
        <v>0</v>
      </c>
      <c r="L115" s="7">
        <v>0</v>
      </c>
      <c r="M115" s="11">
        <f t="shared" si="15"/>
        <v>0</v>
      </c>
      <c r="N115" s="11">
        <f t="shared" si="16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815</v>
      </c>
    </row>
    <row r="116" spans="2:24" ht="13.8" x14ac:dyDescent="0.2">
      <c r="B116" s="8">
        <f t="shared" si="12"/>
        <v>140</v>
      </c>
      <c r="C116" s="10">
        <v>140</v>
      </c>
      <c r="D116" s="26" t="s">
        <v>1459</v>
      </c>
      <c r="E116" s="11" t="str">
        <f t="shared" si="13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4"/>
        <v>0</v>
      </c>
      <c r="L116" s="7">
        <v>0</v>
      </c>
      <c r="M116" s="11">
        <f t="shared" si="15"/>
        <v>0</v>
      </c>
      <c r="N116" s="11">
        <f t="shared" si="16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115</v>
      </c>
    </row>
    <row r="117" spans="2:24" ht="13.8" x14ac:dyDescent="0.2">
      <c r="B117" s="8">
        <f t="shared" si="12"/>
        <v>155</v>
      </c>
      <c r="C117" s="10">
        <v>155</v>
      </c>
      <c r="D117" s="26" t="s">
        <v>1460</v>
      </c>
      <c r="E117" s="11" t="str">
        <f t="shared" si="13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4"/>
        <v>0</v>
      </c>
      <c r="L117" s="7">
        <v>0</v>
      </c>
      <c r="M117" s="11">
        <f t="shared" si="15"/>
        <v>0</v>
      </c>
      <c r="N117" s="11">
        <f t="shared" si="16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1482</v>
      </c>
    </row>
    <row r="118" spans="2:24" ht="13.8" x14ac:dyDescent="0.2">
      <c r="B118" s="8">
        <f t="shared" si="12"/>
        <v>193</v>
      </c>
      <c r="C118" s="10">
        <v>193</v>
      </c>
      <c r="D118" s="26" t="s">
        <v>1461</v>
      </c>
      <c r="E118" s="11" t="str">
        <f t="shared" si="13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4"/>
        <v>0</v>
      </c>
      <c r="L118" s="7">
        <v>0</v>
      </c>
      <c r="M118" s="11">
        <f t="shared" si="15"/>
        <v>0</v>
      </c>
      <c r="N118" s="11">
        <f t="shared" si="16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1483</v>
      </c>
    </row>
    <row r="119" spans="2:24" ht="13.8" x14ac:dyDescent="0.2">
      <c r="B119" s="8">
        <f t="shared" si="12"/>
        <v>130</v>
      </c>
      <c r="C119" s="10">
        <v>130</v>
      </c>
      <c r="D119" s="26" t="s">
        <v>1457</v>
      </c>
      <c r="E119" s="11" t="str">
        <f t="shared" si="13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4"/>
        <v>0</v>
      </c>
      <c r="L119" s="7">
        <v>0</v>
      </c>
      <c r="M119" s="11">
        <f t="shared" si="15"/>
        <v>0</v>
      </c>
      <c r="N119" s="11">
        <f t="shared" si="16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828</v>
      </c>
    </row>
    <row r="120" spans="2:24" ht="13.8" x14ac:dyDescent="0.2">
      <c r="B120" s="8">
        <f t="shared" si="12"/>
        <v>133</v>
      </c>
      <c r="C120" s="10">
        <v>133</v>
      </c>
      <c r="D120" s="26" t="s">
        <v>804</v>
      </c>
      <c r="E120" s="11" t="str">
        <f t="shared" si="13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4"/>
        <v>0</v>
      </c>
      <c r="L120" s="7">
        <v>0</v>
      </c>
      <c r="M120" s="11">
        <f t="shared" si="15"/>
        <v>0</v>
      </c>
      <c r="N120" s="11">
        <f t="shared" si="16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829</v>
      </c>
    </row>
    <row r="121" spans="2:24" ht="13.8" x14ac:dyDescent="0.2">
      <c r="B121" s="8">
        <f t="shared" si="12"/>
        <v>144</v>
      </c>
      <c r="C121" s="10">
        <v>144</v>
      </c>
      <c r="D121" s="26" t="s">
        <v>1462</v>
      </c>
      <c r="E121" s="11" t="str">
        <f t="shared" si="13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4"/>
        <v>0</v>
      </c>
      <c r="L121" s="7">
        <v>0</v>
      </c>
      <c r="M121" s="11">
        <f t="shared" si="15"/>
        <v>0</v>
      </c>
      <c r="N121" s="11">
        <f t="shared" si="16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116</v>
      </c>
    </row>
    <row r="122" spans="2:24" ht="13.8" x14ac:dyDescent="0.2">
      <c r="B122" s="8" t="str">
        <f t="shared" si="12"/>
        <v/>
      </c>
      <c r="C122" s="10"/>
      <c r="D122" s="8"/>
      <c r="E122" s="11" t="str">
        <f t="shared" si="13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4"/>
        <v>0</v>
      </c>
      <c r="L122" s="7">
        <v>0</v>
      </c>
      <c r="M122" s="11">
        <f t="shared" si="15"/>
        <v>0</v>
      </c>
      <c r="N122" s="11">
        <f t="shared" si="16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2"/>
        <v/>
      </c>
      <c r="C123" s="10"/>
      <c r="D123" s="8"/>
      <c r="E123" s="11" t="str">
        <f t="shared" si="13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4"/>
        <v>0</v>
      </c>
      <c r="L123" s="7">
        <v>0</v>
      </c>
      <c r="M123" s="11">
        <f t="shared" si="15"/>
        <v>0</v>
      </c>
      <c r="N123" s="11">
        <f t="shared" si="16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2"/>
        <v/>
      </c>
      <c r="C124" s="10"/>
      <c r="D124" s="8"/>
      <c r="E124" s="11" t="str">
        <f t="shared" si="13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4"/>
        <v>0</v>
      </c>
      <c r="L124" s="7">
        <v>0</v>
      </c>
      <c r="M124" s="11">
        <f t="shared" si="15"/>
        <v>0</v>
      </c>
      <c r="N124" s="11">
        <f t="shared" si="16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2"/>
        <v/>
      </c>
      <c r="C125" s="10"/>
      <c r="D125" s="8"/>
      <c r="E125" s="11" t="str">
        <f t="shared" si="13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4"/>
        <v>0</v>
      </c>
      <c r="L125" s="7">
        <v>0</v>
      </c>
      <c r="M125" s="11">
        <f t="shared" si="15"/>
        <v>0</v>
      </c>
      <c r="N125" s="11">
        <f t="shared" si="16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2"/>
        <v/>
      </c>
      <c r="C126" s="10"/>
      <c r="D126" s="8"/>
      <c r="E126" s="11" t="str">
        <f t="shared" si="13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4"/>
        <v>0</v>
      </c>
      <c r="L126" s="7">
        <v>0</v>
      </c>
      <c r="M126" s="11">
        <f t="shared" si="15"/>
        <v>0</v>
      </c>
      <c r="N126" s="11">
        <f t="shared" si="16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2"/>
        <v/>
      </c>
      <c r="C127" s="10"/>
      <c r="D127" s="8"/>
      <c r="E127" s="11" t="str">
        <f t="shared" si="13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4"/>
        <v>0</v>
      </c>
      <c r="L127" s="7">
        <v>0</v>
      </c>
      <c r="M127" s="11">
        <f t="shared" si="15"/>
        <v>0</v>
      </c>
      <c r="N127" s="11">
        <f t="shared" si="16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2"/>
        <v/>
      </c>
      <c r="C128" s="10"/>
      <c r="D128" s="8"/>
      <c r="E128" s="11" t="str">
        <f t="shared" si="13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4"/>
        <v>0</v>
      </c>
      <c r="L128" s="7">
        <v>0</v>
      </c>
      <c r="M128" s="11">
        <f t="shared" si="15"/>
        <v>0</v>
      </c>
      <c r="N128" s="11">
        <f t="shared" si="16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2"/>
        <v/>
      </c>
      <c r="C129" s="10"/>
      <c r="D129" s="8"/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4"/>
        <v>0</v>
      </c>
      <c r="L129" s="7">
        <v>0</v>
      </c>
      <c r="M129" s="11">
        <f t="shared" si="15"/>
        <v>0</v>
      </c>
      <c r="N129" s="11">
        <f t="shared" si="16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2"/>
        <v/>
      </c>
      <c r="C130" s="10"/>
      <c r="D130" s="8"/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4"/>
        <v>0</v>
      </c>
      <c r="L130" s="7">
        <v>0</v>
      </c>
      <c r="M130" s="11">
        <f t="shared" si="15"/>
        <v>0</v>
      </c>
      <c r="N130" s="11">
        <f t="shared" si="16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2"/>
        <v/>
      </c>
      <c r="C131" s="10"/>
      <c r="D131" s="8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0</v>
      </c>
      <c r="M131" s="11">
        <f t="shared" si="15"/>
        <v>0</v>
      </c>
      <c r="N131" s="11">
        <f t="shared" si="16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2"/>
        <v/>
      </c>
      <c r="C132" s="10"/>
      <c r="D132" s="8"/>
      <c r="E132" s="11" t="str">
        <f t="shared" ref="E132:E133" si="17">IFERROR(IF(G132/F132=1,"1.00",G132/F132),"---")</f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0</v>
      </c>
      <c r="M132" s="11">
        <f t="shared" si="15"/>
        <v>0</v>
      </c>
      <c r="N132" s="11">
        <f t="shared" si="16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" si="18">IF(C133="","",C133)</f>
        <v/>
      </c>
      <c r="C133" s="10"/>
      <c r="D133" s="8"/>
      <c r="E133" s="11" t="str">
        <f t="shared" si="17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" si="19">((G133-H133-I133-J133)+(H133*2)+(I133*3)+(J133*4))</f>
        <v>0</v>
      </c>
      <c r="L133" s="7">
        <v>0</v>
      </c>
      <c r="M133" s="11">
        <f t="shared" ref="M133" si="20">IFERROR(IF((G133+P133+Q133)/(F133+P133+Q133+S133)=1,"1.00",(G133+P133+Q133)/(F133+P133+Q133+S133)),0)</f>
        <v>0</v>
      </c>
      <c r="N133" s="11">
        <f t="shared" ref="N133" si="21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20AE-A3FD-4078-8BA4-3417D1E98CBA}">
  <sheetPr codeName="Sheet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525</v>
      </c>
      <c r="C3" s="55" t="s">
        <v>681</v>
      </c>
      <c r="D3" s="55" t="s">
        <v>682</v>
      </c>
      <c r="E3" s="56" t="s">
        <v>28</v>
      </c>
      <c r="F3" s="57" t="s">
        <v>0</v>
      </c>
      <c r="G3" s="54" t="s">
        <v>1</v>
      </c>
      <c r="H3" s="54" t="s">
        <v>253</v>
      </c>
      <c r="I3" s="54" t="s">
        <v>254</v>
      </c>
      <c r="J3" s="58" t="s">
        <v>683</v>
      </c>
      <c r="K3" s="54" t="s">
        <v>644</v>
      </c>
      <c r="L3" s="59" t="s">
        <v>2</v>
      </c>
      <c r="M3" s="60" t="s">
        <v>252</v>
      </c>
      <c r="N3" s="56" t="s">
        <v>255</v>
      </c>
      <c r="O3" s="61" t="s">
        <v>639</v>
      </c>
      <c r="P3" s="54" t="s">
        <v>150</v>
      </c>
      <c r="Q3" s="54" t="s">
        <v>151</v>
      </c>
      <c r="R3" s="54" t="s">
        <v>637</v>
      </c>
      <c r="S3" s="54" t="s">
        <v>638</v>
      </c>
      <c r="T3" s="54" t="s">
        <v>640</v>
      </c>
      <c r="U3" s="54" t="s">
        <v>641</v>
      </c>
      <c r="V3" s="54" t="s">
        <v>642</v>
      </c>
      <c r="W3" s="54" t="s">
        <v>643</v>
      </c>
      <c r="X3" s="158"/>
    </row>
    <row r="4" spans="2:24" ht="13.8" x14ac:dyDescent="0.2">
      <c r="B4" s="8" t="str">
        <f>IF(C4="","",C4)</f>
        <v>00</v>
      </c>
      <c r="C4" s="10" t="s">
        <v>1309</v>
      </c>
      <c r="D4" s="13" t="s">
        <v>1484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943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154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407</v>
      </c>
    </row>
    <row r="6" spans="2:24" ht="13.8" x14ac:dyDescent="0.2">
      <c r="B6" s="8">
        <f t="shared" si="5"/>
        <v>1</v>
      </c>
      <c r="C6" s="10">
        <v>1</v>
      </c>
      <c r="D6" s="13" t="s">
        <v>1136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831</v>
      </c>
    </row>
    <row r="7" spans="2:24" ht="13.8" x14ac:dyDescent="0.2">
      <c r="B7" s="8">
        <f t="shared" si="5"/>
        <v>2</v>
      </c>
      <c r="C7" s="10">
        <v>2</v>
      </c>
      <c r="D7" s="13" t="s">
        <v>155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152</v>
      </c>
    </row>
    <row r="8" spans="2:24" ht="13.8" x14ac:dyDescent="0.2">
      <c r="B8" s="8">
        <f t="shared" si="5"/>
        <v>3</v>
      </c>
      <c r="C8" s="10">
        <v>3</v>
      </c>
      <c r="D8" s="13" t="s">
        <v>156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408</v>
      </c>
    </row>
    <row r="9" spans="2:24" ht="13.8" x14ac:dyDescent="0.2">
      <c r="B9" s="8">
        <f t="shared" si="5"/>
        <v>4</v>
      </c>
      <c r="C9" s="10">
        <v>4</v>
      </c>
      <c r="D9" s="13" t="s">
        <v>157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409</v>
      </c>
    </row>
    <row r="10" spans="2:24" ht="13.8" x14ac:dyDescent="0.2">
      <c r="B10" s="8">
        <f t="shared" si="5"/>
        <v>5</v>
      </c>
      <c r="C10" s="10">
        <v>5</v>
      </c>
      <c r="D10" s="13" t="s">
        <v>158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410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5"/>
        <v>7</v>
      </c>
      <c r="C12" s="10">
        <v>7</v>
      </c>
      <c r="D12" s="13" t="s">
        <v>1485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428</v>
      </c>
    </row>
    <row r="13" spans="2:24" ht="13.8" x14ac:dyDescent="0.2">
      <c r="B13" s="8">
        <f t="shared" si="5"/>
        <v>8</v>
      </c>
      <c r="C13" s="10">
        <v>8</v>
      </c>
      <c r="D13" s="13" t="s">
        <v>159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411</v>
      </c>
    </row>
    <row r="14" spans="2:24" ht="13.8" x14ac:dyDescent="0.2">
      <c r="B14" s="8">
        <f t="shared" si="5"/>
        <v>9</v>
      </c>
      <c r="C14" s="10">
        <v>9</v>
      </c>
      <c r="D14" s="13" t="s">
        <v>1486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1525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/>
    </row>
    <row r="17" spans="2:24" ht="13.8" x14ac:dyDescent="0.2">
      <c r="B17" s="8">
        <f t="shared" si="5"/>
        <v>12</v>
      </c>
      <c r="C17" s="10">
        <v>12</v>
      </c>
      <c r="D17" s="13" t="s">
        <v>160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46</v>
      </c>
    </row>
    <row r="18" spans="2:24" ht="13.8" x14ac:dyDescent="0.2">
      <c r="B18" s="8">
        <f t="shared" si="5"/>
        <v>13</v>
      </c>
      <c r="C18" s="10">
        <v>13</v>
      </c>
      <c r="D18" s="13" t="s">
        <v>469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412</v>
      </c>
    </row>
    <row r="19" spans="2:24" ht="13.8" x14ac:dyDescent="0.2">
      <c r="B19" s="8">
        <f t="shared" si="5"/>
        <v>14</v>
      </c>
      <c r="C19" s="10">
        <v>14</v>
      </c>
      <c r="D19" s="13" t="s">
        <v>1487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415</v>
      </c>
    </row>
    <row r="20" spans="2:24" ht="13.8" x14ac:dyDescent="0.2">
      <c r="B20" s="8">
        <f t="shared" si="5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5"/>
        <v>16</v>
      </c>
      <c r="C21" s="10">
        <v>16</v>
      </c>
      <c r="D21" s="13" t="s">
        <v>1548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414</v>
      </c>
    </row>
    <row r="22" spans="2:24" ht="13.8" x14ac:dyDescent="0.2">
      <c r="B22" s="8">
        <f t="shared" si="5"/>
        <v>17</v>
      </c>
      <c r="C22" s="10">
        <v>17</v>
      </c>
      <c r="D22" s="13" t="s">
        <v>1488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292</v>
      </c>
    </row>
    <row r="23" spans="2:24" ht="13.8" x14ac:dyDescent="0.2">
      <c r="B23" s="8">
        <f t="shared" si="5"/>
        <v>18</v>
      </c>
      <c r="C23" s="10">
        <v>18</v>
      </c>
      <c r="D23" s="13" t="s">
        <v>1489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1526</v>
      </c>
    </row>
    <row r="24" spans="2:24" ht="13.8" x14ac:dyDescent="0.2">
      <c r="B24" s="8">
        <f t="shared" si="5"/>
        <v>19</v>
      </c>
      <c r="C24" s="10">
        <v>19</v>
      </c>
      <c r="D24" s="13" t="s">
        <v>1490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832</v>
      </c>
    </row>
    <row r="25" spans="2:24" ht="13.8" x14ac:dyDescent="0.2">
      <c r="B25" s="8">
        <f t="shared" si="5"/>
        <v>20</v>
      </c>
      <c r="C25" s="10">
        <v>20</v>
      </c>
      <c r="D25" s="13"/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/>
    </row>
    <row r="26" spans="2:24" ht="13.8" x14ac:dyDescent="0.2">
      <c r="B26" s="8">
        <f t="shared" si="5"/>
        <v>21</v>
      </c>
      <c r="C26" s="10">
        <v>21</v>
      </c>
      <c r="D26" s="13" t="s">
        <v>830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35</v>
      </c>
    </row>
    <row r="27" spans="2:24" ht="13.8" x14ac:dyDescent="0.2">
      <c r="B27" s="8">
        <f t="shared" si="5"/>
        <v>22</v>
      </c>
      <c r="C27" s="10">
        <v>22</v>
      </c>
      <c r="D27" s="13"/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/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 t="s">
        <v>1491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1527</v>
      </c>
    </row>
    <row r="30" spans="2:24" ht="13.8" x14ac:dyDescent="0.2">
      <c r="B30" s="8">
        <f t="shared" si="5"/>
        <v>25</v>
      </c>
      <c r="C30" s="10">
        <v>25</v>
      </c>
      <c r="D30" s="13" t="s">
        <v>1492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1528</v>
      </c>
    </row>
    <row r="31" spans="2:24" ht="13.8" x14ac:dyDescent="0.2">
      <c r="B31" s="8">
        <f t="shared" si="5"/>
        <v>26</v>
      </c>
      <c r="C31" s="10">
        <v>26</v>
      </c>
      <c r="D31" s="13" t="s">
        <v>1493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833</v>
      </c>
    </row>
    <row r="32" spans="2:24" ht="13.8" x14ac:dyDescent="0.2">
      <c r="B32" s="8">
        <f t="shared" si="5"/>
        <v>27</v>
      </c>
      <c r="C32" s="10">
        <v>27</v>
      </c>
      <c r="D32" s="13" t="s">
        <v>161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417</v>
      </c>
    </row>
    <row r="33" spans="2:24" ht="13.8" x14ac:dyDescent="0.2">
      <c r="B33" s="8">
        <f t="shared" si="5"/>
        <v>28</v>
      </c>
      <c r="C33" s="10">
        <v>28</v>
      </c>
      <c r="D33" s="13" t="s">
        <v>1494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1529</v>
      </c>
    </row>
    <row r="34" spans="2:24" ht="13.8" x14ac:dyDescent="0.2">
      <c r="B34" s="8">
        <f t="shared" si="5"/>
        <v>29</v>
      </c>
      <c r="C34" s="10">
        <v>29</v>
      </c>
      <c r="D34" s="13" t="s">
        <v>1495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418</v>
      </c>
    </row>
    <row r="35" spans="2:24" ht="13.8" x14ac:dyDescent="0.2">
      <c r="B35" s="8">
        <f t="shared" si="5"/>
        <v>30</v>
      </c>
      <c r="C35" s="10">
        <v>30</v>
      </c>
      <c r="D35" s="13" t="s">
        <v>1496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834</v>
      </c>
    </row>
    <row r="36" spans="2:24" ht="13.8" x14ac:dyDescent="0.2">
      <c r="B36" s="8">
        <f t="shared" si="5"/>
        <v>31</v>
      </c>
      <c r="C36" s="10">
        <v>31</v>
      </c>
      <c r="D36" s="13"/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/>
    </row>
    <row r="37" spans="2:24" ht="13.8" x14ac:dyDescent="0.2">
      <c r="B37" s="8">
        <f t="shared" si="5"/>
        <v>32</v>
      </c>
      <c r="C37" s="10">
        <v>32</v>
      </c>
      <c r="D37" s="13" t="s">
        <v>1497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1530</v>
      </c>
    </row>
    <row r="38" spans="2:24" ht="13.8" x14ac:dyDescent="0.2">
      <c r="B38" s="8">
        <f t="shared" si="5"/>
        <v>33</v>
      </c>
      <c r="C38" s="10">
        <v>33</v>
      </c>
      <c r="D38" s="13" t="s">
        <v>162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420</v>
      </c>
    </row>
    <row r="39" spans="2:24" ht="13.8" x14ac:dyDescent="0.2">
      <c r="B39" s="8">
        <f t="shared" si="5"/>
        <v>34</v>
      </c>
      <c r="C39" s="10">
        <v>34</v>
      </c>
      <c r="D39" s="13" t="s">
        <v>1498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1531</v>
      </c>
    </row>
    <row r="40" spans="2:24" ht="13.8" x14ac:dyDescent="0.2">
      <c r="B40" s="8">
        <f t="shared" si="5"/>
        <v>35</v>
      </c>
      <c r="C40" s="10">
        <v>35</v>
      </c>
      <c r="D40" s="13" t="s">
        <v>1499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439</v>
      </c>
    </row>
    <row r="41" spans="2:24" ht="13.8" x14ac:dyDescent="0.2">
      <c r="B41" s="8">
        <f t="shared" si="5"/>
        <v>36</v>
      </c>
      <c r="C41" s="10">
        <v>36</v>
      </c>
      <c r="D41" s="13" t="s">
        <v>1500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1532</v>
      </c>
    </row>
    <row r="42" spans="2:24" ht="13.8" x14ac:dyDescent="0.2">
      <c r="B42" s="8">
        <f t="shared" si="5"/>
        <v>37</v>
      </c>
      <c r="C42" s="10">
        <v>37</v>
      </c>
      <c r="D42" s="13" t="s">
        <v>163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422</v>
      </c>
    </row>
    <row r="43" spans="2:24" ht="13.8" x14ac:dyDescent="0.2">
      <c r="B43" s="8">
        <f t="shared" si="5"/>
        <v>38</v>
      </c>
      <c r="C43" s="10">
        <v>38</v>
      </c>
      <c r="D43" s="13" t="s">
        <v>164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423</v>
      </c>
    </row>
    <row r="44" spans="2:24" ht="13.8" x14ac:dyDescent="0.2">
      <c r="B44" s="8">
        <f t="shared" si="5"/>
        <v>39</v>
      </c>
      <c r="C44" s="10">
        <v>39</v>
      </c>
      <c r="D44" s="13" t="s">
        <v>165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424</v>
      </c>
    </row>
    <row r="45" spans="2:24" ht="13.8" x14ac:dyDescent="0.2">
      <c r="B45" s="8">
        <f t="shared" si="5"/>
        <v>40</v>
      </c>
      <c r="C45" s="10">
        <v>40</v>
      </c>
      <c r="D45" s="13" t="s">
        <v>1501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835</v>
      </c>
    </row>
    <row r="46" spans="2:24" ht="13.8" x14ac:dyDescent="0.2">
      <c r="B46" s="8">
        <f t="shared" si="5"/>
        <v>41</v>
      </c>
      <c r="C46" s="10">
        <v>41</v>
      </c>
      <c r="D46" s="13" t="s">
        <v>166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425</v>
      </c>
    </row>
    <row r="47" spans="2:24" ht="13.8" x14ac:dyDescent="0.2">
      <c r="B47" s="8">
        <f t="shared" si="5"/>
        <v>42</v>
      </c>
      <c r="C47" s="10">
        <v>42</v>
      </c>
      <c r="D47" s="13" t="s">
        <v>1502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1533</v>
      </c>
    </row>
    <row r="48" spans="2:24" ht="13.8" x14ac:dyDescent="0.2">
      <c r="B48" s="8">
        <f t="shared" si="5"/>
        <v>43</v>
      </c>
      <c r="C48" s="10">
        <v>43</v>
      </c>
      <c r="D48" s="13" t="s">
        <v>1503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1534</v>
      </c>
    </row>
    <row r="49" spans="2:24" ht="13.8" x14ac:dyDescent="0.2">
      <c r="B49" s="8">
        <f t="shared" si="5"/>
        <v>44</v>
      </c>
      <c r="C49" s="10">
        <v>44</v>
      </c>
      <c r="D49" s="13" t="s">
        <v>1504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1535</v>
      </c>
    </row>
    <row r="50" spans="2:24" ht="13.8" x14ac:dyDescent="0.2">
      <c r="B50" s="8">
        <f t="shared" si="5"/>
        <v>45</v>
      </c>
      <c r="C50" s="10">
        <v>45</v>
      </c>
      <c r="D50" s="13" t="s">
        <v>113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1536</v>
      </c>
    </row>
    <row r="51" spans="2:24" ht="13.8" x14ac:dyDescent="0.2">
      <c r="B51" s="8">
        <f t="shared" si="5"/>
        <v>46</v>
      </c>
      <c r="C51" s="10">
        <v>46</v>
      </c>
      <c r="D51" s="13" t="s">
        <v>1505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1537</v>
      </c>
    </row>
    <row r="52" spans="2:24" ht="13.8" x14ac:dyDescent="0.2">
      <c r="B52" s="8">
        <f t="shared" si="5"/>
        <v>47</v>
      </c>
      <c r="C52" s="10">
        <v>47</v>
      </c>
      <c r="D52" s="13" t="s">
        <v>470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474</v>
      </c>
    </row>
    <row r="53" spans="2:24" ht="13.8" x14ac:dyDescent="0.2">
      <c r="B53" s="8">
        <f t="shared" si="5"/>
        <v>48</v>
      </c>
      <c r="C53" s="10">
        <v>48</v>
      </c>
      <c r="D53" s="13" t="s">
        <v>1506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837</v>
      </c>
    </row>
    <row r="54" spans="2:24" ht="13.8" x14ac:dyDescent="0.2">
      <c r="B54" s="8">
        <f t="shared" si="5"/>
        <v>49</v>
      </c>
      <c r="C54" s="10">
        <v>49</v>
      </c>
      <c r="D54" s="13" t="s">
        <v>1138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1538</v>
      </c>
    </row>
    <row r="55" spans="2:24" ht="13.8" x14ac:dyDescent="0.2">
      <c r="B55" s="8">
        <f t="shared" si="5"/>
        <v>50</v>
      </c>
      <c r="C55" s="10">
        <v>50</v>
      </c>
      <c r="D55" s="13" t="s">
        <v>1243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838</v>
      </c>
    </row>
    <row r="56" spans="2:24" ht="13.8" x14ac:dyDescent="0.2">
      <c r="B56" s="8">
        <f t="shared" si="5"/>
        <v>51</v>
      </c>
      <c r="C56" s="10">
        <v>51</v>
      </c>
      <c r="D56" s="13" t="s">
        <v>137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1539</v>
      </c>
    </row>
    <row r="57" spans="2:24" ht="13.8" x14ac:dyDescent="0.2">
      <c r="B57" s="8">
        <f t="shared" si="5"/>
        <v>52</v>
      </c>
      <c r="C57" s="10">
        <v>52</v>
      </c>
      <c r="D57" s="13" t="s">
        <v>1071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839</v>
      </c>
    </row>
    <row r="58" spans="2:24" ht="13.8" x14ac:dyDescent="0.2">
      <c r="B58" s="8">
        <f t="shared" si="5"/>
        <v>53</v>
      </c>
      <c r="C58" s="10">
        <v>53</v>
      </c>
      <c r="D58" s="13" t="s">
        <v>169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429</v>
      </c>
    </row>
    <row r="59" spans="2:24" ht="13.8" x14ac:dyDescent="0.2">
      <c r="B59" s="8">
        <f t="shared" si="5"/>
        <v>54</v>
      </c>
      <c r="C59" s="10">
        <v>54</v>
      </c>
      <c r="D59" s="13" t="s">
        <v>1235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1540</v>
      </c>
    </row>
    <row r="60" spans="2:24" ht="13.8" x14ac:dyDescent="0.2">
      <c r="B60" s="8">
        <f t="shared" si="5"/>
        <v>55</v>
      </c>
      <c r="C60" s="10">
        <v>55</v>
      </c>
      <c r="D60" s="13" t="s">
        <v>1507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1541</v>
      </c>
    </row>
    <row r="61" spans="2:24" ht="13.8" x14ac:dyDescent="0.2">
      <c r="B61" s="8">
        <f t="shared" si="5"/>
        <v>56</v>
      </c>
      <c r="C61" s="10">
        <v>56</v>
      </c>
      <c r="D61" s="13" t="s">
        <v>1508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840</v>
      </c>
    </row>
    <row r="62" spans="2:24" ht="13.8" x14ac:dyDescent="0.2">
      <c r="B62" s="8">
        <f t="shared" si="5"/>
        <v>57</v>
      </c>
      <c r="C62" s="10">
        <v>57</v>
      </c>
      <c r="D62" s="13" t="s">
        <v>170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431</v>
      </c>
    </row>
    <row r="63" spans="2:24" ht="13.8" x14ac:dyDescent="0.2">
      <c r="B63" s="8">
        <f t="shared" si="5"/>
        <v>58</v>
      </c>
      <c r="C63" s="10">
        <v>58</v>
      </c>
      <c r="D63" s="13" t="s">
        <v>471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475</v>
      </c>
    </row>
    <row r="64" spans="2:24" ht="13.8" x14ac:dyDescent="0.2">
      <c r="B64" s="8">
        <f t="shared" si="5"/>
        <v>59</v>
      </c>
      <c r="C64" s="10">
        <v>59</v>
      </c>
      <c r="D64" s="13" t="s">
        <v>171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432</v>
      </c>
    </row>
    <row r="65" spans="2:24" ht="13.8" x14ac:dyDescent="0.2">
      <c r="B65" s="8">
        <f t="shared" si="5"/>
        <v>60</v>
      </c>
      <c r="C65" s="10">
        <v>60</v>
      </c>
      <c r="D65" s="13" t="s">
        <v>1509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441</v>
      </c>
    </row>
    <row r="66" spans="2:24" ht="13.8" x14ac:dyDescent="0.2">
      <c r="B66" s="8">
        <f t="shared" si="5"/>
        <v>61</v>
      </c>
      <c r="C66" s="10">
        <v>61</v>
      </c>
      <c r="D66" s="13" t="s">
        <v>472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476</v>
      </c>
    </row>
    <row r="67" spans="2:24" ht="13.8" x14ac:dyDescent="0.2">
      <c r="B67" s="8">
        <f t="shared" si="5"/>
        <v>62</v>
      </c>
      <c r="C67" s="10">
        <v>62</v>
      </c>
      <c r="D67" s="13" t="s">
        <v>172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433</v>
      </c>
    </row>
    <row r="68" spans="2:24" ht="13.8" x14ac:dyDescent="0.2">
      <c r="B68" s="8">
        <f t="shared" si="5"/>
        <v>63</v>
      </c>
      <c r="C68" s="10">
        <v>63</v>
      </c>
      <c r="D68" s="13" t="s">
        <v>1510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841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473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477</v>
      </c>
    </row>
    <row r="70" spans="2:24" ht="13.8" x14ac:dyDescent="0.2">
      <c r="B70" s="8">
        <f t="shared" si="10"/>
        <v>65</v>
      </c>
      <c r="C70" s="10">
        <v>65</v>
      </c>
      <c r="D70" s="13" t="s">
        <v>173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434</v>
      </c>
    </row>
    <row r="71" spans="2:24" ht="13.8" x14ac:dyDescent="0.2">
      <c r="B71" s="8">
        <f t="shared" si="10"/>
        <v>66</v>
      </c>
      <c r="C71" s="10">
        <v>66</v>
      </c>
      <c r="D71" s="13" t="s">
        <v>1511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842</v>
      </c>
    </row>
    <row r="72" spans="2:24" ht="13.8" x14ac:dyDescent="0.2">
      <c r="B72" s="8">
        <f t="shared" si="10"/>
        <v>67</v>
      </c>
      <c r="C72" s="10">
        <v>67</v>
      </c>
      <c r="D72" s="13" t="s">
        <v>174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436</v>
      </c>
    </row>
    <row r="73" spans="2:24" ht="13.8" x14ac:dyDescent="0.2">
      <c r="B73" s="8">
        <f t="shared" si="10"/>
        <v>68</v>
      </c>
      <c r="C73" s="10">
        <v>68</v>
      </c>
      <c r="D73" s="13" t="s">
        <v>1350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478</v>
      </c>
    </row>
    <row r="74" spans="2:24" ht="13.8" x14ac:dyDescent="0.2">
      <c r="B74" s="8">
        <f t="shared" si="10"/>
        <v>69</v>
      </c>
      <c r="C74" s="10">
        <v>69</v>
      </c>
      <c r="D74" s="13" t="s">
        <v>2625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437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10"/>
        <v>93</v>
      </c>
      <c r="C98" s="10">
        <v>93</v>
      </c>
      <c r="D98" s="13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/>
    </row>
    <row r="99" spans="2:24" ht="13.8" x14ac:dyDescent="0.2">
      <c r="B99" s="8">
        <f t="shared" si="10"/>
        <v>94</v>
      </c>
      <c r="C99" s="10">
        <v>94</v>
      </c>
      <c r="D99" s="13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10"/>
        <v>96</v>
      </c>
      <c r="C101" s="10">
        <v>96</v>
      </c>
      <c r="D101" s="13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/>
    </row>
    <row r="102" spans="2:24" ht="13.8" x14ac:dyDescent="0.2">
      <c r="B102" s="8">
        <f t="shared" si="10"/>
        <v>97</v>
      </c>
      <c r="C102" s="10">
        <v>97</v>
      </c>
      <c r="D102" s="13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/>
    </row>
    <row r="103" spans="2:24" ht="13.8" x14ac:dyDescent="0.2">
      <c r="B103" s="8">
        <f t="shared" si="10"/>
        <v>98</v>
      </c>
      <c r="C103" s="10">
        <v>98</v>
      </c>
      <c r="D103" s="13" t="s">
        <v>1512</v>
      </c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 t="s">
        <v>1542</v>
      </c>
    </row>
    <row r="104" spans="2:24" ht="13.8" x14ac:dyDescent="0.2">
      <c r="B104" s="8">
        <f t="shared" si="10"/>
        <v>99</v>
      </c>
      <c r="C104" s="10">
        <v>99</v>
      </c>
      <c r="D104" s="13" t="s">
        <v>1513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1543</v>
      </c>
    </row>
    <row r="105" spans="2:24" ht="13.8" x14ac:dyDescent="0.2">
      <c r="B105" s="8">
        <f t="shared" si="10"/>
        <v>120</v>
      </c>
      <c r="C105" s="10">
        <v>120</v>
      </c>
      <c r="D105" s="13" t="s">
        <v>1514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413</v>
      </c>
    </row>
    <row r="106" spans="2:24" ht="13.8" x14ac:dyDescent="0.2">
      <c r="B106" s="8">
        <f t="shared" si="10"/>
        <v>121</v>
      </c>
      <c r="C106" s="10">
        <v>121</v>
      </c>
      <c r="D106" s="13" t="s">
        <v>1515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836</v>
      </c>
    </row>
    <row r="107" spans="2:24" ht="13.8" x14ac:dyDescent="0.2">
      <c r="B107" s="8">
        <f t="shared" si="10"/>
        <v>122</v>
      </c>
      <c r="C107" s="10">
        <v>122</v>
      </c>
      <c r="D107" s="13" t="s">
        <v>1318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435</v>
      </c>
    </row>
    <row r="108" spans="2:24" ht="13.8" x14ac:dyDescent="0.2">
      <c r="B108" s="8">
        <f t="shared" si="10"/>
        <v>123</v>
      </c>
      <c r="C108" s="10">
        <v>123</v>
      </c>
      <c r="D108" s="13" t="s">
        <v>1516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843</v>
      </c>
    </row>
    <row r="109" spans="2:24" ht="13.8" x14ac:dyDescent="0.2">
      <c r="B109" s="8">
        <f t="shared" si="10"/>
        <v>125</v>
      </c>
      <c r="C109" s="10">
        <v>125</v>
      </c>
      <c r="D109" s="13" t="s">
        <v>1517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479</v>
      </c>
    </row>
    <row r="110" spans="2:24" ht="13.8" x14ac:dyDescent="0.2">
      <c r="B110" s="8">
        <f t="shared" si="10"/>
        <v>126</v>
      </c>
      <c r="C110" s="10">
        <v>126</v>
      </c>
      <c r="D110" s="13" t="s">
        <v>1518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844</v>
      </c>
    </row>
    <row r="111" spans="2:24" ht="13.8" x14ac:dyDescent="0.2">
      <c r="B111" s="8">
        <f t="shared" si="10"/>
        <v>127</v>
      </c>
      <c r="C111" s="10">
        <v>127</v>
      </c>
      <c r="D111" s="26" t="s">
        <v>1519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1544</v>
      </c>
    </row>
    <row r="112" spans="2:24" ht="13.8" x14ac:dyDescent="0.2">
      <c r="B112" s="8">
        <f t="shared" si="10"/>
        <v>128</v>
      </c>
      <c r="C112" s="10">
        <v>128</v>
      </c>
      <c r="D112" s="13" t="s">
        <v>1520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1545</v>
      </c>
    </row>
    <row r="113" spans="2:24" ht="13.8" x14ac:dyDescent="0.2">
      <c r="B113" s="8">
        <f t="shared" si="10"/>
        <v>129</v>
      </c>
      <c r="C113" s="10">
        <v>129</v>
      </c>
      <c r="D113" s="13" t="s">
        <v>1521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1546</v>
      </c>
    </row>
    <row r="114" spans="2:24" ht="13.8" x14ac:dyDescent="0.2">
      <c r="B114" s="8">
        <f t="shared" si="10"/>
        <v>130</v>
      </c>
      <c r="C114" s="10">
        <v>130</v>
      </c>
      <c r="D114" s="8" t="s">
        <v>1522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1547</v>
      </c>
    </row>
    <row r="115" spans="2:24" ht="13.8" x14ac:dyDescent="0.2">
      <c r="B115" s="8">
        <f t="shared" si="10"/>
        <v>132</v>
      </c>
      <c r="C115" s="10">
        <v>132</v>
      </c>
      <c r="D115" s="26" t="s">
        <v>604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604</v>
      </c>
    </row>
    <row r="116" spans="2:24" ht="13.8" x14ac:dyDescent="0.2">
      <c r="B116" s="8">
        <f t="shared" si="10"/>
        <v>133</v>
      </c>
      <c r="C116" s="10">
        <v>133</v>
      </c>
      <c r="D116" s="8" t="s">
        <v>1523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1523</v>
      </c>
    </row>
    <row r="117" spans="2:24" ht="13.8" x14ac:dyDescent="0.2">
      <c r="B117" s="8">
        <f t="shared" si="10"/>
        <v>134</v>
      </c>
      <c r="C117" s="10">
        <v>134</v>
      </c>
      <c r="D117" s="8" t="s">
        <v>1524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1524</v>
      </c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4619-1D9F-45E2-BE0F-8E4AF7E00A11}">
  <sheetPr codeName="Sheet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525</v>
      </c>
      <c r="C3" s="55" t="s">
        <v>681</v>
      </c>
      <c r="D3" s="55" t="s">
        <v>682</v>
      </c>
      <c r="E3" s="56" t="s">
        <v>28</v>
      </c>
      <c r="F3" s="57" t="s">
        <v>0</v>
      </c>
      <c r="G3" s="54" t="s">
        <v>1</v>
      </c>
      <c r="H3" s="54" t="s">
        <v>253</v>
      </c>
      <c r="I3" s="54" t="s">
        <v>254</v>
      </c>
      <c r="J3" s="58" t="s">
        <v>683</v>
      </c>
      <c r="K3" s="54" t="s">
        <v>644</v>
      </c>
      <c r="L3" s="59" t="s">
        <v>2</v>
      </c>
      <c r="M3" s="60" t="s">
        <v>252</v>
      </c>
      <c r="N3" s="56" t="s">
        <v>255</v>
      </c>
      <c r="O3" s="61" t="s">
        <v>639</v>
      </c>
      <c r="P3" s="54" t="s">
        <v>150</v>
      </c>
      <c r="Q3" s="54" t="s">
        <v>151</v>
      </c>
      <c r="R3" s="54" t="s">
        <v>637</v>
      </c>
      <c r="S3" s="54" t="s">
        <v>638</v>
      </c>
      <c r="T3" s="54" t="s">
        <v>640</v>
      </c>
      <c r="U3" s="54" t="s">
        <v>641</v>
      </c>
      <c r="V3" s="54" t="s">
        <v>642</v>
      </c>
      <c r="W3" s="54" t="s">
        <v>643</v>
      </c>
      <c r="X3" s="158"/>
    </row>
    <row r="4" spans="2:24" ht="13.8" x14ac:dyDescent="0.2">
      <c r="B4" s="8" t="str">
        <f>IF(C4="","",C4)</f>
        <v>00</v>
      </c>
      <c r="C4" s="10" t="s">
        <v>1309</v>
      </c>
      <c r="D4" s="13" t="s">
        <v>1550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875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1551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855</v>
      </c>
    </row>
    <row r="6" spans="2:24" ht="13.8" x14ac:dyDescent="0.2">
      <c r="B6" s="8">
        <f t="shared" si="5"/>
        <v>1</v>
      </c>
      <c r="C6" s="10">
        <v>1</v>
      </c>
      <c r="D6" s="13" t="s">
        <v>1552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405</v>
      </c>
    </row>
    <row r="7" spans="2:24" ht="13.8" x14ac:dyDescent="0.2">
      <c r="B7" s="8">
        <f t="shared" si="5"/>
        <v>2</v>
      </c>
      <c r="C7" s="10">
        <v>2</v>
      </c>
      <c r="D7" s="13" t="s">
        <v>1553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849</v>
      </c>
    </row>
    <row r="8" spans="2:24" ht="13.8" x14ac:dyDescent="0.2">
      <c r="B8" s="8">
        <f t="shared" si="5"/>
        <v>3</v>
      </c>
      <c r="C8" s="10">
        <v>3</v>
      </c>
      <c r="D8" s="13" t="s">
        <v>1624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387</v>
      </c>
    </row>
    <row r="9" spans="2:24" ht="13.8" x14ac:dyDescent="0.2">
      <c r="B9" s="8">
        <f t="shared" si="5"/>
        <v>4</v>
      </c>
      <c r="C9" s="10">
        <v>4</v>
      </c>
      <c r="D9" s="13" t="s">
        <v>846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1600</v>
      </c>
    </row>
    <row r="10" spans="2:24" ht="13.8" x14ac:dyDescent="0.2">
      <c r="B10" s="8">
        <f t="shared" si="5"/>
        <v>5</v>
      </c>
      <c r="C10" s="10">
        <v>5</v>
      </c>
      <c r="D10" s="13" t="s">
        <v>1554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851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5"/>
        <v>7</v>
      </c>
      <c r="C12" s="10">
        <v>7</v>
      </c>
      <c r="D12" s="13" t="s">
        <v>1555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865</v>
      </c>
    </row>
    <row r="13" spans="2:24" ht="13.8" x14ac:dyDescent="0.2">
      <c r="B13" s="8">
        <f t="shared" si="5"/>
        <v>8</v>
      </c>
      <c r="C13" s="10">
        <v>8</v>
      </c>
      <c r="D13" s="13" t="s">
        <v>14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390</v>
      </c>
    </row>
    <row r="14" spans="2:24" ht="13.8" x14ac:dyDescent="0.2">
      <c r="B14" s="8">
        <f t="shared" si="5"/>
        <v>9</v>
      </c>
      <c r="C14" s="10">
        <v>9</v>
      </c>
      <c r="D14" s="13" t="s">
        <v>1556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1601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 t="s">
        <v>1557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1602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/>
    </row>
    <row r="18" spans="2:24" ht="13.8" x14ac:dyDescent="0.2">
      <c r="B18" s="8">
        <f t="shared" si="5"/>
        <v>13</v>
      </c>
      <c r="C18" s="10">
        <v>13</v>
      </c>
      <c r="D18" s="13" t="s">
        <v>1329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391</v>
      </c>
    </row>
    <row r="19" spans="2:24" ht="13.8" x14ac:dyDescent="0.2">
      <c r="B19" s="8">
        <f t="shared" si="5"/>
        <v>14</v>
      </c>
      <c r="C19" s="10">
        <v>14</v>
      </c>
      <c r="D19" s="13" t="s">
        <v>1558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852</v>
      </c>
    </row>
    <row r="20" spans="2:24" ht="13.8" x14ac:dyDescent="0.2">
      <c r="B20" s="8">
        <f t="shared" si="5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5"/>
        <v>16</v>
      </c>
      <c r="C21" s="10">
        <v>16</v>
      </c>
      <c r="D21" s="13" t="s">
        <v>1559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1603</v>
      </c>
    </row>
    <row r="22" spans="2:24" ht="13.8" x14ac:dyDescent="0.2">
      <c r="B22" s="8">
        <f t="shared" si="5"/>
        <v>17</v>
      </c>
      <c r="C22" s="10">
        <v>17</v>
      </c>
      <c r="D22" s="13" t="s">
        <v>12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392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/>
    </row>
    <row r="24" spans="2:24" ht="13.8" x14ac:dyDescent="0.2">
      <c r="B24" s="8">
        <f t="shared" si="5"/>
        <v>19</v>
      </c>
      <c r="C24" s="10">
        <v>19</v>
      </c>
      <c r="D24" s="13" t="s">
        <v>1625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1604</v>
      </c>
    </row>
    <row r="25" spans="2:24" ht="13.8" x14ac:dyDescent="0.2">
      <c r="B25" s="8">
        <f t="shared" si="5"/>
        <v>20</v>
      </c>
      <c r="C25" s="10">
        <v>20</v>
      </c>
      <c r="D25" s="13" t="s">
        <v>1560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264</v>
      </c>
    </row>
    <row r="26" spans="2:24" ht="13.8" x14ac:dyDescent="0.2">
      <c r="B26" s="8">
        <f t="shared" si="5"/>
        <v>21</v>
      </c>
      <c r="C26" s="10">
        <v>21</v>
      </c>
      <c r="D26" s="13" t="s">
        <v>1561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1605</v>
      </c>
    </row>
    <row r="27" spans="2:24" ht="13.8" x14ac:dyDescent="0.2">
      <c r="B27" s="8">
        <f t="shared" si="5"/>
        <v>22</v>
      </c>
      <c r="C27" s="10">
        <v>22</v>
      </c>
      <c r="D27" s="13" t="s">
        <v>24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853</v>
      </c>
    </row>
    <row r="28" spans="2:24" ht="13.8" x14ac:dyDescent="0.2">
      <c r="B28" s="8">
        <f t="shared" si="5"/>
        <v>23</v>
      </c>
      <c r="C28" s="10">
        <v>23</v>
      </c>
      <c r="D28" s="13" t="s">
        <v>1562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2601</v>
      </c>
    </row>
    <row r="29" spans="2:24" ht="13.8" x14ac:dyDescent="0.2">
      <c r="B29" s="8">
        <f t="shared" si="5"/>
        <v>24</v>
      </c>
      <c r="C29" s="10">
        <v>24</v>
      </c>
      <c r="D29" s="13" t="s">
        <v>1563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1606</v>
      </c>
    </row>
    <row r="30" spans="2:24" ht="13.8" x14ac:dyDescent="0.2">
      <c r="B30" s="8">
        <f t="shared" si="5"/>
        <v>25</v>
      </c>
      <c r="C30" s="10">
        <v>25</v>
      </c>
      <c r="D30" s="13" t="s">
        <v>1217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386</v>
      </c>
    </row>
    <row r="31" spans="2:24" ht="13.8" x14ac:dyDescent="0.2">
      <c r="B31" s="8">
        <f t="shared" si="5"/>
        <v>26</v>
      </c>
      <c r="C31" s="10">
        <v>26</v>
      </c>
      <c r="D31" s="13" t="s">
        <v>845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856</v>
      </c>
    </row>
    <row r="32" spans="2:24" ht="13.8" x14ac:dyDescent="0.2">
      <c r="B32" s="8">
        <f t="shared" si="5"/>
        <v>27</v>
      </c>
      <c r="C32" s="10">
        <v>27</v>
      </c>
      <c r="D32" s="13"/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/>
    </row>
    <row r="33" spans="2:24" ht="13.8" x14ac:dyDescent="0.2">
      <c r="B33" s="8">
        <f t="shared" si="5"/>
        <v>28</v>
      </c>
      <c r="C33" s="10">
        <v>28</v>
      </c>
      <c r="D33" s="13" t="s">
        <v>1564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2602</v>
      </c>
    </row>
    <row r="34" spans="2:24" ht="13.8" x14ac:dyDescent="0.2">
      <c r="B34" s="8">
        <f t="shared" si="5"/>
        <v>29</v>
      </c>
      <c r="C34" s="10">
        <v>29</v>
      </c>
      <c r="D34" s="13" t="s">
        <v>1565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869</v>
      </c>
    </row>
    <row r="35" spans="2:24" ht="13.8" x14ac:dyDescent="0.2">
      <c r="B35" s="8">
        <f t="shared" si="5"/>
        <v>30</v>
      </c>
      <c r="C35" s="10">
        <v>30</v>
      </c>
      <c r="D35" s="13" t="s">
        <v>1566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389</v>
      </c>
    </row>
    <row r="36" spans="2:24" ht="13.8" x14ac:dyDescent="0.2">
      <c r="B36" s="8">
        <f t="shared" si="5"/>
        <v>31</v>
      </c>
      <c r="C36" s="10">
        <v>31</v>
      </c>
      <c r="D36" s="13" t="s">
        <v>2627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1607</v>
      </c>
    </row>
    <row r="37" spans="2:24" ht="13.8" x14ac:dyDescent="0.2">
      <c r="B37" s="8">
        <f t="shared" si="5"/>
        <v>32</v>
      </c>
      <c r="C37" s="10">
        <v>32</v>
      </c>
      <c r="D37" s="13" t="s">
        <v>1337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1033</v>
      </c>
    </row>
    <row r="38" spans="2:24" ht="13.8" x14ac:dyDescent="0.2">
      <c r="B38" s="8">
        <f t="shared" si="5"/>
        <v>33</v>
      </c>
      <c r="C38" s="10">
        <v>33</v>
      </c>
      <c r="D38" s="13"/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/>
    </row>
    <row r="39" spans="2:24" ht="13.8" x14ac:dyDescent="0.2">
      <c r="B39" s="8">
        <f t="shared" si="5"/>
        <v>34</v>
      </c>
      <c r="C39" s="10">
        <v>34</v>
      </c>
      <c r="D39" s="13" t="s">
        <v>16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396</v>
      </c>
    </row>
    <row r="40" spans="2:24" ht="13.8" x14ac:dyDescent="0.2">
      <c r="B40" s="8">
        <f t="shared" si="5"/>
        <v>35</v>
      </c>
      <c r="C40" s="10">
        <v>35</v>
      </c>
      <c r="D40" s="13" t="s">
        <v>13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397</v>
      </c>
    </row>
    <row r="41" spans="2:24" ht="13.8" x14ac:dyDescent="0.2">
      <c r="B41" s="8">
        <f t="shared" si="5"/>
        <v>36</v>
      </c>
      <c r="C41" s="10">
        <v>36</v>
      </c>
      <c r="D41" s="13" t="s">
        <v>1567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857</v>
      </c>
    </row>
    <row r="42" spans="2:24" ht="13.8" x14ac:dyDescent="0.2">
      <c r="B42" s="8">
        <f t="shared" si="5"/>
        <v>37</v>
      </c>
      <c r="C42" s="10">
        <v>37</v>
      </c>
      <c r="D42" s="13"/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/>
    </row>
    <row r="43" spans="2:24" ht="13.8" x14ac:dyDescent="0.2">
      <c r="B43" s="8">
        <f t="shared" si="5"/>
        <v>38</v>
      </c>
      <c r="C43" s="10">
        <v>38</v>
      </c>
      <c r="D43" s="13" t="s">
        <v>25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398</v>
      </c>
    </row>
    <row r="44" spans="2:24" ht="13.8" x14ac:dyDescent="0.2">
      <c r="B44" s="8">
        <f t="shared" si="5"/>
        <v>39</v>
      </c>
      <c r="C44" s="10">
        <v>39</v>
      </c>
      <c r="D44" s="13" t="s">
        <v>1568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859</v>
      </c>
    </row>
    <row r="45" spans="2:24" ht="13.8" x14ac:dyDescent="0.2">
      <c r="B45" s="8">
        <f t="shared" si="5"/>
        <v>40</v>
      </c>
      <c r="C45" s="10">
        <v>40</v>
      </c>
      <c r="D45" s="13"/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/>
    </row>
    <row r="46" spans="2:24" ht="13.8" x14ac:dyDescent="0.2">
      <c r="B46" s="8">
        <f t="shared" si="5"/>
        <v>41</v>
      </c>
      <c r="C46" s="10">
        <v>41</v>
      </c>
      <c r="D46" s="13" t="s">
        <v>26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399</v>
      </c>
    </row>
    <row r="47" spans="2:24" ht="13.8" x14ac:dyDescent="0.2">
      <c r="B47" s="8">
        <f t="shared" si="5"/>
        <v>42</v>
      </c>
      <c r="C47" s="10">
        <v>42</v>
      </c>
      <c r="D47" s="13" t="s">
        <v>749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860</v>
      </c>
    </row>
    <row r="48" spans="2:24" ht="13.8" x14ac:dyDescent="0.2">
      <c r="B48" s="8">
        <f t="shared" si="5"/>
        <v>43</v>
      </c>
      <c r="C48" s="10">
        <v>43</v>
      </c>
      <c r="D48" s="13" t="s">
        <v>508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861</v>
      </c>
    </row>
    <row r="49" spans="2:24" ht="13.8" x14ac:dyDescent="0.2">
      <c r="B49" s="8">
        <f t="shared" si="5"/>
        <v>44</v>
      </c>
      <c r="C49" s="10">
        <v>44</v>
      </c>
      <c r="D49" s="13" t="s">
        <v>1569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355</v>
      </c>
    </row>
    <row r="50" spans="2:24" ht="13.8" x14ac:dyDescent="0.2">
      <c r="B50" s="8">
        <f t="shared" si="5"/>
        <v>45</v>
      </c>
      <c r="C50" s="10">
        <v>45</v>
      </c>
      <c r="D50" s="13" t="s">
        <v>1570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1608</v>
      </c>
    </row>
    <row r="51" spans="2:24" ht="13.8" x14ac:dyDescent="0.2">
      <c r="B51" s="8">
        <f t="shared" si="5"/>
        <v>46</v>
      </c>
      <c r="C51" s="10">
        <v>46</v>
      </c>
      <c r="D51" s="13" t="s">
        <v>1571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862</v>
      </c>
    </row>
    <row r="52" spans="2:24" ht="13.8" x14ac:dyDescent="0.2">
      <c r="B52" s="8">
        <f t="shared" si="5"/>
        <v>47</v>
      </c>
      <c r="C52" s="10">
        <v>47</v>
      </c>
      <c r="D52" s="13" t="s">
        <v>1572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1609</v>
      </c>
    </row>
    <row r="53" spans="2:24" ht="13.8" x14ac:dyDescent="0.2">
      <c r="B53" s="8">
        <f t="shared" si="5"/>
        <v>48</v>
      </c>
      <c r="C53" s="10">
        <v>48</v>
      </c>
      <c r="D53" s="13" t="s">
        <v>1573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388</v>
      </c>
    </row>
    <row r="54" spans="2:24" ht="13.8" x14ac:dyDescent="0.2">
      <c r="B54" s="8">
        <f t="shared" si="5"/>
        <v>49</v>
      </c>
      <c r="C54" s="10">
        <v>49</v>
      </c>
      <c r="D54" s="13" t="s">
        <v>1432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468</v>
      </c>
    </row>
    <row r="55" spans="2:24" ht="13.8" x14ac:dyDescent="0.2">
      <c r="B55" s="8">
        <f t="shared" si="5"/>
        <v>50</v>
      </c>
      <c r="C55" s="10">
        <v>50</v>
      </c>
      <c r="D55" s="13" t="s">
        <v>1150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401</v>
      </c>
    </row>
    <row r="56" spans="2:24" ht="13.8" x14ac:dyDescent="0.2">
      <c r="B56" s="8">
        <f t="shared" si="5"/>
        <v>51</v>
      </c>
      <c r="C56" s="10">
        <v>51</v>
      </c>
      <c r="D56" s="13" t="s">
        <v>1574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376</v>
      </c>
    </row>
    <row r="57" spans="2:24" ht="13.8" x14ac:dyDescent="0.2">
      <c r="B57" s="8">
        <f t="shared" si="5"/>
        <v>52</v>
      </c>
      <c r="C57" s="10">
        <v>52</v>
      </c>
      <c r="D57" s="13" t="s">
        <v>1575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1610</v>
      </c>
    </row>
    <row r="58" spans="2:24" ht="13.8" x14ac:dyDescent="0.2">
      <c r="B58" s="8">
        <f t="shared" si="5"/>
        <v>53</v>
      </c>
      <c r="C58" s="10">
        <v>53</v>
      </c>
      <c r="D58" s="13"/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/>
    </row>
    <row r="59" spans="2:24" ht="13.8" x14ac:dyDescent="0.2">
      <c r="B59" s="8">
        <f t="shared" si="5"/>
        <v>54</v>
      </c>
      <c r="C59" s="10">
        <v>54</v>
      </c>
      <c r="D59" s="13" t="s">
        <v>15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402</v>
      </c>
    </row>
    <row r="60" spans="2:24" ht="13.8" x14ac:dyDescent="0.2">
      <c r="B60" s="8">
        <f t="shared" si="5"/>
        <v>55</v>
      </c>
      <c r="C60" s="10">
        <v>55</v>
      </c>
      <c r="D60" s="13" t="s">
        <v>1576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462</v>
      </c>
    </row>
    <row r="61" spans="2:24" ht="13.8" x14ac:dyDescent="0.2">
      <c r="B61" s="8">
        <f t="shared" si="5"/>
        <v>56</v>
      </c>
      <c r="C61" s="10">
        <v>56</v>
      </c>
      <c r="D61" s="13" t="s">
        <v>1577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1611</v>
      </c>
    </row>
    <row r="62" spans="2:24" ht="13.8" x14ac:dyDescent="0.2">
      <c r="B62" s="8">
        <f t="shared" si="5"/>
        <v>57</v>
      </c>
      <c r="C62" s="10">
        <v>57</v>
      </c>
      <c r="D62" s="13" t="s">
        <v>1259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1612</v>
      </c>
    </row>
    <row r="63" spans="2:24" ht="13.8" x14ac:dyDescent="0.2">
      <c r="B63" s="8">
        <f t="shared" si="5"/>
        <v>58</v>
      </c>
      <c r="C63" s="10">
        <v>58</v>
      </c>
      <c r="D63" s="13" t="s">
        <v>27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403</v>
      </c>
    </row>
    <row r="64" spans="2:24" ht="13.8" x14ac:dyDescent="0.2">
      <c r="B64" s="8">
        <f t="shared" si="5"/>
        <v>59</v>
      </c>
      <c r="C64" s="10">
        <v>59</v>
      </c>
      <c r="D64" s="13" t="s">
        <v>1578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303</v>
      </c>
    </row>
    <row r="65" spans="2:24" ht="13.8" x14ac:dyDescent="0.2">
      <c r="B65" s="8">
        <f t="shared" si="5"/>
        <v>60</v>
      </c>
      <c r="C65" s="10">
        <v>60</v>
      </c>
      <c r="D65" s="13" t="s">
        <v>1439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406</v>
      </c>
    </row>
    <row r="66" spans="2:24" ht="13.8" x14ac:dyDescent="0.2">
      <c r="B66" s="8">
        <f t="shared" si="5"/>
        <v>61</v>
      </c>
      <c r="C66" s="10">
        <v>61</v>
      </c>
      <c r="D66" s="13" t="s">
        <v>1579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1613</v>
      </c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/>
    </row>
    <row r="68" spans="2:24" ht="13.8" x14ac:dyDescent="0.2">
      <c r="B68" s="8">
        <f t="shared" si="5"/>
        <v>63</v>
      </c>
      <c r="C68" s="10">
        <v>63</v>
      </c>
      <c r="D68" s="13" t="s">
        <v>1580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47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1581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1614</v>
      </c>
    </row>
    <row r="70" spans="2:24" ht="13.8" x14ac:dyDescent="0.2">
      <c r="B70" s="8">
        <f t="shared" si="8"/>
        <v>65</v>
      </c>
      <c r="C70" s="10">
        <v>65</v>
      </c>
      <c r="D70" s="13" t="s">
        <v>1582</v>
      </c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464</v>
      </c>
    </row>
    <row r="71" spans="2:24" ht="13.8" x14ac:dyDescent="0.2">
      <c r="B71" s="8">
        <f t="shared" si="8"/>
        <v>66</v>
      </c>
      <c r="C71" s="10">
        <v>66</v>
      </c>
      <c r="D71" s="13" t="s">
        <v>1583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850</v>
      </c>
    </row>
    <row r="72" spans="2:24" ht="13.8" x14ac:dyDescent="0.2">
      <c r="B72" s="8">
        <f t="shared" si="8"/>
        <v>67</v>
      </c>
      <c r="C72" s="10">
        <v>67</v>
      </c>
      <c r="D72" s="13" t="s">
        <v>1584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1615</v>
      </c>
    </row>
    <row r="73" spans="2:24" ht="13.8" x14ac:dyDescent="0.2">
      <c r="B73" s="8">
        <f t="shared" si="8"/>
        <v>68</v>
      </c>
      <c r="C73" s="10">
        <v>68</v>
      </c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/>
    </row>
    <row r="74" spans="2:24" ht="13.8" x14ac:dyDescent="0.2">
      <c r="B74" s="8">
        <f t="shared" si="8"/>
        <v>69</v>
      </c>
      <c r="C74" s="10">
        <v>69</v>
      </c>
      <c r="D74" s="13" t="s">
        <v>1585</v>
      </c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914</v>
      </c>
    </row>
    <row r="75" spans="2:24" ht="13.8" x14ac:dyDescent="0.2">
      <c r="B75" s="8">
        <f t="shared" si="8"/>
        <v>70</v>
      </c>
      <c r="C75" s="10">
        <v>70</v>
      </c>
      <c r="D75" s="13" t="s">
        <v>1457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 t="s">
        <v>872</v>
      </c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 t="s">
        <v>1047</v>
      </c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866</v>
      </c>
    </row>
    <row r="96" spans="2:24" ht="13.8" x14ac:dyDescent="0.2">
      <c r="B96" s="8">
        <f t="shared" si="8"/>
        <v>91</v>
      </c>
      <c r="C96" s="10">
        <v>91</v>
      </c>
      <c r="D96" s="13" t="s">
        <v>1586</v>
      </c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 t="s">
        <v>1616</v>
      </c>
    </row>
    <row r="97" spans="2:24" ht="13.8" x14ac:dyDescent="0.2">
      <c r="B97" s="8">
        <f t="shared" si="8"/>
        <v>92</v>
      </c>
      <c r="C97" s="10">
        <v>92</v>
      </c>
      <c r="D97" s="13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8"/>
        <v>93</v>
      </c>
      <c r="C98" s="10">
        <v>93</v>
      </c>
      <c r="D98" s="13" t="s">
        <v>1587</v>
      </c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1617</v>
      </c>
    </row>
    <row r="99" spans="2:24" ht="13.8" x14ac:dyDescent="0.2">
      <c r="B99" s="8">
        <f t="shared" si="8"/>
        <v>94</v>
      </c>
      <c r="C99" s="10">
        <v>94</v>
      </c>
      <c r="D99" s="13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/>
    </row>
    <row r="100" spans="2:24" ht="13.8" x14ac:dyDescent="0.2">
      <c r="B100" s="8">
        <f t="shared" si="8"/>
        <v>95</v>
      </c>
      <c r="C100" s="10">
        <v>95</v>
      </c>
      <c r="D100" s="13" t="s">
        <v>748</v>
      </c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 t="s">
        <v>1618</v>
      </c>
    </row>
    <row r="101" spans="2:24" ht="13.8" x14ac:dyDescent="0.2">
      <c r="B101" s="8">
        <f t="shared" si="8"/>
        <v>96</v>
      </c>
      <c r="C101" s="10">
        <v>96</v>
      </c>
      <c r="D101" s="13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/>
    </row>
    <row r="102" spans="2:24" ht="13.8" x14ac:dyDescent="0.2">
      <c r="B102" s="8">
        <f t="shared" si="8"/>
        <v>97</v>
      </c>
      <c r="C102" s="10">
        <v>97</v>
      </c>
      <c r="D102" s="13" t="s">
        <v>1588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867</v>
      </c>
    </row>
    <row r="103" spans="2:24" ht="13.8" x14ac:dyDescent="0.2">
      <c r="B103" s="8">
        <f t="shared" si="8"/>
        <v>98</v>
      </c>
      <c r="C103" s="10">
        <v>98</v>
      </c>
      <c r="D103" s="13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8"/>
        <v>99</v>
      </c>
      <c r="C104" s="10">
        <v>99</v>
      </c>
      <c r="D104" s="13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/>
    </row>
    <row r="105" spans="2:24" ht="13.8" x14ac:dyDescent="0.2">
      <c r="B105" s="8">
        <f t="shared" si="8"/>
        <v>201</v>
      </c>
      <c r="C105" s="10">
        <v>201</v>
      </c>
      <c r="D105" s="23" t="s">
        <v>1589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1619</v>
      </c>
    </row>
    <row r="106" spans="2:24" ht="13.8" x14ac:dyDescent="0.2">
      <c r="B106" s="8">
        <f t="shared" si="8"/>
        <v>202</v>
      </c>
      <c r="C106" s="10">
        <v>202</v>
      </c>
      <c r="D106" s="13" t="s">
        <v>1317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1620</v>
      </c>
    </row>
    <row r="107" spans="2:24" ht="13.8" x14ac:dyDescent="0.2">
      <c r="B107" s="8">
        <f t="shared" si="8"/>
        <v>203</v>
      </c>
      <c r="C107" s="10">
        <v>203</v>
      </c>
      <c r="D107" s="13" t="s">
        <v>1590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1621</v>
      </c>
    </row>
    <row r="108" spans="2:24" ht="13.8" x14ac:dyDescent="0.2">
      <c r="B108" s="8">
        <f t="shared" si="8"/>
        <v>204</v>
      </c>
      <c r="C108" s="10">
        <v>204</v>
      </c>
      <c r="D108" s="13" t="s">
        <v>2626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395</v>
      </c>
    </row>
    <row r="109" spans="2:24" ht="13.8" x14ac:dyDescent="0.2">
      <c r="B109" s="8">
        <f t="shared" si="8"/>
        <v>205</v>
      </c>
      <c r="C109" s="10">
        <v>205</v>
      </c>
      <c r="D109" s="13" t="s">
        <v>1591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863</v>
      </c>
    </row>
    <row r="110" spans="2:24" ht="13.8" x14ac:dyDescent="0.2">
      <c r="B110" s="8">
        <f t="shared" si="8"/>
        <v>206</v>
      </c>
      <c r="C110" s="10">
        <v>206</v>
      </c>
      <c r="D110" s="13" t="s">
        <v>1592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864</v>
      </c>
    </row>
    <row r="111" spans="2:24" ht="13.8" x14ac:dyDescent="0.2">
      <c r="B111" s="8">
        <f t="shared" si="8"/>
        <v>207</v>
      </c>
      <c r="C111" s="10">
        <v>207</v>
      </c>
      <c r="D111" s="13" t="s">
        <v>1511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854</v>
      </c>
    </row>
    <row r="112" spans="2:24" ht="13.8" x14ac:dyDescent="0.2">
      <c r="B112" s="8">
        <f t="shared" si="8"/>
        <v>209</v>
      </c>
      <c r="C112" s="10">
        <v>209</v>
      </c>
      <c r="D112" s="13" t="s">
        <v>1593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870</v>
      </c>
    </row>
    <row r="113" spans="2:24" ht="13.8" x14ac:dyDescent="0.2">
      <c r="B113" s="8">
        <f t="shared" si="8"/>
        <v>211</v>
      </c>
      <c r="C113" s="10">
        <v>211</v>
      </c>
      <c r="D113" s="13" t="s">
        <v>1594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393</v>
      </c>
    </row>
    <row r="114" spans="2:24" ht="13.8" x14ac:dyDescent="0.2">
      <c r="B114" s="8">
        <f t="shared" si="8"/>
        <v>213</v>
      </c>
      <c r="C114" s="10">
        <v>213</v>
      </c>
      <c r="D114" s="26" t="s">
        <v>1595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871</v>
      </c>
    </row>
    <row r="115" spans="2:24" ht="13.8" x14ac:dyDescent="0.2">
      <c r="B115" s="8">
        <f t="shared" si="8"/>
        <v>215</v>
      </c>
      <c r="C115" s="10">
        <v>215</v>
      </c>
      <c r="D115" s="26" t="s">
        <v>1596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873</v>
      </c>
    </row>
    <row r="116" spans="2:24" ht="13.8" x14ac:dyDescent="0.2">
      <c r="B116" s="8">
        <f t="shared" si="8"/>
        <v>216</v>
      </c>
      <c r="C116" s="10">
        <v>216</v>
      </c>
      <c r="D116" s="26" t="s">
        <v>1597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1622</v>
      </c>
    </row>
    <row r="117" spans="2:24" ht="13.8" x14ac:dyDescent="0.2">
      <c r="B117" s="8">
        <f t="shared" si="8"/>
        <v>217</v>
      </c>
      <c r="C117" s="10">
        <v>217</v>
      </c>
      <c r="D117" s="26" t="s">
        <v>1598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1623</v>
      </c>
    </row>
    <row r="118" spans="2:24" ht="13.8" x14ac:dyDescent="0.2">
      <c r="B118" s="8">
        <f t="shared" si="8"/>
        <v>218</v>
      </c>
      <c r="C118" s="10">
        <v>218</v>
      </c>
      <c r="D118" s="26" t="s">
        <v>1599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876</v>
      </c>
    </row>
    <row r="119" spans="2:24" ht="13.8" x14ac:dyDescent="0.2">
      <c r="B119" s="8">
        <f t="shared" si="8"/>
        <v>219</v>
      </c>
      <c r="C119" s="10">
        <v>219</v>
      </c>
      <c r="D119" s="26" t="s">
        <v>604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604</v>
      </c>
    </row>
    <row r="120" spans="2:24" ht="13.8" x14ac:dyDescent="0.2">
      <c r="B120" s="8">
        <f t="shared" si="8"/>
        <v>216</v>
      </c>
      <c r="C120" s="10">
        <v>216</v>
      </c>
      <c r="D120" s="26" t="s">
        <v>847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874</v>
      </c>
    </row>
    <row r="121" spans="2:24" ht="13.8" x14ac:dyDescent="0.2">
      <c r="B121" s="8">
        <f t="shared" si="8"/>
        <v>217</v>
      </c>
      <c r="C121" s="10">
        <v>217</v>
      </c>
      <c r="D121" s="26" t="s">
        <v>1550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875</v>
      </c>
    </row>
    <row r="122" spans="2:24" ht="13.8" x14ac:dyDescent="0.2">
      <c r="B122" s="8">
        <f t="shared" si="8"/>
        <v>218</v>
      </c>
      <c r="C122" s="10">
        <v>218</v>
      </c>
      <c r="D122" s="26" t="s">
        <v>1599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876</v>
      </c>
    </row>
    <row r="123" spans="2:24" ht="13.8" x14ac:dyDescent="0.2">
      <c r="B123" s="8">
        <f t="shared" si="8"/>
        <v>219</v>
      </c>
      <c r="C123" s="10">
        <v>219</v>
      </c>
      <c r="D123" s="8" t="s">
        <v>748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1618</v>
      </c>
    </row>
    <row r="124" spans="2:24" ht="13.8" x14ac:dyDescent="0.2">
      <c r="B124" s="8">
        <f t="shared" si="8"/>
        <v>220</v>
      </c>
      <c r="C124" s="10">
        <v>220</v>
      </c>
      <c r="D124" s="8" t="s">
        <v>848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1048</v>
      </c>
    </row>
    <row r="125" spans="2:24" ht="13.8" x14ac:dyDescent="0.2">
      <c r="B125" s="8" t="str">
        <f t="shared" si="8"/>
        <v/>
      </c>
      <c r="C125" s="10"/>
      <c r="D125" s="8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8"/>
        <v/>
      </c>
      <c r="C126" s="10"/>
      <c r="D126" s="8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8"/>
        <v/>
      </c>
      <c r="C127" s="10"/>
      <c r="D127" s="8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8"/>
        <v/>
      </c>
      <c r="C128" s="10"/>
      <c r="D128" s="8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8"/>
        <v/>
      </c>
      <c r="C129" s="10"/>
      <c r="D129" s="8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8"/>
        <v/>
      </c>
      <c r="C130" s="10"/>
      <c r="D130" s="8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8"/>
        <v/>
      </c>
      <c r="C131" s="10"/>
      <c r="D131" s="8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v>0</v>
      </c>
      <c r="L131" s="7">
        <v>0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8"/>
        <v/>
      </c>
      <c r="C132" s="10"/>
      <c r="D132" s="8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v>0</v>
      </c>
      <c r="L132" s="7">
        <v>0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2">IF(C133="","",C133)</f>
        <v/>
      </c>
      <c r="C133" s="10"/>
      <c r="D133" s="8"/>
      <c r="E133" s="11" t="str">
        <f t="shared" ref="E133:E134" si="13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34" si="14">IFERROR(IF((G133+P133+Q133)/(F133+P133+Q133+S133)=1,"1.00",(G133+P133+Q133)/(F133+P133+Q133+S133)),0)</f>
        <v>0</v>
      </c>
      <c r="N133" s="11">
        <f t="shared" ref="N133:N134" si="15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2"/>
        <v/>
      </c>
      <c r="C134" s="10"/>
      <c r="D134" s="8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4"/>
        <v>0</v>
      </c>
      <c r="N134" s="11">
        <f t="shared" si="15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1734-5871-4FC9-B7FB-4177FD67A075}">
  <sheetPr codeName="Sheet8"/>
  <dimension ref="B1:X165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4" si="1">((G2-H2-I2-J2)+(H2*2)+(I2*3)+(J2*4))</f>
        <v>0</v>
      </c>
      <c r="L2" s="7">
        <f t="shared" si="0"/>
        <v>5050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525</v>
      </c>
      <c r="C3" s="55" t="s">
        <v>681</v>
      </c>
      <c r="D3" s="55" t="s">
        <v>682</v>
      </c>
      <c r="E3" s="56" t="s">
        <v>28</v>
      </c>
      <c r="F3" s="57" t="s">
        <v>0</v>
      </c>
      <c r="G3" s="54" t="s">
        <v>1</v>
      </c>
      <c r="H3" s="54" t="s">
        <v>253</v>
      </c>
      <c r="I3" s="54" t="s">
        <v>254</v>
      </c>
      <c r="J3" s="58" t="s">
        <v>683</v>
      </c>
      <c r="K3" s="54" t="s">
        <v>644</v>
      </c>
      <c r="L3" s="59" t="s">
        <v>2</v>
      </c>
      <c r="M3" s="60" t="s">
        <v>252</v>
      </c>
      <c r="N3" s="56" t="s">
        <v>255</v>
      </c>
      <c r="O3" s="61" t="s">
        <v>639</v>
      </c>
      <c r="P3" s="54" t="s">
        <v>150</v>
      </c>
      <c r="Q3" s="54" t="s">
        <v>151</v>
      </c>
      <c r="R3" s="54" t="s">
        <v>637</v>
      </c>
      <c r="S3" s="54" t="s">
        <v>638</v>
      </c>
      <c r="T3" s="54" t="s">
        <v>640</v>
      </c>
      <c r="U3" s="54" t="s">
        <v>641</v>
      </c>
      <c r="V3" s="54" t="s">
        <v>642</v>
      </c>
      <c r="W3" s="54" t="s">
        <v>643</v>
      </c>
      <c r="X3" s="158"/>
    </row>
    <row r="4" spans="2:24" ht="13.8" x14ac:dyDescent="0.2">
      <c r="B4" s="8" t="str">
        <f>IF(C4="","",C4)</f>
        <v>00</v>
      </c>
      <c r="C4" s="10" t="s">
        <v>1309</v>
      </c>
      <c r="D4" s="13" t="s">
        <v>1144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1702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1626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1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356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2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5"/>
        <v>2</v>
      </c>
      <c r="C7" s="10">
        <v>2</v>
      </c>
      <c r="D7" s="13" t="s">
        <v>1122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6"/>
        <v>0</v>
      </c>
      <c r="L7" s="7">
        <v>3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2621</v>
      </c>
    </row>
    <row r="8" spans="2:24" ht="13.8" x14ac:dyDescent="0.2">
      <c r="B8" s="8">
        <f t="shared" si="5"/>
        <v>3</v>
      </c>
      <c r="C8" s="10">
        <v>3</v>
      </c>
      <c r="D8" s="13" t="s">
        <v>1457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4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225</v>
      </c>
    </row>
    <row r="9" spans="2:24" ht="13.8" x14ac:dyDescent="0.2">
      <c r="B9" s="8">
        <f t="shared" si="5"/>
        <v>4</v>
      </c>
      <c r="C9" s="10">
        <v>4</v>
      </c>
      <c r="D9" s="13" t="s">
        <v>1123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5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1703</v>
      </c>
    </row>
    <row r="10" spans="2:24" ht="13.8" x14ac:dyDescent="0.2">
      <c r="B10" s="8">
        <f t="shared" si="5"/>
        <v>5</v>
      </c>
      <c r="C10" s="10">
        <v>5</v>
      </c>
      <c r="D10" s="13" t="s">
        <v>1627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6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335</v>
      </c>
    </row>
    <row r="11" spans="2:24" ht="13.8" x14ac:dyDescent="0.2">
      <c r="B11" s="8">
        <f t="shared" si="5"/>
        <v>6</v>
      </c>
      <c r="C11" s="10">
        <v>6</v>
      </c>
      <c r="D11" s="13" t="s">
        <v>37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7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358</v>
      </c>
    </row>
    <row r="12" spans="2:24" ht="13.8" x14ac:dyDescent="0.2">
      <c r="B12" s="8">
        <f t="shared" si="5"/>
        <v>7</v>
      </c>
      <c r="C12" s="10">
        <v>7</v>
      </c>
      <c r="D12" s="13" t="s">
        <v>29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6"/>
        <v>0</v>
      </c>
      <c r="L12" s="7">
        <v>8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359</v>
      </c>
    </row>
    <row r="13" spans="2:24" ht="13.8" x14ac:dyDescent="0.2">
      <c r="B13" s="8">
        <f t="shared" si="5"/>
        <v>8</v>
      </c>
      <c r="C13" s="10">
        <v>8</v>
      </c>
      <c r="D13" s="13" t="s">
        <v>1628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9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370</v>
      </c>
    </row>
    <row r="14" spans="2:24" ht="13.8" x14ac:dyDescent="0.2">
      <c r="B14" s="8">
        <f t="shared" si="5"/>
        <v>9</v>
      </c>
      <c r="C14" s="10">
        <v>9</v>
      </c>
      <c r="D14" s="13" t="s">
        <v>38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6"/>
        <v>0</v>
      </c>
      <c r="L14" s="7">
        <v>10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360</v>
      </c>
    </row>
    <row r="15" spans="2:24" ht="13.8" x14ac:dyDescent="0.2">
      <c r="B15" s="8">
        <f t="shared" si="5"/>
        <v>10</v>
      </c>
      <c r="C15" s="10">
        <v>10</v>
      </c>
      <c r="D15" s="13" t="s">
        <v>1629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11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231</v>
      </c>
    </row>
    <row r="16" spans="2:24" ht="13.8" x14ac:dyDescent="0.2">
      <c r="B16" s="8">
        <f t="shared" si="5"/>
        <v>11</v>
      </c>
      <c r="C16" s="10">
        <v>11</v>
      </c>
      <c r="D16" s="13" t="s">
        <v>54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12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361</v>
      </c>
    </row>
    <row r="17" spans="2:24" ht="13.8" x14ac:dyDescent="0.2">
      <c r="B17" s="8">
        <f t="shared" si="5"/>
        <v>12</v>
      </c>
      <c r="C17" s="10">
        <v>12</v>
      </c>
      <c r="D17" s="13" t="s">
        <v>1630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13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459</v>
      </c>
    </row>
    <row r="18" spans="2:24" ht="13.8" x14ac:dyDescent="0.2">
      <c r="B18" s="8">
        <f t="shared" si="5"/>
        <v>13</v>
      </c>
      <c r="C18" s="10">
        <v>13</v>
      </c>
      <c r="D18" s="13" t="s">
        <v>1631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14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1704</v>
      </c>
    </row>
    <row r="19" spans="2:24" ht="13.8" x14ac:dyDescent="0.2">
      <c r="B19" s="8">
        <f t="shared" si="5"/>
        <v>14</v>
      </c>
      <c r="C19" s="10">
        <v>14</v>
      </c>
      <c r="D19" s="13"/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15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/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16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39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17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362</v>
      </c>
    </row>
    <row r="22" spans="2:24" ht="13.8" x14ac:dyDescent="0.2">
      <c r="B22" s="8">
        <f t="shared" si="5"/>
        <v>17</v>
      </c>
      <c r="C22" s="10">
        <v>17</v>
      </c>
      <c r="D22" s="13"/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18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/>
    </row>
    <row r="23" spans="2:24" ht="13.8" x14ac:dyDescent="0.2">
      <c r="B23" s="8">
        <f t="shared" si="5"/>
        <v>18</v>
      </c>
      <c r="C23" s="10">
        <v>18</v>
      </c>
      <c r="D23" s="13" t="s">
        <v>1632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19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1705</v>
      </c>
    </row>
    <row r="24" spans="2:24" ht="13.8" x14ac:dyDescent="0.2">
      <c r="B24" s="8">
        <f t="shared" si="5"/>
        <v>19</v>
      </c>
      <c r="C24" s="10">
        <v>19</v>
      </c>
      <c r="D24" s="13" t="s">
        <v>1633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20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887</v>
      </c>
    </row>
    <row r="25" spans="2:24" ht="13.8" x14ac:dyDescent="0.2">
      <c r="B25" s="8">
        <f t="shared" si="5"/>
        <v>20</v>
      </c>
      <c r="C25" s="10">
        <v>20</v>
      </c>
      <c r="D25" s="13" t="s">
        <v>1634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21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1706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22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/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23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5"/>
        <v>23</v>
      </c>
      <c r="C28" s="10">
        <v>23</v>
      </c>
      <c r="D28" s="13" t="s">
        <v>1635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24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366</v>
      </c>
    </row>
    <row r="29" spans="2:24" ht="13.8" x14ac:dyDescent="0.2">
      <c r="B29" s="8">
        <f t="shared" si="5"/>
        <v>24</v>
      </c>
      <c r="C29" s="10">
        <v>24</v>
      </c>
      <c r="D29" s="13" t="s">
        <v>512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25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1707</v>
      </c>
    </row>
    <row r="30" spans="2:24" ht="13.8" x14ac:dyDescent="0.2">
      <c r="B30" s="8">
        <f t="shared" si="5"/>
        <v>25</v>
      </c>
      <c r="C30" s="10">
        <v>25</v>
      </c>
      <c r="D30" s="13" t="s">
        <v>1636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26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1708</v>
      </c>
    </row>
    <row r="31" spans="2:24" ht="13.8" x14ac:dyDescent="0.2">
      <c r="B31" s="8">
        <f t="shared" si="5"/>
        <v>26</v>
      </c>
      <c r="C31" s="10">
        <v>26</v>
      </c>
      <c r="D31" s="13" t="s">
        <v>1637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27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1709</v>
      </c>
    </row>
    <row r="32" spans="2:24" ht="13.8" x14ac:dyDescent="0.2">
      <c r="B32" s="8">
        <f t="shared" si="5"/>
        <v>27</v>
      </c>
      <c r="C32" s="10">
        <v>27</v>
      </c>
      <c r="D32" s="13" t="s">
        <v>1638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6"/>
        <v>0</v>
      </c>
      <c r="L32" s="7">
        <v>28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888</v>
      </c>
    </row>
    <row r="33" spans="2:24" ht="13.8" x14ac:dyDescent="0.2">
      <c r="B33" s="8">
        <f t="shared" si="5"/>
        <v>28</v>
      </c>
      <c r="C33" s="10">
        <v>28</v>
      </c>
      <c r="D33" s="13" t="s">
        <v>1639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29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1710</v>
      </c>
    </row>
    <row r="34" spans="2:24" ht="13.8" x14ac:dyDescent="0.2">
      <c r="B34" s="8">
        <f t="shared" si="5"/>
        <v>29</v>
      </c>
      <c r="C34" s="10">
        <v>29</v>
      </c>
      <c r="D34" s="13" t="s">
        <v>1640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30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1711</v>
      </c>
    </row>
    <row r="35" spans="2:24" ht="13.8" x14ac:dyDescent="0.2">
      <c r="B35" s="8">
        <f t="shared" si="5"/>
        <v>30</v>
      </c>
      <c r="C35" s="10">
        <v>30</v>
      </c>
      <c r="D35" s="13" t="s">
        <v>1641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31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323</v>
      </c>
    </row>
    <row r="36" spans="2:24" ht="13.8" x14ac:dyDescent="0.2">
      <c r="B36" s="8">
        <f t="shared" si="5"/>
        <v>31</v>
      </c>
      <c r="C36" s="10">
        <v>31</v>
      </c>
      <c r="D36" s="13" t="s">
        <v>1642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32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1712</v>
      </c>
    </row>
    <row r="37" spans="2:24" ht="13.8" x14ac:dyDescent="0.2">
      <c r="B37" s="8">
        <f t="shared" si="5"/>
        <v>32</v>
      </c>
      <c r="C37" s="10">
        <v>32</v>
      </c>
      <c r="D37" s="13" t="s">
        <v>56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33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369</v>
      </c>
    </row>
    <row r="38" spans="2:24" ht="13.8" x14ac:dyDescent="0.2">
      <c r="B38" s="8">
        <f t="shared" si="5"/>
        <v>33</v>
      </c>
      <c r="C38" s="10">
        <v>33</v>
      </c>
      <c r="D38" s="13" t="s">
        <v>1643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34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889</v>
      </c>
    </row>
    <row r="39" spans="2:24" ht="13.8" x14ac:dyDescent="0.2">
      <c r="B39" s="8">
        <f t="shared" si="5"/>
        <v>34</v>
      </c>
      <c r="C39" s="10">
        <v>34</v>
      </c>
      <c r="D39" s="13"/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35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f t="shared" si="5"/>
        <v>35</v>
      </c>
      <c r="C40" s="10">
        <v>35</v>
      </c>
      <c r="D40" s="13" t="s">
        <v>118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36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1713</v>
      </c>
    </row>
    <row r="41" spans="2:24" ht="13.8" x14ac:dyDescent="0.2">
      <c r="B41" s="8">
        <f t="shared" si="5"/>
        <v>36</v>
      </c>
      <c r="C41" s="10">
        <v>36</v>
      </c>
      <c r="D41" s="13" t="s">
        <v>1644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37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891</v>
      </c>
    </row>
    <row r="42" spans="2:24" ht="13.8" x14ac:dyDescent="0.2">
      <c r="B42" s="8">
        <f t="shared" si="5"/>
        <v>37</v>
      </c>
      <c r="C42" s="10">
        <v>37</v>
      </c>
      <c r="D42" s="13"/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6"/>
        <v>0</v>
      </c>
      <c r="L42" s="7">
        <v>38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5"/>
        <v>38</v>
      </c>
      <c r="C43" s="10">
        <v>38</v>
      </c>
      <c r="D43" s="13"/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39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f t="shared" si="5"/>
        <v>39</v>
      </c>
      <c r="C44" s="10">
        <v>39</v>
      </c>
      <c r="D44" s="13" t="s">
        <v>119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40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371</v>
      </c>
    </row>
    <row r="45" spans="2:24" ht="13.8" x14ac:dyDescent="0.2">
      <c r="B45" s="8">
        <f t="shared" si="5"/>
        <v>40</v>
      </c>
      <c r="C45" s="10">
        <v>40</v>
      </c>
      <c r="D45" s="13" t="s">
        <v>1645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41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372</v>
      </c>
    </row>
    <row r="46" spans="2:24" ht="13.8" x14ac:dyDescent="0.2">
      <c r="B46" s="8">
        <f t="shared" si="5"/>
        <v>41</v>
      </c>
      <c r="C46" s="10">
        <v>41</v>
      </c>
      <c r="D46" s="13" t="s">
        <v>1646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42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893</v>
      </c>
    </row>
    <row r="47" spans="2:24" ht="13.8" x14ac:dyDescent="0.2">
      <c r="B47" s="8">
        <f t="shared" si="5"/>
        <v>42</v>
      </c>
      <c r="C47" s="10">
        <v>42</v>
      </c>
      <c r="D47" s="13" t="s">
        <v>1337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43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1714</v>
      </c>
    </row>
    <row r="48" spans="2:24" ht="13.8" x14ac:dyDescent="0.2">
      <c r="B48" s="8">
        <f t="shared" si="5"/>
        <v>43</v>
      </c>
      <c r="C48" s="10">
        <v>43</v>
      </c>
      <c r="D48" s="13" t="s">
        <v>1219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44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373</v>
      </c>
    </row>
    <row r="49" spans="2:24" ht="13.8" x14ac:dyDescent="0.2">
      <c r="B49" s="8">
        <f t="shared" si="5"/>
        <v>44</v>
      </c>
      <c r="C49" s="10">
        <v>44</v>
      </c>
      <c r="D49" s="13" t="s">
        <v>120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45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374</v>
      </c>
    </row>
    <row r="50" spans="2:24" ht="13.8" x14ac:dyDescent="0.2">
      <c r="B50" s="8">
        <f t="shared" si="5"/>
        <v>45</v>
      </c>
      <c r="C50" s="10">
        <v>45</v>
      </c>
      <c r="D50" s="13" t="s">
        <v>30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46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36</v>
      </c>
    </row>
    <row r="51" spans="2:24" ht="13.8" x14ac:dyDescent="0.2">
      <c r="B51" s="8">
        <f t="shared" si="5"/>
        <v>46</v>
      </c>
      <c r="C51" s="10">
        <v>46</v>
      </c>
      <c r="D51" s="13" t="s">
        <v>1647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47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1715</v>
      </c>
    </row>
    <row r="52" spans="2:24" ht="13.8" x14ac:dyDescent="0.2">
      <c r="B52" s="8">
        <f t="shared" si="5"/>
        <v>47</v>
      </c>
      <c r="C52" s="10">
        <v>47</v>
      </c>
      <c r="D52" s="13" t="s">
        <v>1648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48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894</v>
      </c>
    </row>
    <row r="53" spans="2:24" ht="13.8" x14ac:dyDescent="0.2">
      <c r="B53" s="8">
        <f t="shared" si="5"/>
        <v>48</v>
      </c>
      <c r="C53" s="10">
        <v>48</v>
      </c>
      <c r="D53" s="13" t="s">
        <v>1220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49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1716</v>
      </c>
    </row>
    <row r="54" spans="2:24" ht="13.8" x14ac:dyDescent="0.2">
      <c r="B54" s="8">
        <f t="shared" si="5"/>
        <v>49</v>
      </c>
      <c r="C54" s="10">
        <v>49</v>
      </c>
      <c r="D54" s="13" t="s">
        <v>1649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50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895</v>
      </c>
    </row>
    <row r="55" spans="2:24" ht="13.8" x14ac:dyDescent="0.2">
      <c r="B55" s="8">
        <f t="shared" si="5"/>
        <v>50</v>
      </c>
      <c r="C55" s="10">
        <v>50</v>
      </c>
      <c r="D55" s="13" t="s">
        <v>1650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51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1717</v>
      </c>
    </row>
    <row r="56" spans="2:24" ht="13.8" x14ac:dyDescent="0.2">
      <c r="B56" s="8">
        <f t="shared" si="5"/>
        <v>51</v>
      </c>
      <c r="C56" s="10">
        <v>51</v>
      </c>
      <c r="D56" s="13" t="s">
        <v>1651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52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927</v>
      </c>
    </row>
    <row r="57" spans="2:24" ht="13.8" x14ac:dyDescent="0.2">
      <c r="B57" s="8">
        <f t="shared" si="5"/>
        <v>52</v>
      </c>
      <c r="C57" s="10">
        <v>52</v>
      </c>
      <c r="D57" s="13" t="s">
        <v>713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53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714</v>
      </c>
    </row>
    <row r="58" spans="2:24" ht="13.8" x14ac:dyDescent="0.2">
      <c r="B58" s="8">
        <f t="shared" si="5"/>
        <v>53</v>
      </c>
      <c r="C58" s="10">
        <v>53</v>
      </c>
      <c r="D58" s="13" t="s">
        <v>1652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54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896</v>
      </c>
    </row>
    <row r="59" spans="2:24" ht="13.8" x14ac:dyDescent="0.2">
      <c r="B59" s="8">
        <f t="shared" si="5"/>
        <v>54</v>
      </c>
      <c r="C59" s="10">
        <v>54</v>
      </c>
      <c r="D59" s="13" t="s">
        <v>737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55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1718</v>
      </c>
    </row>
    <row r="60" spans="2:24" ht="13.8" x14ac:dyDescent="0.2">
      <c r="B60" s="8">
        <f t="shared" si="5"/>
        <v>55</v>
      </c>
      <c r="C60" s="10">
        <v>55</v>
      </c>
      <c r="D60" s="13" t="s">
        <v>1196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56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902</v>
      </c>
    </row>
    <row r="61" spans="2:24" ht="13.8" x14ac:dyDescent="0.2">
      <c r="B61" s="8">
        <f t="shared" si="5"/>
        <v>56</v>
      </c>
      <c r="C61" s="10">
        <v>56</v>
      </c>
      <c r="D61" s="13" t="s">
        <v>1653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57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1719</v>
      </c>
    </row>
    <row r="62" spans="2:24" ht="13.8" x14ac:dyDescent="0.2">
      <c r="B62" s="8">
        <f t="shared" si="5"/>
        <v>57</v>
      </c>
      <c r="C62" s="10">
        <v>57</v>
      </c>
      <c r="D62" s="13" t="s">
        <v>1654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58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907</v>
      </c>
    </row>
    <row r="63" spans="2:24" ht="13.8" x14ac:dyDescent="0.2">
      <c r="B63" s="8">
        <f t="shared" si="5"/>
        <v>58</v>
      </c>
      <c r="C63" s="10">
        <v>58</v>
      </c>
      <c r="D63" s="13" t="s">
        <v>1655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59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1720</v>
      </c>
    </row>
    <row r="64" spans="2:24" ht="13.8" x14ac:dyDescent="0.2">
      <c r="B64" s="8">
        <f t="shared" si="5"/>
        <v>59</v>
      </c>
      <c r="C64" s="10">
        <v>59</v>
      </c>
      <c r="D64" s="13" t="s">
        <v>1330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60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897</v>
      </c>
    </row>
    <row r="65" spans="2:24" ht="13.8" x14ac:dyDescent="0.2">
      <c r="B65" s="8">
        <f t="shared" si="5"/>
        <v>60</v>
      </c>
      <c r="C65" s="10">
        <v>60</v>
      </c>
      <c r="D65" s="13" t="s">
        <v>1656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6"/>
        <v>0</v>
      </c>
      <c r="L65" s="7">
        <v>61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898</v>
      </c>
    </row>
    <row r="66" spans="2:24" ht="13.8" x14ac:dyDescent="0.2">
      <c r="B66" s="8">
        <f t="shared" si="5"/>
        <v>61</v>
      </c>
      <c r="C66" s="10">
        <v>61</v>
      </c>
      <c r="D66" s="13" t="s">
        <v>1657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6"/>
        <v>0</v>
      </c>
      <c r="L66" s="7">
        <v>62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910</v>
      </c>
    </row>
    <row r="67" spans="2:24" ht="13.8" x14ac:dyDescent="0.2">
      <c r="B67" s="8">
        <f t="shared" si="5"/>
        <v>62</v>
      </c>
      <c r="C67" s="10">
        <v>62</v>
      </c>
      <c r="D67" s="13" t="s">
        <v>57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63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379</v>
      </c>
    </row>
    <row r="68" spans="2:24" ht="13.8" x14ac:dyDescent="0.2">
      <c r="B68" s="8">
        <f t="shared" si="5"/>
        <v>63</v>
      </c>
      <c r="C68" s="10">
        <v>63</v>
      </c>
      <c r="D68" s="9" t="s">
        <v>879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64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1721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1658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65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34</v>
      </c>
    </row>
    <row r="70" spans="2:24" ht="13.8" x14ac:dyDescent="0.2">
      <c r="B70" s="8">
        <f t="shared" si="9"/>
        <v>65</v>
      </c>
      <c r="C70" s="10">
        <v>65</v>
      </c>
      <c r="D70" s="9" t="s">
        <v>1659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66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900</v>
      </c>
    </row>
    <row r="71" spans="2:24" ht="13.8" x14ac:dyDescent="0.2">
      <c r="B71" s="8">
        <f t="shared" si="9"/>
        <v>66</v>
      </c>
      <c r="C71" s="10">
        <v>66</v>
      </c>
      <c r="D71" s="13" t="s">
        <v>31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1"/>
        <v>0</v>
      </c>
      <c r="L71" s="7">
        <v>67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381</v>
      </c>
    </row>
    <row r="72" spans="2:24" ht="13.8" x14ac:dyDescent="0.2">
      <c r="B72" s="8">
        <f t="shared" si="9"/>
        <v>67</v>
      </c>
      <c r="C72" s="10">
        <v>67</v>
      </c>
      <c r="D72" s="13" t="s">
        <v>1660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1"/>
        <v>0</v>
      </c>
      <c r="L72" s="7">
        <v>68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1722</v>
      </c>
    </row>
    <row r="73" spans="2:24" ht="13.8" x14ac:dyDescent="0.2">
      <c r="B73" s="8">
        <f t="shared" si="9"/>
        <v>68</v>
      </c>
      <c r="C73" s="10">
        <v>68</v>
      </c>
      <c r="D73" s="13" t="s">
        <v>1655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69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901</v>
      </c>
    </row>
    <row r="74" spans="2:24" ht="13.8" x14ac:dyDescent="0.2">
      <c r="B74" s="8">
        <f t="shared" si="9"/>
        <v>69</v>
      </c>
      <c r="C74" s="10">
        <v>69</v>
      </c>
      <c r="D74" s="13" t="s">
        <v>469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70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1723</v>
      </c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71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72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73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74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75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76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77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 t="s">
        <v>1661</v>
      </c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78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 t="s">
        <v>917</v>
      </c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79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80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81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82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83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84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85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86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87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88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89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90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91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92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93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94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95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96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97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98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99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 t="s">
        <v>1662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100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880</v>
      </c>
    </row>
    <row r="105" spans="2:24" ht="13.8" x14ac:dyDescent="0.2">
      <c r="B105" s="8">
        <f t="shared" si="9"/>
        <v>121</v>
      </c>
      <c r="C105" s="10">
        <v>121</v>
      </c>
      <c r="D105" s="14" t="s">
        <v>1663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101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1663</v>
      </c>
    </row>
    <row r="106" spans="2:24" ht="13.8" x14ac:dyDescent="0.2">
      <c r="B106" s="8">
        <f t="shared" si="9"/>
        <v>122</v>
      </c>
      <c r="C106" s="10">
        <v>122</v>
      </c>
      <c r="D106" s="9" t="s">
        <v>1664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102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903</v>
      </c>
    </row>
    <row r="107" spans="2:24" ht="13.8" x14ac:dyDescent="0.2">
      <c r="B107" s="8">
        <f t="shared" si="9"/>
        <v>123</v>
      </c>
      <c r="C107" s="10">
        <v>123</v>
      </c>
      <c r="D107" s="9" t="s">
        <v>1665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103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904</v>
      </c>
    </row>
    <row r="108" spans="2:24" ht="13.8" x14ac:dyDescent="0.2">
      <c r="B108" s="8">
        <f t="shared" si="9"/>
        <v>124</v>
      </c>
      <c r="C108" s="10">
        <v>124</v>
      </c>
      <c r="D108" s="9" t="s">
        <v>1666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104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905</v>
      </c>
    </row>
    <row r="109" spans="2:24" ht="13.8" x14ac:dyDescent="0.2">
      <c r="B109" s="8">
        <f t="shared" si="9"/>
        <v>125</v>
      </c>
      <c r="C109" s="10">
        <v>125</v>
      </c>
      <c r="D109" s="9" t="s">
        <v>1667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105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1724</v>
      </c>
    </row>
    <row r="110" spans="2:24" ht="13.8" x14ac:dyDescent="0.2">
      <c r="B110" s="8">
        <f t="shared" si="9"/>
        <v>126</v>
      </c>
      <c r="C110" s="10">
        <v>126</v>
      </c>
      <c r="D110" s="9" t="s">
        <v>1668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106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906</v>
      </c>
    </row>
    <row r="111" spans="2:24" ht="13.8" x14ac:dyDescent="0.2">
      <c r="B111" s="8">
        <f t="shared" si="9"/>
        <v>127</v>
      </c>
      <c r="C111" s="10">
        <v>127</v>
      </c>
      <c r="D111" s="9" t="s">
        <v>1669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107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1725</v>
      </c>
    </row>
    <row r="112" spans="2:24" ht="13.8" x14ac:dyDescent="0.2">
      <c r="B112" s="8">
        <f t="shared" si="9"/>
        <v>128</v>
      </c>
      <c r="C112" s="10">
        <v>128</v>
      </c>
      <c r="D112" s="9" t="s">
        <v>1160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108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1726</v>
      </c>
    </row>
    <row r="113" spans="2:24" ht="13.8" x14ac:dyDescent="0.2">
      <c r="B113" s="8">
        <f t="shared" si="9"/>
        <v>129</v>
      </c>
      <c r="C113" s="10">
        <v>129</v>
      </c>
      <c r="D113" s="9" t="s">
        <v>1670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109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908</v>
      </c>
    </row>
    <row r="114" spans="2:24" ht="13.8" x14ac:dyDescent="0.2">
      <c r="B114" s="8">
        <f t="shared" si="9"/>
        <v>131</v>
      </c>
      <c r="C114" s="10">
        <v>131</v>
      </c>
      <c r="D114" s="9" t="s">
        <v>1671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110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909</v>
      </c>
    </row>
    <row r="115" spans="2:24" ht="13.8" x14ac:dyDescent="0.2">
      <c r="B115" s="8">
        <f t="shared" si="9"/>
        <v>133</v>
      </c>
      <c r="C115" s="10">
        <v>133</v>
      </c>
      <c r="D115" s="9" t="s">
        <v>1672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111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1727</v>
      </c>
    </row>
    <row r="116" spans="2:24" ht="13.8" x14ac:dyDescent="0.2">
      <c r="B116" s="8">
        <f t="shared" si="9"/>
        <v>135</v>
      </c>
      <c r="C116" s="10">
        <v>135</v>
      </c>
      <c r="D116" s="9" t="s">
        <v>1673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1"/>
        <v>0</v>
      </c>
      <c r="L116" s="7">
        <v>112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1673</v>
      </c>
    </row>
    <row r="117" spans="2:24" ht="13.8" x14ac:dyDescent="0.2">
      <c r="B117" s="8">
        <f t="shared" si="9"/>
        <v>136</v>
      </c>
      <c r="C117" s="10">
        <v>136</v>
      </c>
      <c r="D117" s="9" t="s">
        <v>1549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113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911</v>
      </c>
    </row>
    <row r="118" spans="2:24" ht="13.8" x14ac:dyDescent="0.2">
      <c r="B118" s="8">
        <f t="shared" si="9"/>
        <v>137</v>
      </c>
      <c r="C118" s="10">
        <v>137</v>
      </c>
      <c r="D118" s="9" t="s">
        <v>1674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114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1728</v>
      </c>
    </row>
    <row r="119" spans="2:24" ht="13.8" x14ac:dyDescent="0.2">
      <c r="B119" s="8">
        <f t="shared" si="9"/>
        <v>138</v>
      </c>
      <c r="C119" s="10">
        <v>138</v>
      </c>
      <c r="D119" s="9" t="s">
        <v>1675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1"/>
        <v>0</v>
      </c>
      <c r="L119" s="7">
        <v>115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1729</v>
      </c>
    </row>
    <row r="120" spans="2:24" ht="13.8" x14ac:dyDescent="0.2">
      <c r="B120" s="8">
        <f t="shared" si="9"/>
        <v>139</v>
      </c>
      <c r="C120" s="10">
        <v>139</v>
      </c>
      <c r="D120" s="9" t="s">
        <v>1676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1"/>
        <v>0</v>
      </c>
      <c r="L120" s="7">
        <v>116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913</v>
      </c>
    </row>
    <row r="121" spans="2:24" ht="13.8" x14ac:dyDescent="0.2">
      <c r="B121" s="8">
        <f t="shared" si="9"/>
        <v>140</v>
      </c>
      <c r="C121" s="10">
        <v>140</v>
      </c>
      <c r="D121" s="9" t="s">
        <v>1206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1"/>
        <v>0</v>
      </c>
      <c r="L121" s="7">
        <v>117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1730</v>
      </c>
    </row>
    <row r="122" spans="2:24" ht="13.8" x14ac:dyDescent="0.2">
      <c r="B122" s="8">
        <f t="shared" si="9"/>
        <v>141</v>
      </c>
      <c r="C122" s="10">
        <v>141</v>
      </c>
      <c r="D122" s="9" t="s">
        <v>1677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118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892</v>
      </c>
    </row>
    <row r="123" spans="2:24" ht="13.8" x14ac:dyDescent="0.2">
      <c r="B123" s="8">
        <f t="shared" si="9"/>
        <v>142</v>
      </c>
      <c r="C123" s="10">
        <v>142</v>
      </c>
      <c r="D123" s="9" t="s">
        <v>1678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119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915</v>
      </c>
    </row>
    <row r="124" spans="2:24" ht="13.8" x14ac:dyDescent="0.2">
      <c r="B124" s="8">
        <f t="shared" si="9"/>
        <v>143</v>
      </c>
      <c r="C124" s="10">
        <v>143</v>
      </c>
      <c r="D124" s="9" t="s">
        <v>1679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120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1731</v>
      </c>
    </row>
    <row r="125" spans="2:24" ht="13.8" x14ac:dyDescent="0.2">
      <c r="B125" s="8">
        <f t="shared" si="9"/>
        <v>144</v>
      </c>
      <c r="C125" s="10">
        <v>144</v>
      </c>
      <c r="D125" s="9" t="s">
        <v>1680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121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1732</v>
      </c>
    </row>
    <row r="126" spans="2:24" ht="13.8" x14ac:dyDescent="0.2">
      <c r="B126" s="8">
        <f t="shared" si="9"/>
        <v>145</v>
      </c>
      <c r="C126" s="10">
        <v>145</v>
      </c>
      <c r="D126" s="9" t="s">
        <v>881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122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881</v>
      </c>
    </row>
    <row r="127" spans="2:24" ht="13.8" x14ac:dyDescent="0.2">
      <c r="B127" s="8">
        <f t="shared" si="9"/>
        <v>146</v>
      </c>
      <c r="C127" s="10">
        <v>146</v>
      </c>
      <c r="D127" s="9" t="s">
        <v>1681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123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1733</v>
      </c>
    </row>
    <row r="128" spans="2:24" ht="13.8" x14ac:dyDescent="0.2">
      <c r="B128" s="8">
        <f t="shared" si="9"/>
        <v>147</v>
      </c>
      <c r="C128" s="10">
        <v>147</v>
      </c>
      <c r="D128" s="9" t="s">
        <v>1235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124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1734</v>
      </c>
    </row>
    <row r="129" spans="2:24" ht="13.8" x14ac:dyDescent="0.2">
      <c r="B129" s="8">
        <f t="shared" si="9"/>
        <v>148</v>
      </c>
      <c r="C129" s="10">
        <v>148</v>
      </c>
      <c r="D129" s="9" t="s">
        <v>1321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125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916</v>
      </c>
    </row>
    <row r="130" spans="2:24" ht="13.8" x14ac:dyDescent="0.2">
      <c r="B130" s="8">
        <f t="shared" si="9"/>
        <v>149</v>
      </c>
      <c r="C130" s="10">
        <v>149</v>
      </c>
      <c r="D130" s="9" t="s">
        <v>1682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126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1735</v>
      </c>
    </row>
    <row r="131" spans="2:24" ht="13.8" x14ac:dyDescent="0.2">
      <c r="B131" s="8">
        <f t="shared" si="9"/>
        <v>150</v>
      </c>
      <c r="C131" s="10">
        <v>150</v>
      </c>
      <c r="D131" s="9" t="s">
        <v>1683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127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 t="s">
        <v>1736</v>
      </c>
    </row>
    <row r="132" spans="2:24" ht="13.8" x14ac:dyDescent="0.2">
      <c r="B132" s="8">
        <f t="shared" si="9"/>
        <v>151</v>
      </c>
      <c r="C132" s="10">
        <v>151</v>
      </c>
      <c r="D132" s="9" t="s">
        <v>1684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128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 t="s">
        <v>1737</v>
      </c>
    </row>
    <row r="133" spans="2:24" ht="13.8" x14ac:dyDescent="0.2">
      <c r="B133" s="8">
        <f t="shared" ref="B133:B165" si="14">IF(C133="","",C133)</f>
        <v>152</v>
      </c>
      <c r="C133" s="10">
        <v>152</v>
      </c>
      <c r="D133" s="9" t="s">
        <v>1685</v>
      </c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65" si="16">((G133-H133-I133-J133)+(H133*2)+(I133*3)+(J133*4))</f>
        <v>0</v>
      </c>
      <c r="L133" s="7">
        <v>129</v>
      </c>
      <c r="M133" s="11">
        <f t="shared" ref="M133:M165" si="17">IFERROR(IF((G133+P133+Q133)/(F133+P133+Q133+S133)=1,"1.00",(G133+P133+Q133)/(F133+P133+Q133+S133)),0)</f>
        <v>0</v>
      </c>
      <c r="N133" s="11">
        <f t="shared" ref="N133:N165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 t="s">
        <v>1738</v>
      </c>
    </row>
    <row r="134" spans="2:24" ht="13.8" x14ac:dyDescent="0.2">
      <c r="B134" s="8">
        <f t="shared" si="14"/>
        <v>153</v>
      </c>
      <c r="C134" s="10">
        <v>153</v>
      </c>
      <c r="D134" s="9" t="s">
        <v>1686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6"/>
        <v>0</v>
      </c>
      <c r="L134" s="7">
        <v>130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 t="s">
        <v>1739</v>
      </c>
    </row>
    <row r="135" spans="2:24" ht="13.8" x14ac:dyDescent="0.2">
      <c r="B135" s="8">
        <f t="shared" si="14"/>
        <v>154</v>
      </c>
      <c r="C135" s="10">
        <v>154</v>
      </c>
      <c r="D135" s="9" t="s">
        <v>878</v>
      </c>
      <c r="E135" s="11" t="str">
        <f t="shared" ref="E135:E140" si="19">IFERROR(IF(G135/F135=1,"1.00",G135/F135),"---")</f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6"/>
        <v>0</v>
      </c>
      <c r="L135" s="7">
        <v>131</v>
      </c>
      <c r="M135" s="11">
        <f t="shared" si="17"/>
        <v>0</v>
      </c>
      <c r="N135" s="11">
        <f t="shared" si="18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2" t="s">
        <v>878</v>
      </c>
    </row>
    <row r="136" spans="2:24" ht="13.8" x14ac:dyDescent="0.2">
      <c r="B136" s="8">
        <f t="shared" si="14"/>
        <v>155</v>
      </c>
      <c r="C136" s="10">
        <v>155</v>
      </c>
      <c r="D136" s="9" t="s">
        <v>1687</v>
      </c>
      <c r="E136" s="11" t="str">
        <f t="shared" si="19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6"/>
        <v>0</v>
      </c>
      <c r="L136" s="7">
        <v>132</v>
      </c>
      <c r="M136" s="11">
        <f t="shared" si="17"/>
        <v>0</v>
      </c>
      <c r="N136" s="11">
        <f t="shared" si="18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2" t="s">
        <v>1740</v>
      </c>
    </row>
    <row r="137" spans="2:24" ht="13.8" x14ac:dyDescent="0.2">
      <c r="B137" s="8">
        <f t="shared" si="14"/>
        <v>156</v>
      </c>
      <c r="C137" s="10">
        <v>156</v>
      </c>
      <c r="D137" s="9" t="s">
        <v>748</v>
      </c>
      <c r="E137" s="11" t="str">
        <f t="shared" si="19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6"/>
        <v>0</v>
      </c>
      <c r="L137" s="7">
        <v>133</v>
      </c>
      <c r="M137" s="11">
        <f t="shared" si="17"/>
        <v>0</v>
      </c>
      <c r="N137" s="11">
        <f t="shared" si="18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2" t="s">
        <v>748</v>
      </c>
    </row>
    <row r="138" spans="2:24" ht="13.8" x14ac:dyDescent="0.2">
      <c r="B138" s="8">
        <f t="shared" si="14"/>
        <v>157</v>
      </c>
      <c r="C138" s="10">
        <v>157</v>
      </c>
      <c r="D138" s="9" t="s">
        <v>1225</v>
      </c>
      <c r="E138" s="11" t="str">
        <f t="shared" si="19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6"/>
        <v>0</v>
      </c>
      <c r="L138" s="7">
        <v>134</v>
      </c>
      <c r="M138" s="11">
        <f t="shared" si="17"/>
        <v>0</v>
      </c>
      <c r="N138" s="11">
        <f t="shared" si="18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2" t="s">
        <v>383</v>
      </c>
    </row>
    <row r="139" spans="2:24" ht="13.8" x14ac:dyDescent="0.2">
      <c r="B139" s="8">
        <f t="shared" si="14"/>
        <v>158</v>
      </c>
      <c r="C139" s="10">
        <v>158</v>
      </c>
      <c r="D139" s="9" t="s">
        <v>1688</v>
      </c>
      <c r="E139" s="11" t="str">
        <f t="shared" si="19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6"/>
        <v>0</v>
      </c>
      <c r="L139" s="7">
        <v>135</v>
      </c>
      <c r="M139" s="11">
        <f t="shared" si="17"/>
        <v>0</v>
      </c>
      <c r="N139" s="11">
        <f t="shared" si="18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2" t="s">
        <v>1688</v>
      </c>
    </row>
    <row r="140" spans="2:24" ht="13.8" x14ac:dyDescent="0.2">
      <c r="B140" s="8">
        <f t="shared" si="14"/>
        <v>159</v>
      </c>
      <c r="C140" s="10">
        <v>159</v>
      </c>
      <c r="D140" s="9" t="s">
        <v>1689</v>
      </c>
      <c r="E140" s="11" t="str">
        <f t="shared" si="19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6"/>
        <v>0</v>
      </c>
      <c r="L140" s="7">
        <v>136</v>
      </c>
      <c r="M140" s="11">
        <f t="shared" si="17"/>
        <v>0</v>
      </c>
      <c r="N140" s="11">
        <f t="shared" si="18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2" t="s">
        <v>920</v>
      </c>
    </row>
    <row r="141" spans="2:24" ht="13.8" x14ac:dyDescent="0.2">
      <c r="B141" s="8">
        <f t="shared" si="14"/>
        <v>160</v>
      </c>
      <c r="C141" s="10">
        <v>160</v>
      </c>
      <c r="D141" s="9" t="s">
        <v>1690</v>
      </c>
      <c r="E141" s="11" t="str">
        <f t="shared" ref="E141:E165" si="20">IFERROR(IF(G141/F141=1,"1.00",G141/F141),"---")</f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6"/>
        <v>0</v>
      </c>
      <c r="L141" s="7">
        <v>137</v>
      </c>
      <c r="M141" s="11">
        <f t="shared" si="17"/>
        <v>0</v>
      </c>
      <c r="N141" s="11">
        <f t="shared" si="18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2" t="s">
        <v>921</v>
      </c>
    </row>
    <row r="142" spans="2:24" ht="13.8" x14ac:dyDescent="0.2">
      <c r="B142" s="8">
        <f t="shared" si="14"/>
        <v>161</v>
      </c>
      <c r="C142" s="10">
        <v>161</v>
      </c>
      <c r="D142" s="9" t="s">
        <v>1691</v>
      </c>
      <c r="E142" s="11" t="str">
        <f t="shared" si="20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6"/>
        <v>0</v>
      </c>
      <c r="L142" s="7">
        <v>138</v>
      </c>
      <c r="M142" s="11">
        <f t="shared" si="17"/>
        <v>0</v>
      </c>
      <c r="N142" s="11">
        <f t="shared" si="18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2" t="s">
        <v>922</v>
      </c>
    </row>
    <row r="143" spans="2:24" ht="13.8" x14ac:dyDescent="0.2">
      <c r="B143" s="8">
        <f t="shared" si="14"/>
        <v>162</v>
      </c>
      <c r="C143" s="10">
        <v>162</v>
      </c>
      <c r="D143" s="9" t="s">
        <v>1692</v>
      </c>
      <c r="E143" s="11" t="str">
        <f t="shared" si="20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6"/>
        <v>0</v>
      </c>
      <c r="L143" s="7">
        <v>139</v>
      </c>
      <c r="M143" s="11">
        <f t="shared" si="17"/>
        <v>0</v>
      </c>
      <c r="N143" s="11">
        <f t="shared" si="18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2" t="s">
        <v>923</v>
      </c>
    </row>
    <row r="144" spans="2:24" ht="13.8" x14ac:dyDescent="0.2">
      <c r="B144" s="8">
        <f t="shared" si="14"/>
        <v>163</v>
      </c>
      <c r="C144" s="10">
        <v>163</v>
      </c>
      <c r="D144" s="9" t="s">
        <v>1133</v>
      </c>
      <c r="E144" s="11" t="str">
        <f t="shared" si="20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6"/>
        <v>0</v>
      </c>
      <c r="L144" s="7">
        <v>140</v>
      </c>
      <c r="M144" s="11">
        <f t="shared" si="17"/>
        <v>0</v>
      </c>
      <c r="N144" s="11">
        <f t="shared" si="18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2" t="s">
        <v>924</v>
      </c>
    </row>
    <row r="145" spans="2:24" ht="13.8" x14ac:dyDescent="0.2">
      <c r="B145" s="8">
        <f t="shared" si="14"/>
        <v>164</v>
      </c>
      <c r="C145" s="10">
        <v>164</v>
      </c>
      <c r="D145" s="9" t="s">
        <v>1693</v>
      </c>
      <c r="E145" s="11" t="str">
        <f t="shared" si="20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6"/>
        <v>0</v>
      </c>
      <c r="L145" s="7">
        <v>141</v>
      </c>
      <c r="M145" s="11">
        <f t="shared" si="17"/>
        <v>0</v>
      </c>
      <c r="N145" s="11">
        <f t="shared" si="18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2" t="s">
        <v>1693</v>
      </c>
    </row>
    <row r="146" spans="2:24" ht="13.8" x14ac:dyDescent="0.2">
      <c r="B146" s="8">
        <f t="shared" si="14"/>
        <v>166</v>
      </c>
      <c r="C146" s="10">
        <v>166</v>
      </c>
      <c r="D146" s="9" t="s">
        <v>1694</v>
      </c>
      <c r="E146" s="11" t="str">
        <f t="shared" si="20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6"/>
        <v>0</v>
      </c>
      <c r="L146" s="7">
        <v>142</v>
      </c>
      <c r="M146" s="11">
        <f t="shared" si="17"/>
        <v>0</v>
      </c>
      <c r="N146" s="11">
        <f t="shared" si="18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2" t="s">
        <v>926</v>
      </c>
    </row>
    <row r="147" spans="2:24" ht="13.8" x14ac:dyDescent="0.2">
      <c r="B147" s="8">
        <f t="shared" si="14"/>
        <v>168</v>
      </c>
      <c r="C147" s="10">
        <v>168</v>
      </c>
      <c r="D147" s="9" t="s">
        <v>1695</v>
      </c>
      <c r="E147" s="11" t="str">
        <f t="shared" si="20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6"/>
        <v>0</v>
      </c>
      <c r="L147" s="7">
        <v>143</v>
      </c>
      <c r="M147" s="11">
        <f t="shared" si="17"/>
        <v>0</v>
      </c>
      <c r="N147" s="11">
        <f t="shared" si="18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2" t="s">
        <v>928</v>
      </c>
    </row>
    <row r="148" spans="2:24" ht="13.8" x14ac:dyDescent="0.2">
      <c r="B148" s="8">
        <f t="shared" si="14"/>
        <v>169</v>
      </c>
      <c r="C148" s="10">
        <v>169</v>
      </c>
      <c r="D148" s="9" t="s">
        <v>1696</v>
      </c>
      <c r="E148" s="11" t="str">
        <f t="shared" si="20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6"/>
        <v>0</v>
      </c>
      <c r="L148" s="7">
        <v>144</v>
      </c>
      <c r="M148" s="11">
        <f t="shared" si="17"/>
        <v>0</v>
      </c>
      <c r="N148" s="11">
        <f t="shared" si="18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2" t="s">
        <v>929</v>
      </c>
    </row>
    <row r="149" spans="2:24" ht="13.8" x14ac:dyDescent="0.2">
      <c r="B149" s="8">
        <f t="shared" si="14"/>
        <v>170</v>
      </c>
      <c r="C149" s="10">
        <v>170</v>
      </c>
      <c r="D149" s="9" t="s">
        <v>1697</v>
      </c>
      <c r="E149" s="11" t="str">
        <f t="shared" si="20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6"/>
        <v>0</v>
      </c>
      <c r="L149" s="7">
        <v>145</v>
      </c>
      <c r="M149" s="11">
        <f t="shared" si="17"/>
        <v>0</v>
      </c>
      <c r="N149" s="11">
        <f t="shared" si="18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2" t="s">
        <v>930</v>
      </c>
    </row>
    <row r="150" spans="2:24" ht="13.8" x14ac:dyDescent="0.2">
      <c r="B150" s="8">
        <f t="shared" si="14"/>
        <v>171</v>
      </c>
      <c r="C150" s="10">
        <v>171</v>
      </c>
      <c r="D150" s="9" t="s">
        <v>1698</v>
      </c>
      <c r="E150" s="11" t="str">
        <f t="shared" si="20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6"/>
        <v>0</v>
      </c>
      <c r="L150" s="7">
        <v>146</v>
      </c>
      <c r="M150" s="11">
        <f t="shared" si="17"/>
        <v>0</v>
      </c>
      <c r="N150" s="11">
        <f t="shared" si="18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2" t="s">
        <v>931</v>
      </c>
    </row>
    <row r="151" spans="2:24" ht="13.8" x14ac:dyDescent="0.2">
      <c r="B151" s="8">
        <f t="shared" si="14"/>
        <v>173</v>
      </c>
      <c r="C151" s="10">
        <v>173</v>
      </c>
      <c r="D151" s="9" t="s">
        <v>883</v>
      </c>
      <c r="E151" s="11" t="str">
        <f t="shared" si="20"/>
        <v>---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12">
        <f t="shared" si="16"/>
        <v>0</v>
      </c>
      <c r="L151" s="7">
        <v>147</v>
      </c>
      <c r="M151" s="11">
        <f t="shared" si="17"/>
        <v>0</v>
      </c>
      <c r="N151" s="11">
        <f t="shared" si="18"/>
        <v>0</v>
      </c>
      <c r="O151" s="20">
        <v>0</v>
      </c>
      <c r="P151" s="21">
        <v>0</v>
      </c>
      <c r="Q151" s="21">
        <v>0</v>
      </c>
      <c r="R151" s="22">
        <v>0</v>
      </c>
      <c r="S151" s="22">
        <v>0</v>
      </c>
      <c r="T151" s="20">
        <v>0</v>
      </c>
      <c r="U151" s="20">
        <v>0</v>
      </c>
      <c r="V151" s="20">
        <v>0</v>
      </c>
      <c r="W151" s="62" t="str">
        <f>IFERROR(CalcRC27(F151,G151,K151,O151,P151,Q151,R151,S151,T151,U151,V151),"-")</f>
        <v>-</v>
      </c>
      <c r="X151" s="2" t="s">
        <v>883</v>
      </c>
    </row>
    <row r="152" spans="2:24" ht="13.8" x14ac:dyDescent="0.2">
      <c r="B152" s="8">
        <f t="shared" si="14"/>
        <v>174</v>
      </c>
      <c r="C152" s="10">
        <v>174</v>
      </c>
      <c r="D152" s="9" t="s">
        <v>1699</v>
      </c>
      <c r="E152" s="11" t="str">
        <f t="shared" si="20"/>
        <v>---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12">
        <f t="shared" si="16"/>
        <v>0</v>
      </c>
      <c r="L152" s="7">
        <v>148</v>
      </c>
      <c r="M152" s="11">
        <f t="shared" si="17"/>
        <v>0</v>
      </c>
      <c r="N152" s="11">
        <f t="shared" si="18"/>
        <v>0</v>
      </c>
      <c r="O152" s="20">
        <v>0</v>
      </c>
      <c r="P152" s="21">
        <v>0</v>
      </c>
      <c r="Q152" s="21">
        <v>0</v>
      </c>
      <c r="R152" s="22">
        <v>0</v>
      </c>
      <c r="S152" s="22">
        <v>0</v>
      </c>
      <c r="T152" s="20">
        <v>0</v>
      </c>
      <c r="U152" s="20">
        <v>0</v>
      </c>
      <c r="V152" s="20">
        <v>0</v>
      </c>
      <c r="W152" s="62" t="str">
        <f>IFERROR(CalcRC27(F152,G152,K152,O152,P152,Q152,R152,S152,T152,U152,V152),"-")</f>
        <v>-</v>
      </c>
      <c r="X152" s="2" t="s">
        <v>1699</v>
      </c>
    </row>
    <row r="153" spans="2:24" ht="13.8" x14ac:dyDescent="0.2">
      <c r="B153" s="8">
        <f t="shared" si="14"/>
        <v>175</v>
      </c>
      <c r="C153" s="10">
        <v>175</v>
      </c>
      <c r="D153" s="9" t="s">
        <v>884</v>
      </c>
      <c r="E153" s="11" t="str">
        <f t="shared" si="20"/>
        <v>---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12">
        <f t="shared" si="16"/>
        <v>0</v>
      </c>
      <c r="L153" s="7">
        <v>149</v>
      </c>
      <c r="M153" s="11">
        <f t="shared" si="17"/>
        <v>0</v>
      </c>
      <c r="N153" s="11">
        <f t="shared" si="18"/>
        <v>0</v>
      </c>
      <c r="O153" s="20">
        <v>0</v>
      </c>
      <c r="P153" s="21">
        <v>0</v>
      </c>
      <c r="Q153" s="21">
        <v>0</v>
      </c>
      <c r="R153" s="22">
        <v>0</v>
      </c>
      <c r="S153" s="22">
        <v>0</v>
      </c>
      <c r="T153" s="20">
        <v>0</v>
      </c>
      <c r="U153" s="20">
        <v>0</v>
      </c>
      <c r="V153" s="20">
        <v>0</v>
      </c>
      <c r="W153" s="62" t="str">
        <f>IFERROR(CalcRC27(F153,G153,K153,O153,P153,Q153,R153,S153,T153,U153,V153),"-")</f>
        <v>-</v>
      </c>
      <c r="X153" s="2" t="s">
        <v>884</v>
      </c>
    </row>
    <row r="154" spans="2:24" ht="13.8" x14ac:dyDescent="0.2">
      <c r="B154" s="8">
        <f t="shared" si="14"/>
        <v>176</v>
      </c>
      <c r="C154" s="10">
        <v>176</v>
      </c>
      <c r="D154" s="9" t="s">
        <v>885</v>
      </c>
      <c r="E154" s="11" t="str">
        <f t="shared" si="20"/>
        <v>---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12">
        <f t="shared" si="16"/>
        <v>0</v>
      </c>
      <c r="L154" s="7">
        <v>150</v>
      </c>
      <c r="M154" s="11">
        <f t="shared" si="17"/>
        <v>0</v>
      </c>
      <c r="N154" s="11">
        <f t="shared" si="18"/>
        <v>0</v>
      </c>
      <c r="O154" s="20">
        <v>0</v>
      </c>
      <c r="P154" s="21">
        <v>0</v>
      </c>
      <c r="Q154" s="21">
        <v>0</v>
      </c>
      <c r="R154" s="22">
        <v>0</v>
      </c>
      <c r="S154" s="22">
        <v>0</v>
      </c>
      <c r="T154" s="20">
        <v>0</v>
      </c>
      <c r="U154" s="20">
        <v>0</v>
      </c>
      <c r="V154" s="20">
        <v>0</v>
      </c>
      <c r="W154" s="62" t="str">
        <f>IFERROR(CalcRC27(F154,G154,K154,O154,P154,Q154,R154,S154,T154,U154,V154),"-")</f>
        <v>-</v>
      </c>
      <c r="X154" s="2" t="s">
        <v>885</v>
      </c>
    </row>
    <row r="155" spans="2:24" ht="13.8" x14ac:dyDescent="0.2">
      <c r="B155" s="8">
        <f t="shared" si="14"/>
        <v>130</v>
      </c>
      <c r="C155" s="10">
        <v>130</v>
      </c>
      <c r="D155" s="9" t="s">
        <v>117</v>
      </c>
      <c r="E155" s="11" t="str">
        <f t="shared" si="20"/>
        <v>---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12">
        <f t="shared" si="16"/>
        <v>0</v>
      </c>
      <c r="L155" s="7">
        <v>151</v>
      </c>
      <c r="M155" s="11">
        <f t="shared" si="17"/>
        <v>0</v>
      </c>
      <c r="N155" s="11">
        <f t="shared" si="18"/>
        <v>0</v>
      </c>
      <c r="O155" s="20">
        <v>0</v>
      </c>
      <c r="P155" s="21">
        <v>0</v>
      </c>
      <c r="Q155" s="21">
        <v>0</v>
      </c>
      <c r="R155" s="22">
        <v>0</v>
      </c>
      <c r="S155" s="22">
        <v>0</v>
      </c>
      <c r="T155" s="20">
        <v>0</v>
      </c>
      <c r="U155" s="20">
        <v>0</v>
      </c>
      <c r="V155" s="20">
        <v>0</v>
      </c>
      <c r="W155" s="62" t="str">
        <f>IFERROR(CalcRC27(F155,G155,K155,O155,P155,Q155,R155,S155,T155,U155,V155),"-")</f>
        <v>-</v>
      </c>
      <c r="X155" s="2" t="s">
        <v>365</v>
      </c>
    </row>
    <row r="156" spans="2:24" ht="13.8" x14ac:dyDescent="0.2">
      <c r="B156" s="8">
        <f t="shared" si="14"/>
        <v>120</v>
      </c>
      <c r="C156" s="10">
        <v>120</v>
      </c>
      <c r="D156" s="9" t="s">
        <v>1330</v>
      </c>
      <c r="E156" s="11" t="str">
        <f t="shared" si="20"/>
        <v>---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12">
        <f t="shared" si="16"/>
        <v>0</v>
      </c>
      <c r="L156" s="7">
        <v>152</v>
      </c>
      <c r="M156" s="11">
        <f t="shared" si="17"/>
        <v>0</v>
      </c>
      <c r="N156" s="11">
        <f t="shared" si="18"/>
        <v>0</v>
      </c>
      <c r="O156" s="20">
        <v>0</v>
      </c>
      <c r="P156" s="21">
        <v>0</v>
      </c>
      <c r="Q156" s="21">
        <v>0</v>
      </c>
      <c r="R156" s="22">
        <v>0</v>
      </c>
      <c r="S156" s="22">
        <v>0</v>
      </c>
      <c r="T156" s="20">
        <v>0</v>
      </c>
      <c r="U156" s="20">
        <v>0</v>
      </c>
      <c r="V156" s="20">
        <v>0</v>
      </c>
      <c r="W156" s="62" t="str">
        <f>IFERROR(CalcRC27(F156,G156,K156,O156,P156,Q156,R156,S156,T156,U156,V156),"-")</f>
        <v>-</v>
      </c>
      <c r="X156" s="2" t="s">
        <v>897</v>
      </c>
    </row>
    <row r="157" spans="2:24" ht="13.8" x14ac:dyDescent="0.2">
      <c r="B157" s="8">
        <f t="shared" si="14"/>
        <v>132</v>
      </c>
      <c r="C157" s="10">
        <v>132</v>
      </c>
      <c r="D157" s="9" t="s">
        <v>1700</v>
      </c>
      <c r="E157" s="11" t="str">
        <f t="shared" si="20"/>
        <v>---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12">
        <f t="shared" si="16"/>
        <v>0</v>
      </c>
      <c r="L157" s="7">
        <v>153</v>
      </c>
      <c r="M157" s="11">
        <f t="shared" si="17"/>
        <v>0</v>
      </c>
      <c r="N157" s="11">
        <f t="shared" si="18"/>
        <v>0</v>
      </c>
      <c r="O157" s="20">
        <v>0</v>
      </c>
      <c r="P157" s="21">
        <v>0</v>
      </c>
      <c r="Q157" s="21">
        <v>0</v>
      </c>
      <c r="R157" s="22">
        <v>0</v>
      </c>
      <c r="S157" s="22">
        <v>0</v>
      </c>
      <c r="T157" s="20">
        <v>0</v>
      </c>
      <c r="U157" s="20">
        <v>0</v>
      </c>
      <c r="V157" s="20">
        <v>0</v>
      </c>
      <c r="W157" s="62" t="str">
        <f>IFERROR(CalcRC27(F157,G157,K157,O157,P157,Q157,R157,S157,T157,U157,V157),"-")</f>
        <v>-</v>
      </c>
      <c r="X157" s="2" t="s">
        <v>1741</v>
      </c>
    </row>
    <row r="158" spans="2:24" ht="13.8" x14ac:dyDescent="0.2">
      <c r="B158" s="8">
        <f t="shared" si="14"/>
        <v>134</v>
      </c>
      <c r="C158" s="10">
        <v>134</v>
      </c>
      <c r="D158" s="9" t="s">
        <v>1701</v>
      </c>
      <c r="E158" s="11" t="str">
        <f t="shared" si="20"/>
        <v>---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12">
        <f t="shared" si="16"/>
        <v>0</v>
      </c>
      <c r="L158" s="7">
        <v>154</v>
      </c>
      <c r="M158" s="11">
        <f t="shared" si="17"/>
        <v>0</v>
      </c>
      <c r="N158" s="11">
        <f t="shared" si="18"/>
        <v>0</v>
      </c>
      <c r="O158" s="20">
        <v>0</v>
      </c>
      <c r="P158" s="21">
        <v>0</v>
      </c>
      <c r="Q158" s="21">
        <v>0</v>
      </c>
      <c r="R158" s="22">
        <v>0</v>
      </c>
      <c r="S158" s="22">
        <v>0</v>
      </c>
      <c r="T158" s="20">
        <v>0</v>
      </c>
      <c r="U158" s="20">
        <v>0</v>
      </c>
      <c r="V158" s="20">
        <v>0</v>
      </c>
      <c r="W158" s="62" t="str">
        <f>IFERROR(CalcRC27(F158,G158,K158,O158,P158,Q158,R158,S158,T158,U158,V158),"-")</f>
        <v>-</v>
      </c>
      <c r="X158" s="2" t="s">
        <v>890</v>
      </c>
    </row>
    <row r="159" spans="2:24" ht="13.8" x14ac:dyDescent="0.2">
      <c r="B159" s="8">
        <f t="shared" si="14"/>
        <v>174</v>
      </c>
      <c r="C159" s="10">
        <v>174</v>
      </c>
      <c r="D159" s="9"/>
      <c r="E159" s="11" t="str">
        <f t="shared" si="20"/>
        <v>---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12">
        <f t="shared" si="16"/>
        <v>0</v>
      </c>
      <c r="L159" s="7">
        <v>155</v>
      </c>
      <c r="M159" s="11">
        <f t="shared" si="17"/>
        <v>0</v>
      </c>
      <c r="N159" s="11">
        <f t="shared" si="18"/>
        <v>0</v>
      </c>
      <c r="O159" s="20">
        <v>0</v>
      </c>
      <c r="P159" s="21">
        <v>0</v>
      </c>
      <c r="Q159" s="21">
        <v>0</v>
      </c>
      <c r="R159" s="22">
        <v>0</v>
      </c>
      <c r="S159" s="22">
        <v>0</v>
      </c>
      <c r="T159" s="20">
        <v>0</v>
      </c>
      <c r="U159" s="20">
        <v>0</v>
      </c>
      <c r="V159" s="20">
        <v>0</v>
      </c>
      <c r="W159" s="62" t="str">
        <f>IFERROR(CalcRC27(F159,G159,K159,O159,P159,Q159,R159,S159,T159,U159,V159),"-")</f>
        <v>-</v>
      </c>
      <c r="X159" s="2"/>
    </row>
    <row r="160" spans="2:24" ht="13.8" x14ac:dyDescent="0.2">
      <c r="B160" s="8">
        <f t="shared" si="14"/>
        <v>175</v>
      </c>
      <c r="C160" s="10">
        <v>175</v>
      </c>
      <c r="D160" s="9"/>
      <c r="E160" s="11" t="str">
        <f t="shared" si="20"/>
        <v>---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12">
        <f t="shared" si="16"/>
        <v>0</v>
      </c>
      <c r="L160" s="7">
        <v>156</v>
      </c>
      <c r="M160" s="11">
        <f t="shared" si="17"/>
        <v>0</v>
      </c>
      <c r="N160" s="11">
        <f t="shared" si="18"/>
        <v>0</v>
      </c>
      <c r="O160" s="20">
        <v>0</v>
      </c>
      <c r="P160" s="21">
        <v>0</v>
      </c>
      <c r="Q160" s="21">
        <v>0</v>
      </c>
      <c r="R160" s="22">
        <v>0</v>
      </c>
      <c r="S160" s="22">
        <v>0</v>
      </c>
      <c r="T160" s="20">
        <v>0</v>
      </c>
      <c r="U160" s="20">
        <v>0</v>
      </c>
      <c r="V160" s="20">
        <v>0</v>
      </c>
      <c r="W160" s="62" t="str">
        <f>IFERROR(CalcRC27(F160,G160,K160,O160,P160,Q160,R160,S160,T160,U160,V160),"-")</f>
        <v>-</v>
      </c>
      <c r="X160" s="2"/>
    </row>
    <row r="161" spans="2:24" ht="13.8" x14ac:dyDescent="0.2">
      <c r="B161" s="8">
        <f t="shared" si="14"/>
        <v>176</v>
      </c>
      <c r="C161" s="10">
        <v>176</v>
      </c>
      <c r="D161" s="9"/>
      <c r="E161" s="11" t="str">
        <f t="shared" si="20"/>
        <v>---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12">
        <f t="shared" si="16"/>
        <v>0</v>
      </c>
      <c r="L161" s="7">
        <v>157</v>
      </c>
      <c r="M161" s="11">
        <f t="shared" si="17"/>
        <v>0</v>
      </c>
      <c r="N161" s="11">
        <f t="shared" si="18"/>
        <v>0</v>
      </c>
      <c r="O161" s="20">
        <v>0</v>
      </c>
      <c r="P161" s="21">
        <v>0</v>
      </c>
      <c r="Q161" s="21">
        <v>0</v>
      </c>
      <c r="R161" s="22">
        <v>0</v>
      </c>
      <c r="S161" s="22">
        <v>0</v>
      </c>
      <c r="T161" s="20">
        <v>0</v>
      </c>
      <c r="U161" s="20">
        <v>0</v>
      </c>
      <c r="V161" s="20">
        <v>0</v>
      </c>
      <c r="W161" s="62" t="str">
        <f>IFERROR(CalcRC27(F161,G161,K161,O161,P161,Q161,R161,S161,T161,U161,V161),"-")</f>
        <v>-</v>
      </c>
      <c r="X161" s="2"/>
    </row>
    <row r="162" spans="2:24" ht="13.8" x14ac:dyDescent="0.2">
      <c r="B162" s="8" t="str">
        <f t="shared" si="14"/>
        <v/>
      </c>
      <c r="C162" s="10"/>
      <c r="D162" s="9"/>
      <c r="E162" s="11" t="str">
        <f t="shared" si="20"/>
        <v>---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12">
        <f t="shared" si="16"/>
        <v>0</v>
      </c>
      <c r="L162" s="7">
        <v>158</v>
      </c>
      <c r="M162" s="11">
        <f t="shared" si="17"/>
        <v>0</v>
      </c>
      <c r="N162" s="11">
        <f t="shared" si="18"/>
        <v>0</v>
      </c>
      <c r="O162" s="20">
        <v>0</v>
      </c>
      <c r="P162" s="21">
        <v>0</v>
      </c>
      <c r="Q162" s="21">
        <v>0</v>
      </c>
      <c r="R162" s="22">
        <v>0</v>
      </c>
      <c r="S162" s="22">
        <v>0</v>
      </c>
      <c r="T162" s="20">
        <v>0</v>
      </c>
      <c r="U162" s="20">
        <v>0</v>
      </c>
      <c r="V162" s="20">
        <v>0</v>
      </c>
      <c r="W162" s="62" t="str">
        <f>IFERROR(CalcRC27(F162,G162,K162,O162,P162,Q162,R162,S162,T162,U162,V162),"-")</f>
        <v>-</v>
      </c>
      <c r="X162" s="2"/>
    </row>
    <row r="163" spans="2:24" ht="13.8" x14ac:dyDescent="0.2">
      <c r="B163" s="8" t="str">
        <f t="shared" si="14"/>
        <v/>
      </c>
      <c r="C163" s="10"/>
      <c r="D163" s="9"/>
      <c r="E163" s="11" t="str">
        <f t="shared" si="20"/>
        <v>---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12">
        <f t="shared" si="16"/>
        <v>0</v>
      </c>
      <c r="L163" s="7">
        <v>159</v>
      </c>
      <c r="M163" s="11">
        <f t="shared" si="17"/>
        <v>0</v>
      </c>
      <c r="N163" s="11">
        <f t="shared" si="18"/>
        <v>0</v>
      </c>
      <c r="O163" s="20">
        <v>0</v>
      </c>
      <c r="P163" s="21">
        <v>0</v>
      </c>
      <c r="Q163" s="21">
        <v>0</v>
      </c>
      <c r="R163" s="22">
        <v>0</v>
      </c>
      <c r="S163" s="22">
        <v>0</v>
      </c>
      <c r="T163" s="20">
        <v>0</v>
      </c>
      <c r="U163" s="20">
        <v>0</v>
      </c>
      <c r="V163" s="20">
        <v>0</v>
      </c>
      <c r="W163" s="62" t="str">
        <f>IFERROR(CalcRC27(F163,G163,K163,O163,P163,Q163,R163,S163,T163,U163,V163),"-")</f>
        <v>-</v>
      </c>
      <c r="X163" s="2"/>
    </row>
    <row r="164" spans="2:24" ht="13.8" x14ac:dyDescent="0.2">
      <c r="B164" s="8" t="str">
        <f t="shared" si="14"/>
        <v/>
      </c>
      <c r="C164" s="10"/>
      <c r="D164" s="9"/>
      <c r="E164" s="11" t="str">
        <f t="shared" si="20"/>
        <v>---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12">
        <f t="shared" si="16"/>
        <v>0</v>
      </c>
      <c r="L164" s="7">
        <v>160</v>
      </c>
      <c r="M164" s="11">
        <f t="shared" si="17"/>
        <v>0</v>
      </c>
      <c r="N164" s="11">
        <f t="shared" si="18"/>
        <v>0</v>
      </c>
      <c r="O164" s="20">
        <v>0</v>
      </c>
      <c r="P164" s="21">
        <v>0</v>
      </c>
      <c r="Q164" s="21">
        <v>0</v>
      </c>
      <c r="R164" s="22">
        <v>0</v>
      </c>
      <c r="S164" s="22">
        <v>0</v>
      </c>
      <c r="T164" s="20">
        <v>0</v>
      </c>
      <c r="U164" s="20">
        <v>0</v>
      </c>
      <c r="V164" s="20">
        <v>0</v>
      </c>
      <c r="W164" s="62" t="str">
        <f>IFERROR(CalcRC27(F164,G164,K164,O164,P164,Q164,R164,S164,T164,U164,V164),"-")</f>
        <v>-</v>
      </c>
      <c r="X164" s="2"/>
    </row>
    <row r="165" spans="2:24" ht="13.8" x14ac:dyDescent="0.2">
      <c r="B165" s="8" t="str">
        <f t="shared" si="14"/>
        <v/>
      </c>
      <c r="C165" s="10"/>
      <c r="D165" s="9"/>
      <c r="E165" s="11" t="str">
        <f t="shared" si="20"/>
        <v>---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12">
        <f t="shared" si="16"/>
        <v>0</v>
      </c>
      <c r="L165" s="7">
        <v>161</v>
      </c>
      <c r="M165" s="11">
        <f t="shared" si="17"/>
        <v>0</v>
      </c>
      <c r="N165" s="11">
        <f t="shared" si="18"/>
        <v>0</v>
      </c>
      <c r="O165" s="20">
        <v>0</v>
      </c>
      <c r="P165" s="21">
        <v>0</v>
      </c>
      <c r="Q165" s="21">
        <v>0</v>
      </c>
      <c r="R165" s="22">
        <v>0</v>
      </c>
      <c r="S165" s="22">
        <v>0</v>
      </c>
      <c r="T165" s="20">
        <v>0</v>
      </c>
      <c r="U165" s="20">
        <v>0</v>
      </c>
      <c r="V165" s="20">
        <v>0</v>
      </c>
      <c r="W165" s="62" t="str">
        <f>IFERROR(CalcRC27(F165,G165,K165,O165,P165,Q165,R165,S165,T165,U165,V165),"-")</f>
        <v>-</v>
      </c>
      <c r="X165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61FB-4B01-4B82-AA83-26A45C40565E}">
  <sheetPr codeName="Sheet9"/>
  <dimension ref="B1:X140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525</v>
      </c>
      <c r="C3" s="55" t="s">
        <v>681</v>
      </c>
      <c r="D3" s="55" t="s">
        <v>682</v>
      </c>
      <c r="E3" s="56" t="s">
        <v>28</v>
      </c>
      <c r="F3" s="57" t="s">
        <v>0</v>
      </c>
      <c r="G3" s="54" t="s">
        <v>1</v>
      </c>
      <c r="H3" s="54" t="s">
        <v>253</v>
      </c>
      <c r="I3" s="54" t="s">
        <v>254</v>
      </c>
      <c r="J3" s="58" t="s">
        <v>683</v>
      </c>
      <c r="K3" s="54" t="s">
        <v>644</v>
      </c>
      <c r="L3" s="59" t="s">
        <v>2</v>
      </c>
      <c r="M3" s="60" t="s">
        <v>252</v>
      </c>
      <c r="N3" s="56" t="s">
        <v>255</v>
      </c>
      <c r="O3" s="61" t="s">
        <v>639</v>
      </c>
      <c r="P3" s="54" t="s">
        <v>150</v>
      </c>
      <c r="Q3" s="54" t="s">
        <v>151</v>
      </c>
      <c r="R3" s="54" t="s">
        <v>637</v>
      </c>
      <c r="S3" s="54" t="s">
        <v>638</v>
      </c>
      <c r="T3" s="54" t="s">
        <v>640</v>
      </c>
      <c r="U3" s="54" t="s">
        <v>641</v>
      </c>
      <c r="V3" s="54" t="s">
        <v>642</v>
      </c>
      <c r="W3" s="54" t="s">
        <v>643</v>
      </c>
      <c r="X3" s="158"/>
    </row>
    <row r="4" spans="2:24" ht="13.8" x14ac:dyDescent="0.2">
      <c r="B4" s="8" t="str">
        <f>IF(C4="","",C4)</f>
        <v>00</v>
      </c>
      <c r="C4" s="10" t="s">
        <v>1309</v>
      </c>
      <c r="D4" s="13" t="s">
        <v>1147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919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965</v>
      </c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5">((G5-H5-I5-J5)+(H5*2)+(I5*3)+(J5*4))</f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936</v>
      </c>
    </row>
    <row r="6" spans="2:24" ht="13.8" x14ac:dyDescent="0.2">
      <c r="B6" s="8">
        <f t="shared" si="4"/>
        <v>1</v>
      </c>
      <c r="C6" s="10">
        <v>1</v>
      </c>
      <c r="D6" s="13" t="s">
        <v>42</v>
      </c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334</v>
      </c>
    </row>
    <row r="7" spans="2:24" ht="13.8" x14ac:dyDescent="0.2">
      <c r="B7" s="8">
        <f t="shared" si="4"/>
        <v>2</v>
      </c>
      <c r="C7" s="10">
        <v>2</v>
      </c>
      <c r="D7" s="13" t="s">
        <v>1742</v>
      </c>
      <c r="E7" s="11" t="str">
        <f t="shared" si="3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1814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5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>
        <f t="shared" si="4"/>
        <v>4</v>
      </c>
      <c r="C9" s="10">
        <v>4</v>
      </c>
      <c r="D9" s="13" t="s">
        <v>1743</v>
      </c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5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239</v>
      </c>
    </row>
    <row r="10" spans="2:24" ht="13.8" x14ac:dyDescent="0.2">
      <c r="B10" s="8">
        <f t="shared" si="4"/>
        <v>5</v>
      </c>
      <c r="C10" s="10">
        <v>5</v>
      </c>
      <c r="D10" s="13" t="s">
        <v>43</v>
      </c>
      <c r="E10" s="11" t="str">
        <f t="shared" si="3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5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337</v>
      </c>
    </row>
    <row r="11" spans="2:24" ht="13.8" x14ac:dyDescent="0.2">
      <c r="B11" s="8">
        <f t="shared" si="4"/>
        <v>6</v>
      </c>
      <c r="C11" s="10">
        <v>6</v>
      </c>
      <c r="D11" s="13" t="s">
        <v>1744</v>
      </c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5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338</v>
      </c>
    </row>
    <row r="12" spans="2:24" ht="13.8" x14ac:dyDescent="0.2">
      <c r="B12" s="8">
        <f t="shared" si="4"/>
        <v>7</v>
      </c>
      <c r="C12" s="10">
        <v>7</v>
      </c>
      <c r="D12" s="13" t="s">
        <v>1666</v>
      </c>
      <c r="E12" s="11" t="str">
        <f t="shared" si="3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5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442</v>
      </c>
    </row>
    <row r="13" spans="2:24" ht="13.8" x14ac:dyDescent="0.2">
      <c r="B13" s="8">
        <f t="shared" si="4"/>
        <v>8</v>
      </c>
      <c r="C13" s="10">
        <v>8</v>
      </c>
      <c r="D13" s="13" t="s">
        <v>1745</v>
      </c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5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1815</v>
      </c>
    </row>
    <row r="14" spans="2:24" ht="13.8" x14ac:dyDescent="0.2">
      <c r="B14" s="8">
        <f t="shared" si="4"/>
        <v>9</v>
      </c>
      <c r="C14" s="10">
        <v>9</v>
      </c>
      <c r="D14" s="13" t="s">
        <v>1746</v>
      </c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5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937</v>
      </c>
    </row>
    <row r="15" spans="2:24" ht="13.8" x14ac:dyDescent="0.2">
      <c r="B15" s="8">
        <f t="shared" si="4"/>
        <v>10</v>
      </c>
      <c r="C15" s="10">
        <v>10</v>
      </c>
      <c r="D15" s="13" t="s">
        <v>1747</v>
      </c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5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1816</v>
      </c>
    </row>
    <row r="16" spans="2:24" ht="13.8" x14ac:dyDescent="0.2">
      <c r="B16" s="8">
        <f t="shared" si="4"/>
        <v>11</v>
      </c>
      <c r="C16" s="10">
        <v>11</v>
      </c>
      <c r="D16" s="13" t="s">
        <v>1748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5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938</v>
      </c>
    </row>
    <row r="17" spans="2:24" ht="13.8" x14ac:dyDescent="0.2">
      <c r="B17" s="8">
        <f t="shared" si="4"/>
        <v>12</v>
      </c>
      <c r="C17" s="10">
        <v>12</v>
      </c>
      <c r="D17" s="13" t="s">
        <v>1144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5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70</v>
      </c>
    </row>
    <row r="18" spans="2:24" ht="13.8" x14ac:dyDescent="0.2">
      <c r="B18" s="8">
        <f t="shared" si="4"/>
        <v>13</v>
      </c>
      <c r="C18" s="10">
        <v>13</v>
      </c>
      <c r="D18" s="13" t="s">
        <v>513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5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341</v>
      </c>
    </row>
    <row r="19" spans="2:24" ht="13.8" x14ac:dyDescent="0.2">
      <c r="B19" s="8">
        <f t="shared" si="4"/>
        <v>14</v>
      </c>
      <c r="C19" s="10">
        <v>14</v>
      </c>
      <c r="D19" s="13"/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5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/>
    </row>
    <row r="20" spans="2:24" ht="13.8" x14ac:dyDescent="0.2">
      <c r="B20" s="8">
        <f t="shared" si="4"/>
        <v>15</v>
      </c>
      <c r="C20" s="10">
        <v>15</v>
      </c>
      <c r="D20" s="26" t="s">
        <v>1749</v>
      </c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5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350</v>
      </c>
    </row>
    <row r="21" spans="2:24" ht="13.8" x14ac:dyDescent="0.2">
      <c r="B21" s="8">
        <f t="shared" si="4"/>
        <v>16</v>
      </c>
      <c r="C21" s="10">
        <v>16</v>
      </c>
      <c r="D21" s="13" t="s">
        <v>1750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5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1817</v>
      </c>
    </row>
    <row r="22" spans="2:24" ht="13.8" x14ac:dyDescent="0.2">
      <c r="B22" s="8">
        <f t="shared" si="4"/>
        <v>17</v>
      </c>
      <c r="C22" s="10">
        <v>17</v>
      </c>
      <c r="D22" s="13" t="s">
        <v>1142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5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342</v>
      </c>
    </row>
    <row r="23" spans="2:24" ht="13.8" x14ac:dyDescent="0.2">
      <c r="B23" s="8">
        <f t="shared" si="4"/>
        <v>18</v>
      </c>
      <c r="C23" s="10">
        <v>18</v>
      </c>
      <c r="D23" s="13"/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5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4"/>
        <v>19</v>
      </c>
      <c r="C24" s="10">
        <v>19</v>
      </c>
      <c r="D24" s="13" t="s">
        <v>1751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5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1818</v>
      </c>
    </row>
    <row r="25" spans="2:24" ht="13.8" x14ac:dyDescent="0.2">
      <c r="B25" s="8">
        <f t="shared" si="4"/>
        <v>20</v>
      </c>
      <c r="C25" s="10">
        <v>20</v>
      </c>
      <c r="D25" s="13" t="s">
        <v>1752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5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1819</v>
      </c>
    </row>
    <row r="26" spans="2:24" ht="13.8" x14ac:dyDescent="0.2">
      <c r="B26" s="8">
        <f t="shared" si="4"/>
        <v>21</v>
      </c>
      <c r="C26" s="10">
        <v>21</v>
      </c>
      <c r="D26" s="13" t="s">
        <v>1753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5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939</v>
      </c>
    </row>
    <row r="27" spans="2:24" ht="13.8" x14ac:dyDescent="0.2">
      <c r="B27" s="8">
        <f t="shared" si="4"/>
        <v>22</v>
      </c>
      <c r="C27" s="10">
        <v>22</v>
      </c>
      <c r="D27" s="13" t="s">
        <v>1754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5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1083</v>
      </c>
    </row>
    <row r="28" spans="2:24" ht="13.8" x14ac:dyDescent="0.2">
      <c r="B28" s="8">
        <f t="shared" si="4"/>
        <v>23</v>
      </c>
      <c r="C28" s="10">
        <v>23</v>
      </c>
      <c r="D28" s="13" t="s">
        <v>932</v>
      </c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5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940</v>
      </c>
    </row>
    <row r="29" spans="2:24" ht="13.8" x14ac:dyDescent="0.2">
      <c r="B29" s="8">
        <f t="shared" si="4"/>
        <v>24</v>
      </c>
      <c r="C29" s="10">
        <v>24</v>
      </c>
      <c r="D29" s="13"/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5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4"/>
        <v>25</v>
      </c>
      <c r="C30" s="10">
        <v>25</v>
      </c>
      <c r="D30" s="13" t="s">
        <v>1755</v>
      </c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5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1820</v>
      </c>
    </row>
    <row r="31" spans="2:24" ht="13.8" x14ac:dyDescent="0.2">
      <c r="B31" s="8">
        <f t="shared" si="4"/>
        <v>26</v>
      </c>
      <c r="C31" s="10">
        <v>26</v>
      </c>
      <c r="D31" s="13" t="s">
        <v>1756</v>
      </c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5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1821</v>
      </c>
    </row>
    <row r="32" spans="2:24" ht="13.8" x14ac:dyDescent="0.2">
      <c r="B32" s="8">
        <f t="shared" si="4"/>
        <v>27</v>
      </c>
      <c r="C32" s="10">
        <v>27</v>
      </c>
      <c r="D32" s="13" t="s">
        <v>1757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5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941</v>
      </c>
    </row>
    <row r="33" spans="2:24" ht="13.8" x14ac:dyDescent="0.2">
      <c r="B33" s="8">
        <f t="shared" si="4"/>
        <v>28</v>
      </c>
      <c r="C33" s="10">
        <v>28</v>
      </c>
      <c r="D33" s="13"/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5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4"/>
        <v>29</v>
      </c>
      <c r="C34" s="10">
        <v>29</v>
      </c>
      <c r="D34" s="13" t="s">
        <v>1758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5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942</v>
      </c>
    </row>
    <row r="35" spans="2:24" ht="13.8" x14ac:dyDescent="0.2">
      <c r="B35" s="8">
        <f t="shared" si="4"/>
        <v>30</v>
      </c>
      <c r="C35" s="10">
        <v>30</v>
      </c>
      <c r="D35" s="13" t="s">
        <v>1759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5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1822</v>
      </c>
    </row>
    <row r="36" spans="2:24" ht="13.8" x14ac:dyDescent="0.2">
      <c r="B36" s="8">
        <f t="shared" si="4"/>
        <v>31</v>
      </c>
      <c r="C36" s="10">
        <v>31</v>
      </c>
      <c r="D36" s="13" t="s">
        <v>1760</v>
      </c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5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1013</v>
      </c>
    </row>
    <row r="37" spans="2:24" ht="13.8" x14ac:dyDescent="0.2">
      <c r="B37" s="8">
        <f t="shared" si="4"/>
        <v>32</v>
      </c>
      <c r="C37" s="10">
        <v>32</v>
      </c>
      <c r="D37" s="13" t="s">
        <v>123</v>
      </c>
      <c r="E37" s="11" t="str">
        <f t="shared" si="3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5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345</v>
      </c>
    </row>
    <row r="38" spans="2:24" ht="13.8" x14ac:dyDescent="0.2">
      <c r="B38" s="8">
        <f t="shared" si="4"/>
        <v>33</v>
      </c>
      <c r="C38" s="10">
        <v>33</v>
      </c>
      <c r="D38" s="13" t="s">
        <v>1761</v>
      </c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5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944</v>
      </c>
    </row>
    <row r="39" spans="2:24" ht="13.8" x14ac:dyDescent="0.2">
      <c r="B39" s="8">
        <f t="shared" si="4"/>
        <v>34</v>
      </c>
      <c r="C39" s="10">
        <v>34</v>
      </c>
      <c r="D39" s="13" t="s">
        <v>1762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5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364</v>
      </c>
    </row>
    <row r="40" spans="2:24" ht="13.8" x14ac:dyDescent="0.2">
      <c r="B40" s="8">
        <f t="shared" si="4"/>
        <v>35</v>
      </c>
      <c r="C40" s="10">
        <v>35</v>
      </c>
      <c r="D40" s="13" t="s">
        <v>1132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5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1823</v>
      </c>
    </row>
    <row r="41" spans="2:24" ht="13.8" x14ac:dyDescent="0.2">
      <c r="B41" s="8">
        <f t="shared" si="4"/>
        <v>36</v>
      </c>
      <c r="C41" s="10">
        <v>36</v>
      </c>
      <c r="D41" s="13" t="s">
        <v>1763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5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945</v>
      </c>
    </row>
    <row r="42" spans="2:24" ht="13.8" x14ac:dyDescent="0.2">
      <c r="B42" s="8">
        <f t="shared" si="4"/>
        <v>37</v>
      </c>
      <c r="C42" s="10">
        <v>37</v>
      </c>
      <c r="D42" s="13" t="s">
        <v>71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5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347</v>
      </c>
    </row>
    <row r="43" spans="2:24" ht="13.8" x14ac:dyDescent="0.2">
      <c r="B43" s="8">
        <f t="shared" si="4"/>
        <v>38</v>
      </c>
      <c r="C43" s="10">
        <v>38</v>
      </c>
      <c r="D43" s="13" t="s">
        <v>1764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5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1824</v>
      </c>
    </row>
    <row r="44" spans="2:24" ht="13.8" x14ac:dyDescent="0.2">
      <c r="B44" s="8">
        <f t="shared" si="4"/>
        <v>39</v>
      </c>
      <c r="C44" s="10">
        <v>39</v>
      </c>
      <c r="D44" s="13" t="s">
        <v>1765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5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314</v>
      </c>
    </row>
    <row r="45" spans="2:24" ht="13.8" x14ac:dyDescent="0.2">
      <c r="B45" s="8">
        <f t="shared" si="4"/>
        <v>40</v>
      </c>
      <c r="C45" s="10">
        <v>40</v>
      </c>
      <c r="D45" s="13" t="s">
        <v>1766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5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1825</v>
      </c>
    </row>
    <row r="46" spans="2:24" ht="13.8" x14ac:dyDescent="0.2">
      <c r="B46" s="8">
        <f t="shared" si="4"/>
        <v>41</v>
      </c>
      <c r="C46" s="10">
        <v>41</v>
      </c>
      <c r="D46" s="13" t="s">
        <v>1767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5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947</v>
      </c>
    </row>
    <row r="47" spans="2:24" ht="13.8" x14ac:dyDescent="0.2">
      <c r="B47" s="8">
        <f t="shared" si="4"/>
        <v>42</v>
      </c>
      <c r="C47" s="10">
        <v>42</v>
      </c>
      <c r="D47" s="13" t="s">
        <v>1768</v>
      </c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5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948</v>
      </c>
    </row>
    <row r="48" spans="2:24" ht="13.8" x14ac:dyDescent="0.2">
      <c r="B48" s="8">
        <f t="shared" si="4"/>
        <v>43</v>
      </c>
      <c r="C48" s="10">
        <v>43</v>
      </c>
      <c r="D48" s="13" t="s">
        <v>514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5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1826</v>
      </c>
    </row>
    <row r="49" spans="2:24" ht="13.8" x14ac:dyDescent="0.2">
      <c r="B49" s="8">
        <f t="shared" si="4"/>
        <v>44</v>
      </c>
      <c r="C49" s="10">
        <v>44</v>
      </c>
      <c r="D49" s="13" t="s">
        <v>1141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5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1827</v>
      </c>
    </row>
    <row r="50" spans="2:24" ht="13.8" x14ac:dyDescent="0.2">
      <c r="B50" s="8">
        <f t="shared" si="4"/>
        <v>45</v>
      </c>
      <c r="C50" s="10">
        <v>45</v>
      </c>
      <c r="D50" s="13" t="s">
        <v>1769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5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1828</v>
      </c>
    </row>
    <row r="51" spans="2:24" ht="13.8" x14ac:dyDescent="0.2">
      <c r="B51" s="8">
        <f t="shared" si="4"/>
        <v>46</v>
      </c>
      <c r="C51" s="10">
        <v>46</v>
      </c>
      <c r="D51" s="13" t="s">
        <v>1770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5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1829</v>
      </c>
    </row>
    <row r="52" spans="2:24" ht="13.8" x14ac:dyDescent="0.2">
      <c r="B52" s="8">
        <f t="shared" si="4"/>
        <v>47</v>
      </c>
      <c r="C52" s="10">
        <v>47</v>
      </c>
      <c r="D52" s="13" t="s">
        <v>1645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5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949</v>
      </c>
    </row>
    <row r="53" spans="2:24" ht="13.8" x14ac:dyDescent="0.2">
      <c r="B53" s="8">
        <f t="shared" si="4"/>
        <v>48</v>
      </c>
      <c r="C53" s="10">
        <v>48</v>
      </c>
      <c r="D53" s="13"/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5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>
        <f t="shared" si="4"/>
        <v>49</v>
      </c>
      <c r="C54" s="10">
        <v>49</v>
      </c>
      <c r="D54" s="13"/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5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4"/>
        <v>50</v>
      </c>
      <c r="C55" s="10">
        <v>50</v>
      </c>
      <c r="D55" s="13" t="s">
        <v>1771</v>
      </c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5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384</v>
      </c>
    </row>
    <row r="56" spans="2:24" ht="13.8" x14ac:dyDescent="0.2">
      <c r="B56" s="8">
        <f t="shared" si="4"/>
        <v>51</v>
      </c>
      <c r="C56" s="10">
        <v>51</v>
      </c>
      <c r="D56" s="13" t="s">
        <v>1146</v>
      </c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5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351</v>
      </c>
    </row>
    <row r="57" spans="2:24" ht="13.8" x14ac:dyDescent="0.2">
      <c r="B57" s="8">
        <f t="shared" si="4"/>
        <v>52</v>
      </c>
      <c r="C57" s="10">
        <v>52</v>
      </c>
      <c r="D57" s="13" t="s">
        <v>1772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5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1830</v>
      </c>
    </row>
    <row r="58" spans="2:24" ht="13.8" x14ac:dyDescent="0.2">
      <c r="B58" s="8">
        <f t="shared" si="4"/>
        <v>53</v>
      </c>
      <c r="C58" s="10">
        <v>53</v>
      </c>
      <c r="D58" s="13" t="s">
        <v>1589</v>
      </c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5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348</v>
      </c>
    </row>
    <row r="59" spans="2:24" ht="13.8" x14ac:dyDescent="0.2">
      <c r="B59" s="8">
        <f t="shared" si="4"/>
        <v>54</v>
      </c>
      <c r="C59" s="10">
        <v>54</v>
      </c>
      <c r="D59" s="13" t="s">
        <v>1773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5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1831</v>
      </c>
    </row>
    <row r="60" spans="2:24" ht="13.8" x14ac:dyDescent="0.2">
      <c r="B60" s="8">
        <f t="shared" si="4"/>
        <v>55</v>
      </c>
      <c r="C60" s="10">
        <v>55</v>
      </c>
      <c r="D60" s="13" t="s">
        <v>1774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5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1832</v>
      </c>
    </row>
    <row r="61" spans="2:24" ht="13.8" x14ac:dyDescent="0.2">
      <c r="B61" s="8">
        <f t="shared" si="4"/>
        <v>56</v>
      </c>
      <c r="C61" s="10">
        <v>56</v>
      </c>
      <c r="D61" s="13" t="s">
        <v>1113</v>
      </c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5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1833</v>
      </c>
    </row>
    <row r="62" spans="2:24" ht="13.8" x14ac:dyDescent="0.2">
      <c r="B62" s="8">
        <f t="shared" si="4"/>
        <v>57</v>
      </c>
      <c r="C62" s="10">
        <v>57</v>
      </c>
      <c r="D62" s="13" t="s">
        <v>515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5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1834</v>
      </c>
    </row>
    <row r="63" spans="2:24" ht="13.8" x14ac:dyDescent="0.2">
      <c r="B63" s="8">
        <f t="shared" si="4"/>
        <v>58</v>
      </c>
      <c r="C63" s="10">
        <v>58</v>
      </c>
      <c r="D63" s="13" t="s">
        <v>1775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5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746</v>
      </c>
    </row>
    <row r="64" spans="2:24" ht="13.8" x14ac:dyDescent="0.2">
      <c r="B64" s="8">
        <f t="shared" si="4"/>
        <v>59</v>
      </c>
      <c r="C64" s="10">
        <v>59</v>
      </c>
      <c r="D64" s="13" t="s">
        <v>1776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5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1835</v>
      </c>
    </row>
    <row r="65" spans="2:24" ht="13.8" x14ac:dyDescent="0.2">
      <c r="B65" s="8">
        <f t="shared" si="4"/>
        <v>60</v>
      </c>
      <c r="C65" s="10">
        <v>60</v>
      </c>
      <c r="D65" s="13" t="s">
        <v>1317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5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352</v>
      </c>
    </row>
    <row r="66" spans="2:24" ht="13.8" x14ac:dyDescent="0.2">
      <c r="B66" s="8">
        <f t="shared" si="4"/>
        <v>61</v>
      </c>
      <c r="C66" s="10">
        <v>61</v>
      </c>
      <c r="D66" s="13" t="s">
        <v>1444</v>
      </c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5"/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353</v>
      </c>
    </row>
    <row r="67" spans="2:24" ht="13.8" x14ac:dyDescent="0.2">
      <c r="B67" s="8">
        <f t="shared" si="4"/>
        <v>62</v>
      </c>
      <c r="C67" s="10">
        <v>62</v>
      </c>
      <c r="D67" s="13" t="s">
        <v>1777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5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951</v>
      </c>
    </row>
    <row r="68" spans="2:24" ht="13.8" x14ac:dyDescent="0.2">
      <c r="B68" s="8">
        <f t="shared" si="4"/>
        <v>63</v>
      </c>
      <c r="C68" s="10">
        <v>63</v>
      </c>
      <c r="D68" s="9" t="s">
        <v>1330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5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952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1778</v>
      </c>
      <c r="E69" s="11" t="str">
        <f t="shared" ref="E69:E127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0">((G69-H69-I69-J69)+(H69*2)+(I69*3)+(J69*4))</f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1836</v>
      </c>
    </row>
    <row r="70" spans="2:24" ht="13.8" x14ac:dyDescent="0.2">
      <c r="B70" s="8">
        <f t="shared" si="8"/>
        <v>65</v>
      </c>
      <c r="C70" s="10">
        <v>65</v>
      </c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f t="shared" si="8"/>
        <v>66</v>
      </c>
      <c r="C71" s="10">
        <v>66</v>
      </c>
      <c r="D71" s="13" t="s">
        <v>1779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0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1837</v>
      </c>
    </row>
    <row r="72" spans="2:24" ht="13.8" x14ac:dyDescent="0.2">
      <c r="B72" s="8">
        <f t="shared" si="8"/>
        <v>67</v>
      </c>
      <c r="C72" s="10">
        <v>67</v>
      </c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0"/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f t="shared" si="8"/>
        <v>68</v>
      </c>
      <c r="C73" s="10">
        <v>68</v>
      </c>
      <c r="D73" s="13" t="s">
        <v>72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0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354</v>
      </c>
    </row>
    <row r="74" spans="2:24" ht="13.8" x14ac:dyDescent="0.2">
      <c r="B74" s="8">
        <f t="shared" si="8"/>
        <v>69</v>
      </c>
      <c r="C74" s="10">
        <v>69</v>
      </c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0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8"/>
        <v>70</v>
      </c>
      <c r="C75" s="10">
        <v>70</v>
      </c>
      <c r="D75" s="26" t="s">
        <v>1780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0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954</v>
      </c>
    </row>
    <row r="76" spans="2:24" ht="13.8" x14ac:dyDescent="0.2">
      <c r="B76" s="8">
        <f t="shared" si="8"/>
        <v>71</v>
      </c>
      <c r="C76" s="10">
        <v>71</v>
      </c>
      <c r="D76" s="8" t="s">
        <v>1781</v>
      </c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0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 t="s">
        <v>960</v>
      </c>
    </row>
    <row r="77" spans="2:24" ht="13.8" x14ac:dyDescent="0.2">
      <c r="B77" s="8">
        <f t="shared" si="8"/>
        <v>72</v>
      </c>
      <c r="C77" s="10">
        <v>72</v>
      </c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0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8"/>
        <v>73</v>
      </c>
      <c r="C78" s="10">
        <v>73</v>
      </c>
      <c r="D78" s="8" t="s">
        <v>1782</v>
      </c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0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 t="s">
        <v>1838</v>
      </c>
    </row>
    <row r="79" spans="2:24" ht="13.8" x14ac:dyDescent="0.2">
      <c r="B79" s="8">
        <f t="shared" si="8"/>
        <v>74</v>
      </c>
      <c r="C79" s="10">
        <v>74</v>
      </c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0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8"/>
        <v>75</v>
      </c>
      <c r="C80" s="10">
        <v>75</v>
      </c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0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8"/>
        <v>76</v>
      </c>
      <c r="C81" s="10">
        <v>76</v>
      </c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0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0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8"/>
        <v>78</v>
      </c>
      <c r="C83" s="10">
        <v>78</v>
      </c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0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8"/>
        <v>79</v>
      </c>
      <c r="C84" s="10">
        <v>79</v>
      </c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0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8"/>
        <v>80</v>
      </c>
      <c r="C85" s="10">
        <v>80</v>
      </c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0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8"/>
        <v>81</v>
      </c>
      <c r="C86" s="10">
        <v>81</v>
      </c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0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8"/>
        <v>82</v>
      </c>
      <c r="C87" s="10">
        <v>82</v>
      </c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0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8"/>
        <v>83</v>
      </c>
      <c r="C88" s="10">
        <v>83</v>
      </c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0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8"/>
        <v>84</v>
      </c>
      <c r="C89" s="10">
        <v>84</v>
      </c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0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8"/>
        <v>85</v>
      </c>
      <c r="C90" s="10">
        <v>85</v>
      </c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0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8"/>
        <v>86</v>
      </c>
      <c r="C91" s="10">
        <v>86</v>
      </c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0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8"/>
        <v>87</v>
      </c>
      <c r="C92" s="10">
        <v>87</v>
      </c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0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8"/>
        <v>88</v>
      </c>
      <c r="C93" s="10">
        <v>88</v>
      </c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0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8"/>
        <v>89</v>
      </c>
      <c r="C94" s="10">
        <v>89</v>
      </c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0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8"/>
        <v>90</v>
      </c>
      <c r="C95" s="10">
        <v>90</v>
      </c>
      <c r="D95" s="13" t="s">
        <v>1783</v>
      </c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0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 t="s">
        <v>343</v>
      </c>
    </row>
    <row r="96" spans="2:24" ht="13.8" x14ac:dyDescent="0.2">
      <c r="B96" s="8">
        <f t="shared" si="8"/>
        <v>91</v>
      </c>
      <c r="C96" s="10">
        <v>91</v>
      </c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0"/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8"/>
        <v>92</v>
      </c>
      <c r="C97" s="10">
        <v>92</v>
      </c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0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8"/>
        <v>93</v>
      </c>
      <c r="C98" s="10">
        <v>93</v>
      </c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0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8"/>
        <v>94</v>
      </c>
      <c r="C99" s="10">
        <v>94</v>
      </c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0"/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8"/>
        <v>95</v>
      </c>
      <c r="C100" s="10">
        <v>95</v>
      </c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0"/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8"/>
        <v>96</v>
      </c>
      <c r="C101" s="10">
        <v>96</v>
      </c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0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8"/>
        <v>97</v>
      </c>
      <c r="C102" s="10">
        <v>97</v>
      </c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0"/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8"/>
        <v>98</v>
      </c>
      <c r="C103" s="10">
        <v>98</v>
      </c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0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8"/>
        <v>99</v>
      </c>
      <c r="C104" s="10">
        <v>99</v>
      </c>
      <c r="D104" s="9" t="s">
        <v>1701</v>
      </c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0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955</v>
      </c>
    </row>
    <row r="105" spans="2:24" ht="13.8" x14ac:dyDescent="0.2">
      <c r="B105" s="8">
        <f t="shared" si="8"/>
        <v>111</v>
      </c>
      <c r="C105" s="10">
        <v>111</v>
      </c>
      <c r="D105" s="14" t="s">
        <v>1788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0"/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1844</v>
      </c>
    </row>
    <row r="106" spans="2:24" ht="13.8" x14ac:dyDescent="0.2">
      <c r="B106" s="8">
        <f t="shared" si="8"/>
        <v>112</v>
      </c>
      <c r="C106" s="10">
        <v>112</v>
      </c>
      <c r="D106" s="9" t="s">
        <v>1789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0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1845</v>
      </c>
    </row>
    <row r="107" spans="2:24" ht="13.8" x14ac:dyDescent="0.2">
      <c r="B107" s="8">
        <f t="shared" si="8"/>
        <v>113</v>
      </c>
      <c r="C107" s="10">
        <v>113</v>
      </c>
      <c r="D107" s="9" t="s">
        <v>1790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0"/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946</v>
      </c>
    </row>
    <row r="108" spans="2:24" ht="13.8" x14ac:dyDescent="0.2">
      <c r="B108" s="8">
        <f t="shared" si="8"/>
        <v>114</v>
      </c>
      <c r="C108" s="10">
        <v>114</v>
      </c>
      <c r="D108" s="9" t="s">
        <v>1791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0"/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956</v>
      </c>
    </row>
    <row r="109" spans="2:24" ht="13.8" x14ac:dyDescent="0.2">
      <c r="B109" s="8">
        <f t="shared" si="8"/>
        <v>115</v>
      </c>
      <c r="C109" s="10">
        <v>115</v>
      </c>
      <c r="D109" s="9" t="s">
        <v>1133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0"/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224</v>
      </c>
    </row>
    <row r="110" spans="2:24" ht="13.8" x14ac:dyDescent="0.2">
      <c r="B110" s="8">
        <f t="shared" si="8"/>
        <v>116</v>
      </c>
      <c r="C110" s="10">
        <v>116</v>
      </c>
      <c r="D110" s="9" t="s">
        <v>1792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0"/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964</v>
      </c>
    </row>
    <row r="111" spans="2:24" ht="13.8" x14ac:dyDescent="0.2">
      <c r="B111" s="8">
        <f t="shared" si="8"/>
        <v>117</v>
      </c>
      <c r="C111" s="10">
        <v>117</v>
      </c>
      <c r="D111" s="9" t="s">
        <v>1793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0"/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950</v>
      </c>
    </row>
    <row r="112" spans="2:24" ht="13.8" x14ac:dyDescent="0.2">
      <c r="B112" s="8">
        <f t="shared" si="8"/>
        <v>118</v>
      </c>
      <c r="C112" s="10">
        <v>118</v>
      </c>
      <c r="D112" s="9" t="s">
        <v>1794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0"/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1846</v>
      </c>
    </row>
    <row r="113" spans="2:24" ht="13.8" x14ac:dyDescent="0.2">
      <c r="B113" s="8">
        <f t="shared" si="8"/>
        <v>119</v>
      </c>
      <c r="C113" s="10">
        <v>119</v>
      </c>
      <c r="D113" s="9" t="s">
        <v>1795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0"/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1847</v>
      </c>
    </row>
    <row r="114" spans="2:24" ht="13.8" x14ac:dyDescent="0.2">
      <c r="B114" s="8">
        <f t="shared" si="8"/>
        <v>120</v>
      </c>
      <c r="C114" s="10">
        <v>120</v>
      </c>
      <c r="D114" s="9" t="s">
        <v>1796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0"/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378</v>
      </c>
    </row>
    <row r="115" spans="2:24" ht="13.8" x14ac:dyDescent="0.2">
      <c r="B115" s="8">
        <f t="shared" si="8"/>
        <v>121</v>
      </c>
      <c r="C115" s="10">
        <v>121</v>
      </c>
      <c r="D115" s="9" t="s">
        <v>1797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0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957</v>
      </c>
    </row>
    <row r="116" spans="2:24" ht="13.8" x14ac:dyDescent="0.2">
      <c r="B116" s="8">
        <f t="shared" si="8"/>
        <v>122</v>
      </c>
      <c r="C116" s="10">
        <v>122</v>
      </c>
      <c r="D116" s="9" t="s">
        <v>1798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0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958</v>
      </c>
    </row>
    <row r="117" spans="2:24" ht="13.8" x14ac:dyDescent="0.2">
      <c r="B117" s="8">
        <f t="shared" si="8"/>
        <v>123</v>
      </c>
      <c r="C117" s="10">
        <v>123</v>
      </c>
      <c r="D117" s="9" t="s">
        <v>1799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0"/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1848</v>
      </c>
    </row>
    <row r="118" spans="2:24" ht="13.8" x14ac:dyDescent="0.2">
      <c r="B118" s="8">
        <f t="shared" si="8"/>
        <v>124</v>
      </c>
      <c r="C118" s="10">
        <v>124</v>
      </c>
      <c r="D118" s="9" t="s">
        <v>1800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0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1849</v>
      </c>
    </row>
    <row r="119" spans="2:24" ht="13.8" x14ac:dyDescent="0.2">
      <c r="B119" s="8">
        <f t="shared" si="8"/>
        <v>125</v>
      </c>
      <c r="C119" s="10">
        <v>125</v>
      </c>
      <c r="D119" s="9" t="s">
        <v>935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0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935</v>
      </c>
    </row>
    <row r="120" spans="2:24" ht="13.8" x14ac:dyDescent="0.2">
      <c r="B120" s="8">
        <f t="shared" si="8"/>
        <v>126</v>
      </c>
      <c r="C120" s="10">
        <v>126</v>
      </c>
      <c r="D120" s="9" t="s">
        <v>1801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0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959</v>
      </c>
    </row>
    <row r="121" spans="2:24" ht="13.8" x14ac:dyDescent="0.2">
      <c r="B121" s="8">
        <f t="shared" si="8"/>
        <v>127</v>
      </c>
      <c r="C121" s="10">
        <v>127</v>
      </c>
      <c r="D121" s="9" t="s">
        <v>1802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0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344</v>
      </c>
    </row>
    <row r="122" spans="2:24" ht="13.8" x14ac:dyDescent="0.2">
      <c r="B122" s="8">
        <f t="shared" si="8"/>
        <v>128</v>
      </c>
      <c r="C122" s="10">
        <v>128</v>
      </c>
      <c r="D122" s="9" t="s">
        <v>1803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0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1850</v>
      </c>
    </row>
    <row r="123" spans="2:24" ht="13.8" x14ac:dyDescent="0.2">
      <c r="B123" s="8">
        <f t="shared" si="8"/>
        <v>129</v>
      </c>
      <c r="C123" s="10">
        <v>129</v>
      </c>
      <c r="D123" s="9" t="s">
        <v>1804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0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961</v>
      </c>
    </row>
    <row r="124" spans="2:24" ht="13.8" x14ac:dyDescent="0.2">
      <c r="B124" s="8">
        <f t="shared" si="8"/>
        <v>130</v>
      </c>
      <c r="C124" s="10">
        <v>130</v>
      </c>
      <c r="D124" s="9" t="s">
        <v>1805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0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962</v>
      </c>
    </row>
    <row r="125" spans="2:24" ht="13.8" x14ac:dyDescent="0.2">
      <c r="B125" s="8">
        <f t="shared" si="8"/>
        <v>131</v>
      </c>
      <c r="C125" s="10">
        <v>131</v>
      </c>
      <c r="D125" s="9" t="s">
        <v>1806</v>
      </c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0"/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963</v>
      </c>
    </row>
    <row r="126" spans="2:24" ht="13.8" x14ac:dyDescent="0.2">
      <c r="B126" s="8">
        <f t="shared" si="8"/>
        <v>132</v>
      </c>
      <c r="C126" s="10">
        <v>132</v>
      </c>
      <c r="D126" s="9" t="s">
        <v>1807</v>
      </c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0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1807</v>
      </c>
    </row>
    <row r="127" spans="2:24" ht="13.8" x14ac:dyDescent="0.2">
      <c r="B127" s="8">
        <f t="shared" si="8"/>
        <v>133</v>
      </c>
      <c r="C127" s="10">
        <v>133</v>
      </c>
      <c r="D127" s="9" t="s">
        <v>1808</v>
      </c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0"/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1851</v>
      </c>
    </row>
    <row r="128" spans="2:24" ht="13.8" x14ac:dyDescent="0.2">
      <c r="B128" s="8">
        <f t="shared" si="8"/>
        <v>134</v>
      </c>
      <c r="C128" s="10">
        <v>134</v>
      </c>
      <c r="D128" s="9" t="s">
        <v>1642</v>
      </c>
      <c r="E128" s="11" t="str">
        <f t="shared" ref="E128:E134" si="13">IFERROR(IF(G128/F128=1,"1.00",G128/F128),"---")</f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0"/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1852</v>
      </c>
    </row>
    <row r="129" spans="2:24" ht="13.8" x14ac:dyDescent="0.2">
      <c r="B129" s="8">
        <f t="shared" si="8"/>
        <v>135</v>
      </c>
      <c r="C129" s="10">
        <v>135</v>
      </c>
      <c r="D129" s="9" t="s">
        <v>1809</v>
      </c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0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1853</v>
      </c>
    </row>
    <row r="130" spans="2:24" ht="13.8" x14ac:dyDescent="0.2">
      <c r="B130" s="8">
        <f t="shared" si="8"/>
        <v>136</v>
      </c>
      <c r="C130" s="10">
        <v>136</v>
      </c>
      <c r="D130" s="9" t="s">
        <v>1810</v>
      </c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0"/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1095</v>
      </c>
    </row>
    <row r="131" spans="2:24" ht="13.8" x14ac:dyDescent="0.2">
      <c r="B131" s="8">
        <f t="shared" si="8"/>
        <v>137</v>
      </c>
      <c r="C131" s="10">
        <v>137</v>
      </c>
      <c r="D131" s="9" t="s">
        <v>1811</v>
      </c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0"/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 t="s">
        <v>1854</v>
      </c>
    </row>
    <row r="132" spans="2:24" ht="13.8" x14ac:dyDescent="0.2">
      <c r="B132" s="8">
        <f t="shared" si="8"/>
        <v>138</v>
      </c>
      <c r="C132" s="10">
        <v>138</v>
      </c>
      <c r="D132" s="9" t="s">
        <v>1812</v>
      </c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0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 t="s">
        <v>1855</v>
      </c>
    </row>
    <row r="133" spans="2:24" ht="13.8" x14ac:dyDescent="0.2">
      <c r="B133" s="8">
        <f t="shared" ref="B133:B134" si="14">IF(C133="","",C133)</f>
        <v>139</v>
      </c>
      <c r="C133" s="10">
        <v>139</v>
      </c>
      <c r="D133" s="9" t="s">
        <v>1813</v>
      </c>
      <c r="E133" s="11" t="str">
        <f t="shared" si="13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5">((G133-H133-I133-J133)+(H133*2)+(I133*3)+(J133*4))</f>
        <v>0</v>
      </c>
      <c r="L133" s="7">
        <v>0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 t="s">
        <v>1813</v>
      </c>
    </row>
    <row r="134" spans="2:24" ht="13.8" x14ac:dyDescent="0.2">
      <c r="B134" s="8">
        <f t="shared" si="14"/>
        <v>140</v>
      </c>
      <c r="C134" s="10">
        <v>140</v>
      </c>
      <c r="D134" s="9" t="s">
        <v>485</v>
      </c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 t="s">
        <v>485</v>
      </c>
    </row>
    <row r="135" spans="2:24" ht="13.8" x14ac:dyDescent="0.2">
      <c r="B135" s="8">
        <f t="shared" ref="B135:B140" si="18">IF(C135="","",C135)</f>
        <v>141</v>
      </c>
      <c r="C135" s="10">
        <v>141</v>
      </c>
      <c r="D135" s="8" t="s">
        <v>1784</v>
      </c>
      <c r="E135" s="11" t="str">
        <f t="shared" ref="E135:E140" si="19">IFERROR(IF(G135/F135=1,"1.00",G135/F135),"---")</f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ref="K135:K140" si="20">((G135-H135-I135-J135)+(H135*2)+(I135*3)+(J135*4))</f>
        <v>0</v>
      </c>
      <c r="L135" s="7">
        <v>0</v>
      </c>
      <c r="M135" s="11">
        <f t="shared" ref="M135:M140" si="21">IFERROR(IF((G135+P135+Q135)/(F135+P135+Q135+S135)=1,"1.00",(G135+P135+Q135)/(F135+P135+Q135+S135)),0)</f>
        <v>0</v>
      </c>
      <c r="N135" s="11">
        <f t="shared" ref="N135:N140" si="22">IF(F135=0,IF(M135="1.00","1.000",M135),SUM(ROUND(K135/F135,3),M135))</f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2" t="s">
        <v>1839</v>
      </c>
    </row>
    <row r="136" spans="2:24" ht="13.8" x14ac:dyDescent="0.2">
      <c r="B136" s="8">
        <f t="shared" si="18"/>
        <v>142</v>
      </c>
      <c r="C136" s="10">
        <v>142</v>
      </c>
      <c r="D136" s="8" t="s">
        <v>1785</v>
      </c>
      <c r="E136" s="11" t="str">
        <f t="shared" si="19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20"/>
        <v>0</v>
      </c>
      <c r="L136" s="7">
        <v>0</v>
      </c>
      <c r="M136" s="11">
        <f t="shared" si="21"/>
        <v>0</v>
      </c>
      <c r="N136" s="11">
        <f t="shared" si="22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2" t="s">
        <v>1840</v>
      </c>
    </row>
    <row r="137" spans="2:24" ht="13.8" x14ac:dyDescent="0.2">
      <c r="B137" s="8">
        <f t="shared" si="18"/>
        <v>143</v>
      </c>
      <c r="C137" s="10">
        <v>143</v>
      </c>
      <c r="D137" s="8" t="s">
        <v>1786</v>
      </c>
      <c r="E137" s="11" t="str">
        <f t="shared" si="19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20"/>
        <v>0</v>
      </c>
      <c r="L137" s="7">
        <v>0</v>
      </c>
      <c r="M137" s="11">
        <f t="shared" si="21"/>
        <v>0</v>
      </c>
      <c r="N137" s="11">
        <f t="shared" si="22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2" t="s">
        <v>1841</v>
      </c>
    </row>
    <row r="138" spans="2:24" ht="13.8" x14ac:dyDescent="0.2">
      <c r="B138" s="8">
        <f t="shared" si="18"/>
        <v>144</v>
      </c>
      <c r="C138" s="10">
        <v>144</v>
      </c>
      <c r="D138" s="8" t="s">
        <v>992</v>
      </c>
      <c r="E138" s="11" t="str">
        <f t="shared" si="19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20"/>
        <v>0</v>
      </c>
      <c r="L138" s="7">
        <v>0</v>
      </c>
      <c r="M138" s="11">
        <f t="shared" si="21"/>
        <v>0</v>
      </c>
      <c r="N138" s="11">
        <f t="shared" si="22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2" t="s">
        <v>1842</v>
      </c>
    </row>
    <row r="139" spans="2:24" ht="13.8" x14ac:dyDescent="0.2">
      <c r="B139" s="8">
        <f t="shared" si="18"/>
        <v>145</v>
      </c>
      <c r="C139" s="10">
        <v>145</v>
      </c>
      <c r="D139" s="13" t="s">
        <v>1787</v>
      </c>
      <c r="E139" s="11" t="str">
        <f t="shared" si="19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20"/>
        <v>0</v>
      </c>
      <c r="L139" s="7">
        <v>0</v>
      </c>
      <c r="M139" s="11">
        <f t="shared" si="21"/>
        <v>0</v>
      </c>
      <c r="N139" s="11">
        <f t="shared" si="22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2" t="s">
        <v>1843</v>
      </c>
    </row>
    <row r="140" spans="2:24" ht="13.8" x14ac:dyDescent="0.2">
      <c r="B140" s="8" t="str">
        <f t="shared" si="18"/>
        <v/>
      </c>
      <c r="C140" s="10"/>
      <c r="D140" s="9"/>
      <c r="E140" s="11" t="str">
        <f t="shared" si="19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20"/>
        <v>0</v>
      </c>
      <c r="L140" s="7">
        <v>0</v>
      </c>
      <c r="M140" s="11">
        <f t="shared" si="21"/>
        <v>0</v>
      </c>
      <c r="N140" s="11">
        <f t="shared" si="22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7DCE3-1E37-4497-8CD7-5B2CF915FC06}">
  <sheetPr codeName="Sheet1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525</v>
      </c>
      <c r="C3" s="55" t="s">
        <v>681</v>
      </c>
      <c r="D3" s="55" t="s">
        <v>682</v>
      </c>
      <c r="E3" s="56" t="s">
        <v>28</v>
      </c>
      <c r="F3" s="57" t="s">
        <v>0</v>
      </c>
      <c r="G3" s="54" t="s">
        <v>1</v>
      </c>
      <c r="H3" s="54" t="s">
        <v>253</v>
      </c>
      <c r="I3" s="54" t="s">
        <v>254</v>
      </c>
      <c r="J3" s="58" t="s">
        <v>683</v>
      </c>
      <c r="K3" s="54" t="s">
        <v>644</v>
      </c>
      <c r="L3" s="59" t="s">
        <v>2</v>
      </c>
      <c r="M3" s="60" t="s">
        <v>252</v>
      </c>
      <c r="N3" s="56" t="s">
        <v>255</v>
      </c>
      <c r="O3" s="61" t="s">
        <v>639</v>
      </c>
      <c r="P3" s="54" t="s">
        <v>150</v>
      </c>
      <c r="Q3" s="54" t="s">
        <v>151</v>
      </c>
      <c r="R3" s="54" t="s">
        <v>637</v>
      </c>
      <c r="S3" s="54" t="s">
        <v>638</v>
      </c>
      <c r="T3" s="54" t="s">
        <v>640</v>
      </c>
      <c r="U3" s="54" t="s">
        <v>641</v>
      </c>
      <c r="V3" s="54" t="s">
        <v>642</v>
      </c>
      <c r="W3" s="54" t="s">
        <v>643</v>
      </c>
      <c r="X3" s="158"/>
    </row>
    <row r="4" spans="2:24" ht="13.8" x14ac:dyDescent="0.2">
      <c r="B4" s="8" t="str">
        <f>IF(C4="","",C4)</f>
        <v>00</v>
      </c>
      <c r="C4" s="10" t="s">
        <v>1309</v>
      </c>
      <c r="D4" s="13"/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3">IF(C5="","",C5)</f>
        <v>0</v>
      </c>
      <c r="C5" s="10">
        <v>0</v>
      </c>
      <c r="D5" s="13"/>
      <c r="E5" s="11" t="str">
        <f t="shared" ref="E5:E68" si="4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5">((G5-H5-I5-J5)+(H5*2)+(I5*3)+(J5*4))</f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3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3"/>
        <v>2</v>
      </c>
      <c r="C7" s="10">
        <v>2</v>
      </c>
      <c r="D7" s="13" t="s">
        <v>604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1899</v>
      </c>
    </row>
    <row r="8" spans="2:24" ht="13.8" x14ac:dyDescent="0.2">
      <c r="B8" s="8">
        <f t="shared" si="3"/>
        <v>3</v>
      </c>
      <c r="C8" s="10">
        <v>3</v>
      </c>
      <c r="D8" s="13" t="s">
        <v>1856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5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400</v>
      </c>
    </row>
    <row r="9" spans="2:24" ht="13.8" x14ac:dyDescent="0.2">
      <c r="B9" s="8">
        <f t="shared" si="3"/>
        <v>4</v>
      </c>
      <c r="C9" s="10">
        <v>4</v>
      </c>
      <c r="D9" s="9" t="s">
        <v>605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5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620</v>
      </c>
    </row>
    <row r="10" spans="2:24" ht="13.8" x14ac:dyDescent="0.2">
      <c r="B10" s="8">
        <f t="shared" si="3"/>
        <v>5</v>
      </c>
      <c r="C10" s="10">
        <v>5</v>
      </c>
      <c r="D10" s="13" t="s">
        <v>1857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5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234</v>
      </c>
    </row>
    <row r="11" spans="2:24" ht="13.8" x14ac:dyDescent="0.2">
      <c r="B11" s="8">
        <f t="shared" si="3"/>
        <v>6</v>
      </c>
      <c r="C11" s="10">
        <v>6</v>
      </c>
      <c r="D11" s="13" t="s">
        <v>1858</v>
      </c>
      <c r="E11" s="11" t="str">
        <f t="shared" ref="E11" si="8">IFERROR(IF(G11/F11=1,"1.00",G11/F11),"---")</f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5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1900</v>
      </c>
    </row>
    <row r="12" spans="2:24" ht="13.8" x14ac:dyDescent="0.2">
      <c r="B12" s="8">
        <f t="shared" si="3"/>
        <v>7</v>
      </c>
      <c r="C12" s="10">
        <v>7</v>
      </c>
      <c r="D12" s="13" t="s">
        <v>1146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5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1901</v>
      </c>
    </row>
    <row r="13" spans="2:24" ht="13.8" x14ac:dyDescent="0.2">
      <c r="B13" s="8">
        <f t="shared" si="3"/>
        <v>8</v>
      </c>
      <c r="C13" s="10">
        <v>8</v>
      </c>
      <c r="D13" s="13" t="s">
        <v>606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5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236</v>
      </c>
    </row>
    <row r="14" spans="2:24" ht="13.8" x14ac:dyDescent="0.2">
      <c r="B14" s="8">
        <f t="shared" si="3"/>
        <v>9</v>
      </c>
      <c r="C14" s="10">
        <v>9</v>
      </c>
      <c r="D14" s="13" t="s">
        <v>74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5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226</v>
      </c>
    </row>
    <row r="15" spans="2:24" ht="13.8" x14ac:dyDescent="0.2">
      <c r="B15" s="8">
        <f t="shared" si="3"/>
        <v>10</v>
      </c>
      <c r="C15" s="10">
        <v>10</v>
      </c>
      <c r="D15" s="13" t="s">
        <v>1859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5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227</v>
      </c>
    </row>
    <row r="16" spans="2:24" ht="13.8" x14ac:dyDescent="0.2">
      <c r="B16" s="8">
        <f t="shared" si="3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5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3"/>
        <v>12</v>
      </c>
      <c r="C17" s="10">
        <v>12</v>
      </c>
      <c r="D17" s="13" t="s">
        <v>607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5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621</v>
      </c>
    </row>
    <row r="18" spans="2:24" ht="13.8" x14ac:dyDescent="0.2">
      <c r="B18" s="8">
        <f t="shared" si="3"/>
        <v>13</v>
      </c>
      <c r="C18" s="10">
        <v>13</v>
      </c>
      <c r="D18" s="9" t="s">
        <v>75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5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229</v>
      </c>
    </row>
    <row r="19" spans="2:24" ht="13.8" x14ac:dyDescent="0.2">
      <c r="B19" s="8">
        <f t="shared" si="3"/>
        <v>14</v>
      </c>
      <c r="C19" s="10">
        <v>14</v>
      </c>
      <c r="D19" s="13" t="s">
        <v>1860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5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230</v>
      </c>
    </row>
    <row r="20" spans="2:24" ht="13.8" x14ac:dyDescent="0.2">
      <c r="B20" s="8">
        <f t="shared" si="3"/>
        <v>15</v>
      </c>
      <c r="C20" s="10">
        <v>15</v>
      </c>
      <c r="D20" s="13" t="s">
        <v>616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5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630</v>
      </c>
    </row>
    <row r="21" spans="2:24" ht="13.8" x14ac:dyDescent="0.2">
      <c r="B21" s="8">
        <f t="shared" si="3"/>
        <v>16</v>
      </c>
      <c r="C21" s="10">
        <v>16</v>
      </c>
      <c r="D21" s="13" t="s">
        <v>608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5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622</v>
      </c>
    </row>
    <row r="22" spans="2:24" ht="13.8" x14ac:dyDescent="0.2">
      <c r="B22" s="8">
        <f t="shared" si="3"/>
        <v>17</v>
      </c>
      <c r="C22" s="10">
        <v>17</v>
      </c>
      <c r="D22" s="13" t="s">
        <v>1337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5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232</v>
      </c>
    </row>
    <row r="23" spans="2:24" ht="13.8" x14ac:dyDescent="0.2">
      <c r="B23" s="8">
        <f t="shared" si="3"/>
        <v>18</v>
      </c>
      <c r="C23" s="10">
        <v>18</v>
      </c>
      <c r="D23" s="13" t="s">
        <v>64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5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1902</v>
      </c>
    </row>
    <row r="24" spans="2:24" ht="13.8" x14ac:dyDescent="0.2">
      <c r="B24" s="8">
        <f t="shared" si="3"/>
        <v>19</v>
      </c>
      <c r="C24" s="10">
        <v>19</v>
      </c>
      <c r="D24" s="13" t="s">
        <v>609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5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244</v>
      </c>
    </row>
    <row r="25" spans="2:24" ht="13.8" x14ac:dyDescent="0.2">
      <c r="B25" s="8">
        <f t="shared" si="3"/>
        <v>20</v>
      </c>
      <c r="C25" s="10">
        <v>20</v>
      </c>
      <c r="D25" s="13" t="s">
        <v>1861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5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233</v>
      </c>
    </row>
    <row r="26" spans="2:24" ht="13.8" x14ac:dyDescent="0.2">
      <c r="B26" s="8">
        <f t="shared" si="3"/>
        <v>21</v>
      </c>
      <c r="C26" s="10">
        <v>21</v>
      </c>
      <c r="D26" s="13" t="s">
        <v>1862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5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73</v>
      </c>
    </row>
    <row r="27" spans="2:24" ht="13.8" x14ac:dyDescent="0.2">
      <c r="B27" s="8">
        <f t="shared" si="3"/>
        <v>22</v>
      </c>
      <c r="C27" s="10">
        <v>22</v>
      </c>
      <c r="D27" s="13" t="s">
        <v>610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5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623</v>
      </c>
    </row>
    <row r="28" spans="2:24" ht="13.8" x14ac:dyDescent="0.2">
      <c r="B28" s="8">
        <f t="shared" si="3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5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3"/>
        <v>24</v>
      </c>
      <c r="C29" s="10">
        <v>24</v>
      </c>
      <c r="D29" s="2" t="s">
        <v>611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5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624</v>
      </c>
    </row>
    <row r="30" spans="2:24" ht="13.8" x14ac:dyDescent="0.2">
      <c r="B30" s="8">
        <f t="shared" si="3"/>
        <v>25</v>
      </c>
      <c r="C30" s="10">
        <v>25</v>
      </c>
      <c r="D30" s="13" t="s">
        <v>77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5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235</v>
      </c>
    </row>
    <row r="31" spans="2:24" ht="13.8" x14ac:dyDescent="0.2">
      <c r="B31" s="8">
        <f t="shared" si="3"/>
        <v>26</v>
      </c>
      <c r="C31" s="10">
        <v>26</v>
      </c>
      <c r="D31" s="13" t="s">
        <v>1863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5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1903</v>
      </c>
    </row>
    <row r="32" spans="2:24" ht="13.8" x14ac:dyDescent="0.2">
      <c r="B32" s="8">
        <f t="shared" si="3"/>
        <v>27</v>
      </c>
      <c r="C32" s="10">
        <v>27</v>
      </c>
      <c r="D32" s="13" t="s">
        <v>1864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5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1904</v>
      </c>
    </row>
    <row r="33" spans="2:24" ht="13.8" x14ac:dyDescent="0.2">
      <c r="B33" s="8">
        <f t="shared" si="3"/>
        <v>28</v>
      </c>
      <c r="C33" s="10">
        <v>28</v>
      </c>
      <c r="D33" s="13" t="s">
        <v>1160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5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237</v>
      </c>
    </row>
    <row r="34" spans="2:24" ht="13.8" x14ac:dyDescent="0.2">
      <c r="B34" s="8">
        <f t="shared" si="3"/>
        <v>29</v>
      </c>
      <c r="C34" s="10">
        <v>29</v>
      </c>
      <c r="D34" s="13" t="s">
        <v>782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5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1905</v>
      </c>
    </row>
    <row r="35" spans="2:24" ht="13.8" x14ac:dyDescent="0.2">
      <c r="B35" s="8">
        <f t="shared" si="3"/>
        <v>30</v>
      </c>
      <c r="C35" s="10">
        <v>30</v>
      </c>
      <c r="D35" s="13" t="s">
        <v>1865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5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1906</v>
      </c>
    </row>
    <row r="36" spans="2:24" ht="13.8" x14ac:dyDescent="0.2">
      <c r="B36" s="8">
        <f t="shared" si="3"/>
        <v>31</v>
      </c>
      <c r="C36" s="10">
        <v>31</v>
      </c>
      <c r="D36" s="13" t="s">
        <v>1429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5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1907</v>
      </c>
    </row>
    <row r="37" spans="2:24" ht="13.8" x14ac:dyDescent="0.2">
      <c r="B37" s="8">
        <f t="shared" si="3"/>
        <v>32</v>
      </c>
      <c r="C37" s="10">
        <v>32</v>
      </c>
      <c r="D37" s="13" t="s">
        <v>1866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5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1908</v>
      </c>
    </row>
    <row r="38" spans="2:24" ht="13.8" x14ac:dyDescent="0.2">
      <c r="B38" s="8">
        <f t="shared" si="3"/>
        <v>33</v>
      </c>
      <c r="C38" s="10">
        <v>33</v>
      </c>
      <c r="D38" s="13" t="s">
        <v>781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5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1909</v>
      </c>
    </row>
    <row r="39" spans="2:24" ht="13.8" x14ac:dyDescent="0.2">
      <c r="B39" s="8">
        <f t="shared" si="3"/>
        <v>34</v>
      </c>
      <c r="C39" s="10">
        <v>34</v>
      </c>
      <c r="D39" s="13" t="s">
        <v>1867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5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238</v>
      </c>
    </row>
    <row r="40" spans="2:24" ht="13.8" x14ac:dyDescent="0.2">
      <c r="B40" s="8">
        <f t="shared" si="3"/>
        <v>35</v>
      </c>
      <c r="C40" s="10">
        <v>35</v>
      </c>
      <c r="D40" s="13" t="s">
        <v>1868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5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1910</v>
      </c>
    </row>
    <row r="41" spans="2:24" ht="13.8" x14ac:dyDescent="0.2">
      <c r="B41" s="8">
        <f t="shared" si="3"/>
        <v>36</v>
      </c>
      <c r="C41" s="10">
        <v>36</v>
      </c>
      <c r="D41" s="13" t="s">
        <v>784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5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1911</v>
      </c>
    </row>
    <row r="42" spans="2:24" ht="13.8" x14ac:dyDescent="0.2">
      <c r="B42" s="8">
        <f t="shared" si="3"/>
        <v>37</v>
      </c>
      <c r="C42" s="10">
        <v>37</v>
      </c>
      <c r="D42" s="13" t="s">
        <v>1869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5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1912</v>
      </c>
    </row>
    <row r="43" spans="2:24" ht="13.8" x14ac:dyDescent="0.2">
      <c r="B43" s="8">
        <f t="shared" si="3"/>
        <v>38</v>
      </c>
      <c r="C43" s="10">
        <v>38</v>
      </c>
      <c r="D43" s="13"/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5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f t="shared" si="3"/>
        <v>39</v>
      </c>
      <c r="C44" s="10">
        <v>39</v>
      </c>
      <c r="D44" s="13" t="s">
        <v>612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5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625</v>
      </c>
    </row>
    <row r="45" spans="2:24" ht="13.8" x14ac:dyDescent="0.2">
      <c r="B45" s="8">
        <f t="shared" si="3"/>
        <v>40</v>
      </c>
      <c r="C45" s="10">
        <v>40</v>
      </c>
      <c r="D45" s="13" t="s">
        <v>1870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5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438</v>
      </c>
    </row>
    <row r="46" spans="2:24" ht="13.8" x14ac:dyDescent="0.2">
      <c r="B46" s="8">
        <f t="shared" si="3"/>
        <v>41</v>
      </c>
      <c r="C46" s="10">
        <v>41</v>
      </c>
      <c r="D46" s="13" t="s">
        <v>1871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5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394</v>
      </c>
    </row>
    <row r="47" spans="2:24" ht="13.8" x14ac:dyDescent="0.2">
      <c r="B47" s="8">
        <f t="shared" si="3"/>
        <v>42</v>
      </c>
      <c r="C47" s="10">
        <v>42</v>
      </c>
      <c r="D47" s="9" t="s">
        <v>1872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5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1913</v>
      </c>
    </row>
    <row r="48" spans="2:24" ht="13.8" x14ac:dyDescent="0.2">
      <c r="B48" s="8">
        <f t="shared" si="3"/>
        <v>43</v>
      </c>
      <c r="C48" s="10">
        <v>43</v>
      </c>
      <c r="D48" s="13" t="s">
        <v>613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5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626</v>
      </c>
    </row>
    <row r="49" spans="2:24" ht="13.8" x14ac:dyDescent="0.2">
      <c r="B49" s="8">
        <f t="shared" si="3"/>
        <v>44</v>
      </c>
      <c r="C49" s="10">
        <v>44</v>
      </c>
      <c r="D49" s="13" t="s">
        <v>1336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5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627</v>
      </c>
    </row>
    <row r="50" spans="2:24" ht="13.8" x14ac:dyDescent="0.2">
      <c r="B50" s="8">
        <f t="shared" si="3"/>
        <v>45</v>
      </c>
      <c r="C50" s="10">
        <v>45</v>
      </c>
      <c r="D50" s="13" t="s">
        <v>1518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5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633</v>
      </c>
    </row>
    <row r="51" spans="2:24" ht="13.8" x14ac:dyDescent="0.2">
      <c r="B51" s="8">
        <f t="shared" si="3"/>
        <v>46</v>
      </c>
      <c r="C51" s="10">
        <v>46</v>
      </c>
      <c r="D51" s="13" t="s">
        <v>614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5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628</v>
      </c>
    </row>
    <row r="52" spans="2:24" ht="13.8" x14ac:dyDescent="0.2">
      <c r="B52" s="8">
        <f t="shared" si="3"/>
        <v>47</v>
      </c>
      <c r="C52" s="10">
        <v>47</v>
      </c>
      <c r="D52" s="13" t="s">
        <v>1873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5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634</v>
      </c>
    </row>
    <row r="53" spans="2:24" ht="13.8" x14ac:dyDescent="0.2">
      <c r="B53" s="8">
        <f t="shared" si="3"/>
        <v>48</v>
      </c>
      <c r="C53" s="10">
        <v>48</v>
      </c>
      <c r="D53" s="13" t="s">
        <v>1874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5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179</v>
      </c>
    </row>
    <row r="54" spans="2:24" ht="13.8" x14ac:dyDescent="0.2">
      <c r="B54" s="8">
        <f t="shared" si="3"/>
        <v>49</v>
      </c>
      <c r="C54" s="10">
        <v>49</v>
      </c>
      <c r="D54" s="13" t="s">
        <v>1875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5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1914</v>
      </c>
    </row>
    <row r="55" spans="2:24" ht="13.8" x14ac:dyDescent="0.2">
      <c r="B55" s="8">
        <f t="shared" si="3"/>
        <v>50</v>
      </c>
      <c r="C55" s="10">
        <v>50</v>
      </c>
      <c r="D55" s="13" t="s">
        <v>124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5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125</v>
      </c>
    </row>
    <row r="56" spans="2:24" ht="13.8" x14ac:dyDescent="0.2">
      <c r="B56" s="8">
        <f t="shared" si="3"/>
        <v>51</v>
      </c>
      <c r="C56" s="10">
        <v>51</v>
      </c>
      <c r="D56" s="13" t="s">
        <v>1876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5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1915</v>
      </c>
    </row>
    <row r="57" spans="2:24" ht="13.8" x14ac:dyDescent="0.2">
      <c r="B57" s="8">
        <f t="shared" si="3"/>
        <v>52</v>
      </c>
      <c r="C57" s="10">
        <v>52</v>
      </c>
      <c r="D57" s="13" t="s">
        <v>1672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5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243</v>
      </c>
    </row>
    <row r="58" spans="2:24" ht="13.8" x14ac:dyDescent="0.2">
      <c r="B58" s="8">
        <f t="shared" si="3"/>
        <v>53</v>
      </c>
      <c r="C58" s="10">
        <v>53</v>
      </c>
      <c r="D58" s="13" t="s">
        <v>785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5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1916</v>
      </c>
    </row>
    <row r="59" spans="2:24" ht="13.8" x14ac:dyDescent="0.2">
      <c r="B59" s="8">
        <f t="shared" si="3"/>
        <v>54</v>
      </c>
      <c r="C59" s="10">
        <v>54</v>
      </c>
      <c r="D59" s="13" t="s">
        <v>1877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5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1917</v>
      </c>
    </row>
    <row r="60" spans="2:24" ht="13.8" x14ac:dyDescent="0.2">
      <c r="B60" s="8">
        <f t="shared" si="3"/>
        <v>55</v>
      </c>
      <c r="C60" s="10">
        <v>55</v>
      </c>
      <c r="D60" s="13" t="s">
        <v>1878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5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730</v>
      </c>
    </row>
    <row r="61" spans="2:24" ht="13.8" x14ac:dyDescent="0.2">
      <c r="B61" s="8">
        <f t="shared" si="3"/>
        <v>56</v>
      </c>
      <c r="C61" s="10">
        <v>56</v>
      </c>
      <c r="D61" s="13" t="s">
        <v>1576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5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245</v>
      </c>
    </row>
    <row r="62" spans="2:24" ht="13.8" x14ac:dyDescent="0.2">
      <c r="B62" s="8">
        <f t="shared" si="3"/>
        <v>57</v>
      </c>
      <c r="C62" s="10">
        <v>57</v>
      </c>
      <c r="D62" s="13" t="s">
        <v>1879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5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1918</v>
      </c>
    </row>
    <row r="63" spans="2:24" ht="13.8" x14ac:dyDescent="0.2">
      <c r="B63" s="8">
        <f t="shared" si="3"/>
        <v>58</v>
      </c>
      <c r="C63" s="10">
        <v>58</v>
      </c>
      <c r="D63" s="13" t="s">
        <v>617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5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631</v>
      </c>
    </row>
    <row r="64" spans="2:24" ht="13.8" x14ac:dyDescent="0.2">
      <c r="B64" s="8">
        <f t="shared" si="3"/>
        <v>59</v>
      </c>
      <c r="C64" s="10">
        <v>59</v>
      </c>
      <c r="D64" s="13"/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5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>
        <f t="shared" si="3"/>
        <v>60</v>
      </c>
      <c r="C65" s="10">
        <v>60</v>
      </c>
      <c r="D65" s="13" t="s">
        <v>1880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5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899</v>
      </c>
    </row>
    <row r="66" spans="2:24" ht="13.8" x14ac:dyDescent="0.2">
      <c r="B66" s="8">
        <f t="shared" si="3"/>
        <v>61</v>
      </c>
      <c r="C66" s="10">
        <v>61</v>
      </c>
      <c r="D66" s="13" t="s">
        <v>126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5"/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248</v>
      </c>
    </row>
    <row r="67" spans="2:24" ht="13.8" x14ac:dyDescent="0.2">
      <c r="B67" s="8">
        <f t="shared" si="3"/>
        <v>62</v>
      </c>
      <c r="C67" s="10">
        <v>62</v>
      </c>
      <c r="D67" s="13" t="s">
        <v>1881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5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1919</v>
      </c>
    </row>
    <row r="68" spans="2:24" ht="13.8" x14ac:dyDescent="0.2">
      <c r="B68" s="8">
        <f t="shared" si="3"/>
        <v>63</v>
      </c>
      <c r="C68" s="10">
        <v>63</v>
      </c>
      <c r="D68" s="9" t="s">
        <v>1205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5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1920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79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250</v>
      </c>
    </row>
    <row r="70" spans="2:24" ht="13.8" x14ac:dyDescent="0.2">
      <c r="B70" s="8">
        <f t="shared" si="9"/>
        <v>65</v>
      </c>
      <c r="C70" s="10">
        <v>65</v>
      </c>
      <c r="D70" s="9" t="s">
        <v>783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1921</v>
      </c>
    </row>
    <row r="71" spans="2:24" ht="13.8" x14ac:dyDescent="0.2">
      <c r="B71" s="8">
        <f t="shared" si="9"/>
        <v>66</v>
      </c>
      <c r="C71" s="10">
        <v>66</v>
      </c>
      <c r="D71" s="13" t="s">
        <v>80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1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251</v>
      </c>
    </row>
    <row r="72" spans="2:24" ht="13.8" x14ac:dyDescent="0.2">
      <c r="B72" s="8">
        <f t="shared" si="9"/>
        <v>67</v>
      </c>
      <c r="C72" s="10">
        <v>67</v>
      </c>
      <c r="D72" s="13" t="s">
        <v>618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1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404</v>
      </c>
    </row>
    <row r="73" spans="2:24" ht="13.8" x14ac:dyDescent="0.2">
      <c r="B73" s="8">
        <f t="shared" si="9"/>
        <v>68</v>
      </c>
      <c r="C73" s="10">
        <v>68</v>
      </c>
      <c r="D73" s="13"/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9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13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 t="s">
        <v>1882</v>
      </c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 t="s">
        <v>886</v>
      </c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8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13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8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13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8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26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8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26" t="s">
        <v>1056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 t="s">
        <v>1062</v>
      </c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 t="s">
        <v>1883</v>
      </c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1060</v>
      </c>
    </row>
    <row r="104" spans="2:24" ht="13.8" x14ac:dyDescent="0.2">
      <c r="B104" s="8">
        <f t="shared" si="9"/>
        <v>99</v>
      </c>
      <c r="C104" s="10">
        <v>99</v>
      </c>
      <c r="D104" s="13" t="s">
        <v>1884</v>
      </c>
      <c r="E104" s="11" t="str">
        <f>IFERROR(IF(G104/F104=1,"1.00",G104/F104),"---")</f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1922</v>
      </c>
    </row>
    <row r="105" spans="2:24" ht="13.8" x14ac:dyDescent="0.2">
      <c r="B105" s="8">
        <f t="shared" si="9"/>
        <v>111</v>
      </c>
      <c r="C105" s="10">
        <v>111</v>
      </c>
      <c r="D105" s="14" t="s">
        <v>1885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1057</v>
      </c>
    </row>
    <row r="106" spans="2:24" ht="13.8" x14ac:dyDescent="0.2">
      <c r="B106" s="8">
        <f t="shared" si="9"/>
        <v>112</v>
      </c>
      <c r="C106" s="10">
        <v>112</v>
      </c>
      <c r="D106" s="9"/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>
        <f t="shared" si="9"/>
        <v>113</v>
      </c>
      <c r="C107" s="10">
        <v>113</v>
      </c>
      <c r="D107" s="9" t="s">
        <v>1886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1058</v>
      </c>
    </row>
    <row r="108" spans="2:24" ht="13.8" x14ac:dyDescent="0.2">
      <c r="B108" s="8">
        <f t="shared" si="9"/>
        <v>114</v>
      </c>
      <c r="C108" s="10">
        <v>114</v>
      </c>
      <c r="D108" s="9" t="s">
        <v>1142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632</v>
      </c>
    </row>
    <row r="109" spans="2:24" ht="13.8" x14ac:dyDescent="0.2">
      <c r="B109" s="8">
        <f t="shared" si="9"/>
        <v>115</v>
      </c>
      <c r="C109" s="10">
        <v>115</v>
      </c>
      <c r="D109" s="9" t="s">
        <v>1887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1041</v>
      </c>
    </row>
    <row r="110" spans="2:24" ht="13.8" x14ac:dyDescent="0.2">
      <c r="B110" s="8">
        <f t="shared" ref="B110:B122" si="14">IF(C110="","",C110)</f>
        <v>116</v>
      </c>
      <c r="C110" s="10">
        <v>116</v>
      </c>
      <c r="D110" s="9" t="s">
        <v>1888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1061</v>
      </c>
    </row>
    <row r="111" spans="2:24" ht="13.8" x14ac:dyDescent="0.2">
      <c r="B111" s="8">
        <f t="shared" si="14"/>
        <v>117</v>
      </c>
      <c r="C111" s="10">
        <v>117</v>
      </c>
      <c r="D111" s="9" t="s">
        <v>1889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1059</v>
      </c>
    </row>
    <row r="112" spans="2:24" ht="13.8" x14ac:dyDescent="0.2">
      <c r="B112" s="8">
        <f t="shared" si="14"/>
        <v>121</v>
      </c>
      <c r="C112" s="10">
        <v>121</v>
      </c>
      <c r="D112" s="9" t="s">
        <v>1890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1923</v>
      </c>
    </row>
    <row r="113" spans="2:24" ht="13.8" x14ac:dyDescent="0.2">
      <c r="B113" s="8">
        <f t="shared" si="14"/>
        <v>122</v>
      </c>
      <c r="C113" s="10">
        <v>122</v>
      </c>
      <c r="D113" s="9" t="s">
        <v>1891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1924</v>
      </c>
    </row>
    <row r="114" spans="2:24" ht="13.8" x14ac:dyDescent="0.2">
      <c r="B114" s="8">
        <f t="shared" si="14"/>
        <v>123</v>
      </c>
      <c r="C114" s="10">
        <v>123</v>
      </c>
      <c r="D114" s="9" t="s">
        <v>1892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1925</v>
      </c>
    </row>
    <row r="115" spans="2:24" ht="13.8" x14ac:dyDescent="0.2">
      <c r="B115" s="8">
        <f t="shared" si="14"/>
        <v>124</v>
      </c>
      <c r="C115" s="10">
        <v>124</v>
      </c>
      <c r="D115" s="9" t="s">
        <v>1893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1926</v>
      </c>
    </row>
    <row r="116" spans="2:24" ht="13.8" x14ac:dyDescent="0.2">
      <c r="B116" s="8">
        <f t="shared" si="14"/>
        <v>125</v>
      </c>
      <c r="C116" s="10">
        <v>125</v>
      </c>
      <c r="D116" s="9" t="s">
        <v>1894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1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635</v>
      </c>
    </row>
    <row r="117" spans="2:24" ht="13.8" x14ac:dyDescent="0.2">
      <c r="B117" s="8">
        <f t="shared" si="14"/>
        <v>127</v>
      </c>
      <c r="C117" s="10">
        <v>127</v>
      </c>
      <c r="D117" s="9" t="s">
        <v>1895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636</v>
      </c>
    </row>
    <row r="118" spans="2:24" ht="13.8" x14ac:dyDescent="0.2">
      <c r="B118" s="8">
        <f t="shared" si="14"/>
        <v>140</v>
      </c>
      <c r="C118" s="10">
        <v>140</v>
      </c>
      <c r="D118" s="9" t="s">
        <v>1567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240</v>
      </c>
    </row>
    <row r="119" spans="2:24" ht="13.8" x14ac:dyDescent="0.2">
      <c r="B119" s="8">
        <f t="shared" si="14"/>
        <v>154</v>
      </c>
      <c r="C119" s="10">
        <v>154</v>
      </c>
      <c r="D119" s="9" t="s">
        <v>1896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1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1927</v>
      </c>
    </row>
    <row r="120" spans="2:24" ht="13.8" x14ac:dyDescent="0.2">
      <c r="B120" s="8">
        <f t="shared" si="14"/>
        <v>159</v>
      </c>
      <c r="C120" s="10">
        <v>159</v>
      </c>
      <c r="D120" s="9" t="s">
        <v>1897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1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246</v>
      </c>
    </row>
    <row r="121" spans="2:24" ht="13.8" x14ac:dyDescent="0.2">
      <c r="B121" s="8">
        <f t="shared" si="14"/>
        <v>168</v>
      </c>
      <c r="C121" s="10">
        <v>168</v>
      </c>
      <c r="D121" s="9" t="s">
        <v>1898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1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1928</v>
      </c>
    </row>
    <row r="122" spans="2:24" ht="13.8" x14ac:dyDescent="0.2">
      <c r="B122" s="8">
        <f t="shared" si="14"/>
        <v>196</v>
      </c>
      <c r="C122" s="10">
        <v>196</v>
      </c>
      <c r="D122" s="9" t="s">
        <v>1056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1062</v>
      </c>
    </row>
    <row r="123" spans="2:24" ht="13.8" x14ac:dyDescent="0.2">
      <c r="B123" s="8" t="str">
        <f t="shared" si="9"/>
        <v/>
      </c>
      <c r="C123" s="10"/>
      <c r="D123" s="9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9"/>
        <v/>
      </c>
      <c r="C124" s="10"/>
      <c r="D124" s="9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9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9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9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9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9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9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9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9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  <v>0</v>
      </c>
      <c r="L133" s="7">
        <v>0</v>
      </c>
      <c r="M133" s="11">
        <f t="shared" ref="M133:M134" si="18">IFERROR(IF((G133+P133+Q133)/(F133+P133+Q133+S133)=1,"1.00",(G133+P133+Q133)/(F133+P133+Q133+S133)),0)</f>
        <v>0</v>
      </c>
      <c r="N133" s="11">
        <f t="shared" ref="N133:N134" si="19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8"/>
        <v>0</v>
      </c>
      <c r="N134" s="11">
        <f t="shared" si="19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71D2-8C5A-46D8-8CFC-9971874F8E12}">
  <sheetPr codeName="Sheet10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525</v>
      </c>
      <c r="C3" s="55" t="s">
        <v>681</v>
      </c>
      <c r="D3" s="55" t="s">
        <v>682</v>
      </c>
      <c r="E3" s="56" t="s">
        <v>28</v>
      </c>
      <c r="F3" s="57" t="s">
        <v>0</v>
      </c>
      <c r="G3" s="54" t="s">
        <v>1</v>
      </c>
      <c r="H3" s="54" t="s">
        <v>253</v>
      </c>
      <c r="I3" s="54" t="s">
        <v>254</v>
      </c>
      <c r="J3" s="58" t="s">
        <v>683</v>
      </c>
      <c r="K3" s="54" t="s">
        <v>644</v>
      </c>
      <c r="L3" s="59" t="s">
        <v>2</v>
      </c>
      <c r="M3" s="60" t="s">
        <v>252</v>
      </c>
      <c r="N3" s="56" t="s">
        <v>255</v>
      </c>
      <c r="O3" s="61" t="s">
        <v>639</v>
      </c>
      <c r="P3" s="54" t="s">
        <v>150</v>
      </c>
      <c r="Q3" s="54" t="s">
        <v>151</v>
      </c>
      <c r="R3" s="54" t="s">
        <v>637</v>
      </c>
      <c r="S3" s="54" t="s">
        <v>638</v>
      </c>
      <c r="T3" s="54" t="s">
        <v>640</v>
      </c>
      <c r="U3" s="54" t="s">
        <v>641</v>
      </c>
      <c r="V3" s="54" t="s">
        <v>642</v>
      </c>
      <c r="W3" s="54" t="s">
        <v>643</v>
      </c>
      <c r="X3" s="158"/>
    </row>
    <row r="4" spans="2:24" ht="13.8" x14ac:dyDescent="0.2">
      <c r="B4" s="8" t="str">
        <f>IF(C4="","",C4)</f>
        <v>00</v>
      </c>
      <c r="C4" s="10" t="s">
        <v>1309</v>
      </c>
      <c r="D4" s="13" t="s">
        <v>1672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1970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1929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1971</v>
      </c>
    </row>
    <row r="6" spans="2:24" ht="13.8" x14ac:dyDescent="0.2">
      <c r="B6" s="8">
        <f t="shared" si="5"/>
        <v>1</v>
      </c>
      <c r="C6" s="10">
        <v>1</v>
      </c>
      <c r="D6" s="13" t="s">
        <v>1678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1972</v>
      </c>
    </row>
    <row r="7" spans="2:24" ht="13.8" x14ac:dyDescent="0.2">
      <c r="B7" s="8">
        <f t="shared" si="5"/>
        <v>2</v>
      </c>
      <c r="C7" s="10">
        <v>2</v>
      </c>
      <c r="D7" s="13" t="s">
        <v>1324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1973</v>
      </c>
    </row>
    <row r="8" spans="2:24" ht="13.8" x14ac:dyDescent="0.2">
      <c r="B8" s="8">
        <f t="shared" si="5"/>
        <v>3</v>
      </c>
      <c r="C8" s="10">
        <v>3</v>
      </c>
      <c r="D8" s="13" t="s">
        <v>95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310</v>
      </c>
    </row>
    <row r="9" spans="2:24" ht="13.8" x14ac:dyDescent="0.2">
      <c r="B9" s="8">
        <f t="shared" si="5"/>
        <v>4</v>
      </c>
      <c r="C9" s="10">
        <v>4</v>
      </c>
      <c r="D9" s="13" t="s">
        <v>1930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970</v>
      </c>
    </row>
    <row r="10" spans="2:24" ht="13.8" x14ac:dyDescent="0.2">
      <c r="B10" s="8">
        <f t="shared" si="5"/>
        <v>5</v>
      </c>
      <c r="C10" s="10">
        <v>5</v>
      </c>
      <c r="D10" s="13" t="s">
        <v>521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312</v>
      </c>
    </row>
    <row r="11" spans="2:24" ht="13.8" x14ac:dyDescent="0.2">
      <c r="B11" s="8">
        <f t="shared" si="5"/>
        <v>6</v>
      </c>
      <c r="C11" s="10">
        <v>6</v>
      </c>
      <c r="D11" s="13" t="s">
        <v>1146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1974</v>
      </c>
    </row>
    <row r="12" spans="2:24" ht="13.8" x14ac:dyDescent="0.2">
      <c r="B12" s="8">
        <f t="shared" si="5"/>
        <v>7</v>
      </c>
      <c r="C12" s="10">
        <v>7</v>
      </c>
      <c r="D12" s="13" t="s">
        <v>1931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311</v>
      </c>
    </row>
    <row r="13" spans="2:24" ht="13.8" x14ac:dyDescent="0.2">
      <c r="B13" s="8">
        <f t="shared" si="5"/>
        <v>8</v>
      </c>
      <c r="C13" s="10">
        <v>8</v>
      </c>
      <c r="D13" s="13" t="s">
        <v>1317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313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>
        <f t="shared" si="5"/>
        <v>10</v>
      </c>
      <c r="C15" s="10">
        <v>10</v>
      </c>
      <c r="D15" s="13" t="s">
        <v>1748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971</v>
      </c>
    </row>
    <row r="16" spans="2:24" ht="13.8" x14ac:dyDescent="0.2">
      <c r="B16" s="8">
        <f t="shared" si="5"/>
        <v>11</v>
      </c>
      <c r="C16" s="10">
        <v>11</v>
      </c>
      <c r="D16" s="13" t="s">
        <v>995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2603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1932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1975</v>
      </c>
    </row>
    <row r="19" spans="2:24" ht="13.8" x14ac:dyDescent="0.2">
      <c r="B19" s="8">
        <f t="shared" si="5"/>
        <v>14</v>
      </c>
      <c r="C19" s="10">
        <v>14</v>
      </c>
      <c r="D19" s="13" t="s">
        <v>1747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1976</v>
      </c>
    </row>
    <row r="20" spans="2:24" ht="13.8" x14ac:dyDescent="0.2">
      <c r="B20" s="8">
        <f t="shared" si="5"/>
        <v>15</v>
      </c>
      <c r="C20" s="10">
        <v>15</v>
      </c>
      <c r="D20" s="8" t="s">
        <v>1893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329</v>
      </c>
    </row>
    <row r="21" spans="2:24" ht="13.8" x14ac:dyDescent="0.2">
      <c r="B21" s="8">
        <f t="shared" si="5"/>
        <v>16</v>
      </c>
      <c r="C21" s="10">
        <v>16</v>
      </c>
      <c r="D21" s="13" t="s">
        <v>1933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315</v>
      </c>
    </row>
    <row r="22" spans="2:24" ht="13.8" x14ac:dyDescent="0.2">
      <c r="B22" s="8">
        <f t="shared" si="5"/>
        <v>17</v>
      </c>
      <c r="C22" s="10">
        <v>17</v>
      </c>
      <c r="D22" s="13"/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/>
    </row>
    <row r="23" spans="2:24" ht="13.8" x14ac:dyDescent="0.2">
      <c r="B23" s="8">
        <f t="shared" si="5"/>
        <v>18</v>
      </c>
      <c r="C23" s="10">
        <v>18</v>
      </c>
      <c r="D23" s="13" t="s">
        <v>1934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1977</v>
      </c>
    </row>
    <row r="24" spans="2:24" ht="13.8" x14ac:dyDescent="0.2">
      <c r="B24" s="8">
        <f t="shared" si="5"/>
        <v>19</v>
      </c>
      <c r="C24" s="10">
        <v>19</v>
      </c>
      <c r="D24" s="13" t="s">
        <v>96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316</v>
      </c>
    </row>
    <row r="25" spans="2:24" ht="13.8" x14ac:dyDescent="0.2">
      <c r="B25" s="8">
        <f t="shared" si="5"/>
        <v>20</v>
      </c>
      <c r="C25" s="10">
        <v>20</v>
      </c>
      <c r="D25" s="13"/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5"/>
        <v>21</v>
      </c>
      <c r="C26" s="10">
        <v>21</v>
      </c>
      <c r="D26" s="13" t="s">
        <v>1935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367</v>
      </c>
    </row>
    <row r="27" spans="2:24" ht="13.8" x14ac:dyDescent="0.2">
      <c r="B27" s="8">
        <f t="shared" si="5"/>
        <v>22</v>
      </c>
      <c r="C27" s="10">
        <v>22</v>
      </c>
      <c r="D27" s="13" t="s">
        <v>966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1978</v>
      </c>
    </row>
    <row r="28" spans="2:24" ht="13.8" x14ac:dyDescent="0.2">
      <c r="B28" s="8">
        <f t="shared" si="5"/>
        <v>23</v>
      </c>
      <c r="C28" s="10">
        <v>23</v>
      </c>
      <c r="D28" s="13" t="s">
        <v>1936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972</v>
      </c>
    </row>
    <row r="29" spans="2:24" ht="13.8" x14ac:dyDescent="0.2">
      <c r="B29" s="8">
        <f t="shared" si="5"/>
        <v>24</v>
      </c>
      <c r="C29" s="10">
        <v>24</v>
      </c>
      <c r="D29" s="13" t="s">
        <v>97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318</v>
      </c>
    </row>
    <row r="30" spans="2:24" ht="13.8" x14ac:dyDescent="0.2">
      <c r="B30" s="8">
        <f t="shared" si="5"/>
        <v>25</v>
      </c>
      <c r="C30" s="10">
        <v>25</v>
      </c>
      <c r="D30" s="13" t="s">
        <v>98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319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1148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317</v>
      </c>
    </row>
    <row r="33" spans="2:24" ht="13.8" x14ac:dyDescent="0.2">
      <c r="B33" s="8">
        <f t="shared" si="5"/>
        <v>28</v>
      </c>
      <c r="C33" s="10">
        <v>28</v>
      </c>
      <c r="D33" s="13" t="s">
        <v>1878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973</v>
      </c>
    </row>
    <row r="34" spans="2:24" ht="13.8" x14ac:dyDescent="0.2">
      <c r="B34" s="8">
        <f t="shared" si="5"/>
        <v>29</v>
      </c>
      <c r="C34" s="10">
        <v>29</v>
      </c>
      <c r="D34" s="13" t="s">
        <v>62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320</v>
      </c>
    </row>
    <row r="35" spans="2:24" ht="13.8" x14ac:dyDescent="0.2">
      <c r="B35" s="8">
        <f t="shared" si="5"/>
        <v>30</v>
      </c>
      <c r="C35" s="10">
        <v>30</v>
      </c>
      <c r="D35" s="13" t="s">
        <v>516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1979</v>
      </c>
    </row>
    <row r="36" spans="2:24" ht="13.8" x14ac:dyDescent="0.2">
      <c r="B36" s="8">
        <f t="shared" si="5"/>
        <v>31</v>
      </c>
      <c r="C36" s="10">
        <v>31</v>
      </c>
      <c r="D36" s="13" t="s">
        <v>1937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974</v>
      </c>
    </row>
    <row r="37" spans="2:24" ht="13.8" x14ac:dyDescent="0.2">
      <c r="B37" s="8">
        <f t="shared" si="5"/>
        <v>32</v>
      </c>
      <c r="C37" s="10">
        <v>32</v>
      </c>
      <c r="D37" s="13" t="s">
        <v>1346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93</v>
      </c>
    </row>
    <row r="38" spans="2:24" ht="13.8" x14ac:dyDescent="0.2">
      <c r="B38" s="8">
        <f t="shared" si="5"/>
        <v>33</v>
      </c>
      <c r="C38" s="10">
        <v>33</v>
      </c>
      <c r="D38" s="13" t="s">
        <v>517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1980</v>
      </c>
    </row>
    <row r="39" spans="2:24" ht="13.8" x14ac:dyDescent="0.2">
      <c r="B39" s="8">
        <f t="shared" si="5"/>
        <v>34</v>
      </c>
      <c r="C39" s="10">
        <v>34</v>
      </c>
      <c r="D39" s="13" t="s">
        <v>1938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975</v>
      </c>
    </row>
    <row r="40" spans="2:24" ht="13.8" x14ac:dyDescent="0.2">
      <c r="B40" s="8">
        <f t="shared" si="5"/>
        <v>35</v>
      </c>
      <c r="C40" s="10">
        <v>35</v>
      </c>
      <c r="D40" s="13" t="s">
        <v>1939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976</v>
      </c>
    </row>
    <row r="41" spans="2:24" ht="13.8" x14ac:dyDescent="0.2">
      <c r="B41" s="8">
        <f t="shared" si="5"/>
        <v>36</v>
      </c>
      <c r="C41" s="10">
        <v>36</v>
      </c>
      <c r="D41" s="13" t="s">
        <v>1190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977</v>
      </c>
    </row>
    <row r="42" spans="2:24" ht="13.8" x14ac:dyDescent="0.2">
      <c r="B42" s="8">
        <f t="shared" si="5"/>
        <v>37</v>
      </c>
      <c r="C42" s="10">
        <v>37</v>
      </c>
      <c r="D42" s="13" t="s">
        <v>1940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322</v>
      </c>
    </row>
    <row r="43" spans="2:24" ht="13.8" x14ac:dyDescent="0.2">
      <c r="B43" s="8">
        <f t="shared" si="5"/>
        <v>38</v>
      </c>
      <c r="C43" s="10">
        <v>38</v>
      </c>
      <c r="D43" s="13"/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f t="shared" si="5"/>
        <v>39</v>
      </c>
      <c r="C44" s="10">
        <v>39</v>
      </c>
      <c r="D44" s="13" t="s">
        <v>1219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419</v>
      </c>
    </row>
    <row r="45" spans="2:24" ht="13.8" x14ac:dyDescent="0.2">
      <c r="B45" s="8">
        <f t="shared" si="5"/>
        <v>40</v>
      </c>
      <c r="C45" s="10">
        <v>40</v>
      </c>
      <c r="D45" s="13" t="s">
        <v>1792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1981</v>
      </c>
    </row>
    <row r="46" spans="2:24" ht="13.8" x14ac:dyDescent="0.2">
      <c r="B46" s="8">
        <f t="shared" si="5"/>
        <v>41</v>
      </c>
      <c r="C46" s="10">
        <v>41</v>
      </c>
      <c r="D46" s="13" t="s">
        <v>1941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1982</v>
      </c>
    </row>
    <row r="47" spans="2:24" ht="13.8" x14ac:dyDescent="0.2">
      <c r="B47" s="8">
        <f t="shared" si="5"/>
        <v>42</v>
      </c>
      <c r="C47" s="10">
        <v>42</v>
      </c>
      <c r="D47" s="13" t="s">
        <v>801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1045</v>
      </c>
    </row>
    <row r="48" spans="2:24" ht="13.8" x14ac:dyDescent="0.2">
      <c r="B48" s="8">
        <f t="shared" si="5"/>
        <v>43</v>
      </c>
      <c r="C48" s="10">
        <v>43</v>
      </c>
      <c r="D48" s="13" t="s">
        <v>1942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1983</v>
      </c>
    </row>
    <row r="49" spans="2:24" ht="13.8" x14ac:dyDescent="0.2">
      <c r="B49" s="8">
        <f t="shared" si="5"/>
        <v>44</v>
      </c>
      <c r="C49" s="10">
        <v>44</v>
      </c>
      <c r="D49" s="13" t="s">
        <v>1943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1984</v>
      </c>
    </row>
    <row r="50" spans="2:24" ht="13.8" x14ac:dyDescent="0.2">
      <c r="B50" s="8">
        <f t="shared" si="5"/>
        <v>45</v>
      </c>
      <c r="C50" s="10">
        <v>45</v>
      </c>
      <c r="D50" s="13" t="s">
        <v>1944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333</v>
      </c>
    </row>
    <row r="51" spans="2:24" ht="13.8" x14ac:dyDescent="0.2">
      <c r="B51" s="8">
        <f t="shared" si="5"/>
        <v>46</v>
      </c>
      <c r="C51" s="10">
        <v>46</v>
      </c>
      <c r="D51" s="13" t="s">
        <v>1799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1985</v>
      </c>
    </row>
    <row r="52" spans="2:24" ht="13.8" x14ac:dyDescent="0.2">
      <c r="B52" s="8">
        <f t="shared" si="5"/>
        <v>47</v>
      </c>
      <c r="C52" s="10">
        <v>47</v>
      </c>
      <c r="D52" s="13" t="s">
        <v>1945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321</v>
      </c>
    </row>
    <row r="53" spans="2:24" ht="13.8" x14ac:dyDescent="0.2">
      <c r="B53" s="8">
        <f t="shared" si="5"/>
        <v>48</v>
      </c>
      <c r="C53" s="10">
        <v>48</v>
      </c>
      <c r="D53" s="13"/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>
        <f t="shared" si="5"/>
        <v>49</v>
      </c>
      <c r="C54" s="10">
        <v>49</v>
      </c>
      <c r="D54" s="13" t="s">
        <v>1946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1986</v>
      </c>
    </row>
    <row r="55" spans="2:24" ht="13.8" x14ac:dyDescent="0.2">
      <c r="B55" s="8">
        <f t="shared" si="5"/>
        <v>50</v>
      </c>
      <c r="C55" s="10">
        <v>50</v>
      </c>
      <c r="D55" s="13" t="s">
        <v>969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969</v>
      </c>
    </row>
    <row r="56" spans="2:24" ht="13.8" x14ac:dyDescent="0.2">
      <c r="B56" s="8">
        <f t="shared" si="5"/>
        <v>51</v>
      </c>
      <c r="C56" s="10">
        <v>51</v>
      </c>
      <c r="D56" s="13" t="s">
        <v>1895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324</v>
      </c>
    </row>
    <row r="57" spans="2:24" ht="13.8" x14ac:dyDescent="0.2">
      <c r="B57" s="8">
        <f t="shared" si="5"/>
        <v>52</v>
      </c>
      <c r="C57" s="10">
        <v>52</v>
      </c>
      <c r="D57" s="13" t="s">
        <v>587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325</v>
      </c>
    </row>
    <row r="58" spans="2:24" ht="13.8" x14ac:dyDescent="0.2">
      <c r="B58" s="8">
        <f t="shared" si="5"/>
        <v>53</v>
      </c>
      <c r="C58" s="10">
        <v>53</v>
      </c>
      <c r="D58" s="13" t="s">
        <v>1655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978</v>
      </c>
    </row>
    <row r="59" spans="2:24" ht="13.8" x14ac:dyDescent="0.2">
      <c r="B59" s="8">
        <f t="shared" si="5"/>
        <v>54</v>
      </c>
      <c r="C59" s="10">
        <v>54</v>
      </c>
      <c r="D59" s="13" t="s">
        <v>1811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304</v>
      </c>
    </row>
    <row r="60" spans="2:24" ht="13.8" x14ac:dyDescent="0.2">
      <c r="B60" s="8">
        <f t="shared" si="5"/>
        <v>55</v>
      </c>
      <c r="C60" s="10">
        <v>55</v>
      </c>
      <c r="D60" s="13" t="s">
        <v>1559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1987</v>
      </c>
    </row>
    <row r="61" spans="2:24" ht="13.8" x14ac:dyDescent="0.2">
      <c r="B61" s="8">
        <f t="shared" si="5"/>
        <v>56</v>
      </c>
      <c r="C61" s="10">
        <v>56</v>
      </c>
      <c r="D61" s="13" t="s">
        <v>128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326</v>
      </c>
    </row>
    <row r="62" spans="2:24" ht="13.8" x14ac:dyDescent="0.2">
      <c r="B62" s="8">
        <f t="shared" si="5"/>
        <v>57</v>
      </c>
      <c r="C62" s="10">
        <v>57</v>
      </c>
      <c r="D62" s="13" t="s">
        <v>1318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327</v>
      </c>
    </row>
    <row r="63" spans="2:24" ht="13.8" x14ac:dyDescent="0.2">
      <c r="B63" s="8">
        <f t="shared" si="5"/>
        <v>58</v>
      </c>
      <c r="C63" s="10">
        <v>58</v>
      </c>
      <c r="D63" s="13" t="s">
        <v>1947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328</v>
      </c>
    </row>
    <row r="64" spans="2:24" ht="13.8" x14ac:dyDescent="0.2">
      <c r="B64" s="8">
        <f t="shared" si="5"/>
        <v>59</v>
      </c>
      <c r="C64" s="10">
        <v>59</v>
      </c>
      <c r="D64" s="13" t="s">
        <v>1948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979</v>
      </c>
    </row>
    <row r="65" spans="2:24" ht="13.8" x14ac:dyDescent="0.2">
      <c r="B65" s="8">
        <f t="shared" si="5"/>
        <v>60</v>
      </c>
      <c r="C65" s="10">
        <v>60</v>
      </c>
      <c r="D65" s="13" t="s">
        <v>1949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1949</v>
      </c>
    </row>
    <row r="66" spans="2:24" ht="13.8" x14ac:dyDescent="0.2">
      <c r="B66" s="8">
        <f t="shared" si="5"/>
        <v>61</v>
      </c>
      <c r="C66" s="10">
        <v>61</v>
      </c>
      <c r="D66" s="13" t="s">
        <v>1439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980</v>
      </c>
    </row>
    <row r="67" spans="2:24" ht="13.8" x14ac:dyDescent="0.2">
      <c r="B67" s="8">
        <f t="shared" si="5"/>
        <v>62</v>
      </c>
      <c r="C67" s="10">
        <v>62</v>
      </c>
      <c r="D67" s="13" t="s">
        <v>1950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1988</v>
      </c>
    </row>
    <row r="68" spans="2:24" ht="13.8" x14ac:dyDescent="0.2">
      <c r="B68" s="8">
        <f t="shared" si="5"/>
        <v>63</v>
      </c>
      <c r="C68" s="10">
        <v>63</v>
      </c>
      <c r="D68" s="9" t="s">
        <v>1951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129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1952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1989</v>
      </c>
    </row>
    <row r="70" spans="2:24" ht="13.8" x14ac:dyDescent="0.2">
      <c r="B70" s="8">
        <f t="shared" si="8"/>
        <v>65</v>
      </c>
      <c r="C70" s="10">
        <v>65</v>
      </c>
      <c r="D70" s="9" t="s">
        <v>1953</v>
      </c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981</v>
      </c>
    </row>
    <row r="71" spans="2:24" ht="13.8" x14ac:dyDescent="0.2">
      <c r="B71" s="8">
        <f t="shared" si="8"/>
        <v>66</v>
      </c>
      <c r="C71" s="10">
        <v>66</v>
      </c>
      <c r="D71" s="13" t="s">
        <v>1954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925</v>
      </c>
    </row>
    <row r="72" spans="2:24" ht="13.8" x14ac:dyDescent="0.2">
      <c r="B72" s="8">
        <f t="shared" si="8"/>
        <v>67</v>
      </c>
      <c r="C72" s="10">
        <v>67</v>
      </c>
      <c r="D72" s="13" t="s">
        <v>99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330</v>
      </c>
    </row>
    <row r="73" spans="2:24" ht="13.8" x14ac:dyDescent="0.2">
      <c r="B73" s="8">
        <f t="shared" si="8"/>
        <v>68</v>
      </c>
      <c r="C73" s="10">
        <v>68</v>
      </c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f t="shared" si="8"/>
        <v>69</v>
      </c>
      <c r="C74" s="10">
        <v>69</v>
      </c>
      <c r="D74" s="13" t="s">
        <v>1955</v>
      </c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1990</v>
      </c>
    </row>
    <row r="75" spans="2:24" ht="13.8" x14ac:dyDescent="0.2">
      <c r="B75" s="8">
        <f t="shared" si="8"/>
        <v>70</v>
      </c>
      <c r="C75" s="10">
        <v>70</v>
      </c>
      <c r="D75" s="8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8"/>
        <v>71</v>
      </c>
      <c r="C76" s="10">
        <v>71</v>
      </c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8"/>
        <v>72</v>
      </c>
      <c r="C77" s="10">
        <v>72</v>
      </c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8"/>
        <v>73</v>
      </c>
      <c r="C78" s="10">
        <v>73</v>
      </c>
      <c r="D78" s="8" t="s">
        <v>1956</v>
      </c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 t="s">
        <v>2604</v>
      </c>
    </row>
    <row r="79" spans="2:24" ht="13.8" x14ac:dyDescent="0.2">
      <c r="B79" s="8">
        <f t="shared" si="8"/>
        <v>74</v>
      </c>
      <c r="C79" s="10">
        <v>74</v>
      </c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8"/>
        <v>75</v>
      </c>
      <c r="C80" s="10">
        <v>75</v>
      </c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8"/>
        <v>76</v>
      </c>
      <c r="C81" s="10">
        <v>76</v>
      </c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8"/>
        <v>78</v>
      </c>
      <c r="C83" s="10">
        <v>78</v>
      </c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8"/>
        <v>79</v>
      </c>
      <c r="C84" s="10">
        <v>79</v>
      </c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8"/>
        <v>80</v>
      </c>
      <c r="C85" s="10">
        <v>80</v>
      </c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8"/>
        <v>81</v>
      </c>
      <c r="C86" s="10">
        <v>81</v>
      </c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8"/>
        <v>82</v>
      </c>
      <c r="C87" s="10">
        <v>82</v>
      </c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8"/>
        <v>83</v>
      </c>
      <c r="C88" s="10">
        <v>83</v>
      </c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8"/>
        <v>84</v>
      </c>
      <c r="C89" s="10">
        <v>84</v>
      </c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8"/>
        <v>85</v>
      </c>
      <c r="C90" s="10">
        <v>85</v>
      </c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8"/>
        <v>86</v>
      </c>
      <c r="C91" s="10">
        <v>86</v>
      </c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8"/>
        <v>87</v>
      </c>
      <c r="C92" s="10">
        <v>87</v>
      </c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8"/>
        <v>88</v>
      </c>
      <c r="C93" s="10">
        <v>88</v>
      </c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8"/>
        <v>89</v>
      </c>
      <c r="C94" s="10">
        <v>89</v>
      </c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8"/>
        <v>91</v>
      </c>
      <c r="C96" s="10">
        <v>91</v>
      </c>
      <c r="D96" s="8" t="s">
        <v>1957</v>
      </c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 t="s">
        <v>984</v>
      </c>
    </row>
    <row r="97" spans="2:24" ht="13.8" x14ac:dyDescent="0.2">
      <c r="B97" s="8">
        <f t="shared" si="8"/>
        <v>92</v>
      </c>
      <c r="C97" s="10">
        <v>92</v>
      </c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8"/>
        <v>93</v>
      </c>
      <c r="C98" s="10">
        <v>93</v>
      </c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8"/>
        <v>94</v>
      </c>
      <c r="C99" s="10">
        <v>94</v>
      </c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8"/>
        <v>95</v>
      </c>
      <c r="C100" s="10">
        <v>95</v>
      </c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8"/>
        <v>96</v>
      </c>
      <c r="C101" s="10">
        <v>96</v>
      </c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8"/>
        <v>97</v>
      </c>
      <c r="C102" s="10">
        <v>97</v>
      </c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8"/>
        <v>98</v>
      </c>
      <c r="C103" s="10">
        <v>98</v>
      </c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8"/>
        <v>99</v>
      </c>
      <c r="C104" s="10">
        <v>99</v>
      </c>
      <c r="D104" s="9" t="s">
        <v>111</v>
      </c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1991</v>
      </c>
    </row>
    <row r="105" spans="2:24" ht="13.8" x14ac:dyDescent="0.2">
      <c r="B105" s="8">
        <f t="shared" si="8"/>
        <v>120</v>
      </c>
      <c r="C105" s="10">
        <v>120</v>
      </c>
      <c r="D105" s="14" t="s">
        <v>1958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982</v>
      </c>
    </row>
    <row r="106" spans="2:24" ht="13.8" x14ac:dyDescent="0.2">
      <c r="B106" s="8">
        <f t="shared" si="8"/>
        <v>121</v>
      </c>
      <c r="C106" s="10">
        <v>121</v>
      </c>
      <c r="D106" s="9" t="s">
        <v>1959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1992</v>
      </c>
    </row>
    <row r="107" spans="2:24" ht="13.8" x14ac:dyDescent="0.2">
      <c r="B107" s="8">
        <f t="shared" si="8"/>
        <v>122</v>
      </c>
      <c r="C107" s="10">
        <v>122</v>
      </c>
      <c r="D107" s="9" t="s">
        <v>1135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1993</v>
      </c>
    </row>
    <row r="108" spans="2:24" ht="13.8" x14ac:dyDescent="0.2">
      <c r="B108" s="8">
        <f t="shared" si="8"/>
        <v>123</v>
      </c>
      <c r="C108" s="10">
        <v>123</v>
      </c>
      <c r="D108" s="9" t="s">
        <v>1132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1994</v>
      </c>
    </row>
    <row r="109" spans="2:24" ht="13.8" x14ac:dyDescent="0.2">
      <c r="B109" s="8">
        <f t="shared" si="8"/>
        <v>124</v>
      </c>
      <c r="C109" s="10">
        <v>124</v>
      </c>
      <c r="D109" s="9" t="s">
        <v>1960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912</v>
      </c>
    </row>
    <row r="110" spans="2:24" ht="13.8" x14ac:dyDescent="0.2">
      <c r="B110" s="8">
        <f t="shared" si="8"/>
        <v>125</v>
      </c>
      <c r="C110" s="10">
        <v>125</v>
      </c>
      <c r="D110" s="9" t="s">
        <v>1961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983</v>
      </c>
    </row>
    <row r="111" spans="2:24" ht="13.8" x14ac:dyDescent="0.2">
      <c r="B111" s="8">
        <f t="shared" si="8"/>
        <v>126</v>
      </c>
      <c r="C111" s="10">
        <v>126</v>
      </c>
      <c r="D111" s="9" t="s">
        <v>1055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1995</v>
      </c>
    </row>
    <row r="112" spans="2:24" ht="13.8" x14ac:dyDescent="0.2">
      <c r="B112" s="8">
        <f t="shared" si="8"/>
        <v>127</v>
      </c>
      <c r="C112" s="10">
        <v>127</v>
      </c>
      <c r="D112" s="9" t="s">
        <v>1962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1996</v>
      </c>
    </row>
    <row r="113" spans="2:24" ht="13.8" x14ac:dyDescent="0.2">
      <c r="B113" s="8">
        <f t="shared" si="8"/>
        <v>128</v>
      </c>
      <c r="C113" s="10">
        <v>128</v>
      </c>
      <c r="D113" s="9" t="s">
        <v>1645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1997</v>
      </c>
    </row>
    <row r="114" spans="2:24" ht="13.8" x14ac:dyDescent="0.2">
      <c r="B114" s="8">
        <f t="shared" si="8"/>
        <v>129</v>
      </c>
      <c r="C114" s="10">
        <v>129</v>
      </c>
      <c r="D114" s="9" t="s">
        <v>1427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985</v>
      </c>
    </row>
    <row r="115" spans="2:24" ht="13.8" x14ac:dyDescent="0.2">
      <c r="B115" s="8">
        <f t="shared" si="8"/>
        <v>130</v>
      </c>
      <c r="C115" s="10">
        <v>130</v>
      </c>
      <c r="D115" s="9" t="s">
        <v>1963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1998</v>
      </c>
    </row>
    <row r="116" spans="2:24" ht="13.8" x14ac:dyDescent="0.2">
      <c r="B116" s="8">
        <f t="shared" si="8"/>
        <v>131</v>
      </c>
      <c r="C116" s="10">
        <v>131</v>
      </c>
      <c r="D116" s="9" t="s">
        <v>1506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1999</v>
      </c>
    </row>
    <row r="117" spans="2:24" ht="13.8" x14ac:dyDescent="0.2">
      <c r="B117" s="8">
        <f t="shared" si="8"/>
        <v>132</v>
      </c>
      <c r="C117" s="10">
        <v>132</v>
      </c>
      <c r="D117" s="9" t="s">
        <v>1964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2000</v>
      </c>
    </row>
    <row r="118" spans="2:24" ht="13.8" x14ac:dyDescent="0.2">
      <c r="B118" s="8">
        <f t="shared" si="8"/>
        <v>133</v>
      </c>
      <c r="C118" s="10">
        <v>133</v>
      </c>
      <c r="D118" s="9" t="s">
        <v>1753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986</v>
      </c>
    </row>
    <row r="119" spans="2:24" ht="13.8" x14ac:dyDescent="0.2">
      <c r="B119" s="8">
        <f t="shared" si="8"/>
        <v>134</v>
      </c>
      <c r="C119" s="10">
        <v>134</v>
      </c>
      <c r="D119" s="9" t="s">
        <v>1965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987</v>
      </c>
    </row>
    <row r="120" spans="2:24" ht="13.8" x14ac:dyDescent="0.2">
      <c r="B120" s="8">
        <f t="shared" si="8"/>
        <v>135</v>
      </c>
      <c r="C120" s="10">
        <v>135</v>
      </c>
      <c r="D120" s="9" t="s">
        <v>1349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988</v>
      </c>
    </row>
    <row r="121" spans="2:24" ht="13.8" x14ac:dyDescent="0.2">
      <c r="B121" s="8">
        <f t="shared" si="8"/>
        <v>136</v>
      </c>
      <c r="C121" s="10">
        <v>136</v>
      </c>
      <c r="D121" s="9" t="s">
        <v>1659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989</v>
      </c>
    </row>
    <row r="122" spans="2:24" ht="13.8" x14ac:dyDescent="0.2">
      <c r="B122" s="8">
        <f t="shared" si="8"/>
        <v>137</v>
      </c>
      <c r="C122" s="10">
        <v>137</v>
      </c>
      <c r="D122" s="9" t="s">
        <v>1966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990</v>
      </c>
    </row>
    <row r="123" spans="2:24" ht="13.8" x14ac:dyDescent="0.2">
      <c r="B123" s="8">
        <f t="shared" si="8"/>
        <v>138</v>
      </c>
      <c r="C123" s="10">
        <v>138</v>
      </c>
      <c r="D123" s="9" t="s">
        <v>1967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1066</v>
      </c>
    </row>
    <row r="124" spans="2:24" ht="13.8" x14ac:dyDescent="0.2">
      <c r="B124" s="8">
        <f t="shared" si="8"/>
        <v>139</v>
      </c>
      <c r="C124" s="10">
        <v>139</v>
      </c>
      <c r="D124" s="9" t="s">
        <v>1968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1968</v>
      </c>
    </row>
    <row r="125" spans="2:24" ht="13.8" x14ac:dyDescent="0.2">
      <c r="B125" s="8">
        <f t="shared" si="8"/>
        <v>140</v>
      </c>
      <c r="C125" s="10">
        <v>140</v>
      </c>
      <c r="D125" s="9" t="s">
        <v>1969</v>
      </c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1969</v>
      </c>
    </row>
    <row r="126" spans="2:24" ht="13.8" x14ac:dyDescent="0.2">
      <c r="B126" s="8" t="str">
        <f t="shared" si="8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8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8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8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8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8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v>0</v>
      </c>
      <c r="L131" s="7">
        <v>0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8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v>0</v>
      </c>
      <c r="L132" s="7">
        <v>0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2">IF(C133="","",C133)</f>
        <v/>
      </c>
      <c r="C133" s="10"/>
      <c r="D133" s="9"/>
      <c r="E133" s="11" t="str">
        <f t="shared" ref="E133:E134" si="13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34" si="14">IFERROR(IF((G133+P133+Q133)/(F133+P133+Q133+S133)=1,"1.00",(G133+P133+Q133)/(F133+P133+Q133+S133)),0)</f>
        <v>0</v>
      </c>
      <c r="N133" s="11">
        <f t="shared" ref="N133:N134" si="15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2"/>
        <v/>
      </c>
      <c r="C134" s="10"/>
      <c r="D134" s="9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4"/>
        <v>0</v>
      </c>
      <c r="N134" s="11">
        <f t="shared" si="15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01D1-F757-4F09-A7CA-63AFC267D7DD}">
  <sheetPr codeName="Sheet12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67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525</v>
      </c>
      <c r="C3" s="55" t="s">
        <v>681</v>
      </c>
      <c r="D3" s="55" t="s">
        <v>682</v>
      </c>
      <c r="E3" s="56" t="s">
        <v>28</v>
      </c>
      <c r="F3" s="57" t="s">
        <v>0</v>
      </c>
      <c r="G3" s="54" t="s">
        <v>1</v>
      </c>
      <c r="H3" s="54" t="s">
        <v>253</v>
      </c>
      <c r="I3" s="54" t="s">
        <v>254</v>
      </c>
      <c r="J3" s="58" t="s">
        <v>683</v>
      </c>
      <c r="K3" s="54" t="s">
        <v>644</v>
      </c>
      <c r="L3" s="59" t="s">
        <v>2</v>
      </c>
      <c r="M3" s="60" t="s">
        <v>252</v>
      </c>
      <c r="N3" s="56" t="s">
        <v>255</v>
      </c>
      <c r="O3" s="61" t="s">
        <v>639</v>
      </c>
      <c r="P3" s="54" t="s">
        <v>150</v>
      </c>
      <c r="Q3" s="54" t="s">
        <v>151</v>
      </c>
      <c r="R3" s="54" t="s">
        <v>637</v>
      </c>
      <c r="S3" s="54" t="s">
        <v>638</v>
      </c>
      <c r="T3" s="54" t="s">
        <v>640</v>
      </c>
      <c r="U3" s="54" t="s">
        <v>641</v>
      </c>
      <c r="V3" s="54" t="s">
        <v>642</v>
      </c>
      <c r="W3" s="54" t="s">
        <v>643</v>
      </c>
      <c r="X3" s="158"/>
    </row>
    <row r="4" spans="2:24" ht="13.8" x14ac:dyDescent="0.2">
      <c r="B4" s="8" t="str">
        <f>IF(C4="","",C4)</f>
        <v>00</v>
      </c>
      <c r="C4" s="10" t="s">
        <v>1309</v>
      </c>
      <c r="D4" s="13" t="s">
        <v>991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2055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524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765</v>
      </c>
    </row>
    <row r="6" spans="2:24" ht="13.8" x14ac:dyDescent="0.2">
      <c r="B6" s="8">
        <f t="shared" si="5"/>
        <v>1</v>
      </c>
      <c r="C6" s="10">
        <v>1</v>
      </c>
      <c r="D6" s="13" t="s">
        <v>2001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296</v>
      </c>
    </row>
    <row r="7" spans="2:24" ht="13.8" x14ac:dyDescent="0.2">
      <c r="B7" s="8">
        <f t="shared" si="5"/>
        <v>2</v>
      </c>
      <c r="C7" s="10">
        <v>2</v>
      </c>
      <c r="D7" s="13" t="s">
        <v>131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2056</v>
      </c>
    </row>
    <row r="8" spans="2:24" ht="13.8" x14ac:dyDescent="0.2">
      <c r="B8" s="8">
        <f t="shared" si="5"/>
        <v>3</v>
      </c>
      <c r="C8" s="10">
        <v>3</v>
      </c>
      <c r="D8" s="13"/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2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>
        <f t="shared" si="5"/>
        <v>4</v>
      </c>
      <c r="C9" s="10">
        <v>4</v>
      </c>
      <c r="D9" s="13" t="s">
        <v>2624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2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339</v>
      </c>
    </row>
    <row r="10" spans="2:24" ht="13.8" x14ac:dyDescent="0.2">
      <c r="B10" s="8">
        <f t="shared" si="5"/>
        <v>5</v>
      </c>
      <c r="C10" s="10">
        <v>5</v>
      </c>
      <c r="D10" s="13" t="s">
        <v>62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286</v>
      </c>
    </row>
    <row r="11" spans="2:24" ht="13.8" x14ac:dyDescent="0.2">
      <c r="B11" s="8">
        <f t="shared" si="5"/>
        <v>6</v>
      </c>
      <c r="C11" s="10">
        <v>6</v>
      </c>
      <c r="D11" s="13" t="s">
        <v>63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2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287</v>
      </c>
    </row>
    <row r="12" spans="2:24" ht="13.8" x14ac:dyDescent="0.2">
      <c r="B12" s="8">
        <f t="shared" si="5"/>
        <v>7</v>
      </c>
      <c r="C12" s="10">
        <v>7</v>
      </c>
      <c r="D12" s="13" t="s">
        <v>1146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2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1003</v>
      </c>
    </row>
    <row r="13" spans="2:24" ht="13.8" x14ac:dyDescent="0.2">
      <c r="B13" s="8">
        <f t="shared" si="5"/>
        <v>8</v>
      </c>
      <c r="C13" s="10">
        <v>8</v>
      </c>
      <c r="D13" s="13" t="s">
        <v>2002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2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2057</v>
      </c>
    </row>
    <row r="14" spans="2:24" ht="13.8" x14ac:dyDescent="0.2">
      <c r="B14" s="8">
        <f t="shared" si="5"/>
        <v>9</v>
      </c>
      <c r="C14" s="10">
        <v>9</v>
      </c>
      <c r="D14" s="13" t="s">
        <v>2003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2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767</v>
      </c>
    </row>
    <row r="15" spans="2:24" ht="13.8" x14ac:dyDescent="0.2">
      <c r="B15" s="8">
        <f t="shared" si="5"/>
        <v>10</v>
      </c>
      <c r="C15" s="10">
        <v>10</v>
      </c>
      <c r="D15" s="13" t="s">
        <v>1197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768</v>
      </c>
    </row>
    <row r="16" spans="2:24" ht="13.8" x14ac:dyDescent="0.2">
      <c r="B16" s="8">
        <f t="shared" si="5"/>
        <v>11</v>
      </c>
      <c r="C16" s="10">
        <v>11</v>
      </c>
      <c r="D16" s="13" t="s">
        <v>1689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132</v>
      </c>
    </row>
    <row r="17" spans="2:24" ht="13.8" x14ac:dyDescent="0.2">
      <c r="B17" s="8">
        <f t="shared" si="5"/>
        <v>12</v>
      </c>
      <c r="C17" s="10">
        <v>12</v>
      </c>
      <c r="D17" s="13" t="s">
        <v>1420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2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777</v>
      </c>
    </row>
    <row r="18" spans="2:24" ht="13.8" x14ac:dyDescent="0.2">
      <c r="B18" s="8">
        <f t="shared" si="5"/>
        <v>13</v>
      </c>
      <c r="C18" s="10">
        <v>13</v>
      </c>
      <c r="D18" s="13" t="s">
        <v>2004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2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2058</v>
      </c>
    </row>
    <row r="19" spans="2:24" ht="13.8" x14ac:dyDescent="0.2">
      <c r="B19" s="8">
        <f t="shared" si="5"/>
        <v>14</v>
      </c>
      <c r="C19" s="10">
        <v>14</v>
      </c>
      <c r="D19" s="13"/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/>
    </row>
    <row r="20" spans="2:24" ht="13.8" x14ac:dyDescent="0.2">
      <c r="B20" s="8">
        <f t="shared" si="5"/>
        <v>15</v>
      </c>
      <c r="C20" s="10">
        <v>15</v>
      </c>
      <c r="D20" s="8" t="s">
        <v>2005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769</v>
      </c>
    </row>
    <row r="21" spans="2:24" ht="13.8" x14ac:dyDescent="0.2">
      <c r="B21" s="8">
        <f t="shared" si="5"/>
        <v>16</v>
      </c>
      <c r="C21" s="10">
        <v>16</v>
      </c>
      <c r="D21" s="13" t="s">
        <v>133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2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289</v>
      </c>
    </row>
    <row r="22" spans="2:24" ht="13.8" x14ac:dyDescent="0.2">
      <c r="B22" s="8">
        <f t="shared" si="5"/>
        <v>17</v>
      </c>
      <c r="C22" s="10">
        <v>17</v>
      </c>
      <c r="D22" s="13" t="s">
        <v>2006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1004</v>
      </c>
    </row>
    <row r="23" spans="2:24" ht="13.8" x14ac:dyDescent="0.2">
      <c r="B23" s="8">
        <f t="shared" si="5"/>
        <v>18</v>
      </c>
      <c r="C23" s="10">
        <v>18</v>
      </c>
      <c r="D23" s="13" t="s">
        <v>751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288</v>
      </c>
    </row>
    <row r="24" spans="2:24" ht="13.8" x14ac:dyDescent="0.2">
      <c r="B24" s="8">
        <f t="shared" si="5"/>
        <v>19</v>
      </c>
      <c r="C24" s="10">
        <v>19</v>
      </c>
      <c r="D24" s="13" t="s">
        <v>65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2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291</v>
      </c>
    </row>
    <row r="25" spans="2:24" ht="13.8" x14ac:dyDescent="0.2">
      <c r="B25" s="8">
        <f t="shared" si="5"/>
        <v>20</v>
      </c>
      <c r="C25" s="10">
        <v>20</v>
      </c>
      <c r="D25" s="13" t="s">
        <v>1573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301</v>
      </c>
    </row>
    <row r="26" spans="2:24" ht="13.8" x14ac:dyDescent="0.2">
      <c r="B26" s="8">
        <f t="shared" si="5"/>
        <v>21</v>
      </c>
      <c r="C26" s="10">
        <v>21</v>
      </c>
      <c r="D26" s="13" t="s">
        <v>1521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136</v>
      </c>
    </row>
    <row r="27" spans="2:24" ht="13.8" x14ac:dyDescent="0.2">
      <c r="B27" s="8">
        <f t="shared" si="5"/>
        <v>22</v>
      </c>
      <c r="C27" s="10">
        <v>22</v>
      </c>
      <c r="D27" s="13" t="s">
        <v>646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212</v>
      </c>
    </row>
    <row r="28" spans="2:24" ht="13.8" x14ac:dyDescent="0.2">
      <c r="B28" s="8">
        <f t="shared" si="5"/>
        <v>23</v>
      </c>
      <c r="C28" s="10">
        <v>23</v>
      </c>
      <c r="D28" s="13" t="s">
        <v>1572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2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1005</v>
      </c>
    </row>
    <row r="29" spans="2:24" ht="13.8" x14ac:dyDescent="0.2">
      <c r="B29" s="8">
        <f t="shared" si="5"/>
        <v>24</v>
      </c>
      <c r="C29" s="10">
        <v>24</v>
      </c>
      <c r="D29" s="13" t="s">
        <v>66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2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60</v>
      </c>
    </row>
    <row r="30" spans="2:24" ht="13.8" x14ac:dyDescent="0.2">
      <c r="B30" s="8">
        <f t="shared" si="5"/>
        <v>25</v>
      </c>
      <c r="C30" s="10">
        <v>25</v>
      </c>
      <c r="D30" s="13" t="s">
        <v>2007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2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1006</v>
      </c>
    </row>
    <row r="31" spans="2:24" ht="13.8" x14ac:dyDescent="0.2">
      <c r="B31" s="8">
        <f t="shared" si="5"/>
        <v>26</v>
      </c>
      <c r="C31" s="10">
        <v>26</v>
      </c>
      <c r="D31" s="13" t="s">
        <v>2008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1007</v>
      </c>
    </row>
    <row r="32" spans="2:24" ht="13.8" x14ac:dyDescent="0.2">
      <c r="B32" s="8">
        <f t="shared" si="5"/>
        <v>27</v>
      </c>
      <c r="C32" s="10">
        <v>27</v>
      </c>
      <c r="D32" s="13"/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>
        <f t="shared" si="5"/>
        <v>28</v>
      </c>
      <c r="C33" s="10">
        <v>28</v>
      </c>
      <c r="D33" s="13" t="s">
        <v>1966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2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294</v>
      </c>
    </row>
    <row r="34" spans="2:24" ht="13.8" x14ac:dyDescent="0.2">
      <c r="B34" s="8">
        <f t="shared" si="5"/>
        <v>29</v>
      </c>
      <c r="C34" s="10">
        <v>29</v>
      </c>
      <c r="D34" s="13" t="s">
        <v>67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295</v>
      </c>
    </row>
    <row r="35" spans="2:24" ht="13.8" x14ac:dyDescent="0.2">
      <c r="B35" s="8">
        <f t="shared" si="5"/>
        <v>30</v>
      </c>
      <c r="C35" s="10">
        <v>30</v>
      </c>
      <c r="D35" s="13" t="s">
        <v>2009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2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1008</v>
      </c>
    </row>
    <row r="36" spans="2:24" ht="13.8" x14ac:dyDescent="0.2">
      <c r="B36" s="8">
        <f t="shared" si="5"/>
        <v>31</v>
      </c>
      <c r="C36" s="10">
        <v>31</v>
      </c>
      <c r="D36" s="13" t="s">
        <v>2010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2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2059</v>
      </c>
    </row>
    <row r="37" spans="2:24" ht="13.8" x14ac:dyDescent="0.2">
      <c r="B37" s="8">
        <f t="shared" si="5"/>
        <v>32</v>
      </c>
      <c r="C37" s="10">
        <v>32</v>
      </c>
      <c r="D37" s="13" t="s">
        <v>1555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2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770</v>
      </c>
    </row>
    <row r="38" spans="2:24" ht="13.8" x14ac:dyDescent="0.2">
      <c r="B38" s="8">
        <f t="shared" si="5"/>
        <v>33</v>
      </c>
      <c r="C38" s="10">
        <v>33</v>
      </c>
      <c r="D38" s="13" t="s">
        <v>2011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2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1009</v>
      </c>
    </row>
    <row r="39" spans="2:24" ht="13.8" x14ac:dyDescent="0.2">
      <c r="B39" s="8">
        <f t="shared" si="5"/>
        <v>34</v>
      </c>
      <c r="C39" s="10">
        <v>34</v>
      </c>
      <c r="D39" s="13" t="s">
        <v>1893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1010</v>
      </c>
    </row>
    <row r="40" spans="2:24" ht="13.8" x14ac:dyDescent="0.2">
      <c r="B40" s="8">
        <f t="shared" si="5"/>
        <v>35</v>
      </c>
      <c r="C40" s="10">
        <v>35</v>
      </c>
      <c r="D40" s="13" t="s">
        <v>2012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2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1016</v>
      </c>
    </row>
    <row r="41" spans="2:24" ht="13.8" x14ac:dyDescent="0.2">
      <c r="B41" s="8">
        <f t="shared" si="5"/>
        <v>36</v>
      </c>
      <c r="C41" s="10">
        <v>36</v>
      </c>
      <c r="D41" s="13" t="s">
        <v>2013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2060</v>
      </c>
    </row>
    <row r="42" spans="2:24" ht="13.8" x14ac:dyDescent="0.2">
      <c r="B42" s="8">
        <f t="shared" si="5"/>
        <v>37</v>
      </c>
      <c r="C42" s="10">
        <v>37</v>
      </c>
      <c r="D42" s="13" t="s">
        <v>1217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1011</v>
      </c>
    </row>
    <row r="43" spans="2:24" ht="13.8" x14ac:dyDescent="0.2">
      <c r="B43" s="8">
        <f t="shared" si="5"/>
        <v>38</v>
      </c>
      <c r="C43" s="10">
        <v>38</v>
      </c>
      <c r="D43" s="13" t="s">
        <v>135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298</v>
      </c>
    </row>
    <row r="44" spans="2:24" ht="13.8" x14ac:dyDescent="0.2">
      <c r="B44" s="8">
        <f t="shared" si="5"/>
        <v>39</v>
      </c>
      <c r="C44" s="10">
        <v>39</v>
      </c>
      <c r="D44" s="13" t="s">
        <v>1672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771</v>
      </c>
    </row>
    <row r="45" spans="2:24" ht="13.8" x14ac:dyDescent="0.2">
      <c r="B45" s="8">
        <f t="shared" si="5"/>
        <v>40</v>
      </c>
      <c r="C45" s="10">
        <v>40</v>
      </c>
      <c r="D45" s="13" t="s">
        <v>2014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868</v>
      </c>
    </row>
    <row r="46" spans="2:24" ht="13.8" x14ac:dyDescent="0.2">
      <c r="B46" s="8">
        <f t="shared" si="5"/>
        <v>41</v>
      </c>
      <c r="C46" s="10">
        <v>41</v>
      </c>
      <c r="D46" s="13" t="s">
        <v>2015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2061</v>
      </c>
    </row>
    <row r="47" spans="2:24" ht="13.8" x14ac:dyDescent="0.2">
      <c r="B47" s="8">
        <f t="shared" si="5"/>
        <v>42</v>
      </c>
      <c r="C47" s="10">
        <v>42</v>
      </c>
      <c r="D47" s="13" t="s">
        <v>993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2062</v>
      </c>
    </row>
    <row r="48" spans="2:24" ht="13.8" x14ac:dyDescent="0.2">
      <c r="B48" s="8">
        <f t="shared" si="5"/>
        <v>43</v>
      </c>
      <c r="C48" s="10">
        <v>43</v>
      </c>
      <c r="D48" s="13" t="s">
        <v>2016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2063</v>
      </c>
    </row>
    <row r="49" spans="2:24" ht="13.8" x14ac:dyDescent="0.2">
      <c r="B49" s="8">
        <f t="shared" si="5"/>
        <v>44</v>
      </c>
      <c r="C49" s="10">
        <v>44</v>
      </c>
      <c r="D49" s="13" t="s">
        <v>68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2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300</v>
      </c>
    </row>
    <row r="50" spans="2:24" ht="13.8" x14ac:dyDescent="0.2">
      <c r="B50" s="8">
        <f t="shared" si="5"/>
        <v>45</v>
      </c>
      <c r="C50" s="10">
        <v>45</v>
      </c>
      <c r="D50" s="13" t="s">
        <v>2017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2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2622</v>
      </c>
    </row>
    <row r="51" spans="2:24" ht="13.8" x14ac:dyDescent="0.2">
      <c r="B51" s="8">
        <f t="shared" si="5"/>
        <v>46</v>
      </c>
      <c r="C51" s="10">
        <v>46</v>
      </c>
      <c r="D51" s="13"/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>
        <f t="shared" si="5"/>
        <v>47</v>
      </c>
      <c r="C52" s="10">
        <v>47</v>
      </c>
      <c r="D52" s="13" t="s">
        <v>1895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2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2064</v>
      </c>
    </row>
    <row r="53" spans="2:24" ht="13.8" x14ac:dyDescent="0.2">
      <c r="B53" s="8">
        <f t="shared" si="5"/>
        <v>48</v>
      </c>
      <c r="C53" s="10">
        <v>48</v>
      </c>
      <c r="D53" s="13" t="s">
        <v>994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1012</v>
      </c>
    </row>
    <row r="54" spans="2:24" ht="13.8" x14ac:dyDescent="0.2">
      <c r="B54" s="8">
        <f t="shared" si="5"/>
        <v>49</v>
      </c>
      <c r="C54" s="10">
        <v>49</v>
      </c>
      <c r="D54" s="13" t="s">
        <v>1437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2065</v>
      </c>
    </row>
    <row r="55" spans="2:24" ht="13.8" x14ac:dyDescent="0.2">
      <c r="B55" s="8">
        <f t="shared" si="5"/>
        <v>50</v>
      </c>
      <c r="C55" s="10">
        <v>50</v>
      </c>
      <c r="D55" s="13" t="s">
        <v>2018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2066</v>
      </c>
    </row>
    <row r="56" spans="2:24" ht="13.8" x14ac:dyDescent="0.2">
      <c r="B56" s="8">
        <f t="shared" si="5"/>
        <v>51</v>
      </c>
      <c r="C56" s="10">
        <v>51</v>
      </c>
      <c r="D56" s="13"/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f t="shared" si="5"/>
        <v>52</v>
      </c>
      <c r="C57" s="10">
        <v>52</v>
      </c>
      <c r="D57" s="13" t="s">
        <v>2019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2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772</v>
      </c>
    </row>
    <row r="58" spans="2:24" ht="13.8" x14ac:dyDescent="0.2">
      <c r="B58" s="8">
        <f t="shared" si="5"/>
        <v>53</v>
      </c>
      <c r="C58" s="10">
        <v>53</v>
      </c>
      <c r="D58" s="13"/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f t="shared" si="5"/>
        <v>54</v>
      </c>
      <c r="C59" s="10">
        <v>54</v>
      </c>
      <c r="D59" s="13"/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f t="shared" si="5"/>
        <v>55</v>
      </c>
      <c r="C60" s="10">
        <v>55</v>
      </c>
      <c r="D60" s="13"/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2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>
        <f t="shared" si="5"/>
        <v>56</v>
      </c>
      <c r="C61" s="10">
        <v>56</v>
      </c>
      <c r="D61" s="13"/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>
        <f t="shared" si="5"/>
        <v>57</v>
      </c>
      <c r="C62" s="10">
        <v>57</v>
      </c>
      <c r="D62" s="13" t="s">
        <v>1071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2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306</v>
      </c>
    </row>
    <row r="63" spans="2:24" ht="13.8" x14ac:dyDescent="0.2">
      <c r="B63" s="8">
        <f t="shared" si="5"/>
        <v>58</v>
      </c>
      <c r="C63" s="10">
        <v>58</v>
      </c>
      <c r="D63" s="13" t="s">
        <v>2020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2067</v>
      </c>
    </row>
    <row r="64" spans="2:24" ht="13.8" x14ac:dyDescent="0.2">
      <c r="B64" s="8">
        <f t="shared" si="5"/>
        <v>59</v>
      </c>
      <c r="C64" s="10">
        <v>59</v>
      </c>
      <c r="D64" s="13" t="s">
        <v>2021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2068</v>
      </c>
    </row>
    <row r="65" spans="2:24" ht="13.8" x14ac:dyDescent="0.2">
      <c r="B65" s="8">
        <f t="shared" si="5"/>
        <v>60</v>
      </c>
      <c r="C65" s="10">
        <v>60</v>
      </c>
      <c r="D65" s="13" t="s">
        <v>2022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2069</v>
      </c>
    </row>
    <row r="66" spans="2:24" ht="13.8" x14ac:dyDescent="0.2">
      <c r="B66" s="8">
        <f t="shared" si="5"/>
        <v>61</v>
      </c>
      <c r="C66" s="10">
        <v>61</v>
      </c>
      <c r="D66" s="13" t="s">
        <v>2023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2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1084</v>
      </c>
    </row>
    <row r="67" spans="2:24" ht="13.8" x14ac:dyDescent="0.2">
      <c r="B67" s="8">
        <f t="shared" si="5"/>
        <v>62</v>
      </c>
      <c r="C67" s="10">
        <v>62</v>
      </c>
      <c r="D67" s="13" t="s">
        <v>1867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2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1014</v>
      </c>
    </row>
    <row r="68" spans="2:24" ht="13.8" x14ac:dyDescent="0.2">
      <c r="B68" s="8">
        <f t="shared" si="5"/>
        <v>63</v>
      </c>
      <c r="C68" s="10">
        <v>63</v>
      </c>
      <c r="D68" s="9"/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>
        <f t="shared" ref="B69:B132" si="9">IF(C69="","",C69)</f>
        <v>64</v>
      </c>
      <c r="C69" s="10">
        <v>64</v>
      </c>
      <c r="D69" s="13"/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9"/>
        <v>65</v>
      </c>
      <c r="C70" s="10">
        <v>65</v>
      </c>
      <c r="D70" s="9"/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f t="shared" si="9"/>
        <v>66</v>
      </c>
      <c r="C71" s="10">
        <v>66</v>
      </c>
      <c r="D71" s="13" t="s">
        <v>2024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2024</v>
      </c>
    </row>
    <row r="72" spans="2:24" ht="13.8" x14ac:dyDescent="0.2">
      <c r="B72" s="8">
        <f t="shared" si="9"/>
        <v>67</v>
      </c>
      <c r="C72" s="10">
        <v>67</v>
      </c>
      <c r="D72" s="13" t="s">
        <v>2623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307</v>
      </c>
    </row>
    <row r="73" spans="2:24" ht="13.8" x14ac:dyDescent="0.2">
      <c r="B73" s="8">
        <f t="shared" si="9"/>
        <v>68</v>
      </c>
      <c r="C73" s="10">
        <v>68</v>
      </c>
      <c r="D73" s="13" t="s">
        <v>2025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1019</v>
      </c>
    </row>
    <row r="74" spans="2:24" ht="13.8" x14ac:dyDescent="0.2">
      <c r="B74" s="8">
        <f t="shared" si="9"/>
        <v>69</v>
      </c>
      <c r="C74" s="10">
        <v>69</v>
      </c>
      <c r="D74" s="13" t="s">
        <v>2026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2605</v>
      </c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 t="s">
        <v>2027</v>
      </c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 t="s">
        <v>308</v>
      </c>
    </row>
    <row r="99" spans="2:24" ht="13.8" x14ac:dyDescent="0.2">
      <c r="B99" s="8">
        <f t="shared" si="9"/>
        <v>94</v>
      </c>
      <c r="C99" s="10">
        <v>94</v>
      </c>
      <c r="D99" s="8" t="s">
        <v>2028</v>
      </c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 t="s">
        <v>774</v>
      </c>
    </row>
    <row r="100" spans="2:24" ht="13.8" x14ac:dyDescent="0.2">
      <c r="B100" s="8">
        <f t="shared" si="9"/>
        <v>95</v>
      </c>
      <c r="C100" s="10">
        <v>95</v>
      </c>
      <c r="D100" s="13" t="s">
        <v>1499</v>
      </c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 t="s">
        <v>1018</v>
      </c>
    </row>
    <row r="101" spans="2:24" ht="13.8" x14ac:dyDescent="0.2">
      <c r="B101" s="8">
        <f t="shared" si="9"/>
        <v>96</v>
      </c>
      <c r="C101" s="10">
        <v>96</v>
      </c>
      <c r="D101" s="26" t="s">
        <v>2029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 t="s">
        <v>1015</v>
      </c>
    </row>
    <row r="102" spans="2:24" ht="13.8" x14ac:dyDescent="0.2">
      <c r="B102" s="8">
        <f t="shared" si="9"/>
        <v>97</v>
      </c>
      <c r="C102" s="10">
        <v>97</v>
      </c>
      <c r="D102" s="26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26" t="s">
        <v>2030</v>
      </c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1017</v>
      </c>
    </row>
    <row r="104" spans="2:24" ht="13.8" x14ac:dyDescent="0.2">
      <c r="B104" s="8">
        <f t="shared" si="9"/>
        <v>99</v>
      </c>
      <c r="C104" s="10">
        <v>99</v>
      </c>
      <c r="D104" s="9" t="s">
        <v>69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61</v>
      </c>
    </row>
    <row r="105" spans="2:24" ht="13.8" x14ac:dyDescent="0.2">
      <c r="B105" s="8" t="str">
        <f t="shared" si="9"/>
        <v>001</v>
      </c>
      <c r="C105" s="10" t="s">
        <v>752</v>
      </c>
      <c r="D105" s="14" t="s">
        <v>2031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2070</v>
      </c>
    </row>
    <row r="106" spans="2:24" ht="13.8" x14ac:dyDescent="0.2">
      <c r="B106" s="8" t="str">
        <f t="shared" si="9"/>
        <v>002</v>
      </c>
      <c r="C106" s="10" t="s">
        <v>753</v>
      </c>
      <c r="D106" s="9" t="s">
        <v>2032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2032</v>
      </c>
    </row>
    <row r="107" spans="2:24" ht="13.8" x14ac:dyDescent="0.2">
      <c r="B107" s="8" t="str">
        <f t="shared" si="9"/>
        <v>003</v>
      </c>
      <c r="C107" s="10" t="s">
        <v>754</v>
      </c>
      <c r="D107" s="9" t="s">
        <v>1557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2071</v>
      </c>
    </row>
    <row r="108" spans="2:24" ht="13.8" x14ac:dyDescent="0.2">
      <c r="B108" s="8" t="str">
        <f t="shared" si="9"/>
        <v>004</v>
      </c>
      <c r="C108" s="10" t="s">
        <v>755</v>
      </c>
      <c r="D108" s="9" t="s">
        <v>1144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2072</v>
      </c>
    </row>
    <row r="109" spans="2:24" ht="13.8" x14ac:dyDescent="0.2">
      <c r="B109" s="8" t="str">
        <f t="shared" si="9"/>
        <v>017</v>
      </c>
      <c r="C109" s="10" t="s">
        <v>495</v>
      </c>
      <c r="D109" s="9" t="s">
        <v>2033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2073</v>
      </c>
    </row>
    <row r="110" spans="2:24" ht="13.8" x14ac:dyDescent="0.2">
      <c r="B110" s="8" t="str">
        <f t="shared" si="9"/>
        <v>034</v>
      </c>
      <c r="C110" s="10" t="s">
        <v>997</v>
      </c>
      <c r="D110" s="9" t="s">
        <v>1634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1020</v>
      </c>
    </row>
    <row r="111" spans="2:24" ht="13.8" x14ac:dyDescent="0.2">
      <c r="B111" s="8" t="str">
        <f t="shared" si="9"/>
        <v>041</v>
      </c>
      <c r="C111" s="10" t="s">
        <v>998</v>
      </c>
      <c r="D111" s="9" t="s">
        <v>2034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1021</v>
      </c>
    </row>
    <row r="112" spans="2:24" ht="13.8" x14ac:dyDescent="0.2">
      <c r="B112" s="8" t="str">
        <f t="shared" si="9"/>
        <v>043</v>
      </c>
      <c r="C112" s="10" t="s">
        <v>1000</v>
      </c>
      <c r="D112" s="9" t="s">
        <v>2035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1022</v>
      </c>
    </row>
    <row r="113" spans="2:24" ht="13.8" x14ac:dyDescent="0.2">
      <c r="B113" s="8" t="str">
        <f t="shared" si="9"/>
        <v>044</v>
      </c>
      <c r="C113" s="10" t="s">
        <v>1001</v>
      </c>
      <c r="D113" s="9" t="s">
        <v>2036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1023</v>
      </c>
    </row>
    <row r="114" spans="2:24" ht="13.8" x14ac:dyDescent="0.2">
      <c r="B114" s="8" t="str">
        <f t="shared" si="9"/>
        <v>045</v>
      </c>
      <c r="C114" s="10" t="s">
        <v>1002</v>
      </c>
      <c r="D114" s="9" t="s">
        <v>1160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1024</v>
      </c>
    </row>
    <row r="115" spans="2:24" ht="13.8" x14ac:dyDescent="0.2">
      <c r="B115" s="8" t="str">
        <f t="shared" si="9"/>
        <v>051</v>
      </c>
      <c r="C115" s="10" t="s">
        <v>1110</v>
      </c>
      <c r="D115" s="9" t="s">
        <v>2037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2074</v>
      </c>
    </row>
    <row r="116" spans="2:24" ht="13.8" x14ac:dyDescent="0.2">
      <c r="B116" s="8" t="str">
        <f t="shared" si="9"/>
        <v>052</v>
      </c>
      <c r="C116" s="10" t="s">
        <v>2038</v>
      </c>
      <c r="D116" s="9" t="s">
        <v>1150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2075</v>
      </c>
    </row>
    <row r="117" spans="2:24" ht="13.8" x14ac:dyDescent="0.2">
      <c r="B117" s="8" t="str">
        <f t="shared" si="9"/>
        <v>053</v>
      </c>
      <c r="C117" s="10" t="s">
        <v>2039</v>
      </c>
      <c r="D117" s="9" t="s">
        <v>1861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2076</v>
      </c>
    </row>
    <row r="118" spans="2:24" ht="13.8" x14ac:dyDescent="0.2">
      <c r="B118" s="8" t="str">
        <f t="shared" si="9"/>
        <v>054</v>
      </c>
      <c r="C118" s="10" t="s">
        <v>2040</v>
      </c>
      <c r="D118" s="9" t="s">
        <v>2041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2077</v>
      </c>
    </row>
    <row r="119" spans="2:24" ht="13.8" x14ac:dyDescent="0.2">
      <c r="B119" s="8" t="str">
        <f t="shared" si="9"/>
        <v>055</v>
      </c>
      <c r="C119" s="10" t="s">
        <v>2042</v>
      </c>
      <c r="D119" s="9" t="s">
        <v>2043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2078</v>
      </c>
    </row>
    <row r="120" spans="2:24" ht="13.8" x14ac:dyDescent="0.2">
      <c r="B120" s="8" t="str">
        <f t="shared" si="9"/>
        <v>056</v>
      </c>
      <c r="C120" s="10" t="s">
        <v>2044</v>
      </c>
      <c r="D120" s="9" t="s">
        <v>2045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2079</v>
      </c>
    </row>
    <row r="121" spans="2:24" ht="13.8" x14ac:dyDescent="0.2">
      <c r="B121" s="8">
        <f t="shared" si="9"/>
        <v>120</v>
      </c>
      <c r="C121" s="10">
        <v>120</v>
      </c>
      <c r="D121" s="9" t="s">
        <v>2046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773</v>
      </c>
    </row>
    <row r="122" spans="2:24" ht="13.8" x14ac:dyDescent="0.2">
      <c r="B122" s="8">
        <f t="shared" si="9"/>
        <v>121</v>
      </c>
      <c r="C122" s="10">
        <v>121</v>
      </c>
      <c r="D122" s="9" t="s">
        <v>2047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775</v>
      </c>
    </row>
    <row r="123" spans="2:24" ht="13.8" x14ac:dyDescent="0.2">
      <c r="B123" s="8">
        <f t="shared" si="9"/>
        <v>122</v>
      </c>
      <c r="C123" s="10">
        <v>122</v>
      </c>
      <c r="D123" s="9" t="s">
        <v>2048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776</v>
      </c>
    </row>
    <row r="124" spans="2:24" ht="13.8" x14ac:dyDescent="0.2">
      <c r="B124" s="8">
        <f t="shared" si="9"/>
        <v>123</v>
      </c>
      <c r="C124" s="10">
        <v>123</v>
      </c>
      <c r="D124" s="9" t="s">
        <v>2049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302</v>
      </c>
    </row>
    <row r="125" spans="2:24" ht="13.8" x14ac:dyDescent="0.2">
      <c r="B125" s="8">
        <f t="shared" si="9"/>
        <v>124</v>
      </c>
      <c r="C125" s="10">
        <v>124</v>
      </c>
      <c r="D125" s="9" t="s">
        <v>666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426</v>
      </c>
    </row>
    <row r="126" spans="2:24" ht="13.8" x14ac:dyDescent="0.2">
      <c r="B126" s="8">
        <f t="shared" si="9"/>
        <v>126</v>
      </c>
      <c r="C126" s="10">
        <v>126</v>
      </c>
      <c r="D126" s="9" t="s">
        <v>2050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1025</v>
      </c>
    </row>
    <row r="127" spans="2:24" ht="13.8" x14ac:dyDescent="0.2">
      <c r="B127" s="8">
        <f t="shared" si="9"/>
        <v>127</v>
      </c>
      <c r="C127" s="10">
        <v>127</v>
      </c>
      <c r="D127" s="9" t="s">
        <v>134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293</v>
      </c>
    </row>
    <row r="128" spans="2:24" ht="13.8" x14ac:dyDescent="0.2">
      <c r="B128" s="8">
        <f t="shared" si="9"/>
        <v>128</v>
      </c>
      <c r="C128" s="10">
        <v>128</v>
      </c>
      <c r="D128" s="9" t="s">
        <v>2051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299</v>
      </c>
    </row>
    <row r="129" spans="2:24" ht="13.8" x14ac:dyDescent="0.2">
      <c r="B129" s="8">
        <f t="shared" si="9"/>
        <v>129</v>
      </c>
      <c r="C129" s="10">
        <v>129</v>
      </c>
      <c r="D129" s="9" t="s">
        <v>2052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2080</v>
      </c>
    </row>
    <row r="130" spans="2:24" ht="13.8" x14ac:dyDescent="0.2">
      <c r="B130" s="8">
        <f t="shared" si="9"/>
        <v>135</v>
      </c>
      <c r="C130" s="10">
        <v>135</v>
      </c>
      <c r="D130" s="9" t="s">
        <v>2053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996</v>
      </c>
    </row>
    <row r="131" spans="2:24" ht="13.8" x14ac:dyDescent="0.2">
      <c r="B131" s="8">
        <f t="shared" si="9"/>
        <v>153</v>
      </c>
      <c r="C131" s="10">
        <v>153</v>
      </c>
      <c r="D131" s="9" t="s">
        <v>2054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 t="s">
        <v>305</v>
      </c>
    </row>
    <row r="132" spans="2:24" ht="13.8" x14ac:dyDescent="0.2">
      <c r="B132" s="8" t="str">
        <f t="shared" si="9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3209C-D7C7-43E3-9313-F4456FC2F2F6}">
  <sheetPr codeName="Sheet1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D34" sqref="D3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4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525</v>
      </c>
      <c r="C3" s="55" t="s">
        <v>681</v>
      </c>
      <c r="D3" s="55" t="s">
        <v>682</v>
      </c>
      <c r="E3" s="56" t="s">
        <v>28</v>
      </c>
      <c r="F3" s="57" t="s">
        <v>0</v>
      </c>
      <c r="G3" s="54" t="s">
        <v>1</v>
      </c>
      <c r="H3" s="54" t="s">
        <v>253</v>
      </c>
      <c r="I3" s="54" t="s">
        <v>254</v>
      </c>
      <c r="J3" s="58" t="s">
        <v>683</v>
      </c>
      <c r="K3" s="54" t="s">
        <v>644</v>
      </c>
      <c r="L3" s="59" t="s">
        <v>2</v>
      </c>
      <c r="M3" s="60" t="s">
        <v>252</v>
      </c>
      <c r="N3" s="56" t="s">
        <v>255</v>
      </c>
      <c r="O3" s="61" t="s">
        <v>639</v>
      </c>
      <c r="P3" s="54" t="s">
        <v>150</v>
      </c>
      <c r="Q3" s="54" t="s">
        <v>151</v>
      </c>
      <c r="R3" s="54" t="s">
        <v>637</v>
      </c>
      <c r="S3" s="54" t="s">
        <v>638</v>
      </c>
      <c r="T3" s="54" t="s">
        <v>640</v>
      </c>
      <c r="U3" s="54" t="s">
        <v>641</v>
      </c>
      <c r="V3" s="54" t="s">
        <v>642</v>
      </c>
      <c r="W3" s="54" t="s">
        <v>643</v>
      </c>
      <c r="X3" s="158"/>
    </row>
    <row r="4" spans="2:24" ht="13.8" x14ac:dyDescent="0.2">
      <c r="B4" s="8" t="str">
        <f>IF(C4="","",C4)</f>
        <v>00</v>
      </c>
      <c r="C4" s="10" t="s">
        <v>1309</v>
      </c>
      <c r="D4" s="13"/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1462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81</v>
      </c>
    </row>
    <row r="6" spans="2:24" ht="13.8" x14ac:dyDescent="0.2">
      <c r="B6" s="8">
        <f t="shared" si="5"/>
        <v>1</v>
      </c>
      <c r="C6" s="10">
        <v>1</v>
      </c>
      <c r="D6" s="13" t="s">
        <v>2081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2126</v>
      </c>
    </row>
    <row r="7" spans="2:24" ht="13.8" x14ac:dyDescent="0.2">
      <c r="B7" s="8">
        <f t="shared" si="5"/>
        <v>2</v>
      </c>
      <c r="C7" s="10">
        <v>2</v>
      </c>
      <c r="D7" s="13" t="s">
        <v>2001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6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257</v>
      </c>
    </row>
    <row r="8" spans="2:24" ht="13.8" x14ac:dyDescent="0.2">
      <c r="B8" s="8">
        <f t="shared" si="5"/>
        <v>3</v>
      </c>
      <c r="C8" s="10">
        <v>3</v>
      </c>
      <c r="D8" s="13" t="s">
        <v>83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258</v>
      </c>
    </row>
    <row r="9" spans="2:24" ht="13.8" x14ac:dyDescent="0.2">
      <c r="B9" s="8">
        <f t="shared" si="5"/>
        <v>4</v>
      </c>
      <c r="C9" s="10">
        <v>4</v>
      </c>
      <c r="D9" s="13"/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>
        <f t="shared" si="5"/>
        <v>5</v>
      </c>
      <c r="C10" s="10">
        <v>5</v>
      </c>
      <c r="D10" s="13"/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>
        <f t="shared" si="5"/>
        <v>6</v>
      </c>
      <c r="C11" s="10">
        <v>6</v>
      </c>
      <c r="D11" s="13" t="s">
        <v>2082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281</v>
      </c>
    </row>
    <row r="12" spans="2:24" ht="13.8" x14ac:dyDescent="0.2">
      <c r="B12" s="8">
        <f t="shared" si="5"/>
        <v>7</v>
      </c>
      <c r="C12" s="10">
        <v>7</v>
      </c>
      <c r="D12" s="13" t="s">
        <v>1186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6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259</v>
      </c>
    </row>
    <row r="13" spans="2:24" ht="13.8" x14ac:dyDescent="0.2">
      <c r="B13" s="8">
        <f t="shared" si="5"/>
        <v>8</v>
      </c>
      <c r="C13" s="10">
        <v>8</v>
      </c>
      <c r="D13" s="13" t="s">
        <v>84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260</v>
      </c>
    </row>
    <row r="14" spans="2:24" ht="13.8" x14ac:dyDescent="0.2">
      <c r="B14" s="8">
        <f t="shared" si="5"/>
        <v>9</v>
      </c>
      <c r="C14" s="10">
        <v>9</v>
      </c>
      <c r="D14" s="13" t="s">
        <v>2083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6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2127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72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261</v>
      </c>
    </row>
    <row r="17" spans="2:24" ht="13.8" x14ac:dyDescent="0.2">
      <c r="B17" s="8">
        <f t="shared" si="5"/>
        <v>12</v>
      </c>
      <c r="C17" s="10">
        <v>12</v>
      </c>
      <c r="D17" s="13" t="s">
        <v>992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2128</v>
      </c>
    </row>
    <row r="18" spans="2:24" ht="13.8" x14ac:dyDescent="0.2">
      <c r="B18" s="8">
        <f t="shared" si="5"/>
        <v>13</v>
      </c>
      <c r="C18" s="10">
        <v>13</v>
      </c>
      <c r="D18" s="13" t="s">
        <v>1678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2129</v>
      </c>
    </row>
    <row r="19" spans="2:24" ht="13.8" x14ac:dyDescent="0.2">
      <c r="B19" s="8">
        <f t="shared" si="5"/>
        <v>14</v>
      </c>
      <c r="C19" s="10">
        <v>14</v>
      </c>
      <c r="D19" s="13"/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/>
    </row>
    <row r="20" spans="2:24" ht="13.8" x14ac:dyDescent="0.2">
      <c r="B20" s="8">
        <f t="shared" si="5"/>
        <v>15</v>
      </c>
      <c r="C20" s="10">
        <v>15</v>
      </c>
      <c r="D20" s="8" t="s">
        <v>2084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2130</v>
      </c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5"/>
        <v>17</v>
      </c>
      <c r="C22" s="10">
        <v>17</v>
      </c>
      <c r="D22" s="13" t="s">
        <v>2085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1028</v>
      </c>
    </row>
    <row r="23" spans="2:24" ht="13.8" x14ac:dyDescent="0.2">
      <c r="B23" s="8">
        <f t="shared" si="5"/>
        <v>18</v>
      </c>
      <c r="C23" s="10">
        <v>18</v>
      </c>
      <c r="D23" s="13" t="s">
        <v>2086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2131</v>
      </c>
    </row>
    <row r="24" spans="2:24" ht="13.8" x14ac:dyDescent="0.2">
      <c r="B24" s="8">
        <f t="shared" si="5"/>
        <v>19</v>
      </c>
      <c r="C24" s="10">
        <v>19</v>
      </c>
      <c r="D24" s="13" t="s">
        <v>1319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1029</v>
      </c>
    </row>
    <row r="25" spans="2:24" ht="13.8" x14ac:dyDescent="0.2">
      <c r="B25" s="8">
        <f t="shared" si="5"/>
        <v>20</v>
      </c>
      <c r="C25" s="10">
        <v>20</v>
      </c>
      <c r="D25" s="13" t="s">
        <v>2087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2132</v>
      </c>
    </row>
    <row r="26" spans="2:24" ht="13.8" x14ac:dyDescent="0.2">
      <c r="B26" s="8">
        <f t="shared" si="5"/>
        <v>21</v>
      </c>
      <c r="C26" s="10">
        <v>21</v>
      </c>
      <c r="D26" s="13" t="s">
        <v>137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266</v>
      </c>
    </row>
    <row r="27" spans="2:24" ht="13.8" x14ac:dyDescent="0.2">
      <c r="B27" s="8">
        <f t="shared" si="5"/>
        <v>22</v>
      </c>
      <c r="C27" s="10">
        <v>22</v>
      </c>
      <c r="D27" s="13" t="s">
        <v>106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2133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5"/>
        <v>24</v>
      </c>
      <c r="C29" s="10">
        <v>24</v>
      </c>
      <c r="D29" s="13" t="s">
        <v>2088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267</v>
      </c>
    </row>
    <row r="30" spans="2:24" ht="13.8" x14ac:dyDescent="0.2">
      <c r="B30" s="8">
        <f t="shared" si="5"/>
        <v>25</v>
      </c>
      <c r="C30" s="10">
        <v>25</v>
      </c>
      <c r="D30" s="13" t="s">
        <v>138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268</v>
      </c>
    </row>
    <row r="31" spans="2:24" ht="13.8" x14ac:dyDescent="0.2">
      <c r="B31" s="8">
        <f t="shared" si="5"/>
        <v>26</v>
      </c>
      <c r="C31" s="10">
        <v>26</v>
      </c>
      <c r="D31" s="13" t="s">
        <v>2089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2134</v>
      </c>
    </row>
    <row r="32" spans="2:24" ht="13.8" x14ac:dyDescent="0.2">
      <c r="B32" s="8">
        <f t="shared" si="5"/>
        <v>27</v>
      </c>
      <c r="C32" s="10">
        <v>27</v>
      </c>
      <c r="D32" s="13" t="s">
        <v>2090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6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456</v>
      </c>
    </row>
    <row r="33" spans="2:24" ht="13.8" x14ac:dyDescent="0.2">
      <c r="B33" s="8">
        <f t="shared" si="5"/>
        <v>28</v>
      </c>
      <c r="C33" s="10">
        <v>28</v>
      </c>
      <c r="D33" s="13" t="s">
        <v>86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269</v>
      </c>
    </row>
    <row r="34" spans="2:24" ht="13.8" x14ac:dyDescent="0.2">
      <c r="B34" s="8">
        <f t="shared" si="5"/>
        <v>29</v>
      </c>
      <c r="C34" s="10">
        <v>29</v>
      </c>
      <c r="D34" s="13" t="s">
        <v>708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709</v>
      </c>
    </row>
    <row r="35" spans="2:24" ht="13.8" x14ac:dyDescent="0.2">
      <c r="B35" s="8">
        <f t="shared" si="5"/>
        <v>30</v>
      </c>
      <c r="C35" s="10">
        <v>30</v>
      </c>
      <c r="D35" s="13" t="s">
        <v>2091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2135</v>
      </c>
    </row>
    <row r="36" spans="2:24" ht="13.8" x14ac:dyDescent="0.2">
      <c r="B36" s="8">
        <f t="shared" si="5"/>
        <v>31</v>
      </c>
      <c r="C36" s="10">
        <v>31</v>
      </c>
      <c r="D36" s="13" t="s">
        <v>1069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1031</v>
      </c>
    </row>
    <row r="37" spans="2:24" ht="13.8" x14ac:dyDescent="0.2">
      <c r="B37" s="8">
        <f t="shared" si="5"/>
        <v>32</v>
      </c>
      <c r="C37" s="10">
        <v>32</v>
      </c>
      <c r="D37" s="13" t="s">
        <v>2092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1032</v>
      </c>
    </row>
    <row r="38" spans="2:24" ht="13.8" x14ac:dyDescent="0.2">
      <c r="B38" s="8">
        <f t="shared" si="5"/>
        <v>33</v>
      </c>
      <c r="C38" s="10">
        <v>33</v>
      </c>
      <c r="D38" s="13"/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5"/>
        <v>34</v>
      </c>
      <c r="C39" s="10">
        <v>34</v>
      </c>
      <c r="D39" s="13" t="s">
        <v>2093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2136</v>
      </c>
    </row>
    <row r="40" spans="2:24" ht="13.8" x14ac:dyDescent="0.2">
      <c r="B40" s="8">
        <f t="shared" si="5"/>
        <v>35</v>
      </c>
      <c r="C40" s="10">
        <v>35</v>
      </c>
      <c r="D40" s="13" t="s">
        <v>2094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2137</v>
      </c>
    </row>
    <row r="41" spans="2:24" ht="13.8" x14ac:dyDescent="0.2">
      <c r="B41" s="8">
        <f t="shared" si="5"/>
        <v>36</v>
      </c>
      <c r="C41" s="10">
        <v>36</v>
      </c>
      <c r="D41" s="13" t="s">
        <v>2095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2138</v>
      </c>
    </row>
    <row r="42" spans="2:24" ht="13.8" x14ac:dyDescent="0.2">
      <c r="B42" s="8">
        <f t="shared" si="5"/>
        <v>37</v>
      </c>
      <c r="C42" s="10">
        <v>37</v>
      </c>
      <c r="D42" s="13"/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6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5"/>
        <v>38</v>
      </c>
      <c r="C43" s="10">
        <v>38</v>
      </c>
      <c r="D43" s="13" t="s">
        <v>2096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368</v>
      </c>
    </row>
    <row r="44" spans="2:24" ht="13.8" x14ac:dyDescent="0.2">
      <c r="B44" s="8">
        <f t="shared" si="5"/>
        <v>39</v>
      </c>
      <c r="C44" s="10">
        <v>39</v>
      </c>
      <c r="D44" s="13" t="s">
        <v>2097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33</v>
      </c>
    </row>
    <row r="45" spans="2:24" ht="13.8" x14ac:dyDescent="0.2">
      <c r="B45" s="8">
        <f t="shared" si="5"/>
        <v>40</v>
      </c>
      <c r="C45" s="10">
        <v>40</v>
      </c>
      <c r="D45" s="13" t="s">
        <v>2098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2139</v>
      </c>
    </row>
    <row r="46" spans="2:24" ht="13.8" x14ac:dyDescent="0.2">
      <c r="B46" s="8">
        <f t="shared" si="5"/>
        <v>41</v>
      </c>
      <c r="C46" s="10">
        <v>41</v>
      </c>
      <c r="D46" s="13" t="s">
        <v>2099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430</v>
      </c>
    </row>
    <row r="47" spans="2:24" ht="13.8" x14ac:dyDescent="0.2">
      <c r="B47" s="8">
        <f t="shared" si="5"/>
        <v>42</v>
      </c>
      <c r="C47" s="10">
        <v>42</v>
      </c>
      <c r="D47" s="13" t="s">
        <v>2100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2140</v>
      </c>
    </row>
    <row r="48" spans="2:24" ht="13.8" x14ac:dyDescent="0.2">
      <c r="B48" s="8">
        <f t="shared" si="5"/>
        <v>43</v>
      </c>
      <c r="C48" s="10">
        <v>43</v>
      </c>
      <c r="D48" s="13" t="s">
        <v>87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271</v>
      </c>
    </row>
    <row r="49" spans="2:24" ht="13.8" x14ac:dyDescent="0.2">
      <c r="B49" s="8">
        <f t="shared" si="5"/>
        <v>44</v>
      </c>
      <c r="C49" s="10">
        <v>44</v>
      </c>
      <c r="D49" s="13" t="s">
        <v>519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1065</v>
      </c>
    </row>
    <row r="50" spans="2:24" ht="13.8" x14ac:dyDescent="0.2">
      <c r="B50" s="8">
        <f t="shared" si="5"/>
        <v>45</v>
      </c>
      <c r="C50" s="10">
        <v>45</v>
      </c>
      <c r="D50" s="13" t="s">
        <v>2101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2141</v>
      </c>
    </row>
    <row r="51" spans="2:24" ht="13.8" x14ac:dyDescent="0.2">
      <c r="B51" s="8">
        <f t="shared" si="5"/>
        <v>46</v>
      </c>
      <c r="C51" s="10">
        <v>46</v>
      </c>
      <c r="D51" s="13" t="s">
        <v>2102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2142</v>
      </c>
    </row>
    <row r="52" spans="2:24" ht="13.8" x14ac:dyDescent="0.2">
      <c r="B52" s="8">
        <f t="shared" si="5"/>
        <v>47</v>
      </c>
      <c r="C52" s="10">
        <v>47</v>
      </c>
      <c r="D52" s="13" t="s">
        <v>1220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272</v>
      </c>
    </row>
    <row r="53" spans="2:24" ht="13.8" x14ac:dyDescent="0.2">
      <c r="B53" s="8">
        <f t="shared" si="5"/>
        <v>48</v>
      </c>
      <c r="C53" s="10">
        <v>48</v>
      </c>
      <c r="D53" s="13" t="s">
        <v>1444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1030</v>
      </c>
    </row>
    <row r="54" spans="2:24" ht="13.8" x14ac:dyDescent="0.2">
      <c r="B54" s="8">
        <f t="shared" si="5"/>
        <v>49</v>
      </c>
      <c r="C54" s="10">
        <v>49</v>
      </c>
      <c r="D54" s="13" t="s">
        <v>520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2143</v>
      </c>
    </row>
    <row r="55" spans="2:24" ht="13.8" x14ac:dyDescent="0.2">
      <c r="B55" s="8">
        <f t="shared" si="5"/>
        <v>50</v>
      </c>
      <c r="C55" s="10">
        <v>50</v>
      </c>
      <c r="D55" s="13" t="s">
        <v>139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273</v>
      </c>
    </row>
    <row r="56" spans="2:24" ht="13.8" x14ac:dyDescent="0.2">
      <c r="B56" s="8">
        <f t="shared" si="5"/>
        <v>51</v>
      </c>
      <c r="C56" s="10">
        <v>51</v>
      </c>
      <c r="D56" s="13" t="s">
        <v>88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274</v>
      </c>
    </row>
    <row r="57" spans="2:24" ht="13.8" x14ac:dyDescent="0.2">
      <c r="B57" s="8">
        <f t="shared" si="5"/>
        <v>52</v>
      </c>
      <c r="C57" s="10">
        <v>52</v>
      </c>
      <c r="D57" s="13" t="s">
        <v>89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2144</v>
      </c>
    </row>
    <row r="58" spans="2:24" ht="13.8" x14ac:dyDescent="0.2">
      <c r="B58" s="8">
        <f t="shared" si="5"/>
        <v>53</v>
      </c>
      <c r="C58" s="10">
        <v>53</v>
      </c>
      <c r="D58" s="13" t="s">
        <v>1950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1034</v>
      </c>
    </row>
    <row r="59" spans="2:24" ht="13.8" x14ac:dyDescent="0.2">
      <c r="B59" s="8">
        <f t="shared" si="5"/>
        <v>54</v>
      </c>
      <c r="C59" s="10">
        <v>54</v>
      </c>
      <c r="D59" s="13" t="s">
        <v>2103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1035</v>
      </c>
    </row>
    <row r="60" spans="2:24" ht="13.8" x14ac:dyDescent="0.2">
      <c r="B60" s="8">
        <f t="shared" si="5"/>
        <v>55</v>
      </c>
      <c r="C60" s="10">
        <v>55</v>
      </c>
      <c r="D60" s="13" t="s">
        <v>2104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2104</v>
      </c>
    </row>
    <row r="61" spans="2:24" ht="13.8" x14ac:dyDescent="0.2">
      <c r="B61" s="8">
        <f t="shared" si="5"/>
        <v>56</v>
      </c>
      <c r="C61" s="10">
        <v>56</v>
      </c>
      <c r="D61" s="13" t="s">
        <v>53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275</v>
      </c>
    </row>
    <row r="62" spans="2:24" ht="13.8" x14ac:dyDescent="0.2">
      <c r="B62" s="8">
        <f t="shared" si="5"/>
        <v>57</v>
      </c>
      <c r="C62" s="10">
        <v>57</v>
      </c>
      <c r="D62" s="13" t="s">
        <v>90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276</v>
      </c>
    </row>
    <row r="63" spans="2:24" ht="13.8" x14ac:dyDescent="0.2">
      <c r="B63" s="8">
        <f t="shared" si="5"/>
        <v>58</v>
      </c>
      <c r="C63" s="10">
        <v>58</v>
      </c>
      <c r="D63" s="13" t="s">
        <v>91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277</v>
      </c>
    </row>
    <row r="64" spans="2:24" ht="13.8" x14ac:dyDescent="0.2">
      <c r="B64" s="8">
        <f t="shared" si="5"/>
        <v>59</v>
      </c>
      <c r="C64" s="10">
        <v>59</v>
      </c>
      <c r="D64" s="13" t="s">
        <v>522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2145</v>
      </c>
    </row>
    <row r="65" spans="2:24" ht="13.8" x14ac:dyDescent="0.2">
      <c r="B65" s="8">
        <f t="shared" si="5"/>
        <v>60</v>
      </c>
      <c r="C65" s="10">
        <v>60</v>
      </c>
      <c r="D65" s="13" t="s">
        <v>2105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6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2146</v>
      </c>
    </row>
    <row r="66" spans="2:24" ht="13.8" x14ac:dyDescent="0.2">
      <c r="B66" s="8">
        <f t="shared" si="5"/>
        <v>61</v>
      </c>
      <c r="C66" s="10">
        <v>61</v>
      </c>
      <c r="D66" s="13" t="s">
        <v>1311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6"/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1040</v>
      </c>
    </row>
    <row r="67" spans="2:24" ht="13.8" x14ac:dyDescent="0.2">
      <c r="B67" s="8">
        <f t="shared" si="5"/>
        <v>62</v>
      </c>
      <c r="C67" s="10">
        <v>62</v>
      </c>
      <c r="D67" s="13" t="s">
        <v>2106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278</v>
      </c>
    </row>
    <row r="68" spans="2:24" ht="13.8" x14ac:dyDescent="0.2">
      <c r="B68" s="8">
        <f t="shared" si="5"/>
        <v>63</v>
      </c>
      <c r="C68" s="10">
        <v>63</v>
      </c>
      <c r="D68" s="9" t="s">
        <v>114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279</v>
      </c>
    </row>
    <row r="69" spans="2:24" ht="13.8" x14ac:dyDescent="0.2">
      <c r="B69" s="8">
        <f t="shared" ref="B69:B104" si="9">IF(C69="","",C69)</f>
        <v>64</v>
      </c>
      <c r="C69" s="10">
        <v>64</v>
      </c>
      <c r="D69" s="13" t="s">
        <v>1141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1037</v>
      </c>
    </row>
    <row r="70" spans="2:24" ht="13.8" x14ac:dyDescent="0.2">
      <c r="B70" s="8">
        <f t="shared" si="9"/>
        <v>65</v>
      </c>
      <c r="C70" s="10">
        <v>65</v>
      </c>
      <c r="D70" s="9" t="s">
        <v>59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280</v>
      </c>
    </row>
    <row r="71" spans="2:24" ht="13.8" x14ac:dyDescent="0.2">
      <c r="B71" s="8">
        <f t="shared" si="9"/>
        <v>66</v>
      </c>
      <c r="C71" s="10">
        <v>66</v>
      </c>
      <c r="D71" s="13" t="s">
        <v>2107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1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2147</v>
      </c>
    </row>
    <row r="72" spans="2:24" ht="13.8" x14ac:dyDescent="0.2">
      <c r="B72" s="8">
        <f t="shared" si="9"/>
        <v>67</v>
      </c>
      <c r="C72" s="10">
        <v>67</v>
      </c>
      <c r="D72" s="13" t="s">
        <v>2108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1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1038</v>
      </c>
    </row>
    <row r="73" spans="2:24" ht="13.8" x14ac:dyDescent="0.2">
      <c r="B73" s="8">
        <f t="shared" si="9"/>
        <v>68</v>
      </c>
      <c r="C73" s="10">
        <v>68</v>
      </c>
      <c r="D73" s="13" t="s">
        <v>2109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1039</v>
      </c>
    </row>
    <row r="74" spans="2:24" ht="13.8" x14ac:dyDescent="0.2">
      <c r="B74" s="8">
        <f t="shared" si="9"/>
        <v>69</v>
      </c>
      <c r="C74" s="10">
        <v>69</v>
      </c>
      <c r="D74" s="13" t="s">
        <v>140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282</v>
      </c>
    </row>
    <row r="75" spans="2:24" ht="13.8" x14ac:dyDescent="0.2">
      <c r="B75" s="8">
        <f t="shared" si="9"/>
        <v>70</v>
      </c>
      <c r="C75" s="10">
        <v>70</v>
      </c>
      <c r="D75" s="8" t="s">
        <v>741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283</v>
      </c>
    </row>
    <row r="76" spans="2:24" ht="13.8" x14ac:dyDescent="0.2">
      <c r="B76" s="8">
        <f t="shared" si="9"/>
        <v>71</v>
      </c>
      <c r="C76" s="10">
        <v>71</v>
      </c>
      <c r="D76" s="8" t="s">
        <v>1429</v>
      </c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 t="s">
        <v>2148</v>
      </c>
    </row>
    <row r="77" spans="2:24" ht="13.8" x14ac:dyDescent="0.2">
      <c r="B77" s="8">
        <f t="shared" si="9"/>
        <v>72</v>
      </c>
      <c r="C77" s="10">
        <v>72</v>
      </c>
      <c r="D77" s="26" t="s">
        <v>2110</v>
      </c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 t="s">
        <v>2149</v>
      </c>
    </row>
    <row r="78" spans="2:24" ht="13.8" x14ac:dyDescent="0.2">
      <c r="B78" s="8">
        <f t="shared" si="9"/>
        <v>73</v>
      </c>
      <c r="C78" s="10">
        <v>73</v>
      </c>
      <c r="D78" s="8" t="s">
        <v>2111</v>
      </c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 t="s">
        <v>2150</v>
      </c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 t="s">
        <v>2112</v>
      </c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 t="s">
        <v>2151</v>
      </c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26" t="s">
        <v>2113</v>
      </c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1067</v>
      </c>
    </row>
    <row r="84" spans="2:24" ht="13.8" x14ac:dyDescent="0.2">
      <c r="B84" s="8">
        <f t="shared" si="9"/>
        <v>79</v>
      </c>
      <c r="C84" s="10">
        <v>79</v>
      </c>
      <c r="D84" s="9" t="s">
        <v>2114</v>
      </c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 t="s">
        <v>2152</v>
      </c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ref="B105:B119" si="14">IF(C105="","",C105)</f>
        <v>022</v>
      </c>
      <c r="C105" s="10" t="s">
        <v>764</v>
      </c>
      <c r="D105" s="9" t="s">
        <v>2115</v>
      </c>
      <c r="E105" s="11" t="str">
        <f t="shared" ref="E105:E119" si="15">IFERROR(IF(G105/F105=1,"1.00",G105/F105),"---")</f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284</v>
      </c>
    </row>
    <row r="106" spans="2:24" ht="13.8" x14ac:dyDescent="0.2">
      <c r="B106" s="8" t="str">
        <f t="shared" si="14"/>
        <v>029</v>
      </c>
      <c r="C106" s="10" t="s">
        <v>1244</v>
      </c>
      <c r="D106" s="9" t="s">
        <v>2116</v>
      </c>
      <c r="E106" s="11" t="str">
        <f t="shared" si="15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2153</v>
      </c>
    </row>
    <row r="107" spans="2:24" ht="13.8" x14ac:dyDescent="0.2">
      <c r="B107" s="8" t="str">
        <f t="shared" si="14"/>
        <v>061</v>
      </c>
      <c r="C107" s="10" t="s">
        <v>2117</v>
      </c>
      <c r="D107" s="9" t="s">
        <v>2118</v>
      </c>
      <c r="E107" s="11" t="str">
        <f t="shared" si="15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1036</v>
      </c>
    </row>
    <row r="108" spans="2:24" ht="13.8" x14ac:dyDescent="0.2">
      <c r="B108" s="8" t="str">
        <f t="shared" si="14"/>
        <v>079</v>
      </c>
      <c r="C108" s="10" t="s">
        <v>2119</v>
      </c>
      <c r="D108" s="9" t="s">
        <v>2120</v>
      </c>
      <c r="E108" s="11" t="str">
        <f t="shared" si="15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1068</v>
      </c>
    </row>
    <row r="109" spans="2:24" ht="13.8" x14ac:dyDescent="0.2">
      <c r="B109" s="8">
        <f t="shared" si="14"/>
        <v>122</v>
      </c>
      <c r="C109" s="10">
        <v>122</v>
      </c>
      <c r="D109" s="9" t="s">
        <v>2121</v>
      </c>
      <c r="E109" s="11" t="str">
        <f t="shared" si="15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2154</v>
      </c>
    </row>
    <row r="110" spans="2:24" ht="13.8" x14ac:dyDescent="0.2">
      <c r="B110" s="8">
        <f t="shared" si="14"/>
        <v>126</v>
      </c>
      <c r="C110" s="10">
        <v>126</v>
      </c>
      <c r="D110" s="9" t="s">
        <v>2122</v>
      </c>
      <c r="E110" s="11" t="str">
        <f t="shared" si="15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2155</v>
      </c>
    </row>
    <row r="111" spans="2:24" ht="13.8" x14ac:dyDescent="0.2">
      <c r="B111" s="8">
        <f t="shared" si="14"/>
        <v>129</v>
      </c>
      <c r="C111" s="10">
        <v>129</v>
      </c>
      <c r="D111" s="9" t="s">
        <v>2123</v>
      </c>
      <c r="E111" s="11" t="str">
        <f t="shared" si="15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2156</v>
      </c>
    </row>
    <row r="112" spans="2:24" ht="13.8" x14ac:dyDescent="0.2">
      <c r="B112" s="8">
        <f t="shared" si="14"/>
        <v>132</v>
      </c>
      <c r="C112" s="10">
        <v>132</v>
      </c>
      <c r="D112" s="9" t="s">
        <v>1158</v>
      </c>
      <c r="E112" s="11" t="str">
        <f t="shared" si="15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2157</v>
      </c>
    </row>
    <row r="113" spans="2:24" ht="13.8" x14ac:dyDescent="0.2">
      <c r="B113" s="8">
        <f t="shared" si="14"/>
        <v>133</v>
      </c>
      <c r="C113" s="10">
        <v>133</v>
      </c>
      <c r="D113" s="9" t="s">
        <v>2124</v>
      </c>
      <c r="E113" s="11" t="str">
        <f t="shared" si="15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2158</v>
      </c>
    </row>
    <row r="114" spans="2:24" ht="13.8" x14ac:dyDescent="0.2">
      <c r="B114" s="8">
        <f t="shared" si="14"/>
        <v>134</v>
      </c>
      <c r="C114" s="10">
        <v>134</v>
      </c>
      <c r="D114" s="9" t="s">
        <v>1805</v>
      </c>
      <c r="E114" s="11" t="str">
        <f t="shared" si="15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2159</v>
      </c>
    </row>
    <row r="115" spans="2:24" ht="13.8" x14ac:dyDescent="0.2">
      <c r="B115" s="8">
        <f t="shared" si="14"/>
        <v>197</v>
      </c>
      <c r="C115" s="10">
        <v>197</v>
      </c>
      <c r="D115" s="9" t="s">
        <v>2125</v>
      </c>
      <c r="E115" s="11" t="str">
        <f t="shared" si="15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2160</v>
      </c>
    </row>
    <row r="116" spans="2:24" ht="13.8" x14ac:dyDescent="0.2">
      <c r="B116" s="8">
        <f t="shared" si="14"/>
        <v>155</v>
      </c>
      <c r="C116" s="10">
        <v>155</v>
      </c>
      <c r="D116" s="9" t="s">
        <v>1159</v>
      </c>
      <c r="E116" s="11" t="str">
        <f t="shared" si="15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1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1044</v>
      </c>
    </row>
    <row r="117" spans="2:24" ht="13.8" x14ac:dyDescent="0.2">
      <c r="B117" s="8">
        <f t="shared" si="14"/>
        <v>144</v>
      </c>
      <c r="C117" s="10">
        <v>144</v>
      </c>
      <c r="D117" s="9" t="s">
        <v>1027</v>
      </c>
      <c r="E117" s="11" t="str">
        <f t="shared" si="15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1043</v>
      </c>
    </row>
    <row r="118" spans="2:24" ht="13.8" x14ac:dyDescent="0.2">
      <c r="B118" s="8">
        <f t="shared" si="14"/>
        <v>152</v>
      </c>
      <c r="C118" s="10">
        <v>152</v>
      </c>
      <c r="D118" s="9" t="s">
        <v>715</v>
      </c>
      <c r="E118" s="11" t="str">
        <f t="shared" si="15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518</v>
      </c>
    </row>
    <row r="119" spans="2:24" ht="13.8" x14ac:dyDescent="0.2">
      <c r="B119" s="8" t="str">
        <f t="shared" si="14"/>
        <v/>
      </c>
      <c r="C119" s="10"/>
      <c r="D119" s="9"/>
      <c r="E119" s="11" t="str">
        <f t="shared" si="15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1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ref="B120:B134" si="16">IF(C120="","",C120)</f>
        <v/>
      </c>
      <c r="C120" s="10"/>
      <c r="D120" s="9"/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1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6"/>
        <v/>
      </c>
      <c r="C121" s="10"/>
      <c r="D121" s="9"/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1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6"/>
        <v/>
      </c>
      <c r="C122" s="10"/>
      <c r="D122" s="9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6"/>
        <v/>
      </c>
      <c r="C123" s="10"/>
      <c r="D123" s="9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6"/>
        <v/>
      </c>
      <c r="C124" s="10"/>
      <c r="D124" s="9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6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6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6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6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6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6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6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6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6"/>
        <v/>
      </c>
      <c r="C133" s="10"/>
      <c r="D133" s="9"/>
      <c r="E133" s="11" t="str">
        <f t="shared" ref="E133:E134" si="17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8">((G133-H133-I133-J133)+(H133*2)+(I133*3)+(J133*4))</f>
        <v>0</v>
      </c>
      <c r="L133" s="7">
        <v>0</v>
      </c>
      <c r="M133" s="11">
        <f t="shared" ref="M133:M134" si="19">IFERROR(IF((G133+P133+Q133)/(F133+P133+Q133+S133)=1,"1.00",(G133+P133+Q133)/(F133+P133+Q133+S133)),0)</f>
        <v>0</v>
      </c>
      <c r="N133" s="11">
        <f t="shared" ref="N133:N134" si="20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7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8"/>
        <v>0</v>
      </c>
      <c r="L134" s="7">
        <v>0</v>
      </c>
      <c r="M134" s="11">
        <f t="shared" si="19"/>
        <v>0</v>
      </c>
      <c r="N134" s="11">
        <f t="shared" si="20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0AF25-FE52-4D28-A54D-53ED90C911E8}">
  <sheetPr codeName="Sheet1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525</v>
      </c>
      <c r="C3" s="55" t="s">
        <v>681</v>
      </c>
      <c r="D3" s="55" t="s">
        <v>682</v>
      </c>
      <c r="E3" s="56" t="s">
        <v>28</v>
      </c>
      <c r="F3" s="57" t="s">
        <v>0</v>
      </c>
      <c r="G3" s="54" t="s">
        <v>1</v>
      </c>
      <c r="H3" s="54" t="s">
        <v>253</v>
      </c>
      <c r="I3" s="54" t="s">
        <v>254</v>
      </c>
      <c r="J3" s="58" t="s">
        <v>683</v>
      </c>
      <c r="K3" s="54" t="s">
        <v>644</v>
      </c>
      <c r="L3" s="59" t="s">
        <v>2</v>
      </c>
      <c r="M3" s="60" t="s">
        <v>252</v>
      </c>
      <c r="N3" s="56" t="s">
        <v>255</v>
      </c>
      <c r="O3" s="61" t="s">
        <v>639</v>
      </c>
      <c r="P3" s="54" t="s">
        <v>150</v>
      </c>
      <c r="Q3" s="54" t="s">
        <v>151</v>
      </c>
      <c r="R3" s="54" t="s">
        <v>637</v>
      </c>
      <c r="S3" s="54" t="s">
        <v>638</v>
      </c>
      <c r="T3" s="54" t="s">
        <v>640</v>
      </c>
      <c r="U3" s="54" t="s">
        <v>641</v>
      </c>
      <c r="V3" s="54" t="s">
        <v>642</v>
      </c>
      <c r="W3" s="54" t="s">
        <v>643</v>
      </c>
      <c r="X3" s="158"/>
    </row>
    <row r="4" spans="2:24" ht="13.8" x14ac:dyDescent="0.2">
      <c r="B4" s="8">
        <v>1</v>
      </c>
      <c r="C4" s="10">
        <v>18</v>
      </c>
      <c r="D4" s="13" t="s">
        <v>147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215</v>
      </c>
    </row>
    <row r="5" spans="2:24" ht="13.8" x14ac:dyDescent="0.2">
      <c r="B5" s="8">
        <v>2</v>
      </c>
      <c r="C5" s="10">
        <v>13</v>
      </c>
      <c r="D5" s="13" t="s">
        <v>469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412</v>
      </c>
    </row>
    <row r="6" spans="2:24" ht="13.8" x14ac:dyDescent="0.2">
      <c r="B6" s="8">
        <v>3</v>
      </c>
      <c r="C6" s="10">
        <v>75</v>
      </c>
      <c r="D6" s="13" t="s">
        <v>780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780</v>
      </c>
    </row>
    <row r="7" spans="2:24" ht="13.8" x14ac:dyDescent="0.2">
      <c r="B7" s="8">
        <v>4</v>
      </c>
      <c r="C7" s="10">
        <v>17</v>
      </c>
      <c r="D7" s="13" t="s">
        <v>12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392</v>
      </c>
    </row>
    <row r="8" spans="2:24" ht="13.8" x14ac:dyDescent="0.2">
      <c r="B8" s="8">
        <v>5</v>
      </c>
      <c r="C8" s="10">
        <v>20</v>
      </c>
      <c r="D8" s="13" t="s">
        <v>103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694</v>
      </c>
    </row>
    <row r="9" spans="2:24" ht="13.8" x14ac:dyDescent="0.2">
      <c r="B9" s="8">
        <v>6</v>
      </c>
      <c r="C9" s="10">
        <v>47</v>
      </c>
      <c r="D9" s="13" t="s">
        <v>45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717</v>
      </c>
    </row>
    <row r="10" spans="2:24" ht="13.8" x14ac:dyDescent="0.2">
      <c r="B10" s="8">
        <v>7</v>
      </c>
      <c r="C10" s="10">
        <v>49</v>
      </c>
      <c r="D10" s="13" t="s">
        <v>44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44</v>
      </c>
    </row>
    <row r="11" spans="2:24" ht="13.8" x14ac:dyDescent="0.2">
      <c r="B11" s="8">
        <v>8</v>
      </c>
      <c r="C11" s="10">
        <v>53</v>
      </c>
      <c r="D11" s="13" t="s">
        <v>21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712</v>
      </c>
    </row>
    <row r="12" spans="2:24" ht="13.8" x14ac:dyDescent="0.2">
      <c r="B12" s="8">
        <v>9</v>
      </c>
      <c r="C12" s="10">
        <v>50</v>
      </c>
      <c r="D12" s="13" t="s">
        <v>167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427</v>
      </c>
    </row>
    <row r="13" spans="2:24" ht="13.8" x14ac:dyDescent="0.2">
      <c r="B13" s="8">
        <v>10</v>
      </c>
      <c r="C13" s="10">
        <v>16</v>
      </c>
      <c r="D13" s="13" t="s">
        <v>511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509</v>
      </c>
    </row>
    <row r="14" spans="2:24" ht="13.8" x14ac:dyDescent="0.2">
      <c r="B14" s="8">
        <v>11</v>
      </c>
      <c r="C14" s="10">
        <v>17</v>
      </c>
      <c r="D14" s="13" t="s">
        <v>10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452</v>
      </c>
    </row>
    <row r="15" spans="2:24" ht="13.8" x14ac:dyDescent="0.2">
      <c r="B15" s="8">
        <v>12</v>
      </c>
      <c r="C15" s="10">
        <v>19</v>
      </c>
      <c r="D15" s="13" t="s">
        <v>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453</v>
      </c>
    </row>
    <row r="16" spans="2:24" ht="13.8" x14ac:dyDescent="0.2">
      <c r="B16" s="8">
        <v>13</v>
      </c>
      <c r="C16" s="10">
        <v>20</v>
      </c>
      <c r="D16" s="13" t="s">
        <v>148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216</v>
      </c>
    </row>
    <row r="17" spans="2:24" ht="13.8" x14ac:dyDescent="0.2">
      <c r="B17" s="8">
        <v>14</v>
      </c>
      <c r="C17" s="10">
        <v>17</v>
      </c>
      <c r="D17" s="13" t="s">
        <v>738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499</v>
      </c>
    </row>
    <row r="18" spans="2:24" ht="13.8" x14ac:dyDescent="0.2">
      <c r="B18" s="8">
        <v>15</v>
      </c>
      <c r="C18" s="10">
        <v>37</v>
      </c>
      <c r="D18" s="13" t="s">
        <v>178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178</v>
      </c>
    </row>
    <row r="19" spans="2:24" ht="13.8" x14ac:dyDescent="0.2">
      <c r="B19" s="8">
        <v>16</v>
      </c>
      <c r="C19" s="10">
        <v>2</v>
      </c>
      <c r="D19" s="13" t="s">
        <v>155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152</v>
      </c>
    </row>
    <row r="20" spans="2:24" ht="13.8" x14ac:dyDescent="0.2">
      <c r="B20" s="8">
        <v>17</v>
      </c>
      <c r="C20" s="10">
        <v>35</v>
      </c>
      <c r="D20" s="8" t="s">
        <v>13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397</v>
      </c>
    </row>
    <row r="21" spans="2:24" ht="13.8" x14ac:dyDescent="0.2">
      <c r="B21" s="8">
        <v>18</v>
      </c>
      <c r="C21" s="10">
        <v>2</v>
      </c>
      <c r="D21" s="13" t="s">
        <v>1073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500</v>
      </c>
    </row>
    <row r="22" spans="2:24" ht="13.8" x14ac:dyDescent="0.2">
      <c r="B22" s="8">
        <v>19</v>
      </c>
      <c r="C22" s="10">
        <v>31</v>
      </c>
      <c r="D22" s="13" t="s">
        <v>153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153</v>
      </c>
    </row>
    <row r="23" spans="2:24" ht="13.8" x14ac:dyDescent="0.2">
      <c r="B23" s="8">
        <v>20</v>
      </c>
      <c r="C23" s="10">
        <v>66</v>
      </c>
      <c r="D23" s="13" t="s">
        <v>52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52</v>
      </c>
    </row>
    <row r="24" spans="2:24" ht="13.8" x14ac:dyDescent="0.2">
      <c r="B24" s="8">
        <v>21</v>
      </c>
      <c r="C24" s="10">
        <v>1</v>
      </c>
      <c r="D24" s="13" t="s">
        <v>1071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498</v>
      </c>
    </row>
    <row r="25" spans="2:24" ht="13.8" x14ac:dyDescent="0.2">
      <c r="B25" s="8">
        <v>22</v>
      </c>
      <c r="C25" s="10">
        <v>33</v>
      </c>
      <c r="D25" s="13" t="s">
        <v>149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203</v>
      </c>
    </row>
    <row r="26" spans="2:24" ht="13.8" x14ac:dyDescent="0.2">
      <c r="B26" s="8">
        <v>23</v>
      </c>
      <c r="C26" s="10">
        <v>55</v>
      </c>
      <c r="D26" s="13" t="s">
        <v>789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501</v>
      </c>
    </row>
    <row r="27" spans="2:24" ht="13.8" x14ac:dyDescent="0.2">
      <c r="B27" s="8">
        <v>24</v>
      </c>
      <c r="C27" s="10">
        <v>25</v>
      </c>
      <c r="D27" s="13" t="s">
        <v>697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698</v>
      </c>
    </row>
    <row r="28" spans="2:24" ht="13.8" x14ac:dyDescent="0.2">
      <c r="B28" s="8">
        <v>25</v>
      </c>
      <c r="C28" s="10">
        <v>51</v>
      </c>
      <c r="D28" s="13" t="s">
        <v>168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428</v>
      </c>
    </row>
    <row r="29" spans="2:24" ht="13.8" x14ac:dyDescent="0.2">
      <c r="B29" s="8">
        <v>26</v>
      </c>
      <c r="C29" s="10">
        <v>6</v>
      </c>
      <c r="D29" s="13" t="s">
        <v>968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687</v>
      </c>
    </row>
    <row r="30" spans="2:24" ht="13.8" x14ac:dyDescent="0.2">
      <c r="B30" s="8">
        <v>27</v>
      </c>
      <c r="C30" s="10">
        <v>8</v>
      </c>
      <c r="D30" s="13" t="s">
        <v>159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411</v>
      </c>
    </row>
    <row r="31" spans="2:24" ht="13.8" x14ac:dyDescent="0.2">
      <c r="B31" s="8">
        <v>28</v>
      </c>
      <c r="C31" s="10">
        <v>5</v>
      </c>
      <c r="D31" s="13" t="s">
        <v>158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410</v>
      </c>
    </row>
    <row r="32" spans="2:24" ht="13.8" x14ac:dyDescent="0.2">
      <c r="B32" s="8">
        <v>29</v>
      </c>
      <c r="C32" s="10">
        <v>1</v>
      </c>
      <c r="D32" s="13" t="s">
        <v>146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198</v>
      </c>
    </row>
    <row r="33" spans="2:24" ht="13.8" x14ac:dyDescent="0.2">
      <c r="B33" s="8">
        <v>30</v>
      </c>
      <c r="C33" s="10">
        <v>48</v>
      </c>
      <c r="D33" s="13" t="s">
        <v>105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105</v>
      </c>
    </row>
    <row r="34" spans="2:24" ht="13.8" x14ac:dyDescent="0.2">
      <c r="B34" s="8">
        <v>31</v>
      </c>
      <c r="C34" s="10">
        <v>8</v>
      </c>
      <c r="D34" s="13" t="s">
        <v>14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390</v>
      </c>
    </row>
    <row r="35" spans="2:24" ht="13.8" x14ac:dyDescent="0.2">
      <c r="B35" s="8">
        <v>32</v>
      </c>
      <c r="C35" s="10">
        <v>7</v>
      </c>
      <c r="D35" s="13" t="s">
        <v>113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445</v>
      </c>
    </row>
    <row r="36" spans="2:24" ht="13.8" x14ac:dyDescent="0.2">
      <c r="B36" s="8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v>44</v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v>72</v>
      </c>
      <c r="C75" s="10"/>
      <c r="D75" s="8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v>73</v>
      </c>
      <c r="C76" s="10"/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v>79</v>
      </c>
      <c r="C82" s="10"/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v>80</v>
      </c>
      <c r="C83" s="10"/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v>81</v>
      </c>
      <c r="C84" s="10"/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v>90</v>
      </c>
      <c r="C93" s="10"/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v>92</v>
      </c>
      <c r="C95" s="10"/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v>93</v>
      </c>
      <c r="C96" s="10"/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v>97</v>
      </c>
      <c r="C100" s="10"/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2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2C13-4846-4628-9274-6DC020400C9D}">
  <sheetPr codeName="Sheet18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525</v>
      </c>
      <c r="C3" s="55" t="s">
        <v>681</v>
      </c>
      <c r="D3" s="55" t="s">
        <v>682</v>
      </c>
      <c r="E3" s="56" t="s">
        <v>28</v>
      </c>
      <c r="F3" s="57" t="s">
        <v>0</v>
      </c>
      <c r="G3" s="54" t="s">
        <v>1</v>
      </c>
      <c r="H3" s="54" t="s">
        <v>253</v>
      </c>
      <c r="I3" s="54" t="s">
        <v>254</v>
      </c>
      <c r="J3" s="58" t="s">
        <v>683</v>
      </c>
      <c r="K3" s="54" t="s">
        <v>644</v>
      </c>
      <c r="L3" s="59" t="s">
        <v>2</v>
      </c>
      <c r="M3" s="60" t="s">
        <v>252</v>
      </c>
      <c r="N3" s="56" t="s">
        <v>255</v>
      </c>
      <c r="O3" s="61" t="s">
        <v>639</v>
      </c>
      <c r="P3" s="54" t="s">
        <v>150</v>
      </c>
      <c r="Q3" s="54" t="s">
        <v>151</v>
      </c>
      <c r="R3" s="54" t="s">
        <v>637</v>
      </c>
      <c r="S3" s="54" t="s">
        <v>638</v>
      </c>
      <c r="T3" s="54" t="s">
        <v>640</v>
      </c>
      <c r="U3" s="54" t="s">
        <v>641</v>
      </c>
      <c r="V3" s="54" t="s">
        <v>642</v>
      </c>
      <c r="W3" s="54" t="s">
        <v>643</v>
      </c>
      <c r="X3" s="158"/>
    </row>
    <row r="4" spans="2:24" ht="13.8" x14ac:dyDescent="0.2">
      <c r="B4" s="10">
        <v>1</v>
      </c>
      <c r="C4" s="10">
        <v>13</v>
      </c>
      <c r="D4" s="13" t="s">
        <v>751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288</v>
      </c>
    </row>
    <row r="5" spans="2:24" ht="13.8" x14ac:dyDescent="0.2">
      <c r="B5" s="10">
        <v>2</v>
      </c>
      <c r="C5" s="10">
        <v>61</v>
      </c>
      <c r="D5" s="13" t="s">
        <v>802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353</v>
      </c>
    </row>
    <row r="6" spans="2:24" ht="13.8" x14ac:dyDescent="0.2">
      <c r="B6" s="10">
        <v>3</v>
      </c>
      <c r="C6" s="10">
        <v>1</v>
      </c>
      <c r="D6" s="13" t="s">
        <v>504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256</v>
      </c>
    </row>
    <row r="7" spans="2:24" ht="13.8" x14ac:dyDescent="0.2">
      <c r="B7" s="10">
        <v>4</v>
      </c>
      <c r="C7" s="10">
        <v>18</v>
      </c>
      <c r="D7" s="13" t="s">
        <v>1074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290</v>
      </c>
    </row>
    <row r="8" spans="2:24" ht="13.8" x14ac:dyDescent="0.2">
      <c r="B8" s="10">
        <v>5</v>
      </c>
      <c r="C8" s="10">
        <v>11</v>
      </c>
      <c r="D8" s="13" t="s">
        <v>54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361</v>
      </c>
    </row>
    <row r="9" spans="2:24" ht="13.8" x14ac:dyDescent="0.2">
      <c r="B9" s="10">
        <v>6</v>
      </c>
      <c r="C9" s="10">
        <v>11</v>
      </c>
      <c r="D9" s="13" t="s">
        <v>800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92</v>
      </c>
    </row>
    <row r="10" spans="2:24" ht="13.8" x14ac:dyDescent="0.2">
      <c r="B10" s="10">
        <v>7</v>
      </c>
      <c r="C10" s="10">
        <v>52</v>
      </c>
      <c r="D10" s="13" t="s">
        <v>587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325</v>
      </c>
    </row>
    <row r="11" spans="2:24" ht="13.8" x14ac:dyDescent="0.2">
      <c r="B11" s="10">
        <v>8</v>
      </c>
      <c r="C11" s="10">
        <v>11</v>
      </c>
      <c r="D11" s="13" t="s">
        <v>933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340</v>
      </c>
    </row>
    <row r="12" spans="2:24" ht="13.8" x14ac:dyDescent="0.2">
      <c r="B12" s="10">
        <v>9</v>
      </c>
      <c r="C12" s="10">
        <v>17</v>
      </c>
      <c r="D12" s="13" t="s">
        <v>799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342</v>
      </c>
    </row>
    <row r="13" spans="2:24" ht="13.8" x14ac:dyDescent="0.2">
      <c r="B13" s="10">
        <v>10</v>
      </c>
      <c r="C13" s="10">
        <v>14</v>
      </c>
      <c r="D13" s="13" t="s">
        <v>85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263</v>
      </c>
    </row>
    <row r="14" spans="2:24" ht="13.8" x14ac:dyDescent="0.2">
      <c r="B14" s="10">
        <v>11</v>
      </c>
      <c r="C14" s="10">
        <v>18</v>
      </c>
      <c r="D14" s="13" t="s">
        <v>967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265</v>
      </c>
    </row>
    <row r="15" spans="2:24" ht="13.8" x14ac:dyDescent="0.2">
      <c r="B15" s="10">
        <v>12</v>
      </c>
      <c r="C15" s="10">
        <v>43</v>
      </c>
      <c r="D15" s="13" t="s">
        <v>87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271</v>
      </c>
    </row>
    <row r="16" spans="2:24" ht="13.8" x14ac:dyDescent="0.2">
      <c r="B16" s="10">
        <v>13</v>
      </c>
      <c r="C16" s="10">
        <v>15</v>
      </c>
      <c r="D16" s="13" t="s">
        <v>76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231</v>
      </c>
    </row>
    <row r="17" spans="2:24" ht="13.8" x14ac:dyDescent="0.2">
      <c r="B17" s="10">
        <v>14</v>
      </c>
      <c r="C17" s="10">
        <v>10</v>
      </c>
      <c r="D17" s="13" t="s">
        <v>1076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339</v>
      </c>
    </row>
    <row r="18" spans="2:24" ht="13.8" x14ac:dyDescent="0.2">
      <c r="B18" s="10">
        <v>15</v>
      </c>
      <c r="C18" s="10">
        <v>19</v>
      </c>
      <c r="D18" s="13" t="s">
        <v>55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363</v>
      </c>
    </row>
    <row r="19" spans="2:24" ht="13.8" x14ac:dyDescent="0.2">
      <c r="B19" s="10">
        <v>16</v>
      </c>
      <c r="C19" s="10">
        <v>31</v>
      </c>
      <c r="D19" s="13" t="s">
        <v>512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510</v>
      </c>
    </row>
    <row r="20" spans="2:24" ht="13.8" x14ac:dyDescent="0.2">
      <c r="B20" s="10">
        <v>17</v>
      </c>
      <c r="C20" s="10">
        <v>3</v>
      </c>
      <c r="D20" s="13" t="s">
        <v>877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335</v>
      </c>
    </row>
    <row r="21" spans="2:24" ht="13.8" x14ac:dyDescent="0.2">
      <c r="B21" s="10">
        <v>18</v>
      </c>
      <c r="C21" s="10">
        <v>3</v>
      </c>
      <c r="D21" s="13" t="s">
        <v>83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258</v>
      </c>
    </row>
    <row r="22" spans="2:24" ht="13.8" x14ac:dyDescent="0.2">
      <c r="B22" s="10">
        <v>19</v>
      </c>
      <c r="C22" s="10">
        <v>60</v>
      </c>
      <c r="D22" s="13" t="s">
        <v>467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352</v>
      </c>
    </row>
    <row r="23" spans="2:24" ht="13.8" x14ac:dyDescent="0.2">
      <c r="B23" s="10">
        <v>20</v>
      </c>
      <c r="C23" s="10">
        <v>5</v>
      </c>
      <c r="D23" s="13" t="s">
        <v>1026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357</v>
      </c>
    </row>
    <row r="24" spans="2:24" ht="13.8" x14ac:dyDescent="0.2">
      <c r="B24" s="10">
        <v>21</v>
      </c>
      <c r="C24" s="10">
        <v>6</v>
      </c>
      <c r="D24" s="13" t="s">
        <v>41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338</v>
      </c>
    </row>
    <row r="25" spans="2:24" ht="13.8" x14ac:dyDescent="0.2">
      <c r="B25" s="10">
        <v>22</v>
      </c>
      <c r="C25" s="10">
        <v>8</v>
      </c>
      <c r="D25" s="13" t="s">
        <v>668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313</v>
      </c>
    </row>
    <row r="26" spans="2:24" ht="13.8" x14ac:dyDescent="0.2">
      <c r="B26" s="10">
        <v>23</v>
      </c>
      <c r="C26" s="10">
        <v>39</v>
      </c>
      <c r="D26" s="13" t="s">
        <v>32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349</v>
      </c>
    </row>
    <row r="27" spans="2:24" ht="13.8" x14ac:dyDescent="0.2">
      <c r="B27" s="10">
        <v>24</v>
      </c>
      <c r="C27" s="10">
        <v>0</v>
      </c>
      <c r="D27" s="13" t="s">
        <v>805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81</v>
      </c>
    </row>
    <row r="28" spans="2:24" ht="13.8" x14ac:dyDescent="0.2">
      <c r="B28" s="10">
        <v>25</v>
      </c>
      <c r="C28" s="10">
        <v>34</v>
      </c>
      <c r="D28" s="13" t="s">
        <v>523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766</v>
      </c>
    </row>
    <row r="29" spans="2:24" ht="13.8" x14ac:dyDescent="0.2">
      <c r="B29" s="10">
        <v>26</v>
      </c>
      <c r="C29" s="10">
        <v>9</v>
      </c>
      <c r="D29" s="13" t="s">
        <v>38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360</v>
      </c>
    </row>
    <row r="30" spans="2:24" ht="13.8" x14ac:dyDescent="0.2">
      <c r="B30" s="10">
        <v>27</v>
      </c>
      <c r="C30" s="10">
        <v>79</v>
      </c>
      <c r="D30" s="13" t="s">
        <v>130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130</v>
      </c>
    </row>
    <row r="31" spans="2:24" ht="13.8" x14ac:dyDescent="0.2">
      <c r="B31" s="10">
        <v>28</v>
      </c>
      <c r="C31" s="10">
        <v>0</v>
      </c>
      <c r="D31" s="13" t="s">
        <v>94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309</v>
      </c>
    </row>
    <row r="32" spans="2:24" ht="13.8" x14ac:dyDescent="0.2">
      <c r="B32" s="10">
        <v>29</v>
      </c>
      <c r="C32" s="10">
        <v>35</v>
      </c>
      <c r="D32" s="13" t="s">
        <v>662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270</v>
      </c>
    </row>
    <row r="33" spans="2:24" ht="13.8" x14ac:dyDescent="0.2">
      <c r="B33" s="10">
        <v>30</v>
      </c>
      <c r="C33" s="10">
        <v>8</v>
      </c>
      <c r="D33" s="13" t="s">
        <v>1075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225</v>
      </c>
    </row>
    <row r="34" spans="2:24" ht="13.8" x14ac:dyDescent="0.2">
      <c r="B34" s="10">
        <v>31</v>
      </c>
      <c r="C34" s="10">
        <v>99</v>
      </c>
      <c r="D34" s="9" t="s">
        <v>69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61</v>
      </c>
    </row>
    <row r="35" spans="2:24" ht="13.8" x14ac:dyDescent="0.2">
      <c r="B35" s="10">
        <v>32</v>
      </c>
      <c r="C35" s="10">
        <v>54</v>
      </c>
      <c r="D35" s="13" t="s">
        <v>127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127</v>
      </c>
    </row>
    <row r="36" spans="2:24" ht="13.8" x14ac:dyDescent="0.2">
      <c r="B36" s="10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10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10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10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10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10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10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10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10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10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10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10">
        <v>44</v>
      </c>
      <c r="C47" s="10"/>
      <c r="D47" s="8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10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10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10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10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10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10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10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10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10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10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10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10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10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10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10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10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10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10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10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10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10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10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10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10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10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10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10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10">
        <v>72</v>
      </c>
      <c r="C75" s="10"/>
      <c r="D75" s="9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10">
        <v>73</v>
      </c>
      <c r="C76" s="10"/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10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10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10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10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10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10">
        <v>79</v>
      </c>
      <c r="C82" s="10"/>
      <c r="D82" s="8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10">
        <v>80</v>
      </c>
      <c r="C83" s="10"/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10">
        <v>81</v>
      </c>
      <c r="C84" s="10"/>
      <c r="D84" s="8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10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10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10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10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10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10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10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10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10">
        <v>90</v>
      </c>
      <c r="C93" s="10"/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10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10">
        <v>92</v>
      </c>
      <c r="C95" s="10"/>
      <c r="D95" s="8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10">
        <v>93</v>
      </c>
      <c r="C96" s="10"/>
      <c r="D96" s="9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10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10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10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10">
        <v>97</v>
      </c>
      <c r="C100" s="10"/>
      <c r="D100" s="8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10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10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4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2"/>
        <v/>
      </c>
      <c r="C133" s="10"/>
      <c r="D133" s="9"/>
      <c r="E133" s="11" t="str">
        <f t="shared" ref="E133:E134" si="14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5">IFERROR(IF((G133+P133+Q133)/(F133+P133+Q133+S133)=1,"1.00",(G133+P133+Q133)/(F133+P133+Q133+S133)),0)</f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2"/>
        <v/>
      </c>
      <c r="C134" s="10"/>
      <c r="D134" s="9"/>
      <c r="E134" s="11" t="str">
        <f t="shared" si="14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1FBD-8AF4-4C84-AE92-F2A2E40CC0C7}">
  <sheetPr codeName="Sheet15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0.30081300813008133</v>
      </c>
      <c r="F2" s="5">
        <f t="shared" ref="F2:J2" si="0">SUM(F4:F104)</f>
        <v>123</v>
      </c>
      <c r="G2" s="5">
        <f t="shared" si="0"/>
        <v>37</v>
      </c>
      <c r="H2" s="5">
        <f t="shared" si="0"/>
        <v>6</v>
      </c>
      <c r="I2" s="5">
        <f t="shared" si="0"/>
        <v>0</v>
      </c>
      <c r="J2" s="6">
        <f t="shared" si="0"/>
        <v>8</v>
      </c>
      <c r="K2" s="12">
        <f t="shared" ref="K2:K65" si="1">((G2-H2-I2-J2)+(H2*2)+(I2*3)+(J2*4))</f>
        <v>67</v>
      </c>
      <c r="L2" s="7">
        <f t="shared" ref="L2" si="2">SUM(L4:L104)</f>
        <v>33</v>
      </c>
      <c r="M2" s="11">
        <f t="shared" ref="M2:M4" si="3">IFERROR(IF((G2+P2+Q2)/(F2+P2+Q2+S2)=1,"1.00",(G2+P2+Q2)/(F2+P2+Q2+S2)),0)</f>
        <v>0.44155844155844154</v>
      </c>
      <c r="N2" s="11">
        <f>IF(F2=0,IF(M2="1.00","1.000",M2),SUM(ROUND(K2/F2,3),M2))</f>
        <v>0.98655844155844163</v>
      </c>
      <c r="O2" s="5">
        <f>SUM(O4:O104)</f>
        <v>19</v>
      </c>
      <c r="P2" s="5">
        <f>SUM(P4:P104)</f>
        <v>29</v>
      </c>
      <c r="Q2" s="5">
        <f>SUM(Q4:Q104)</f>
        <v>2</v>
      </c>
      <c r="R2" s="5">
        <f>SUM(R4:R104)</f>
        <v>3</v>
      </c>
      <c r="S2" s="5">
        <f>SUM(S4:S104)</f>
        <v>0</v>
      </c>
      <c r="T2" s="5">
        <f t="shared" ref="T2:V2" si="4">SUM(T4:T104)</f>
        <v>4</v>
      </c>
      <c r="U2" s="5">
        <f t="shared" si="4"/>
        <v>2</v>
      </c>
      <c r="V2" s="5">
        <f t="shared" si="4"/>
        <v>2</v>
      </c>
      <c r="W2" s="20">
        <f>IFERROR(CalcRC27(F2,G2,K2,O2,P2,Q2,R2,S2,T2,U2,V2),"-")</f>
        <v>8.7578409697965878</v>
      </c>
      <c r="X2" s="158" t="s">
        <v>145</v>
      </c>
    </row>
    <row r="3" spans="2:24" x14ac:dyDescent="0.2">
      <c r="B3" s="54" t="s">
        <v>525</v>
      </c>
      <c r="C3" s="55" t="s">
        <v>681</v>
      </c>
      <c r="D3" s="55" t="s">
        <v>682</v>
      </c>
      <c r="E3" s="56" t="s">
        <v>28</v>
      </c>
      <c r="F3" s="57" t="s">
        <v>0</v>
      </c>
      <c r="G3" s="54" t="s">
        <v>1</v>
      </c>
      <c r="H3" s="54" t="s">
        <v>253</v>
      </c>
      <c r="I3" s="54" t="s">
        <v>254</v>
      </c>
      <c r="J3" s="58" t="s">
        <v>683</v>
      </c>
      <c r="K3" s="54" t="s">
        <v>644</v>
      </c>
      <c r="L3" s="59" t="s">
        <v>2</v>
      </c>
      <c r="M3" s="60" t="s">
        <v>252</v>
      </c>
      <c r="N3" s="56" t="s">
        <v>255</v>
      </c>
      <c r="O3" s="61" t="s">
        <v>639</v>
      </c>
      <c r="P3" s="54" t="s">
        <v>150</v>
      </c>
      <c r="Q3" s="54" t="s">
        <v>151</v>
      </c>
      <c r="R3" s="54" t="s">
        <v>637</v>
      </c>
      <c r="S3" s="54" t="s">
        <v>638</v>
      </c>
      <c r="T3" s="54" t="s">
        <v>640</v>
      </c>
      <c r="U3" s="54" t="s">
        <v>641</v>
      </c>
      <c r="V3" s="54" t="s">
        <v>642</v>
      </c>
      <c r="W3" s="54" t="s">
        <v>643</v>
      </c>
      <c r="X3" s="158"/>
    </row>
    <row r="4" spans="2:24" ht="13.8" x14ac:dyDescent="0.2">
      <c r="B4" s="8">
        <f>IF(C4="","",C4)</f>
        <v>13</v>
      </c>
      <c r="C4" s="10">
        <v>13</v>
      </c>
      <c r="D4" s="13" t="s">
        <v>751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288</v>
      </c>
    </row>
    <row r="5" spans="2:24" ht="13.8" x14ac:dyDescent="0.2">
      <c r="B5" s="8">
        <f t="shared" ref="B5:B68" si="6">IF(C5="","",C5)</f>
        <v>14</v>
      </c>
      <c r="C5" s="10">
        <v>14</v>
      </c>
      <c r="D5" s="13" t="s">
        <v>1337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232</v>
      </c>
    </row>
    <row r="6" spans="2:24" ht="13.8" x14ac:dyDescent="0.2">
      <c r="B6" s="8">
        <f t="shared" si="6"/>
        <v>17</v>
      </c>
      <c r="C6" s="10">
        <v>17</v>
      </c>
      <c r="D6" s="13" t="s">
        <v>658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2171</v>
      </c>
    </row>
    <row r="7" spans="2:24" ht="13.8" x14ac:dyDescent="0.2">
      <c r="B7" s="8">
        <f t="shared" si="6"/>
        <v>18</v>
      </c>
      <c r="C7" s="10">
        <v>18</v>
      </c>
      <c r="D7" s="13" t="s">
        <v>1439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290</v>
      </c>
    </row>
    <row r="8" spans="2:24" ht="13.8" x14ac:dyDescent="0.2">
      <c r="B8" s="8">
        <f t="shared" si="6"/>
        <v>19</v>
      </c>
      <c r="C8" s="10">
        <v>19</v>
      </c>
      <c r="D8" s="13" t="s">
        <v>2170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693</v>
      </c>
    </row>
    <row r="9" spans="2:24" ht="13.8" x14ac:dyDescent="0.2">
      <c r="B9" s="8">
        <f t="shared" si="6"/>
        <v>22</v>
      </c>
      <c r="C9" s="10">
        <v>22</v>
      </c>
      <c r="D9" s="13" t="s">
        <v>1750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1817</v>
      </c>
    </row>
    <row r="10" spans="2:24" ht="13.8" x14ac:dyDescent="0.2">
      <c r="B10" s="8">
        <f t="shared" si="6"/>
        <v>24</v>
      </c>
      <c r="C10" s="10">
        <v>24</v>
      </c>
      <c r="D10" s="13" t="s">
        <v>1561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1605</v>
      </c>
    </row>
    <row r="11" spans="2:24" ht="13.8" x14ac:dyDescent="0.2">
      <c r="B11" s="8">
        <f t="shared" si="6"/>
        <v>26</v>
      </c>
      <c r="C11" s="10">
        <v>26</v>
      </c>
      <c r="D11" s="13" t="s">
        <v>1933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315</v>
      </c>
    </row>
    <row r="12" spans="2:24" ht="13.8" x14ac:dyDescent="0.2">
      <c r="B12" s="8">
        <f t="shared" si="6"/>
        <v>28</v>
      </c>
      <c r="C12" s="10">
        <v>28</v>
      </c>
      <c r="D12" s="13" t="s">
        <v>2175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1604</v>
      </c>
    </row>
    <row r="13" spans="2:24" ht="13.8" x14ac:dyDescent="0.2">
      <c r="B13" s="8">
        <f t="shared" si="6"/>
        <v>47</v>
      </c>
      <c r="C13" s="10">
        <v>47</v>
      </c>
      <c r="D13" s="13" t="s">
        <v>2006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1004</v>
      </c>
    </row>
    <row r="14" spans="2:24" ht="13.8" x14ac:dyDescent="0.2">
      <c r="B14" s="8">
        <f t="shared" si="6"/>
        <v>57</v>
      </c>
      <c r="C14" s="10">
        <v>57</v>
      </c>
      <c r="D14" s="13" t="s">
        <v>616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630</v>
      </c>
    </row>
    <row r="15" spans="2:24" ht="13.8" x14ac:dyDescent="0.2">
      <c r="B15" s="8">
        <f t="shared" si="6"/>
        <v>15</v>
      </c>
      <c r="C15" s="10">
        <v>15</v>
      </c>
      <c r="D15" s="13" t="s">
        <v>692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692</v>
      </c>
    </row>
    <row r="16" spans="2:24" ht="13.8" x14ac:dyDescent="0.2">
      <c r="B16" s="8">
        <f t="shared" si="6"/>
        <v>46</v>
      </c>
      <c r="C16" s="10">
        <v>46</v>
      </c>
      <c r="D16" s="13" t="s">
        <v>2102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2142</v>
      </c>
    </row>
    <row r="17" spans="2:24" ht="13.8" x14ac:dyDescent="0.2">
      <c r="B17" s="8">
        <f t="shared" si="6"/>
        <v>66</v>
      </c>
      <c r="C17" s="10">
        <v>66</v>
      </c>
      <c r="D17" s="13" t="s">
        <v>2176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381</v>
      </c>
    </row>
    <row r="18" spans="2:24" ht="13.8" x14ac:dyDescent="0.2">
      <c r="B18" s="8">
        <f t="shared" si="6"/>
        <v>4</v>
      </c>
      <c r="C18" s="10">
        <v>4</v>
      </c>
      <c r="D18" s="13" t="s">
        <v>131</v>
      </c>
      <c r="E18" s="11">
        <f t="shared" si="5"/>
        <v>0.42857142857142855</v>
      </c>
      <c r="F18" s="5">
        <v>7</v>
      </c>
      <c r="G18" s="5">
        <v>3</v>
      </c>
      <c r="H18" s="5">
        <v>1</v>
      </c>
      <c r="I18" s="5">
        <v>0</v>
      </c>
      <c r="J18" s="6">
        <v>0</v>
      </c>
      <c r="K18" s="12">
        <v>4</v>
      </c>
      <c r="L18" s="7">
        <v>1</v>
      </c>
      <c r="M18" s="11">
        <f t="shared" si="7"/>
        <v>0.55555555555555558</v>
      </c>
      <c r="N18" s="11">
        <f t="shared" si="8"/>
        <v>1.1265555555555555</v>
      </c>
      <c r="O18" s="20">
        <v>0</v>
      </c>
      <c r="P18" s="21">
        <v>2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>
        <f>IFERROR(CalcRC27(F18,G18,K18,O18,P18,Q18,R18,S18,T18,U18,V18),"-")</f>
        <v>15.194333333333329</v>
      </c>
      <c r="X18" s="2" t="s">
        <v>2056</v>
      </c>
    </row>
    <row r="19" spans="2:24" ht="13.8" x14ac:dyDescent="0.2">
      <c r="B19" s="8">
        <f t="shared" si="6"/>
        <v>12</v>
      </c>
      <c r="C19" s="10">
        <v>12</v>
      </c>
      <c r="D19" s="13" t="s">
        <v>1190</v>
      </c>
      <c r="E19" s="11">
        <f t="shared" si="5"/>
        <v>0</v>
      </c>
      <c r="F19" s="5">
        <v>2</v>
      </c>
      <c r="G19" s="5">
        <v>0</v>
      </c>
      <c r="H19" s="5">
        <v>0</v>
      </c>
      <c r="I19" s="5">
        <v>0</v>
      </c>
      <c r="J19" s="6">
        <v>0</v>
      </c>
      <c r="K19" s="12"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2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>
        <f>IFERROR(CalcRC27(F19,G19,K19,O19,P19,Q19,R19,S19,T19,U19,V19),"-")</f>
        <v>-2.9160000000000013</v>
      </c>
      <c r="X19" s="2" t="s">
        <v>46</v>
      </c>
    </row>
    <row r="20" spans="2:24" ht="13.8" x14ac:dyDescent="0.2">
      <c r="B20" s="8">
        <f t="shared" si="6"/>
        <v>27</v>
      </c>
      <c r="C20" s="10">
        <v>27</v>
      </c>
      <c r="D20" s="9" t="s">
        <v>1317</v>
      </c>
      <c r="E20" s="11">
        <f t="shared" si="5"/>
        <v>0.66666666666666663</v>
      </c>
      <c r="F20" s="5">
        <v>3</v>
      </c>
      <c r="G20" s="5">
        <v>2</v>
      </c>
      <c r="H20" s="5">
        <v>0</v>
      </c>
      <c r="I20" s="5">
        <v>0</v>
      </c>
      <c r="J20" s="6">
        <v>0</v>
      </c>
      <c r="K20" s="12">
        <v>2</v>
      </c>
      <c r="L20" s="7">
        <v>0</v>
      </c>
      <c r="M20" s="11">
        <f t="shared" si="7"/>
        <v>0.66666666666666663</v>
      </c>
      <c r="N20" s="11">
        <f t="shared" si="8"/>
        <v>1.3336666666666668</v>
      </c>
      <c r="O20" s="20">
        <v>0</v>
      </c>
      <c r="P20" s="21">
        <v>0</v>
      </c>
      <c r="Q20" s="21">
        <v>0</v>
      </c>
      <c r="R20" s="22">
        <v>1</v>
      </c>
      <c r="S20" s="22">
        <v>0</v>
      </c>
      <c r="T20" s="20">
        <v>0</v>
      </c>
      <c r="U20" s="20">
        <v>0</v>
      </c>
      <c r="V20" s="20">
        <v>0</v>
      </c>
      <c r="W20" s="62">
        <f>IFERROR(CalcRC27(F20,G20,K20,O20,P20,Q20,R20,S20,T20,U20,V20),"-")</f>
        <v>14.605499999999997</v>
      </c>
      <c r="X20" s="2" t="s">
        <v>1371</v>
      </c>
    </row>
    <row r="21" spans="2:24" ht="13.8" x14ac:dyDescent="0.2">
      <c r="B21" s="8">
        <f t="shared" si="6"/>
        <v>2</v>
      </c>
      <c r="C21" s="10">
        <v>2</v>
      </c>
      <c r="D21" s="13" t="s">
        <v>1415</v>
      </c>
      <c r="E21" s="11">
        <f t="shared" si="5"/>
        <v>0.22222222222222221</v>
      </c>
      <c r="F21" s="5">
        <v>9</v>
      </c>
      <c r="G21" s="5">
        <v>2</v>
      </c>
      <c r="H21" s="5">
        <v>0</v>
      </c>
      <c r="I21" s="5">
        <v>0</v>
      </c>
      <c r="J21" s="6">
        <v>0</v>
      </c>
      <c r="K21" s="12">
        <v>2</v>
      </c>
      <c r="L21" s="7">
        <v>1</v>
      </c>
      <c r="M21" s="11">
        <f t="shared" si="7"/>
        <v>0.41666666666666669</v>
      </c>
      <c r="N21" s="11">
        <f t="shared" si="8"/>
        <v>0.63866666666666672</v>
      </c>
      <c r="O21" s="20">
        <v>2</v>
      </c>
      <c r="P21" s="21">
        <v>3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>
        <f>IFERROR(CalcRC27(F21,G21,K21,O21,P21,Q21,R21,S21,T21,U21,V21),"-")</f>
        <v>5.083428571428569</v>
      </c>
      <c r="X21" s="2" t="s">
        <v>443</v>
      </c>
    </row>
    <row r="22" spans="2:24" ht="13.8" x14ac:dyDescent="0.2">
      <c r="B22" s="8">
        <f t="shared" si="6"/>
        <v>3</v>
      </c>
      <c r="C22" s="10">
        <v>3</v>
      </c>
      <c r="D22" s="13" t="s">
        <v>663</v>
      </c>
      <c r="E22" s="11">
        <f t="shared" si="5"/>
        <v>0.33333333333333331</v>
      </c>
      <c r="F22" s="5">
        <v>3</v>
      </c>
      <c r="G22" s="5">
        <v>1</v>
      </c>
      <c r="H22" s="5">
        <v>0</v>
      </c>
      <c r="I22" s="5">
        <v>0</v>
      </c>
      <c r="J22" s="6">
        <v>0</v>
      </c>
      <c r="K22" s="12">
        <v>1</v>
      </c>
      <c r="L22" s="7">
        <v>0</v>
      </c>
      <c r="M22" s="11">
        <f t="shared" si="7"/>
        <v>0.5</v>
      </c>
      <c r="N22" s="11">
        <f t="shared" si="8"/>
        <v>0.83299999999999996</v>
      </c>
      <c r="O22" s="20">
        <v>0</v>
      </c>
      <c r="P22" s="21">
        <v>1</v>
      </c>
      <c r="Q22" s="21">
        <v>0</v>
      </c>
      <c r="R22" s="22">
        <v>0</v>
      </c>
      <c r="S22" s="22">
        <v>0</v>
      </c>
      <c r="T22" s="20">
        <v>0</v>
      </c>
      <c r="U22" s="20">
        <v>1</v>
      </c>
      <c r="V22" s="20">
        <v>0</v>
      </c>
      <c r="W22" s="62">
        <f>IFERROR(CalcRC27(F22,G22,K22,O22,P22,Q22,R22,S22,T22,U22,V22),"-")</f>
        <v>2.7389999999999981</v>
      </c>
      <c r="X22" s="2" t="s">
        <v>206</v>
      </c>
    </row>
    <row r="23" spans="2:24" ht="13.8" x14ac:dyDescent="0.2">
      <c r="B23" s="8">
        <f t="shared" si="6"/>
        <v>5</v>
      </c>
      <c r="C23" s="10">
        <v>5</v>
      </c>
      <c r="D23" s="13" t="s">
        <v>2161</v>
      </c>
      <c r="E23" s="11">
        <f t="shared" si="5"/>
        <v>0.25</v>
      </c>
      <c r="F23" s="5">
        <v>4</v>
      </c>
      <c r="G23" s="5">
        <v>1</v>
      </c>
      <c r="H23" s="5">
        <v>0</v>
      </c>
      <c r="I23" s="5">
        <v>0</v>
      </c>
      <c r="J23" s="6">
        <v>0</v>
      </c>
      <c r="K23" s="12">
        <v>1</v>
      </c>
      <c r="L23" s="7">
        <v>0</v>
      </c>
      <c r="M23" s="11">
        <f t="shared" si="7"/>
        <v>0.4</v>
      </c>
      <c r="N23" s="11">
        <f t="shared" si="8"/>
        <v>0.65</v>
      </c>
      <c r="O23" s="20">
        <v>3</v>
      </c>
      <c r="P23" s="21">
        <v>1</v>
      </c>
      <c r="Q23" s="21">
        <v>0</v>
      </c>
      <c r="R23" s="22">
        <v>1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3.9349999999999974</v>
      </c>
      <c r="X23" s="2" t="s">
        <v>370</v>
      </c>
    </row>
    <row r="24" spans="2:24" ht="13.8" x14ac:dyDescent="0.2">
      <c r="B24" s="8">
        <f t="shared" si="6"/>
        <v>6</v>
      </c>
      <c r="C24" s="10">
        <v>6</v>
      </c>
      <c r="D24" s="13" t="s">
        <v>1744</v>
      </c>
      <c r="E24" s="11">
        <f t="shared" si="5"/>
        <v>0.5714285714285714</v>
      </c>
      <c r="F24" s="5">
        <v>7</v>
      </c>
      <c r="G24" s="5">
        <v>4</v>
      </c>
      <c r="H24" s="5">
        <v>0</v>
      </c>
      <c r="I24" s="5">
        <v>0</v>
      </c>
      <c r="J24" s="6">
        <v>0</v>
      </c>
      <c r="K24" s="12">
        <v>4</v>
      </c>
      <c r="L24" s="7">
        <v>4</v>
      </c>
      <c r="M24" s="11">
        <f t="shared" si="7"/>
        <v>0.72727272727272729</v>
      </c>
      <c r="N24" s="11">
        <f t="shared" si="8"/>
        <v>1.2982727272727272</v>
      </c>
      <c r="O24" s="20">
        <v>0</v>
      </c>
      <c r="P24" s="21">
        <v>3</v>
      </c>
      <c r="Q24" s="21">
        <v>1</v>
      </c>
      <c r="R24" s="22">
        <v>1</v>
      </c>
      <c r="S24" s="22">
        <v>0</v>
      </c>
      <c r="T24" s="20">
        <v>0</v>
      </c>
      <c r="U24" s="20">
        <v>1</v>
      </c>
      <c r="V24" s="20">
        <v>0</v>
      </c>
      <c r="W24" s="62">
        <f>IFERROR(CalcRC27(F24,G24,K24,O24,P24,Q24,R24,S24,T24,U24,V24),"-")</f>
        <v>16.090299999999996</v>
      </c>
      <c r="X24" s="2" t="s">
        <v>338</v>
      </c>
    </row>
    <row r="25" spans="2:24" ht="13.8" x14ac:dyDescent="0.2">
      <c r="B25" s="8">
        <f t="shared" si="6"/>
        <v>7</v>
      </c>
      <c r="C25" s="10">
        <v>7</v>
      </c>
      <c r="D25" s="13" t="s">
        <v>2162</v>
      </c>
      <c r="E25" s="11">
        <f t="shared" si="5"/>
        <v>0.33333333333333331</v>
      </c>
      <c r="F25" s="5">
        <v>6</v>
      </c>
      <c r="G25" s="5">
        <v>2</v>
      </c>
      <c r="H25" s="5">
        <v>2</v>
      </c>
      <c r="I25" s="5">
        <v>0</v>
      </c>
      <c r="J25" s="6">
        <v>0</v>
      </c>
      <c r="K25" s="12">
        <v>4</v>
      </c>
      <c r="L25" s="7">
        <v>1</v>
      </c>
      <c r="M25" s="11">
        <f t="shared" si="7"/>
        <v>0.5</v>
      </c>
      <c r="N25" s="11">
        <f t="shared" si="8"/>
        <v>1.167</v>
      </c>
      <c r="O25" s="20">
        <v>0</v>
      </c>
      <c r="P25" s="21">
        <v>1</v>
      </c>
      <c r="Q25" s="21">
        <v>1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>
        <f>IFERROR(CalcRC27(F25,G25,K25,O25,P25,Q25,R25,S25,T25,U25,V25),"-")</f>
        <v>13.430999999999996</v>
      </c>
      <c r="X25" s="2" t="s">
        <v>411</v>
      </c>
    </row>
    <row r="26" spans="2:24" ht="13.8" x14ac:dyDescent="0.2">
      <c r="B26" s="8">
        <f t="shared" si="6"/>
        <v>25</v>
      </c>
      <c r="C26" s="10">
        <v>25</v>
      </c>
      <c r="D26" s="13" t="s">
        <v>1145</v>
      </c>
      <c r="E26" s="11">
        <f t="shared" si="5"/>
        <v>0.13333333333333333</v>
      </c>
      <c r="F26" s="5">
        <v>15</v>
      </c>
      <c r="G26" s="5">
        <v>2</v>
      </c>
      <c r="H26" s="5">
        <v>1</v>
      </c>
      <c r="I26" s="5">
        <v>0</v>
      </c>
      <c r="J26" s="6">
        <v>0</v>
      </c>
      <c r="K26" s="12">
        <v>3</v>
      </c>
      <c r="L26" s="7">
        <v>1</v>
      </c>
      <c r="M26" s="11">
        <f t="shared" si="7"/>
        <v>0.27777777777777779</v>
      </c>
      <c r="N26" s="11">
        <f t="shared" si="8"/>
        <v>0.4777777777777778</v>
      </c>
      <c r="O26" s="20">
        <v>3</v>
      </c>
      <c r="P26" s="21">
        <v>3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>
        <f>IFERROR(CalcRC27(F26,G26,K26,O26,P26,Q26,R26,S26,T26,U26,V26),"-")</f>
        <v>2.0033076923076907</v>
      </c>
      <c r="X26" s="2" t="s">
        <v>698</v>
      </c>
    </row>
    <row r="27" spans="2:24" ht="13.8" x14ac:dyDescent="0.2">
      <c r="B27" s="8">
        <f t="shared" si="6"/>
        <v>55</v>
      </c>
      <c r="C27" s="10">
        <v>55</v>
      </c>
      <c r="D27" s="13" t="s">
        <v>1634</v>
      </c>
      <c r="E27" s="11">
        <f t="shared" si="5"/>
        <v>0.2</v>
      </c>
      <c r="F27" s="5">
        <v>15</v>
      </c>
      <c r="G27" s="5">
        <v>3</v>
      </c>
      <c r="H27" s="5">
        <v>0</v>
      </c>
      <c r="I27" s="5">
        <v>0</v>
      </c>
      <c r="J27" s="6">
        <v>1</v>
      </c>
      <c r="K27" s="12">
        <v>6</v>
      </c>
      <c r="L27" s="7">
        <v>5</v>
      </c>
      <c r="M27" s="11">
        <f t="shared" si="7"/>
        <v>0.29411764705882354</v>
      </c>
      <c r="N27" s="11">
        <f t="shared" si="8"/>
        <v>0.69411764705882351</v>
      </c>
      <c r="O27" s="20">
        <v>4</v>
      </c>
      <c r="P27" s="21">
        <v>2</v>
      </c>
      <c r="Q27" s="21">
        <v>0</v>
      </c>
      <c r="R27" s="22">
        <v>0</v>
      </c>
      <c r="S27" s="22">
        <v>0</v>
      </c>
      <c r="T27" s="20">
        <v>1</v>
      </c>
      <c r="U27" s="20">
        <v>0</v>
      </c>
      <c r="V27" s="20">
        <v>0</v>
      </c>
      <c r="W27" s="62">
        <f>IFERROR(CalcRC27(F27,G27,K27,O27,P27,Q27,R27,S27,T27,U27,V27),"-")</f>
        <v>4.6666470588235267</v>
      </c>
      <c r="X27" s="2" t="s">
        <v>2172</v>
      </c>
    </row>
    <row r="28" spans="2:24" ht="13.8" x14ac:dyDescent="0.2">
      <c r="B28" s="8">
        <f t="shared" si="6"/>
        <v>8</v>
      </c>
      <c r="C28" s="10">
        <v>8</v>
      </c>
      <c r="D28" s="13" t="s">
        <v>1457</v>
      </c>
      <c r="E28" s="11">
        <f t="shared" si="5"/>
        <v>0</v>
      </c>
      <c r="F28" s="5">
        <v>12</v>
      </c>
      <c r="G28" s="5">
        <v>0</v>
      </c>
      <c r="H28" s="5">
        <v>0</v>
      </c>
      <c r="I28" s="5">
        <v>0</v>
      </c>
      <c r="J28" s="6">
        <v>0</v>
      </c>
      <c r="K28" s="12">
        <v>0</v>
      </c>
      <c r="L28" s="7">
        <v>0</v>
      </c>
      <c r="M28" s="11">
        <f t="shared" si="7"/>
        <v>7.6923076923076927E-2</v>
      </c>
      <c r="N28" s="11">
        <f t="shared" si="8"/>
        <v>7.6923076923076927E-2</v>
      </c>
      <c r="O28" s="20">
        <v>2</v>
      </c>
      <c r="P28" s="21">
        <v>1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>
        <f>IFERROR(CalcRC27(F28,G28,K28,O28,P28,Q28,R28,S28,T28,U28,V28),"-")</f>
        <v>-2.0511538461538477</v>
      </c>
      <c r="X28" s="2" t="s">
        <v>225</v>
      </c>
    </row>
    <row r="29" spans="2:24" ht="13.8" x14ac:dyDescent="0.2">
      <c r="B29" s="8">
        <f t="shared" si="6"/>
        <v>20</v>
      </c>
      <c r="C29" s="10">
        <v>20</v>
      </c>
      <c r="D29" s="13" t="s">
        <v>1635</v>
      </c>
      <c r="E29" s="11">
        <f t="shared" si="5"/>
        <v>0.5</v>
      </c>
      <c r="F29" s="5">
        <v>4</v>
      </c>
      <c r="G29" s="5">
        <v>2</v>
      </c>
      <c r="H29" s="5">
        <v>0</v>
      </c>
      <c r="I29" s="5">
        <v>0</v>
      </c>
      <c r="J29" s="6">
        <v>1</v>
      </c>
      <c r="K29" s="12">
        <v>5</v>
      </c>
      <c r="L29" s="7">
        <v>3</v>
      </c>
      <c r="M29" s="11">
        <f t="shared" si="7"/>
        <v>0.5</v>
      </c>
      <c r="N29" s="11">
        <f t="shared" si="8"/>
        <v>1.75</v>
      </c>
      <c r="O29" s="20">
        <v>1</v>
      </c>
      <c r="P29" s="21">
        <v>0</v>
      </c>
      <c r="Q29" s="21">
        <v>0</v>
      </c>
      <c r="R29" s="22">
        <v>0</v>
      </c>
      <c r="S29" s="22">
        <v>0</v>
      </c>
      <c r="T29" s="20">
        <v>3</v>
      </c>
      <c r="U29" s="20">
        <v>0</v>
      </c>
      <c r="V29" s="20">
        <v>0</v>
      </c>
      <c r="W29" s="62">
        <f>IFERROR(CalcRC27(F29,G29,K29,O29,P29,Q29,R29,S29,T29,U29,V29),"-")</f>
        <v>33.571499999999993</v>
      </c>
      <c r="X29" s="2" t="s">
        <v>366</v>
      </c>
    </row>
    <row r="30" spans="2:24" ht="13.8" x14ac:dyDescent="0.2">
      <c r="B30" s="8">
        <f t="shared" si="6"/>
        <v>23</v>
      </c>
      <c r="C30" s="10">
        <v>23</v>
      </c>
      <c r="D30" s="13" t="s">
        <v>1136</v>
      </c>
      <c r="E30" s="11">
        <f t="shared" si="5"/>
        <v>0.16666666666666666</v>
      </c>
      <c r="F30" s="5">
        <v>6</v>
      </c>
      <c r="G30" s="5">
        <v>1</v>
      </c>
      <c r="H30" s="5">
        <v>0</v>
      </c>
      <c r="I30" s="5">
        <v>0</v>
      </c>
      <c r="J30" s="6">
        <v>0</v>
      </c>
      <c r="K30" s="12">
        <v>1</v>
      </c>
      <c r="L30" s="7">
        <v>0</v>
      </c>
      <c r="M30" s="11">
        <f t="shared" si="7"/>
        <v>0.2857142857142857</v>
      </c>
      <c r="N30" s="11">
        <f t="shared" si="8"/>
        <v>0.45271428571428574</v>
      </c>
      <c r="O30" s="20">
        <v>0</v>
      </c>
      <c r="P30" s="21">
        <v>1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2</v>
      </c>
      <c r="W30" s="62">
        <f>IFERROR(CalcRC27(F30,G30,K30,O30,P30,Q30,R30,S30,T30,U30,V30),"-")</f>
        <v>-1.4040000000000015</v>
      </c>
      <c r="X30" s="2" t="s">
        <v>831</v>
      </c>
    </row>
    <row r="31" spans="2:24" ht="13.8" x14ac:dyDescent="0.2">
      <c r="B31" s="8">
        <f t="shared" si="6"/>
        <v>34</v>
      </c>
      <c r="C31" s="10">
        <v>34</v>
      </c>
      <c r="D31" s="13" t="s">
        <v>2163</v>
      </c>
      <c r="E31" s="11">
        <f t="shared" si="5"/>
        <v>0.5</v>
      </c>
      <c r="F31" s="5">
        <v>12</v>
      </c>
      <c r="G31" s="5">
        <v>6</v>
      </c>
      <c r="H31" s="5">
        <v>1</v>
      </c>
      <c r="I31" s="5">
        <v>0</v>
      </c>
      <c r="J31" s="6">
        <v>2</v>
      </c>
      <c r="K31" s="12">
        <v>13</v>
      </c>
      <c r="L31" s="7">
        <v>6</v>
      </c>
      <c r="M31" s="11">
        <f t="shared" si="7"/>
        <v>0.5714285714285714</v>
      </c>
      <c r="N31" s="11">
        <f t="shared" si="8"/>
        <v>1.6544285714285714</v>
      </c>
      <c r="O31" s="20">
        <v>1</v>
      </c>
      <c r="P31" s="21">
        <v>2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>
        <f>IFERROR(CalcRC27(F31,G31,K31,O31,P31,Q31,R31,S31,T31,U31,V31),"-")</f>
        <v>25.74228571428571</v>
      </c>
      <c r="X31" s="2" t="s">
        <v>766</v>
      </c>
    </row>
    <row r="32" spans="2:24" ht="13.8" x14ac:dyDescent="0.2">
      <c r="B32" s="8">
        <f t="shared" si="6"/>
        <v>51</v>
      </c>
      <c r="C32" s="10">
        <v>51</v>
      </c>
      <c r="D32" s="13" t="s">
        <v>2164</v>
      </c>
      <c r="E32" s="11">
        <f t="shared" si="5"/>
        <v>0.33333333333333331</v>
      </c>
      <c r="F32" s="5">
        <v>9</v>
      </c>
      <c r="G32" s="5">
        <v>3</v>
      </c>
      <c r="H32" s="5">
        <v>0</v>
      </c>
      <c r="I32" s="5">
        <v>0</v>
      </c>
      <c r="J32" s="6">
        <v>2</v>
      </c>
      <c r="K32" s="12">
        <v>9</v>
      </c>
      <c r="L32" s="7">
        <v>5</v>
      </c>
      <c r="M32" s="11">
        <f t="shared" si="7"/>
        <v>0.5714285714285714</v>
      </c>
      <c r="N32" s="11">
        <f t="shared" si="8"/>
        <v>1.5714285714285714</v>
      </c>
      <c r="O32" s="20">
        <v>1</v>
      </c>
      <c r="P32" s="21">
        <v>5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>
        <f>IFERROR(CalcRC27(F32,G32,K32,O32,P32,Q32,R32,S32,T32,U32,V32),"-")</f>
        <v>20.958285714285712</v>
      </c>
      <c r="X32" s="2" t="s">
        <v>198</v>
      </c>
    </row>
    <row r="33" spans="2:24" ht="13.8" x14ac:dyDescent="0.2">
      <c r="B33" s="8">
        <f t="shared" si="6"/>
        <v>16</v>
      </c>
      <c r="C33" s="10">
        <v>16</v>
      </c>
      <c r="D33" s="13" t="s">
        <v>1937</v>
      </c>
      <c r="E33" s="11">
        <f t="shared" si="5"/>
        <v>0.55555555555555558</v>
      </c>
      <c r="F33" s="5">
        <v>9</v>
      </c>
      <c r="G33" s="5">
        <v>5</v>
      </c>
      <c r="H33" s="5">
        <v>1</v>
      </c>
      <c r="I33" s="5">
        <v>0</v>
      </c>
      <c r="J33" s="6">
        <v>2</v>
      </c>
      <c r="K33" s="12">
        <v>12</v>
      </c>
      <c r="L33" s="7">
        <v>6</v>
      </c>
      <c r="M33" s="11">
        <f t="shared" si="7"/>
        <v>0.69230769230769229</v>
      </c>
      <c r="N33" s="11">
        <f t="shared" si="8"/>
        <v>2.0253076923076923</v>
      </c>
      <c r="O33" s="20">
        <v>0</v>
      </c>
      <c r="P33" s="21">
        <v>4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>
        <f>IFERROR(CalcRC27(F33,G33,K33,O33,P33,Q33,R33,S33,T33,U33,V33),"-")</f>
        <v>41.717769230769221</v>
      </c>
      <c r="X33" s="2" t="s">
        <v>2173</v>
      </c>
    </row>
    <row r="34" spans="2:24" ht="13.8" x14ac:dyDescent="0.2">
      <c r="B34" s="8" t="str">
        <f t="shared" si="6"/>
        <v>00</v>
      </c>
      <c r="C34" s="10" t="s">
        <v>1309</v>
      </c>
      <c r="D34" s="13" t="s">
        <v>882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919</v>
      </c>
    </row>
    <row r="35" spans="2:24" ht="13.8" x14ac:dyDescent="0.2">
      <c r="B35" s="8">
        <f t="shared" si="6"/>
        <v>30</v>
      </c>
      <c r="C35" s="10">
        <v>30</v>
      </c>
      <c r="D35" s="13" t="s">
        <v>932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940</v>
      </c>
    </row>
    <row r="36" spans="2:24" ht="13.8" x14ac:dyDescent="0.2">
      <c r="B36" s="8">
        <f t="shared" si="6"/>
        <v>50</v>
      </c>
      <c r="C36" s="10">
        <v>50</v>
      </c>
      <c r="D36" s="13" t="s">
        <v>2165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1983</v>
      </c>
    </row>
    <row r="37" spans="2:24" ht="13.8" x14ac:dyDescent="0.2">
      <c r="B37" s="8">
        <f t="shared" si="6"/>
        <v>49</v>
      </c>
      <c r="C37" s="10">
        <v>49</v>
      </c>
      <c r="D37" s="13" t="s">
        <v>1346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1164</v>
      </c>
    </row>
    <row r="38" spans="2:24" ht="13.8" x14ac:dyDescent="0.2">
      <c r="B38" s="8">
        <f t="shared" si="6"/>
        <v>0</v>
      </c>
      <c r="C38" s="10">
        <v>0</v>
      </c>
      <c r="D38" s="13" t="s">
        <v>2166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684</v>
      </c>
    </row>
    <row r="39" spans="2:24" ht="13.8" x14ac:dyDescent="0.2">
      <c r="B39" s="8">
        <f t="shared" si="6"/>
        <v>52</v>
      </c>
      <c r="C39" s="10">
        <v>52</v>
      </c>
      <c r="D39" s="13" t="s">
        <v>1772</v>
      </c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1830</v>
      </c>
    </row>
    <row r="40" spans="2:24" ht="13.8" x14ac:dyDescent="0.2">
      <c r="B40" s="8">
        <f t="shared" si="6"/>
        <v>40</v>
      </c>
      <c r="C40" s="10">
        <v>40</v>
      </c>
      <c r="D40" s="13" t="s">
        <v>1055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704</v>
      </c>
    </row>
    <row r="41" spans="2:24" ht="13.8" x14ac:dyDescent="0.2">
      <c r="B41" s="8">
        <f t="shared" si="6"/>
        <v>48</v>
      </c>
      <c r="C41" s="10">
        <v>48</v>
      </c>
      <c r="D41" s="13" t="s">
        <v>994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1012</v>
      </c>
    </row>
    <row r="42" spans="2:24" ht="13.8" x14ac:dyDescent="0.2">
      <c r="B42" s="8">
        <f t="shared" si="6"/>
        <v>45</v>
      </c>
      <c r="C42" s="10">
        <v>45</v>
      </c>
      <c r="D42" s="13" t="s">
        <v>1142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1372</v>
      </c>
    </row>
    <row r="43" spans="2:24" ht="13.8" x14ac:dyDescent="0.2">
      <c r="B43" s="8">
        <f t="shared" si="6"/>
        <v>44</v>
      </c>
      <c r="C43" s="10">
        <v>44</v>
      </c>
      <c r="D43" s="13" t="s">
        <v>2167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817</v>
      </c>
    </row>
    <row r="44" spans="2:24" ht="13.8" x14ac:dyDescent="0.2">
      <c r="B44" s="8">
        <f t="shared" si="6"/>
        <v>10</v>
      </c>
      <c r="C44" s="10">
        <v>10</v>
      </c>
      <c r="D44" s="13" t="s">
        <v>800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1162</v>
      </c>
    </row>
    <row r="45" spans="2:24" ht="13.8" x14ac:dyDescent="0.2">
      <c r="B45" s="8">
        <f t="shared" si="6"/>
        <v>61</v>
      </c>
      <c r="C45" s="10">
        <v>61</v>
      </c>
      <c r="D45" s="13" t="s">
        <v>2168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980</v>
      </c>
    </row>
    <row r="46" spans="2:24" ht="13.8" x14ac:dyDescent="0.2">
      <c r="B46" s="8">
        <f t="shared" si="6"/>
        <v>36</v>
      </c>
      <c r="C46" s="10">
        <v>36</v>
      </c>
      <c r="D46" s="13" t="s">
        <v>845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856</v>
      </c>
    </row>
    <row r="47" spans="2:24" ht="13.8" x14ac:dyDescent="0.2">
      <c r="B47" s="8">
        <f t="shared" si="6"/>
        <v>44</v>
      </c>
      <c r="C47" s="10">
        <v>44</v>
      </c>
      <c r="D47" s="13" t="s">
        <v>1566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389</v>
      </c>
    </row>
    <row r="48" spans="2:24" ht="13.8" x14ac:dyDescent="0.2">
      <c r="B48" s="8">
        <f t="shared" si="6"/>
        <v>999</v>
      </c>
      <c r="C48" s="10">
        <v>999</v>
      </c>
      <c r="D48" s="13" t="s">
        <v>2169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2174</v>
      </c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9">((G66-H66-I66-J66)+(H66*2)+(I66*3)+(J66*4))</f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4">((G130-H130-I130-J130)+(H130*2)+(I130*3)+(J130*4))</f>
        <v>0</v>
      </c>
      <c r="L130" s="7">
        <v>1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2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3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4</v>
      </c>
      <c r="M133" s="11">
        <f t="shared" ref="M133:M134" si="17">IFERROR(IF((G133+P133+Q133)/(F133+P133+Q133+S133)=1,"1.00",(G133+P133+Q133)/(F133+P133+Q133+S133)),0)</f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5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6A566-C340-4A97-BC31-6BD1694ADB78}">
  <sheetPr codeName="Sheet1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4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525</v>
      </c>
      <c r="C3" s="55" t="s">
        <v>681</v>
      </c>
      <c r="D3" s="55" t="s">
        <v>682</v>
      </c>
      <c r="E3" s="56" t="s">
        <v>28</v>
      </c>
      <c r="F3" s="57" t="s">
        <v>0</v>
      </c>
      <c r="G3" s="54" t="s">
        <v>1</v>
      </c>
      <c r="H3" s="54" t="s">
        <v>253</v>
      </c>
      <c r="I3" s="54" t="s">
        <v>254</v>
      </c>
      <c r="J3" s="58" t="s">
        <v>683</v>
      </c>
      <c r="K3" s="54" t="s">
        <v>644</v>
      </c>
      <c r="L3" s="59" t="s">
        <v>2</v>
      </c>
      <c r="M3" s="60" t="s">
        <v>252</v>
      </c>
      <c r="N3" s="56" t="s">
        <v>255</v>
      </c>
      <c r="O3" s="61" t="s">
        <v>639</v>
      </c>
      <c r="P3" s="54" t="s">
        <v>150</v>
      </c>
      <c r="Q3" s="54" t="s">
        <v>151</v>
      </c>
      <c r="R3" s="54" t="s">
        <v>637</v>
      </c>
      <c r="S3" s="54" t="s">
        <v>638</v>
      </c>
      <c r="T3" s="54" t="s">
        <v>640</v>
      </c>
      <c r="U3" s="54" t="s">
        <v>641</v>
      </c>
      <c r="V3" s="54" t="s">
        <v>642</v>
      </c>
      <c r="W3" s="54" t="s">
        <v>643</v>
      </c>
      <c r="X3" s="158"/>
    </row>
    <row r="4" spans="2:24" ht="13.8" x14ac:dyDescent="0.2">
      <c r="B4" s="8">
        <f>IF(C4="","",C4)</f>
        <v>20</v>
      </c>
      <c r="C4" s="10">
        <v>20</v>
      </c>
      <c r="D4" s="13" t="s">
        <v>2342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2336</v>
      </c>
    </row>
    <row r="5" spans="2:24" ht="13.8" x14ac:dyDescent="0.2">
      <c r="B5" s="8">
        <f t="shared" ref="B5:B68" si="6">IF(C5="","",C5)</f>
        <v>29</v>
      </c>
      <c r="C5" s="10">
        <v>29</v>
      </c>
      <c r="D5" s="13" t="s">
        <v>2197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  <v>0</v>
      </c>
      <c r="L5" s="7">
        <v>0</v>
      </c>
      <c r="M5" s="11">
        <f t="shared" ref="M5:M68" si="8">IFERROR(IF((G5+P5+Q5)/(F5+P5+Q5+S5)=1,"1.00",(G5+P5+Q5)/(F5+P5+Q5+S5)),0)</f>
        <v>0</v>
      </c>
      <c r="N5" s="11">
        <f t="shared" ref="N5:N68" si="9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2177</v>
      </c>
    </row>
    <row r="6" spans="2:24" ht="13.8" x14ac:dyDescent="0.2">
      <c r="B6" s="8">
        <f t="shared" si="6"/>
        <v>30</v>
      </c>
      <c r="C6" s="10">
        <v>30</v>
      </c>
      <c r="D6" s="13" t="s">
        <v>993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2062</v>
      </c>
    </row>
    <row r="7" spans="2:24" ht="13.8" x14ac:dyDescent="0.2">
      <c r="B7" s="8">
        <f t="shared" si="6"/>
        <v>34</v>
      </c>
      <c r="C7" s="10">
        <v>34</v>
      </c>
      <c r="D7" s="13" t="s">
        <v>2343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2337</v>
      </c>
    </row>
    <row r="8" spans="2:24" ht="13.8" x14ac:dyDescent="0.2">
      <c r="B8" s="8">
        <f t="shared" si="6"/>
        <v>35</v>
      </c>
      <c r="C8" s="10">
        <v>35</v>
      </c>
      <c r="D8" s="13" t="s">
        <v>2344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2347</v>
      </c>
    </row>
    <row r="9" spans="2:24" ht="13.8" x14ac:dyDescent="0.2">
      <c r="B9" s="8">
        <f t="shared" si="6"/>
        <v>37</v>
      </c>
      <c r="C9" s="10">
        <v>37</v>
      </c>
      <c r="D9" s="13" t="s">
        <v>2345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2348</v>
      </c>
    </row>
    <row r="10" spans="2:24" ht="13.8" x14ac:dyDescent="0.2">
      <c r="B10" s="8">
        <f t="shared" si="6"/>
        <v>52</v>
      </c>
      <c r="C10" s="10">
        <v>52</v>
      </c>
      <c r="D10" s="13" t="s">
        <v>748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2178</v>
      </c>
    </row>
    <row r="11" spans="2:24" ht="13.8" x14ac:dyDescent="0.2">
      <c r="B11" s="8">
        <f t="shared" si="6"/>
        <v>54</v>
      </c>
      <c r="C11" s="10">
        <v>54</v>
      </c>
      <c r="D11" s="13" t="s">
        <v>1154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2179</v>
      </c>
    </row>
    <row r="12" spans="2:24" ht="13.8" x14ac:dyDescent="0.2">
      <c r="B12" s="8">
        <f t="shared" si="6"/>
        <v>55</v>
      </c>
      <c r="C12" s="10">
        <v>55</v>
      </c>
      <c r="D12" s="13" t="s">
        <v>2594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2180</v>
      </c>
    </row>
    <row r="13" spans="2:24" ht="13.8" x14ac:dyDescent="0.2">
      <c r="B13" s="8">
        <f t="shared" si="6"/>
        <v>58</v>
      </c>
      <c r="C13" s="10">
        <v>58</v>
      </c>
      <c r="D13" s="13" t="s">
        <v>2346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2349</v>
      </c>
    </row>
    <row r="14" spans="2:24" ht="13.8" x14ac:dyDescent="0.2">
      <c r="B14" s="8">
        <f t="shared" si="6"/>
        <v>61</v>
      </c>
      <c r="C14" s="10">
        <v>61</v>
      </c>
      <c r="D14" s="13" t="s">
        <v>2198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2181</v>
      </c>
    </row>
    <row r="15" spans="2:24" ht="13.8" x14ac:dyDescent="0.2">
      <c r="B15" s="8">
        <f t="shared" si="6"/>
        <v>64</v>
      </c>
      <c r="C15" s="10">
        <v>64</v>
      </c>
      <c r="D15" s="13" t="s">
        <v>2199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2182</v>
      </c>
    </row>
    <row r="16" spans="2:24" ht="13.8" x14ac:dyDescent="0.2">
      <c r="B16" s="8">
        <f t="shared" si="6"/>
        <v>70</v>
      </c>
      <c r="C16" s="10">
        <v>70</v>
      </c>
      <c r="D16" s="13" t="s">
        <v>2200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2183</v>
      </c>
    </row>
    <row r="17" spans="2:24" ht="13.8" x14ac:dyDescent="0.2">
      <c r="B17" s="8">
        <f t="shared" si="6"/>
        <v>73</v>
      </c>
      <c r="C17" s="10">
        <v>73</v>
      </c>
      <c r="D17" s="13" t="s">
        <v>2595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2338</v>
      </c>
    </row>
    <row r="18" spans="2:24" ht="13.8" x14ac:dyDescent="0.2">
      <c r="B18" s="8">
        <f t="shared" si="6"/>
        <v>74</v>
      </c>
      <c r="C18" s="10">
        <v>74</v>
      </c>
      <c r="D18" s="13" t="s">
        <v>112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2339</v>
      </c>
    </row>
    <row r="19" spans="2:24" ht="13.8" x14ac:dyDescent="0.2">
      <c r="B19" s="8">
        <f t="shared" si="6"/>
        <v>83</v>
      </c>
      <c r="C19" s="10">
        <v>83</v>
      </c>
      <c r="D19" s="13" t="s">
        <v>2201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2340</v>
      </c>
    </row>
    <row r="20" spans="2:24" ht="13.8" x14ac:dyDescent="0.2">
      <c r="B20" s="8">
        <f t="shared" si="6"/>
        <v>94</v>
      </c>
      <c r="C20" s="10">
        <v>94</v>
      </c>
      <c r="D20" s="9" t="s">
        <v>2202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2184</v>
      </c>
    </row>
    <row r="21" spans="2:24" ht="13.8" x14ac:dyDescent="0.2">
      <c r="B21" s="8">
        <f t="shared" si="6"/>
        <v>13</v>
      </c>
      <c r="C21" s="10">
        <v>13</v>
      </c>
      <c r="D21" s="13" t="s">
        <v>2203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2185</v>
      </c>
    </row>
    <row r="22" spans="2:24" ht="13.8" x14ac:dyDescent="0.2">
      <c r="B22" s="8">
        <f t="shared" si="6"/>
        <v>23</v>
      </c>
      <c r="C22" s="10">
        <v>23</v>
      </c>
      <c r="D22" s="13" t="s">
        <v>2219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2186</v>
      </c>
    </row>
    <row r="23" spans="2:24" ht="13.8" x14ac:dyDescent="0.2">
      <c r="B23" s="8">
        <f t="shared" si="6"/>
        <v>0</v>
      </c>
      <c r="C23" s="10">
        <v>0</v>
      </c>
      <c r="D23" s="13" t="s">
        <v>2204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2187</v>
      </c>
    </row>
    <row r="24" spans="2:24" ht="13.8" x14ac:dyDescent="0.2">
      <c r="B24" s="8">
        <f t="shared" si="6"/>
        <v>2</v>
      </c>
      <c r="C24" s="10">
        <v>2</v>
      </c>
      <c r="D24" s="13" t="s">
        <v>2205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2188</v>
      </c>
    </row>
    <row r="25" spans="2:24" ht="13.8" x14ac:dyDescent="0.2">
      <c r="B25" s="8">
        <f t="shared" si="6"/>
        <v>7</v>
      </c>
      <c r="C25" s="10">
        <v>7</v>
      </c>
      <c r="D25" s="13" t="s">
        <v>2596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2189</v>
      </c>
    </row>
    <row r="26" spans="2:24" ht="13.8" x14ac:dyDescent="0.2">
      <c r="B26" s="8">
        <f t="shared" si="6"/>
        <v>11</v>
      </c>
      <c r="C26" s="10">
        <v>11</v>
      </c>
      <c r="D26" s="13" t="s">
        <v>750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2190</v>
      </c>
    </row>
    <row r="27" spans="2:24" ht="13.8" x14ac:dyDescent="0.2">
      <c r="B27" s="8">
        <f t="shared" si="6"/>
        <v>14</v>
      </c>
      <c r="C27" s="10">
        <v>14</v>
      </c>
      <c r="D27" s="13" t="s">
        <v>2206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2341</v>
      </c>
    </row>
    <row r="28" spans="2:24" ht="13.8" x14ac:dyDescent="0.2">
      <c r="B28" s="8">
        <f t="shared" si="6"/>
        <v>25</v>
      </c>
      <c r="C28" s="10">
        <v>25</v>
      </c>
      <c r="D28" s="13" t="s">
        <v>2207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2191</v>
      </c>
    </row>
    <row r="29" spans="2:24" ht="13.8" x14ac:dyDescent="0.2">
      <c r="B29" s="8">
        <f t="shared" si="6"/>
        <v>40</v>
      </c>
      <c r="C29" s="10">
        <v>40</v>
      </c>
      <c r="D29" s="13" t="s">
        <v>2220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2192</v>
      </c>
    </row>
    <row r="30" spans="2:24" ht="13.8" x14ac:dyDescent="0.2">
      <c r="B30" s="8">
        <f t="shared" si="6"/>
        <v>1</v>
      </c>
      <c r="C30" s="10">
        <v>1</v>
      </c>
      <c r="D30" s="13" t="s">
        <v>2208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2193</v>
      </c>
    </row>
    <row r="31" spans="2:24" ht="13.8" x14ac:dyDescent="0.2">
      <c r="B31" s="8">
        <f t="shared" si="6"/>
        <v>4</v>
      </c>
      <c r="C31" s="10">
        <v>4</v>
      </c>
      <c r="D31" s="13" t="s">
        <v>2209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2194</v>
      </c>
    </row>
    <row r="32" spans="2:24" ht="13.8" x14ac:dyDescent="0.2">
      <c r="B32" s="8">
        <f t="shared" si="6"/>
        <v>21</v>
      </c>
      <c r="C32" s="10">
        <v>21</v>
      </c>
      <c r="D32" s="13" t="s">
        <v>2611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2196</v>
      </c>
    </row>
    <row r="33" spans="2:24" ht="13.8" x14ac:dyDescent="0.2">
      <c r="B33" s="8">
        <f t="shared" si="6"/>
        <v>16</v>
      </c>
      <c r="C33" s="10">
        <v>16</v>
      </c>
      <c r="D33" s="13" t="s">
        <v>934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2195</v>
      </c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ref="M69:M132" si="13">IFERROR(IF((G69+P69+Q69)/(F69+P69+Q69+S69)=1,"1.00",(G69+P69+Q69)/(F69+P69+Q69+S69)),0)</f>
        <v>0</v>
      </c>
      <c r="N69" s="11">
        <f t="shared" ref="N69:N132" si="14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  <v>0</v>
      </c>
      <c r="L70" s="7">
        <v>0</v>
      </c>
      <c r="M70" s="11">
        <f t="shared" si="13"/>
        <v>0</v>
      </c>
      <c r="N70" s="11">
        <f t="shared" si="14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  <v>0</v>
      </c>
      <c r="L133" s="7">
        <v>0</v>
      </c>
      <c r="M133" s="11">
        <f t="shared" ref="M133:M134" si="18">IFERROR(IF((G133+P133+Q133)/(F133+P133+Q133+S133)=1,"1.00",(G133+P133+Q133)/(F133+P133+Q133+S133)),0)</f>
        <v>0</v>
      </c>
      <c r="N133" s="11">
        <f t="shared" ref="N133:N134" si="19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8"/>
        <v>0</v>
      </c>
      <c r="N134" s="11">
        <f t="shared" si="19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8DC66-83A2-422F-974C-C21454580F43}">
  <sheetPr codeName="Sheet19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Z8" sqref="Z8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4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525</v>
      </c>
      <c r="C3" s="55" t="s">
        <v>681</v>
      </c>
      <c r="D3" s="55" t="s">
        <v>682</v>
      </c>
      <c r="E3" s="56" t="s">
        <v>28</v>
      </c>
      <c r="F3" s="57" t="s">
        <v>0</v>
      </c>
      <c r="G3" s="54" t="s">
        <v>1</v>
      </c>
      <c r="H3" s="54" t="s">
        <v>253</v>
      </c>
      <c r="I3" s="54" t="s">
        <v>254</v>
      </c>
      <c r="J3" s="58" t="s">
        <v>683</v>
      </c>
      <c r="K3" s="54" t="s">
        <v>644</v>
      </c>
      <c r="L3" s="59" t="s">
        <v>2</v>
      </c>
      <c r="M3" s="60" t="s">
        <v>252</v>
      </c>
      <c r="N3" s="56" t="s">
        <v>255</v>
      </c>
      <c r="O3" s="61" t="s">
        <v>639</v>
      </c>
      <c r="P3" s="54" t="s">
        <v>150</v>
      </c>
      <c r="Q3" s="54" t="s">
        <v>151</v>
      </c>
      <c r="R3" s="54" t="s">
        <v>637</v>
      </c>
      <c r="S3" s="54" t="s">
        <v>638</v>
      </c>
      <c r="T3" s="54" t="s">
        <v>640</v>
      </c>
      <c r="U3" s="54" t="s">
        <v>641</v>
      </c>
      <c r="V3" s="54" t="s">
        <v>642</v>
      </c>
      <c r="W3" s="54" t="s">
        <v>643</v>
      </c>
      <c r="X3" s="158"/>
    </row>
    <row r="4" spans="2:24" ht="13.8" x14ac:dyDescent="0.2">
      <c r="B4" s="8">
        <f>IF(C4="","",C4)</f>
        <v>19</v>
      </c>
      <c r="C4" s="10">
        <v>19</v>
      </c>
      <c r="D4" s="13" t="s">
        <v>2261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2232</v>
      </c>
    </row>
    <row r="5" spans="2:24" ht="13.8" x14ac:dyDescent="0.2">
      <c r="B5" s="8">
        <f t="shared" ref="B5:B68" si="6">IF(C5="","",C5)</f>
        <v>22</v>
      </c>
      <c r="C5" s="10">
        <v>22</v>
      </c>
      <c r="D5" s="13" t="s">
        <v>2262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  <v>0</v>
      </c>
      <c r="L5" s="7">
        <v>0</v>
      </c>
      <c r="M5" s="11">
        <f t="shared" ref="M5:M68" si="8">IFERROR(IF((G5+P5+Q5)/(F5+P5+Q5+S5)=1,"1.00",(G5+P5+Q5)/(F5+P5+Q5+S5)),0)</f>
        <v>0</v>
      </c>
      <c r="N5" s="11">
        <f t="shared" ref="N5:N68" si="9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2233</v>
      </c>
    </row>
    <row r="6" spans="2:24" ht="13.8" x14ac:dyDescent="0.2">
      <c r="B6" s="8">
        <f t="shared" si="6"/>
        <v>26</v>
      </c>
      <c r="C6" s="10">
        <v>26</v>
      </c>
      <c r="D6" s="13" t="s">
        <v>2263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2234</v>
      </c>
    </row>
    <row r="7" spans="2:24" ht="13.8" x14ac:dyDescent="0.2">
      <c r="B7" s="8">
        <f t="shared" si="6"/>
        <v>27</v>
      </c>
      <c r="C7" s="10">
        <v>27</v>
      </c>
      <c r="D7" s="13" t="s">
        <v>2264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2235</v>
      </c>
    </row>
    <row r="8" spans="2:24" ht="13.8" x14ac:dyDescent="0.2">
      <c r="B8" s="8">
        <f t="shared" si="6"/>
        <v>30</v>
      </c>
      <c r="C8" s="10">
        <v>30</v>
      </c>
      <c r="D8" s="13" t="s">
        <v>2265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2236</v>
      </c>
    </row>
    <row r="9" spans="2:24" ht="13.8" x14ac:dyDescent="0.2">
      <c r="B9" s="8">
        <f t="shared" si="6"/>
        <v>31</v>
      </c>
      <c r="C9" s="10">
        <v>31</v>
      </c>
      <c r="D9" s="13" t="s">
        <v>2266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2237</v>
      </c>
    </row>
    <row r="10" spans="2:24" ht="13.8" x14ac:dyDescent="0.2">
      <c r="B10" s="8">
        <f t="shared" si="6"/>
        <v>35</v>
      </c>
      <c r="C10" s="10">
        <v>35</v>
      </c>
      <c r="D10" s="13" t="s">
        <v>2267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2238</v>
      </c>
    </row>
    <row r="11" spans="2:24" ht="13.8" x14ac:dyDescent="0.2">
      <c r="B11" s="8">
        <f t="shared" si="6"/>
        <v>40</v>
      </c>
      <c r="C11" s="10">
        <v>40</v>
      </c>
      <c r="D11" s="13" t="s">
        <v>747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2239</v>
      </c>
    </row>
    <row r="12" spans="2:24" ht="13.8" x14ac:dyDescent="0.2">
      <c r="B12" s="8">
        <f t="shared" si="6"/>
        <v>44</v>
      </c>
      <c r="C12" s="10">
        <v>44</v>
      </c>
      <c r="D12" s="13" t="s">
        <v>2268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2240</v>
      </c>
    </row>
    <row r="13" spans="2:24" ht="13.8" x14ac:dyDescent="0.2">
      <c r="B13" s="8">
        <f t="shared" si="6"/>
        <v>48</v>
      </c>
      <c r="C13" s="10">
        <v>48</v>
      </c>
      <c r="D13" s="13" t="s">
        <v>2269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2241</v>
      </c>
    </row>
    <row r="14" spans="2:24" ht="13.8" x14ac:dyDescent="0.2">
      <c r="B14" s="8">
        <f t="shared" si="6"/>
        <v>52</v>
      </c>
      <c r="C14" s="10">
        <v>52</v>
      </c>
      <c r="D14" s="13" t="s">
        <v>2270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2242</v>
      </c>
    </row>
    <row r="15" spans="2:24" ht="13.8" x14ac:dyDescent="0.2">
      <c r="B15" s="8">
        <f t="shared" si="6"/>
        <v>53</v>
      </c>
      <c r="C15" s="10">
        <v>53</v>
      </c>
      <c r="D15" s="13" t="s">
        <v>2271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2350</v>
      </c>
    </row>
    <row r="16" spans="2:24" ht="13.8" x14ac:dyDescent="0.2">
      <c r="B16" s="8">
        <f t="shared" si="6"/>
        <v>55</v>
      </c>
      <c r="C16" s="10">
        <v>55</v>
      </c>
      <c r="D16" s="13" t="s">
        <v>2272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2351</v>
      </c>
    </row>
    <row r="17" spans="2:24" ht="13.8" x14ac:dyDescent="0.2">
      <c r="B17" s="8">
        <f t="shared" si="6"/>
        <v>59</v>
      </c>
      <c r="C17" s="10">
        <v>59</v>
      </c>
      <c r="D17" s="13" t="s">
        <v>2273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2243</v>
      </c>
    </row>
    <row r="18" spans="2:24" ht="13.8" x14ac:dyDescent="0.2">
      <c r="B18" s="8">
        <f t="shared" si="6"/>
        <v>60</v>
      </c>
      <c r="C18" s="10">
        <v>60</v>
      </c>
      <c r="D18" s="13" t="s">
        <v>2354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2352</v>
      </c>
    </row>
    <row r="19" spans="2:24" ht="13.8" x14ac:dyDescent="0.2">
      <c r="B19" s="8">
        <f t="shared" si="6"/>
        <v>62</v>
      </c>
      <c r="C19" s="10">
        <v>62</v>
      </c>
      <c r="D19" s="13" t="s">
        <v>2274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2244</v>
      </c>
    </row>
    <row r="20" spans="2:24" ht="13.8" x14ac:dyDescent="0.2">
      <c r="B20" s="8" t="str">
        <f t="shared" si="6"/>
        <v/>
      </c>
      <c r="C20" s="10"/>
      <c r="D20" s="9" t="s">
        <v>2275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2245</v>
      </c>
    </row>
    <row r="21" spans="2:24" ht="13.8" x14ac:dyDescent="0.2">
      <c r="B21" s="8" t="str">
        <f t="shared" si="6"/>
        <v/>
      </c>
      <c r="C21" s="10"/>
      <c r="D21" s="13" t="s">
        <v>2355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2353</v>
      </c>
    </row>
    <row r="22" spans="2:24" ht="13.8" x14ac:dyDescent="0.2">
      <c r="B22" s="8" t="str">
        <f t="shared" si="6"/>
        <v/>
      </c>
      <c r="C22" s="10"/>
      <c r="D22" s="13" t="s">
        <v>2276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2246</v>
      </c>
    </row>
    <row r="23" spans="2:24" ht="13.8" x14ac:dyDescent="0.2">
      <c r="B23" s="8">
        <f t="shared" si="6"/>
        <v>16</v>
      </c>
      <c r="C23" s="10">
        <v>16</v>
      </c>
      <c r="D23" s="13" t="s">
        <v>2277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2247</v>
      </c>
    </row>
    <row r="24" spans="2:24" ht="13.8" x14ac:dyDescent="0.2">
      <c r="B24" s="8">
        <f t="shared" si="6"/>
        <v>29</v>
      </c>
      <c r="C24" s="10">
        <v>29</v>
      </c>
      <c r="D24" s="13" t="s">
        <v>2278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2248</v>
      </c>
    </row>
    <row r="25" spans="2:24" ht="13.8" x14ac:dyDescent="0.2">
      <c r="B25" s="8">
        <f t="shared" si="6"/>
        <v>2</v>
      </c>
      <c r="C25" s="10">
        <v>2</v>
      </c>
      <c r="D25" s="13" t="s">
        <v>2279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2249</v>
      </c>
    </row>
    <row r="26" spans="2:24" ht="13.8" x14ac:dyDescent="0.2">
      <c r="B26" s="8">
        <f t="shared" si="6"/>
        <v>5</v>
      </c>
      <c r="C26" s="10">
        <v>5</v>
      </c>
      <c r="D26" s="13" t="s">
        <v>2280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2250</v>
      </c>
    </row>
    <row r="27" spans="2:24" ht="13.8" x14ac:dyDescent="0.2">
      <c r="B27" s="8">
        <f t="shared" si="6"/>
        <v>7</v>
      </c>
      <c r="C27" s="10">
        <v>7</v>
      </c>
      <c r="D27" s="13" t="s">
        <v>2356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2251</v>
      </c>
    </row>
    <row r="28" spans="2:24" ht="13.8" x14ac:dyDescent="0.2">
      <c r="B28" s="8">
        <f t="shared" si="6"/>
        <v>11</v>
      </c>
      <c r="C28" s="10">
        <v>11</v>
      </c>
      <c r="D28" s="13" t="s">
        <v>2281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2252</v>
      </c>
    </row>
    <row r="29" spans="2:24" ht="13.8" x14ac:dyDescent="0.2">
      <c r="B29" s="8">
        <f t="shared" si="6"/>
        <v>13</v>
      </c>
      <c r="C29" s="10">
        <v>13</v>
      </c>
      <c r="D29" s="13" t="s">
        <v>2282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2253</v>
      </c>
    </row>
    <row r="30" spans="2:24" ht="13.8" x14ac:dyDescent="0.2">
      <c r="B30" s="8">
        <f t="shared" si="6"/>
        <v>24</v>
      </c>
      <c r="C30" s="10">
        <v>24</v>
      </c>
      <c r="D30" s="13" t="s">
        <v>2283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2254</v>
      </c>
    </row>
    <row r="31" spans="2:24" ht="13.8" x14ac:dyDescent="0.2">
      <c r="B31" s="8">
        <f t="shared" si="6"/>
        <v>43</v>
      </c>
      <c r="C31" s="10">
        <v>43</v>
      </c>
      <c r="D31" s="13" t="s">
        <v>2284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2255</v>
      </c>
    </row>
    <row r="32" spans="2:24" ht="13.8" x14ac:dyDescent="0.2">
      <c r="B32" s="8">
        <f t="shared" si="6"/>
        <v>3</v>
      </c>
      <c r="C32" s="10">
        <v>3</v>
      </c>
      <c r="D32" s="13" t="s">
        <v>2285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2256</v>
      </c>
    </row>
    <row r="33" spans="2:24" ht="13.8" x14ac:dyDescent="0.2">
      <c r="B33" s="8">
        <f t="shared" si="6"/>
        <v>4</v>
      </c>
      <c r="C33" s="10">
        <v>4</v>
      </c>
      <c r="D33" s="13" t="s">
        <v>2286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2257</v>
      </c>
    </row>
    <row r="34" spans="2:24" ht="13.8" x14ac:dyDescent="0.2">
      <c r="B34" s="8">
        <f t="shared" si="6"/>
        <v>25</v>
      </c>
      <c r="C34" s="10">
        <v>25</v>
      </c>
      <c r="D34" s="13" t="s">
        <v>2287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2258</v>
      </c>
    </row>
    <row r="35" spans="2:24" ht="13.8" x14ac:dyDescent="0.2">
      <c r="B35" s="8">
        <f t="shared" si="6"/>
        <v>99</v>
      </c>
      <c r="C35" s="10">
        <v>99</v>
      </c>
      <c r="D35" s="13" t="s">
        <v>2288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2259</v>
      </c>
    </row>
    <row r="36" spans="2:24" ht="13.8" x14ac:dyDescent="0.2">
      <c r="B36" s="8">
        <f t="shared" si="6"/>
        <v>12</v>
      </c>
      <c r="C36" s="10">
        <v>12</v>
      </c>
      <c r="D36" s="13" t="s">
        <v>2289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2260</v>
      </c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ref="M69:M132" si="13">IFERROR(IF((G69+P69+Q69)/(F69+P69+Q69+S69)=1,"1.00",(G69+P69+Q69)/(F69+P69+Q69+S69)),0)</f>
        <v>0</v>
      </c>
      <c r="N69" s="11">
        <f t="shared" ref="N69:N132" si="14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  <v>0</v>
      </c>
      <c r="L70" s="7">
        <v>0</v>
      </c>
      <c r="M70" s="11">
        <f t="shared" si="13"/>
        <v>0</v>
      </c>
      <c r="N70" s="11">
        <f t="shared" si="14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  <v>0</v>
      </c>
      <c r="L133" s="7">
        <v>0</v>
      </c>
      <c r="M133" s="11">
        <f t="shared" ref="M133:M134" si="18">IFERROR(IF((G133+P133+Q133)/(F133+P133+Q133+S133)=1,"1.00",(G133+P133+Q133)/(F133+P133+Q133+S133)),0)</f>
        <v>0</v>
      </c>
      <c r="N133" s="11">
        <f t="shared" ref="N133:N134" si="19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8"/>
        <v>0</v>
      </c>
      <c r="N134" s="11">
        <f t="shared" si="19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DD882-A879-44AD-A758-8444C431C8CB}">
  <sheetPr codeName="Sheet21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65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525</v>
      </c>
      <c r="C3" s="55" t="s">
        <v>681</v>
      </c>
      <c r="D3" s="55" t="s">
        <v>682</v>
      </c>
      <c r="E3" s="56" t="s">
        <v>28</v>
      </c>
      <c r="F3" s="57" t="s">
        <v>0</v>
      </c>
      <c r="G3" s="54" t="s">
        <v>1</v>
      </c>
      <c r="H3" s="54" t="s">
        <v>253</v>
      </c>
      <c r="I3" s="54" t="s">
        <v>254</v>
      </c>
      <c r="J3" s="58" t="s">
        <v>683</v>
      </c>
      <c r="K3" s="54" t="s">
        <v>644</v>
      </c>
      <c r="L3" s="59" t="s">
        <v>2</v>
      </c>
      <c r="M3" s="60" t="s">
        <v>252</v>
      </c>
      <c r="N3" s="56" t="s">
        <v>255</v>
      </c>
      <c r="O3" s="61" t="s">
        <v>639</v>
      </c>
      <c r="P3" s="54" t="s">
        <v>150</v>
      </c>
      <c r="Q3" s="54" t="s">
        <v>151</v>
      </c>
      <c r="R3" s="54" t="s">
        <v>637</v>
      </c>
      <c r="S3" s="54" t="s">
        <v>638</v>
      </c>
      <c r="T3" s="54" t="s">
        <v>640</v>
      </c>
      <c r="U3" s="54" t="s">
        <v>641</v>
      </c>
      <c r="V3" s="54" t="s">
        <v>642</v>
      </c>
      <c r="W3" s="54" t="s">
        <v>643</v>
      </c>
      <c r="X3" s="158"/>
    </row>
    <row r="4" spans="2:24" ht="13.8" x14ac:dyDescent="0.2">
      <c r="B4" s="8">
        <f>IF(C4="","",C4)</f>
        <v>14</v>
      </c>
      <c r="C4" s="10">
        <v>14</v>
      </c>
      <c r="D4" s="13" t="s">
        <v>2362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2357</v>
      </c>
    </row>
    <row r="5" spans="2:24" ht="13.8" x14ac:dyDescent="0.2">
      <c r="B5" s="8">
        <f t="shared" ref="B5:B68" si="6">IF(C5="","",C5)</f>
        <v>16</v>
      </c>
      <c r="C5" s="10">
        <v>16</v>
      </c>
      <c r="D5" s="13" t="s">
        <v>2314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3"/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2290</v>
      </c>
    </row>
    <row r="6" spans="2:24" ht="13.8" x14ac:dyDescent="0.2">
      <c r="B6" s="8">
        <f t="shared" si="6"/>
        <v>22</v>
      </c>
      <c r="C6" s="10">
        <v>22</v>
      </c>
      <c r="D6" s="13" t="s">
        <v>2315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3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2291</v>
      </c>
    </row>
    <row r="7" spans="2:24" ht="13.8" x14ac:dyDescent="0.2">
      <c r="B7" s="8">
        <f t="shared" si="6"/>
        <v>25</v>
      </c>
      <c r="C7" s="10">
        <v>25</v>
      </c>
      <c r="D7" s="13" t="s">
        <v>2316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3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2366</v>
      </c>
    </row>
    <row r="8" spans="2:24" ht="13.8" x14ac:dyDescent="0.2">
      <c r="B8" s="8">
        <f t="shared" si="6"/>
        <v>35</v>
      </c>
      <c r="C8" s="10">
        <v>35</v>
      </c>
      <c r="D8" s="13" t="s">
        <v>2317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3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2292</v>
      </c>
    </row>
    <row r="9" spans="2:24" ht="13.8" x14ac:dyDescent="0.2">
      <c r="B9" s="8">
        <f t="shared" si="6"/>
        <v>37</v>
      </c>
      <c r="C9" s="10">
        <v>37</v>
      </c>
      <c r="D9" s="13" t="s">
        <v>2318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3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2293</v>
      </c>
    </row>
    <row r="10" spans="2:24" ht="13.8" x14ac:dyDescent="0.2">
      <c r="B10" s="8">
        <f t="shared" si="6"/>
        <v>40</v>
      </c>
      <c r="C10" s="10">
        <v>40</v>
      </c>
      <c r="D10" s="13" t="s">
        <v>2319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3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2358</v>
      </c>
    </row>
    <row r="11" spans="2:24" ht="13.8" x14ac:dyDescent="0.2">
      <c r="B11" s="8">
        <f t="shared" si="6"/>
        <v>44</v>
      </c>
      <c r="C11" s="10">
        <v>44</v>
      </c>
      <c r="D11" s="13" t="s">
        <v>2363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3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2359</v>
      </c>
    </row>
    <row r="12" spans="2:24" ht="13.8" x14ac:dyDescent="0.2">
      <c r="B12" s="8">
        <f t="shared" si="6"/>
        <v>47</v>
      </c>
      <c r="C12" s="10">
        <v>47</v>
      </c>
      <c r="D12" s="13" t="s">
        <v>2320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3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2294</v>
      </c>
    </row>
    <row r="13" spans="2:24" ht="13.8" x14ac:dyDescent="0.2">
      <c r="B13" s="8">
        <f t="shared" si="6"/>
        <v>50</v>
      </c>
      <c r="C13" s="10">
        <v>50</v>
      </c>
      <c r="D13" s="13" t="s">
        <v>2364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3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2360</v>
      </c>
    </row>
    <row r="14" spans="2:24" ht="13.8" x14ac:dyDescent="0.2">
      <c r="B14" s="8">
        <f t="shared" si="6"/>
        <v>52</v>
      </c>
      <c r="C14" s="10">
        <v>52</v>
      </c>
      <c r="D14" s="13" t="s">
        <v>112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3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2295</v>
      </c>
    </row>
    <row r="15" spans="2:24" ht="13.8" x14ac:dyDescent="0.2">
      <c r="B15" s="8">
        <f t="shared" si="6"/>
        <v>57</v>
      </c>
      <c r="C15" s="10">
        <v>57</v>
      </c>
      <c r="D15" s="13" t="s">
        <v>2365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3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2361</v>
      </c>
    </row>
    <row r="16" spans="2:24" ht="13.8" x14ac:dyDescent="0.2">
      <c r="B16" s="8">
        <f t="shared" si="6"/>
        <v>58</v>
      </c>
      <c r="C16" s="10">
        <v>58</v>
      </c>
      <c r="D16" s="13" t="s">
        <v>2321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3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2296</v>
      </c>
    </row>
    <row r="17" spans="2:24" ht="13.8" x14ac:dyDescent="0.2">
      <c r="B17" s="8">
        <f t="shared" si="6"/>
        <v>61</v>
      </c>
      <c r="C17" s="10">
        <v>61</v>
      </c>
      <c r="D17" s="13" t="s">
        <v>2322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3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2297</v>
      </c>
    </row>
    <row r="18" spans="2:24" ht="13.8" x14ac:dyDescent="0.2">
      <c r="B18" s="8">
        <f t="shared" si="6"/>
        <v>64</v>
      </c>
      <c r="C18" s="10">
        <v>64</v>
      </c>
      <c r="D18" s="13" t="s">
        <v>2323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3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2298</v>
      </c>
    </row>
    <row r="19" spans="2:24" ht="13.8" x14ac:dyDescent="0.2">
      <c r="B19" s="8">
        <f t="shared" si="6"/>
        <v>65</v>
      </c>
      <c r="C19" s="10">
        <v>65</v>
      </c>
      <c r="D19" s="13" t="s">
        <v>2324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3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2299</v>
      </c>
    </row>
    <row r="20" spans="2:24" ht="13.8" x14ac:dyDescent="0.2">
      <c r="B20" s="8">
        <f t="shared" si="6"/>
        <v>23</v>
      </c>
      <c r="C20" s="10">
        <v>23</v>
      </c>
      <c r="D20" s="9" t="s">
        <v>2367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3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2300</v>
      </c>
    </row>
    <row r="21" spans="2:24" ht="13.8" x14ac:dyDescent="0.2">
      <c r="B21" s="8">
        <f t="shared" si="6"/>
        <v>34</v>
      </c>
      <c r="C21" s="10">
        <v>34</v>
      </c>
      <c r="D21" s="13" t="s">
        <v>2325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3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2301</v>
      </c>
    </row>
    <row r="22" spans="2:24" ht="13.8" x14ac:dyDescent="0.2">
      <c r="B22" s="8">
        <f t="shared" si="6"/>
        <v>2</v>
      </c>
      <c r="C22" s="10">
        <v>2</v>
      </c>
      <c r="D22" s="13" t="s">
        <v>2326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3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2302</v>
      </c>
    </row>
    <row r="23" spans="2:24" ht="13.8" x14ac:dyDescent="0.2">
      <c r="B23" s="8">
        <f t="shared" si="6"/>
        <v>6</v>
      </c>
      <c r="C23" s="10">
        <v>6</v>
      </c>
      <c r="D23" s="13" t="s">
        <v>732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3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2303</v>
      </c>
    </row>
    <row r="24" spans="2:24" ht="13.8" x14ac:dyDescent="0.2">
      <c r="B24" s="8">
        <f t="shared" si="6"/>
        <v>7</v>
      </c>
      <c r="C24" s="10">
        <v>7</v>
      </c>
      <c r="D24" s="13" t="s">
        <v>2327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3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2304</v>
      </c>
    </row>
    <row r="25" spans="2:24" ht="13.8" x14ac:dyDescent="0.2">
      <c r="B25" s="8">
        <f t="shared" si="6"/>
        <v>12</v>
      </c>
      <c r="C25" s="10">
        <v>12</v>
      </c>
      <c r="D25" s="13" t="s">
        <v>2368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3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2305</v>
      </c>
    </row>
    <row r="26" spans="2:24" ht="13.8" x14ac:dyDescent="0.2">
      <c r="B26" s="8">
        <f t="shared" si="6"/>
        <v>15</v>
      </c>
      <c r="C26" s="10">
        <v>15</v>
      </c>
      <c r="D26" s="13" t="s">
        <v>2328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3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2306</v>
      </c>
    </row>
    <row r="27" spans="2:24" ht="13.8" x14ac:dyDescent="0.2">
      <c r="B27" s="8">
        <f t="shared" si="6"/>
        <v>24</v>
      </c>
      <c r="C27" s="10">
        <v>24</v>
      </c>
      <c r="D27" s="13" t="s">
        <v>2329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3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2307</v>
      </c>
    </row>
    <row r="28" spans="2:24" ht="13.8" x14ac:dyDescent="0.2">
      <c r="B28" s="8">
        <f t="shared" si="6"/>
        <v>31</v>
      </c>
      <c r="C28" s="10">
        <v>31</v>
      </c>
      <c r="D28" s="13" t="s">
        <v>2330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3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2308</v>
      </c>
    </row>
    <row r="29" spans="2:24" ht="13.8" x14ac:dyDescent="0.2">
      <c r="B29" s="8">
        <f t="shared" si="6"/>
        <v>1</v>
      </c>
      <c r="C29" s="10">
        <v>1</v>
      </c>
      <c r="D29" s="13" t="s">
        <v>2331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3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2309</v>
      </c>
    </row>
    <row r="30" spans="2:24" ht="13.8" x14ac:dyDescent="0.2">
      <c r="B30" s="8">
        <f t="shared" si="6"/>
        <v>8</v>
      </c>
      <c r="C30" s="10">
        <v>8</v>
      </c>
      <c r="D30" s="13" t="s">
        <v>2332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3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2310</v>
      </c>
    </row>
    <row r="31" spans="2:24" ht="13.8" x14ac:dyDescent="0.2">
      <c r="B31" s="8">
        <f t="shared" si="6"/>
        <v>9</v>
      </c>
      <c r="C31" s="10">
        <v>9</v>
      </c>
      <c r="D31" s="13" t="s">
        <v>2333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3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2311</v>
      </c>
    </row>
    <row r="32" spans="2:24" ht="13.8" x14ac:dyDescent="0.2">
      <c r="B32" s="8">
        <f t="shared" si="6"/>
        <v>21</v>
      </c>
      <c r="C32" s="10">
        <v>21</v>
      </c>
      <c r="D32" s="13" t="s">
        <v>2334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3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2312</v>
      </c>
    </row>
    <row r="33" spans="2:24" ht="13.8" x14ac:dyDescent="0.2">
      <c r="B33" s="8">
        <f t="shared" si="6"/>
        <v>29</v>
      </c>
      <c r="C33" s="10">
        <v>29</v>
      </c>
      <c r="D33" s="13" t="s">
        <v>2335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3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2313</v>
      </c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3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3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3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3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3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3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3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3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3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3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3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3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3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3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3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3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3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3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3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3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3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3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3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3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3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3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3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3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3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3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3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3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ref="M66:M129" si="9">IFERROR(IF((G66+P66+Q66)/(F66+P66+Q66+S66)=1,"1.00",(G66+P66+Q66)/(F66+P66+Q66+S66)),0)</f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9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9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9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9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9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9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9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9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9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9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9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9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9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9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9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9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9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9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9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9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9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9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9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9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9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9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9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9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9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9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9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9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9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9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9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9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9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9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9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9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9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9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9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9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9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9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9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9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9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9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9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9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9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9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9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9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9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9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9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9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9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9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9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0</v>
      </c>
      <c r="M130" s="11">
        <f t="shared" ref="M130:M134" si="14">IFERROR(IF((G130+P130+Q130)/(F130+P130+Q130+S130)=1,"1.00",(G130+P130+Q130)/(F130+P130+Q130+S130)),0)</f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0</v>
      </c>
      <c r="M131" s="11">
        <f t="shared" si="14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0</v>
      </c>
      <c r="M132" s="11">
        <f t="shared" si="14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si="14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si="14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FC69B-9E92-4CA2-898B-D67DED61121D}">
  <sheetPr codeName="Sheet22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65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525</v>
      </c>
      <c r="C3" s="55" t="s">
        <v>681</v>
      </c>
      <c r="D3" s="55" t="s">
        <v>682</v>
      </c>
      <c r="E3" s="56" t="s">
        <v>28</v>
      </c>
      <c r="F3" s="57" t="s">
        <v>0</v>
      </c>
      <c r="G3" s="54" t="s">
        <v>1</v>
      </c>
      <c r="H3" s="54" t="s">
        <v>253</v>
      </c>
      <c r="I3" s="54" t="s">
        <v>254</v>
      </c>
      <c r="J3" s="58" t="s">
        <v>683</v>
      </c>
      <c r="K3" s="54" t="s">
        <v>644</v>
      </c>
      <c r="L3" s="59" t="s">
        <v>2</v>
      </c>
      <c r="M3" s="60" t="s">
        <v>252</v>
      </c>
      <c r="N3" s="56" t="s">
        <v>255</v>
      </c>
      <c r="O3" s="61" t="s">
        <v>639</v>
      </c>
      <c r="P3" s="54" t="s">
        <v>150</v>
      </c>
      <c r="Q3" s="54" t="s">
        <v>151</v>
      </c>
      <c r="R3" s="54" t="s">
        <v>637</v>
      </c>
      <c r="S3" s="54" t="s">
        <v>638</v>
      </c>
      <c r="T3" s="54" t="s">
        <v>640</v>
      </c>
      <c r="U3" s="54" t="s">
        <v>641</v>
      </c>
      <c r="V3" s="54" t="s">
        <v>642</v>
      </c>
      <c r="W3" s="54" t="s">
        <v>643</v>
      </c>
      <c r="X3" s="158"/>
    </row>
    <row r="4" spans="2:24" ht="13.8" x14ac:dyDescent="0.2">
      <c r="B4" s="8" t="str">
        <f>IF(C4="","",C4)</f>
        <v>1</v>
      </c>
      <c r="C4" s="10" t="s">
        <v>2369</v>
      </c>
      <c r="D4" s="13" t="s">
        <v>2399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2399</v>
      </c>
    </row>
    <row r="5" spans="2:24" ht="13.8" x14ac:dyDescent="0.2">
      <c r="B5" s="8" t="str">
        <f t="shared" ref="B5:B68" si="6">IF(C5="","",C5)</f>
        <v>11</v>
      </c>
      <c r="C5" s="10" t="s">
        <v>2370</v>
      </c>
      <c r="D5" s="13" t="s">
        <v>2400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3"/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2400</v>
      </c>
    </row>
    <row r="6" spans="2:24" ht="13.8" x14ac:dyDescent="0.2">
      <c r="B6" s="8" t="str">
        <f t="shared" si="6"/>
        <v>14</v>
      </c>
      <c r="C6" s="10" t="s">
        <v>2371</v>
      </c>
      <c r="D6" s="13" t="s">
        <v>2401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3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2401</v>
      </c>
    </row>
    <row r="7" spans="2:24" ht="13.8" x14ac:dyDescent="0.2">
      <c r="B7" s="8" t="str">
        <f t="shared" si="6"/>
        <v>19</v>
      </c>
      <c r="C7" s="10" t="s">
        <v>2372</v>
      </c>
      <c r="D7" s="13" t="s">
        <v>2402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3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2402</v>
      </c>
    </row>
    <row r="8" spans="2:24" ht="13.8" x14ac:dyDescent="0.2">
      <c r="B8" s="8" t="str">
        <f t="shared" si="6"/>
        <v>29</v>
      </c>
      <c r="C8" s="10" t="s">
        <v>2373</v>
      </c>
      <c r="D8" s="13" t="s">
        <v>2403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3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2403</v>
      </c>
    </row>
    <row r="9" spans="2:24" ht="13.8" x14ac:dyDescent="0.2">
      <c r="B9" s="8" t="str">
        <f t="shared" si="6"/>
        <v>30</v>
      </c>
      <c r="C9" s="10" t="s">
        <v>2374</v>
      </c>
      <c r="D9" s="13" t="s">
        <v>2404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3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2404</v>
      </c>
    </row>
    <row r="10" spans="2:24" ht="13.8" x14ac:dyDescent="0.2">
      <c r="B10" s="8" t="str">
        <f t="shared" si="6"/>
        <v>33</v>
      </c>
      <c r="C10" s="10" t="s">
        <v>2375</v>
      </c>
      <c r="D10" s="13" t="s">
        <v>2429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3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2405</v>
      </c>
    </row>
    <row r="11" spans="2:24" ht="13.8" x14ac:dyDescent="0.2">
      <c r="B11" s="8" t="str">
        <f t="shared" si="6"/>
        <v>38</v>
      </c>
      <c r="C11" s="10" t="s">
        <v>2376</v>
      </c>
      <c r="D11" s="13" t="s">
        <v>2406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3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 t="s">
        <v>2406</v>
      </c>
    </row>
    <row r="12" spans="2:24" ht="13.8" x14ac:dyDescent="0.2">
      <c r="B12" s="8" t="str">
        <f t="shared" si="6"/>
        <v>47</v>
      </c>
      <c r="C12" s="10" t="s">
        <v>2377</v>
      </c>
      <c r="D12" s="13" t="s">
        <v>2407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3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2407</v>
      </c>
    </row>
    <row r="13" spans="2:24" ht="13.8" x14ac:dyDescent="0.2">
      <c r="B13" s="8" t="str">
        <f t="shared" si="6"/>
        <v>54</v>
      </c>
      <c r="C13" s="10" t="s">
        <v>2378</v>
      </c>
      <c r="D13" s="13" t="s">
        <v>2408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3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2408</v>
      </c>
    </row>
    <row r="14" spans="2:24" ht="13.8" x14ac:dyDescent="0.2">
      <c r="B14" s="8" t="str">
        <f t="shared" si="6"/>
        <v>60</v>
      </c>
      <c r="C14" s="10" t="s">
        <v>2379</v>
      </c>
      <c r="D14" s="13" t="s">
        <v>2409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3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2409</v>
      </c>
    </row>
    <row r="15" spans="2:24" ht="13.8" x14ac:dyDescent="0.2">
      <c r="B15" s="8" t="str">
        <f t="shared" si="6"/>
        <v>61</v>
      </c>
      <c r="C15" s="10" t="s">
        <v>2380</v>
      </c>
      <c r="D15" s="13" t="s">
        <v>2410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3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 t="s">
        <v>2410</v>
      </c>
    </row>
    <row r="16" spans="2:24" ht="13.8" x14ac:dyDescent="0.2">
      <c r="B16" s="8" t="str">
        <f t="shared" si="6"/>
        <v>63</v>
      </c>
      <c r="C16" s="10" t="s">
        <v>2381</v>
      </c>
      <c r="D16" s="13" t="s">
        <v>2411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3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2411</v>
      </c>
    </row>
    <row r="17" spans="2:24" ht="13.8" x14ac:dyDescent="0.2">
      <c r="B17" s="8" t="str">
        <f t="shared" si="6"/>
        <v>66</v>
      </c>
      <c r="C17" s="10" t="s">
        <v>2382</v>
      </c>
      <c r="D17" s="13" t="s">
        <v>2412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3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2412</v>
      </c>
    </row>
    <row r="18" spans="2:24" ht="13.8" x14ac:dyDescent="0.2">
      <c r="B18" s="8" t="str">
        <f t="shared" si="6"/>
        <v>99</v>
      </c>
      <c r="C18" s="10" t="s">
        <v>2383</v>
      </c>
      <c r="D18" s="13" t="s">
        <v>2413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3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2413</v>
      </c>
    </row>
    <row r="19" spans="2:24" ht="13.8" x14ac:dyDescent="0.2">
      <c r="B19" s="8" t="str">
        <f t="shared" si="6"/>
        <v>25</v>
      </c>
      <c r="C19" s="10" t="s">
        <v>2384</v>
      </c>
      <c r="D19" s="13" t="s">
        <v>2414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3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2414</v>
      </c>
    </row>
    <row r="20" spans="2:24" ht="13.8" x14ac:dyDescent="0.2">
      <c r="B20" s="8" t="str">
        <f t="shared" si="6"/>
        <v>27</v>
      </c>
      <c r="C20" s="10" t="s">
        <v>2385</v>
      </c>
      <c r="D20" s="9" t="s">
        <v>2415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3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9" t="s">
        <v>2415</v>
      </c>
    </row>
    <row r="21" spans="2:24" ht="13.8" x14ac:dyDescent="0.2">
      <c r="B21" s="8" t="str">
        <f t="shared" si="6"/>
        <v>2</v>
      </c>
      <c r="C21" s="10" t="s">
        <v>2386</v>
      </c>
      <c r="D21" s="13" t="s">
        <v>2416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3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2416</v>
      </c>
    </row>
    <row r="22" spans="2:24" ht="13.8" x14ac:dyDescent="0.2">
      <c r="B22" s="8" t="str">
        <f t="shared" si="6"/>
        <v>3</v>
      </c>
      <c r="C22" s="10" t="s">
        <v>2387</v>
      </c>
      <c r="D22" s="13" t="s">
        <v>2417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3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2417</v>
      </c>
    </row>
    <row r="23" spans="2:24" ht="13.8" x14ac:dyDescent="0.2">
      <c r="B23" s="8" t="str">
        <f t="shared" si="6"/>
        <v>4</v>
      </c>
      <c r="C23" s="10" t="s">
        <v>2388</v>
      </c>
      <c r="D23" s="13" t="s">
        <v>2418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3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2418</v>
      </c>
    </row>
    <row r="24" spans="2:24" ht="13.8" x14ac:dyDescent="0.2">
      <c r="B24" s="8" t="str">
        <f t="shared" si="6"/>
        <v>5</v>
      </c>
      <c r="C24" s="10" t="s">
        <v>2389</v>
      </c>
      <c r="D24" s="13" t="s">
        <v>2419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3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2419</v>
      </c>
    </row>
    <row r="25" spans="2:24" ht="13.8" x14ac:dyDescent="0.2">
      <c r="B25" s="8" t="str">
        <f t="shared" si="6"/>
        <v>7</v>
      </c>
      <c r="C25" s="10" t="s">
        <v>2390</v>
      </c>
      <c r="D25" s="13" t="s">
        <v>2420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3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2420</v>
      </c>
    </row>
    <row r="26" spans="2:24" ht="13.8" x14ac:dyDescent="0.2">
      <c r="B26" s="8" t="str">
        <f t="shared" si="6"/>
        <v>8</v>
      </c>
      <c r="C26" s="10" t="s">
        <v>2391</v>
      </c>
      <c r="D26" s="13" t="s">
        <v>2421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3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2421</v>
      </c>
    </row>
    <row r="27" spans="2:24" ht="13.8" x14ac:dyDescent="0.2">
      <c r="B27" s="8" t="str">
        <f t="shared" si="6"/>
        <v>10</v>
      </c>
      <c r="C27" s="10" t="s">
        <v>2392</v>
      </c>
      <c r="D27" s="13" t="s">
        <v>2430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3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2422</v>
      </c>
    </row>
    <row r="28" spans="2:24" ht="13.8" x14ac:dyDescent="0.2">
      <c r="B28" s="8" t="str">
        <f t="shared" si="6"/>
        <v>15</v>
      </c>
      <c r="C28" s="10" t="s">
        <v>2393</v>
      </c>
      <c r="D28" s="13" t="s">
        <v>2431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3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2423</v>
      </c>
    </row>
    <row r="29" spans="2:24" ht="13.8" x14ac:dyDescent="0.2">
      <c r="B29" s="8" t="str">
        <f t="shared" si="6"/>
        <v>17</v>
      </c>
      <c r="C29" s="10" t="s">
        <v>2394</v>
      </c>
      <c r="D29" s="13" t="s">
        <v>2424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3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2424</v>
      </c>
    </row>
    <row r="30" spans="2:24" ht="13.8" x14ac:dyDescent="0.2">
      <c r="B30" s="8" t="str">
        <f t="shared" si="6"/>
        <v>22</v>
      </c>
      <c r="C30" s="10" t="s">
        <v>2395</v>
      </c>
      <c r="D30" s="13" t="s">
        <v>2425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3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2425</v>
      </c>
    </row>
    <row r="31" spans="2:24" ht="13.8" x14ac:dyDescent="0.2">
      <c r="B31" s="8" t="str">
        <f t="shared" si="6"/>
        <v>23</v>
      </c>
      <c r="C31" s="10" t="s">
        <v>2396</v>
      </c>
      <c r="D31" s="13" t="s">
        <v>2427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3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2427</v>
      </c>
    </row>
    <row r="32" spans="2:24" ht="13.8" x14ac:dyDescent="0.2">
      <c r="B32" s="8" t="str">
        <f t="shared" si="6"/>
        <v>51</v>
      </c>
      <c r="C32" s="10" t="s">
        <v>2397</v>
      </c>
      <c r="D32" s="13" t="s">
        <v>2426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3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2426</v>
      </c>
    </row>
    <row r="33" spans="2:24" ht="13.8" x14ac:dyDescent="0.2">
      <c r="B33" s="8" t="str">
        <f t="shared" si="6"/>
        <v>65</v>
      </c>
      <c r="C33" s="10" t="s">
        <v>2398</v>
      </c>
      <c r="D33" s="13" t="s">
        <v>2428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3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2428</v>
      </c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3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3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3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3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3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3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3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3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3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3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3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3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3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3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3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3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3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3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3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3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3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3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3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3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3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3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3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3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3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3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3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3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ref="M66:M129" si="9">IFERROR(IF((G66+P66+Q66)/(F66+P66+Q66+S66)=1,"1.00",(G66+P66+Q66)/(F66+P66+Q66+S66)),0)</f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9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9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9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9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9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9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9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9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9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9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9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9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9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9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9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9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9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9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9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9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9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9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9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9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9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9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9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9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9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9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9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9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9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9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9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9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9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9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9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9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9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9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9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9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9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9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9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9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9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9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9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9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9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9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9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9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9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9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9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9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9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9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9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0</v>
      </c>
      <c r="M130" s="11">
        <f t="shared" ref="M130:M134" si="14">IFERROR(IF((G130+P130+Q130)/(F130+P130+Q130+S130)=1,"1.00",(G130+P130+Q130)/(F130+P130+Q130+S130)),0)</f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0</v>
      </c>
      <c r="M131" s="11">
        <f t="shared" si="14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0</v>
      </c>
      <c r="M132" s="11">
        <f t="shared" si="14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si="14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si="14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12EC1-306A-458F-8F24-495643CCDA0D}">
  <sheetPr codeName="Sheet2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65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525</v>
      </c>
      <c r="C3" s="55" t="s">
        <v>681</v>
      </c>
      <c r="D3" s="55" t="s">
        <v>682</v>
      </c>
      <c r="E3" s="56" t="s">
        <v>28</v>
      </c>
      <c r="F3" s="57" t="s">
        <v>0</v>
      </c>
      <c r="G3" s="54" t="s">
        <v>1</v>
      </c>
      <c r="H3" s="54" t="s">
        <v>253</v>
      </c>
      <c r="I3" s="54" t="s">
        <v>254</v>
      </c>
      <c r="J3" s="58" t="s">
        <v>683</v>
      </c>
      <c r="K3" s="54" t="s">
        <v>644</v>
      </c>
      <c r="L3" s="59" t="s">
        <v>2</v>
      </c>
      <c r="M3" s="60" t="s">
        <v>252</v>
      </c>
      <c r="N3" s="56" t="s">
        <v>255</v>
      </c>
      <c r="O3" s="61" t="s">
        <v>639</v>
      </c>
      <c r="P3" s="54" t="s">
        <v>150</v>
      </c>
      <c r="Q3" s="54" t="s">
        <v>151</v>
      </c>
      <c r="R3" s="54" t="s">
        <v>637</v>
      </c>
      <c r="S3" s="54" t="s">
        <v>638</v>
      </c>
      <c r="T3" s="54" t="s">
        <v>640</v>
      </c>
      <c r="U3" s="54" t="s">
        <v>641</v>
      </c>
      <c r="V3" s="54" t="s">
        <v>642</v>
      </c>
      <c r="W3" s="54" t="s">
        <v>643</v>
      </c>
      <c r="X3" s="158"/>
    </row>
    <row r="4" spans="2:24" ht="13.8" x14ac:dyDescent="0.2">
      <c r="B4" s="8">
        <f>IF(C4="","",C4)</f>
        <v>7</v>
      </c>
      <c r="C4" s="10">
        <v>7</v>
      </c>
      <c r="D4" s="13" t="s">
        <v>2459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2432</v>
      </c>
    </row>
    <row r="5" spans="2:24" ht="13.8" x14ac:dyDescent="0.2">
      <c r="B5" s="8">
        <f t="shared" ref="B5:B68" si="6">IF(C5="","",C5)</f>
        <v>37</v>
      </c>
      <c r="C5" s="10">
        <v>37</v>
      </c>
      <c r="D5" s="13" t="s">
        <v>2475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3"/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2476</v>
      </c>
    </row>
    <row r="6" spans="2:24" ht="13.8" x14ac:dyDescent="0.2">
      <c r="B6" s="8">
        <f t="shared" si="6"/>
        <v>40</v>
      </c>
      <c r="C6" s="10">
        <v>40</v>
      </c>
      <c r="D6" s="13" t="s">
        <v>2460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3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2433</v>
      </c>
    </row>
    <row r="7" spans="2:24" ht="13.8" x14ac:dyDescent="0.2">
      <c r="B7" s="8">
        <f t="shared" si="6"/>
        <v>43</v>
      </c>
      <c r="C7" s="10">
        <v>43</v>
      </c>
      <c r="D7" s="13" t="s">
        <v>2461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3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2434</v>
      </c>
    </row>
    <row r="8" spans="2:24" ht="13.8" x14ac:dyDescent="0.2">
      <c r="B8" s="8">
        <f t="shared" si="6"/>
        <v>45</v>
      </c>
      <c r="C8" s="10">
        <v>45</v>
      </c>
      <c r="D8" s="13" t="s">
        <v>2462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3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2435</v>
      </c>
    </row>
    <row r="9" spans="2:24" ht="13.8" x14ac:dyDescent="0.2">
      <c r="B9" s="8">
        <f t="shared" si="6"/>
        <v>47</v>
      </c>
      <c r="C9" s="10">
        <v>47</v>
      </c>
      <c r="D9" s="13" t="s">
        <v>1586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3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2477</v>
      </c>
    </row>
    <row r="10" spans="2:24" ht="13.8" x14ac:dyDescent="0.2">
      <c r="B10" s="8">
        <f t="shared" si="6"/>
        <v>48</v>
      </c>
      <c r="C10" s="10">
        <v>48</v>
      </c>
      <c r="D10" s="13" t="s">
        <v>2463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3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2436</v>
      </c>
    </row>
    <row r="11" spans="2:24" ht="13.8" x14ac:dyDescent="0.2">
      <c r="B11" s="8">
        <f t="shared" si="6"/>
        <v>53</v>
      </c>
      <c r="C11" s="10">
        <v>53</v>
      </c>
      <c r="D11" s="13" t="s">
        <v>2464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3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 t="s">
        <v>2437</v>
      </c>
    </row>
    <row r="12" spans="2:24" ht="13.8" x14ac:dyDescent="0.2">
      <c r="B12" s="8">
        <f t="shared" si="6"/>
        <v>54</v>
      </c>
      <c r="C12" s="10">
        <v>54</v>
      </c>
      <c r="D12" s="13" t="s">
        <v>934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3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2438</v>
      </c>
    </row>
    <row r="13" spans="2:24" ht="13.8" x14ac:dyDescent="0.2">
      <c r="B13" s="8">
        <f t="shared" si="6"/>
        <v>58</v>
      </c>
      <c r="C13" s="10">
        <v>58</v>
      </c>
      <c r="D13" s="13" t="s">
        <v>2465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3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2439</v>
      </c>
    </row>
    <row r="14" spans="2:24" ht="13.8" x14ac:dyDescent="0.2">
      <c r="B14" s="8">
        <f t="shared" si="6"/>
        <v>60</v>
      </c>
      <c r="C14" s="10">
        <v>60</v>
      </c>
      <c r="D14" s="13" t="s">
        <v>2482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3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2440</v>
      </c>
    </row>
    <row r="15" spans="2:24" ht="13.8" x14ac:dyDescent="0.2">
      <c r="B15" s="8">
        <f t="shared" si="6"/>
        <v>61</v>
      </c>
      <c r="C15" s="10">
        <v>61</v>
      </c>
      <c r="D15" s="13" t="s">
        <v>2199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3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 t="s">
        <v>2441</v>
      </c>
    </row>
    <row r="16" spans="2:24" ht="13.8" x14ac:dyDescent="0.2">
      <c r="B16" s="8">
        <f t="shared" si="6"/>
        <v>65</v>
      </c>
      <c r="C16" s="10">
        <v>65</v>
      </c>
      <c r="D16" s="13" t="s">
        <v>2480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3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2442</v>
      </c>
    </row>
    <row r="17" spans="2:24" ht="13.8" x14ac:dyDescent="0.2">
      <c r="B17" s="8">
        <f t="shared" si="6"/>
        <v>66</v>
      </c>
      <c r="C17" s="10">
        <v>66</v>
      </c>
      <c r="D17" s="13" t="s">
        <v>2466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3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2443</v>
      </c>
    </row>
    <row r="18" spans="2:24" ht="13.8" x14ac:dyDescent="0.2">
      <c r="B18" s="8">
        <f t="shared" si="6"/>
        <v>75</v>
      </c>
      <c r="C18" s="10">
        <v>75</v>
      </c>
      <c r="D18" s="13" t="s">
        <v>2467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3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2444</v>
      </c>
    </row>
    <row r="19" spans="2:24" ht="13.8" x14ac:dyDescent="0.2">
      <c r="B19" s="8">
        <f t="shared" si="6"/>
        <v>28</v>
      </c>
      <c r="C19" s="10">
        <v>28</v>
      </c>
      <c r="D19" s="13" t="s">
        <v>2468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3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2445</v>
      </c>
    </row>
    <row r="20" spans="2:24" ht="13.8" x14ac:dyDescent="0.2">
      <c r="B20" s="8">
        <f t="shared" si="6"/>
        <v>50</v>
      </c>
      <c r="C20" s="10">
        <v>50</v>
      </c>
      <c r="D20" s="9" t="s">
        <v>1113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3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9" t="s">
        <v>2446</v>
      </c>
    </row>
    <row r="21" spans="2:24" ht="13.8" x14ac:dyDescent="0.2">
      <c r="B21" s="8">
        <f t="shared" si="6"/>
        <v>2</v>
      </c>
      <c r="C21" s="10">
        <v>2</v>
      </c>
      <c r="D21" s="13" t="s">
        <v>2021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3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2447</v>
      </c>
    </row>
    <row r="22" spans="2:24" ht="13.8" x14ac:dyDescent="0.2">
      <c r="B22" s="8">
        <f t="shared" si="6"/>
        <v>3</v>
      </c>
      <c r="C22" s="10">
        <v>3</v>
      </c>
      <c r="D22" s="13" t="s">
        <v>993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3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2448</v>
      </c>
    </row>
    <row r="23" spans="2:24" ht="13.8" x14ac:dyDescent="0.2">
      <c r="B23" s="8">
        <f t="shared" si="6"/>
        <v>4</v>
      </c>
      <c r="C23" s="10">
        <v>4</v>
      </c>
      <c r="D23" s="13" t="s">
        <v>153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3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2478</v>
      </c>
    </row>
    <row r="24" spans="2:24" ht="13.8" x14ac:dyDescent="0.2">
      <c r="B24" s="8">
        <f t="shared" si="6"/>
        <v>11</v>
      </c>
      <c r="C24" s="10">
        <v>11</v>
      </c>
      <c r="D24" s="13" t="s">
        <v>992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3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2449</v>
      </c>
    </row>
    <row r="25" spans="2:24" ht="13.8" x14ac:dyDescent="0.2">
      <c r="B25" s="8">
        <f t="shared" si="6"/>
        <v>13</v>
      </c>
      <c r="C25" s="10">
        <v>13</v>
      </c>
      <c r="D25" s="13" t="s">
        <v>2469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3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2450</v>
      </c>
    </row>
    <row r="26" spans="2:24" ht="13.8" x14ac:dyDescent="0.2">
      <c r="B26" s="8">
        <f t="shared" si="6"/>
        <v>14</v>
      </c>
      <c r="C26" s="10">
        <v>14</v>
      </c>
      <c r="D26" s="13" t="s">
        <v>2479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3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2451</v>
      </c>
    </row>
    <row r="27" spans="2:24" ht="13.8" x14ac:dyDescent="0.2">
      <c r="B27" s="8">
        <f t="shared" si="6"/>
        <v>27</v>
      </c>
      <c r="C27" s="10">
        <v>27</v>
      </c>
      <c r="D27" s="13" t="s">
        <v>2473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3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2452</v>
      </c>
    </row>
    <row r="28" spans="2:24" ht="13.8" x14ac:dyDescent="0.2">
      <c r="B28" s="8">
        <f t="shared" si="6"/>
        <v>41</v>
      </c>
      <c r="C28" s="10">
        <v>41</v>
      </c>
      <c r="D28" s="13" t="s">
        <v>2483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3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2453</v>
      </c>
    </row>
    <row r="29" spans="2:24" ht="13.8" x14ac:dyDescent="0.2">
      <c r="B29" s="8">
        <f t="shared" si="6"/>
        <v>0</v>
      </c>
      <c r="C29" s="10">
        <v>0</v>
      </c>
      <c r="D29" s="13" t="s">
        <v>2471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3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2454</v>
      </c>
    </row>
    <row r="30" spans="2:24" ht="13.8" x14ac:dyDescent="0.2">
      <c r="B30" s="8">
        <f t="shared" si="6"/>
        <v>15</v>
      </c>
      <c r="C30" s="10">
        <v>15</v>
      </c>
      <c r="D30" s="13" t="s">
        <v>2472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3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2455</v>
      </c>
    </row>
    <row r="31" spans="2:24" ht="13.8" x14ac:dyDescent="0.2">
      <c r="B31" s="8">
        <f t="shared" si="6"/>
        <v>22</v>
      </c>
      <c r="C31" s="10">
        <v>22</v>
      </c>
      <c r="D31" s="13" t="s">
        <v>2481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3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2456</v>
      </c>
    </row>
    <row r="32" spans="2:24" ht="13.8" x14ac:dyDescent="0.2">
      <c r="B32" s="8">
        <f t="shared" si="6"/>
        <v>23</v>
      </c>
      <c r="C32" s="10">
        <v>23</v>
      </c>
      <c r="D32" s="13" t="s">
        <v>2474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3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2457</v>
      </c>
    </row>
    <row r="33" spans="2:24" ht="13.8" x14ac:dyDescent="0.2">
      <c r="B33" s="8">
        <f t="shared" si="6"/>
        <v>44</v>
      </c>
      <c r="C33" s="10">
        <v>44</v>
      </c>
      <c r="D33" s="13" t="s">
        <v>748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3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2458</v>
      </c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3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3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3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3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3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3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3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3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3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3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3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3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3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3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3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3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3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3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3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3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3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3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3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3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3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3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3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3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3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3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3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3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ref="M66:M129" si="9">IFERROR(IF((G66+P66+Q66)/(F66+P66+Q66+S66)=1,"1.00",(G66+P66+Q66)/(F66+P66+Q66+S66)),0)</f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9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9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9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9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9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9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9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9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9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9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9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9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9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9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9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9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9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9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9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9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9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9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9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9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9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9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9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9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9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9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9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9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9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9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9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9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9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9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9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9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9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9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9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9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9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9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9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9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9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9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9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9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9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9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9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9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9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9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9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9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9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9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9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0</v>
      </c>
      <c r="M130" s="11">
        <f t="shared" ref="M130:M134" si="14">IFERROR(IF((G130+P130+Q130)/(F130+P130+Q130+S130)=1,"1.00",(G130+P130+Q130)/(F130+P130+Q130+S130)),0)</f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0</v>
      </c>
      <c r="M131" s="11">
        <f t="shared" si="14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0</v>
      </c>
      <c r="M132" s="11">
        <f t="shared" si="14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si="14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si="14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D58B4-3A1D-4EF9-83F0-3DE83A60A36D}">
  <sheetPr codeName="Sheet2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65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525</v>
      </c>
      <c r="C3" s="55" t="s">
        <v>681</v>
      </c>
      <c r="D3" s="55" t="s">
        <v>682</v>
      </c>
      <c r="E3" s="56" t="s">
        <v>28</v>
      </c>
      <c r="F3" s="57" t="s">
        <v>0</v>
      </c>
      <c r="G3" s="54" t="s">
        <v>1</v>
      </c>
      <c r="H3" s="54" t="s">
        <v>253</v>
      </c>
      <c r="I3" s="54" t="s">
        <v>254</v>
      </c>
      <c r="J3" s="58" t="s">
        <v>683</v>
      </c>
      <c r="K3" s="54" t="s">
        <v>644</v>
      </c>
      <c r="L3" s="59" t="s">
        <v>2</v>
      </c>
      <c r="M3" s="60" t="s">
        <v>252</v>
      </c>
      <c r="N3" s="56" t="s">
        <v>255</v>
      </c>
      <c r="O3" s="61" t="s">
        <v>639</v>
      </c>
      <c r="P3" s="54" t="s">
        <v>150</v>
      </c>
      <c r="Q3" s="54" t="s">
        <v>151</v>
      </c>
      <c r="R3" s="54" t="s">
        <v>637</v>
      </c>
      <c r="S3" s="54" t="s">
        <v>638</v>
      </c>
      <c r="T3" s="54" t="s">
        <v>640</v>
      </c>
      <c r="U3" s="54" t="s">
        <v>641</v>
      </c>
      <c r="V3" s="54" t="s">
        <v>642</v>
      </c>
      <c r="W3" s="54" t="s">
        <v>643</v>
      </c>
      <c r="X3" s="158"/>
    </row>
    <row r="4" spans="2:24" ht="13.8" x14ac:dyDescent="0.2">
      <c r="B4" s="8">
        <f>IF(C4="","",C4)</f>
        <v>0</v>
      </c>
      <c r="C4" s="10">
        <v>0</v>
      </c>
      <c r="D4" s="13" t="s">
        <v>2515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2484</v>
      </c>
    </row>
    <row r="5" spans="2:24" ht="13.8" x14ac:dyDescent="0.2">
      <c r="B5" s="8">
        <f t="shared" ref="B5:B68" si="6">IF(C5="","",C5)</f>
        <v>12</v>
      </c>
      <c r="C5" s="10">
        <v>12</v>
      </c>
      <c r="D5" s="13" t="s">
        <v>2516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3"/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2485</v>
      </c>
    </row>
    <row r="6" spans="2:24" ht="13.8" x14ac:dyDescent="0.2">
      <c r="B6" s="8">
        <f t="shared" si="6"/>
        <v>19</v>
      </c>
      <c r="C6" s="10">
        <v>19</v>
      </c>
      <c r="D6" s="13" t="s">
        <v>2517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3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2507</v>
      </c>
    </row>
    <row r="7" spans="2:24" ht="13.8" x14ac:dyDescent="0.2">
      <c r="B7" s="8">
        <f t="shared" si="6"/>
        <v>22</v>
      </c>
      <c r="C7" s="10">
        <v>22</v>
      </c>
      <c r="D7" s="13" t="s">
        <v>2518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3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2508</v>
      </c>
    </row>
    <row r="8" spans="2:24" ht="13.8" x14ac:dyDescent="0.2">
      <c r="B8" s="8">
        <f t="shared" si="6"/>
        <v>24</v>
      </c>
      <c r="C8" s="10">
        <v>24</v>
      </c>
      <c r="D8" s="13" t="s">
        <v>2519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3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2486</v>
      </c>
    </row>
    <row r="9" spans="2:24" ht="13.8" x14ac:dyDescent="0.2">
      <c r="B9" s="8">
        <f t="shared" si="6"/>
        <v>27</v>
      </c>
      <c r="C9" s="10">
        <v>27</v>
      </c>
      <c r="D9" s="13" t="s">
        <v>2520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3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2487</v>
      </c>
    </row>
    <row r="10" spans="2:24" ht="13.8" x14ac:dyDescent="0.2">
      <c r="B10" s="8">
        <f t="shared" si="6"/>
        <v>37</v>
      </c>
      <c r="C10" s="10">
        <v>37</v>
      </c>
      <c r="D10" s="13" t="s">
        <v>2521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3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2488</v>
      </c>
    </row>
    <row r="11" spans="2:24" ht="13.8" x14ac:dyDescent="0.2">
      <c r="B11" s="8">
        <f t="shared" si="6"/>
        <v>44</v>
      </c>
      <c r="C11" s="10">
        <v>44</v>
      </c>
      <c r="D11" s="13" t="s">
        <v>2522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3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 t="s">
        <v>2489</v>
      </c>
    </row>
    <row r="12" spans="2:24" ht="13.8" x14ac:dyDescent="0.2">
      <c r="B12" s="8">
        <f t="shared" si="6"/>
        <v>52</v>
      </c>
      <c r="C12" s="10">
        <v>52</v>
      </c>
      <c r="D12" s="13" t="s">
        <v>2523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3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2490</v>
      </c>
    </row>
    <row r="13" spans="2:24" ht="13.8" x14ac:dyDescent="0.2">
      <c r="B13" s="8">
        <f t="shared" si="6"/>
        <v>53</v>
      </c>
      <c r="C13" s="10">
        <v>53</v>
      </c>
      <c r="D13" s="13" t="s">
        <v>2524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3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2491</v>
      </c>
    </row>
    <row r="14" spans="2:24" ht="13.8" x14ac:dyDescent="0.2">
      <c r="B14" s="8">
        <f t="shared" si="6"/>
        <v>57</v>
      </c>
      <c r="C14" s="10">
        <v>57</v>
      </c>
      <c r="D14" s="13" t="s">
        <v>2525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3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2492</v>
      </c>
    </row>
    <row r="15" spans="2:24" ht="13.8" x14ac:dyDescent="0.2">
      <c r="B15" s="8">
        <f t="shared" si="6"/>
        <v>75</v>
      </c>
      <c r="C15" s="10">
        <v>75</v>
      </c>
      <c r="D15" s="13" t="s">
        <v>2526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3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 t="s">
        <v>2509</v>
      </c>
    </row>
    <row r="16" spans="2:24" ht="13.8" x14ac:dyDescent="0.2">
      <c r="B16" s="8">
        <f t="shared" si="6"/>
        <v>80</v>
      </c>
      <c r="C16" s="10">
        <v>80</v>
      </c>
      <c r="D16" s="13" t="s">
        <v>2527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3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2493</v>
      </c>
    </row>
    <row r="17" spans="2:24" ht="13.8" x14ac:dyDescent="0.2">
      <c r="B17" s="8">
        <f t="shared" si="6"/>
        <v>97</v>
      </c>
      <c r="C17" s="10">
        <v>97</v>
      </c>
      <c r="D17" s="13" t="s">
        <v>2528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3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2494</v>
      </c>
    </row>
    <row r="18" spans="2:24" ht="13.8" x14ac:dyDescent="0.2">
      <c r="B18" s="8">
        <f t="shared" si="6"/>
        <v>98</v>
      </c>
      <c r="C18" s="10">
        <v>98</v>
      </c>
      <c r="D18" s="13" t="s">
        <v>2529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3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2495</v>
      </c>
    </row>
    <row r="19" spans="2:24" ht="13.8" x14ac:dyDescent="0.2">
      <c r="B19" s="8">
        <f t="shared" si="6"/>
        <v>3</v>
      </c>
      <c r="C19" s="10">
        <v>3</v>
      </c>
      <c r="D19" s="13" t="s">
        <v>2530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3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2496</v>
      </c>
    </row>
    <row r="20" spans="2:24" ht="13.8" x14ac:dyDescent="0.2">
      <c r="B20" s="8">
        <f t="shared" si="6"/>
        <v>28</v>
      </c>
      <c r="C20" s="10">
        <v>28</v>
      </c>
      <c r="D20" s="9" t="s">
        <v>2514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3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9" t="s">
        <v>2497</v>
      </c>
    </row>
    <row r="21" spans="2:24" ht="13.8" x14ac:dyDescent="0.2">
      <c r="B21" s="8">
        <f t="shared" si="6"/>
        <v>1</v>
      </c>
      <c r="C21" s="10">
        <v>1</v>
      </c>
      <c r="D21" s="13" t="s">
        <v>2531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3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2498</v>
      </c>
    </row>
    <row r="22" spans="2:24" ht="13.8" x14ac:dyDescent="0.2">
      <c r="B22" s="8">
        <f t="shared" si="6"/>
        <v>2</v>
      </c>
      <c r="C22" s="10">
        <v>2</v>
      </c>
      <c r="D22" s="13" t="s">
        <v>2532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3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2499</v>
      </c>
    </row>
    <row r="23" spans="2:24" ht="13.8" x14ac:dyDescent="0.2">
      <c r="B23" s="8">
        <f t="shared" si="6"/>
        <v>4</v>
      </c>
      <c r="C23" s="10">
        <v>4</v>
      </c>
      <c r="D23" s="13" t="s">
        <v>2533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3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2500</v>
      </c>
    </row>
    <row r="24" spans="2:24" ht="13.8" x14ac:dyDescent="0.2">
      <c r="B24" s="8">
        <f t="shared" si="6"/>
        <v>6</v>
      </c>
      <c r="C24" s="10">
        <v>6</v>
      </c>
      <c r="D24" s="13" t="s">
        <v>2534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3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2501</v>
      </c>
    </row>
    <row r="25" spans="2:24" ht="13.8" x14ac:dyDescent="0.2">
      <c r="B25" s="8">
        <f t="shared" si="6"/>
        <v>9</v>
      </c>
      <c r="C25" s="10">
        <v>9</v>
      </c>
      <c r="D25" s="13" t="s">
        <v>2535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3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2502</v>
      </c>
    </row>
    <row r="26" spans="2:24" ht="13.8" x14ac:dyDescent="0.2">
      <c r="B26" s="8">
        <f t="shared" si="6"/>
        <v>10</v>
      </c>
      <c r="C26" s="10">
        <v>10</v>
      </c>
      <c r="D26" s="13" t="s">
        <v>2536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3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2510</v>
      </c>
    </row>
    <row r="27" spans="2:24" ht="13.8" x14ac:dyDescent="0.2">
      <c r="B27" s="8">
        <f t="shared" si="6"/>
        <v>11</v>
      </c>
      <c r="C27" s="10">
        <v>11</v>
      </c>
      <c r="D27" s="13" t="s">
        <v>2537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3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2511</v>
      </c>
    </row>
    <row r="28" spans="2:24" ht="13.8" x14ac:dyDescent="0.2">
      <c r="B28" s="8">
        <f t="shared" si="6"/>
        <v>41</v>
      </c>
      <c r="C28" s="10">
        <v>41</v>
      </c>
      <c r="D28" s="13" t="s">
        <v>2538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3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2503</v>
      </c>
    </row>
    <row r="29" spans="2:24" ht="13.8" x14ac:dyDescent="0.2">
      <c r="B29" s="8">
        <f t="shared" si="6"/>
        <v>5</v>
      </c>
      <c r="C29" s="10">
        <v>5</v>
      </c>
      <c r="D29" s="13" t="s">
        <v>2539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3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2504</v>
      </c>
    </row>
    <row r="30" spans="2:24" ht="13.8" x14ac:dyDescent="0.2">
      <c r="B30" s="8">
        <f t="shared" si="6"/>
        <v>7</v>
      </c>
      <c r="C30" s="10">
        <v>7</v>
      </c>
      <c r="D30" s="13" t="s">
        <v>2540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3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2512</v>
      </c>
    </row>
    <row r="31" spans="2:24" ht="13.8" x14ac:dyDescent="0.2">
      <c r="B31" s="8">
        <f t="shared" si="6"/>
        <v>8</v>
      </c>
      <c r="C31" s="10">
        <v>8</v>
      </c>
      <c r="D31" s="13" t="s">
        <v>2541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3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2505</v>
      </c>
    </row>
    <row r="32" spans="2:24" ht="13.8" x14ac:dyDescent="0.2">
      <c r="B32" s="8">
        <f t="shared" si="6"/>
        <v>14</v>
      </c>
      <c r="C32" s="10">
        <v>14</v>
      </c>
      <c r="D32" s="13" t="s">
        <v>2542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3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2506</v>
      </c>
    </row>
    <row r="33" spans="2:24" ht="13.8" x14ac:dyDescent="0.2">
      <c r="B33" s="8">
        <f t="shared" si="6"/>
        <v>16</v>
      </c>
      <c r="C33" s="10">
        <v>16</v>
      </c>
      <c r="D33" s="13" t="s">
        <v>2543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3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2513</v>
      </c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3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3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3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3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3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3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3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3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3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3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3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3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3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3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3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3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3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3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3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3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3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3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3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3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3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3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3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3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3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3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3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3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ref="M66:M129" si="9">IFERROR(IF((G66+P66+Q66)/(F66+P66+Q66+S66)=1,"1.00",(G66+P66+Q66)/(F66+P66+Q66+S66)),0)</f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9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9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9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9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9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9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9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9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9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9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9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9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9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9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9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9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9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9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9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9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9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9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9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9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9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9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9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9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9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9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9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9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9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9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9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9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9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9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9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9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9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9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9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9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9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9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9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9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9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9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9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9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9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9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9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9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9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9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9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9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9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9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9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0</v>
      </c>
      <c r="M130" s="11">
        <f t="shared" ref="M130:M134" si="14">IFERROR(IF((G130+P130+Q130)/(F130+P130+Q130+S130)=1,"1.00",(G130+P130+Q130)/(F130+P130+Q130+S130)),0)</f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0</v>
      </c>
      <c r="M131" s="11">
        <f t="shared" si="14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0</v>
      </c>
      <c r="M132" s="11">
        <f t="shared" si="14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si="14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si="14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5471B-1F94-4BD7-A66F-912FDEB526BA}">
  <sheetPr codeName="Sheet25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65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525</v>
      </c>
      <c r="C3" s="55" t="s">
        <v>681</v>
      </c>
      <c r="D3" s="55" t="s">
        <v>682</v>
      </c>
      <c r="E3" s="56" t="s">
        <v>28</v>
      </c>
      <c r="F3" s="57" t="s">
        <v>0</v>
      </c>
      <c r="G3" s="54" t="s">
        <v>1</v>
      </c>
      <c r="H3" s="54" t="s">
        <v>253</v>
      </c>
      <c r="I3" s="54" t="s">
        <v>254</v>
      </c>
      <c r="J3" s="58" t="s">
        <v>683</v>
      </c>
      <c r="K3" s="54" t="s">
        <v>644</v>
      </c>
      <c r="L3" s="59" t="s">
        <v>2</v>
      </c>
      <c r="M3" s="60" t="s">
        <v>252</v>
      </c>
      <c r="N3" s="56" t="s">
        <v>255</v>
      </c>
      <c r="O3" s="61" t="s">
        <v>639</v>
      </c>
      <c r="P3" s="54" t="s">
        <v>150</v>
      </c>
      <c r="Q3" s="54" t="s">
        <v>151</v>
      </c>
      <c r="R3" s="54" t="s">
        <v>637</v>
      </c>
      <c r="S3" s="54" t="s">
        <v>638</v>
      </c>
      <c r="T3" s="54" t="s">
        <v>640</v>
      </c>
      <c r="U3" s="54" t="s">
        <v>641</v>
      </c>
      <c r="V3" s="54" t="s">
        <v>642</v>
      </c>
      <c r="W3" s="54" t="s">
        <v>643</v>
      </c>
      <c r="X3" s="158"/>
    </row>
    <row r="4" spans="2:24" ht="13.8" x14ac:dyDescent="0.2">
      <c r="B4" s="8">
        <f>IF(C4="","",C4)</f>
        <v>16</v>
      </c>
      <c r="C4" s="10">
        <v>16</v>
      </c>
      <c r="D4" s="13" t="s">
        <v>2580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2567</v>
      </c>
    </row>
    <row r="5" spans="2:24" ht="13.8" x14ac:dyDescent="0.2">
      <c r="B5" s="8">
        <f t="shared" ref="B5:B68" si="6">IF(C5="","",C5)</f>
        <v>18</v>
      </c>
      <c r="C5" s="10">
        <v>18</v>
      </c>
      <c r="D5" s="13" t="s">
        <v>2586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3"/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2568</v>
      </c>
    </row>
    <row r="6" spans="2:24" ht="13.8" x14ac:dyDescent="0.2">
      <c r="B6" s="8">
        <f t="shared" si="6"/>
        <v>29</v>
      </c>
      <c r="C6" s="10">
        <v>29</v>
      </c>
      <c r="D6" s="13" t="s">
        <v>2581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3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2569</v>
      </c>
    </row>
    <row r="7" spans="2:24" ht="13.8" x14ac:dyDescent="0.2">
      <c r="B7" s="8">
        <f t="shared" si="6"/>
        <v>34</v>
      </c>
      <c r="C7" s="10">
        <v>34</v>
      </c>
      <c r="D7" s="13" t="s">
        <v>1884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3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2570</v>
      </c>
    </row>
    <row r="8" spans="2:24" ht="13.8" x14ac:dyDescent="0.2">
      <c r="B8" s="8">
        <f t="shared" si="6"/>
        <v>35</v>
      </c>
      <c r="C8" s="10">
        <v>35</v>
      </c>
      <c r="D8" s="13" t="s">
        <v>788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3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2544</v>
      </c>
    </row>
    <row r="9" spans="2:24" ht="13.8" x14ac:dyDescent="0.2">
      <c r="B9" s="8">
        <f t="shared" si="6"/>
        <v>39</v>
      </c>
      <c r="C9" s="10">
        <v>39</v>
      </c>
      <c r="D9" s="13" t="s">
        <v>112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3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2545</v>
      </c>
    </row>
    <row r="10" spans="2:24" ht="13.8" x14ac:dyDescent="0.2">
      <c r="B10" s="8">
        <f t="shared" si="6"/>
        <v>44</v>
      </c>
      <c r="C10" s="10">
        <v>44</v>
      </c>
      <c r="D10" s="13" t="s">
        <v>2582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3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2571</v>
      </c>
    </row>
    <row r="11" spans="2:24" ht="13.8" x14ac:dyDescent="0.2">
      <c r="B11" s="8">
        <f t="shared" si="6"/>
        <v>48</v>
      </c>
      <c r="C11" s="10">
        <v>48</v>
      </c>
      <c r="D11" s="13" t="s">
        <v>732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3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 t="s">
        <v>2546</v>
      </c>
    </row>
    <row r="12" spans="2:24" ht="13.8" x14ac:dyDescent="0.2">
      <c r="B12" s="8">
        <f t="shared" si="6"/>
        <v>51</v>
      </c>
      <c r="C12" s="10">
        <v>51</v>
      </c>
      <c r="D12" s="13" t="s">
        <v>2583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3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2572</v>
      </c>
    </row>
    <row r="13" spans="2:24" ht="13.8" x14ac:dyDescent="0.2">
      <c r="B13" s="8">
        <f t="shared" si="6"/>
        <v>52</v>
      </c>
      <c r="C13" s="10">
        <v>52</v>
      </c>
      <c r="D13" s="13" t="s">
        <v>750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3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2573</v>
      </c>
    </row>
    <row r="14" spans="2:24" ht="13.8" x14ac:dyDescent="0.2">
      <c r="B14" s="8">
        <f t="shared" si="6"/>
        <v>63</v>
      </c>
      <c r="C14" s="10">
        <v>63</v>
      </c>
      <c r="D14" s="13" t="s">
        <v>2472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3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2547</v>
      </c>
    </row>
    <row r="15" spans="2:24" ht="13.8" x14ac:dyDescent="0.2">
      <c r="B15" s="8">
        <f t="shared" si="6"/>
        <v>67</v>
      </c>
      <c r="C15" s="10">
        <v>67</v>
      </c>
      <c r="D15" s="13" t="s">
        <v>2592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3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 t="s">
        <v>2548</v>
      </c>
    </row>
    <row r="16" spans="2:24" ht="13.8" x14ac:dyDescent="0.2">
      <c r="B16" s="8">
        <f t="shared" si="6"/>
        <v>69</v>
      </c>
      <c r="C16" s="10">
        <v>69</v>
      </c>
      <c r="D16" s="13" t="s">
        <v>2587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3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2574</v>
      </c>
    </row>
    <row r="17" spans="2:24" ht="13.8" x14ac:dyDescent="0.2">
      <c r="B17" s="8">
        <f t="shared" si="6"/>
        <v>75</v>
      </c>
      <c r="C17" s="10">
        <v>75</v>
      </c>
      <c r="D17" s="13" t="s">
        <v>2561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3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2549</v>
      </c>
    </row>
    <row r="18" spans="2:24" ht="13.8" x14ac:dyDescent="0.2">
      <c r="B18" s="8">
        <f t="shared" si="6"/>
        <v>87</v>
      </c>
      <c r="C18" s="10">
        <v>87</v>
      </c>
      <c r="D18" s="13" t="s">
        <v>2562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3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2550</v>
      </c>
    </row>
    <row r="19" spans="2:24" ht="13.8" x14ac:dyDescent="0.2">
      <c r="B19" s="8">
        <f t="shared" si="6"/>
        <v>99</v>
      </c>
      <c r="C19" s="10">
        <v>99</v>
      </c>
      <c r="D19" s="13" t="s">
        <v>2590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3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2575</v>
      </c>
    </row>
    <row r="20" spans="2:24" ht="13.8" x14ac:dyDescent="0.2">
      <c r="B20" s="8">
        <f t="shared" si="6"/>
        <v>7</v>
      </c>
      <c r="C20" s="10">
        <v>7</v>
      </c>
      <c r="D20" s="9" t="s">
        <v>2588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3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9" t="s">
        <v>2551</v>
      </c>
    </row>
    <row r="21" spans="2:24" ht="13.8" x14ac:dyDescent="0.2">
      <c r="B21" s="8">
        <f t="shared" si="6"/>
        <v>15</v>
      </c>
      <c r="C21" s="10">
        <v>15</v>
      </c>
      <c r="D21" s="13" t="s">
        <v>2563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3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2552</v>
      </c>
    </row>
    <row r="22" spans="2:24" ht="13.8" x14ac:dyDescent="0.2">
      <c r="B22" s="8">
        <f t="shared" si="6"/>
        <v>8</v>
      </c>
      <c r="C22" s="10">
        <v>8</v>
      </c>
      <c r="D22" s="13" t="s">
        <v>2589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3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2576</v>
      </c>
    </row>
    <row r="23" spans="2:24" ht="13.8" x14ac:dyDescent="0.2">
      <c r="B23" s="8">
        <f t="shared" si="6"/>
        <v>13</v>
      </c>
      <c r="C23" s="10">
        <v>13</v>
      </c>
      <c r="D23" s="13" t="s">
        <v>2564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3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2553</v>
      </c>
    </row>
    <row r="24" spans="2:24" ht="13.8" x14ac:dyDescent="0.2">
      <c r="B24" s="8">
        <f t="shared" si="6"/>
        <v>23</v>
      </c>
      <c r="C24" s="10">
        <v>23</v>
      </c>
      <c r="D24" s="13" t="s">
        <v>2584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3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2577</v>
      </c>
    </row>
    <row r="25" spans="2:24" ht="13.8" x14ac:dyDescent="0.2">
      <c r="B25" s="8">
        <f t="shared" si="6"/>
        <v>26</v>
      </c>
      <c r="C25" s="10">
        <v>26</v>
      </c>
      <c r="D25" s="13" t="s">
        <v>2591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3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2554</v>
      </c>
    </row>
    <row r="26" spans="2:24" ht="13.8" x14ac:dyDescent="0.2">
      <c r="B26" s="8">
        <f t="shared" si="6"/>
        <v>28</v>
      </c>
      <c r="C26" s="10">
        <v>28</v>
      </c>
      <c r="D26" s="13" t="s">
        <v>2565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3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2555</v>
      </c>
    </row>
    <row r="27" spans="2:24" ht="13.8" x14ac:dyDescent="0.2">
      <c r="B27" s="8">
        <f t="shared" si="6"/>
        <v>2</v>
      </c>
      <c r="C27" s="10">
        <v>2</v>
      </c>
      <c r="D27" s="13" t="s">
        <v>2207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3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2578</v>
      </c>
    </row>
    <row r="28" spans="2:24" ht="13.8" x14ac:dyDescent="0.2">
      <c r="B28" s="8">
        <f t="shared" si="6"/>
        <v>3</v>
      </c>
      <c r="C28" s="10">
        <v>3</v>
      </c>
      <c r="D28" s="13" t="s">
        <v>1858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3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2556</v>
      </c>
    </row>
    <row r="29" spans="2:24" ht="13.8" x14ac:dyDescent="0.2">
      <c r="B29" s="8">
        <f t="shared" si="6"/>
        <v>6</v>
      </c>
      <c r="C29" s="10">
        <v>6</v>
      </c>
      <c r="D29" s="13" t="s">
        <v>2593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3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2557</v>
      </c>
    </row>
    <row r="30" spans="2:24" ht="13.8" x14ac:dyDescent="0.2">
      <c r="B30" s="8">
        <f t="shared" si="6"/>
        <v>10</v>
      </c>
      <c r="C30" s="10">
        <v>10</v>
      </c>
      <c r="D30" s="13" t="s">
        <v>2566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3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2558</v>
      </c>
    </row>
    <row r="31" spans="2:24" ht="13.8" x14ac:dyDescent="0.2">
      <c r="B31" s="8">
        <f t="shared" si="6"/>
        <v>14</v>
      </c>
      <c r="C31" s="10">
        <v>14</v>
      </c>
      <c r="D31" s="13" t="s">
        <v>2585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3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2579</v>
      </c>
    </row>
    <row r="32" spans="2:24" ht="13.8" x14ac:dyDescent="0.2">
      <c r="B32" s="8">
        <f t="shared" si="6"/>
        <v>17</v>
      </c>
      <c r="C32" s="10">
        <v>17</v>
      </c>
      <c r="D32" s="13" t="s">
        <v>2470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3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2559</v>
      </c>
    </row>
    <row r="33" spans="2:24" ht="13.8" x14ac:dyDescent="0.2">
      <c r="B33" s="8">
        <f t="shared" si="6"/>
        <v>22</v>
      </c>
      <c r="C33" s="10">
        <v>22</v>
      </c>
      <c r="D33" s="13" t="s">
        <v>734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3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2560</v>
      </c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3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3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3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3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3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3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3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3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3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3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3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3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3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3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3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3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3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3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3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3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3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3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3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3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3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3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3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3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3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3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3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3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ref="M66:M129" si="9">IFERROR(IF((G66+P66+Q66)/(F66+P66+Q66+S66)=1,"1.00",(G66+P66+Q66)/(F66+P66+Q66+S66)),0)</f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9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9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9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9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9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9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9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9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9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9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9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9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9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9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9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9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9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9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9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9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9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9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9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9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9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9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9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9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9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9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9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9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9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9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9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9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9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9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9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9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9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9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9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9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9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9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9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9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9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9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9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9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9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9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9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9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9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9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9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9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9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9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9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0</v>
      </c>
      <c r="M130" s="11">
        <f t="shared" ref="M130:M134" si="14">IFERROR(IF((G130+P130+Q130)/(F130+P130+Q130+S130)=1,"1.00",(G130+P130+Q130)/(F130+P130+Q130+S130)),0)</f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0</v>
      </c>
      <c r="M131" s="11">
        <f t="shared" si="14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0</v>
      </c>
      <c r="M132" s="11">
        <f t="shared" si="14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si="14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si="14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A1:AA80"/>
  <sheetViews>
    <sheetView workbookViewId="0">
      <selection activeCell="C12" sqref="C12"/>
    </sheetView>
  </sheetViews>
  <sheetFormatPr defaultRowHeight="13.2" x14ac:dyDescent="0.2"/>
  <sheetData>
    <row r="1" spans="1:27" ht="39.6" customHeight="1" x14ac:dyDescent="0.2">
      <c r="B1" s="1" t="s">
        <v>681</v>
      </c>
      <c r="C1" s="1" t="s">
        <v>682</v>
      </c>
      <c r="D1" s="1" t="s">
        <v>180</v>
      </c>
      <c r="E1" s="1" t="s">
        <v>181</v>
      </c>
      <c r="F1" s="1" t="s">
        <v>182</v>
      </c>
      <c r="G1" s="1" t="s">
        <v>183</v>
      </c>
      <c r="H1" s="1" t="s">
        <v>184</v>
      </c>
      <c r="I1" s="1" t="s">
        <v>253</v>
      </c>
      <c r="J1" s="1" t="s">
        <v>254</v>
      </c>
      <c r="K1" s="1" t="s">
        <v>683</v>
      </c>
      <c r="L1" s="1" t="s">
        <v>185</v>
      </c>
      <c r="M1" s="1" t="s">
        <v>186</v>
      </c>
      <c r="N1" s="1" t="s">
        <v>187</v>
      </c>
      <c r="O1" s="1" t="s">
        <v>188</v>
      </c>
      <c r="P1" s="1" t="s">
        <v>189</v>
      </c>
      <c r="Q1" s="1" t="s">
        <v>190</v>
      </c>
      <c r="R1" s="1" t="s">
        <v>191</v>
      </c>
      <c r="S1" s="1" t="s">
        <v>192</v>
      </c>
      <c r="T1" s="1" t="s">
        <v>193</v>
      </c>
      <c r="U1" s="1" t="s">
        <v>641</v>
      </c>
      <c r="V1" s="1" t="s">
        <v>642</v>
      </c>
      <c r="W1" s="1" t="s">
        <v>252</v>
      </c>
      <c r="X1" s="1" t="s">
        <v>194</v>
      </c>
      <c r="Y1" s="1" t="s">
        <v>195</v>
      </c>
      <c r="Z1" s="1" t="s">
        <v>196</v>
      </c>
      <c r="AA1" s="1" t="s">
        <v>197</v>
      </c>
    </row>
    <row r="2" spans="1:27" x14ac:dyDescent="0.2">
      <c r="B2" s="15"/>
      <c r="D2" s="16"/>
      <c r="M2" s="17" t="s">
        <v>141</v>
      </c>
      <c r="N2" s="152" t="s">
        <v>2211</v>
      </c>
      <c r="O2" s="152"/>
      <c r="W2" s="16"/>
      <c r="X2" s="16"/>
      <c r="Y2" s="16"/>
      <c r="Z2" s="16"/>
    </row>
    <row r="3" spans="1:27" x14ac:dyDescent="0.2">
      <c r="B3" s="18" t="s">
        <v>142</v>
      </c>
      <c r="D3" s="16"/>
      <c r="F3" t="s">
        <v>143</v>
      </c>
      <c r="W3" s="16"/>
      <c r="X3" s="16"/>
      <c r="Y3" s="16"/>
      <c r="Z3" s="16"/>
    </row>
    <row r="4" spans="1:27" x14ac:dyDescent="0.2">
      <c r="B4" s="19" t="s">
        <v>144</v>
      </c>
      <c r="D4" s="16"/>
      <c r="W4" s="16"/>
      <c r="X4" s="16"/>
      <c r="Y4" s="16"/>
      <c r="Z4" s="16"/>
    </row>
    <row r="5" spans="1:27" x14ac:dyDescent="0.2">
      <c r="A5" t="s">
        <v>1088</v>
      </c>
      <c r="B5" s="25" t="s">
        <v>2217</v>
      </c>
      <c r="C5" t="s">
        <v>285</v>
      </c>
      <c r="D5" s="16">
        <v>0.42899999999999999</v>
      </c>
      <c r="E5">
        <v>3</v>
      </c>
      <c r="F5">
        <v>9</v>
      </c>
      <c r="G5" s="24">
        <v>7</v>
      </c>
      <c r="H5" s="24">
        <v>3</v>
      </c>
      <c r="I5" s="24">
        <v>1</v>
      </c>
      <c r="J5" s="24">
        <v>0</v>
      </c>
      <c r="K5" s="24">
        <v>0</v>
      </c>
      <c r="L5" s="24">
        <v>4</v>
      </c>
      <c r="M5" s="24">
        <v>1</v>
      </c>
      <c r="N5">
        <v>1</v>
      </c>
      <c r="O5" s="24">
        <v>0</v>
      </c>
      <c r="P5" s="24">
        <v>2</v>
      </c>
      <c r="Q5" s="24">
        <v>0</v>
      </c>
      <c r="R5" s="24">
        <v>0</v>
      </c>
      <c r="S5" s="24">
        <v>0</v>
      </c>
      <c r="T5" s="24">
        <v>0</v>
      </c>
      <c r="U5" s="24">
        <v>0</v>
      </c>
      <c r="V5" s="24">
        <v>0</v>
      </c>
      <c r="W5" s="16">
        <v>0.55600000000000005</v>
      </c>
      <c r="X5" s="16">
        <v>0.57099999999999995</v>
      </c>
      <c r="Y5" s="16">
        <v>1.127</v>
      </c>
      <c r="Z5" s="16">
        <v>0.33300000000000002</v>
      </c>
      <c r="AA5">
        <v>1</v>
      </c>
    </row>
    <row r="6" spans="1:27" x14ac:dyDescent="0.2">
      <c r="A6" t="s">
        <v>1088</v>
      </c>
      <c r="B6" s="15" t="s">
        <v>2221</v>
      </c>
      <c r="C6" t="s">
        <v>46</v>
      </c>
      <c r="D6" s="16">
        <v>0</v>
      </c>
      <c r="E6">
        <v>2</v>
      </c>
      <c r="F6">
        <v>2</v>
      </c>
      <c r="G6">
        <v>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2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16">
        <v>0</v>
      </c>
      <c r="X6" s="16">
        <v>0</v>
      </c>
      <c r="Y6" s="16">
        <v>0</v>
      </c>
      <c r="Z6" s="16" t="s">
        <v>2212</v>
      </c>
      <c r="AA6">
        <v>0</v>
      </c>
    </row>
    <row r="7" spans="1:27" x14ac:dyDescent="0.2">
      <c r="A7" t="s">
        <v>1088</v>
      </c>
      <c r="B7" s="15" t="s">
        <v>2222</v>
      </c>
      <c r="C7" t="s">
        <v>1371</v>
      </c>
      <c r="D7" s="16">
        <v>0.66700000000000004</v>
      </c>
      <c r="E7">
        <v>3</v>
      </c>
      <c r="F7">
        <v>4</v>
      </c>
      <c r="G7">
        <v>3</v>
      </c>
      <c r="H7">
        <v>2</v>
      </c>
      <c r="I7">
        <v>0</v>
      </c>
      <c r="J7">
        <v>0</v>
      </c>
      <c r="K7">
        <v>0</v>
      </c>
      <c r="L7">
        <v>2</v>
      </c>
      <c r="M7">
        <v>0</v>
      </c>
      <c r="N7">
        <v>1</v>
      </c>
      <c r="O7">
        <v>0</v>
      </c>
      <c r="P7">
        <v>0</v>
      </c>
      <c r="Q7">
        <v>0</v>
      </c>
      <c r="R7">
        <v>1</v>
      </c>
      <c r="S7">
        <v>0</v>
      </c>
      <c r="T7">
        <v>0</v>
      </c>
      <c r="U7">
        <v>0</v>
      </c>
      <c r="V7">
        <v>0</v>
      </c>
      <c r="W7" s="16">
        <v>0.66700000000000004</v>
      </c>
      <c r="X7" s="16">
        <v>0.66700000000000004</v>
      </c>
      <c r="Y7" s="16">
        <v>1.333</v>
      </c>
      <c r="Z7" s="16" t="s">
        <v>2212</v>
      </c>
      <c r="AA7">
        <v>0</v>
      </c>
    </row>
    <row r="8" spans="1:27" x14ac:dyDescent="0.2">
      <c r="A8" t="s">
        <v>140</v>
      </c>
      <c r="B8" s="15" t="s">
        <v>2214</v>
      </c>
      <c r="C8" t="s">
        <v>443</v>
      </c>
      <c r="D8" s="16">
        <v>0.222</v>
      </c>
      <c r="E8">
        <v>4</v>
      </c>
      <c r="F8">
        <v>12</v>
      </c>
      <c r="G8">
        <v>9</v>
      </c>
      <c r="H8">
        <v>2</v>
      </c>
      <c r="I8">
        <v>0</v>
      </c>
      <c r="J8">
        <v>0</v>
      </c>
      <c r="K8">
        <v>0</v>
      </c>
      <c r="L8">
        <v>2</v>
      </c>
      <c r="M8">
        <v>1</v>
      </c>
      <c r="N8">
        <v>3</v>
      </c>
      <c r="O8">
        <v>2</v>
      </c>
      <c r="P8">
        <v>3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 s="16">
        <v>0.41699999999999998</v>
      </c>
      <c r="X8" s="16">
        <v>0.222</v>
      </c>
      <c r="Y8" s="16">
        <v>0.63900000000000001</v>
      </c>
      <c r="Z8" s="16">
        <v>0</v>
      </c>
      <c r="AA8">
        <v>0</v>
      </c>
    </row>
    <row r="9" spans="1:27" x14ac:dyDescent="0.2">
      <c r="A9" t="s">
        <v>140</v>
      </c>
      <c r="B9" s="15" t="s">
        <v>2223</v>
      </c>
      <c r="C9" t="s">
        <v>206</v>
      </c>
      <c r="D9" s="16">
        <v>0.33300000000000002</v>
      </c>
      <c r="E9">
        <v>1</v>
      </c>
      <c r="F9">
        <v>4</v>
      </c>
      <c r="G9">
        <v>3</v>
      </c>
      <c r="H9">
        <v>1</v>
      </c>
      <c r="I9">
        <v>0</v>
      </c>
      <c r="J9">
        <v>0</v>
      </c>
      <c r="K9">
        <v>0</v>
      </c>
      <c r="L9">
        <v>1</v>
      </c>
      <c r="M9">
        <v>0</v>
      </c>
      <c r="N9">
        <v>1</v>
      </c>
      <c r="O9">
        <v>0</v>
      </c>
      <c r="P9">
        <v>1</v>
      </c>
      <c r="Q9">
        <v>0</v>
      </c>
      <c r="R9">
        <v>0</v>
      </c>
      <c r="S9">
        <v>0</v>
      </c>
      <c r="T9">
        <v>0</v>
      </c>
      <c r="U9">
        <v>1</v>
      </c>
      <c r="V9">
        <v>0</v>
      </c>
      <c r="W9" s="16">
        <v>0.5</v>
      </c>
      <c r="X9" s="16">
        <v>0.33300000000000002</v>
      </c>
      <c r="Y9" s="16">
        <v>0.83299999999999996</v>
      </c>
      <c r="Z9" s="16">
        <v>0</v>
      </c>
      <c r="AA9">
        <v>0</v>
      </c>
    </row>
    <row r="10" spans="1:27" x14ac:dyDescent="0.2">
      <c r="A10" t="s">
        <v>140</v>
      </c>
      <c r="B10" s="15" t="s">
        <v>2224</v>
      </c>
      <c r="C10" t="s">
        <v>370</v>
      </c>
      <c r="D10" s="16">
        <v>0.25</v>
      </c>
      <c r="E10">
        <v>4</v>
      </c>
      <c r="F10">
        <v>6</v>
      </c>
      <c r="G10">
        <v>4</v>
      </c>
      <c r="H10">
        <v>1</v>
      </c>
      <c r="I10">
        <v>0</v>
      </c>
      <c r="J10">
        <v>0</v>
      </c>
      <c r="K10">
        <v>0</v>
      </c>
      <c r="L10">
        <v>1</v>
      </c>
      <c r="M10">
        <v>0</v>
      </c>
      <c r="N10">
        <v>2</v>
      </c>
      <c r="O10">
        <v>3</v>
      </c>
      <c r="P10">
        <v>1</v>
      </c>
      <c r="Q10">
        <v>0</v>
      </c>
      <c r="R10">
        <v>1</v>
      </c>
      <c r="S10">
        <v>0</v>
      </c>
      <c r="T10">
        <v>0</v>
      </c>
      <c r="U10">
        <v>0</v>
      </c>
      <c r="V10">
        <v>0</v>
      </c>
      <c r="W10" s="16">
        <v>0.4</v>
      </c>
      <c r="X10" s="16">
        <v>0.25</v>
      </c>
      <c r="Y10" s="16">
        <v>0.65</v>
      </c>
      <c r="Z10" s="16">
        <v>0</v>
      </c>
      <c r="AA10">
        <v>0</v>
      </c>
    </row>
    <row r="11" spans="1:27" x14ac:dyDescent="0.2">
      <c r="A11" t="s">
        <v>140</v>
      </c>
      <c r="B11" s="15" t="s">
        <v>2225</v>
      </c>
      <c r="C11" t="s">
        <v>338</v>
      </c>
      <c r="D11" s="16">
        <v>0.57099999999999995</v>
      </c>
      <c r="E11">
        <v>4</v>
      </c>
      <c r="F11">
        <v>12</v>
      </c>
      <c r="G11">
        <v>7</v>
      </c>
      <c r="H11">
        <v>4</v>
      </c>
      <c r="I11">
        <v>0</v>
      </c>
      <c r="J11">
        <v>0</v>
      </c>
      <c r="K11">
        <v>0</v>
      </c>
      <c r="L11">
        <v>4</v>
      </c>
      <c r="M11">
        <v>4</v>
      </c>
      <c r="N11">
        <v>3</v>
      </c>
      <c r="O11">
        <v>0</v>
      </c>
      <c r="P11">
        <v>3</v>
      </c>
      <c r="Q11">
        <v>1</v>
      </c>
      <c r="R11">
        <v>1</v>
      </c>
      <c r="S11">
        <v>0</v>
      </c>
      <c r="T11">
        <v>0</v>
      </c>
      <c r="U11">
        <v>1</v>
      </c>
      <c r="V11">
        <v>0</v>
      </c>
      <c r="W11" s="16">
        <v>0.72699999999999998</v>
      </c>
      <c r="X11" s="16">
        <v>0.57099999999999995</v>
      </c>
      <c r="Y11" s="16">
        <v>1.2989999999999999</v>
      </c>
      <c r="Z11" s="16">
        <v>0.5</v>
      </c>
      <c r="AA11">
        <v>0</v>
      </c>
    </row>
    <row r="12" spans="1:27" x14ac:dyDescent="0.2">
      <c r="A12" t="s">
        <v>140</v>
      </c>
      <c r="B12" s="15" t="s">
        <v>2215</v>
      </c>
      <c r="C12" t="s">
        <v>411</v>
      </c>
      <c r="D12" s="16">
        <v>0.33300000000000002</v>
      </c>
      <c r="E12">
        <v>4</v>
      </c>
      <c r="F12">
        <v>8</v>
      </c>
      <c r="G12">
        <v>6</v>
      </c>
      <c r="H12">
        <v>2</v>
      </c>
      <c r="I12">
        <v>2</v>
      </c>
      <c r="J12">
        <v>0</v>
      </c>
      <c r="K12">
        <v>0</v>
      </c>
      <c r="L12">
        <v>4</v>
      </c>
      <c r="M12">
        <v>1</v>
      </c>
      <c r="N12">
        <v>1</v>
      </c>
      <c r="O12">
        <v>0</v>
      </c>
      <c r="P12">
        <v>1</v>
      </c>
      <c r="Q12">
        <v>1</v>
      </c>
      <c r="R12">
        <v>0</v>
      </c>
      <c r="S12">
        <v>0</v>
      </c>
      <c r="T12">
        <v>0</v>
      </c>
      <c r="U12">
        <v>0</v>
      </c>
      <c r="V12">
        <v>0</v>
      </c>
      <c r="W12" s="16">
        <v>0.5</v>
      </c>
      <c r="X12" s="16">
        <v>0.66700000000000004</v>
      </c>
      <c r="Y12" s="16">
        <v>1.167</v>
      </c>
      <c r="Z12" s="16">
        <v>0.25</v>
      </c>
      <c r="AA12">
        <v>0</v>
      </c>
    </row>
    <row r="13" spans="1:27" x14ac:dyDescent="0.2">
      <c r="A13" t="s">
        <v>140</v>
      </c>
      <c r="B13" s="15" t="s">
        <v>2216</v>
      </c>
      <c r="C13" t="s">
        <v>698</v>
      </c>
      <c r="D13" s="16">
        <v>0.13300000000000001</v>
      </c>
      <c r="E13">
        <v>4</v>
      </c>
      <c r="F13">
        <v>18</v>
      </c>
      <c r="G13">
        <v>15</v>
      </c>
      <c r="H13">
        <v>2</v>
      </c>
      <c r="I13">
        <v>1</v>
      </c>
      <c r="J13">
        <v>0</v>
      </c>
      <c r="K13">
        <v>0</v>
      </c>
      <c r="L13">
        <v>3</v>
      </c>
      <c r="M13">
        <v>1</v>
      </c>
      <c r="N13">
        <v>1</v>
      </c>
      <c r="O13">
        <v>3</v>
      </c>
      <c r="P13">
        <v>3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 s="16">
        <v>0.27800000000000002</v>
      </c>
      <c r="X13" s="16">
        <v>0.2</v>
      </c>
      <c r="Y13" s="16">
        <v>0.47799999999999998</v>
      </c>
      <c r="Z13" s="16">
        <v>0.16700000000000001</v>
      </c>
      <c r="AA13">
        <v>1</v>
      </c>
    </row>
    <row r="14" spans="1:27" x14ac:dyDescent="0.2">
      <c r="A14" t="s">
        <v>140</v>
      </c>
      <c r="B14" s="15" t="s">
        <v>2226</v>
      </c>
      <c r="C14" t="s">
        <v>2172</v>
      </c>
      <c r="D14" s="16">
        <v>0.2</v>
      </c>
      <c r="E14">
        <v>4</v>
      </c>
      <c r="F14">
        <v>17</v>
      </c>
      <c r="G14">
        <v>15</v>
      </c>
      <c r="H14">
        <v>3</v>
      </c>
      <c r="I14">
        <v>0</v>
      </c>
      <c r="J14">
        <v>0</v>
      </c>
      <c r="K14">
        <v>1</v>
      </c>
      <c r="L14">
        <v>6</v>
      </c>
      <c r="M14">
        <v>5</v>
      </c>
      <c r="N14">
        <v>4</v>
      </c>
      <c r="O14">
        <v>4</v>
      </c>
      <c r="P14">
        <v>2</v>
      </c>
      <c r="Q14">
        <v>0</v>
      </c>
      <c r="R14">
        <v>0</v>
      </c>
      <c r="S14">
        <v>0</v>
      </c>
      <c r="T14">
        <v>1</v>
      </c>
      <c r="U14">
        <v>0</v>
      </c>
      <c r="V14">
        <v>0</v>
      </c>
      <c r="W14" s="16">
        <v>0.29399999999999998</v>
      </c>
      <c r="X14" s="16">
        <v>0.4</v>
      </c>
      <c r="Y14" s="16">
        <v>0.69399999999999995</v>
      </c>
      <c r="Z14" s="16">
        <v>0.5</v>
      </c>
      <c r="AA14">
        <v>0</v>
      </c>
    </row>
    <row r="15" spans="1:27" x14ac:dyDescent="0.2">
      <c r="A15" t="s">
        <v>1089</v>
      </c>
      <c r="B15" s="15" t="s">
        <v>2227</v>
      </c>
      <c r="C15" t="s">
        <v>225</v>
      </c>
      <c r="D15" s="16">
        <v>0</v>
      </c>
      <c r="E15">
        <v>3</v>
      </c>
      <c r="F15">
        <v>13</v>
      </c>
      <c r="G15">
        <v>12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2</v>
      </c>
      <c r="O15">
        <v>2</v>
      </c>
      <c r="P15">
        <v>1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 s="16">
        <v>7.6999999999999999E-2</v>
      </c>
      <c r="X15" s="16">
        <v>0</v>
      </c>
      <c r="Y15" s="16">
        <v>7.6999999999999999E-2</v>
      </c>
      <c r="Z15" s="16">
        <v>0</v>
      </c>
      <c r="AA15">
        <v>0</v>
      </c>
    </row>
    <row r="16" spans="1:27" x14ac:dyDescent="0.2">
      <c r="A16" t="s">
        <v>1089</v>
      </c>
      <c r="B16" s="15" t="s">
        <v>2228</v>
      </c>
      <c r="C16" t="s">
        <v>366</v>
      </c>
      <c r="D16" s="16">
        <v>0.5</v>
      </c>
      <c r="E16">
        <v>4</v>
      </c>
      <c r="F16">
        <v>4</v>
      </c>
      <c r="G16">
        <v>4</v>
      </c>
      <c r="H16">
        <v>2</v>
      </c>
      <c r="I16">
        <v>0</v>
      </c>
      <c r="J16">
        <v>0</v>
      </c>
      <c r="K16">
        <v>1</v>
      </c>
      <c r="L16">
        <v>5</v>
      </c>
      <c r="M16">
        <v>3</v>
      </c>
      <c r="N16">
        <v>2</v>
      </c>
      <c r="O16">
        <v>1</v>
      </c>
      <c r="P16">
        <v>0</v>
      </c>
      <c r="Q16">
        <v>0</v>
      </c>
      <c r="R16">
        <v>0</v>
      </c>
      <c r="S16">
        <v>0</v>
      </c>
      <c r="T16">
        <v>3</v>
      </c>
      <c r="U16">
        <v>0</v>
      </c>
      <c r="V16">
        <v>0</v>
      </c>
      <c r="W16" s="16">
        <v>0.5</v>
      </c>
      <c r="X16" s="16">
        <v>1.25</v>
      </c>
      <c r="Y16" s="16">
        <v>1.75</v>
      </c>
      <c r="Z16" s="16">
        <v>0.5</v>
      </c>
      <c r="AA16">
        <v>0</v>
      </c>
    </row>
    <row r="17" spans="1:27" x14ac:dyDescent="0.2">
      <c r="A17" t="s">
        <v>1089</v>
      </c>
      <c r="B17" s="15" t="s">
        <v>2213</v>
      </c>
      <c r="C17" t="s">
        <v>831</v>
      </c>
      <c r="D17" s="16">
        <v>0.16700000000000001</v>
      </c>
      <c r="E17">
        <v>3</v>
      </c>
      <c r="F17">
        <v>7</v>
      </c>
      <c r="G17">
        <v>6</v>
      </c>
      <c r="H17">
        <v>1</v>
      </c>
      <c r="I17">
        <v>0</v>
      </c>
      <c r="J17">
        <v>0</v>
      </c>
      <c r="K17">
        <v>0</v>
      </c>
      <c r="L17">
        <v>1</v>
      </c>
      <c r="M17">
        <v>0</v>
      </c>
      <c r="N17">
        <v>1</v>
      </c>
      <c r="O17">
        <v>0</v>
      </c>
      <c r="P17">
        <v>1</v>
      </c>
      <c r="Q17">
        <v>0</v>
      </c>
      <c r="R17">
        <v>0</v>
      </c>
      <c r="S17">
        <v>0</v>
      </c>
      <c r="T17">
        <v>0</v>
      </c>
      <c r="U17">
        <v>0</v>
      </c>
      <c r="V17">
        <v>2</v>
      </c>
      <c r="W17" s="16">
        <v>0.28599999999999998</v>
      </c>
      <c r="X17" s="16">
        <v>0.16700000000000001</v>
      </c>
      <c r="Y17" s="16">
        <v>0.45200000000000001</v>
      </c>
      <c r="Z17" s="16">
        <v>0</v>
      </c>
      <c r="AA17">
        <v>0</v>
      </c>
    </row>
    <row r="18" spans="1:27" x14ac:dyDescent="0.2">
      <c r="A18" t="s">
        <v>1089</v>
      </c>
      <c r="B18" s="15" t="s">
        <v>2229</v>
      </c>
      <c r="C18" t="s">
        <v>766</v>
      </c>
      <c r="D18" s="16">
        <v>0.5</v>
      </c>
      <c r="E18">
        <v>4</v>
      </c>
      <c r="F18">
        <v>14</v>
      </c>
      <c r="G18">
        <v>12</v>
      </c>
      <c r="H18">
        <v>6</v>
      </c>
      <c r="I18">
        <v>1</v>
      </c>
      <c r="J18">
        <v>0</v>
      </c>
      <c r="K18">
        <v>2</v>
      </c>
      <c r="L18">
        <v>13</v>
      </c>
      <c r="M18">
        <v>6</v>
      </c>
      <c r="N18">
        <v>4</v>
      </c>
      <c r="O18">
        <v>1</v>
      </c>
      <c r="P18">
        <v>2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 s="16">
        <v>0.57099999999999995</v>
      </c>
      <c r="X18" s="16">
        <v>1.083</v>
      </c>
      <c r="Y18" s="16">
        <v>1.655</v>
      </c>
      <c r="Z18" s="16">
        <v>0.5</v>
      </c>
      <c r="AA18">
        <v>0</v>
      </c>
    </row>
    <row r="19" spans="1:27" x14ac:dyDescent="0.2">
      <c r="A19" t="s">
        <v>1089</v>
      </c>
      <c r="B19" s="15" t="s">
        <v>2230</v>
      </c>
      <c r="C19" t="s">
        <v>198</v>
      </c>
      <c r="D19" s="16">
        <v>0.33300000000000002</v>
      </c>
      <c r="E19">
        <v>3</v>
      </c>
      <c r="F19">
        <v>14</v>
      </c>
      <c r="G19">
        <v>9</v>
      </c>
      <c r="H19">
        <v>3</v>
      </c>
      <c r="I19">
        <v>0</v>
      </c>
      <c r="J19">
        <v>0</v>
      </c>
      <c r="K19">
        <v>2</v>
      </c>
      <c r="L19">
        <v>9</v>
      </c>
      <c r="M19">
        <v>5</v>
      </c>
      <c r="N19">
        <v>4</v>
      </c>
      <c r="O19">
        <v>1</v>
      </c>
      <c r="P19">
        <v>5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 s="16">
        <v>0.57099999999999995</v>
      </c>
      <c r="X19" s="16">
        <v>1</v>
      </c>
      <c r="Y19" s="16">
        <v>1.571</v>
      </c>
      <c r="Z19" s="16">
        <v>0.5</v>
      </c>
      <c r="AA19">
        <v>0</v>
      </c>
    </row>
    <row r="20" spans="1:27" x14ac:dyDescent="0.2">
      <c r="A20" t="s">
        <v>2231</v>
      </c>
      <c r="B20" s="15" t="s">
        <v>2218</v>
      </c>
      <c r="C20" t="s">
        <v>2173</v>
      </c>
      <c r="D20" s="16">
        <v>0.55600000000000005</v>
      </c>
      <c r="E20">
        <v>3</v>
      </c>
      <c r="F20">
        <v>13</v>
      </c>
      <c r="G20">
        <v>9</v>
      </c>
      <c r="H20">
        <v>5</v>
      </c>
      <c r="I20">
        <v>1</v>
      </c>
      <c r="J20">
        <v>0</v>
      </c>
      <c r="K20">
        <v>2</v>
      </c>
      <c r="L20">
        <v>12</v>
      </c>
      <c r="M20">
        <v>6</v>
      </c>
      <c r="N20">
        <v>4</v>
      </c>
      <c r="O20">
        <v>0</v>
      </c>
      <c r="P20">
        <v>4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 s="16">
        <v>0.69199999999999995</v>
      </c>
      <c r="X20" s="16">
        <v>1.333</v>
      </c>
      <c r="Y20" s="16">
        <v>2.0259999999999998</v>
      </c>
      <c r="Z20" s="16">
        <v>0.66700000000000004</v>
      </c>
      <c r="AA20">
        <v>0</v>
      </c>
    </row>
    <row r="21" spans="1:27" x14ac:dyDescent="0.2">
      <c r="B21" s="15" t="s">
        <v>1124</v>
      </c>
      <c r="C21" t="s">
        <v>1124</v>
      </c>
      <c r="D21" s="16" t="s">
        <v>1124</v>
      </c>
      <c r="E21" t="s">
        <v>1124</v>
      </c>
      <c r="F21" t="s">
        <v>1124</v>
      </c>
      <c r="G21" t="s">
        <v>1124</v>
      </c>
      <c r="H21" t="s">
        <v>1124</v>
      </c>
      <c r="I21" t="s">
        <v>1124</v>
      </c>
      <c r="J21" t="s">
        <v>1124</v>
      </c>
      <c r="K21" t="s">
        <v>1124</v>
      </c>
      <c r="L21" t="s">
        <v>1124</v>
      </c>
      <c r="M21" t="s">
        <v>1124</v>
      </c>
      <c r="N21" t="s">
        <v>1124</v>
      </c>
      <c r="O21" t="s">
        <v>1124</v>
      </c>
      <c r="P21" t="s">
        <v>1124</v>
      </c>
      <c r="Q21" t="s">
        <v>1124</v>
      </c>
      <c r="R21" t="s">
        <v>1124</v>
      </c>
      <c r="S21" t="s">
        <v>1124</v>
      </c>
      <c r="T21" t="s">
        <v>1124</v>
      </c>
      <c r="U21" t="s">
        <v>1124</v>
      </c>
      <c r="V21" t="s">
        <v>1124</v>
      </c>
      <c r="W21" s="16" t="s">
        <v>1124</v>
      </c>
      <c r="X21" s="16" t="s">
        <v>1124</v>
      </c>
      <c r="Y21" s="16" t="s">
        <v>1124</v>
      </c>
      <c r="Z21" s="16" t="s">
        <v>1124</v>
      </c>
      <c r="AA21" t="s">
        <v>1124</v>
      </c>
    </row>
    <row r="22" spans="1:27" x14ac:dyDescent="0.2">
      <c r="B22" s="15" t="s">
        <v>1124</v>
      </c>
      <c r="C22" t="s">
        <v>1124</v>
      </c>
      <c r="D22" s="16" t="s">
        <v>1124</v>
      </c>
      <c r="E22" t="s">
        <v>1124</v>
      </c>
      <c r="F22" t="s">
        <v>1124</v>
      </c>
      <c r="G22" t="s">
        <v>1124</v>
      </c>
      <c r="H22" t="s">
        <v>1124</v>
      </c>
      <c r="I22" t="s">
        <v>1124</v>
      </c>
      <c r="J22" t="s">
        <v>1124</v>
      </c>
      <c r="K22" t="s">
        <v>1124</v>
      </c>
      <c r="L22" t="s">
        <v>1124</v>
      </c>
      <c r="M22" t="s">
        <v>1124</v>
      </c>
      <c r="N22" t="s">
        <v>1124</v>
      </c>
      <c r="O22" t="s">
        <v>1124</v>
      </c>
      <c r="P22" t="s">
        <v>1124</v>
      </c>
      <c r="Q22" t="s">
        <v>1124</v>
      </c>
      <c r="R22" t="s">
        <v>1124</v>
      </c>
      <c r="S22" t="s">
        <v>1124</v>
      </c>
      <c r="T22" t="s">
        <v>1124</v>
      </c>
      <c r="U22" t="s">
        <v>1124</v>
      </c>
      <c r="V22" t="s">
        <v>1124</v>
      </c>
      <c r="W22" s="16" t="s">
        <v>1124</v>
      </c>
      <c r="X22" s="16" t="s">
        <v>1124</v>
      </c>
      <c r="Y22" s="16" t="s">
        <v>1124</v>
      </c>
      <c r="Z22" s="16" t="s">
        <v>1124</v>
      </c>
      <c r="AA22" t="s">
        <v>1124</v>
      </c>
    </row>
    <row r="23" spans="1:27" x14ac:dyDescent="0.2">
      <c r="B23" s="15" t="s">
        <v>1124</v>
      </c>
      <c r="C23" t="s">
        <v>1124</v>
      </c>
      <c r="D23" s="16" t="s">
        <v>1124</v>
      </c>
      <c r="E23" t="s">
        <v>1124</v>
      </c>
      <c r="F23" t="s">
        <v>1124</v>
      </c>
      <c r="G23" t="s">
        <v>1124</v>
      </c>
      <c r="H23" t="s">
        <v>1124</v>
      </c>
      <c r="I23" t="s">
        <v>1124</v>
      </c>
      <c r="J23" t="s">
        <v>1124</v>
      </c>
      <c r="K23" t="s">
        <v>1124</v>
      </c>
      <c r="L23" t="s">
        <v>1124</v>
      </c>
      <c r="M23" t="s">
        <v>1124</v>
      </c>
      <c r="N23" t="s">
        <v>1124</v>
      </c>
      <c r="O23" t="s">
        <v>1124</v>
      </c>
      <c r="P23" t="s">
        <v>1124</v>
      </c>
      <c r="Q23" t="s">
        <v>1124</v>
      </c>
      <c r="R23" t="s">
        <v>1124</v>
      </c>
      <c r="S23" t="s">
        <v>1124</v>
      </c>
      <c r="T23" t="s">
        <v>1124</v>
      </c>
      <c r="U23" t="s">
        <v>1124</v>
      </c>
      <c r="V23" t="s">
        <v>1124</v>
      </c>
      <c r="W23" s="16" t="s">
        <v>1124</v>
      </c>
      <c r="X23" s="16" t="s">
        <v>1124</v>
      </c>
      <c r="Y23" s="16" t="s">
        <v>1124</v>
      </c>
      <c r="Z23" s="16" t="s">
        <v>1124</v>
      </c>
      <c r="AA23" t="s">
        <v>1124</v>
      </c>
    </row>
    <row r="24" spans="1:27" x14ac:dyDescent="0.2">
      <c r="B24" s="15" t="s">
        <v>1124</v>
      </c>
      <c r="C24" t="s">
        <v>1124</v>
      </c>
      <c r="D24" s="16" t="s">
        <v>1124</v>
      </c>
      <c r="E24" t="s">
        <v>1124</v>
      </c>
      <c r="F24" t="s">
        <v>1124</v>
      </c>
      <c r="G24" t="s">
        <v>1124</v>
      </c>
      <c r="H24" t="s">
        <v>1124</v>
      </c>
      <c r="I24" t="s">
        <v>1124</v>
      </c>
      <c r="J24" t="s">
        <v>1124</v>
      </c>
      <c r="K24" t="s">
        <v>1124</v>
      </c>
      <c r="L24" t="s">
        <v>1124</v>
      </c>
      <c r="M24" t="s">
        <v>1124</v>
      </c>
      <c r="N24" t="s">
        <v>1124</v>
      </c>
      <c r="O24" t="s">
        <v>1124</v>
      </c>
      <c r="P24" t="s">
        <v>1124</v>
      </c>
      <c r="Q24" t="s">
        <v>1124</v>
      </c>
      <c r="R24" t="s">
        <v>1124</v>
      </c>
      <c r="S24" t="s">
        <v>1124</v>
      </c>
      <c r="T24" t="s">
        <v>1124</v>
      </c>
      <c r="U24" t="s">
        <v>1124</v>
      </c>
      <c r="V24" t="s">
        <v>1124</v>
      </c>
      <c r="W24" s="16" t="s">
        <v>1124</v>
      </c>
      <c r="X24" s="16" t="s">
        <v>1124</v>
      </c>
      <c r="Y24" s="16" t="s">
        <v>1124</v>
      </c>
      <c r="Z24" s="16" t="s">
        <v>1124</v>
      </c>
      <c r="AA24" t="s">
        <v>1124</v>
      </c>
    </row>
    <row r="25" spans="1:27" x14ac:dyDescent="0.2">
      <c r="B25" s="15" t="s">
        <v>1124</v>
      </c>
      <c r="C25" t="s">
        <v>1124</v>
      </c>
      <c r="D25" s="16" t="s">
        <v>1124</v>
      </c>
      <c r="E25" t="s">
        <v>1124</v>
      </c>
      <c r="F25" t="s">
        <v>1124</v>
      </c>
      <c r="G25" t="s">
        <v>1124</v>
      </c>
      <c r="H25" t="s">
        <v>1124</v>
      </c>
      <c r="I25" t="s">
        <v>1124</v>
      </c>
      <c r="J25" t="s">
        <v>1124</v>
      </c>
      <c r="K25" t="s">
        <v>1124</v>
      </c>
      <c r="L25" t="s">
        <v>1124</v>
      </c>
      <c r="M25" t="s">
        <v>1124</v>
      </c>
      <c r="N25" t="s">
        <v>1124</v>
      </c>
      <c r="O25" t="s">
        <v>1124</v>
      </c>
      <c r="P25" t="s">
        <v>1124</v>
      </c>
      <c r="Q25" t="s">
        <v>1124</v>
      </c>
      <c r="R25" t="s">
        <v>1124</v>
      </c>
      <c r="S25" t="s">
        <v>1124</v>
      </c>
      <c r="T25" t="s">
        <v>1124</v>
      </c>
      <c r="U25" t="s">
        <v>1124</v>
      </c>
      <c r="V25" t="s">
        <v>1124</v>
      </c>
      <c r="W25" s="16" t="s">
        <v>1124</v>
      </c>
      <c r="X25" s="16" t="s">
        <v>1124</v>
      </c>
      <c r="Y25" s="16" t="s">
        <v>1124</v>
      </c>
      <c r="Z25" s="16" t="s">
        <v>1124</v>
      </c>
      <c r="AA25" t="s">
        <v>1124</v>
      </c>
    </row>
    <row r="26" spans="1:27" x14ac:dyDescent="0.2">
      <c r="B26" s="15" t="s">
        <v>1124</v>
      </c>
      <c r="C26" t="s">
        <v>1124</v>
      </c>
      <c r="D26" s="16" t="s">
        <v>1124</v>
      </c>
      <c r="E26" t="s">
        <v>1124</v>
      </c>
      <c r="F26" t="s">
        <v>1124</v>
      </c>
      <c r="G26" t="s">
        <v>1124</v>
      </c>
      <c r="H26" t="s">
        <v>1124</v>
      </c>
      <c r="I26" t="s">
        <v>1124</v>
      </c>
      <c r="J26" t="s">
        <v>1124</v>
      </c>
      <c r="K26" t="s">
        <v>1124</v>
      </c>
      <c r="L26" t="s">
        <v>1124</v>
      </c>
      <c r="M26" t="s">
        <v>1124</v>
      </c>
      <c r="N26" t="s">
        <v>1124</v>
      </c>
      <c r="O26" t="s">
        <v>1124</v>
      </c>
      <c r="P26" t="s">
        <v>1124</v>
      </c>
      <c r="Q26" t="s">
        <v>1124</v>
      </c>
      <c r="R26" t="s">
        <v>1124</v>
      </c>
      <c r="S26" t="s">
        <v>1124</v>
      </c>
      <c r="T26" t="s">
        <v>1124</v>
      </c>
      <c r="U26" t="s">
        <v>1124</v>
      </c>
      <c r="V26" t="s">
        <v>1124</v>
      </c>
      <c r="W26" s="16" t="s">
        <v>1124</v>
      </c>
      <c r="X26" s="16" t="s">
        <v>1124</v>
      </c>
      <c r="Y26" s="16" t="s">
        <v>1124</v>
      </c>
      <c r="Z26" s="16" t="s">
        <v>1124</v>
      </c>
      <c r="AA26" t="s">
        <v>1124</v>
      </c>
    </row>
    <row r="27" spans="1:27" x14ac:dyDescent="0.2">
      <c r="B27" s="15" t="s">
        <v>1124</v>
      </c>
      <c r="C27" t="s">
        <v>1124</v>
      </c>
      <c r="D27" s="16" t="s">
        <v>1124</v>
      </c>
      <c r="E27" t="s">
        <v>1124</v>
      </c>
      <c r="F27" t="s">
        <v>1124</v>
      </c>
      <c r="G27" t="s">
        <v>1124</v>
      </c>
      <c r="H27" t="s">
        <v>1124</v>
      </c>
      <c r="I27" t="s">
        <v>1124</v>
      </c>
      <c r="J27" t="s">
        <v>1124</v>
      </c>
      <c r="K27" t="s">
        <v>1124</v>
      </c>
      <c r="L27" t="s">
        <v>1124</v>
      </c>
      <c r="M27" t="s">
        <v>1124</v>
      </c>
      <c r="N27" t="s">
        <v>1124</v>
      </c>
      <c r="O27" t="s">
        <v>1124</v>
      </c>
      <c r="P27" t="s">
        <v>1124</v>
      </c>
      <c r="Q27" t="s">
        <v>1124</v>
      </c>
      <c r="R27" t="s">
        <v>1124</v>
      </c>
      <c r="S27" t="s">
        <v>1124</v>
      </c>
      <c r="T27" t="s">
        <v>1124</v>
      </c>
      <c r="U27" t="s">
        <v>1124</v>
      </c>
      <c r="V27" t="s">
        <v>1124</v>
      </c>
      <c r="W27" s="16" t="s">
        <v>1124</v>
      </c>
      <c r="X27" s="16" t="s">
        <v>1124</v>
      </c>
      <c r="Y27" s="16" t="s">
        <v>1124</v>
      </c>
      <c r="Z27" s="16" t="s">
        <v>1124</v>
      </c>
      <c r="AA27" t="s">
        <v>1124</v>
      </c>
    </row>
    <row r="28" spans="1:27" x14ac:dyDescent="0.2">
      <c r="B28" s="15" t="s">
        <v>1124</v>
      </c>
      <c r="C28" t="s">
        <v>1124</v>
      </c>
      <c r="D28" s="16" t="s">
        <v>1124</v>
      </c>
      <c r="E28" t="s">
        <v>1124</v>
      </c>
      <c r="F28" t="s">
        <v>1124</v>
      </c>
      <c r="G28" t="s">
        <v>1124</v>
      </c>
      <c r="H28" t="s">
        <v>1124</v>
      </c>
      <c r="I28" t="s">
        <v>1124</v>
      </c>
      <c r="J28" t="s">
        <v>1124</v>
      </c>
      <c r="K28" t="s">
        <v>1124</v>
      </c>
      <c r="L28" t="s">
        <v>1124</v>
      </c>
      <c r="M28" t="s">
        <v>1124</v>
      </c>
      <c r="N28" t="s">
        <v>1124</v>
      </c>
      <c r="O28" t="s">
        <v>1124</v>
      </c>
      <c r="P28" t="s">
        <v>1124</v>
      </c>
      <c r="Q28" t="s">
        <v>1124</v>
      </c>
      <c r="R28" t="s">
        <v>1124</v>
      </c>
      <c r="S28" t="s">
        <v>1124</v>
      </c>
      <c r="T28" t="s">
        <v>1124</v>
      </c>
      <c r="U28" t="s">
        <v>1124</v>
      </c>
      <c r="V28" t="s">
        <v>1124</v>
      </c>
      <c r="W28" s="16" t="s">
        <v>1124</v>
      </c>
      <c r="X28" s="16" t="s">
        <v>1124</v>
      </c>
      <c r="Y28" s="16" t="s">
        <v>1124</v>
      </c>
      <c r="Z28" s="16" t="s">
        <v>1124</v>
      </c>
      <c r="AA28" t="s">
        <v>1124</v>
      </c>
    </row>
    <row r="29" spans="1:27" x14ac:dyDescent="0.2">
      <c r="B29" s="15" t="s">
        <v>1124</v>
      </c>
      <c r="C29" t="s">
        <v>1124</v>
      </c>
      <c r="D29" s="16" t="s">
        <v>1124</v>
      </c>
      <c r="E29" t="s">
        <v>1124</v>
      </c>
      <c r="F29" t="s">
        <v>1124</v>
      </c>
      <c r="G29" t="s">
        <v>1124</v>
      </c>
      <c r="H29" t="s">
        <v>1124</v>
      </c>
      <c r="I29" t="s">
        <v>1124</v>
      </c>
      <c r="J29" t="s">
        <v>1124</v>
      </c>
      <c r="K29" t="s">
        <v>1124</v>
      </c>
      <c r="L29" t="s">
        <v>1124</v>
      </c>
      <c r="M29" t="s">
        <v>1124</v>
      </c>
      <c r="N29" t="s">
        <v>1124</v>
      </c>
      <c r="O29" t="s">
        <v>1124</v>
      </c>
      <c r="P29" t="s">
        <v>1124</v>
      </c>
      <c r="Q29" t="s">
        <v>1124</v>
      </c>
      <c r="R29" t="s">
        <v>1124</v>
      </c>
      <c r="S29" t="s">
        <v>1124</v>
      </c>
      <c r="T29" t="s">
        <v>1124</v>
      </c>
      <c r="U29" t="s">
        <v>1124</v>
      </c>
      <c r="V29" t="s">
        <v>1124</v>
      </c>
      <c r="W29" s="16" t="s">
        <v>1124</v>
      </c>
      <c r="X29" s="16" t="s">
        <v>1124</v>
      </c>
      <c r="Y29" s="16" t="s">
        <v>1124</v>
      </c>
      <c r="Z29" s="16" t="s">
        <v>1124</v>
      </c>
      <c r="AA29" t="s">
        <v>1124</v>
      </c>
    </row>
    <row r="30" spans="1:27" x14ac:dyDescent="0.2">
      <c r="B30" s="15" t="s">
        <v>1124</v>
      </c>
      <c r="C30" t="s">
        <v>1124</v>
      </c>
      <c r="D30" s="16" t="s">
        <v>1124</v>
      </c>
      <c r="E30" t="s">
        <v>1124</v>
      </c>
      <c r="F30" t="s">
        <v>1124</v>
      </c>
      <c r="G30" t="s">
        <v>1124</v>
      </c>
      <c r="H30" t="s">
        <v>1124</v>
      </c>
      <c r="I30" t="s">
        <v>1124</v>
      </c>
      <c r="J30" t="s">
        <v>1124</v>
      </c>
      <c r="K30" t="s">
        <v>1124</v>
      </c>
      <c r="L30" t="s">
        <v>1124</v>
      </c>
      <c r="M30" t="s">
        <v>1124</v>
      </c>
      <c r="N30" t="s">
        <v>1124</v>
      </c>
      <c r="O30" t="s">
        <v>1124</v>
      </c>
      <c r="P30" t="s">
        <v>1124</v>
      </c>
      <c r="Q30" t="s">
        <v>1124</v>
      </c>
      <c r="R30" t="s">
        <v>1124</v>
      </c>
      <c r="S30" t="s">
        <v>1124</v>
      </c>
      <c r="T30" t="s">
        <v>1124</v>
      </c>
      <c r="U30" t="s">
        <v>1124</v>
      </c>
      <c r="V30" t="s">
        <v>1124</v>
      </c>
      <c r="W30" s="16" t="s">
        <v>1124</v>
      </c>
      <c r="X30" s="16" t="s">
        <v>1124</v>
      </c>
      <c r="Y30" s="16" t="s">
        <v>1124</v>
      </c>
      <c r="Z30" s="16" t="s">
        <v>1124</v>
      </c>
      <c r="AA30" t="s">
        <v>1124</v>
      </c>
    </row>
    <row r="31" spans="1:27" x14ac:dyDescent="0.2">
      <c r="B31" s="15" t="s">
        <v>1124</v>
      </c>
      <c r="C31" t="s">
        <v>1124</v>
      </c>
      <c r="D31" s="16" t="s">
        <v>1124</v>
      </c>
      <c r="E31" t="s">
        <v>1124</v>
      </c>
      <c r="F31" t="s">
        <v>1124</v>
      </c>
      <c r="G31" t="s">
        <v>1124</v>
      </c>
      <c r="H31" t="s">
        <v>1124</v>
      </c>
      <c r="I31" t="s">
        <v>1124</v>
      </c>
      <c r="J31" t="s">
        <v>1124</v>
      </c>
      <c r="K31" t="s">
        <v>1124</v>
      </c>
      <c r="L31" t="s">
        <v>1124</v>
      </c>
      <c r="M31" t="s">
        <v>1124</v>
      </c>
      <c r="N31" t="s">
        <v>1124</v>
      </c>
      <c r="O31" t="s">
        <v>1124</v>
      </c>
      <c r="P31" t="s">
        <v>1124</v>
      </c>
      <c r="Q31" t="s">
        <v>1124</v>
      </c>
      <c r="R31" t="s">
        <v>1124</v>
      </c>
      <c r="S31" t="s">
        <v>1124</v>
      </c>
      <c r="T31" t="s">
        <v>1124</v>
      </c>
      <c r="U31" t="s">
        <v>1124</v>
      </c>
      <c r="V31" t="s">
        <v>1124</v>
      </c>
      <c r="W31" s="16" t="s">
        <v>1124</v>
      </c>
      <c r="X31" s="16" t="s">
        <v>1124</v>
      </c>
      <c r="Y31" s="16" t="s">
        <v>1124</v>
      </c>
      <c r="Z31" s="16" t="s">
        <v>1124</v>
      </c>
      <c r="AA31" t="s">
        <v>1124</v>
      </c>
    </row>
    <row r="32" spans="1:27" x14ac:dyDescent="0.2">
      <c r="B32" s="15" t="s">
        <v>1124</v>
      </c>
      <c r="C32" t="s">
        <v>1124</v>
      </c>
      <c r="D32" s="16" t="s">
        <v>1124</v>
      </c>
      <c r="E32" t="s">
        <v>1124</v>
      </c>
      <c r="F32" t="s">
        <v>1124</v>
      </c>
      <c r="G32" t="s">
        <v>1124</v>
      </c>
      <c r="H32" t="s">
        <v>1124</v>
      </c>
      <c r="I32" t="s">
        <v>1124</v>
      </c>
      <c r="J32" t="s">
        <v>1124</v>
      </c>
      <c r="K32" t="s">
        <v>1124</v>
      </c>
      <c r="L32" t="s">
        <v>1124</v>
      </c>
      <c r="M32" t="s">
        <v>1124</v>
      </c>
      <c r="N32" t="s">
        <v>1124</v>
      </c>
      <c r="O32" t="s">
        <v>1124</v>
      </c>
      <c r="P32" t="s">
        <v>1124</v>
      </c>
      <c r="Q32" t="s">
        <v>1124</v>
      </c>
      <c r="R32" t="s">
        <v>1124</v>
      </c>
      <c r="S32" t="s">
        <v>1124</v>
      </c>
      <c r="T32" t="s">
        <v>1124</v>
      </c>
      <c r="U32" t="s">
        <v>1124</v>
      </c>
      <c r="V32" t="s">
        <v>1124</v>
      </c>
      <c r="W32" s="16" t="s">
        <v>1124</v>
      </c>
      <c r="X32" s="16" t="s">
        <v>1124</v>
      </c>
      <c r="Y32" s="16" t="s">
        <v>1124</v>
      </c>
      <c r="Z32" s="16" t="s">
        <v>1124</v>
      </c>
      <c r="AA32" t="s">
        <v>1124</v>
      </c>
    </row>
    <row r="33" spans="2:27" x14ac:dyDescent="0.2">
      <c r="B33" s="15" t="s">
        <v>1124</v>
      </c>
      <c r="C33" t="s">
        <v>1124</v>
      </c>
      <c r="D33" s="16" t="s">
        <v>1124</v>
      </c>
      <c r="E33" t="s">
        <v>1124</v>
      </c>
      <c r="F33" t="s">
        <v>1124</v>
      </c>
      <c r="G33" t="s">
        <v>1124</v>
      </c>
      <c r="H33" t="s">
        <v>1124</v>
      </c>
      <c r="I33" t="s">
        <v>1124</v>
      </c>
      <c r="J33" t="s">
        <v>1124</v>
      </c>
      <c r="K33" t="s">
        <v>1124</v>
      </c>
      <c r="L33" t="s">
        <v>1124</v>
      </c>
      <c r="M33" t="s">
        <v>1124</v>
      </c>
      <c r="N33" t="s">
        <v>1124</v>
      </c>
      <c r="O33" t="s">
        <v>1124</v>
      </c>
      <c r="P33" t="s">
        <v>1124</v>
      </c>
      <c r="Q33" t="s">
        <v>1124</v>
      </c>
      <c r="R33" t="s">
        <v>1124</v>
      </c>
      <c r="S33" t="s">
        <v>1124</v>
      </c>
      <c r="T33" t="s">
        <v>1124</v>
      </c>
      <c r="U33" t="s">
        <v>1124</v>
      </c>
      <c r="V33" t="s">
        <v>1124</v>
      </c>
      <c r="W33" s="16" t="s">
        <v>1124</v>
      </c>
      <c r="X33" s="16" t="s">
        <v>1124</v>
      </c>
      <c r="Y33" s="16" t="s">
        <v>1124</v>
      </c>
      <c r="Z33" s="16" t="s">
        <v>1124</v>
      </c>
      <c r="AA33" t="s">
        <v>1124</v>
      </c>
    </row>
    <row r="34" spans="2:27" x14ac:dyDescent="0.2">
      <c r="B34" s="15" t="s">
        <v>1124</v>
      </c>
      <c r="C34" t="s">
        <v>1124</v>
      </c>
      <c r="D34" s="16" t="s">
        <v>1124</v>
      </c>
      <c r="E34" t="s">
        <v>1124</v>
      </c>
      <c r="F34" t="s">
        <v>1124</v>
      </c>
      <c r="G34" t="s">
        <v>1124</v>
      </c>
      <c r="H34" t="s">
        <v>1124</v>
      </c>
      <c r="I34" t="s">
        <v>1124</v>
      </c>
      <c r="J34" t="s">
        <v>1124</v>
      </c>
      <c r="K34" t="s">
        <v>1124</v>
      </c>
      <c r="L34" t="s">
        <v>1124</v>
      </c>
      <c r="M34" t="s">
        <v>1124</v>
      </c>
      <c r="N34" t="s">
        <v>1124</v>
      </c>
      <c r="O34" t="s">
        <v>1124</v>
      </c>
      <c r="P34" t="s">
        <v>1124</v>
      </c>
      <c r="Q34" t="s">
        <v>1124</v>
      </c>
      <c r="R34" t="s">
        <v>1124</v>
      </c>
      <c r="S34" t="s">
        <v>1124</v>
      </c>
      <c r="T34" t="s">
        <v>1124</v>
      </c>
      <c r="U34" t="s">
        <v>1124</v>
      </c>
      <c r="V34" t="s">
        <v>1124</v>
      </c>
      <c r="W34" s="16" t="s">
        <v>1124</v>
      </c>
      <c r="X34" s="16" t="s">
        <v>1124</v>
      </c>
      <c r="Y34" s="16" t="s">
        <v>1124</v>
      </c>
      <c r="Z34" s="16" t="s">
        <v>1124</v>
      </c>
      <c r="AA34" t="s">
        <v>1124</v>
      </c>
    </row>
    <row r="35" spans="2:27" x14ac:dyDescent="0.2">
      <c r="B35" s="15" t="s">
        <v>1124</v>
      </c>
      <c r="C35" t="s">
        <v>1124</v>
      </c>
      <c r="D35" s="16" t="s">
        <v>1124</v>
      </c>
      <c r="E35" t="s">
        <v>1124</v>
      </c>
      <c r="F35" t="s">
        <v>1124</v>
      </c>
      <c r="G35" t="s">
        <v>1124</v>
      </c>
      <c r="H35" t="s">
        <v>1124</v>
      </c>
      <c r="I35" t="s">
        <v>1124</v>
      </c>
      <c r="J35" t="s">
        <v>1124</v>
      </c>
      <c r="K35" t="s">
        <v>1124</v>
      </c>
      <c r="L35" t="s">
        <v>1124</v>
      </c>
      <c r="M35" t="s">
        <v>1124</v>
      </c>
      <c r="N35" t="s">
        <v>1124</v>
      </c>
      <c r="O35" t="s">
        <v>1124</v>
      </c>
      <c r="P35" t="s">
        <v>1124</v>
      </c>
      <c r="Q35" t="s">
        <v>1124</v>
      </c>
      <c r="R35" t="s">
        <v>1124</v>
      </c>
      <c r="S35" t="s">
        <v>1124</v>
      </c>
      <c r="T35" t="s">
        <v>1124</v>
      </c>
      <c r="U35" t="s">
        <v>1124</v>
      </c>
      <c r="V35" t="s">
        <v>1124</v>
      </c>
      <c r="W35" s="16" t="s">
        <v>1124</v>
      </c>
      <c r="X35" s="16" t="s">
        <v>1124</v>
      </c>
      <c r="Y35" s="16" t="s">
        <v>1124</v>
      </c>
      <c r="Z35" s="16" t="s">
        <v>1124</v>
      </c>
      <c r="AA35" t="s">
        <v>1124</v>
      </c>
    </row>
    <row r="36" spans="2:27" x14ac:dyDescent="0.2">
      <c r="B36" s="15" t="s">
        <v>1124</v>
      </c>
      <c r="C36" t="s">
        <v>1124</v>
      </c>
      <c r="D36" s="16" t="s">
        <v>1124</v>
      </c>
      <c r="E36" t="s">
        <v>1124</v>
      </c>
      <c r="F36" t="s">
        <v>1124</v>
      </c>
      <c r="G36" t="s">
        <v>1124</v>
      </c>
      <c r="H36" t="s">
        <v>1124</v>
      </c>
      <c r="I36" t="s">
        <v>1124</v>
      </c>
      <c r="J36" t="s">
        <v>1124</v>
      </c>
      <c r="K36" t="s">
        <v>1124</v>
      </c>
      <c r="L36" t="s">
        <v>1124</v>
      </c>
      <c r="M36" t="s">
        <v>1124</v>
      </c>
      <c r="N36" t="s">
        <v>1124</v>
      </c>
      <c r="O36" t="s">
        <v>1124</v>
      </c>
      <c r="P36" t="s">
        <v>1124</v>
      </c>
      <c r="Q36" t="s">
        <v>1124</v>
      </c>
      <c r="R36" t="s">
        <v>1124</v>
      </c>
      <c r="S36" t="s">
        <v>1124</v>
      </c>
      <c r="T36" t="s">
        <v>1124</v>
      </c>
      <c r="U36" t="s">
        <v>1124</v>
      </c>
      <c r="V36" t="s">
        <v>1124</v>
      </c>
      <c r="W36" s="16" t="s">
        <v>1124</v>
      </c>
      <c r="X36" s="16" t="s">
        <v>1124</v>
      </c>
      <c r="Y36" s="16" t="s">
        <v>1124</v>
      </c>
      <c r="Z36" s="16" t="s">
        <v>1124</v>
      </c>
      <c r="AA36" t="s">
        <v>1124</v>
      </c>
    </row>
    <row r="37" spans="2:27" x14ac:dyDescent="0.2">
      <c r="B37" s="15" t="s">
        <v>1124</v>
      </c>
      <c r="C37" t="s">
        <v>1124</v>
      </c>
      <c r="D37" s="16" t="s">
        <v>1124</v>
      </c>
      <c r="E37" t="s">
        <v>1124</v>
      </c>
      <c r="F37" t="s">
        <v>1124</v>
      </c>
      <c r="G37" t="s">
        <v>1124</v>
      </c>
      <c r="H37" t="s">
        <v>1124</v>
      </c>
      <c r="I37" t="s">
        <v>1124</v>
      </c>
      <c r="J37" t="s">
        <v>1124</v>
      </c>
      <c r="K37" t="s">
        <v>1124</v>
      </c>
      <c r="L37" t="s">
        <v>1124</v>
      </c>
      <c r="M37" t="s">
        <v>1124</v>
      </c>
      <c r="N37" t="s">
        <v>1124</v>
      </c>
      <c r="O37" t="s">
        <v>1124</v>
      </c>
      <c r="P37" t="s">
        <v>1124</v>
      </c>
      <c r="Q37" t="s">
        <v>1124</v>
      </c>
      <c r="R37" t="s">
        <v>1124</v>
      </c>
      <c r="S37" t="s">
        <v>1124</v>
      </c>
      <c r="T37" t="s">
        <v>1124</v>
      </c>
      <c r="U37" t="s">
        <v>1124</v>
      </c>
      <c r="V37" t="s">
        <v>1124</v>
      </c>
      <c r="W37" s="16" t="s">
        <v>1124</v>
      </c>
      <c r="X37" s="16" t="s">
        <v>1124</v>
      </c>
      <c r="Y37" s="16" t="s">
        <v>1124</v>
      </c>
      <c r="Z37" s="16" t="s">
        <v>1124</v>
      </c>
      <c r="AA37" t="s">
        <v>1124</v>
      </c>
    </row>
    <row r="38" spans="2:27" x14ac:dyDescent="0.2">
      <c r="B38" s="15" t="s">
        <v>1124</v>
      </c>
      <c r="C38" t="s">
        <v>1124</v>
      </c>
      <c r="D38" s="16" t="s">
        <v>1124</v>
      </c>
      <c r="E38" t="s">
        <v>1124</v>
      </c>
      <c r="F38" t="s">
        <v>1124</v>
      </c>
      <c r="G38" t="s">
        <v>1124</v>
      </c>
      <c r="H38" t="s">
        <v>1124</v>
      </c>
      <c r="I38" t="s">
        <v>1124</v>
      </c>
      <c r="J38" t="s">
        <v>1124</v>
      </c>
      <c r="K38" t="s">
        <v>1124</v>
      </c>
      <c r="L38" t="s">
        <v>1124</v>
      </c>
      <c r="M38" t="s">
        <v>1124</v>
      </c>
      <c r="N38" t="s">
        <v>1124</v>
      </c>
      <c r="O38" t="s">
        <v>1124</v>
      </c>
      <c r="P38" t="s">
        <v>1124</v>
      </c>
      <c r="Q38" t="s">
        <v>1124</v>
      </c>
      <c r="R38" t="s">
        <v>1124</v>
      </c>
      <c r="S38" t="s">
        <v>1124</v>
      </c>
      <c r="T38" t="s">
        <v>1124</v>
      </c>
      <c r="U38" t="s">
        <v>1124</v>
      </c>
      <c r="V38" t="s">
        <v>1124</v>
      </c>
      <c r="W38" s="16" t="s">
        <v>1124</v>
      </c>
      <c r="X38" s="16" t="s">
        <v>1124</v>
      </c>
      <c r="Y38" s="16" t="s">
        <v>1124</v>
      </c>
      <c r="Z38" s="16" t="s">
        <v>1124</v>
      </c>
      <c r="AA38" t="s">
        <v>1124</v>
      </c>
    </row>
    <row r="39" spans="2:27" x14ac:dyDescent="0.2">
      <c r="B39" s="15" t="s">
        <v>1124</v>
      </c>
      <c r="C39" t="s">
        <v>1124</v>
      </c>
      <c r="D39" s="16" t="s">
        <v>1124</v>
      </c>
      <c r="E39" t="s">
        <v>1124</v>
      </c>
      <c r="F39" t="s">
        <v>1124</v>
      </c>
      <c r="G39" t="s">
        <v>1124</v>
      </c>
      <c r="H39" t="s">
        <v>1124</v>
      </c>
      <c r="I39" t="s">
        <v>1124</v>
      </c>
      <c r="J39" t="s">
        <v>1124</v>
      </c>
      <c r="K39" t="s">
        <v>1124</v>
      </c>
      <c r="L39" t="s">
        <v>1124</v>
      </c>
      <c r="M39" t="s">
        <v>1124</v>
      </c>
      <c r="N39" t="s">
        <v>1124</v>
      </c>
      <c r="O39" t="s">
        <v>1124</v>
      </c>
      <c r="P39" t="s">
        <v>1124</v>
      </c>
      <c r="Q39" t="s">
        <v>1124</v>
      </c>
      <c r="R39" t="s">
        <v>1124</v>
      </c>
      <c r="S39" t="s">
        <v>1124</v>
      </c>
      <c r="T39" t="s">
        <v>1124</v>
      </c>
      <c r="U39" t="s">
        <v>1124</v>
      </c>
      <c r="V39" t="s">
        <v>1124</v>
      </c>
      <c r="W39" s="16" t="s">
        <v>1124</v>
      </c>
      <c r="X39" s="16" t="s">
        <v>1124</v>
      </c>
      <c r="Y39" s="16" t="s">
        <v>1124</v>
      </c>
      <c r="Z39" s="16" t="s">
        <v>1124</v>
      </c>
      <c r="AA39" t="s">
        <v>1124</v>
      </c>
    </row>
    <row r="40" spans="2:27" x14ac:dyDescent="0.2">
      <c r="B40" s="15" t="s">
        <v>1124</v>
      </c>
      <c r="C40" t="s">
        <v>1124</v>
      </c>
      <c r="D40" s="16" t="s">
        <v>1124</v>
      </c>
      <c r="E40" t="s">
        <v>1124</v>
      </c>
      <c r="F40" t="s">
        <v>1124</v>
      </c>
      <c r="G40" t="s">
        <v>1124</v>
      </c>
      <c r="H40" t="s">
        <v>1124</v>
      </c>
      <c r="I40" t="s">
        <v>1124</v>
      </c>
      <c r="J40" t="s">
        <v>1124</v>
      </c>
      <c r="K40" t="s">
        <v>1124</v>
      </c>
      <c r="L40" t="s">
        <v>1124</v>
      </c>
      <c r="M40" t="s">
        <v>1124</v>
      </c>
      <c r="N40" t="s">
        <v>1124</v>
      </c>
      <c r="O40" t="s">
        <v>1124</v>
      </c>
      <c r="P40" t="s">
        <v>1124</v>
      </c>
      <c r="Q40" t="s">
        <v>1124</v>
      </c>
      <c r="R40" t="s">
        <v>1124</v>
      </c>
      <c r="S40" t="s">
        <v>1124</v>
      </c>
      <c r="T40" t="s">
        <v>1124</v>
      </c>
      <c r="U40" t="s">
        <v>1124</v>
      </c>
      <c r="V40" t="s">
        <v>1124</v>
      </c>
      <c r="W40" s="16" t="s">
        <v>1124</v>
      </c>
      <c r="X40" s="16" t="s">
        <v>1124</v>
      </c>
      <c r="Y40" s="16" t="s">
        <v>1124</v>
      </c>
      <c r="Z40" s="16" t="s">
        <v>1124</v>
      </c>
      <c r="AA40" t="s">
        <v>1124</v>
      </c>
    </row>
    <row r="41" spans="2:27" x14ac:dyDescent="0.2">
      <c r="B41" s="15" t="s">
        <v>1124</v>
      </c>
      <c r="C41" t="s">
        <v>1124</v>
      </c>
      <c r="D41" s="16" t="s">
        <v>1124</v>
      </c>
      <c r="E41" t="s">
        <v>1124</v>
      </c>
      <c r="F41" t="s">
        <v>1124</v>
      </c>
      <c r="G41" t="s">
        <v>1124</v>
      </c>
      <c r="H41" t="s">
        <v>1124</v>
      </c>
      <c r="I41" t="s">
        <v>1124</v>
      </c>
      <c r="J41" t="s">
        <v>1124</v>
      </c>
      <c r="K41" t="s">
        <v>1124</v>
      </c>
      <c r="L41" t="s">
        <v>1124</v>
      </c>
      <c r="M41" t="s">
        <v>1124</v>
      </c>
      <c r="N41" t="s">
        <v>1124</v>
      </c>
      <c r="O41" t="s">
        <v>1124</v>
      </c>
      <c r="P41" t="s">
        <v>1124</v>
      </c>
      <c r="Q41" t="s">
        <v>1124</v>
      </c>
      <c r="R41" t="s">
        <v>1124</v>
      </c>
      <c r="S41" t="s">
        <v>1124</v>
      </c>
      <c r="T41" t="s">
        <v>1124</v>
      </c>
      <c r="U41" t="s">
        <v>1124</v>
      </c>
      <c r="V41" t="s">
        <v>1124</v>
      </c>
      <c r="W41" s="16" t="s">
        <v>1124</v>
      </c>
      <c r="X41" s="16" t="s">
        <v>1124</v>
      </c>
      <c r="Y41" s="16" t="s">
        <v>1124</v>
      </c>
      <c r="Z41" s="16" t="s">
        <v>1124</v>
      </c>
      <c r="AA41" t="s">
        <v>1124</v>
      </c>
    </row>
    <row r="42" spans="2:27" x14ac:dyDescent="0.2">
      <c r="B42" s="15" t="s">
        <v>1124</v>
      </c>
      <c r="C42" t="s">
        <v>1124</v>
      </c>
      <c r="D42" s="16" t="s">
        <v>1124</v>
      </c>
      <c r="E42" t="s">
        <v>1124</v>
      </c>
      <c r="F42" t="s">
        <v>1124</v>
      </c>
      <c r="G42" t="s">
        <v>1124</v>
      </c>
      <c r="H42" t="s">
        <v>1124</v>
      </c>
      <c r="I42" t="s">
        <v>1124</v>
      </c>
      <c r="J42" t="s">
        <v>1124</v>
      </c>
      <c r="K42" t="s">
        <v>1124</v>
      </c>
      <c r="L42" t="s">
        <v>1124</v>
      </c>
      <c r="M42" t="s">
        <v>1124</v>
      </c>
      <c r="N42" t="s">
        <v>1124</v>
      </c>
      <c r="O42" t="s">
        <v>1124</v>
      </c>
      <c r="P42" t="s">
        <v>1124</v>
      </c>
      <c r="Q42" t="s">
        <v>1124</v>
      </c>
      <c r="R42" t="s">
        <v>1124</v>
      </c>
      <c r="S42" t="s">
        <v>1124</v>
      </c>
      <c r="T42" t="s">
        <v>1124</v>
      </c>
      <c r="U42" t="s">
        <v>1124</v>
      </c>
      <c r="V42" t="s">
        <v>1124</v>
      </c>
      <c r="W42" s="16" t="s">
        <v>1124</v>
      </c>
      <c r="X42" s="16" t="s">
        <v>1124</v>
      </c>
      <c r="Y42" s="16" t="s">
        <v>1124</v>
      </c>
      <c r="Z42" s="16" t="s">
        <v>1124</v>
      </c>
      <c r="AA42" t="s">
        <v>1124</v>
      </c>
    </row>
    <row r="43" spans="2:27" x14ac:dyDescent="0.2">
      <c r="B43" s="15" t="s">
        <v>1124</v>
      </c>
      <c r="C43" t="s">
        <v>1124</v>
      </c>
      <c r="D43" s="16" t="s">
        <v>1124</v>
      </c>
      <c r="E43" t="s">
        <v>1124</v>
      </c>
      <c r="F43" t="s">
        <v>1124</v>
      </c>
      <c r="G43" t="s">
        <v>1124</v>
      </c>
      <c r="H43" t="s">
        <v>1124</v>
      </c>
      <c r="I43" t="s">
        <v>1124</v>
      </c>
      <c r="J43" t="s">
        <v>1124</v>
      </c>
      <c r="K43" t="s">
        <v>1124</v>
      </c>
      <c r="L43" t="s">
        <v>1124</v>
      </c>
      <c r="M43" t="s">
        <v>1124</v>
      </c>
      <c r="N43" t="s">
        <v>1124</v>
      </c>
      <c r="O43" t="s">
        <v>1124</v>
      </c>
      <c r="P43" t="s">
        <v>1124</v>
      </c>
      <c r="Q43" t="s">
        <v>1124</v>
      </c>
      <c r="R43" t="s">
        <v>1124</v>
      </c>
      <c r="S43" t="s">
        <v>1124</v>
      </c>
      <c r="T43" t="s">
        <v>1124</v>
      </c>
      <c r="U43" t="s">
        <v>1124</v>
      </c>
      <c r="V43" t="s">
        <v>1124</v>
      </c>
      <c r="W43" s="16" t="s">
        <v>1124</v>
      </c>
      <c r="X43" s="16" t="s">
        <v>1124</v>
      </c>
      <c r="Y43" s="16" t="s">
        <v>1124</v>
      </c>
      <c r="Z43" s="16" t="s">
        <v>1124</v>
      </c>
      <c r="AA43" t="s">
        <v>1124</v>
      </c>
    </row>
    <row r="44" spans="2:27" x14ac:dyDescent="0.2">
      <c r="B44" s="15" t="s">
        <v>1124</v>
      </c>
      <c r="C44" t="s">
        <v>1124</v>
      </c>
      <c r="D44" s="16" t="s">
        <v>1124</v>
      </c>
      <c r="E44" t="s">
        <v>1124</v>
      </c>
      <c r="F44" t="s">
        <v>1124</v>
      </c>
      <c r="G44" t="s">
        <v>1124</v>
      </c>
      <c r="H44" t="s">
        <v>1124</v>
      </c>
      <c r="I44" t="s">
        <v>1124</v>
      </c>
      <c r="J44" t="s">
        <v>1124</v>
      </c>
      <c r="K44" t="s">
        <v>1124</v>
      </c>
      <c r="L44" t="s">
        <v>1124</v>
      </c>
      <c r="M44" t="s">
        <v>1124</v>
      </c>
      <c r="N44" t="s">
        <v>1124</v>
      </c>
      <c r="O44" t="s">
        <v>1124</v>
      </c>
      <c r="P44" t="s">
        <v>1124</v>
      </c>
      <c r="Q44" t="s">
        <v>1124</v>
      </c>
      <c r="R44" t="s">
        <v>1124</v>
      </c>
      <c r="S44" t="s">
        <v>1124</v>
      </c>
      <c r="T44" t="s">
        <v>1124</v>
      </c>
      <c r="U44" t="s">
        <v>1124</v>
      </c>
      <c r="V44" t="s">
        <v>1124</v>
      </c>
      <c r="W44" s="16" t="s">
        <v>1124</v>
      </c>
      <c r="X44" s="16" t="s">
        <v>1124</v>
      </c>
      <c r="Y44" s="16" t="s">
        <v>1124</v>
      </c>
      <c r="Z44" s="16" t="s">
        <v>1124</v>
      </c>
      <c r="AA44" t="s">
        <v>1124</v>
      </c>
    </row>
    <row r="45" spans="2:27" x14ac:dyDescent="0.2">
      <c r="B45" s="15" t="s">
        <v>1124</v>
      </c>
      <c r="C45" t="s">
        <v>1124</v>
      </c>
      <c r="D45" s="16" t="s">
        <v>1124</v>
      </c>
      <c r="E45" t="s">
        <v>1124</v>
      </c>
      <c r="F45" t="s">
        <v>1124</v>
      </c>
      <c r="G45" t="s">
        <v>1124</v>
      </c>
      <c r="H45" t="s">
        <v>1124</v>
      </c>
      <c r="I45" t="s">
        <v>1124</v>
      </c>
      <c r="J45" t="s">
        <v>1124</v>
      </c>
      <c r="K45" t="s">
        <v>1124</v>
      </c>
      <c r="L45" t="s">
        <v>1124</v>
      </c>
      <c r="M45" t="s">
        <v>1124</v>
      </c>
      <c r="N45" t="s">
        <v>1124</v>
      </c>
      <c r="O45" t="s">
        <v>1124</v>
      </c>
      <c r="P45" t="s">
        <v>1124</v>
      </c>
      <c r="Q45" t="s">
        <v>1124</v>
      </c>
      <c r="R45" t="s">
        <v>1124</v>
      </c>
      <c r="S45" t="s">
        <v>1124</v>
      </c>
      <c r="T45" t="s">
        <v>1124</v>
      </c>
      <c r="U45" t="s">
        <v>1124</v>
      </c>
      <c r="V45" t="s">
        <v>1124</v>
      </c>
      <c r="W45" s="16" t="s">
        <v>1124</v>
      </c>
      <c r="X45" s="16" t="s">
        <v>1124</v>
      </c>
      <c r="Y45" s="16" t="s">
        <v>1124</v>
      </c>
      <c r="Z45" s="16" t="s">
        <v>1124</v>
      </c>
      <c r="AA45" t="s">
        <v>1124</v>
      </c>
    </row>
    <row r="46" spans="2:27" x14ac:dyDescent="0.2">
      <c r="B46" s="15" t="s">
        <v>1124</v>
      </c>
      <c r="C46" t="s">
        <v>1124</v>
      </c>
      <c r="D46" s="16" t="s">
        <v>1124</v>
      </c>
      <c r="E46" t="s">
        <v>1124</v>
      </c>
      <c r="F46" t="s">
        <v>1124</v>
      </c>
      <c r="G46" t="s">
        <v>1124</v>
      </c>
      <c r="H46" t="s">
        <v>1124</v>
      </c>
      <c r="I46" t="s">
        <v>1124</v>
      </c>
      <c r="J46" t="s">
        <v>1124</v>
      </c>
      <c r="K46" t="s">
        <v>1124</v>
      </c>
      <c r="L46" t="s">
        <v>1124</v>
      </c>
      <c r="M46" t="s">
        <v>1124</v>
      </c>
      <c r="N46" t="s">
        <v>1124</v>
      </c>
      <c r="O46" t="s">
        <v>1124</v>
      </c>
      <c r="P46" t="s">
        <v>1124</v>
      </c>
      <c r="Q46" t="s">
        <v>1124</v>
      </c>
      <c r="R46" t="s">
        <v>1124</v>
      </c>
      <c r="S46" t="s">
        <v>1124</v>
      </c>
      <c r="T46" t="s">
        <v>1124</v>
      </c>
      <c r="U46" t="s">
        <v>1124</v>
      </c>
      <c r="V46" t="s">
        <v>1124</v>
      </c>
      <c r="W46" s="16" t="s">
        <v>1124</v>
      </c>
      <c r="X46" s="16" t="s">
        <v>1124</v>
      </c>
      <c r="Y46" s="16" t="s">
        <v>1124</v>
      </c>
      <c r="Z46" s="16" t="s">
        <v>1124</v>
      </c>
      <c r="AA46" t="s">
        <v>1124</v>
      </c>
    </row>
    <row r="47" spans="2:27" x14ac:dyDescent="0.2">
      <c r="B47" s="15" t="s">
        <v>1124</v>
      </c>
      <c r="C47" t="s">
        <v>1124</v>
      </c>
      <c r="D47" s="16" t="s">
        <v>1124</v>
      </c>
      <c r="E47" t="s">
        <v>1124</v>
      </c>
      <c r="F47" t="s">
        <v>1124</v>
      </c>
      <c r="G47" t="s">
        <v>1124</v>
      </c>
      <c r="H47" t="s">
        <v>1124</v>
      </c>
      <c r="I47" t="s">
        <v>1124</v>
      </c>
      <c r="J47" t="s">
        <v>1124</v>
      </c>
      <c r="K47" t="s">
        <v>1124</v>
      </c>
      <c r="L47" t="s">
        <v>1124</v>
      </c>
      <c r="M47" t="s">
        <v>1124</v>
      </c>
      <c r="N47" t="s">
        <v>1124</v>
      </c>
      <c r="O47" t="s">
        <v>1124</v>
      </c>
      <c r="P47" t="s">
        <v>1124</v>
      </c>
      <c r="Q47" t="s">
        <v>1124</v>
      </c>
      <c r="R47" t="s">
        <v>1124</v>
      </c>
      <c r="S47" t="s">
        <v>1124</v>
      </c>
      <c r="T47" t="s">
        <v>1124</v>
      </c>
      <c r="U47" t="s">
        <v>1124</v>
      </c>
      <c r="V47" t="s">
        <v>1124</v>
      </c>
      <c r="W47" s="16" t="s">
        <v>1124</v>
      </c>
      <c r="X47" s="16" t="s">
        <v>1124</v>
      </c>
      <c r="Y47" s="16" t="s">
        <v>1124</v>
      </c>
      <c r="Z47" s="16" t="s">
        <v>1124</v>
      </c>
      <c r="AA47" t="s">
        <v>1124</v>
      </c>
    </row>
    <row r="48" spans="2:27" x14ac:dyDescent="0.2">
      <c r="B48" s="15" t="s">
        <v>1124</v>
      </c>
      <c r="C48" t="s">
        <v>1124</v>
      </c>
      <c r="D48" s="16" t="s">
        <v>1124</v>
      </c>
      <c r="E48" t="s">
        <v>1124</v>
      </c>
      <c r="F48" t="s">
        <v>1124</v>
      </c>
      <c r="G48" t="s">
        <v>1124</v>
      </c>
      <c r="H48" t="s">
        <v>1124</v>
      </c>
      <c r="I48" t="s">
        <v>1124</v>
      </c>
      <c r="J48" t="s">
        <v>1124</v>
      </c>
      <c r="K48" t="s">
        <v>1124</v>
      </c>
      <c r="L48" t="s">
        <v>1124</v>
      </c>
      <c r="M48" t="s">
        <v>1124</v>
      </c>
      <c r="N48" t="s">
        <v>1124</v>
      </c>
      <c r="O48" t="s">
        <v>1124</v>
      </c>
      <c r="P48" t="s">
        <v>1124</v>
      </c>
      <c r="Q48" t="s">
        <v>1124</v>
      </c>
      <c r="R48" t="s">
        <v>1124</v>
      </c>
      <c r="S48" t="s">
        <v>1124</v>
      </c>
      <c r="T48" t="s">
        <v>1124</v>
      </c>
      <c r="U48" t="s">
        <v>1124</v>
      </c>
      <c r="V48" t="s">
        <v>1124</v>
      </c>
      <c r="W48" s="16" t="s">
        <v>1124</v>
      </c>
      <c r="X48" s="16" t="s">
        <v>1124</v>
      </c>
      <c r="Y48" s="16" t="s">
        <v>1124</v>
      </c>
      <c r="Z48" s="16" t="s">
        <v>1124</v>
      </c>
      <c r="AA48" t="s">
        <v>1124</v>
      </c>
    </row>
    <row r="49" spans="2:27" x14ac:dyDescent="0.2">
      <c r="B49" s="15" t="s">
        <v>1124</v>
      </c>
      <c r="C49" t="s">
        <v>1124</v>
      </c>
      <c r="D49" s="16" t="s">
        <v>1124</v>
      </c>
      <c r="E49" t="s">
        <v>1124</v>
      </c>
      <c r="F49" t="s">
        <v>1124</v>
      </c>
      <c r="G49" t="s">
        <v>1124</v>
      </c>
      <c r="H49" t="s">
        <v>1124</v>
      </c>
      <c r="I49" t="s">
        <v>1124</v>
      </c>
      <c r="J49" t="s">
        <v>1124</v>
      </c>
      <c r="K49" t="s">
        <v>1124</v>
      </c>
      <c r="L49" t="s">
        <v>1124</v>
      </c>
      <c r="M49" t="s">
        <v>1124</v>
      </c>
      <c r="N49" t="s">
        <v>1124</v>
      </c>
      <c r="O49" t="s">
        <v>1124</v>
      </c>
      <c r="P49" t="s">
        <v>1124</v>
      </c>
      <c r="Q49" t="s">
        <v>1124</v>
      </c>
      <c r="R49" t="s">
        <v>1124</v>
      </c>
      <c r="S49" t="s">
        <v>1124</v>
      </c>
      <c r="T49" t="s">
        <v>1124</v>
      </c>
      <c r="U49" t="s">
        <v>1124</v>
      </c>
      <c r="V49" t="s">
        <v>1124</v>
      </c>
      <c r="W49" s="16" t="s">
        <v>1124</v>
      </c>
      <c r="X49" s="16" t="s">
        <v>1124</v>
      </c>
      <c r="Y49" s="16" t="s">
        <v>1124</v>
      </c>
      <c r="Z49" s="16" t="s">
        <v>1124</v>
      </c>
      <c r="AA49" t="s">
        <v>1124</v>
      </c>
    </row>
    <row r="50" spans="2:27" x14ac:dyDescent="0.2">
      <c r="B50" s="15" t="s">
        <v>1124</v>
      </c>
      <c r="C50" t="s">
        <v>1124</v>
      </c>
      <c r="D50" s="16" t="s">
        <v>1124</v>
      </c>
      <c r="E50" t="s">
        <v>1124</v>
      </c>
      <c r="F50" t="s">
        <v>1124</v>
      </c>
      <c r="G50" t="s">
        <v>1124</v>
      </c>
      <c r="H50" t="s">
        <v>1124</v>
      </c>
      <c r="I50" t="s">
        <v>1124</v>
      </c>
      <c r="J50" t="s">
        <v>1124</v>
      </c>
      <c r="K50" t="s">
        <v>1124</v>
      </c>
      <c r="L50" t="s">
        <v>1124</v>
      </c>
      <c r="M50" t="s">
        <v>1124</v>
      </c>
      <c r="N50" t="s">
        <v>1124</v>
      </c>
      <c r="O50" t="s">
        <v>1124</v>
      </c>
      <c r="P50" t="s">
        <v>1124</v>
      </c>
      <c r="Q50" t="s">
        <v>1124</v>
      </c>
      <c r="R50" t="s">
        <v>1124</v>
      </c>
      <c r="S50" t="s">
        <v>1124</v>
      </c>
      <c r="T50" t="s">
        <v>1124</v>
      </c>
      <c r="U50" t="s">
        <v>1124</v>
      </c>
      <c r="V50" t="s">
        <v>1124</v>
      </c>
      <c r="W50" s="16" t="s">
        <v>1124</v>
      </c>
      <c r="X50" s="16" t="s">
        <v>1124</v>
      </c>
      <c r="Y50" s="16" t="s">
        <v>1124</v>
      </c>
      <c r="Z50" s="16" t="s">
        <v>1124</v>
      </c>
      <c r="AA50" t="s">
        <v>1124</v>
      </c>
    </row>
    <row r="51" spans="2:27" x14ac:dyDescent="0.2">
      <c r="B51" s="15" t="s">
        <v>1124</v>
      </c>
      <c r="C51" t="s">
        <v>1124</v>
      </c>
      <c r="D51" s="16" t="s">
        <v>1124</v>
      </c>
      <c r="E51" t="s">
        <v>1124</v>
      </c>
      <c r="F51" t="s">
        <v>1124</v>
      </c>
      <c r="G51" t="s">
        <v>1124</v>
      </c>
      <c r="H51" t="s">
        <v>1124</v>
      </c>
      <c r="I51" t="s">
        <v>1124</v>
      </c>
      <c r="J51" t="s">
        <v>1124</v>
      </c>
      <c r="K51" t="s">
        <v>1124</v>
      </c>
      <c r="L51" t="s">
        <v>1124</v>
      </c>
      <c r="M51" t="s">
        <v>1124</v>
      </c>
      <c r="N51" t="s">
        <v>1124</v>
      </c>
      <c r="O51" t="s">
        <v>1124</v>
      </c>
      <c r="P51" t="s">
        <v>1124</v>
      </c>
      <c r="Q51" t="s">
        <v>1124</v>
      </c>
      <c r="R51" t="s">
        <v>1124</v>
      </c>
      <c r="S51" t="s">
        <v>1124</v>
      </c>
      <c r="T51" t="s">
        <v>1124</v>
      </c>
      <c r="U51" t="s">
        <v>1124</v>
      </c>
      <c r="V51" t="s">
        <v>1124</v>
      </c>
      <c r="W51" s="16" t="s">
        <v>1124</v>
      </c>
      <c r="X51" s="16" t="s">
        <v>1124</v>
      </c>
      <c r="Y51" s="16" t="s">
        <v>1124</v>
      </c>
      <c r="Z51" s="16" t="s">
        <v>1124</v>
      </c>
      <c r="AA51" t="s">
        <v>1124</v>
      </c>
    </row>
    <row r="52" spans="2:27" x14ac:dyDescent="0.2">
      <c r="B52" s="15" t="s">
        <v>1124</v>
      </c>
      <c r="C52" t="s">
        <v>1124</v>
      </c>
      <c r="D52" s="16" t="s">
        <v>1124</v>
      </c>
      <c r="E52" t="s">
        <v>1124</v>
      </c>
      <c r="F52" t="s">
        <v>1124</v>
      </c>
      <c r="G52" t="s">
        <v>1124</v>
      </c>
      <c r="H52" t="s">
        <v>1124</v>
      </c>
      <c r="I52" t="s">
        <v>1124</v>
      </c>
      <c r="J52" t="s">
        <v>1124</v>
      </c>
      <c r="K52" t="s">
        <v>1124</v>
      </c>
      <c r="L52" t="s">
        <v>1124</v>
      </c>
      <c r="M52" t="s">
        <v>1124</v>
      </c>
      <c r="N52" t="s">
        <v>1124</v>
      </c>
      <c r="O52" t="s">
        <v>1124</v>
      </c>
      <c r="P52" t="s">
        <v>1124</v>
      </c>
      <c r="Q52" t="s">
        <v>1124</v>
      </c>
      <c r="R52" t="s">
        <v>1124</v>
      </c>
      <c r="S52" t="s">
        <v>1124</v>
      </c>
      <c r="T52" t="s">
        <v>1124</v>
      </c>
      <c r="U52" t="s">
        <v>1124</v>
      </c>
      <c r="V52" t="s">
        <v>1124</v>
      </c>
      <c r="W52" s="16" t="s">
        <v>1124</v>
      </c>
      <c r="X52" s="16" t="s">
        <v>1124</v>
      </c>
      <c r="Y52" s="16" t="s">
        <v>1124</v>
      </c>
      <c r="Z52" s="16" t="s">
        <v>1124</v>
      </c>
      <c r="AA52" t="s">
        <v>1124</v>
      </c>
    </row>
    <row r="53" spans="2:27" x14ac:dyDescent="0.2">
      <c r="B53" s="15" t="s">
        <v>1124</v>
      </c>
      <c r="C53" t="s">
        <v>1124</v>
      </c>
      <c r="D53" s="16" t="s">
        <v>1124</v>
      </c>
      <c r="E53" t="s">
        <v>1124</v>
      </c>
      <c r="F53" t="s">
        <v>1124</v>
      </c>
      <c r="G53" t="s">
        <v>1124</v>
      </c>
      <c r="H53" t="s">
        <v>1124</v>
      </c>
      <c r="I53" t="s">
        <v>1124</v>
      </c>
      <c r="J53" t="s">
        <v>1124</v>
      </c>
      <c r="K53" t="s">
        <v>1124</v>
      </c>
      <c r="L53" t="s">
        <v>1124</v>
      </c>
      <c r="M53" t="s">
        <v>1124</v>
      </c>
      <c r="N53" t="s">
        <v>1124</v>
      </c>
      <c r="O53" t="s">
        <v>1124</v>
      </c>
      <c r="P53" t="s">
        <v>1124</v>
      </c>
      <c r="Q53" t="s">
        <v>1124</v>
      </c>
      <c r="R53" t="s">
        <v>1124</v>
      </c>
      <c r="S53" t="s">
        <v>1124</v>
      </c>
      <c r="T53" t="s">
        <v>1124</v>
      </c>
      <c r="U53" t="s">
        <v>1124</v>
      </c>
      <c r="V53" t="s">
        <v>1124</v>
      </c>
      <c r="W53" s="16" t="s">
        <v>1124</v>
      </c>
      <c r="X53" s="16" t="s">
        <v>1124</v>
      </c>
      <c r="Y53" s="16" t="s">
        <v>1124</v>
      </c>
      <c r="Z53" s="16" t="s">
        <v>1124</v>
      </c>
      <c r="AA53" t="s">
        <v>1124</v>
      </c>
    </row>
    <row r="54" spans="2:27" x14ac:dyDescent="0.2">
      <c r="B54" s="15" t="s">
        <v>1124</v>
      </c>
      <c r="C54" t="s">
        <v>1124</v>
      </c>
      <c r="D54" s="16" t="s">
        <v>1124</v>
      </c>
      <c r="E54" t="s">
        <v>1124</v>
      </c>
      <c r="F54" t="s">
        <v>1124</v>
      </c>
      <c r="G54" t="s">
        <v>1124</v>
      </c>
      <c r="H54" t="s">
        <v>1124</v>
      </c>
      <c r="I54" t="s">
        <v>1124</v>
      </c>
      <c r="J54" t="s">
        <v>1124</v>
      </c>
      <c r="K54" t="s">
        <v>1124</v>
      </c>
      <c r="L54" t="s">
        <v>1124</v>
      </c>
      <c r="M54" t="s">
        <v>1124</v>
      </c>
      <c r="N54" t="s">
        <v>1124</v>
      </c>
      <c r="O54" t="s">
        <v>1124</v>
      </c>
      <c r="P54" t="s">
        <v>1124</v>
      </c>
      <c r="Q54" t="s">
        <v>1124</v>
      </c>
      <c r="R54" t="s">
        <v>1124</v>
      </c>
      <c r="S54" t="s">
        <v>1124</v>
      </c>
      <c r="T54" t="s">
        <v>1124</v>
      </c>
      <c r="U54" t="s">
        <v>1124</v>
      </c>
      <c r="V54" t="s">
        <v>1124</v>
      </c>
      <c r="W54" s="16" t="s">
        <v>1124</v>
      </c>
      <c r="X54" s="16" t="s">
        <v>1124</v>
      </c>
      <c r="Y54" s="16" t="s">
        <v>1124</v>
      </c>
      <c r="Z54" s="16" t="s">
        <v>1124</v>
      </c>
      <c r="AA54" t="s">
        <v>1124</v>
      </c>
    </row>
    <row r="55" spans="2:27" x14ac:dyDescent="0.2">
      <c r="B55" s="15" t="s">
        <v>1124</v>
      </c>
      <c r="C55" t="s">
        <v>1124</v>
      </c>
      <c r="D55" s="16" t="s">
        <v>1124</v>
      </c>
      <c r="E55" t="s">
        <v>1124</v>
      </c>
      <c r="F55" t="s">
        <v>1124</v>
      </c>
      <c r="G55" t="s">
        <v>1124</v>
      </c>
      <c r="H55" t="s">
        <v>1124</v>
      </c>
      <c r="I55" t="s">
        <v>1124</v>
      </c>
      <c r="J55" t="s">
        <v>1124</v>
      </c>
      <c r="K55" t="s">
        <v>1124</v>
      </c>
      <c r="L55" t="s">
        <v>1124</v>
      </c>
      <c r="M55" t="s">
        <v>1124</v>
      </c>
      <c r="N55" t="s">
        <v>1124</v>
      </c>
      <c r="O55" t="s">
        <v>1124</v>
      </c>
      <c r="P55" t="s">
        <v>1124</v>
      </c>
      <c r="Q55" t="s">
        <v>1124</v>
      </c>
      <c r="R55" t="s">
        <v>1124</v>
      </c>
      <c r="S55" t="s">
        <v>1124</v>
      </c>
      <c r="T55" t="s">
        <v>1124</v>
      </c>
      <c r="U55" t="s">
        <v>1124</v>
      </c>
      <c r="V55" t="s">
        <v>1124</v>
      </c>
      <c r="W55" s="16" t="s">
        <v>1124</v>
      </c>
      <c r="X55" s="16" t="s">
        <v>1124</v>
      </c>
      <c r="Y55" s="16" t="s">
        <v>1124</v>
      </c>
      <c r="Z55" s="16" t="s">
        <v>1124</v>
      </c>
      <c r="AA55" t="s">
        <v>1124</v>
      </c>
    </row>
    <row r="56" spans="2:27" x14ac:dyDescent="0.2">
      <c r="B56" s="15" t="s">
        <v>1124</v>
      </c>
      <c r="C56" t="s">
        <v>1124</v>
      </c>
      <c r="D56" s="16" t="s">
        <v>1124</v>
      </c>
      <c r="E56" t="s">
        <v>1124</v>
      </c>
      <c r="F56" t="s">
        <v>1124</v>
      </c>
      <c r="G56" t="s">
        <v>1124</v>
      </c>
      <c r="H56" t="s">
        <v>1124</v>
      </c>
      <c r="I56" t="s">
        <v>1124</v>
      </c>
      <c r="J56" t="s">
        <v>1124</v>
      </c>
      <c r="K56" t="s">
        <v>1124</v>
      </c>
      <c r="L56" t="s">
        <v>1124</v>
      </c>
      <c r="M56" t="s">
        <v>1124</v>
      </c>
      <c r="N56" t="s">
        <v>1124</v>
      </c>
      <c r="O56" t="s">
        <v>1124</v>
      </c>
      <c r="P56" t="s">
        <v>1124</v>
      </c>
      <c r="Q56" t="s">
        <v>1124</v>
      </c>
      <c r="R56" t="s">
        <v>1124</v>
      </c>
      <c r="S56" t="s">
        <v>1124</v>
      </c>
      <c r="T56" t="s">
        <v>1124</v>
      </c>
      <c r="U56" t="s">
        <v>1124</v>
      </c>
      <c r="V56" t="s">
        <v>1124</v>
      </c>
      <c r="W56" s="16" t="s">
        <v>1124</v>
      </c>
      <c r="X56" s="16" t="s">
        <v>1124</v>
      </c>
      <c r="Y56" s="16" t="s">
        <v>1124</v>
      </c>
      <c r="Z56" s="16" t="s">
        <v>1124</v>
      </c>
      <c r="AA56" t="s">
        <v>1124</v>
      </c>
    </row>
    <row r="57" spans="2:27" x14ac:dyDescent="0.2">
      <c r="B57" s="15" t="s">
        <v>1124</v>
      </c>
      <c r="C57" t="s">
        <v>1124</v>
      </c>
      <c r="D57" s="16" t="s">
        <v>1124</v>
      </c>
      <c r="E57" t="s">
        <v>1124</v>
      </c>
      <c r="F57" t="s">
        <v>1124</v>
      </c>
      <c r="G57" t="s">
        <v>1124</v>
      </c>
      <c r="H57" t="s">
        <v>1124</v>
      </c>
      <c r="I57" t="s">
        <v>1124</v>
      </c>
      <c r="J57" t="s">
        <v>1124</v>
      </c>
      <c r="K57" t="s">
        <v>1124</v>
      </c>
      <c r="L57" t="s">
        <v>1124</v>
      </c>
      <c r="M57" t="s">
        <v>1124</v>
      </c>
      <c r="N57" t="s">
        <v>1124</v>
      </c>
      <c r="O57" t="s">
        <v>1124</v>
      </c>
      <c r="P57" t="s">
        <v>1124</v>
      </c>
      <c r="Q57" t="s">
        <v>1124</v>
      </c>
      <c r="R57" t="s">
        <v>1124</v>
      </c>
      <c r="S57" t="s">
        <v>1124</v>
      </c>
      <c r="T57" t="s">
        <v>1124</v>
      </c>
      <c r="U57" t="s">
        <v>1124</v>
      </c>
      <c r="V57" t="s">
        <v>1124</v>
      </c>
      <c r="W57" s="16" t="s">
        <v>1124</v>
      </c>
      <c r="X57" s="16" t="s">
        <v>1124</v>
      </c>
      <c r="Y57" s="16" t="s">
        <v>1124</v>
      </c>
      <c r="Z57" s="16" t="s">
        <v>1124</v>
      </c>
      <c r="AA57" t="s">
        <v>1124</v>
      </c>
    </row>
    <row r="58" spans="2:27" x14ac:dyDescent="0.2">
      <c r="B58" s="15" t="s">
        <v>1124</v>
      </c>
      <c r="C58" t="s">
        <v>1124</v>
      </c>
      <c r="D58" s="16" t="s">
        <v>1124</v>
      </c>
      <c r="E58" t="s">
        <v>1124</v>
      </c>
      <c r="F58" t="s">
        <v>1124</v>
      </c>
      <c r="G58" t="s">
        <v>1124</v>
      </c>
      <c r="H58" t="s">
        <v>1124</v>
      </c>
      <c r="I58" t="s">
        <v>1124</v>
      </c>
      <c r="J58" t="s">
        <v>1124</v>
      </c>
      <c r="K58" t="s">
        <v>1124</v>
      </c>
      <c r="L58" t="s">
        <v>1124</v>
      </c>
      <c r="M58" t="s">
        <v>1124</v>
      </c>
      <c r="N58" t="s">
        <v>1124</v>
      </c>
      <c r="O58" t="s">
        <v>1124</v>
      </c>
      <c r="P58" t="s">
        <v>1124</v>
      </c>
      <c r="Q58" t="s">
        <v>1124</v>
      </c>
      <c r="R58" t="s">
        <v>1124</v>
      </c>
      <c r="S58" t="s">
        <v>1124</v>
      </c>
      <c r="T58" t="s">
        <v>1124</v>
      </c>
      <c r="U58" t="s">
        <v>1124</v>
      </c>
      <c r="V58" t="s">
        <v>1124</v>
      </c>
      <c r="W58" s="16" t="s">
        <v>1124</v>
      </c>
      <c r="X58" s="16" t="s">
        <v>1124</v>
      </c>
      <c r="Y58" s="16" t="s">
        <v>1124</v>
      </c>
      <c r="Z58" s="16" t="s">
        <v>1124</v>
      </c>
      <c r="AA58" t="s">
        <v>1124</v>
      </c>
    </row>
    <row r="59" spans="2:27" x14ac:dyDescent="0.2">
      <c r="B59" s="15" t="s">
        <v>1124</v>
      </c>
      <c r="C59" t="s">
        <v>1124</v>
      </c>
      <c r="D59" s="16" t="s">
        <v>1124</v>
      </c>
      <c r="E59" t="s">
        <v>1124</v>
      </c>
      <c r="F59" t="s">
        <v>1124</v>
      </c>
      <c r="G59" t="s">
        <v>1124</v>
      </c>
      <c r="H59" t="s">
        <v>1124</v>
      </c>
      <c r="I59" t="s">
        <v>1124</v>
      </c>
      <c r="J59" t="s">
        <v>1124</v>
      </c>
      <c r="K59" t="s">
        <v>1124</v>
      </c>
      <c r="L59" t="s">
        <v>1124</v>
      </c>
      <c r="M59" t="s">
        <v>1124</v>
      </c>
      <c r="N59" t="s">
        <v>1124</v>
      </c>
      <c r="O59" t="s">
        <v>1124</v>
      </c>
      <c r="P59" t="s">
        <v>1124</v>
      </c>
      <c r="Q59" t="s">
        <v>1124</v>
      </c>
      <c r="R59" t="s">
        <v>1124</v>
      </c>
      <c r="S59" t="s">
        <v>1124</v>
      </c>
      <c r="T59" t="s">
        <v>1124</v>
      </c>
      <c r="U59" t="s">
        <v>1124</v>
      </c>
      <c r="V59" t="s">
        <v>1124</v>
      </c>
      <c r="W59" s="16" t="s">
        <v>1124</v>
      </c>
      <c r="X59" s="16" t="s">
        <v>1124</v>
      </c>
      <c r="Y59" s="16" t="s">
        <v>1124</v>
      </c>
      <c r="Z59" s="16" t="s">
        <v>1124</v>
      </c>
      <c r="AA59" t="s">
        <v>1124</v>
      </c>
    </row>
    <row r="60" spans="2:27" x14ac:dyDescent="0.2">
      <c r="B60" s="15" t="s">
        <v>1124</v>
      </c>
      <c r="C60" t="s">
        <v>1124</v>
      </c>
      <c r="D60" s="16" t="s">
        <v>1124</v>
      </c>
      <c r="E60" t="s">
        <v>1124</v>
      </c>
      <c r="F60" t="s">
        <v>1124</v>
      </c>
      <c r="G60" t="s">
        <v>1124</v>
      </c>
      <c r="H60" t="s">
        <v>1124</v>
      </c>
      <c r="I60" t="s">
        <v>1124</v>
      </c>
      <c r="J60" t="s">
        <v>1124</v>
      </c>
      <c r="K60" t="s">
        <v>1124</v>
      </c>
      <c r="L60" t="s">
        <v>1124</v>
      </c>
      <c r="M60" t="s">
        <v>1124</v>
      </c>
      <c r="N60" t="s">
        <v>1124</v>
      </c>
      <c r="O60" t="s">
        <v>1124</v>
      </c>
      <c r="P60" t="s">
        <v>1124</v>
      </c>
      <c r="Q60" t="s">
        <v>1124</v>
      </c>
      <c r="R60" t="s">
        <v>1124</v>
      </c>
      <c r="S60" t="s">
        <v>1124</v>
      </c>
      <c r="T60" t="s">
        <v>1124</v>
      </c>
      <c r="U60" t="s">
        <v>1124</v>
      </c>
      <c r="V60" t="s">
        <v>1124</v>
      </c>
      <c r="W60" s="16" t="s">
        <v>1124</v>
      </c>
      <c r="X60" s="16" t="s">
        <v>1124</v>
      </c>
      <c r="Y60" s="16" t="s">
        <v>1124</v>
      </c>
      <c r="Z60" s="16" t="s">
        <v>1124</v>
      </c>
      <c r="AA60" t="s">
        <v>1124</v>
      </c>
    </row>
    <row r="61" spans="2:27" x14ac:dyDescent="0.2">
      <c r="B61" s="15" t="s">
        <v>1124</v>
      </c>
      <c r="C61" t="s">
        <v>1124</v>
      </c>
      <c r="D61" s="16" t="s">
        <v>1124</v>
      </c>
      <c r="E61" t="s">
        <v>1124</v>
      </c>
      <c r="F61" t="s">
        <v>1124</v>
      </c>
      <c r="G61" t="s">
        <v>1124</v>
      </c>
      <c r="H61" t="s">
        <v>1124</v>
      </c>
      <c r="I61" t="s">
        <v>1124</v>
      </c>
      <c r="J61" t="s">
        <v>1124</v>
      </c>
      <c r="K61" t="s">
        <v>1124</v>
      </c>
      <c r="L61" t="s">
        <v>1124</v>
      </c>
      <c r="M61" t="s">
        <v>1124</v>
      </c>
      <c r="N61" t="s">
        <v>1124</v>
      </c>
      <c r="O61" t="s">
        <v>1124</v>
      </c>
      <c r="P61" t="s">
        <v>1124</v>
      </c>
      <c r="Q61" t="s">
        <v>1124</v>
      </c>
      <c r="R61" t="s">
        <v>1124</v>
      </c>
      <c r="S61" t="s">
        <v>1124</v>
      </c>
      <c r="T61" t="s">
        <v>1124</v>
      </c>
      <c r="U61" t="s">
        <v>1124</v>
      </c>
      <c r="V61" t="s">
        <v>1124</v>
      </c>
      <c r="W61" s="16" t="s">
        <v>1124</v>
      </c>
      <c r="X61" s="16" t="s">
        <v>1124</v>
      </c>
      <c r="Y61" s="16" t="s">
        <v>1124</v>
      </c>
      <c r="Z61" s="16" t="s">
        <v>1124</v>
      </c>
      <c r="AA61" t="s">
        <v>1124</v>
      </c>
    </row>
    <row r="62" spans="2:27" x14ac:dyDescent="0.2">
      <c r="B62" s="15" t="s">
        <v>1124</v>
      </c>
      <c r="C62" t="s">
        <v>1124</v>
      </c>
      <c r="D62" s="16" t="s">
        <v>1124</v>
      </c>
      <c r="E62" t="s">
        <v>1124</v>
      </c>
      <c r="F62" t="s">
        <v>1124</v>
      </c>
      <c r="G62" t="s">
        <v>1124</v>
      </c>
      <c r="H62" t="s">
        <v>1124</v>
      </c>
      <c r="I62" t="s">
        <v>1124</v>
      </c>
      <c r="J62" t="s">
        <v>1124</v>
      </c>
      <c r="K62" t="s">
        <v>1124</v>
      </c>
      <c r="L62" t="s">
        <v>1124</v>
      </c>
      <c r="M62" t="s">
        <v>1124</v>
      </c>
      <c r="N62" t="s">
        <v>1124</v>
      </c>
      <c r="O62" t="s">
        <v>1124</v>
      </c>
      <c r="P62" t="s">
        <v>1124</v>
      </c>
      <c r="Q62" t="s">
        <v>1124</v>
      </c>
      <c r="R62" t="s">
        <v>1124</v>
      </c>
      <c r="S62" t="s">
        <v>1124</v>
      </c>
      <c r="T62" t="s">
        <v>1124</v>
      </c>
      <c r="U62" t="s">
        <v>1124</v>
      </c>
      <c r="V62" t="s">
        <v>1124</v>
      </c>
      <c r="W62" s="16" t="s">
        <v>1124</v>
      </c>
      <c r="X62" s="16" t="s">
        <v>1124</v>
      </c>
      <c r="Y62" s="16" t="s">
        <v>1124</v>
      </c>
      <c r="Z62" s="16" t="s">
        <v>1124</v>
      </c>
      <c r="AA62" t="s">
        <v>1124</v>
      </c>
    </row>
    <row r="63" spans="2:27" x14ac:dyDescent="0.2">
      <c r="B63" s="15" t="s">
        <v>1124</v>
      </c>
      <c r="C63" t="s">
        <v>1124</v>
      </c>
      <c r="D63" s="16" t="s">
        <v>1124</v>
      </c>
      <c r="E63" t="s">
        <v>1124</v>
      </c>
      <c r="F63" t="s">
        <v>1124</v>
      </c>
      <c r="G63" t="s">
        <v>1124</v>
      </c>
      <c r="H63" t="s">
        <v>1124</v>
      </c>
      <c r="I63" t="s">
        <v>1124</v>
      </c>
      <c r="J63" t="s">
        <v>1124</v>
      </c>
      <c r="K63" t="s">
        <v>1124</v>
      </c>
      <c r="L63" t="s">
        <v>1124</v>
      </c>
      <c r="M63" t="s">
        <v>1124</v>
      </c>
      <c r="N63" t="s">
        <v>1124</v>
      </c>
      <c r="O63" t="s">
        <v>1124</v>
      </c>
      <c r="P63" t="s">
        <v>1124</v>
      </c>
      <c r="Q63" t="s">
        <v>1124</v>
      </c>
      <c r="R63" t="s">
        <v>1124</v>
      </c>
      <c r="S63" t="s">
        <v>1124</v>
      </c>
      <c r="T63" t="s">
        <v>1124</v>
      </c>
      <c r="U63" t="s">
        <v>1124</v>
      </c>
      <c r="V63" t="s">
        <v>1124</v>
      </c>
      <c r="W63" s="16" t="s">
        <v>1124</v>
      </c>
      <c r="X63" s="16" t="s">
        <v>1124</v>
      </c>
      <c r="Y63" s="16" t="s">
        <v>1124</v>
      </c>
      <c r="Z63" s="16" t="s">
        <v>1124</v>
      </c>
      <c r="AA63" t="s">
        <v>1124</v>
      </c>
    </row>
    <row r="64" spans="2:27" x14ac:dyDescent="0.2">
      <c r="B64" s="15" t="s">
        <v>1124</v>
      </c>
      <c r="C64" t="s">
        <v>1124</v>
      </c>
      <c r="D64" s="16" t="s">
        <v>1124</v>
      </c>
      <c r="E64" t="s">
        <v>1124</v>
      </c>
      <c r="F64" t="s">
        <v>1124</v>
      </c>
      <c r="G64" t="s">
        <v>1124</v>
      </c>
      <c r="H64" t="s">
        <v>1124</v>
      </c>
      <c r="I64" t="s">
        <v>1124</v>
      </c>
      <c r="J64" t="s">
        <v>1124</v>
      </c>
      <c r="K64" t="s">
        <v>1124</v>
      </c>
      <c r="L64" t="s">
        <v>1124</v>
      </c>
      <c r="M64" t="s">
        <v>1124</v>
      </c>
      <c r="N64" t="s">
        <v>1124</v>
      </c>
      <c r="O64" t="s">
        <v>1124</v>
      </c>
      <c r="P64" t="s">
        <v>1124</v>
      </c>
      <c r="Q64" t="s">
        <v>1124</v>
      </c>
      <c r="R64" t="s">
        <v>1124</v>
      </c>
      <c r="S64" t="s">
        <v>1124</v>
      </c>
      <c r="T64" t="s">
        <v>1124</v>
      </c>
      <c r="U64" t="s">
        <v>1124</v>
      </c>
      <c r="V64" t="s">
        <v>1124</v>
      </c>
      <c r="W64" s="16" t="s">
        <v>1124</v>
      </c>
      <c r="X64" s="16" t="s">
        <v>1124</v>
      </c>
      <c r="Y64" s="16" t="s">
        <v>1124</v>
      </c>
      <c r="Z64" s="16" t="s">
        <v>1124</v>
      </c>
      <c r="AA64" t="s">
        <v>1124</v>
      </c>
    </row>
    <row r="65" spans="2:27" x14ac:dyDescent="0.2">
      <c r="B65" s="15" t="s">
        <v>1124</v>
      </c>
      <c r="C65" t="s">
        <v>1124</v>
      </c>
      <c r="D65" s="16" t="s">
        <v>1124</v>
      </c>
      <c r="E65" t="s">
        <v>1124</v>
      </c>
      <c r="F65" t="s">
        <v>1124</v>
      </c>
      <c r="G65" t="s">
        <v>1124</v>
      </c>
      <c r="H65" t="s">
        <v>1124</v>
      </c>
      <c r="I65" t="s">
        <v>1124</v>
      </c>
      <c r="J65" t="s">
        <v>1124</v>
      </c>
      <c r="K65" t="s">
        <v>1124</v>
      </c>
      <c r="L65" t="s">
        <v>1124</v>
      </c>
      <c r="M65" t="s">
        <v>1124</v>
      </c>
      <c r="N65" t="s">
        <v>1124</v>
      </c>
      <c r="O65" t="s">
        <v>1124</v>
      </c>
      <c r="P65" t="s">
        <v>1124</v>
      </c>
      <c r="Q65" t="s">
        <v>1124</v>
      </c>
      <c r="R65" t="s">
        <v>1124</v>
      </c>
      <c r="S65" t="s">
        <v>1124</v>
      </c>
      <c r="T65" t="s">
        <v>1124</v>
      </c>
      <c r="U65" t="s">
        <v>1124</v>
      </c>
      <c r="V65" t="s">
        <v>1124</v>
      </c>
      <c r="W65" s="16" t="s">
        <v>1124</v>
      </c>
      <c r="X65" s="16" t="s">
        <v>1124</v>
      </c>
      <c r="Y65" s="16" t="s">
        <v>1124</v>
      </c>
      <c r="Z65" s="16" t="s">
        <v>1124</v>
      </c>
      <c r="AA65" t="s">
        <v>1124</v>
      </c>
    </row>
    <row r="66" spans="2:27" x14ac:dyDescent="0.2">
      <c r="B66" s="15" t="s">
        <v>1124</v>
      </c>
      <c r="C66" t="s">
        <v>1124</v>
      </c>
      <c r="D66" s="16" t="s">
        <v>1124</v>
      </c>
      <c r="E66" t="s">
        <v>1124</v>
      </c>
      <c r="F66" t="s">
        <v>1124</v>
      </c>
      <c r="G66" t="s">
        <v>1124</v>
      </c>
      <c r="H66" t="s">
        <v>1124</v>
      </c>
      <c r="I66" t="s">
        <v>1124</v>
      </c>
      <c r="J66" t="s">
        <v>1124</v>
      </c>
      <c r="K66" t="s">
        <v>1124</v>
      </c>
      <c r="L66" t="s">
        <v>1124</v>
      </c>
      <c r="M66" t="s">
        <v>1124</v>
      </c>
      <c r="N66" t="s">
        <v>1124</v>
      </c>
      <c r="O66" t="s">
        <v>1124</v>
      </c>
      <c r="P66" t="s">
        <v>1124</v>
      </c>
      <c r="Q66" t="s">
        <v>1124</v>
      </c>
      <c r="R66" t="s">
        <v>1124</v>
      </c>
      <c r="S66" t="s">
        <v>1124</v>
      </c>
      <c r="T66" t="s">
        <v>1124</v>
      </c>
      <c r="U66" t="s">
        <v>1124</v>
      </c>
      <c r="V66" t="s">
        <v>1124</v>
      </c>
      <c r="W66" s="16" t="s">
        <v>1124</v>
      </c>
      <c r="X66" s="16" t="s">
        <v>1124</v>
      </c>
      <c r="Y66" s="16" t="s">
        <v>1124</v>
      </c>
      <c r="Z66" s="16" t="s">
        <v>1124</v>
      </c>
      <c r="AA66" t="s">
        <v>1124</v>
      </c>
    </row>
    <row r="67" spans="2:27" x14ac:dyDescent="0.2">
      <c r="B67" s="15" t="s">
        <v>1124</v>
      </c>
      <c r="C67" t="s">
        <v>1124</v>
      </c>
      <c r="D67" s="16" t="s">
        <v>1124</v>
      </c>
      <c r="E67" t="s">
        <v>1124</v>
      </c>
      <c r="F67" t="s">
        <v>1124</v>
      </c>
      <c r="G67" t="s">
        <v>1124</v>
      </c>
      <c r="H67" t="s">
        <v>1124</v>
      </c>
      <c r="I67" t="s">
        <v>1124</v>
      </c>
      <c r="J67" t="s">
        <v>1124</v>
      </c>
      <c r="K67" t="s">
        <v>1124</v>
      </c>
      <c r="L67" t="s">
        <v>1124</v>
      </c>
      <c r="M67" t="s">
        <v>1124</v>
      </c>
      <c r="N67" t="s">
        <v>1124</v>
      </c>
      <c r="O67" t="s">
        <v>1124</v>
      </c>
      <c r="P67" t="s">
        <v>1124</v>
      </c>
      <c r="Q67" t="s">
        <v>1124</v>
      </c>
      <c r="R67" t="s">
        <v>1124</v>
      </c>
      <c r="S67" t="s">
        <v>1124</v>
      </c>
      <c r="T67" t="s">
        <v>1124</v>
      </c>
      <c r="U67" t="s">
        <v>1124</v>
      </c>
      <c r="V67" t="s">
        <v>1124</v>
      </c>
      <c r="W67" s="16" t="s">
        <v>1124</v>
      </c>
      <c r="X67" s="16" t="s">
        <v>1124</v>
      </c>
      <c r="Y67" s="16" t="s">
        <v>1124</v>
      </c>
      <c r="Z67" s="16" t="s">
        <v>1124</v>
      </c>
      <c r="AA67" t="s">
        <v>1124</v>
      </c>
    </row>
    <row r="68" spans="2:27" x14ac:dyDescent="0.2">
      <c r="B68" s="15" t="s">
        <v>1124</v>
      </c>
      <c r="C68" t="s">
        <v>1124</v>
      </c>
      <c r="D68" s="16" t="s">
        <v>1124</v>
      </c>
      <c r="E68" t="s">
        <v>1124</v>
      </c>
      <c r="F68" t="s">
        <v>1124</v>
      </c>
      <c r="G68" t="s">
        <v>1124</v>
      </c>
      <c r="H68" t="s">
        <v>1124</v>
      </c>
      <c r="I68" t="s">
        <v>1124</v>
      </c>
      <c r="J68" t="s">
        <v>1124</v>
      </c>
      <c r="K68" t="s">
        <v>1124</v>
      </c>
      <c r="L68" t="s">
        <v>1124</v>
      </c>
      <c r="M68" t="s">
        <v>1124</v>
      </c>
      <c r="N68" t="s">
        <v>1124</v>
      </c>
      <c r="O68" t="s">
        <v>1124</v>
      </c>
      <c r="P68" t="s">
        <v>1124</v>
      </c>
      <c r="Q68" t="s">
        <v>1124</v>
      </c>
      <c r="R68" t="s">
        <v>1124</v>
      </c>
      <c r="S68" t="s">
        <v>1124</v>
      </c>
      <c r="T68" t="s">
        <v>1124</v>
      </c>
      <c r="U68" t="s">
        <v>1124</v>
      </c>
      <c r="V68" t="s">
        <v>1124</v>
      </c>
      <c r="W68" s="16" t="s">
        <v>1124</v>
      </c>
      <c r="X68" s="16" t="s">
        <v>1124</v>
      </c>
      <c r="Y68" s="16" t="s">
        <v>1124</v>
      </c>
      <c r="Z68" s="16" t="s">
        <v>1124</v>
      </c>
      <c r="AA68" t="s">
        <v>1124</v>
      </c>
    </row>
    <row r="69" spans="2:27" x14ac:dyDescent="0.2">
      <c r="B69" s="15" t="s">
        <v>1124</v>
      </c>
      <c r="C69" t="s">
        <v>1124</v>
      </c>
      <c r="D69" s="16" t="s">
        <v>1124</v>
      </c>
      <c r="E69" t="s">
        <v>1124</v>
      </c>
      <c r="F69" t="s">
        <v>1124</v>
      </c>
      <c r="G69" t="s">
        <v>1124</v>
      </c>
      <c r="H69" t="s">
        <v>1124</v>
      </c>
      <c r="I69" t="s">
        <v>1124</v>
      </c>
      <c r="J69" t="s">
        <v>1124</v>
      </c>
      <c r="K69" t="s">
        <v>1124</v>
      </c>
      <c r="L69" t="s">
        <v>1124</v>
      </c>
      <c r="M69" t="s">
        <v>1124</v>
      </c>
      <c r="N69" t="s">
        <v>1124</v>
      </c>
      <c r="O69" t="s">
        <v>1124</v>
      </c>
      <c r="P69" t="s">
        <v>1124</v>
      </c>
      <c r="Q69" t="s">
        <v>1124</v>
      </c>
      <c r="R69" t="s">
        <v>1124</v>
      </c>
      <c r="S69" t="s">
        <v>1124</v>
      </c>
      <c r="T69" t="s">
        <v>1124</v>
      </c>
      <c r="U69" t="s">
        <v>1124</v>
      </c>
      <c r="V69" t="s">
        <v>1124</v>
      </c>
      <c r="W69" s="16" t="s">
        <v>1124</v>
      </c>
      <c r="X69" s="16" t="s">
        <v>1124</v>
      </c>
      <c r="Y69" s="16" t="s">
        <v>1124</v>
      </c>
      <c r="Z69" s="16" t="s">
        <v>1124</v>
      </c>
      <c r="AA69" t="s">
        <v>1124</v>
      </c>
    </row>
    <row r="70" spans="2:27" x14ac:dyDescent="0.2">
      <c r="B70" s="15" t="s">
        <v>1124</v>
      </c>
      <c r="C70" t="s">
        <v>1124</v>
      </c>
      <c r="D70" s="16" t="s">
        <v>1124</v>
      </c>
      <c r="E70" t="s">
        <v>1124</v>
      </c>
      <c r="F70" t="s">
        <v>1124</v>
      </c>
      <c r="G70" t="s">
        <v>1124</v>
      </c>
      <c r="H70" t="s">
        <v>1124</v>
      </c>
      <c r="I70" t="s">
        <v>1124</v>
      </c>
      <c r="J70" t="s">
        <v>1124</v>
      </c>
      <c r="K70" t="s">
        <v>1124</v>
      </c>
      <c r="L70" t="s">
        <v>1124</v>
      </c>
      <c r="M70" t="s">
        <v>1124</v>
      </c>
      <c r="N70" t="s">
        <v>1124</v>
      </c>
      <c r="O70" t="s">
        <v>1124</v>
      </c>
      <c r="P70" t="s">
        <v>1124</v>
      </c>
      <c r="Q70" t="s">
        <v>1124</v>
      </c>
      <c r="R70" t="s">
        <v>1124</v>
      </c>
      <c r="S70" t="s">
        <v>1124</v>
      </c>
      <c r="T70" t="s">
        <v>1124</v>
      </c>
      <c r="U70" t="s">
        <v>1124</v>
      </c>
      <c r="V70" t="s">
        <v>1124</v>
      </c>
      <c r="W70" s="16" t="s">
        <v>1124</v>
      </c>
      <c r="X70" s="16" t="s">
        <v>1124</v>
      </c>
      <c r="Y70" s="16" t="s">
        <v>1124</v>
      </c>
      <c r="Z70" s="16" t="s">
        <v>1124</v>
      </c>
      <c r="AA70" t="s">
        <v>1124</v>
      </c>
    </row>
    <row r="71" spans="2:27" x14ac:dyDescent="0.2">
      <c r="B71" s="15" t="s">
        <v>1124</v>
      </c>
      <c r="C71" t="s">
        <v>1124</v>
      </c>
      <c r="D71" s="16" t="s">
        <v>1124</v>
      </c>
      <c r="E71" t="s">
        <v>1124</v>
      </c>
      <c r="F71" t="s">
        <v>1124</v>
      </c>
      <c r="G71" t="s">
        <v>1124</v>
      </c>
      <c r="H71" t="s">
        <v>1124</v>
      </c>
      <c r="I71" t="s">
        <v>1124</v>
      </c>
      <c r="J71" t="s">
        <v>1124</v>
      </c>
      <c r="K71" t="s">
        <v>1124</v>
      </c>
      <c r="L71" t="s">
        <v>1124</v>
      </c>
      <c r="M71" t="s">
        <v>1124</v>
      </c>
      <c r="N71" t="s">
        <v>1124</v>
      </c>
      <c r="O71" t="s">
        <v>1124</v>
      </c>
      <c r="P71" t="s">
        <v>1124</v>
      </c>
      <c r="Q71" t="s">
        <v>1124</v>
      </c>
      <c r="R71" t="s">
        <v>1124</v>
      </c>
      <c r="S71" t="s">
        <v>1124</v>
      </c>
      <c r="T71" t="s">
        <v>1124</v>
      </c>
      <c r="U71" t="s">
        <v>1124</v>
      </c>
      <c r="V71" t="s">
        <v>1124</v>
      </c>
      <c r="W71" s="16" t="s">
        <v>1124</v>
      </c>
      <c r="X71" s="16" t="s">
        <v>1124</v>
      </c>
      <c r="Y71" s="16" t="s">
        <v>1124</v>
      </c>
      <c r="Z71" s="16" t="s">
        <v>1124</v>
      </c>
      <c r="AA71" t="s">
        <v>1124</v>
      </c>
    </row>
    <row r="72" spans="2:27" x14ac:dyDescent="0.2">
      <c r="B72" s="15" t="s">
        <v>1124</v>
      </c>
      <c r="C72" t="s">
        <v>1124</v>
      </c>
      <c r="D72" s="16" t="s">
        <v>1124</v>
      </c>
      <c r="E72" t="s">
        <v>1124</v>
      </c>
      <c r="F72" t="s">
        <v>1124</v>
      </c>
      <c r="G72" t="s">
        <v>1124</v>
      </c>
      <c r="H72" t="s">
        <v>1124</v>
      </c>
      <c r="I72" t="s">
        <v>1124</v>
      </c>
      <c r="J72" t="s">
        <v>1124</v>
      </c>
      <c r="K72" t="s">
        <v>1124</v>
      </c>
      <c r="L72" t="s">
        <v>1124</v>
      </c>
      <c r="M72" t="s">
        <v>1124</v>
      </c>
      <c r="N72" t="s">
        <v>1124</v>
      </c>
      <c r="O72" t="s">
        <v>1124</v>
      </c>
      <c r="P72" t="s">
        <v>1124</v>
      </c>
      <c r="Q72" t="s">
        <v>1124</v>
      </c>
      <c r="R72" t="s">
        <v>1124</v>
      </c>
      <c r="S72" t="s">
        <v>1124</v>
      </c>
      <c r="T72" t="s">
        <v>1124</v>
      </c>
      <c r="U72" t="s">
        <v>1124</v>
      </c>
      <c r="V72" t="s">
        <v>1124</v>
      </c>
      <c r="W72" s="16" t="s">
        <v>1124</v>
      </c>
      <c r="X72" s="16" t="s">
        <v>1124</v>
      </c>
      <c r="Y72" s="16" t="s">
        <v>1124</v>
      </c>
      <c r="Z72" s="16" t="s">
        <v>1124</v>
      </c>
      <c r="AA72" t="s">
        <v>1124</v>
      </c>
    </row>
    <row r="73" spans="2:27" x14ac:dyDescent="0.2">
      <c r="B73" s="15" t="s">
        <v>1124</v>
      </c>
      <c r="C73" t="s">
        <v>1124</v>
      </c>
      <c r="D73" s="16" t="s">
        <v>1124</v>
      </c>
      <c r="E73" t="s">
        <v>1124</v>
      </c>
      <c r="F73" t="s">
        <v>1124</v>
      </c>
      <c r="G73" t="s">
        <v>1124</v>
      </c>
      <c r="H73" t="s">
        <v>1124</v>
      </c>
      <c r="I73" t="s">
        <v>1124</v>
      </c>
      <c r="J73" t="s">
        <v>1124</v>
      </c>
      <c r="K73" t="s">
        <v>1124</v>
      </c>
      <c r="L73" t="s">
        <v>1124</v>
      </c>
      <c r="M73" t="s">
        <v>1124</v>
      </c>
      <c r="N73" t="s">
        <v>1124</v>
      </c>
      <c r="O73" t="s">
        <v>1124</v>
      </c>
      <c r="P73" t="s">
        <v>1124</v>
      </c>
      <c r="Q73" t="s">
        <v>1124</v>
      </c>
      <c r="R73" t="s">
        <v>1124</v>
      </c>
      <c r="S73" t="s">
        <v>1124</v>
      </c>
      <c r="T73" t="s">
        <v>1124</v>
      </c>
      <c r="U73" t="s">
        <v>1124</v>
      </c>
      <c r="V73" t="s">
        <v>1124</v>
      </c>
      <c r="W73" s="16" t="s">
        <v>1124</v>
      </c>
      <c r="X73" s="16" t="s">
        <v>1124</v>
      </c>
      <c r="Y73" s="16" t="s">
        <v>1124</v>
      </c>
      <c r="Z73" s="16" t="s">
        <v>1124</v>
      </c>
      <c r="AA73" t="s">
        <v>1124</v>
      </c>
    </row>
    <row r="74" spans="2:27" x14ac:dyDescent="0.2">
      <c r="B74" s="15" t="s">
        <v>1124</v>
      </c>
      <c r="C74" t="s">
        <v>1124</v>
      </c>
      <c r="D74" s="16" t="s">
        <v>1124</v>
      </c>
      <c r="E74" t="s">
        <v>1124</v>
      </c>
      <c r="F74" t="s">
        <v>1124</v>
      </c>
      <c r="G74" t="s">
        <v>1124</v>
      </c>
      <c r="H74" t="s">
        <v>1124</v>
      </c>
      <c r="I74" t="s">
        <v>1124</v>
      </c>
      <c r="J74" t="s">
        <v>1124</v>
      </c>
      <c r="K74" t="s">
        <v>1124</v>
      </c>
      <c r="L74" t="s">
        <v>1124</v>
      </c>
      <c r="M74" t="s">
        <v>1124</v>
      </c>
      <c r="N74" t="s">
        <v>1124</v>
      </c>
      <c r="O74" t="s">
        <v>1124</v>
      </c>
      <c r="P74" t="s">
        <v>1124</v>
      </c>
      <c r="Q74" t="s">
        <v>1124</v>
      </c>
      <c r="R74" t="s">
        <v>1124</v>
      </c>
      <c r="S74" t="s">
        <v>1124</v>
      </c>
      <c r="T74" t="s">
        <v>1124</v>
      </c>
      <c r="U74" t="s">
        <v>1124</v>
      </c>
      <c r="V74" t="s">
        <v>1124</v>
      </c>
      <c r="W74" s="16" t="s">
        <v>1124</v>
      </c>
      <c r="X74" s="16" t="s">
        <v>1124</v>
      </c>
      <c r="Y74" s="16" t="s">
        <v>1124</v>
      </c>
      <c r="Z74" s="16" t="s">
        <v>1124</v>
      </c>
      <c r="AA74" t="s">
        <v>1124</v>
      </c>
    </row>
    <row r="75" spans="2:27" x14ac:dyDescent="0.2">
      <c r="B75" s="15" t="s">
        <v>1124</v>
      </c>
      <c r="C75" t="s">
        <v>1124</v>
      </c>
      <c r="D75" s="16" t="s">
        <v>1124</v>
      </c>
      <c r="E75" t="s">
        <v>1124</v>
      </c>
      <c r="F75" t="s">
        <v>1124</v>
      </c>
      <c r="G75" t="s">
        <v>1124</v>
      </c>
      <c r="H75" t="s">
        <v>1124</v>
      </c>
      <c r="I75" t="s">
        <v>1124</v>
      </c>
      <c r="J75" t="s">
        <v>1124</v>
      </c>
      <c r="K75" t="s">
        <v>1124</v>
      </c>
      <c r="L75" t="s">
        <v>1124</v>
      </c>
      <c r="M75" t="s">
        <v>1124</v>
      </c>
      <c r="N75" t="s">
        <v>1124</v>
      </c>
      <c r="O75" t="s">
        <v>1124</v>
      </c>
      <c r="P75" t="s">
        <v>1124</v>
      </c>
      <c r="Q75" t="s">
        <v>1124</v>
      </c>
      <c r="R75" t="s">
        <v>1124</v>
      </c>
      <c r="S75" t="s">
        <v>1124</v>
      </c>
      <c r="T75" t="s">
        <v>1124</v>
      </c>
      <c r="U75" t="s">
        <v>1124</v>
      </c>
      <c r="V75" t="s">
        <v>1124</v>
      </c>
      <c r="W75" s="16" t="s">
        <v>1124</v>
      </c>
      <c r="X75" s="16" t="s">
        <v>1124</v>
      </c>
      <c r="Y75" s="16" t="s">
        <v>1124</v>
      </c>
      <c r="Z75" s="16" t="s">
        <v>1124</v>
      </c>
      <c r="AA75" t="s">
        <v>1124</v>
      </c>
    </row>
    <row r="76" spans="2:27" x14ac:dyDescent="0.2">
      <c r="B76" s="15"/>
      <c r="D76" s="16"/>
      <c r="W76" s="16"/>
      <c r="X76" s="16"/>
      <c r="Y76" s="16"/>
      <c r="Z76" s="16"/>
    </row>
    <row r="77" spans="2:27" x14ac:dyDescent="0.2">
      <c r="B77" s="15"/>
      <c r="D77" s="16"/>
      <c r="W77" s="16"/>
      <c r="X77" s="16"/>
      <c r="Y77" s="16"/>
      <c r="Z77" s="16"/>
    </row>
    <row r="78" spans="2:27" x14ac:dyDescent="0.2">
      <c r="B78" s="15"/>
      <c r="D78" s="16"/>
      <c r="W78" s="16"/>
      <c r="X78" s="16"/>
      <c r="Y78" s="16"/>
      <c r="Z78" s="16"/>
    </row>
    <row r="79" spans="2:27" x14ac:dyDescent="0.2">
      <c r="B79" s="15"/>
      <c r="D79" s="16"/>
      <c r="W79" s="16"/>
      <c r="X79" s="16"/>
      <c r="Y79" s="16"/>
      <c r="Z79" s="16"/>
    </row>
    <row r="80" spans="2:27" x14ac:dyDescent="0.2">
      <c r="B80" s="15"/>
      <c r="D80" s="16"/>
      <c r="W80" s="16"/>
      <c r="X80" s="16"/>
      <c r="Y80" s="16"/>
      <c r="Z80" s="16"/>
    </row>
  </sheetData>
  <mergeCells count="1">
    <mergeCell ref="N2:O2"/>
  </mergeCells>
  <phoneticPr fontId="1"/>
  <dataValidations count="1">
    <dataValidation type="list" errorStyle="warning" allowBlank="1" showInputMessage="1" showErrorMessage="1" errorTitle="確認" error="リストにないシート名を入力しています。_x000a_シート名が確実に合っているか注意してください。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設定</vt:lpstr>
      <vt:lpstr>デザイン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日本</vt:lpstr>
      <vt:lpstr>ベネズエラ</vt:lpstr>
      <vt:lpstr>アメリカ</vt:lpstr>
      <vt:lpstr>カナダ</vt:lpstr>
      <vt:lpstr>韓国</vt:lpstr>
      <vt:lpstr>ドミニカ</vt:lpstr>
      <vt:lpstr>イタリア</vt:lpstr>
      <vt:lpstr>プエルトリコ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巧 前田</cp:lastModifiedBy>
  <cp:lastPrinted>2019-09-01T06:09:10Z</cp:lastPrinted>
  <dcterms:created xsi:type="dcterms:W3CDTF">2019-09-01T05:04:12Z</dcterms:created>
  <dcterms:modified xsi:type="dcterms:W3CDTF">2026-04-25T10:10:52Z</dcterms:modified>
</cp:coreProperties>
</file>