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scoreboard_vue-main\"/>
    </mc:Choice>
  </mc:AlternateContent>
  <xr:revisionPtr revIDLastSave="0" documentId="13_ncr:1_{044E7314-45DB-4442-A47F-4B68E3A2E6FF}" xr6:coauthVersionLast="47" xr6:coauthVersionMax="47" xr10:uidLastSave="{00000000-0000-0000-0000-000000000000}"/>
  <bookViews>
    <workbookView xWindow="28680" yWindow="-120" windowWidth="29040" windowHeight="15840" tabRatio="877" activeTab="1" xr2:uid="{00000000-000D-0000-FFFF-FFFF00000000}"/>
  </bookViews>
  <sheets>
    <sheet name="設定" sheetId="24" r:id="rId1"/>
    <sheet name="デザイン" sheetId="40" r:id="rId2"/>
    <sheet name="広島" sheetId="3" r:id="rId3"/>
    <sheet name="巨人" sheetId="26" r:id="rId4"/>
    <sheet name="ヤクルト" sheetId="27" r:id="rId5"/>
    <sheet name="DeNA" sheetId="28" r:id="rId6"/>
    <sheet name="阪神" sheetId="29" r:id="rId7"/>
    <sheet name="中日" sheetId="30" r:id="rId8"/>
    <sheet name="ソフトバンク" sheetId="31" r:id="rId9"/>
    <sheet name="西武" sheetId="32" r:id="rId10"/>
    <sheet name="日本ハム" sheetId="25" r:id="rId11"/>
    <sheet name="ロッテ" sheetId="33" r:id="rId12"/>
    <sheet name="オリックス" sheetId="34" r:id="rId13"/>
    <sheet name="楽天" sheetId="35" r:id="rId14"/>
    <sheet name="セ" sheetId="36" r:id="rId15"/>
    <sheet name="パ" sheetId="37" r:id="rId16"/>
    <sheet name="A" sheetId="38" r:id="rId17"/>
    <sheet name="B" sheetId="39" r:id="rId18"/>
    <sheet name="成績仮置き場" sheetId="23" r:id="rId19"/>
  </sheets>
  <functionGroups builtInGroupCount="19"/>
  <definedNames>
    <definedName name="Aname1" localSheetId="4">#REF!</definedName>
    <definedName name="Aname1" localSheetId="3">#REF!</definedName>
    <definedName name="Aname1">#REF!</definedName>
    <definedName name="Aname2" localSheetId="4">#REF!</definedName>
    <definedName name="Aname2" localSheetId="3">#REF!</definedName>
    <definedName name="Aname2">#REF!</definedName>
    <definedName name="Aname3" localSheetId="4">#REF!</definedName>
    <definedName name="Aname3" localSheetId="3">#REF!</definedName>
    <definedName name="Aname3">#REF!</definedName>
    <definedName name="Anamel">#REF!</definedName>
    <definedName name="Anamep">#REF!</definedName>
    <definedName name="Anamer">#REF!</definedName>
    <definedName name="Apos1">#REF!</definedName>
    <definedName name="Apos2">#REF!</definedName>
    <definedName name="Apos3">#REF!</definedName>
    <definedName name="Aposl">#REF!</definedName>
    <definedName name="Aposp">#REF!</definedName>
    <definedName name="Aposr">#REF!</definedName>
    <definedName name="appname">#REF!</definedName>
    <definedName name="apppos">#REF!</definedName>
    <definedName name="auto1">#REF!</definedName>
    <definedName name="auto2">#REF!</definedName>
    <definedName name="backcolor">#REF!</definedName>
    <definedName name="ball1">#REF!</definedName>
    <definedName name="ball2">#REF!</definedName>
    <definedName name="ball3">#REF!</definedName>
    <definedName name="balln">#REF!</definedName>
    <definedName name="basicname">#REF!</definedName>
    <definedName name="basicpos">#REF!</definedName>
    <definedName name="battername">#REF!</definedName>
    <definedName name="batterpos">#REF!</definedName>
    <definedName name="daten">#REF!</definedName>
    <definedName name="disname">#REF!</definedName>
    <definedName name="dispos">#REF!</definedName>
    <definedName name="eumu">#REF!</definedName>
    <definedName name="gradeent">#REF!</definedName>
    <definedName name="gradeitem">#REF!</definedName>
    <definedName name="inin1">#REF!</definedName>
    <definedName name="inin2">#REF!</definedName>
    <definedName name="inin3">#REF!</definedName>
    <definedName name="inin4">#REF!</definedName>
    <definedName name="inin5">#REF!</definedName>
    <definedName name="inin6">#REF!</definedName>
    <definedName name="inin7">#REF!</definedName>
    <definedName name="inin8">#REF!</definedName>
    <definedName name="inin9">#REF!</definedName>
    <definedName name="inine">#REF!</definedName>
    <definedName name="ininh">#REF!</definedName>
    <definedName name="ininlob">#REF!</definedName>
    <definedName name="ininr">#REF!</definedName>
    <definedName name="kekkae">#REF!</definedName>
    <definedName name="kekkafc">#REF!</definedName>
    <definedName name="kekkah">#REF!</definedName>
    <definedName name="Kerror">#REF!</definedName>
    <definedName name="Khit">#REF!</definedName>
    <definedName name="kiroku">#REF!</definedName>
    <definedName name="Kline">#REF!</definedName>
    <definedName name="Klob">#REF!</definedName>
    <definedName name="Kname">#REF!</definedName>
    <definedName name="Kname1">#REF!</definedName>
    <definedName name="Kname10">#REF!</definedName>
    <definedName name="Kname2">#REF!</definedName>
    <definedName name="Kname3">#REF!</definedName>
    <definedName name="Kname4">#REF!</definedName>
    <definedName name="Kname5">#REF!</definedName>
    <definedName name="Kname6">#REF!</definedName>
    <definedName name="Kname7">#REF!</definedName>
    <definedName name="Kname8">#REF!</definedName>
    <definedName name="Kname9">#REF!</definedName>
    <definedName name="Knum">#REF!</definedName>
    <definedName name="Kpos1">#REF!</definedName>
    <definedName name="Kpos10">#REF!</definedName>
    <definedName name="Kpos2">#REF!</definedName>
    <definedName name="Kpos3">#REF!</definedName>
    <definedName name="Kpos4">#REF!</definedName>
    <definedName name="Kpos5">#REF!</definedName>
    <definedName name="Kpos6">#REF!</definedName>
    <definedName name="Kpos7">#REF!</definedName>
    <definedName name="Kpos8">#REF!</definedName>
    <definedName name="Kpos9">#REF!</definedName>
    <definedName name="Krun1">#REF!</definedName>
    <definedName name="Krun2">#REF!</definedName>
    <definedName name="Krun3">#REF!</definedName>
    <definedName name="Krun4">#REF!</definedName>
    <definedName name="Krun5">#REF!</definedName>
    <definedName name="Krun6">#REF!</definedName>
    <definedName name="Krun7">#REF!</definedName>
    <definedName name="Krun8">#REF!</definedName>
    <definedName name="Krun9">#REF!</definedName>
    <definedName name="Krunr">#REF!</definedName>
    <definedName name="Kseie1">#REF!</definedName>
    <definedName name="Kseie2">#REF!</definedName>
    <definedName name="Kseie3">#REF!</definedName>
    <definedName name="Kseie4">#REF!</definedName>
    <definedName name="Kseie5">#REF!</definedName>
    <definedName name="Kseie6">#REF!</definedName>
    <definedName name="Ksein1">#REF!</definedName>
    <definedName name="Ksein2">#REF!</definedName>
    <definedName name="Ksein3">#REF!</definedName>
    <definedName name="Ksein4">#REF!</definedName>
    <definedName name="Ksein5">#REF!</definedName>
    <definedName name="Ksein6">#REF!</definedName>
    <definedName name="Kteam1">#REF!</definedName>
    <definedName name="Kteam2">#REF!</definedName>
    <definedName name="Ktnum1">#REF!</definedName>
    <definedName name="Ktnum2">#REF!</definedName>
    <definedName name="Ktnum3">#REF!</definedName>
    <definedName name="Ktnum4">#REF!</definedName>
    <definedName name="Ktnum5">#REF!</definedName>
    <definedName name="Ktnum6">#REF!</definedName>
    <definedName name="Ktnum7">#REF!</definedName>
    <definedName name="Ktoday1">#REF!</definedName>
    <definedName name="Ktoday2">#REF!</definedName>
    <definedName name="Ktoday3">#REF!</definedName>
    <definedName name="Ktoday4">#REF!</definedName>
    <definedName name="Ktoday5">#REF!</definedName>
    <definedName name="Ktoday6">#REF!</definedName>
    <definedName name="Ktoday7">#REF!</definedName>
    <definedName name="nextname">#REF!</definedName>
    <definedName name="nextpos">#REF!</definedName>
    <definedName name="outn">#REF!</definedName>
    <definedName name="resulthit">#REF!</definedName>
    <definedName name="resultother">#REF!</definedName>
    <definedName name="resultout">#REF!</definedName>
    <definedName name="runnername">#REF!</definedName>
    <definedName name="runnerpos">#REF!</definedName>
    <definedName name="scoreent">#REF!</definedName>
    <definedName name="scoreinin">#REF!</definedName>
    <definedName name="seikan1">#REF!</definedName>
    <definedName name="seikan2">#REF!</definedName>
    <definedName name="seikan3">#REF!</definedName>
    <definedName name="seikan4">#REF!</definedName>
    <definedName name="Serror">#REF!</definedName>
    <definedName name="Shit">#REF!</definedName>
    <definedName name="Sline">#REF!</definedName>
    <definedName name="Slob">#REF!</definedName>
    <definedName name="Sname">#REF!</definedName>
    <definedName name="Sname1">#REF!</definedName>
    <definedName name="Sname10">#REF!</definedName>
    <definedName name="Sname2">#REF!</definedName>
    <definedName name="Sname3">#REF!</definedName>
    <definedName name="Sname4">#REF!</definedName>
    <definedName name="Sname5">#REF!</definedName>
    <definedName name="Sname6">#REF!</definedName>
    <definedName name="Sname7">#REF!</definedName>
    <definedName name="Sname8">#REF!</definedName>
    <definedName name="Sname9">#REF!</definedName>
    <definedName name="Snum">#REF!</definedName>
    <definedName name="souruisi1">#REF!</definedName>
    <definedName name="souruisi2">#REF!</definedName>
    <definedName name="souruisi3">#REF!</definedName>
    <definedName name="Spos1">#REF!</definedName>
    <definedName name="Spos10">#REF!</definedName>
    <definedName name="Spos2">#REF!</definedName>
    <definedName name="Spos3">#REF!</definedName>
    <definedName name="Spos4">#REF!</definedName>
    <definedName name="Spos5">#REF!</definedName>
    <definedName name="Spos6">#REF!</definedName>
    <definedName name="Spos7">#REF!</definedName>
    <definedName name="Spos8">#REF!</definedName>
    <definedName name="Spos9">#REF!</definedName>
    <definedName name="Srun1">#REF!</definedName>
    <definedName name="Srun2">#REF!</definedName>
    <definedName name="Srun3">#REF!</definedName>
    <definedName name="Srun4">#REF!</definedName>
    <definedName name="Srun5">#REF!</definedName>
    <definedName name="Srun6">#REF!</definedName>
    <definedName name="Srun7">#REF!</definedName>
    <definedName name="Srun8">#REF!</definedName>
    <definedName name="Srun9">#REF!</definedName>
    <definedName name="Srunr">#REF!</definedName>
    <definedName name="Sseie1">#REF!</definedName>
    <definedName name="Sseie2">#REF!</definedName>
    <definedName name="Sseie3">#REF!</definedName>
    <definedName name="Sseie4">#REF!</definedName>
    <definedName name="Sseie5">#REF!</definedName>
    <definedName name="Sseie6">#REF!</definedName>
    <definedName name="Ssein1">#REF!</definedName>
    <definedName name="Ssein2">#REF!</definedName>
    <definedName name="Ssein3">#REF!</definedName>
    <definedName name="Ssein4">#REF!</definedName>
    <definedName name="Ssein5">#REF!</definedName>
    <definedName name="Ssein6">#REF!</definedName>
    <definedName name="Steam1">#REF!</definedName>
    <definedName name="Steam2">#REF!</definedName>
    <definedName name="Stnum1">#REF!</definedName>
    <definedName name="Stnum2">#REF!</definedName>
    <definedName name="Stnum3">#REF!</definedName>
    <definedName name="Stnum4">#REF!</definedName>
    <definedName name="Stnum5">#REF!</definedName>
    <definedName name="Stnum6">#REF!</definedName>
    <definedName name="Stnum7">#REF!</definedName>
    <definedName name="Stoday1">#REF!</definedName>
    <definedName name="Stoday2">#REF!</definedName>
    <definedName name="Stoday3">#REF!</definedName>
    <definedName name="Stoday4">#REF!</definedName>
    <definedName name="Stoday5">#REF!</definedName>
    <definedName name="Stoday6">#REF!</definedName>
    <definedName name="Stoday7">#REF!</definedName>
    <definedName name="strike1">#REF!</definedName>
    <definedName name="strike2">#REF!</definedName>
    <definedName name="striken">#REF!</definedName>
    <definedName name="teamname">#REF!</definedName>
    <definedName name="text1">#REF!</definedName>
    <definedName name="text10">#REF!</definedName>
    <definedName name="text11">#REF!</definedName>
    <definedName name="text12">#REF!</definedName>
    <definedName name="text13">#REF!</definedName>
    <definedName name="text14">#REF!</definedName>
    <definedName name="text15">#REF!</definedName>
    <definedName name="text16">#REF!</definedName>
    <definedName name="text17">#REF!</definedName>
    <definedName name="text18">#REF!</definedName>
    <definedName name="text19">#REF!</definedName>
    <definedName name="text2">#REF!</definedName>
    <definedName name="text20">#REF!</definedName>
    <definedName name="text21">#REF!</definedName>
    <definedName name="text22">#REF!</definedName>
    <definedName name="text23">#REF!</definedName>
    <definedName name="text24">#REF!</definedName>
    <definedName name="text25">#REF!</definedName>
    <definedName name="text26">#REF!</definedName>
    <definedName name="text27">#REF!</definedName>
    <definedName name="text28">#REF!</definedName>
    <definedName name="text29">#REF!</definedName>
    <definedName name="text3">#REF!</definedName>
    <definedName name="text30">#REF!</definedName>
    <definedName name="text31">#REF!</definedName>
    <definedName name="text32">#REF!</definedName>
    <definedName name="text33">#REF!</definedName>
    <definedName name="text34">#REF!</definedName>
    <definedName name="text35">#REF!</definedName>
    <definedName name="text36">#REF!</definedName>
    <definedName name="text37">#REF!</definedName>
    <definedName name="text38">#REF!</definedName>
    <definedName name="text39">#REF!</definedName>
    <definedName name="text4">#REF!</definedName>
    <definedName name="text40">#REF!</definedName>
    <definedName name="text5">#REF!</definedName>
    <definedName name="text6">#REF!</definedName>
    <definedName name="text7">#REF!</definedName>
    <definedName name="text8">#REF!</definedName>
    <definedName name="text9">#REF!</definedName>
    <definedName name="touruisi">#REF!</definedName>
    <definedName name="umpire">#REF!</definedName>
  </definedNames>
  <calcPr calcId="191029"/>
</workbook>
</file>

<file path=xl/sharedStrings.xml><?xml version="1.0" encoding="utf-8"?>
<sst xmlns="http://schemas.openxmlformats.org/spreadsheetml/2006/main">
  <si>
    <t>打数</t>
    <rPh sb="0" eb="2">
      <t>ダスウ</t>
    </rPh>
    <phoneticPr fontId="1"/>
  </si>
  <si>
    <t>安打</t>
    <rPh sb="0" eb="2">
      <t>アンダ</t>
    </rPh>
    <phoneticPr fontId="1"/>
  </si>
  <si>
    <t>打点</t>
    <rPh sb="0" eb="2">
      <t>ダテン</t>
    </rPh>
    <phoneticPr fontId="1"/>
  </si>
  <si>
    <t>三好</t>
    <rPh sb="0" eb="2">
      <t>ミヨシ</t>
    </rPh>
    <phoneticPr fontId="1"/>
  </si>
  <si>
    <t>丸</t>
    <rPh sb="0" eb="1">
      <t>マル</t>
    </rPh>
    <phoneticPr fontId="1"/>
  </si>
  <si>
    <r>
      <rPr>
        <sz val="11"/>
        <color theme="1"/>
        <rFont val="ＭＳ Ｐゴシック"/>
        <family val="3"/>
        <charset val="128"/>
      </rPr>
      <t>中</t>
    </r>
    <r>
      <rPr>
        <sz val="11"/>
        <color theme="1"/>
        <rFont val="ＭＳ Ｐゴシック"/>
        <family val="3"/>
        <charset val="128"/>
      </rPr>
      <t>川</t>
    </r>
    <rPh sb="0" eb="1">
      <t>ナカ</t>
    </rPh>
    <rPh sb="1" eb="2">
      <t>カワ</t>
    </rPh>
    <phoneticPr fontId="1"/>
  </si>
  <si>
    <t>重信</t>
    <rPh sb="0" eb="1">
      <t>シゲ</t>
    </rPh>
    <rPh sb="1" eb="2">
      <t>シン</t>
    </rPh>
    <phoneticPr fontId="1"/>
  </si>
  <si>
    <t>湯浅</t>
    <rPh sb="0" eb="1">
      <t>ユ</t>
    </rPh>
    <rPh sb="1" eb="2">
      <t>アサ</t>
    </rPh>
    <phoneticPr fontId="1"/>
  </si>
  <si>
    <t>田島</t>
    <rPh sb="0" eb="1">
      <t>タ</t>
    </rPh>
    <rPh sb="1" eb="2">
      <t>シマ</t>
    </rPh>
    <phoneticPr fontId="1"/>
  </si>
  <si>
    <t>原樹理</t>
    <rPh sb="0" eb="1">
      <t>ハラ</t>
    </rPh>
    <rPh sb="1" eb="3">
      <t>ジュリ</t>
    </rPh>
    <phoneticPr fontId="1"/>
  </si>
  <si>
    <t>星</t>
    <rPh sb="0" eb="1">
      <t>ホシ</t>
    </rPh>
    <phoneticPr fontId="1"/>
  </si>
  <si>
    <t>金久保</t>
    <rPh sb="0" eb="3">
      <t>カナクボ</t>
    </rPh>
    <phoneticPr fontId="1"/>
  </si>
  <si>
    <t>川端</t>
    <rPh sb="0" eb="1">
      <t>カワ</t>
    </rPh>
    <rPh sb="1" eb="2">
      <t>ハタ</t>
    </rPh>
    <phoneticPr fontId="1"/>
  </si>
  <si>
    <r>
      <rPr>
        <sz val="11"/>
        <color theme="1"/>
        <rFont val="ＭＳ Ｐゴシック"/>
        <family val="3"/>
        <charset val="128"/>
      </rPr>
      <t>青</t>
    </r>
    <r>
      <rPr>
        <sz val="11"/>
        <color theme="1"/>
        <rFont val="ＭＳ Ｐゴシック"/>
        <family val="3"/>
        <charset val="128"/>
      </rPr>
      <t>木</t>
    </r>
    <rPh sb="0" eb="1">
      <t>アオ</t>
    </rPh>
    <rPh sb="1" eb="2">
      <t>キ</t>
    </rPh>
    <phoneticPr fontId="1"/>
  </si>
  <si>
    <t>石山</t>
    <rPh sb="0" eb="1">
      <t>イシ</t>
    </rPh>
    <rPh sb="1" eb="2">
      <t>ヤマ</t>
    </rPh>
    <phoneticPr fontId="1"/>
  </si>
  <si>
    <t>西田</t>
    <rPh sb="0" eb="1">
      <t>ニシ</t>
    </rPh>
    <rPh sb="1" eb="2">
      <t>ダ</t>
    </rPh>
    <phoneticPr fontId="1"/>
  </si>
  <si>
    <t>平井</t>
    <rPh sb="0" eb="1">
      <t>ヒラ</t>
    </rPh>
    <rPh sb="1" eb="2">
      <t>イ</t>
    </rPh>
    <phoneticPr fontId="1"/>
  </si>
  <si>
    <t>山﨑康</t>
    <rPh sb="0" eb="2">
      <t>ヤマサキ</t>
    </rPh>
    <rPh sb="2" eb="3">
      <t>ヤス</t>
    </rPh>
    <phoneticPr fontId="1"/>
  </si>
  <si>
    <t>神里</t>
    <rPh sb="0" eb="1">
      <t>カミ</t>
    </rPh>
    <rPh sb="1" eb="2">
      <t>リ</t>
    </rPh>
    <phoneticPr fontId="1"/>
  </si>
  <si>
    <t>戸柱</t>
    <rPh sb="0" eb="1">
      <t>ト</t>
    </rPh>
    <rPh sb="1" eb="2">
      <t>ハシラ</t>
    </rPh>
    <phoneticPr fontId="1"/>
  </si>
  <si>
    <t>三嶋</t>
    <rPh sb="0" eb="1">
      <t>サン</t>
    </rPh>
    <rPh sb="1" eb="2">
      <t>シマ</t>
    </rPh>
    <phoneticPr fontId="1"/>
  </si>
  <si>
    <t>濵口</t>
    <rPh sb="0" eb="1">
      <t>ハマ</t>
    </rPh>
    <rPh sb="1" eb="2">
      <t>クチ</t>
    </rPh>
    <phoneticPr fontId="1"/>
  </si>
  <si>
    <t>楠本</t>
    <rPh sb="0" eb="1">
      <t>クスノキ</t>
    </rPh>
    <rPh sb="1" eb="2">
      <t>モト</t>
    </rPh>
    <phoneticPr fontId="1"/>
  </si>
  <si>
    <t>京山</t>
    <rPh sb="0" eb="1">
      <t>キョウ</t>
    </rPh>
    <rPh sb="1" eb="2">
      <t>ヤマ</t>
    </rPh>
    <phoneticPr fontId="1"/>
  </si>
  <si>
    <t>関根</t>
    <rPh sb="0" eb="1">
      <t>カン</t>
    </rPh>
    <rPh sb="1" eb="2">
      <t>ネ</t>
    </rPh>
    <phoneticPr fontId="1"/>
  </si>
  <si>
    <t>伊藤光</t>
    <rPh sb="0" eb="1">
      <t>イ</t>
    </rPh>
    <rPh sb="1" eb="2">
      <t>フジ</t>
    </rPh>
    <rPh sb="2" eb="3">
      <t>ヒカル</t>
    </rPh>
    <phoneticPr fontId="1"/>
  </si>
  <si>
    <t>柳</t>
    <rPh sb="0" eb="1">
      <t>ヤナギ</t>
    </rPh>
    <phoneticPr fontId="1"/>
  </si>
  <si>
    <t>祖父江</t>
    <rPh sb="0" eb="3">
      <t>ソブエ</t>
    </rPh>
    <phoneticPr fontId="1"/>
  </si>
  <si>
    <t>木下拓</t>
    <rPh sb="0" eb="2">
      <t>キノシタ</t>
    </rPh>
    <rPh sb="2" eb="3">
      <t>タク</t>
    </rPh>
    <phoneticPr fontId="1"/>
  </si>
  <si>
    <t>三ツ俣</t>
    <rPh sb="0" eb="1">
      <t>ミ</t>
    </rPh>
    <rPh sb="2" eb="3">
      <t>マタ</t>
    </rPh>
    <phoneticPr fontId="1"/>
  </si>
  <si>
    <t>大島</t>
    <rPh sb="0" eb="1">
      <t>ダイ</t>
    </rPh>
    <rPh sb="1" eb="2">
      <t>シマ</t>
    </rPh>
    <phoneticPr fontId="1"/>
  </si>
  <si>
    <t>福谷</t>
    <rPh sb="0" eb="1">
      <t>フク</t>
    </rPh>
    <rPh sb="1" eb="2">
      <t>タニ</t>
    </rPh>
    <phoneticPr fontId="1"/>
  </si>
  <si>
    <t>石垣</t>
    <rPh sb="0" eb="1">
      <t>イシ</t>
    </rPh>
    <rPh sb="1" eb="2">
      <t>カキ</t>
    </rPh>
    <phoneticPr fontId="1"/>
  </si>
  <si>
    <t>藤嶋</t>
    <rPh sb="0" eb="1">
      <t>フジ</t>
    </rPh>
    <rPh sb="1" eb="2">
      <t>シマ</t>
    </rPh>
    <phoneticPr fontId="1"/>
  </si>
  <si>
    <t>福</t>
    <rPh sb="0" eb="1">
      <t>フク</t>
    </rPh>
    <phoneticPr fontId="1"/>
  </si>
  <si>
    <t>根尾</t>
    <rPh sb="0" eb="2">
      <t>ネオ</t>
    </rPh>
    <phoneticPr fontId="1"/>
  </si>
  <si>
    <t>田口</t>
    <rPh sb="0" eb="2">
      <t>タグチ</t>
    </rPh>
    <phoneticPr fontId="1"/>
  </si>
  <si>
    <t>畠</t>
    <rPh sb="0" eb="1">
      <t>ハタケ</t>
    </rPh>
    <phoneticPr fontId="1"/>
  </si>
  <si>
    <t>高木</t>
    <rPh sb="0" eb="2">
      <t>タカギ</t>
    </rPh>
    <phoneticPr fontId="1"/>
  </si>
  <si>
    <t>横川</t>
    <rPh sb="0" eb="2">
      <t>ヨコガワ</t>
    </rPh>
    <phoneticPr fontId="1"/>
  </si>
  <si>
    <t>増田陸</t>
    <rPh sb="0" eb="2">
      <t>マスダ</t>
    </rPh>
    <rPh sb="2" eb="3">
      <t>リク</t>
    </rPh>
    <phoneticPr fontId="1"/>
  </si>
  <si>
    <t>増田大</t>
    <rPh sb="0" eb="2">
      <t>マスダ</t>
    </rPh>
    <rPh sb="2" eb="3">
      <t>ダイ</t>
    </rPh>
    <phoneticPr fontId="1"/>
  </si>
  <si>
    <t>比嘉</t>
    <rPh sb="0" eb="2">
      <t>ヒガ</t>
    </rPh>
    <phoneticPr fontId="1"/>
  </si>
  <si>
    <t>高梨</t>
    <rPh sb="0" eb="2">
      <t>タカナシ</t>
    </rPh>
    <phoneticPr fontId="1"/>
  </si>
  <si>
    <t>太田</t>
    <rPh sb="0" eb="2">
      <t>オオタ</t>
    </rPh>
    <phoneticPr fontId="1"/>
  </si>
  <si>
    <t>濱田</t>
    <rPh sb="0" eb="2">
      <t>ハマダ</t>
    </rPh>
    <phoneticPr fontId="1"/>
  </si>
  <si>
    <t>内山</t>
    <rPh sb="0" eb="2">
      <t>ウチヤマ</t>
    </rPh>
    <phoneticPr fontId="1"/>
  </si>
  <si>
    <t>大貫</t>
    <rPh sb="0" eb="2">
      <t>オオヌキ</t>
    </rPh>
    <phoneticPr fontId="1"/>
  </si>
  <si>
    <t>上茶谷</t>
    <rPh sb="0" eb="1">
      <t>カミ</t>
    </rPh>
    <rPh sb="1" eb="3">
      <t>チャタニ</t>
    </rPh>
    <phoneticPr fontId="1"/>
  </si>
  <si>
    <t>益子</t>
    <rPh sb="0" eb="2">
      <t>マスコ</t>
    </rPh>
    <phoneticPr fontId="1"/>
  </si>
  <si>
    <t>知野</t>
    <rPh sb="0" eb="2">
      <t>チノ</t>
    </rPh>
    <phoneticPr fontId="1"/>
  </si>
  <si>
    <t>齋藤</t>
    <rPh sb="0" eb="2">
      <t>サイトウ</t>
    </rPh>
    <phoneticPr fontId="1"/>
  </si>
  <si>
    <t>大野雄大</t>
    <rPh sb="0" eb="1">
      <t>ダイ</t>
    </rPh>
    <rPh sb="1" eb="2">
      <t>ノ</t>
    </rPh>
    <rPh sb="2" eb="3">
      <t>ユウ</t>
    </rPh>
    <rPh sb="3" eb="4">
      <t>ダイ</t>
    </rPh>
    <phoneticPr fontId="1"/>
  </si>
  <si>
    <t>松葉</t>
    <rPh sb="0" eb="2">
      <t>マツバ</t>
    </rPh>
    <phoneticPr fontId="1"/>
  </si>
  <si>
    <t>勝野</t>
    <rPh sb="0" eb="2">
      <t>カツノ</t>
    </rPh>
    <phoneticPr fontId="1"/>
  </si>
  <si>
    <t>石橋</t>
    <rPh sb="0" eb="2">
      <t>イシバシ</t>
    </rPh>
    <phoneticPr fontId="1"/>
  </si>
  <si>
    <t>打率</t>
    <rPh sb="0" eb="2">
      <t>ダリツ</t>
    </rPh>
    <phoneticPr fontId="1"/>
  </si>
  <si>
    <t>中村晃</t>
    <rPh sb="0" eb="2">
      <t>ナカムラ</t>
    </rPh>
    <rPh sb="2" eb="3">
      <t>アキラ</t>
    </rPh>
    <phoneticPr fontId="1"/>
  </si>
  <si>
    <t>谷川原</t>
    <rPh sb="0" eb="3">
      <t>タニガワラ</t>
    </rPh>
    <phoneticPr fontId="1"/>
  </si>
  <si>
    <t>嘉弥真</t>
    <rPh sb="0" eb="1">
      <t>カ</t>
    </rPh>
    <rPh sb="1" eb="2">
      <t>ヤ</t>
    </rPh>
    <rPh sb="2" eb="3">
      <t>マ</t>
    </rPh>
    <phoneticPr fontId="1"/>
  </si>
  <si>
    <t>松本裕</t>
    <rPh sb="0" eb="2">
      <t>マツモト</t>
    </rPh>
    <rPh sb="2" eb="3">
      <t>ユウ</t>
    </rPh>
    <phoneticPr fontId="1"/>
  </si>
  <si>
    <t>金子侑</t>
    <rPh sb="0" eb="2">
      <t>カネコ</t>
    </rPh>
    <rPh sb="2" eb="3">
      <t>ユウ</t>
    </rPh>
    <phoneticPr fontId="1"/>
  </si>
  <si>
    <t>呉</t>
    <rPh sb="0" eb="1">
      <t>クレ</t>
    </rPh>
    <phoneticPr fontId="1"/>
  </si>
  <si>
    <t>伊藤 裕季也</t>
  </si>
  <si>
    <t>大和</t>
  </si>
  <si>
    <t>上茶谷 大河</t>
  </si>
  <si>
    <t>大竹 耕太郎</t>
  </si>
  <si>
    <t>谷川原 健太</t>
  </si>
  <si>
    <t>今宮</t>
    <rPh sb="0" eb="2">
      <t>イマミヤ</t>
    </rPh>
    <phoneticPr fontId="1"/>
  </si>
  <si>
    <t>柳田</t>
    <rPh sb="0" eb="1">
      <t>ヤナギ</t>
    </rPh>
    <rPh sb="1" eb="2">
      <t>ダ</t>
    </rPh>
    <phoneticPr fontId="1"/>
  </si>
  <si>
    <t>東浜</t>
    <rPh sb="0" eb="1">
      <t>ヒガシ</t>
    </rPh>
    <rPh sb="1" eb="2">
      <t>ハマ</t>
    </rPh>
    <phoneticPr fontId="1"/>
  </si>
  <si>
    <t>周東</t>
    <rPh sb="0" eb="2">
      <t>シュウトウ</t>
    </rPh>
    <phoneticPr fontId="1"/>
  </si>
  <si>
    <t>坂東</t>
    <rPh sb="0" eb="2">
      <t>バンドウ</t>
    </rPh>
    <phoneticPr fontId="1"/>
  </si>
  <si>
    <t>泉</t>
    <rPh sb="0" eb="1">
      <t>イズミ</t>
    </rPh>
    <phoneticPr fontId="1"/>
  </si>
  <si>
    <t>田浦</t>
    <rPh sb="0" eb="1">
      <t>タ</t>
    </rPh>
    <rPh sb="1" eb="2">
      <t>ウラ</t>
    </rPh>
    <phoneticPr fontId="1"/>
  </si>
  <si>
    <t>笠谷</t>
    <rPh sb="0" eb="1">
      <t>カサ</t>
    </rPh>
    <rPh sb="1" eb="2">
      <t>タニ</t>
    </rPh>
    <phoneticPr fontId="1"/>
  </si>
  <si>
    <t>源田</t>
    <rPh sb="0" eb="1">
      <t>ミナモト</t>
    </rPh>
    <rPh sb="1" eb="2">
      <t>ダ</t>
    </rPh>
    <phoneticPr fontId="1"/>
  </si>
  <si>
    <t>栗山</t>
    <rPh sb="0" eb="1">
      <t>クリ</t>
    </rPh>
    <rPh sb="1" eb="2">
      <t>ヤマ</t>
    </rPh>
    <phoneticPr fontId="1"/>
  </si>
  <si>
    <t>外崎</t>
    <rPh sb="0" eb="1">
      <t>ガイ</t>
    </rPh>
    <rPh sb="1" eb="2">
      <t>ザキ</t>
    </rPh>
    <phoneticPr fontId="1"/>
  </si>
  <si>
    <t>ビエイラ</t>
  </si>
  <si>
    <t>髙橋</t>
    <rPh sb="0" eb="2">
      <t>タカハシ</t>
    </rPh>
    <phoneticPr fontId="1"/>
  </si>
  <si>
    <t>坂本 誠志郎</t>
  </si>
  <si>
    <t>板山 祐太郎</t>
  </si>
  <si>
    <t>奥川</t>
    <rPh sb="0" eb="2">
      <t>オクガワ</t>
    </rPh>
    <phoneticPr fontId="1"/>
  </si>
  <si>
    <t>大西</t>
    <rPh sb="0" eb="2">
      <t>オオニシ</t>
    </rPh>
    <phoneticPr fontId="1"/>
  </si>
  <si>
    <t>長岡</t>
    <rPh sb="0" eb="2">
      <t>ナガオカ</t>
    </rPh>
    <phoneticPr fontId="1"/>
  </si>
  <si>
    <t>武岡</t>
    <rPh sb="0" eb="2">
      <t>タケオカ</t>
    </rPh>
    <phoneticPr fontId="1"/>
  </si>
  <si>
    <t>小笠原 慎之介</t>
  </si>
  <si>
    <t>祖父江 大輔</t>
  </si>
  <si>
    <t>ビシエド</t>
  </si>
  <si>
    <t>鈴木翔</t>
    <rPh sb="0" eb="2">
      <t>スズキ</t>
    </rPh>
    <rPh sb="2" eb="3">
      <t>ショウ</t>
    </rPh>
    <phoneticPr fontId="1"/>
  </si>
  <si>
    <t>郡司</t>
    <rPh sb="0" eb="2">
      <t>グンジ</t>
    </rPh>
    <phoneticPr fontId="1"/>
  </si>
  <si>
    <t>津森</t>
    <rPh sb="0" eb="2">
      <t>ツモリ</t>
    </rPh>
    <phoneticPr fontId="1"/>
  </si>
  <si>
    <t>甲斐</t>
    <rPh sb="0" eb="2">
      <t>カイ</t>
    </rPh>
    <phoneticPr fontId="1"/>
  </si>
  <si>
    <t>柳町</t>
    <rPh sb="0" eb="2">
      <t>ヤナマチ</t>
    </rPh>
    <phoneticPr fontId="1"/>
  </si>
  <si>
    <t>海野</t>
    <rPh sb="0" eb="2">
      <t>ウミノ</t>
    </rPh>
    <phoneticPr fontId="1"/>
  </si>
  <si>
    <t>リチャード</t>
  </si>
  <si>
    <t>堀内</t>
    <rPh sb="0" eb="2">
      <t>ホリウチ</t>
    </rPh>
    <phoneticPr fontId="1"/>
  </si>
  <si>
    <t>紅林 弘太郎</t>
  </si>
  <si>
    <t>杉本 裕太郎</t>
  </si>
  <si>
    <t>安達</t>
    <rPh sb="0" eb="2">
      <t>アダチ</t>
    </rPh>
    <phoneticPr fontId="1"/>
  </si>
  <si>
    <t>西野</t>
    <rPh sb="0" eb="2">
      <t>ニシノ</t>
    </rPh>
    <phoneticPr fontId="1"/>
  </si>
  <si>
    <t>宗</t>
    <rPh sb="0" eb="1">
      <t>ムネ</t>
    </rPh>
    <phoneticPr fontId="1"/>
  </si>
  <si>
    <t>山﨑福</t>
    <rPh sb="0" eb="2">
      <t>ヤマサキ</t>
    </rPh>
    <rPh sb="2" eb="3">
      <t>フク</t>
    </rPh>
    <phoneticPr fontId="1"/>
  </si>
  <si>
    <t>山岡</t>
    <rPh sb="0" eb="2">
      <t>ヤマオカ</t>
    </rPh>
    <phoneticPr fontId="1"/>
  </si>
  <si>
    <t>村西</t>
    <rPh sb="0" eb="2">
      <t>ムラニシ</t>
    </rPh>
    <phoneticPr fontId="1"/>
  </si>
  <si>
    <t>伏見</t>
    <rPh sb="0" eb="2">
      <t>フシミ</t>
    </rPh>
    <phoneticPr fontId="1"/>
  </si>
  <si>
    <t>紅林</t>
    <rPh sb="0" eb="2">
      <t>クレバヤシ</t>
    </rPh>
    <phoneticPr fontId="1"/>
  </si>
  <si>
    <t>田嶋</t>
    <rPh sb="0" eb="2">
      <t>タジマ</t>
    </rPh>
    <phoneticPr fontId="1"/>
  </si>
  <si>
    <t>山足</t>
    <rPh sb="0" eb="2">
      <t>ヤマアシ</t>
    </rPh>
    <phoneticPr fontId="1"/>
  </si>
  <si>
    <t>前</t>
    <rPh sb="0" eb="1">
      <t>マエ</t>
    </rPh>
    <phoneticPr fontId="1"/>
  </si>
  <si>
    <t>頓宮</t>
    <rPh sb="0" eb="2">
      <t>トングウ</t>
    </rPh>
    <phoneticPr fontId="1"/>
  </si>
  <si>
    <t>海田</t>
    <rPh sb="0" eb="2">
      <t>カイダ</t>
    </rPh>
    <phoneticPr fontId="1"/>
  </si>
  <si>
    <t>小田</t>
    <rPh sb="0" eb="2">
      <t>オダ</t>
    </rPh>
    <phoneticPr fontId="1"/>
  </si>
  <si>
    <t>宜保</t>
    <rPh sb="0" eb="2">
      <t>ギホ</t>
    </rPh>
    <phoneticPr fontId="1"/>
  </si>
  <si>
    <t>根本</t>
    <rPh sb="0" eb="2">
      <t>ネモト</t>
    </rPh>
    <phoneticPr fontId="1"/>
  </si>
  <si>
    <t>杉本</t>
    <rPh sb="0" eb="2">
      <t>スギモト</t>
    </rPh>
    <phoneticPr fontId="1"/>
  </si>
  <si>
    <t>佐藤一</t>
    <rPh sb="0" eb="2">
      <t>サトウ</t>
    </rPh>
    <rPh sb="2" eb="3">
      <t>イチ</t>
    </rPh>
    <phoneticPr fontId="1"/>
  </si>
  <si>
    <t>本田</t>
    <rPh sb="0" eb="1">
      <t>ホン</t>
    </rPh>
    <rPh sb="1" eb="2">
      <t>ダ</t>
    </rPh>
    <phoneticPr fontId="1"/>
  </si>
  <si>
    <t>渡邉 勇太朗</t>
  </si>
  <si>
    <t>田村 伊知郎</t>
  </si>
  <si>
    <t>山野辺</t>
    <rPh sb="0" eb="3">
      <t>ヤマノベ</t>
    </rPh>
    <phoneticPr fontId="1"/>
  </si>
  <si>
    <t>宮川</t>
    <rPh sb="0" eb="2">
      <t>ミヤガワ</t>
    </rPh>
    <phoneticPr fontId="1"/>
  </si>
  <si>
    <t>柘植</t>
    <rPh sb="0" eb="2">
      <t>ツゲ</t>
    </rPh>
    <phoneticPr fontId="1"/>
  </si>
  <si>
    <t>岸</t>
    <rPh sb="0" eb="1">
      <t>キシ</t>
    </rPh>
    <phoneticPr fontId="1"/>
  </si>
  <si>
    <t>清宮 幸太郎</t>
  </si>
  <si>
    <t>中島卓</t>
    <rPh sb="0" eb="2">
      <t>ナカシマ</t>
    </rPh>
    <rPh sb="2" eb="3">
      <t>スグル</t>
    </rPh>
    <phoneticPr fontId="1"/>
  </si>
  <si>
    <t>生田目</t>
    <rPh sb="0" eb="3">
      <t>ナマタメ</t>
    </rPh>
    <phoneticPr fontId="1"/>
  </si>
  <si>
    <t>上沢</t>
    <rPh sb="0" eb="2">
      <t>ウワサワ</t>
    </rPh>
    <phoneticPr fontId="1"/>
  </si>
  <si>
    <t>上原</t>
    <rPh sb="0" eb="2">
      <t>ウエハラ</t>
    </rPh>
    <phoneticPr fontId="1"/>
  </si>
  <si>
    <t>宮西</t>
    <rPh sb="0" eb="2">
      <t>ミヤニシ</t>
    </rPh>
    <phoneticPr fontId="1"/>
  </si>
  <si>
    <t>鈴木健</t>
    <rPh sb="0" eb="2">
      <t>スズキ</t>
    </rPh>
    <rPh sb="2" eb="3">
      <t>ケン</t>
    </rPh>
    <phoneticPr fontId="1"/>
  </si>
  <si>
    <t>石川直</t>
    <rPh sb="0" eb="2">
      <t>イシカワ</t>
    </rPh>
    <rPh sb="2" eb="3">
      <t>チョク</t>
    </rPh>
    <phoneticPr fontId="1"/>
  </si>
  <si>
    <t>郡</t>
    <rPh sb="0" eb="1">
      <t>コオリ</t>
    </rPh>
    <phoneticPr fontId="1"/>
  </si>
  <si>
    <t>北浦</t>
    <rPh sb="0" eb="2">
      <t>キタウラ</t>
    </rPh>
    <phoneticPr fontId="1"/>
  </si>
  <si>
    <t>田宮</t>
    <rPh sb="0" eb="2">
      <t>タミヤ</t>
    </rPh>
    <phoneticPr fontId="1"/>
  </si>
  <si>
    <t>万波</t>
    <rPh sb="0" eb="2">
      <t>マンナミ</t>
    </rPh>
    <phoneticPr fontId="1"/>
  </si>
  <si>
    <t>小深田 大翔</t>
  </si>
  <si>
    <t>オコエ 瑠偉</t>
  </si>
  <si>
    <t>茂木 栄五郎</t>
  </si>
  <si>
    <t>津留崎 大成</t>
  </si>
  <si>
    <t>浅村</t>
    <rPh sb="0" eb="2">
      <t>アサムラ</t>
    </rPh>
    <phoneticPr fontId="1"/>
  </si>
  <si>
    <t>茂木</t>
    <rPh sb="0" eb="2">
      <t>モギ</t>
    </rPh>
    <phoneticPr fontId="1"/>
  </si>
  <si>
    <t>辰己</t>
    <rPh sb="0" eb="2">
      <t>タツミ</t>
    </rPh>
    <phoneticPr fontId="1"/>
  </si>
  <si>
    <t>則本</t>
    <rPh sb="0" eb="2">
      <t>ノリモト</t>
    </rPh>
    <phoneticPr fontId="1"/>
  </si>
  <si>
    <t>岡島</t>
    <rPh sb="0" eb="2">
      <t>オカジマ</t>
    </rPh>
    <phoneticPr fontId="1"/>
  </si>
  <si>
    <t>酒居</t>
    <rPh sb="0" eb="2">
      <t>サカイ</t>
    </rPh>
    <phoneticPr fontId="1"/>
  </si>
  <si>
    <t>宋</t>
    <rPh sb="0" eb="1">
      <t>ソン</t>
    </rPh>
    <phoneticPr fontId="1"/>
  </si>
  <si>
    <t>渡辺佳</t>
    <rPh sb="0" eb="2">
      <t>ワタナベ</t>
    </rPh>
    <rPh sb="2" eb="3">
      <t>ヨシ</t>
    </rPh>
    <phoneticPr fontId="1"/>
  </si>
  <si>
    <t>小郷</t>
    <rPh sb="0" eb="2">
      <t>オゴウ</t>
    </rPh>
    <phoneticPr fontId="1"/>
  </si>
  <si>
    <t>津留崎</t>
    <rPh sb="0" eb="3">
      <t>ツルサキ</t>
    </rPh>
    <phoneticPr fontId="1"/>
  </si>
  <si>
    <t>瀧中</t>
    <rPh sb="0" eb="1">
      <t>タキ</t>
    </rPh>
    <rPh sb="1" eb="2">
      <t>ナカ</t>
    </rPh>
    <phoneticPr fontId="1"/>
  </si>
  <si>
    <t>辛島</t>
    <rPh sb="0" eb="2">
      <t>カラシマ</t>
    </rPh>
    <phoneticPr fontId="1"/>
  </si>
  <si>
    <t>村林</t>
    <rPh sb="0" eb="2">
      <t>ムラバヤシ</t>
    </rPh>
    <phoneticPr fontId="1"/>
  </si>
  <si>
    <t>佐々木 千隼</t>
  </si>
  <si>
    <t>佐々木 朗希</t>
  </si>
  <si>
    <t>佐藤 都志也</t>
  </si>
  <si>
    <t>荻野貴</t>
    <rPh sb="0" eb="2">
      <t>オギノ</t>
    </rPh>
    <rPh sb="2" eb="3">
      <t>タカ</t>
    </rPh>
    <phoneticPr fontId="1"/>
  </si>
  <si>
    <t>角中</t>
    <rPh sb="0" eb="1">
      <t>カク</t>
    </rPh>
    <rPh sb="1" eb="2">
      <t>ナカ</t>
    </rPh>
    <phoneticPr fontId="1"/>
  </si>
  <si>
    <t>平沢</t>
    <rPh sb="0" eb="2">
      <t>ヒラサワ</t>
    </rPh>
    <phoneticPr fontId="1"/>
  </si>
  <si>
    <t>美馬</t>
    <rPh sb="0" eb="2">
      <t>ミマ</t>
    </rPh>
    <phoneticPr fontId="1"/>
  </si>
  <si>
    <t>種市</t>
    <rPh sb="0" eb="2">
      <t>タネイチ</t>
    </rPh>
    <phoneticPr fontId="1"/>
  </si>
  <si>
    <t>佐々木朗</t>
    <rPh sb="0" eb="3">
      <t>ササキ</t>
    </rPh>
    <rPh sb="3" eb="4">
      <t>ロウ</t>
    </rPh>
    <phoneticPr fontId="1"/>
  </si>
  <si>
    <t>二木</t>
    <rPh sb="0" eb="2">
      <t>フタキ</t>
    </rPh>
    <phoneticPr fontId="1"/>
  </si>
  <si>
    <t>唐川</t>
    <rPh sb="0" eb="2">
      <t>カラカワ</t>
    </rPh>
    <phoneticPr fontId="1"/>
  </si>
  <si>
    <t>東條</t>
    <rPh sb="0" eb="2">
      <t>トウジョウ</t>
    </rPh>
    <phoneticPr fontId="1"/>
  </si>
  <si>
    <t>東妻</t>
    <rPh sb="0" eb="1">
      <t>アズマ</t>
    </rPh>
    <rPh sb="1" eb="2">
      <t>ツマ</t>
    </rPh>
    <phoneticPr fontId="1"/>
  </si>
  <si>
    <t>岡</t>
    <rPh sb="0" eb="1">
      <t>オカ</t>
    </rPh>
    <phoneticPr fontId="1"/>
  </si>
  <si>
    <t>岩下</t>
    <rPh sb="0" eb="2">
      <t>イワシタ</t>
    </rPh>
    <phoneticPr fontId="1"/>
  </si>
  <si>
    <t>中村稔</t>
    <rPh sb="0" eb="2">
      <t>ナカムラ</t>
    </rPh>
    <rPh sb="2" eb="3">
      <t>トシ</t>
    </rPh>
    <phoneticPr fontId="1"/>
  </si>
  <si>
    <t>茶谷</t>
    <rPh sb="0" eb="2">
      <t>チャタニ</t>
    </rPh>
    <phoneticPr fontId="1"/>
  </si>
  <si>
    <t>伊勢</t>
    <rPh sb="0" eb="2">
      <t>イセ</t>
    </rPh>
    <phoneticPr fontId="1"/>
  </si>
  <si>
    <t>蝦名</t>
    <rPh sb="0" eb="2">
      <t>エビナ</t>
    </rPh>
    <phoneticPr fontId="1"/>
  </si>
  <si>
    <t>00</t>
  </si>
  <si>
    <t>梶谷</t>
    <rPh sb="0" eb="2">
      <t>カジタニ</t>
    </rPh>
    <phoneticPr fontId="1"/>
  </si>
  <si>
    <t>戸郷</t>
    <rPh sb="0" eb="1">
      <t>ト</t>
    </rPh>
    <rPh sb="1" eb="2">
      <t>ゴウ</t>
    </rPh>
    <phoneticPr fontId="1"/>
  </si>
  <si>
    <t>今村</t>
    <rPh sb="0" eb="2">
      <t>イマムラ</t>
    </rPh>
    <phoneticPr fontId="1"/>
  </si>
  <si>
    <t>平内</t>
    <rPh sb="0" eb="2">
      <t>ヘイナイ</t>
    </rPh>
    <phoneticPr fontId="1"/>
  </si>
  <si>
    <t>ウィーラー</t>
  </si>
  <si>
    <t>ウレーニャ</t>
  </si>
  <si>
    <t>並木</t>
    <rPh sb="0" eb="2">
      <t>ナミキ</t>
    </rPh>
    <phoneticPr fontId="1"/>
  </si>
  <si>
    <t>木澤</t>
    <rPh sb="0" eb="2">
      <t>キザワ</t>
    </rPh>
    <phoneticPr fontId="1"/>
  </si>
  <si>
    <t>山野</t>
    <rPh sb="0" eb="2">
      <t>ヤマノ</t>
    </rPh>
    <phoneticPr fontId="1"/>
  </si>
  <si>
    <t>松本直</t>
    <rPh sb="0" eb="1">
      <t>マツ</t>
    </rPh>
    <rPh sb="1" eb="2">
      <t>モト</t>
    </rPh>
    <rPh sb="2" eb="3">
      <t>ナオ</t>
    </rPh>
    <phoneticPr fontId="1"/>
  </si>
  <si>
    <t>オースティン</t>
  </si>
  <si>
    <t>ソト</t>
  </si>
  <si>
    <t>ディアス</t>
  </si>
  <si>
    <t>牧</t>
  </si>
  <si>
    <t>佐野</t>
  </si>
  <si>
    <t>入江</t>
  </si>
  <si>
    <t>松本 隆之介</t>
  </si>
  <si>
    <t>小深田 大地</t>
  </si>
  <si>
    <t>梅津</t>
    <rPh sb="0" eb="2">
      <t>ウメツ</t>
    </rPh>
    <phoneticPr fontId="1"/>
  </si>
  <si>
    <t>牧原巧</t>
  </si>
  <si>
    <t>モイネロ</t>
  </si>
  <si>
    <t>尾形</t>
  </si>
  <si>
    <t>笹川</t>
  </si>
  <si>
    <t>川原田</t>
  </si>
  <si>
    <t>川原田 純平</t>
  </si>
  <si>
    <t>山村</t>
  </si>
  <si>
    <t>ブランドン</t>
  </si>
  <si>
    <t>大曲</t>
  </si>
  <si>
    <t>仲三河 優太</t>
  </si>
  <si>
    <t>齊藤誠</t>
  </si>
  <si>
    <t>五十幡</t>
  </si>
  <si>
    <t>五十幡 亮汰</t>
  </si>
  <si>
    <t>今川</t>
    <rPh sb="0" eb="2">
      <t>イマガワ</t>
    </rPh>
    <phoneticPr fontId="1"/>
  </si>
  <si>
    <t>レアード</t>
  </si>
  <si>
    <t>中森</t>
  </si>
  <si>
    <t>和田</t>
  </si>
  <si>
    <t>和田 康士朗</t>
  </si>
  <si>
    <t>マーティン</t>
  </si>
  <si>
    <t>若月</t>
  </si>
  <si>
    <t>山下 舜平大</t>
  </si>
  <si>
    <t>平野佳</t>
  </si>
  <si>
    <t>元</t>
  </si>
  <si>
    <t>来田</t>
  </si>
  <si>
    <t>大下 誠一郎</t>
  </si>
  <si>
    <t>山﨑 颯一郎</t>
  </si>
  <si>
    <t>オコエ</t>
  </si>
  <si>
    <t>早川</t>
  </si>
  <si>
    <t>田中和</t>
    <rPh sb="0" eb="2">
      <t>タナカ</t>
    </rPh>
    <rPh sb="2" eb="3">
      <t>ワ</t>
    </rPh>
    <phoneticPr fontId="1"/>
  </si>
  <si>
    <t>高田</t>
  </si>
  <si>
    <t>武藤</t>
  </si>
  <si>
    <t>内</t>
  </si>
  <si>
    <t>球団</t>
    <rPh sb="0" eb="2">
      <t>キュウダン</t>
    </rPh>
    <phoneticPr fontId="1"/>
  </si>
  <si>
    <t>https://baseball.yahoo.co.jp/npb/teams/</t>
  </si>
  <si>
    <t>からコピー</t>
    <phoneticPr fontId="1"/>
  </si>
  <si>
    <t>↓ここに一番上の背番号が来るようにペースト（右クリックして「貼り付け先の書式に合わせる」を選択）</t>
    <rPh sb="4" eb="6">
      <t>イチバン</t>
    </rPh>
    <rPh sb="6" eb="7">
      <t>ウエ</t>
    </rPh>
    <rPh sb="8" eb="11">
      <t>セバンゴウ</t>
    </rPh>
    <rPh sb="12" eb="13">
      <t>ク</t>
    </rPh>
    <rPh sb="22" eb="23">
      <t>ミギ</t>
    </rPh>
    <rPh sb="30" eb="31">
      <t>ハ</t>
    </rPh>
    <rPh sb="32" eb="33">
      <t>ツ</t>
    </rPh>
    <rPh sb="34" eb="35">
      <t>サキ</t>
    </rPh>
    <rPh sb="36" eb="38">
      <t>ショシキ</t>
    </rPh>
    <rPh sb="39" eb="40">
      <t>ア</t>
    </rPh>
    <rPh sb="45" eb="47">
      <t>センタク</t>
    </rPh>
    <phoneticPr fontId="1"/>
  </si>
  <si>
    <r>
      <rPr>
        <sz val="11"/>
        <color theme="1"/>
        <rFont val="ＭＳ Ｐゴシック"/>
        <family val="2"/>
        <charset val="128"/>
      </rPr>
      <t>フルネーム</t>
    </r>
    <phoneticPr fontId="1"/>
  </si>
  <si>
    <r>
      <rPr>
        <sz val="11"/>
        <color theme="1"/>
        <rFont val="ＭＳ Ｐゴシック"/>
        <family val="3"/>
        <charset val="128"/>
      </rPr>
      <t>鈴木</t>
    </r>
    <rPh sb="0" eb="2">
      <t>スズキ</t>
    </rPh>
    <phoneticPr fontId="1"/>
  </si>
  <si>
    <r>
      <rPr>
        <sz val="11"/>
        <color theme="1"/>
        <rFont val="ＭＳ Ｐゴシック"/>
        <family val="2"/>
        <charset val="128"/>
      </rPr>
      <t>森下</t>
    </r>
    <rPh sb="0" eb="2">
      <t>モリシタ</t>
    </rPh>
    <phoneticPr fontId="1"/>
  </si>
  <si>
    <r>
      <rPr>
        <sz val="11"/>
        <color theme="1"/>
        <rFont val="ＭＳ Ｐゴシック"/>
        <family val="2"/>
        <charset val="128"/>
      </rPr>
      <t>栗林</t>
    </r>
    <rPh sb="0" eb="2">
      <t>クリバヤシ</t>
    </rPh>
    <phoneticPr fontId="1"/>
  </si>
  <si>
    <r>
      <rPr>
        <sz val="11"/>
        <color theme="1"/>
        <rFont val="ＭＳ Ｐゴシック"/>
        <family val="2"/>
        <charset val="128"/>
      </rPr>
      <t>菊池</t>
    </r>
    <rPh sb="0" eb="1">
      <t>キク</t>
    </rPh>
    <rPh sb="1" eb="2">
      <t>イケ</t>
    </rPh>
    <phoneticPr fontId="1"/>
  </si>
  <si>
    <t>四球</t>
    <rPh sb="0" eb="2">
      <t>シキュウ</t>
    </rPh>
    <phoneticPr fontId="1"/>
  </si>
  <si>
    <t>死球</t>
    <rPh sb="0" eb="2">
      <t>シキュウ</t>
    </rPh>
    <phoneticPr fontId="1"/>
  </si>
  <si>
    <t>梅野 隆太郎</t>
  </si>
  <si>
    <t>マルテ</t>
  </si>
  <si>
    <r>
      <rPr>
        <sz val="11"/>
        <color theme="1"/>
        <rFont val="ＭＳ Ｐゴシック"/>
        <family val="3"/>
        <charset val="128"/>
      </rPr>
      <t>木浪</t>
    </r>
    <rPh sb="0" eb="2">
      <t>キナミ</t>
    </rPh>
    <phoneticPr fontId="1"/>
  </si>
  <si>
    <r>
      <rPr>
        <sz val="11"/>
        <color theme="1"/>
        <rFont val="ＭＳ Ｐゴシック"/>
        <family val="3"/>
        <charset val="128"/>
      </rPr>
      <t>梅野</t>
    </r>
    <rPh sb="0" eb="2">
      <t>ウメノ</t>
    </rPh>
    <phoneticPr fontId="1"/>
  </si>
  <si>
    <r>
      <rPr>
        <sz val="11"/>
        <color theme="1"/>
        <rFont val="ＭＳ Ｐゴシック"/>
        <family val="3"/>
        <charset val="128"/>
      </rPr>
      <t>大山</t>
    </r>
    <rPh sb="0" eb="1">
      <t>ダイ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</si>
  <si>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熊谷</t>
    </r>
    <rPh sb="0" eb="1">
      <t>クマ</t>
    </rPh>
    <rPh sb="1" eb="2">
      <t>タニ</t>
    </rPh>
    <phoneticPr fontId="1"/>
  </si>
  <si>
    <r>
      <rPr>
        <sz val="11"/>
        <color theme="1"/>
        <rFont val="ＭＳ Ｐゴシック"/>
        <family val="3"/>
        <charset val="128"/>
      </rPr>
      <t>近本</t>
    </r>
    <rPh sb="0" eb="2">
      <t>チカモト</t>
    </rPh>
    <phoneticPr fontId="1"/>
  </si>
  <si>
    <r>
      <rPr>
        <sz val="11"/>
        <color theme="1"/>
        <rFont val="ＭＳ Ｐゴシック"/>
        <family val="2"/>
        <charset val="128"/>
      </rPr>
      <t>佐藤輝</t>
    </r>
    <rPh sb="0" eb="2">
      <t>サトウ</t>
    </rPh>
    <rPh sb="2" eb="3">
      <t>テル</t>
    </rPh>
    <phoneticPr fontId="1"/>
  </si>
  <si>
    <r>
      <rPr>
        <sz val="11"/>
        <color theme="1"/>
        <rFont val="ＭＳ Ｐゴシック"/>
        <family val="3"/>
        <charset val="128"/>
      </rPr>
      <t>坂本</t>
    </r>
    <rPh sb="0" eb="1">
      <t>サカ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</si>
  <si>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西純</t>
    </r>
    <rPh sb="0" eb="1">
      <t>ニシ</t>
    </rPh>
    <rPh sb="1" eb="2">
      <t>ジュン</t>
    </rPh>
    <phoneticPr fontId="1"/>
  </si>
  <si>
    <r>
      <rPr>
        <sz val="11"/>
        <color theme="1"/>
        <rFont val="ＭＳ Ｐゴシック"/>
        <family val="3"/>
        <charset val="128"/>
      </rPr>
      <t>西</t>
    </r>
    <rPh sb="0" eb="1">
      <t>ニシ</t>
    </rPh>
    <phoneticPr fontId="1"/>
  </si>
  <si>
    <r>
      <rPr>
        <sz val="11"/>
        <color theme="1"/>
        <rFont val="ＭＳ Ｐゴシック"/>
        <family val="3"/>
        <charset val="128"/>
      </rPr>
      <t>伊藤将</t>
    </r>
    <rPh sb="0" eb="2">
      <t>イトウ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</si>
  <si>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井上</t>
    </r>
    <rPh sb="0" eb="2">
      <t>イノウエ</t>
    </rPh>
    <phoneticPr fontId="1"/>
  </si>
  <si>
    <r>
      <rPr>
        <sz val="11"/>
        <color theme="1"/>
        <rFont val="ＭＳ Ｐゴシック"/>
        <family val="3"/>
        <charset val="128"/>
      </rPr>
      <t>糸原</t>
    </r>
    <rPh sb="0" eb="1">
      <t>イト</t>
    </rPh>
    <rPh sb="1" eb="2">
      <t>ハラ</t>
    </rPh>
    <phoneticPr fontId="1"/>
  </si>
  <si>
    <r>
      <rPr>
        <sz val="11"/>
        <color theme="1"/>
        <rFont val="ＭＳ Ｐゴシック"/>
        <family val="3"/>
        <charset val="128"/>
      </rPr>
      <t>浜地</t>
    </r>
    <rPh sb="0" eb="1">
      <t>ハマ</t>
    </rPh>
    <rPh sb="1" eb="2">
      <t>チ</t>
    </rPh>
    <phoneticPr fontId="1"/>
  </si>
  <si>
    <r>
      <rPr>
        <sz val="11"/>
        <color theme="1"/>
        <rFont val="ＭＳ Ｐゴシック"/>
        <family val="3"/>
        <charset val="128"/>
      </rPr>
      <t>及川</t>
    </r>
    <rPh sb="0" eb="2">
      <t>オヨカワ</t>
    </rPh>
    <phoneticPr fontId="1"/>
  </si>
  <si>
    <r>
      <rPr>
        <sz val="11"/>
        <color theme="1"/>
        <rFont val="ＭＳ Ｐゴシック"/>
        <family val="3"/>
        <charset val="128"/>
      </rPr>
      <t>小幡</t>
    </r>
    <rPh sb="0" eb="2">
      <t>コハタ</t>
    </rPh>
    <phoneticPr fontId="1"/>
  </si>
  <si>
    <r>
      <rPr>
        <sz val="11"/>
        <color theme="1"/>
        <rFont val="ＭＳ Ｐゴシック"/>
        <family val="3"/>
        <charset val="128"/>
      </rPr>
      <t>榮枝</t>
    </r>
    <rPh sb="0" eb="1">
      <t>サカエ</t>
    </rPh>
    <rPh sb="1" eb="2">
      <t>エダ</t>
    </rPh>
    <phoneticPr fontId="1"/>
  </si>
  <si>
    <r>
      <rPr>
        <sz val="11"/>
        <color theme="1"/>
        <rFont val="ＭＳ Ｐゴシック"/>
        <family val="3"/>
        <charset val="128"/>
      </rPr>
      <t>村上</t>
    </r>
    <rPh sb="0" eb="2">
      <t>ムラカミ</t>
    </rPh>
    <phoneticPr fontId="1"/>
  </si>
  <si>
    <r>
      <rPr>
        <sz val="11"/>
        <color theme="1"/>
        <rFont val="ＭＳ Ｐゴシック"/>
        <family val="3"/>
        <charset val="128"/>
      </rPr>
      <t>遠藤</t>
    </r>
    <rPh sb="0" eb="2">
      <t>エンドウ</t>
    </rPh>
    <phoneticPr fontId="1"/>
  </si>
  <si>
    <r>
      <rPr>
        <sz val="11"/>
        <color theme="1"/>
        <rFont val="ＭＳ Ｐゴシック"/>
        <family val="3"/>
        <charset val="128"/>
      </rPr>
      <t>青柳</t>
    </r>
    <rPh sb="0" eb="1">
      <t>アオ</t>
    </rPh>
    <rPh sb="1" eb="2">
      <t>ヤナギ</t>
    </rPh>
    <phoneticPr fontId="1"/>
  </si>
  <si>
    <r>
      <rPr>
        <sz val="11"/>
        <color theme="1"/>
        <rFont val="ＭＳ Ｐゴシック"/>
        <family val="3"/>
        <charset val="128"/>
      </rPr>
      <t>中野</t>
    </r>
    <rPh sb="0" eb="2">
      <t>ナカノ</t>
    </rPh>
    <phoneticPr fontId="1"/>
  </si>
  <si>
    <r>
      <rPr>
        <sz val="11"/>
        <color theme="1"/>
        <rFont val="ＭＳ Ｐゴシック"/>
        <family val="3"/>
        <charset val="128"/>
      </rPr>
      <t>島田</t>
    </r>
    <rPh sb="0" eb="1">
      <t>シマ</t>
    </rPh>
    <rPh sb="1" eb="2">
      <t>ダ</t>
    </rPh>
    <phoneticPr fontId="1"/>
  </si>
  <si>
    <r>
      <rPr>
        <sz val="11"/>
        <color theme="1"/>
        <rFont val="ＭＳ Ｐゴシック"/>
        <family val="3"/>
        <charset val="128"/>
      </rPr>
      <t>加治屋</t>
    </r>
    <rPh sb="0" eb="3">
      <t>カジヤ</t>
    </rPh>
    <phoneticPr fontId="1"/>
  </si>
  <si>
    <r>
      <rPr>
        <sz val="11"/>
        <color theme="1"/>
        <rFont val="ＭＳ Ｐゴシック"/>
        <family val="3"/>
        <charset val="128"/>
      </rPr>
      <t>長坂</t>
    </r>
    <rPh sb="0" eb="1">
      <t>ナガ</t>
    </rPh>
    <rPh sb="1" eb="2">
      <t>サカ</t>
    </rPh>
    <phoneticPr fontId="1"/>
  </si>
  <si>
    <r>
      <rPr>
        <sz val="11"/>
        <color theme="1"/>
        <rFont val="ＭＳ Ｐゴシック"/>
        <family val="3"/>
        <charset val="128"/>
      </rPr>
      <t>藤田</t>
    </r>
    <rPh sb="0" eb="2">
      <t>フジタ</t>
    </rPh>
    <phoneticPr fontId="1"/>
  </si>
  <si>
    <r>
      <rPr>
        <sz val="11"/>
        <color theme="1"/>
        <rFont val="ＭＳ Ｐゴシック"/>
        <family val="3"/>
        <charset val="128"/>
      </rPr>
      <t>植田</t>
    </r>
    <rPh sb="0" eb="1">
      <t>ウエ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</si>
  <si>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湯浅</t>
    </r>
    <rPh sb="0" eb="2">
      <t>ユアサ</t>
    </rPh>
    <phoneticPr fontId="1"/>
  </si>
  <si>
    <r>
      <rPr>
        <sz val="11"/>
        <color theme="1"/>
        <rFont val="ＭＳ Ｐゴシック"/>
        <family val="3"/>
        <charset val="128"/>
      </rPr>
      <t>髙寺</t>
    </r>
    <rPh sb="0" eb="1">
      <t>タカ</t>
    </rPh>
    <rPh sb="1" eb="2">
      <t>テラ</t>
    </rPh>
    <phoneticPr fontId="1"/>
  </si>
  <si>
    <r>
      <rPr>
        <sz val="11"/>
        <color theme="1"/>
        <rFont val="ＭＳ Ｐゴシック"/>
        <family val="3"/>
        <charset val="128"/>
      </rPr>
      <t>石井大</t>
    </r>
    <rPh sb="0" eb="2">
      <t>イシイ</t>
    </rPh>
    <rPh sb="2" eb="3">
      <t>ダイ</t>
    </rPh>
    <phoneticPr fontId="1"/>
  </si>
  <si>
    <r>
      <rPr>
        <sz val="11"/>
        <color theme="1"/>
        <rFont val="ＭＳ Ｐゴシック"/>
        <family val="3"/>
        <charset val="128"/>
      </rPr>
      <t>原口</t>
    </r>
    <rPh sb="0" eb="1">
      <t>ハラ</t>
    </rPh>
    <rPh sb="1" eb="2">
      <t>クチ</t>
    </rPh>
    <phoneticPr fontId="1"/>
  </si>
  <si>
    <r>
      <rPr>
        <sz val="11"/>
        <color theme="1"/>
        <rFont val="ＭＳ Ｐゴシック"/>
        <family val="3"/>
        <charset val="128"/>
      </rPr>
      <t>片山</t>
    </r>
    <rPh sb="0" eb="2">
      <t>カタヤマ</t>
    </rPh>
    <phoneticPr fontId="1"/>
  </si>
  <si>
    <t>大瀬良 大地</t>
  </si>
  <si>
    <t>島内 颯太郎</t>
  </si>
  <si>
    <t>アドゥワ 誠</t>
  </si>
  <si>
    <t>羽月 隆太郎</t>
  </si>
  <si>
    <t>マクガフ</t>
  </si>
  <si>
    <t>齋藤 友貴哉</t>
  </si>
  <si>
    <t>打　率</t>
  </si>
  <si>
    <t>試　合</t>
  </si>
  <si>
    <t>打　席</t>
  </si>
  <si>
    <t>打　数</t>
  </si>
  <si>
    <t>安　打</t>
  </si>
  <si>
    <t>塁　打</t>
  </si>
  <si>
    <t>打　点</t>
  </si>
  <si>
    <t>得　点</t>
  </si>
  <si>
    <t>三　振</t>
  </si>
  <si>
    <t>四　球</t>
  </si>
  <si>
    <t>死　球</t>
  </si>
  <si>
    <t>犠　打</t>
  </si>
  <si>
    <t>犠　飛</t>
  </si>
  <si>
    <t>盗　塁</t>
  </si>
  <si>
    <t>長打率</t>
  </si>
  <si>
    <t>ＯＰＳ</t>
  </si>
  <si>
    <t>得点圏</t>
  </si>
  <si>
    <t>失　策</t>
  </si>
  <si>
    <t>曽根 海成</t>
  </si>
  <si>
    <t>上本 崇司</t>
  </si>
  <si>
    <t>鈴木 誠也</t>
  </si>
  <si>
    <t>田中 広輔</t>
  </si>
  <si>
    <t>堂林 翔太</t>
  </si>
  <si>
    <t>中村 奨成</t>
  </si>
  <si>
    <t>會澤 翼</t>
  </si>
  <si>
    <t>坂倉 将吾</t>
  </si>
  <si>
    <t>菊池 涼介</t>
  </si>
  <si>
    <t>野間 峻祥</t>
  </si>
  <si>
    <t>宇草 孔基</t>
  </si>
  <si>
    <t>磯村 嘉孝</t>
  </si>
  <si>
    <t>林 晃汰</t>
  </si>
  <si>
    <t>小園 海斗</t>
  </si>
  <si>
    <t>韮澤 雄也</t>
  </si>
  <si>
    <t>松山 竜平</t>
  </si>
  <si>
    <t>大盛 穂</t>
  </si>
  <si>
    <t>矢野 雅哉</t>
  </si>
  <si>
    <t>石原 貴規</t>
  </si>
  <si>
    <t>二俣 翔一</t>
  </si>
  <si>
    <t>持丸 泰輝</t>
  </si>
  <si>
    <t>九里 亜蓮</t>
  </si>
  <si>
    <t>大道 温貴</t>
  </si>
  <si>
    <t>森浦 大輔</t>
  </si>
  <si>
    <t>岡田 明丈</t>
  </si>
  <si>
    <t>森下 暢仁</t>
  </si>
  <si>
    <t>野村 祐輔</t>
  </si>
  <si>
    <t>栗林 良吏</t>
  </si>
  <si>
    <t>床田 寛樹</t>
  </si>
  <si>
    <t>ケムナ 誠</t>
  </si>
  <si>
    <t>高橋 昂也</t>
  </si>
  <si>
    <t>塹江 敦哉</t>
  </si>
  <si>
    <t>矢崎 拓也</t>
  </si>
  <si>
    <t>小林 樹斗</t>
  </si>
  <si>
    <t>玉村 昇悟</t>
  </si>
  <si>
    <t>遠藤 淳志</t>
  </si>
  <si>
    <t>佐々木 健</t>
  </si>
  <si>
    <t>近藤 健介</t>
  </si>
  <si>
    <t>中島 卓也</t>
  </si>
  <si>
    <t>清水 優心</t>
  </si>
  <si>
    <t>松本 剛</t>
  </si>
  <si>
    <t>生田目 翼</t>
  </si>
  <si>
    <t>加藤 貴之</t>
  </si>
  <si>
    <t>上沢 直之</t>
  </si>
  <si>
    <t>伊藤 大海</t>
  </si>
  <si>
    <t>上原 健太</t>
  </si>
  <si>
    <t>野村 佑希</t>
  </si>
  <si>
    <t>宮西 尚生</t>
  </si>
  <si>
    <t>淺間 大基</t>
  </si>
  <si>
    <t>古川 裕大</t>
  </si>
  <si>
    <t>河野 竜生</t>
  </si>
  <si>
    <t>堀 瑞輝</t>
  </si>
  <si>
    <t>柿木 蓮</t>
  </si>
  <si>
    <t>石井 一成</t>
  </si>
  <si>
    <t>福田 俊</t>
  </si>
  <si>
    <t>田中 瑛斗</t>
  </si>
  <si>
    <t>鈴木 健矢</t>
  </si>
  <si>
    <t>石川 直也</t>
  </si>
  <si>
    <t>池田 隆英</t>
  </si>
  <si>
    <t>玉井 大翔</t>
  </si>
  <si>
    <t>細川 凌平</t>
  </si>
  <si>
    <t>根本 悠楓</t>
  </si>
  <si>
    <t>郡 拓也</t>
  </si>
  <si>
    <t>今川 優馬</t>
  </si>
  <si>
    <t>北浦 竜次</t>
  </si>
  <si>
    <t>田宮 裕涼</t>
  </si>
  <si>
    <t>万波 中正</t>
  </si>
  <si>
    <t>出塁率</t>
    <rPh sb="0" eb="3">
      <t>シュツルイリツ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</si>
  <si>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</si>
  <si>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</si>
  <si>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</si>
  <si>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松井 裕樹</t>
  </si>
  <si>
    <t>太田 光</t>
  </si>
  <si>
    <t>浅村 栄斗</t>
  </si>
  <si>
    <t>鈴木 大地</t>
  </si>
  <si>
    <t>辰己 涼介</t>
  </si>
  <si>
    <t>岸 孝之</t>
  </si>
  <si>
    <t>森原 康平</t>
  </si>
  <si>
    <t>則本 昂大</t>
  </si>
  <si>
    <t>涌井 秀章</t>
  </si>
  <si>
    <t>田中 将大</t>
  </si>
  <si>
    <t>早川 隆久</t>
  </si>
  <si>
    <t>弓削 隼人</t>
  </si>
  <si>
    <t>黒川 史陽</t>
  </si>
  <si>
    <t>田中 和基</t>
  </si>
  <si>
    <t>岡島 豪郎</t>
  </si>
  <si>
    <t>酒居 知史</t>
  </si>
  <si>
    <t>高田 孝一</t>
  </si>
  <si>
    <t>島内 宏明</t>
  </si>
  <si>
    <t>宋 家豪</t>
  </si>
  <si>
    <t>藤井 聖</t>
  </si>
  <si>
    <t>渡辺 佳明</t>
  </si>
  <si>
    <t>武藤 敦貴</t>
  </si>
  <si>
    <t>小郷 裕哉</t>
  </si>
  <si>
    <t>鈴木 翔天</t>
  </si>
  <si>
    <t>瀧中 瞭太</t>
  </si>
  <si>
    <t>辛島 航</t>
  </si>
  <si>
    <t>西口 直人</t>
  </si>
  <si>
    <t>入江 大樹</t>
  </si>
  <si>
    <t>堀内 謙伍</t>
  </si>
  <si>
    <t>村林 一輝</t>
  </si>
  <si>
    <t>内 星龍</t>
  </si>
  <si>
    <t>石原 彪</t>
  </si>
  <si>
    <t>水上 桂</t>
  </si>
  <si>
    <t>若月 健矢</t>
  </si>
  <si>
    <t>安達 了一</t>
  </si>
  <si>
    <t>西野 真弘</t>
  </si>
  <si>
    <t>宗 佑磨</t>
  </si>
  <si>
    <t>後藤 駿太</t>
  </si>
  <si>
    <t>宮城 大弥</t>
  </si>
  <si>
    <t>平野 佳寿</t>
  </si>
  <si>
    <t>山本 由伸</t>
  </si>
  <si>
    <t>山岡 泰輔</t>
  </si>
  <si>
    <t>村西 良太</t>
  </si>
  <si>
    <t>伏見 寅威</t>
  </si>
  <si>
    <t>元 謙太</t>
  </si>
  <si>
    <t>富山 凌雅</t>
  </si>
  <si>
    <t>田嶋 大樹</t>
  </si>
  <si>
    <t>太田 椋</t>
  </si>
  <si>
    <t>比嘉 幹貴</t>
  </si>
  <si>
    <t>山足 達也</t>
  </si>
  <si>
    <t>中川 颯</t>
  </si>
  <si>
    <t>来田 涼斗</t>
  </si>
  <si>
    <t>佐野 皓大</t>
  </si>
  <si>
    <t>前 佑囲斗</t>
  </si>
  <si>
    <t>頓宮 裕真</t>
  </si>
  <si>
    <t>阿部 翔太</t>
  </si>
  <si>
    <t>本田 仁海</t>
  </si>
  <si>
    <t>海田 智行</t>
  </si>
  <si>
    <t>齋藤 綱記</t>
  </si>
  <si>
    <t>澤田 圭佑</t>
  </si>
  <si>
    <t>小田 裕也</t>
  </si>
  <si>
    <t>宜保 翔</t>
  </si>
  <si>
    <t>山田 修義</t>
  </si>
  <si>
    <t>漆原 大晟</t>
  </si>
  <si>
    <t>吉田 凌</t>
  </si>
  <si>
    <t>中川 圭太</t>
  </si>
  <si>
    <t>佐藤 一磨</t>
  </si>
  <si>
    <t>中田 惟斗</t>
  </si>
  <si>
    <t>荻野 貴司</t>
  </si>
  <si>
    <t>角中 勝也</t>
  </si>
  <si>
    <t>藤岡 裕大</t>
  </si>
  <si>
    <t>安田 尚憲</t>
  </si>
  <si>
    <t>中村 奨吾</t>
  </si>
  <si>
    <t>石川 歩</t>
  </si>
  <si>
    <t>平沢 大河</t>
  </si>
  <si>
    <t>美馬 学</t>
  </si>
  <si>
    <t>種市 篤暉</t>
  </si>
  <si>
    <t>二木 康太</t>
  </si>
  <si>
    <t>唐川 侑己</t>
  </si>
  <si>
    <t>東條 大樹</t>
  </si>
  <si>
    <t>田村 龍弘</t>
  </si>
  <si>
    <t>東妻 勇輔</t>
  </si>
  <si>
    <t>岡 大海</t>
  </si>
  <si>
    <t>西野 勇士</t>
  </si>
  <si>
    <t>菅野 剛士</t>
  </si>
  <si>
    <t>土肥 星也</t>
  </si>
  <si>
    <t>鈴木 昭汰</t>
  </si>
  <si>
    <t>小野 郁</t>
  </si>
  <si>
    <t>井上 晴哉</t>
  </si>
  <si>
    <t>岩下 大輝</t>
  </si>
  <si>
    <t>中村 稔弥</t>
  </si>
  <si>
    <t>山口 航輝</t>
  </si>
  <si>
    <t>益田 直也</t>
  </si>
  <si>
    <t>中森 俊介</t>
  </si>
  <si>
    <t>小川 龍成</t>
  </si>
  <si>
    <t>河村 説人</t>
  </si>
  <si>
    <t>横山 陸人</t>
  </si>
  <si>
    <t>古谷 拓郎</t>
  </si>
  <si>
    <t>茶谷 健太</t>
  </si>
  <si>
    <t>西巻 賢二</t>
  </si>
  <si>
    <t>柿沼 友哉</t>
  </si>
  <si>
    <t>植田 将太</t>
  </si>
  <si>
    <t>栗山 巧</t>
  </si>
  <si>
    <t>岡田 雅利</t>
  </si>
  <si>
    <t>山川 穂高</t>
  </si>
  <si>
    <t>山野辺 翔</t>
  </si>
  <si>
    <t>外崎 修汰</t>
  </si>
  <si>
    <t>源田 壮亮</t>
  </si>
  <si>
    <t>金子 侑司</t>
  </si>
  <si>
    <t>渡部 健人</t>
  </si>
  <si>
    <t>森 友哉</t>
  </si>
  <si>
    <t>今井 達也</t>
  </si>
  <si>
    <t>髙橋 光成</t>
  </si>
  <si>
    <t>増田 達至</t>
  </si>
  <si>
    <t>松本 航</t>
  </si>
  <si>
    <t>浜屋 将太</t>
  </si>
  <si>
    <t>平井 克典</t>
  </si>
  <si>
    <t>森脇 亮介</t>
  </si>
  <si>
    <t>山村 崇嘉</t>
  </si>
  <si>
    <t>若林 楽人</t>
  </si>
  <si>
    <t>柘植 世那</t>
  </si>
  <si>
    <t>牧野 翔矢</t>
  </si>
  <si>
    <t>呉 念庭</t>
  </si>
  <si>
    <t>井上 広輝</t>
  </si>
  <si>
    <t>與座 海人</t>
  </si>
  <si>
    <t>本田 圭佑</t>
  </si>
  <si>
    <t>鈴木 将平</t>
  </si>
  <si>
    <t>西川 愛也</t>
  </si>
  <si>
    <t>山田 遥楓</t>
  </si>
  <si>
    <t>川野 涼多</t>
  </si>
  <si>
    <t>大曲 錬</t>
  </si>
  <si>
    <t>中村 剛也</t>
  </si>
  <si>
    <t>平良 海馬</t>
  </si>
  <si>
    <t>岸 潤一郎</t>
  </si>
  <si>
    <t>川越 誠司</t>
  </si>
  <si>
    <t>高木 渉</t>
  </si>
  <si>
    <t>齊藤 誠人</t>
  </si>
  <si>
    <t>川瀬 晃</t>
  </si>
  <si>
    <t>松田 宣浩</t>
  </si>
  <si>
    <t>今宮 健太</t>
  </si>
  <si>
    <t>中村 晃</t>
  </si>
  <si>
    <t>柳田 悠岐</t>
  </si>
  <si>
    <t>津森 宥紀</t>
  </si>
  <si>
    <t>二保 旭</t>
  </si>
  <si>
    <t>東浜 巨</t>
  </si>
  <si>
    <t>武田 翔太</t>
  </si>
  <si>
    <t>甲斐 拓也</t>
  </si>
  <si>
    <t>甲斐野 央</t>
  </si>
  <si>
    <t>和田 毅</t>
  </si>
  <si>
    <t>牧原 巧汰</t>
  </si>
  <si>
    <t>周東 佑京</t>
  </si>
  <si>
    <t>石川 柊太</t>
  </si>
  <si>
    <t>佐藤 直樹</t>
  </si>
  <si>
    <t>柳町 達</t>
  </si>
  <si>
    <t>牧原 大成</t>
  </si>
  <si>
    <t>森 唯斗</t>
  </si>
  <si>
    <t>尾形 崇斗</t>
  </si>
  <si>
    <t>杉山 一樹</t>
  </si>
  <si>
    <t>井上 朋也</t>
  </si>
  <si>
    <t>笹川 吉康</t>
  </si>
  <si>
    <t>板東 湧梧</t>
  </si>
  <si>
    <t>上林 誠知</t>
  </si>
  <si>
    <t>泉 圭輔</t>
  </si>
  <si>
    <t>野村 大樹</t>
  </si>
  <si>
    <t>田浦 文丸</t>
  </si>
  <si>
    <t>奥村 政稔</t>
  </si>
  <si>
    <t>海野 隆司</t>
  </si>
  <si>
    <t>九鬼 隆平</t>
  </si>
  <si>
    <t>松本 裕樹</t>
  </si>
  <si>
    <t>笠谷 俊介</t>
  </si>
  <si>
    <t>三森 大貴</t>
  </si>
  <si>
    <t>小林 珠維</t>
  </si>
  <si>
    <t>田上 奏大</t>
  </si>
  <si>
    <t>髙松 渡</t>
  </si>
  <si>
    <t>京田 陽太</t>
  </si>
  <si>
    <t>石川 昂弥</t>
  </si>
  <si>
    <t>高橋 周平</t>
  </si>
  <si>
    <t>阿部 寿樹</t>
  </si>
  <si>
    <t>根尾 昂</t>
  </si>
  <si>
    <t>大島 洋平</t>
  </si>
  <si>
    <t>田島 慎二</t>
  </si>
  <si>
    <t>橋本 侑樹</t>
  </si>
  <si>
    <t>柳 裕也</t>
  </si>
  <si>
    <t>梅津 晃大</t>
  </si>
  <si>
    <t>高橋 宏斗</t>
  </si>
  <si>
    <t>岡田 俊哉</t>
  </si>
  <si>
    <t>福谷 浩司</t>
  </si>
  <si>
    <t>森 博人</t>
  </si>
  <si>
    <t>三好 大倫</t>
  </si>
  <si>
    <t>石垣 雅海</t>
  </si>
  <si>
    <t>福 敬登</t>
  </si>
  <si>
    <t>木下 拓哉</t>
  </si>
  <si>
    <t>松葉 貴大</t>
  </si>
  <si>
    <t>勝野 昌慶</t>
  </si>
  <si>
    <t>郡司 裕也</t>
  </si>
  <si>
    <t>鈴木 博志</t>
  </si>
  <si>
    <t>清水 達也</t>
  </si>
  <si>
    <t>藤嶋 健人</t>
  </si>
  <si>
    <t>石橋 康太</t>
  </si>
  <si>
    <t>山本 拓実</t>
  </si>
  <si>
    <t>岡林 勇希</t>
  </si>
  <si>
    <t>加藤 翼</t>
  </si>
  <si>
    <t>山本 泰寛</t>
  </si>
  <si>
    <t>木浪 聖也</t>
  </si>
  <si>
    <t>大山 悠輔</t>
  </si>
  <si>
    <t>熊谷 敬宥</t>
  </si>
  <si>
    <t>近本 光司</t>
  </si>
  <si>
    <t>佐藤 輝明</t>
  </si>
  <si>
    <t>岩崎 優</t>
  </si>
  <si>
    <t>西 純矢</t>
  </si>
  <si>
    <t>西 勇輝</t>
  </si>
  <si>
    <t>岩貞 祐太</t>
  </si>
  <si>
    <t>馬場 皐輔</t>
  </si>
  <si>
    <t>江越 大賀</t>
  </si>
  <si>
    <t>伊藤 将司</t>
  </si>
  <si>
    <t>小野 泰己</t>
  </si>
  <si>
    <t>髙橋 遥人</t>
  </si>
  <si>
    <t>佐藤 蓮</t>
  </si>
  <si>
    <t>井上 広大</t>
  </si>
  <si>
    <t>糸原 健斗</t>
  </si>
  <si>
    <t>浜地 真澄</t>
  </si>
  <si>
    <t>及川 雅貴</t>
  </si>
  <si>
    <t>小幡 竜平</t>
  </si>
  <si>
    <t>榮枝 裕貴</t>
  </si>
  <si>
    <t>村上 頌樹</t>
  </si>
  <si>
    <t>遠藤 成</t>
  </si>
  <si>
    <t>秋山 拓巳</t>
  </si>
  <si>
    <t>川原 陸</t>
  </si>
  <si>
    <t>青柳 晃洋</t>
  </si>
  <si>
    <t>中野 拓夢</t>
  </si>
  <si>
    <t>島田 海吏</t>
  </si>
  <si>
    <t>加治屋 蓮</t>
  </si>
  <si>
    <t>陽川 尚将</t>
  </si>
  <si>
    <t>長坂 拳弥</t>
  </si>
  <si>
    <t>藤田 健斗</t>
  </si>
  <si>
    <t>植田 海</t>
  </si>
  <si>
    <t>湯浅 京己</t>
  </si>
  <si>
    <t>小川 一平</t>
  </si>
  <si>
    <t>髙寺 望夢</t>
  </si>
  <si>
    <t>石井 大智</t>
  </si>
  <si>
    <t>原口 文仁</t>
  </si>
  <si>
    <t>片山 雄哉</t>
  </si>
  <si>
    <t>島本 浩也</t>
  </si>
  <si>
    <t>才木 浩人</t>
  </si>
  <si>
    <t>岩田 将貴</t>
  </si>
  <si>
    <t>小野寺 暖</t>
  </si>
  <si>
    <t>桑原 将志</t>
  </si>
  <si>
    <t>牧 秀悟</t>
  </si>
  <si>
    <t>森 敬斗</t>
  </si>
  <si>
    <t>佐野 恵太</t>
  </si>
  <si>
    <t>神里 和毅</t>
  </si>
  <si>
    <t>戸柱 恭孝</t>
  </si>
  <si>
    <t>東 克樹</t>
  </si>
  <si>
    <t>伊勢 大夢</t>
  </si>
  <si>
    <t>石田 健大</t>
  </si>
  <si>
    <t>大貫 晋一</t>
  </si>
  <si>
    <t>三嶋 一輝</t>
  </si>
  <si>
    <t>山﨑 康晃</t>
  </si>
  <si>
    <t>坂本 裕哉</t>
  </si>
  <si>
    <t>入江 大生</t>
  </si>
  <si>
    <t>濵口 遥大</t>
  </si>
  <si>
    <t>伊藤 光</t>
  </si>
  <si>
    <t>柴田 竜拓</t>
  </si>
  <si>
    <t>益子 京右</t>
  </si>
  <si>
    <t>楠本 泰史</t>
  </si>
  <si>
    <t>嶺井 博希</t>
  </si>
  <si>
    <t>櫻井 周斗</t>
  </si>
  <si>
    <t>砂田 毅樹</t>
  </si>
  <si>
    <t>京山 将弥</t>
  </si>
  <si>
    <t>山本 祐大</t>
  </si>
  <si>
    <t>宮﨑 敏郎</t>
  </si>
  <si>
    <t>細川 成也</t>
  </si>
  <si>
    <t>髙田 琢登</t>
  </si>
  <si>
    <t>東妻 純平</t>
  </si>
  <si>
    <t>知野 直人</t>
  </si>
  <si>
    <t>蝦名 達夫</t>
  </si>
  <si>
    <t>関根 大気</t>
  </si>
  <si>
    <t>国吉 佑樹</t>
  </si>
  <si>
    <t>加藤翔</t>
    <rPh sb="0" eb="1">
      <t>カ</t>
    </rPh>
    <rPh sb="1" eb="2">
      <t>フジ</t>
    </rPh>
    <rPh sb="2" eb="3">
      <t>ショウ</t>
    </rPh>
    <phoneticPr fontId="1"/>
  </si>
  <si>
    <t>髙部</t>
    <rPh sb="0" eb="2">
      <t>タカベ</t>
    </rPh>
    <phoneticPr fontId="1"/>
  </si>
  <si>
    <t>水上 由伸</t>
    <phoneticPr fontId="1"/>
  </si>
  <si>
    <t>中村剛</t>
    <rPh sb="0" eb="1">
      <t>ナカ</t>
    </rPh>
    <rPh sb="1" eb="2">
      <t>ムラ</t>
    </rPh>
    <rPh sb="2" eb="3">
      <t>ゴウ</t>
    </rPh>
    <phoneticPr fontId="1"/>
  </si>
  <si>
    <t>加藤 匠馬</t>
  </si>
  <si>
    <t>髙部 瑛斗</t>
    <rPh sb="0" eb="1">
      <t>タカ</t>
    </rPh>
    <phoneticPr fontId="1"/>
  </si>
  <si>
    <t>国吉</t>
    <rPh sb="0" eb="2">
      <t>クニヨシ</t>
    </rPh>
    <phoneticPr fontId="1"/>
  </si>
  <si>
    <t>本前</t>
    <rPh sb="0" eb="2">
      <t>モトマエ</t>
    </rPh>
    <phoneticPr fontId="1"/>
  </si>
  <si>
    <t>本前 郁也</t>
    <phoneticPr fontId="1"/>
  </si>
  <si>
    <t>岩崎</t>
  </si>
  <si>
    <t>森木</t>
  </si>
  <si>
    <t>桐敷</t>
  </si>
  <si>
    <t>前川</t>
  </si>
  <si>
    <t>豊田</t>
  </si>
  <si>
    <t>岡留</t>
  </si>
  <si>
    <t>森木 大智</t>
  </si>
  <si>
    <t>鈴木 勇斗</t>
  </si>
  <si>
    <t>桐敷 拓馬</t>
  </si>
  <si>
    <t>前川 右京</t>
  </si>
  <si>
    <t>豊田 寛</t>
  </si>
  <si>
    <t>岡留 英貴</t>
  </si>
  <si>
    <t>中川 勇斗</t>
  </si>
  <si>
    <t>伊藤 稜</t>
  </si>
  <si>
    <t>黒原</t>
  </si>
  <si>
    <t>ケムナ</t>
  </si>
  <si>
    <t>アドゥワ</t>
  </si>
  <si>
    <t>中村健</t>
  </si>
  <si>
    <t>末包</t>
  </si>
  <si>
    <t>髙木</t>
  </si>
  <si>
    <t>コルニエル</t>
  </si>
  <si>
    <t>二俣</t>
  </si>
  <si>
    <t>坂田</t>
  </si>
  <si>
    <t>持丸</t>
  </si>
  <si>
    <t>新家</t>
  </si>
  <si>
    <t>森 翔平</t>
  </si>
  <si>
    <t>黒原 拓未</t>
  </si>
  <si>
    <t>松本 竜也</t>
  </si>
  <si>
    <t>中村 健人</t>
  </si>
  <si>
    <t>末包 昇大</t>
  </si>
  <si>
    <t>田村 俊介</t>
  </si>
  <si>
    <t>髙木 翔斗</t>
  </si>
  <si>
    <t>坂田 怜</t>
  </si>
  <si>
    <t>新家 颯</t>
  </si>
  <si>
    <t>前川 誠太</t>
  </si>
  <si>
    <t>017</t>
  </si>
  <si>
    <t>ティマ</t>
  </si>
  <si>
    <t>立岡 宗一郎</t>
    <phoneticPr fontId="1"/>
  </si>
  <si>
    <t>畠 世周</t>
    <phoneticPr fontId="1"/>
  </si>
  <si>
    <t>花田 侑樹</t>
    <phoneticPr fontId="1"/>
  </si>
  <si>
    <t>萩原 哲</t>
    <phoneticPr fontId="1"/>
  </si>
  <si>
    <t>戸田 懐生</t>
    <phoneticPr fontId="1"/>
  </si>
  <si>
    <t>加藤 廉</t>
    <phoneticPr fontId="1"/>
  </si>
  <si>
    <t>鈴木 大和</t>
    <phoneticPr fontId="1"/>
  </si>
  <si>
    <t>笹原 操希</t>
    <phoneticPr fontId="1"/>
  </si>
  <si>
    <t>大津 綾也</t>
    <phoneticPr fontId="1"/>
  </si>
  <si>
    <t>笠島 尚樹</t>
    <phoneticPr fontId="1"/>
  </si>
  <si>
    <t>川嵜 陽仁</t>
    <phoneticPr fontId="1"/>
  </si>
  <si>
    <t>木下 幹也</t>
    <phoneticPr fontId="1"/>
  </si>
  <si>
    <t>亀田 啓太</t>
    <phoneticPr fontId="1"/>
  </si>
  <si>
    <t>前田 研輝</t>
    <phoneticPr fontId="1"/>
  </si>
  <si>
    <t>岡本 大翔</t>
    <phoneticPr fontId="1"/>
  </si>
  <si>
    <t>富田 龍</t>
    <phoneticPr fontId="1"/>
  </si>
  <si>
    <t>山﨑 友輔</t>
    <phoneticPr fontId="1"/>
  </si>
  <si>
    <t>鴨打 瑛二</t>
    <phoneticPr fontId="1"/>
  </si>
  <si>
    <t>伊藤 優輔</t>
    <phoneticPr fontId="1"/>
  </si>
  <si>
    <t>坂本勇人</t>
    <phoneticPr fontId="1"/>
  </si>
  <si>
    <t>笹原</t>
    <phoneticPr fontId="1"/>
  </si>
  <si>
    <t>大津</t>
    <phoneticPr fontId="1"/>
  </si>
  <si>
    <t>笠島</t>
    <phoneticPr fontId="1"/>
  </si>
  <si>
    <t>京本</t>
    <phoneticPr fontId="1"/>
  </si>
  <si>
    <t>川嵜</t>
    <phoneticPr fontId="1"/>
  </si>
  <si>
    <t>髙田</t>
    <phoneticPr fontId="1"/>
  </si>
  <si>
    <t>木下</t>
    <phoneticPr fontId="1"/>
  </si>
  <si>
    <t>亀田</t>
    <phoneticPr fontId="1"/>
  </si>
  <si>
    <t>岡本大</t>
    <phoneticPr fontId="1"/>
  </si>
  <si>
    <t>富田</t>
    <phoneticPr fontId="1"/>
  </si>
  <si>
    <t>山﨑友</t>
    <phoneticPr fontId="1"/>
  </si>
  <si>
    <t>鴨打</t>
    <phoneticPr fontId="1"/>
  </si>
  <si>
    <t>喜多</t>
    <rPh sb="0" eb="2">
      <t>キタ</t>
    </rPh>
    <phoneticPr fontId="1"/>
  </si>
  <si>
    <t>並木 秀尊</t>
    <phoneticPr fontId="1"/>
  </si>
  <si>
    <t>山田 哲人</t>
    <phoneticPr fontId="1"/>
  </si>
  <si>
    <t>丸山 和郁</t>
    <phoneticPr fontId="1"/>
  </si>
  <si>
    <t>川端 慎吾</t>
    <phoneticPr fontId="1"/>
  </si>
  <si>
    <t>塩見 泰隆</t>
    <phoneticPr fontId="1"/>
  </si>
  <si>
    <t>奥川 恭伸</t>
    <phoneticPr fontId="1"/>
  </si>
  <si>
    <t>石山 泰稚</t>
    <phoneticPr fontId="1"/>
  </si>
  <si>
    <t>高梨 裕稔</t>
    <phoneticPr fontId="1"/>
  </si>
  <si>
    <t>山下 輝</t>
    <phoneticPr fontId="1"/>
  </si>
  <si>
    <t>原 樹理</t>
    <phoneticPr fontId="1"/>
  </si>
  <si>
    <t>清水 昇</t>
    <phoneticPr fontId="1"/>
  </si>
  <si>
    <t>石川 雅規</t>
    <phoneticPr fontId="1"/>
  </si>
  <si>
    <t>木澤 尚文</t>
    <phoneticPr fontId="1"/>
  </si>
  <si>
    <t>青木 宣親</t>
    <phoneticPr fontId="1"/>
  </si>
  <si>
    <t>星 知弥</t>
    <phoneticPr fontId="1"/>
  </si>
  <si>
    <t>中村 悠平</t>
    <phoneticPr fontId="1"/>
  </si>
  <si>
    <t>小川 泰弘</t>
    <phoneticPr fontId="1"/>
  </si>
  <si>
    <t>西田 明央</t>
    <phoneticPr fontId="1"/>
  </si>
  <si>
    <t>山崎 晃大朗</t>
    <phoneticPr fontId="1"/>
  </si>
  <si>
    <t>松本 直樹</t>
    <phoneticPr fontId="1"/>
  </si>
  <si>
    <t>内山 壮真</t>
    <phoneticPr fontId="1"/>
  </si>
  <si>
    <t>田口 麗斗</t>
    <phoneticPr fontId="1"/>
  </si>
  <si>
    <t>宮本 丈</t>
    <phoneticPr fontId="1"/>
  </si>
  <si>
    <t>柴田 大地</t>
    <phoneticPr fontId="1"/>
  </si>
  <si>
    <t>大西 広樹</t>
    <phoneticPr fontId="1"/>
  </si>
  <si>
    <t>太田 賢吾</t>
    <phoneticPr fontId="1"/>
  </si>
  <si>
    <t>高橋 奎二</t>
    <phoneticPr fontId="1"/>
  </si>
  <si>
    <t>金久保 優斗</t>
    <phoneticPr fontId="1"/>
  </si>
  <si>
    <t>濱田 太貴</t>
    <phoneticPr fontId="1"/>
  </si>
  <si>
    <t>近藤 弘樹</t>
    <phoneticPr fontId="1"/>
  </si>
  <si>
    <t>長谷川 宙輝</t>
    <phoneticPr fontId="1"/>
  </si>
  <si>
    <t>村上 宗隆</t>
    <phoneticPr fontId="1"/>
  </si>
  <si>
    <t>古賀 優大</t>
    <phoneticPr fontId="1"/>
  </si>
  <si>
    <t>長岡 秀樹</t>
    <phoneticPr fontId="1"/>
  </si>
  <si>
    <t>小森 航大郎</t>
    <phoneticPr fontId="1"/>
  </si>
  <si>
    <t>武岡 龍世</t>
    <phoneticPr fontId="1"/>
  </si>
  <si>
    <t>竹山 日向</t>
    <phoneticPr fontId="1"/>
  </si>
  <si>
    <t>嘉手苅 浩太</t>
    <phoneticPr fontId="1"/>
  </si>
  <si>
    <t>今野 龍太</t>
    <phoneticPr fontId="1"/>
  </si>
  <si>
    <t>小澤 怜史</t>
    <phoneticPr fontId="1"/>
  </si>
  <si>
    <t>丸山 翔大</t>
    <phoneticPr fontId="1"/>
  </si>
  <si>
    <t>下 慎之介</t>
    <phoneticPr fontId="1"/>
  </si>
  <si>
    <t>岩田 幸宏</t>
    <phoneticPr fontId="1"/>
  </si>
  <si>
    <t>丸山和</t>
    <rPh sb="0" eb="2">
      <t>マルヤマ</t>
    </rPh>
    <rPh sb="2" eb="3">
      <t>ワ</t>
    </rPh>
    <phoneticPr fontId="1"/>
  </si>
  <si>
    <t>柴田</t>
    <rPh sb="0" eb="2">
      <t>シバタ</t>
    </rPh>
    <phoneticPr fontId="1"/>
  </si>
  <si>
    <t>小森</t>
    <rPh sb="0" eb="2">
      <t>コモリ</t>
    </rPh>
    <phoneticPr fontId="1"/>
  </si>
  <si>
    <t>竹山</t>
    <rPh sb="0" eb="2">
      <t>タケヤマ</t>
    </rPh>
    <phoneticPr fontId="1"/>
  </si>
  <si>
    <t>丸山翔</t>
    <rPh sb="0" eb="2">
      <t>マルヤマ</t>
    </rPh>
    <rPh sb="2" eb="3">
      <t>ショウ</t>
    </rPh>
    <phoneticPr fontId="1"/>
  </si>
  <si>
    <t>下</t>
    <rPh sb="0" eb="1">
      <t>シタ</t>
    </rPh>
    <phoneticPr fontId="1"/>
  </si>
  <si>
    <t>松井</t>
    <rPh sb="0" eb="2">
      <t>マツイ</t>
    </rPh>
    <phoneticPr fontId="1"/>
  </si>
  <si>
    <t>勝又</t>
    <phoneticPr fontId="1"/>
  </si>
  <si>
    <t>宮國 椋丞</t>
    <phoneticPr fontId="1"/>
  </si>
  <si>
    <t>徳山</t>
    <rPh sb="0" eb="2">
      <t>トクヤマ</t>
    </rPh>
    <phoneticPr fontId="1"/>
  </si>
  <si>
    <t>深沢</t>
    <rPh sb="0" eb="2">
      <t>フカザワ</t>
    </rPh>
    <phoneticPr fontId="1"/>
  </si>
  <si>
    <t>梶原</t>
    <rPh sb="0" eb="2">
      <t>カジワラ</t>
    </rPh>
    <phoneticPr fontId="1"/>
  </si>
  <si>
    <t>中川虎</t>
    <rPh sb="0" eb="2">
      <t>ナカガワ</t>
    </rPh>
    <rPh sb="2" eb="3">
      <t>トラ</t>
    </rPh>
    <phoneticPr fontId="1"/>
  </si>
  <si>
    <t>鵜飼</t>
    <rPh sb="0" eb="2">
      <t>ウカイ</t>
    </rPh>
    <phoneticPr fontId="1"/>
  </si>
  <si>
    <t>石森</t>
    <rPh sb="0" eb="2">
      <t>イシモリ</t>
    </rPh>
    <phoneticPr fontId="1"/>
  </si>
  <si>
    <t>味谷</t>
    <rPh sb="0" eb="1">
      <t>アジ</t>
    </rPh>
    <rPh sb="1" eb="2">
      <t>タニ</t>
    </rPh>
    <phoneticPr fontId="1"/>
  </si>
  <si>
    <t>舟越 秀虎</t>
    <phoneticPr fontId="1"/>
  </si>
  <si>
    <t>渡邉 陸</t>
    <phoneticPr fontId="1"/>
  </si>
  <si>
    <t>又吉 克樹</t>
    <phoneticPr fontId="1"/>
  </si>
  <si>
    <t>栗原 陵矢</t>
    <phoneticPr fontId="1"/>
  </si>
  <si>
    <t>正木 智也</t>
    <phoneticPr fontId="1"/>
  </si>
  <si>
    <t>藤井 皓哉</t>
    <phoneticPr fontId="1"/>
  </si>
  <si>
    <t>木村 大成</t>
    <phoneticPr fontId="1"/>
  </si>
  <si>
    <t>風間</t>
    <rPh sb="0" eb="2">
      <t>カザマ</t>
    </rPh>
    <phoneticPr fontId="1"/>
  </si>
  <si>
    <t>又吉</t>
    <rPh sb="0" eb="2">
      <t>マタヨシ</t>
    </rPh>
    <phoneticPr fontId="1"/>
  </si>
  <si>
    <t>栗原</t>
    <rPh sb="0" eb="2">
      <t>クリハラ</t>
    </rPh>
    <phoneticPr fontId="1"/>
  </si>
  <si>
    <t>正木</t>
    <rPh sb="0" eb="2">
      <t>マサキ</t>
    </rPh>
    <phoneticPr fontId="1"/>
  </si>
  <si>
    <t>アルメンタ</t>
    <phoneticPr fontId="1"/>
  </si>
  <si>
    <t>加藤洸</t>
    <phoneticPr fontId="1"/>
  </si>
  <si>
    <t>加藤晴</t>
    <phoneticPr fontId="1"/>
  </si>
  <si>
    <t>髙橋光成</t>
  </si>
  <si>
    <t>隅田 知一郎</t>
    <phoneticPr fontId="1"/>
  </si>
  <si>
    <t>佐藤 隼輔</t>
    <phoneticPr fontId="1"/>
  </si>
  <si>
    <t>古賀 悠斗</t>
    <phoneticPr fontId="1"/>
  </si>
  <si>
    <t>平沼 翔太</t>
    <phoneticPr fontId="1"/>
  </si>
  <si>
    <t>羽田 慎之介</t>
    <phoneticPr fontId="1"/>
  </si>
  <si>
    <t>黒田 将矢</t>
    <phoneticPr fontId="1"/>
  </si>
  <si>
    <t>隅田</t>
    <rPh sb="0" eb="2">
      <t>スミダ</t>
    </rPh>
    <phoneticPr fontId="1"/>
  </si>
  <si>
    <t>平沼</t>
    <rPh sb="0" eb="2">
      <t>ヒラヌマ</t>
    </rPh>
    <phoneticPr fontId="1"/>
  </si>
  <si>
    <t>羽田</t>
    <rPh sb="0" eb="2">
      <t>ハネダ</t>
    </rPh>
    <phoneticPr fontId="1"/>
  </si>
  <si>
    <t>黒田</t>
    <rPh sb="0" eb="2">
      <t>クロダ</t>
    </rPh>
    <phoneticPr fontId="1"/>
  </si>
  <si>
    <t>石井</t>
    <rPh sb="0" eb="2">
      <t>イシイ</t>
    </rPh>
    <phoneticPr fontId="1"/>
  </si>
  <si>
    <t>池田 来翔</t>
    <phoneticPr fontId="1"/>
  </si>
  <si>
    <t>藤原 恭大</t>
    <phoneticPr fontId="1"/>
  </si>
  <si>
    <t>松川 虎生</t>
    <phoneticPr fontId="1"/>
  </si>
  <si>
    <t>小島 和哉</t>
    <phoneticPr fontId="1"/>
  </si>
  <si>
    <t>廣畑 敦也</t>
    <phoneticPr fontId="1"/>
  </si>
  <si>
    <t>八木 彬</t>
    <phoneticPr fontId="1"/>
  </si>
  <si>
    <t>秋山 正雲</t>
    <phoneticPr fontId="1"/>
  </si>
  <si>
    <t>小沼 健太</t>
    <phoneticPr fontId="1"/>
  </si>
  <si>
    <t>森 遼大朗</t>
    <phoneticPr fontId="1"/>
  </si>
  <si>
    <t>松川</t>
    <rPh sb="0" eb="2">
      <t>マツカワ</t>
    </rPh>
    <phoneticPr fontId="1"/>
  </si>
  <si>
    <t>小島</t>
    <rPh sb="0" eb="2">
      <t>オジマ</t>
    </rPh>
    <phoneticPr fontId="1"/>
  </si>
  <si>
    <t>廣畑</t>
    <rPh sb="0" eb="2">
      <t>ヒロハタ</t>
    </rPh>
    <phoneticPr fontId="1"/>
  </si>
  <si>
    <t>八木</t>
    <rPh sb="0" eb="2">
      <t>ヤギ</t>
    </rPh>
    <phoneticPr fontId="1"/>
  </si>
  <si>
    <t>秋山</t>
    <rPh sb="0" eb="2">
      <t>アキヤマ</t>
    </rPh>
    <phoneticPr fontId="1"/>
  </si>
  <si>
    <t>石田 駿</t>
    <phoneticPr fontId="1"/>
  </si>
  <si>
    <t>吉川 雄大</t>
    <phoneticPr fontId="1"/>
  </si>
  <si>
    <t>泰 勝利</t>
    <phoneticPr fontId="1"/>
  </si>
  <si>
    <t>安田 悠馬</t>
    <phoneticPr fontId="1"/>
  </si>
  <si>
    <t>西垣 雅矢</t>
    <phoneticPr fontId="1"/>
  </si>
  <si>
    <t>藤平 尚真</t>
    <phoneticPr fontId="1"/>
  </si>
  <si>
    <t>松井 友飛</t>
    <phoneticPr fontId="1"/>
  </si>
  <si>
    <t>田中 貴也</t>
    <phoneticPr fontId="1"/>
  </si>
  <si>
    <t>前田 銀治</t>
    <phoneticPr fontId="1"/>
  </si>
  <si>
    <t>吉野 創士</t>
    <phoneticPr fontId="1"/>
  </si>
  <si>
    <t>田中貴</t>
    <rPh sb="0" eb="2">
      <t>タナカ</t>
    </rPh>
    <rPh sb="2" eb="3">
      <t>タカ</t>
    </rPh>
    <phoneticPr fontId="1"/>
  </si>
  <si>
    <t>松井友</t>
    <rPh sb="0" eb="2">
      <t>マツイ</t>
    </rPh>
    <rPh sb="2" eb="3">
      <t>トモ</t>
    </rPh>
    <phoneticPr fontId="1"/>
  </si>
  <si>
    <t>藤平</t>
    <rPh sb="0" eb="2">
      <t>フジヒラ</t>
    </rPh>
    <phoneticPr fontId="1"/>
  </si>
  <si>
    <t>西垣</t>
    <rPh sb="0" eb="2">
      <t>ニシガキ</t>
    </rPh>
    <phoneticPr fontId="1"/>
  </si>
  <si>
    <t>安田</t>
    <rPh sb="0" eb="2">
      <t>ヤスダ</t>
    </rPh>
    <phoneticPr fontId="1"/>
  </si>
  <si>
    <t>泰</t>
    <rPh sb="0" eb="1">
      <t>タイ</t>
    </rPh>
    <phoneticPr fontId="1"/>
  </si>
  <si>
    <t>佐野如</t>
    <rPh sb="0" eb="2">
      <t>サノ</t>
    </rPh>
    <rPh sb="2" eb="3">
      <t>ゴト</t>
    </rPh>
    <phoneticPr fontId="1"/>
  </si>
  <si>
    <t>小木田</t>
    <rPh sb="0" eb="3">
      <t>オキダ</t>
    </rPh>
    <phoneticPr fontId="1"/>
  </si>
  <si>
    <t>佐野皓</t>
    <rPh sb="0" eb="2">
      <t>サノ</t>
    </rPh>
    <rPh sb="2" eb="3">
      <t>ヒロシ</t>
    </rPh>
    <phoneticPr fontId="1"/>
  </si>
  <si>
    <t>池田</t>
    <rPh sb="0" eb="2">
      <t>イケダ</t>
    </rPh>
    <phoneticPr fontId="1"/>
  </si>
  <si>
    <t>吉田正</t>
    <rPh sb="0" eb="2">
      <t>ヨシダ</t>
    </rPh>
    <rPh sb="2" eb="3">
      <t>タダシ</t>
    </rPh>
    <phoneticPr fontId="1"/>
  </si>
  <si>
    <t>渡部</t>
    <rPh sb="0" eb="2">
      <t>ワタベ</t>
    </rPh>
    <phoneticPr fontId="1"/>
  </si>
  <si>
    <t>ID</t>
    <phoneticPr fontId="1"/>
  </si>
  <si>
    <t>方向</t>
    <rPh sb="0" eb="2">
      <t>ホウコウ</t>
    </rPh>
    <phoneticPr fontId="1"/>
  </si>
  <si>
    <t>縦(上→下)</t>
  </si>
  <si>
    <t>チーム名
（メンバー）</t>
    <rPh sb="3" eb="4">
      <t>メイ</t>
    </rPh>
    <phoneticPr fontId="1"/>
  </si>
  <si>
    <t>下線</t>
    <rPh sb="0" eb="2">
      <t>カセン</t>
    </rPh>
    <phoneticPr fontId="1"/>
  </si>
  <si>
    <t>背景開始色</t>
    <rPh sb="0" eb="2">
      <t>ハイケイ</t>
    </rPh>
    <rPh sb="2" eb="4">
      <t>カイシ</t>
    </rPh>
    <rPh sb="4" eb="5">
      <t>イロ</t>
    </rPh>
    <phoneticPr fontId="1"/>
  </si>
  <si>
    <t>背景終了色</t>
    <rPh sb="0" eb="2">
      <t>ハイケイ</t>
    </rPh>
    <rPh sb="2" eb="4">
      <t>シュウリョウ</t>
    </rPh>
    <rPh sb="4" eb="5">
      <t>イロ</t>
    </rPh>
    <phoneticPr fontId="1"/>
  </si>
  <si>
    <t>守備位置
（標準）</t>
    <rPh sb="0" eb="4">
      <t>シュビイチ</t>
    </rPh>
    <rPh sb="6" eb="8">
      <t>ヒョウジュン</t>
    </rPh>
    <phoneticPr fontId="1"/>
  </si>
  <si>
    <t>名前
（標準）</t>
    <rPh sb="0" eb="2">
      <t>ナマエ</t>
    </rPh>
    <rPh sb="4" eb="6">
      <t>ヒョウジュン</t>
    </rPh>
    <phoneticPr fontId="1"/>
  </si>
  <si>
    <t>チーム名</t>
    <rPh sb="3" eb="4">
      <t>メイ</t>
    </rPh>
    <phoneticPr fontId="1"/>
  </si>
  <si>
    <t>開始色終了地点</t>
    <rPh sb="0" eb="3">
      <t>カイシショク</t>
    </rPh>
    <rPh sb="3" eb="5">
      <t>シュウリョウ</t>
    </rPh>
    <rPh sb="5" eb="7">
      <t>チテン</t>
    </rPh>
    <phoneticPr fontId="1"/>
  </si>
  <si>
    <t>終了色開始地点</t>
    <rPh sb="0" eb="2">
      <t>シュウリョウ</t>
    </rPh>
    <rPh sb="2" eb="3">
      <t>ショク</t>
    </rPh>
    <rPh sb="3" eb="5">
      <t>カイシ</t>
    </rPh>
    <rPh sb="5" eb="7">
      <t>チテン</t>
    </rPh>
    <phoneticPr fontId="1"/>
  </si>
  <si>
    <t>名前</t>
    <rPh sb="0" eb="2">
      <t>ナマエ</t>
    </rPh>
    <phoneticPr fontId="1"/>
  </si>
  <si>
    <t>守備位置
（打者）</t>
    <rPh sb="0" eb="4">
      <t>シュビイチ</t>
    </rPh>
    <rPh sb="6" eb="8">
      <t>ダシャ</t>
    </rPh>
    <phoneticPr fontId="1"/>
  </si>
  <si>
    <t>名前
（打者）</t>
    <rPh sb="0" eb="2">
      <t>ナマエ</t>
    </rPh>
    <rPh sb="4" eb="6">
      <t>ダシャ</t>
    </rPh>
    <phoneticPr fontId="1"/>
  </si>
  <si>
    <t>位置</t>
    <rPh sb="0" eb="2">
      <t>イチ</t>
    </rPh>
    <phoneticPr fontId="1"/>
  </si>
  <si>
    <t>守備位置
（走者）</t>
    <rPh sb="0" eb="4">
      <t>シュビイチ</t>
    </rPh>
    <rPh sb="6" eb="8">
      <t>ソウシャ</t>
    </rPh>
    <phoneticPr fontId="1"/>
  </si>
  <si>
    <t>名前
（走者）</t>
    <rPh sb="0" eb="2">
      <t>ナマエ</t>
    </rPh>
    <rPh sb="4" eb="6">
      <t>ソウシャ</t>
    </rPh>
    <phoneticPr fontId="1"/>
  </si>
  <si>
    <t>野手成績</t>
    <rPh sb="0" eb="4">
      <t>ヤシュセイセキ</t>
    </rPh>
    <phoneticPr fontId="1"/>
  </si>
  <si>
    <t>投手成績</t>
    <rPh sb="0" eb="4">
      <t>トウシュセイセキ</t>
    </rPh>
    <phoneticPr fontId="1"/>
  </si>
  <si>
    <t>チーム名
（スコア）</t>
    <rPh sb="3" eb="4">
      <t>メイ</t>
    </rPh>
    <phoneticPr fontId="1"/>
  </si>
  <si>
    <t>守備表示
（野手）</t>
    <rPh sb="0" eb="2">
      <t>シュビ</t>
    </rPh>
    <rPh sb="2" eb="4">
      <t>ヒョウジ</t>
    </rPh>
    <rPh sb="6" eb="8">
      <t>ヤシュ</t>
    </rPh>
    <phoneticPr fontId="1"/>
  </si>
  <si>
    <t>守備表示
（走者）</t>
    <rPh sb="0" eb="2">
      <t>シュビ</t>
    </rPh>
    <rPh sb="2" eb="4">
      <t>ヒョウジ</t>
    </rPh>
    <rPh sb="6" eb="8">
      <t>ソウシャ</t>
    </rPh>
    <phoneticPr fontId="1"/>
  </si>
  <si>
    <t>スコア
（奇数回）</t>
    <rPh sb="5" eb="8">
      <t>キスウカイ</t>
    </rPh>
    <phoneticPr fontId="1"/>
  </si>
  <si>
    <t>数字</t>
    <rPh sb="0" eb="2">
      <t>スウジ</t>
    </rPh>
    <phoneticPr fontId="1"/>
  </si>
  <si>
    <t>スコア
（偶数回）</t>
    <rPh sb="5" eb="8">
      <t>グウスウカイ</t>
    </rPh>
    <phoneticPr fontId="1"/>
  </si>
  <si>
    <t>スコア
（R）</t>
    <phoneticPr fontId="1"/>
  </si>
  <si>
    <t>スコアタイトル
（R）</t>
    <phoneticPr fontId="1"/>
  </si>
  <si>
    <t>R</t>
    <phoneticPr fontId="1"/>
  </si>
  <si>
    <t>先攻チーム</t>
    <rPh sb="0" eb="2">
      <t>センコウ</t>
    </rPh>
    <phoneticPr fontId="1"/>
  </si>
  <si>
    <t>後攻チーム</t>
    <rPh sb="0" eb="2">
      <t>コウコウ</t>
    </rPh>
    <phoneticPr fontId="1"/>
  </si>
  <si>
    <t>日本ハム</t>
    <rPh sb="0" eb="2">
      <t>ニッポン</t>
    </rPh>
    <phoneticPr fontId="1"/>
  </si>
  <si>
    <t>イニング</t>
    <phoneticPr fontId="1"/>
  </si>
  <si>
    <t>成績加算</t>
    <rPh sb="0" eb="4">
      <t>セイセキカサン</t>
    </rPh>
    <phoneticPr fontId="1"/>
  </si>
  <si>
    <t>先攻</t>
    <rPh sb="0" eb="2">
      <t>センコウ</t>
    </rPh>
    <phoneticPr fontId="1"/>
  </si>
  <si>
    <t>後攻</t>
    <rPh sb="0" eb="2">
      <t>コウコウ</t>
    </rPh>
    <phoneticPr fontId="1"/>
  </si>
  <si>
    <t>文字</t>
    <rPh sb="0" eb="2">
      <t>モジ</t>
    </rPh>
    <phoneticPr fontId="1"/>
  </si>
  <si>
    <t>交代時</t>
    <rPh sb="0" eb="2">
      <t>コウタイ</t>
    </rPh>
    <rPh sb="2" eb="3">
      <t>ジ</t>
    </rPh>
    <phoneticPr fontId="1"/>
  </si>
  <si>
    <t>文字色</t>
    <rPh sb="0" eb="3">
      <t>モジイロ</t>
    </rPh>
    <phoneticPr fontId="1"/>
  </si>
  <si>
    <t>スコア（奇数回）</t>
    <rPh sb="4" eb="7">
      <t>キスウカイ</t>
    </rPh>
    <phoneticPr fontId="1"/>
  </si>
  <si>
    <t>スコア（偶数回）</t>
    <rPh sb="4" eb="6">
      <t>グウスウ</t>
    </rPh>
    <rPh sb="6" eb="7">
      <t>カイ</t>
    </rPh>
    <phoneticPr fontId="1"/>
  </si>
  <si>
    <t>スコア（R）</t>
    <phoneticPr fontId="1"/>
  </si>
  <si>
    <t>スコアタイトル（R）</t>
    <phoneticPr fontId="1"/>
  </si>
  <si>
    <t>背景</t>
    <rPh sb="0" eb="2">
      <t>ハイケイ</t>
    </rPh>
    <phoneticPr fontId="1"/>
  </si>
  <si>
    <t>スコアタイトル
（R以外）</t>
    <rPh sb="10" eb="12">
      <t>イガイ</t>
    </rPh>
    <phoneticPr fontId="1"/>
  </si>
  <si>
    <t>スコア枠</t>
    <rPh sb="3" eb="4">
      <t>ワク</t>
    </rPh>
    <phoneticPr fontId="1"/>
  </si>
  <si>
    <t>色</t>
    <rPh sb="0" eb="1">
      <t>イロ</t>
    </rPh>
    <phoneticPr fontId="1"/>
  </si>
  <si>
    <t>先攻テキスト</t>
    <rPh sb="0" eb="2">
      <t>センコウ</t>
    </rPh>
    <phoneticPr fontId="1"/>
  </si>
  <si>
    <t>後攻テキスト</t>
    <rPh sb="0" eb="2">
      <t>コウコウ</t>
    </rPh>
    <phoneticPr fontId="1"/>
  </si>
  <si>
    <t xml:space="preserve"> </t>
    <phoneticPr fontId="1"/>
  </si>
  <si>
    <t>スコアタイトル（R以外）</t>
    <rPh sb="9" eb="11">
      <t>イガイ</t>
    </rPh>
    <phoneticPr fontId="1"/>
  </si>
  <si>
    <t>名前
（次回先頭）</t>
    <rPh sb="0" eb="2">
      <t>ナマエ</t>
    </rPh>
    <rPh sb="4" eb="8">
      <t>ジカイセントウ</t>
    </rPh>
    <phoneticPr fontId="1"/>
  </si>
  <si>
    <t>守備位置
（次回先頭）</t>
    <rPh sb="0" eb="4">
      <t>シュビイチ</t>
    </rPh>
    <rPh sb="6" eb="10">
      <t>ジカイセントウ</t>
    </rPh>
    <phoneticPr fontId="1"/>
  </si>
  <si>
    <t>上線(DH制のP)</t>
    <rPh sb="0" eb="1">
      <t>ウエ</t>
    </rPh>
    <rPh sb="1" eb="2">
      <t>セン</t>
    </rPh>
    <rPh sb="5" eb="6">
      <t>セイ</t>
    </rPh>
    <phoneticPr fontId="1"/>
  </si>
  <si>
    <t>斜線</t>
    <rPh sb="0" eb="2">
      <t>シャセン</t>
    </rPh>
    <phoneticPr fontId="1"/>
  </si>
  <si>
    <t>その他の枠</t>
    <rPh sb="2" eb="3">
      <t>タ</t>
    </rPh>
    <rPh sb="4" eb="5">
      <t>ワク</t>
    </rPh>
    <phoneticPr fontId="1"/>
  </si>
  <si>
    <t>担当位置
（審判）</t>
    <rPh sb="0" eb="2">
      <t>タントウ</t>
    </rPh>
    <rPh sb="2" eb="4">
      <t>イチ</t>
    </rPh>
    <rPh sb="6" eb="8">
      <t>シンパン</t>
    </rPh>
    <phoneticPr fontId="1"/>
  </si>
  <si>
    <t>名前
（審判）</t>
    <rPh sb="0" eb="2">
      <t>ナマエ</t>
    </rPh>
    <rPh sb="4" eb="6">
      <t>シンパン</t>
    </rPh>
    <phoneticPr fontId="1"/>
  </si>
  <si>
    <t>担当位置（審判）</t>
    <rPh sb="0" eb="2">
      <t>タントウ</t>
    </rPh>
    <rPh sb="2" eb="4">
      <t>イチ</t>
    </rPh>
    <rPh sb="5" eb="7">
      <t>シンパン</t>
    </rPh>
    <phoneticPr fontId="1"/>
  </si>
  <si>
    <t>名前（審判）</t>
    <rPh sb="0" eb="2">
      <t>ナマエ</t>
    </rPh>
    <rPh sb="3" eb="5">
      <t>シンパン</t>
    </rPh>
    <phoneticPr fontId="1"/>
  </si>
  <si>
    <t>ホーム位置</t>
    <rPh sb="3" eb="5">
      <t>イチ</t>
    </rPh>
    <phoneticPr fontId="1"/>
  </si>
  <si>
    <t>一塁側</t>
  </si>
  <si>
    <t>先攻最終行</t>
    <rPh sb="0" eb="2">
      <t>センコウ</t>
    </rPh>
    <rPh sb="2" eb="5">
      <t>サイシュウギョウ</t>
    </rPh>
    <phoneticPr fontId="1"/>
  </si>
  <si>
    <t>後攻最終行</t>
    <rPh sb="0" eb="2">
      <t>コウコウ</t>
    </rPh>
    <rPh sb="2" eb="5">
      <t>サイシュウギョウ</t>
    </rPh>
    <phoneticPr fontId="1"/>
  </si>
  <si>
    <t>益田</t>
  </si>
  <si>
    <t>長谷部</t>
  </si>
  <si>
    <t>斉藤</t>
  </si>
  <si>
    <t>戸根</t>
  </si>
  <si>
    <t>久保</t>
  </si>
  <si>
    <t>内田</t>
  </si>
  <si>
    <t>中村貴</t>
  </si>
  <si>
    <t>名原</t>
  </si>
  <si>
    <t>辻</t>
  </si>
  <si>
    <t>秋山 翔吾</t>
  </si>
  <si>
    <t>益田 武尚</t>
  </si>
  <si>
    <t>長谷部 銀次</t>
  </si>
  <si>
    <t>河野 佳</t>
  </si>
  <si>
    <t>斉藤 優汰</t>
  </si>
  <si>
    <t>戸根 千明</t>
  </si>
  <si>
    <t>久保 修</t>
  </si>
  <si>
    <t>清水 叶人</t>
  </si>
  <si>
    <t>中村 貴浩</t>
  </si>
  <si>
    <t>名原 典彦</t>
  </si>
  <si>
    <t>辻 大雅</t>
  </si>
  <si>
    <t>マルティネス</t>
  </si>
  <si>
    <t>加藤豪</t>
  </si>
  <si>
    <t>上川畑</t>
  </si>
  <si>
    <t>松本剛</t>
    <rPh sb="1" eb="2">
      <t>ホン</t>
    </rPh>
    <phoneticPr fontId="1"/>
  </si>
  <si>
    <t>淺間</t>
  </si>
  <si>
    <t>矢澤</t>
    <rPh sb="0" eb="2">
      <t>ヤザワ</t>
    </rPh>
    <phoneticPr fontId="1"/>
  </si>
  <si>
    <t>達</t>
  </si>
  <si>
    <t xml:space="preserve">玉井 </t>
  </si>
  <si>
    <t>杉浦</t>
  </si>
  <si>
    <t>金村</t>
    <rPh sb="0" eb="2">
      <t>カネムラ</t>
    </rPh>
    <phoneticPr fontId="1"/>
  </si>
  <si>
    <t>田中正</t>
    <rPh sb="2" eb="3">
      <t>タダシ</t>
    </rPh>
    <phoneticPr fontId="1"/>
  </si>
  <si>
    <t>古川裕</t>
  </si>
  <si>
    <t>福田光</t>
    <rPh sb="2" eb="3">
      <t>ヒカリ</t>
    </rPh>
    <phoneticPr fontId="1"/>
  </si>
  <si>
    <t>江越</t>
  </si>
  <si>
    <t>有薗</t>
  </si>
  <si>
    <t>水野</t>
  </si>
  <si>
    <t>畔柳</t>
  </si>
  <si>
    <t>松浦</t>
  </si>
  <si>
    <t>北山</t>
  </si>
  <si>
    <t>奈良間</t>
  </si>
  <si>
    <t>山本拓</t>
    <rPh sb="0" eb="2">
      <t>ヤマモト</t>
    </rPh>
    <rPh sb="2" eb="3">
      <t>タク</t>
    </rPh>
    <phoneticPr fontId="1"/>
  </si>
  <si>
    <t>田中瑛</t>
  </si>
  <si>
    <t>加藤 豪将</t>
  </si>
  <si>
    <t>上川畑 大悟</t>
  </si>
  <si>
    <t>矢澤 宏太</t>
  </si>
  <si>
    <t>達 孝太</t>
  </si>
  <si>
    <t>杉浦 稔大</t>
  </si>
  <si>
    <t>金村 尚真</t>
  </si>
  <si>
    <t>田中 正義</t>
    <rPh sb="3" eb="5">
      <t>セイギ</t>
    </rPh>
    <phoneticPr fontId="1"/>
  </si>
  <si>
    <t>福田 光輝</t>
    <rPh sb="3" eb="4">
      <t>ヒカリ</t>
    </rPh>
    <rPh sb="4" eb="5">
      <t>カガヤ</t>
    </rPh>
    <phoneticPr fontId="1"/>
  </si>
  <si>
    <t>有薗 直輝</t>
  </si>
  <si>
    <t>水野 達稀</t>
  </si>
  <si>
    <t>阪口 樂</t>
  </si>
  <si>
    <t>畔柳 亨丞</t>
  </si>
  <si>
    <t>安西 叶翔</t>
    <rPh sb="0" eb="2">
      <t>アンザイ</t>
    </rPh>
    <rPh sb="3" eb="4">
      <t>カナ</t>
    </rPh>
    <rPh sb="4" eb="5">
      <t>ショウ</t>
    </rPh>
    <phoneticPr fontId="1"/>
  </si>
  <si>
    <t>松浦 慶斗</t>
  </si>
  <si>
    <t>北山 亘基</t>
  </si>
  <si>
    <t>奈良間 大己</t>
  </si>
  <si>
    <t>松本 遼大</t>
  </si>
  <si>
    <t>齊藤 伸治</t>
  </si>
  <si>
    <t>福島 蓮</t>
  </si>
  <si>
    <t>柳川 大晟</t>
  </si>
  <si>
    <t>阿部 和広</t>
  </si>
  <si>
    <t>藤田 大清</t>
  </si>
  <si>
    <t>中山 晶量</t>
  </si>
  <si>
    <t>山口 アタル</t>
  </si>
  <si>
    <t>山本 晃大</t>
  </si>
  <si>
    <t>アリエル・マルティネス</t>
    <phoneticPr fontId="1"/>
  </si>
  <si>
    <t>ブライアン・ロドリゲス</t>
    <phoneticPr fontId="1"/>
  </si>
  <si>
    <t>B．ロドリゲス</t>
    <phoneticPr fontId="1"/>
  </si>
  <si>
    <t>安西</t>
    <phoneticPr fontId="1"/>
  </si>
  <si>
    <t>犠打</t>
    <rPh sb="0" eb="2">
      <t>ギダ</t>
    </rPh>
    <phoneticPr fontId="1"/>
  </si>
  <si>
    <t>犠飛</t>
    <rPh sb="0" eb="2">
      <t>ギヒ</t>
    </rPh>
    <phoneticPr fontId="1"/>
  </si>
  <si>
    <t>三振</t>
    <rPh sb="0" eb="2">
      <t>サンシン</t>
    </rPh>
    <phoneticPr fontId="1"/>
  </si>
  <si>
    <t>盗塁</t>
    <rPh sb="0" eb="2">
      <t>トウルイ</t>
    </rPh>
    <phoneticPr fontId="1"/>
  </si>
  <si>
    <t>盗塁死</t>
    <rPh sb="0" eb="3">
      <t>トウルイシ</t>
    </rPh>
    <phoneticPr fontId="1"/>
  </si>
  <si>
    <t>併殺打</t>
    <rPh sb="0" eb="3">
      <t>ヘイサツダ</t>
    </rPh>
    <phoneticPr fontId="1"/>
  </si>
  <si>
    <t>RC27</t>
    <phoneticPr fontId="1"/>
  </si>
  <si>
    <t>塁打</t>
    <rPh sb="0" eb="2">
      <t>ルイダ</t>
    </rPh>
    <phoneticPr fontId="1"/>
  </si>
  <si>
    <t>曽根</t>
  </si>
  <si>
    <t>上本</t>
  </si>
  <si>
    <t>堂林</t>
  </si>
  <si>
    <t>レイノルズ</t>
  </si>
  <si>
    <t>九里</t>
  </si>
  <si>
    <t>大道</t>
  </si>
  <si>
    <t>森浦</t>
  </si>
  <si>
    <t>大瀬良</t>
  </si>
  <si>
    <t>常廣</t>
  </si>
  <si>
    <t>栗林</t>
  </si>
  <si>
    <t>中﨑</t>
  </si>
  <si>
    <t>髙</t>
  </si>
  <si>
    <t>會澤</t>
  </si>
  <si>
    <t>床田</t>
  </si>
  <si>
    <t>滝田</t>
  </si>
  <si>
    <t>坂倉</t>
  </si>
  <si>
    <t>菊池</t>
  </si>
  <si>
    <t>高橋昂</t>
  </si>
  <si>
    <t>赤塚</t>
  </si>
  <si>
    <t>塹江</t>
  </si>
  <si>
    <t>野間</t>
  </si>
  <si>
    <t>宇草</t>
  </si>
  <si>
    <t>磯村</t>
  </si>
  <si>
    <t>矢崎</t>
  </si>
  <si>
    <t>ハッチ</t>
  </si>
  <si>
    <t>島内</t>
  </si>
  <si>
    <t>小園</t>
  </si>
  <si>
    <t>韮澤</t>
  </si>
  <si>
    <t>大盛</t>
  </si>
  <si>
    <t>矢野</t>
  </si>
  <si>
    <t>遠藤</t>
  </si>
  <si>
    <t>ハーン</t>
  </si>
  <si>
    <t>羽月</t>
  </si>
  <si>
    <t>シャイナー</t>
  </si>
  <si>
    <t>中村奨</t>
  </si>
  <si>
    <t>杉田</t>
  </si>
  <si>
    <t>佐藤</t>
  </si>
  <si>
    <t>杉原</t>
  </si>
  <si>
    <t>マット・レイノルズ</t>
  </si>
  <si>
    <t>常廣 羽也斗</t>
  </si>
  <si>
    <t>中﨑 翔太</t>
  </si>
  <si>
    <t>髙 太一</t>
  </si>
  <si>
    <t>滝田 一希</t>
  </si>
  <si>
    <t>赤塚 健利</t>
  </si>
  <si>
    <t>トーマス・ハッチ</t>
  </si>
  <si>
    <t>仲田 侑仁</t>
  </si>
  <si>
    <t>内田 湘大</t>
  </si>
  <si>
    <t>テイラー・ハーン</t>
  </si>
  <si>
    <t>ジェイク・シャイナー</t>
  </si>
  <si>
    <t>ロベルト・コルニエル</t>
  </si>
  <si>
    <t>杉田 健</t>
  </si>
  <si>
    <t>佐藤 啓介</t>
  </si>
  <si>
    <t>杉原 望来</t>
  </si>
  <si>
    <t>スティーブンソン</t>
    <phoneticPr fontId="1"/>
  </si>
  <si>
    <t>アンドリュー・スティーブンソン</t>
    <phoneticPr fontId="1"/>
  </si>
  <si>
    <t>背番号</t>
    <rPh sb="0" eb="3">
      <t>セバンゴウ</t>
    </rPh>
    <phoneticPr fontId="1"/>
  </si>
  <si>
    <t>選手名</t>
    <rPh sb="0" eb="3">
      <t>センシュメイ</t>
    </rPh>
    <phoneticPr fontId="1"/>
  </si>
  <si>
    <t>本塁打</t>
    <rPh sb="0" eb="3">
      <t>ホンルイダ</t>
    </rPh>
    <phoneticPr fontId="1"/>
  </si>
  <si>
    <t>湯浅 大</t>
  </si>
  <si>
    <t>増田 大輝</t>
  </si>
  <si>
    <t>吉川尚</t>
  </si>
  <si>
    <t>吉川 尚輝</t>
  </si>
  <si>
    <t>門脇</t>
    <phoneticPr fontId="1"/>
  </si>
  <si>
    <t>門脇 誠</t>
    <phoneticPr fontId="1"/>
  </si>
  <si>
    <t>坂本 勇人</t>
  </si>
  <si>
    <t>長野</t>
  </si>
  <si>
    <t>長野 久義</t>
  </si>
  <si>
    <t>丸 佳浩</t>
  </si>
  <si>
    <t>平内 龍太</t>
  </si>
  <si>
    <t>萩尾</t>
  </si>
  <si>
    <t>萩尾 匡也</t>
  </si>
  <si>
    <t>梶谷 隆幸</t>
  </si>
  <si>
    <t>大勢</t>
  </si>
  <si>
    <t>西舘 勇陽</t>
    <phoneticPr fontId="1"/>
  </si>
  <si>
    <t>菅野 智之</t>
  </si>
  <si>
    <t>山崎 伊織</t>
  </si>
  <si>
    <t>戸郷 翔征</t>
  </si>
  <si>
    <t>小林 誠司</t>
  </si>
  <si>
    <t>大城 卓三</t>
  </si>
  <si>
    <t>岡本</t>
    <rPh sb="0" eb="1">
      <t>オカ</t>
    </rPh>
    <rPh sb="1" eb="2">
      <t>モト</t>
    </rPh>
    <phoneticPr fontId="1"/>
  </si>
  <si>
    <t>岡本 和真</t>
  </si>
  <si>
    <t>今村 信貴</t>
  </si>
  <si>
    <t>岸田</t>
  </si>
  <si>
    <t>岸田 行倫</t>
  </si>
  <si>
    <t>高橋礼</t>
    <rPh sb="0" eb="2">
      <t>タカハシ</t>
    </rPh>
    <rPh sb="2" eb="3">
      <t>レイ</t>
    </rPh>
    <phoneticPr fontId="1"/>
  </si>
  <si>
    <t>高橋 礼</t>
    <rPh sb="0" eb="2">
      <t>タカハシ</t>
    </rPh>
    <rPh sb="3" eb="4">
      <t>レイ</t>
    </rPh>
    <phoneticPr fontId="1"/>
  </si>
  <si>
    <t>グリフィン</t>
  </si>
  <si>
    <t>赤星</t>
  </si>
  <si>
    <t>赤星 優志</t>
  </si>
  <si>
    <t>鈴木 康平</t>
  </si>
  <si>
    <t>泉口</t>
    <phoneticPr fontId="1"/>
  </si>
  <si>
    <t>泉口 友汰</t>
    <phoneticPr fontId="1"/>
  </si>
  <si>
    <t>馬場</t>
    <rPh sb="0" eb="2">
      <t>ババ</t>
    </rPh>
    <phoneticPr fontId="1"/>
  </si>
  <si>
    <t>若林</t>
    <rPh sb="0" eb="1">
      <t>ワカ</t>
    </rPh>
    <rPh sb="1" eb="2">
      <t>ハヤシ</t>
    </rPh>
    <phoneticPr fontId="1"/>
  </si>
  <si>
    <t>若林 晃弘</t>
  </si>
  <si>
    <t>岡田 悠希</t>
  </si>
  <si>
    <t>中山 礼都</t>
  </si>
  <si>
    <t>中川 皓太</t>
  </si>
  <si>
    <t>重信 慎之介</t>
  </si>
  <si>
    <t>佐々木 俊輔</t>
    <phoneticPr fontId="1"/>
  </si>
  <si>
    <t>又木</t>
    <rPh sb="0" eb="2">
      <t>マタギ</t>
    </rPh>
    <phoneticPr fontId="1"/>
  </si>
  <si>
    <t>又木 鉄平</t>
    <phoneticPr fontId="1"/>
  </si>
  <si>
    <t>森田</t>
    <rPh sb="0" eb="2">
      <t>モリタ</t>
    </rPh>
    <phoneticPr fontId="1"/>
  </si>
  <si>
    <t>森田 駿哉</t>
    <phoneticPr fontId="1"/>
  </si>
  <si>
    <t>田中千</t>
  </si>
  <si>
    <t>田中 千晴</t>
  </si>
  <si>
    <t>バルドナード</t>
    <phoneticPr fontId="1"/>
  </si>
  <si>
    <t>浅野</t>
  </si>
  <si>
    <t>浅野 翔吾</t>
  </si>
  <si>
    <t>高梨 雄平</t>
  </si>
  <si>
    <t>直江</t>
  </si>
  <si>
    <t>直江 大輔</t>
  </si>
  <si>
    <t>秋広</t>
  </si>
  <si>
    <t>秋広 優人</t>
  </si>
  <si>
    <t>石田</t>
  </si>
  <si>
    <t>石田 隼都</t>
  </si>
  <si>
    <t>髙橋優</t>
    <rPh sb="0" eb="2">
      <t>モリタ</t>
    </rPh>
    <phoneticPr fontId="1"/>
  </si>
  <si>
    <t>髙橋 優貴</t>
  </si>
  <si>
    <t>船迫</t>
  </si>
  <si>
    <t>船迫 大雅</t>
  </si>
  <si>
    <t>松原 聖弥</t>
  </si>
  <si>
    <t>菊田 拡和</t>
  </si>
  <si>
    <t>増田 陸</t>
  </si>
  <si>
    <t>横川 凱</t>
  </si>
  <si>
    <t>大江 竜聖</t>
  </si>
  <si>
    <t>メンデス</t>
  </si>
  <si>
    <t>山瀬</t>
    <rPh sb="0" eb="2">
      <t>ヤマセ</t>
    </rPh>
    <phoneticPr fontId="1"/>
  </si>
  <si>
    <t>山瀬 慎之助</t>
  </si>
  <si>
    <t>代木</t>
  </si>
  <si>
    <t>代木 大和</t>
  </si>
  <si>
    <t>山田 龍聖</t>
    <rPh sb="0" eb="2">
      <t>ヤマダ</t>
    </rPh>
    <rPh sb="3" eb="5">
      <t>リュウセイ</t>
    </rPh>
    <phoneticPr fontId="1"/>
  </si>
  <si>
    <t>堀田</t>
  </si>
  <si>
    <t>堀田 賢慎</t>
  </si>
  <si>
    <t>沼田</t>
    <rPh sb="0" eb="2">
      <t>ヌマタ</t>
    </rPh>
    <phoneticPr fontId="1"/>
  </si>
  <si>
    <t>沼田 翔平</t>
  </si>
  <si>
    <t>松井颯</t>
    <rPh sb="0" eb="2">
      <t>マツイ</t>
    </rPh>
    <rPh sb="2" eb="3">
      <t>ソウ</t>
    </rPh>
    <phoneticPr fontId="1"/>
  </si>
  <si>
    <t>松井 颯</t>
    <rPh sb="0" eb="2">
      <t>マツイ</t>
    </rPh>
    <rPh sb="3" eb="4">
      <t>ソウ</t>
    </rPh>
    <phoneticPr fontId="1"/>
  </si>
  <si>
    <t>喜多 隆介</t>
  </si>
  <si>
    <t>菊地 大稀</t>
  </si>
  <si>
    <t>井上 温大</t>
  </si>
  <si>
    <t>ロペス</t>
  </si>
  <si>
    <t>中田 歩夢</t>
    <phoneticPr fontId="1"/>
  </si>
  <si>
    <t>村山 源</t>
    <phoneticPr fontId="1"/>
  </si>
  <si>
    <t>田上</t>
    <phoneticPr fontId="1"/>
  </si>
  <si>
    <t>田上 優弥</t>
    <phoneticPr fontId="1"/>
  </si>
  <si>
    <t>006</t>
    <phoneticPr fontId="1"/>
  </si>
  <si>
    <t>宇都宮</t>
    <phoneticPr fontId="1"/>
  </si>
  <si>
    <t>宇都宮 葵星</t>
    <phoneticPr fontId="1"/>
  </si>
  <si>
    <t>相澤</t>
    <phoneticPr fontId="1"/>
  </si>
  <si>
    <t>相澤 白虎</t>
    <phoneticPr fontId="1"/>
  </si>
  <si>
    <t>009</t>
    <phoneticPr fontId="1"/>
  </si>
  <si>
    <t>010</t>
    <phoneticPr fontId="1"/>
  </si>
  <si>
    <t>三浦</t>
    <phoneticPr fontId="1"/>
  </si>
  <si>
    <t>三浦 克也</t>
    <phoneticPr fontId="1"/>
  </si>
  <si>
    <t>京本  眞</t>
    <phoneticPr fontId="1"/>
  </si>
  <si>
    <t>千葉</t>
    <phoneticPr fontId="1"/>
  </si>
  <si>
    <t>千葉 隆広</t>
    <phoneticPr fontId="1"/>
  </si>
  <si>
    <t>018</t>
    <phoneticPr fontId="1"/>
  </si>
  <si>
    <t>園田</t>
    <phoneticPr fontId="1"/>
  </si>
  <si>
    <t>園田 純規</t>
    <phoneticPr fontId="1"/>
  </si>
  <si>
    <t>戸田</t>
    <phoneticPr fontId="1"/>
  </si>
  <si>
    <t>田村 朋輝</t>
    <phoneticPr fontId="1"/>
  </si>
  <si>
    <t>吉村 優聖歩</t>
    <phoneticPr fontId="1"/>
  </si>
  <si>
    <t>027</t>
    <phoneticPr fontId="1"/>
  </si>
  <si>
    <t>北村</t>
    <phoneticPr fontId="1"/>
  </si>
  <si>
    <t>北村 流音</t>
    <phoneticPr fontId="1"/>
  </si>
  <si>
    <t>028</t>
    <phoneticPr fontId="1"/>
  </si>
  <si>
    <t>030</t>
    <phoneticPr fontId="1"/>
  </si>
  <si>
    <t>三塚</t>
    <phoneticPr fontId="1"/>
  </si>
  <si>
    <t>三塚 琉生</t>
    <phoneticPr fontId="1"/>
  </si>
  <si>
    <t>033</t>
    <phoneticPr fontId="1"/>
  </si>
  <si>
    <t>平山</t>
    <phoneticPr fontId="1"/>
  </si>
  <si>
    <t>平山 功太</t>
    <phoneticPr fontId="1"/>
  </si>
  <si>
    <t>森本</t>
    <phoneticPr fontId="1"/>
  </si>
  <si>
    <t>森本 哲星</t>
    <phoneticPr fontId="1"/>
  </si>
  <si>
    <t>035</t>
    <phoneticPr fontId="1"/>
  </si>
  <si>
    <t>ルシアーノ</t>
  </si>
  <si>
    <t>039</t>
    <phoneticPr fontId="1"/>
  </si>
  <si>
    <t>立岡</t>
    <phoneticPr fontId="1"/>
  </si>
  <si>
    <t>大城元</t>
    <phoneticPr fontId="1"/>
  </si>
  <si>
    <t>大城 元</t>
    <phoneticPr fontId="1"/>
  </si>
  <si>
    <t>047</t>
    <phoneticPr fontId="1"/>
  </si>
  <si>
    <t>051</t>
    <phoneticPr fontId="1"/>
  </si>
  <si>
    <t>舟越</t>
    <phoneticPr fontId="1"/>
  </si>
  <si>
    <t>056</t>
    <phoneticPr fontId="1"/>
  </si>
  <si>
    <t>057</t>
    <phoneticPr fontId="1"/>
  </si>
  <si>
    <t>ラモス</t>
  </si>
  <si>
    <t>063</t>
    <phoneticPr fontId="1"/>
  </si>
  <si>
    <t>花田</t>
    <phoneticPr fontId="1"/>
  </si>
  <si>
    <t>069</t>
    <phoneticPr fontId="1"/>
  </si>
  <si>
    <t>萩原</t>
    <phoneticPr fontId="1"/>
  </si>
  <si>
    <t>098</t>
    <phoneticPr fontId="1"/>
  </si>
  <si>
    <t>西川 遥輝</t>
    <rPh sb="0" eb="2">
      <t>ニシカワ</t>
    </rPh>
    <rPh sb="3" eb="5">
      <t>ハルキ</t>
    </rPh>
    <phoneticPr fontId="1"/>
  </si>
  <si>
    <t>塩見</t>
    <rPh sb="0" eb="1">
      <t>シオ</t>
    </rPh>
    <rPh sb="1" eb="2">
      <t>ミ</t>
    </rPh>
    <phoneticPr fontId="1"/>
  </si>
  <si>
    <t>宮本</t>
    <rPh sb="0" eb="2">
      <t>ミヤモト</t>
    </rPh>
    <phoneticPr fontId="1"/>
  </si>
  <si>
    <t>オスナ</t>
  </si>
  <si>
    <t>西舘</t>
    <rPh sb="0" eb="2">
      <t>ニシダテ</t>
    </rPh>
    <phoneticPr fontId="1"/>
  </si>
  <si>
    <t>西舘 昂汰</t>
    <phoneticPr fontId="1"/>
  </si>
  <si>
    <t>清水</t>
    <rPh sb="0" eb="2">
      <t>シミズ</t>
    </rPh>
    <phoneticPr fontId="1"/>
  </si>
  <si>
    <t>吉村</t>
    <rPh sb="0" eb="2">
      <t>ヨシムラ</t>
    </rPh>
    <phoneticPr fontId="1"/>
  </si>
  <si>
    <t>吉村 貢司郎</t>
    <phoneticPr fontId="1"/>
  </si>
  <si>
    <t>サンタナ</t>
  </si>
  <si>
    <t>山野 太一</t>
    <rPh sb="0" eb="2">
      <t>ヤマノ</t>
    </rPh>
    <rPh sb="3" eb="5">
      <t>タイチ</t>
    </rPh>
    <phoneticPr fontId="1"/>
  </si>
  <si>
    <t>松本健</t>
    <rPh sb="0" eb="2">
      <t>マツモト</t>
    </rPh>
    <rPh sb="2" eb="3">
      <t>ケン</t>
    </rPh>
    <phoneticPr fontId="1"/>
  </si>
  <si>
    <t>松本 健吾</t>
    <rPh sb="0" eb="2">
      <t>マツモト</t>
    </rPh>
    <rPh sb="3" eb="5">
      <t>ケンゴ</t>
    </rPh>
    <phoneticPr fontId="1"/>
  </si>
  <si>
    <t>山崎</t>
    <rPh sb="0" eb="1">
      <t>ヤマ</t>
    </rPh>
    <rPh sb="1" eb="2">
      <t>ザキ</t>
    </rPh>
    <phoneticPr fontId="1"/>
  </si>
  <si>
    <t>石原</t>
    <rPh sb="0" eb="2">
      <t>イシハラ</t>
    </rPh>
    <phoneticPr fontId="1"/>
  </si>
  <si>
    <t>石原 勇輝</t>
    <rPh sb="0" eb="2">
      <t>イシハラ</t>
    </rPh>
    <rPh sb="3" eb="5">
      <t>ユウキ</t>
    </rPh>
    <phoneticPr fontId="1"/>
  </si>
  <si>
    <t>西村 瑠伊斗</t>
    <phoneticPr fontId="1"/>
  </si>
  <si>
    <t>北村拓</t>
    <rPh sb="0" eb="2">
      <t>キタムラ</t>
    </rPh>
    <rPh sb="2" eb="3">
      <t>タク</t>
    </rPh>
    <phoneticPr fontId="1"/>
  </si>
  <si>
    <t>北村 拓己</t>
    <rPh sb="0" eb="2">
      <t>キタムラ</t>
    </rPh>
    <rPh sb="3" eb="5">
      <t>タクミ</t>
    </rPh>
    <phoneticPr fontId="1"/>
  </si>
  <si>
    <t>澤井</t>
    <rPh sb="0" eb="2">
      <t>サワイ</t>
    </rPh>
    <phoneticPr fontId="1"/>
  </si>
  <si>
    <t>澤井 廉</t>
    <rPh sb="0" eb="2">
      <t>サワイ</t>
    </rPh>
    <rPh sb="3" eb="4">
      <t>レン</t>
    </rPh>
    <phoneticPr fontId="1"/>
  </si>
  <si>
    <t>山本 大貴</t>
    <rPh sb="0" eb="2">
      <t>ヤマモト</t>
    </rPh>
    <rPh sb="3" eb="5">
      <t>ダイキ</t>
    </rPh>
    <phoneticPr fontId="1"/>
  </si>
  <si>
    <t>小澤</t>
    <rPh sb="0" eb="2">
      <t>コザワ</t>
    </rPh>
    <phoneticPr fontId="1"/>
  </si>
  <si>
    <t>高橋</t>
    <rPh sb="0" eb="1">
      <t>コウ</t>
    </rPh>
    <rPh sb="1" eb="2">
      <t>ハシ</t>
    </rPh>
    <phoneticPr fontId="1"/>
  </si>
  <si>
    <t>嘉弥真 新也</t>
    <rPh sb="0" eb="1">
      <t>カ</t>
    </rPh>
    <rPh sb="1" eb="2">
      <t>ヤ</t>
    </rPh>
    <rPh sb="2" eb="3">
      <t>マ</t>
    </rPh>
    <rPh sb="4" eb="6">
      <t>シンヤ</t>
    </rPh>
    <phoneticPr fontId="1"/>
  </si>
  <si>
    <t>北村恵</t>
    <rPh sb="0" eb="2">
      <t>キタムラ</t>
    </rPh>
    <rPh sb="2" eb="3">
      <t>ケイ</t>
    </rPh>
    <phoneticPr fontId="1"/>
  </si>
  <si>
    <t>北村 恵吾</t>
    <rPh sb="0" eb="2">
      <t>キタムラ</t>
    </rPh>
    <rPh sb="3" eb="5">
      <t>ケイゴ</t>
    </rPh>
    <phoneticPr fontId="1"/>
  </si>
  <si>
    <t>尾仲</t>
    <rPh sb="0" eb="2">
      <t>オナカ</t>
    </rPh>
    <phoneticPr fontId="1"/>
  </si>
  <si>
    <t>尾仲 祐哉</t>
    <rPh sb="0" eb="2">
      <t>オナカ</t>
    </rPh>
    <rPh sb="3" eb="5">
      <t>ユウヤ</t>
    </rPh>
    <phoneticPr fontId="1"/>
  </si>
  <si>
    <t>サイスニード</t>
  </si>
  <si>
    <t>坂本 拓己</t>
    <rPh sb="0" eb="2">
      <t>サカモト</t>
    </rPh>
    <rPh sb="3" eb="5">
      <t>タクミ</t>
    </rPh>
    <phoneticPr fontId="1"/>
  </si>
  <si>
    <t>阪口</t>
    <rPh sb="0" eb="2">
      <t>サカグチ</t>
    </rPh>
    <phoneticPr fontId="1"/>
  </si>
  <si>
    <t>阪口 皓亮</t>
    <phoneticPr fontId="1"/>
  </si>
  <si>
    <t>宮川 哲</t>
    <rPh sb="0" eb="2">
      <t>ミヤガワ</t>
    </rPh>
    <rPh sb="3" eb="4">
      <t>テツ</t>
    </rPh>
    <phoneticPr fontId="1"/>
  </si>
  <si>
    <t>増田</t>
    <rPh sb="0" eb="2">
      <t>マスダ</t>
    </rPh>
    <phoneticPr fontId="1"/>
  </si>
  <si>
    <t>増田 珠</t>
    <rPh sb="0" eb="2">
      <t>マスダ</t>
    </rPh>
    <rPh sb="3" eb="4">
      <t>タマ</t>
    </rPh>
    <phoneticPr fontId="1"/>
  </si>
  <si>
    <t>鈴木 叶</t>
    <rPh sb="0" eb="2">
      <t>スズキ</t>
    </rPh>
    <rPh sb="3" eb="4">
      <t>カノウ</t>
    </rPh>
    <phoneticPr fontId="1"/>
  </si>
  <si>
    <t>三ツ俣 大樹</t>
    <phoneticPr fontId="1"/>
  </si>
  <si>
    <t>伊藤 琉偉</t>
    <phoneticPr fontId="1"/>
  </si>
  <si>
    <t>嘉手苅</t>
    <rPh sb="0" eb="1">
      <t>カ</t>
    </rPh>
    <rPh sb="1" eb="2">
      <t>テ</t>
    </rPh>
    <phoneticPr fontId="1"/>
  </si>
  <si>
    <t>橋本 星哉</t>
    <phoneticPr fontId="1"/>
  </si>
  <si>
    <t>フェリペ</t>
  </si>
  <si>
    <t>高野 颯太</t>
    <phoneticPr fontId="1"/>
  </si>
  <si>
    <t>内間</t>
    <rPh sb="0" eb="2">
      <t>ウチマ</t>
    </rPh>
    <phoneticPr fontId="1"/>
  </si>
  <si>
    <t>中村 祐太</t>
  </si>
  <si>
    <t>ケラー</t>
  </si>
  <si>
    <t>ロドリゲス</t>
  </si>
  <si>
    <t>ブライト</t>
  </si>
  <si>
    <t>アルバレス</t>
  </si>
  <si>
    <t>ガルシア</t>
  </si>
  <si>
    <t>小沼</t>
  </si>
  <si>
    <t>宮城</t>
  </si>
  <si>
    <t>バルガス</t>
  </si>
  <si>
    <t>001</t>
  </si>
  <si>
    <t>002</t>
  </si>
  <si>
    <t>003</t>
  </si>
  <si>
    <t>004</t>
  </si>
  <si>
    <t>005</t>
  </si>
  <si>
    <t>008</t>
  </si>
  <si>
    <t>011</t>
  </si>
  <si>
    <t>012</t>
  </si>
  <si>
    <t>013</t>
  </si>
  <si>
    <t>014</t>
  </si>
  <si>
    <t>020</t>
  </si>
  <si>
    <t>021</t>
  </si>
  <si>
    <t>022</t>
  </si>
  <si>
    <t>渡部 遼人</t>
  </si>
  <si>
    <t>福田 周平</t>
  </si>
  <si>
    <t>吉田 正尚</t>
  </si>
  <si>
    <t>野口 智哉</t>
  </si>
  <si>
    <t>大城 滉二</t>
  </si>
  <si>
    <t>椋木 蓮</t>
  </si>
  <si>
    <t>福永 奨</t>
  </si>
  <si>
    <t>池田 陵真</t>
  </si>
  <si>
    <t>横山 楓</t>
  </si>
  <si>
    <t>小木田 敦也</t>
  </si>
  <si>
    <t>佐野 如一</t>
  </si>
  <si>
    <t>平野 大和</t>
  </si>
  <si>
    <t>川瀬 堅斗</t>
  </si>
  <si>
    <t>宇田川 優希</t>
  </si>
  <si>
    <t>山中 尭之</t>
  </si>
  <si>
    <t>大里 昂生</t>
  </si>
  <si>
    <t>近藤 大亮</t>
  </si>
  <si>
    <t>東 晃平</t>
  </si>
  <si>
    <t>007</t>
  </si>
  <si>
    <t>016</t>
  </si>
  <si>
    <t>スアレス</t>
  </si>
  <si>
    <t>山﨑 福也</t>
    <rPh sb="0" eb="2">
      <t>ヤマサキ</t>
    </rPh>
    <rPh sb="3" eb="4">
      <t>フク</t>
    </rPh>
    <rPh sb="4" eb="5">
      <t>ヤ</t>
    </rPh>
    <phoneticPr fontId="1"/>
  </si>
  <si>
    <t>マーフィー</t>
    <phoneticPr fontId="1"/>
  </si>
  <si>
    <t>パトリック・マーフィー</t>
    <phoneticPr fontId="1"/>
  </si>
  <si>
    <t>黒木</t>
    <rPh sb="0" eb="2">
      <t>クロキ</t>
    </rPh>
    <phoneticPr fontId="1"/>
  </si>
  <si>
    <t>黒木 優太</t>
    <rPh sb="0" eb="2">
      <t>クロキ</t>
    </rPh>
    <rPh sb="3" eb="5">
      <t>ユウタ</t>
    </rPh>
    <phoneticPr fontId="1"/>
  </si>
  <si>
    <t>バーヘイゲン</t>
    <phoneticPr fontId="1"/>
  </si>
  <si>
    <t>ドリュー・バーヘイゲン</t>
    <phoneticPr fontId="1"/>
  </si>
  <si>
    <t>ザバラ</t>
    <phoneticPr fontId="1"/>
  </si>
  <si>
    <t>アニュラス・ザバラ</t>
    <phoneticPr fontId="1"/>
  </si>
  <si>
    <t>進藤</t>
    <rPh sb="0" eb="2">
      <t>シントウ</t>
    </rPh>
    <phoneticPr fontId="1"/>
  </si>
  <si>
    <t>進藤 勇也</t>
    <rPh sb="0" eb="2">
      <t>シントウ</t>
    </rPh>
    <rPh sb="3" eb="5">
      <t>ユウヤ</t>
    </rPh>
    <phoneticPr fontId="1"/>
  </si>
  <si>
    <t>細野</t>
    <rPh sb="0" eb="2">
      <t>ホソノ</t>
    </rPh>
    <phoneticPr fontId="1"/>
  </si>
  <si>
    <t>細野 晴希</t>
    <rPh sb="0" eb="2">
      <t>ホソノ</t>
    </rPh>
    <rPh sb="3" eb="5">
      <t>ハルキ</t>
    </rPh>
    <phoneticPr fontId="1"/>
  </si>
  <si>
    <t>明瀬</t>
    <rPh sb="0" eb="2">
      <t>ミョウセ</t>
    </rPh>
    <phoneticPr fontId="1"/>
  </si>
  <si>
    <t>明瀬 諒介</t>
    <rPh sb="0" eb="2">
      <t>ミョウセ</t>
    </rPh>
    <rPh sb="3" eb="5">
      <t>リョウスケ</t>
    </rPh>
    <phoneticPr fontId="1"/>
  </si>
  <si>
    <t>宮崎</t>
    <rPh sb="0" eb="2">
      <t>ミヤザキ</t>
    </rPh>
    <phoneticPr fontId="1"/>
  </si>
  <si>
    <t>宮崎 一樹</t>
    <rPh sb="0" eb="2">
      <t>ミヤザキ</t>
    </rPh>
    <rPh sb="3" eb="5">
      <t>カズキ</t>
    </rPh>
    <phoneticPr fontId="1"/>
  </si>
  <si>
    <t>水谷</t>
    <rPh sb="0" eb="2">
      <t>ミズタニ</t>
    </rPh>
    <phoneticPr fontId="1"/>
  </si>
  <si>
    <t>水谷 瞬</t>
    <rPh sb="0" eb="2">
      <t>ミズタニ</t>
    </rPh>
    <rPh sb="3" eb="4">
      <t>シュン</t>
    </rPh>
    <phoneticPr fontId="1"/>
  </si>
  <si>
    <t>星野 ひので</t>
    <rPh sb="0" eb="2">
      <t>ホシノ</t>
    </rPh>
    <phoneticPr fontId="1"/>
  </si>
  <si>
    <t>レイエス</t>
    <phoneticPr fontId="1"/>
  </si>
  <si>
    <t>フランミル・レイエス</t>
    <phoneticPr fontId="1"/>
  </si>
  <si>
    <t>玉村</t>
    <rPh sb="0" eb="2">
      <t>タマムラ</t>
    </rPh>
    <phoneticPr fontId="1"/>
  </si>
  <si>
    <t>日髙</t>
    <rPh sb="0" eb="2">
      <t>ヒダカ</t>
    </rPh>
    <phoneticPr fontId="1"/>
  </si>
  <si>
    <t>広島</t>
    <rPh sb="0" eb="2">
      <t>ヒロシマ</t>
    </rPh>
    <phoneticPr fontId="1"/>
  </si>
  <si>
    <t>赤羽</t>
    <phoneticPr fontId="1"/>
  </si>
  <si>
    <t>山田</t>
    <phoneticPr fontId="1"/>
  </si>
  <si>
    <t>西川</t>
    <phoneticPr fontId="1"/>
  </si>
  <si>
    <t>山下</t>
    <phoneticPr fontId="1"/>
  </si>
  <si>
    <t>石川</t>
    <phoneticPr fontId="1"/>
  </si>
  <si>
    <t>小川</t>
    <phoneticPr fontId="1"/>
  </si>
  <si>
    <t>エスパーダ</t>
  </si>
  <si>
    <t>山本</t>
    <phoneticPr fontId="1"/>
  </si>
  <si>
    <t>村上</t>
    <phoneticPr fontId="1"/>
  </si>
  <si>
    <t>鈴木</t>
    <phoneticPr fontId="1"/>
  </si>
  <si>
    <t>今野</t>
    <phoneticPr fontId="1"/>
  </si>
  <si>
    <t>ヤフーレ</t>
  </si>
  <si>
    <t>近藤</t>
    <phoneticPr fontId="1"/>
  </si>
  <si>
    <t>015</t>
  </si>
  <si>
    <t>019</t>
  </si>
  <si>
    <t>023</t>
  </si>
  <si>
    <t>橋本</t>
    <phoneticPr fontId="1"/>
  </si>
  <si>
    <t>024</t>
  </si>
  <si>
    <t>岩田</t>
    <phoneticPr fontId="1"/>
  </si>
  <si>
    <t>025</t>
  </si>
  <si>
    <t>026</t>
  </si>
  <si>
    <t>赤羽 由紘</t>
  </si>
  <si>
    <t>林</t>
    <phoneticPr fontId="1"/>
  </si>
  <si>
    <t>大田</t>
    <phoneticPr fontId="1"/>
  </si>
  <si>
    <t>度会</t>
    <phoneticPr fontId="1"/>
  </si>
  <si>
    <t>松尾</t>
    <phoneticPr fontId="1"/>
  </si>
  <si>
    <t>森敬</t>
    <rPh sb="1" eb="2">
      <t>タカシ</t>
    </rPh>
    <phoneticPr fontId="1"/>
  </si>
  <si>
    <t>東</t>
    <phoneticPr fontId="1"/>
  </si>
  <si>
    <t>石田健</t>
    <rPh sb="2" eb="3">
      <t>ケン</t>
    </rPh>
    <phoneticPr fontId="1"/>
  </si>
  <si>
    <t>吉野</t>
    <phoneticPr fontId="1"/>
  </si>
  <si>
    <t>武田</t>
    <phoneticPr fontId="1"/>
  </si>
  <si>
    <t>松本</t>
    <phoneticPr fontId="1"/>
  </si>
  <si>
    <t>森下</t>
    <phoneticPr fontId="1"/>
  </si>
  <si>
    <t>森唯</t>
    <phoneticPr fontId="1"/>
  </si>
  <si>
    <t>西浦</t>
    <phoneticPr fontId="1"/>
  </si>
  <si>
    <t>佐々木</t>
    <phoneticPr fontId="1"/>
  </si>
  <si>
    <t>ジャクソン</t>
  </si>
  <si>
    <t>石上</t>
    <phoneticPr fontId="1"/>
  </si>
  <si>
    <t>森原</t>
    <phoneticPr fontId="1"/>
  </si>
  <si>
    <t>ウェンデルケン</t>
  </si>
  <si>
    <t>中川</t>
    <phoneticPr fontId="1"/>
  </si>
  <si>
    <t>石田裕</t>
    <phoneticPr fontId="1"/>
  </si>
  <si>
    <t>井上</t>
    <phoneticPr fontId="1"/>
  </si>
  <si>
    <t>平良</t>
    <phoneticPr fontId="1"/>
  </si>
  <si>
    <t>ウィック</t>
  </si>
  <si>
    <t>宮國</t>
    <phoneticPr fontId="1"/>
  </si>
  <si>
    <t>上甲</t>
    <phoneticPr fontId="1"/>
  </si>
  <si>
    <t>西巻</t>
    <phoneticPr fontId="1"/>
  </si>
  <si>
    <t>ケイ</t>
  </si>
  <si>
    <t>京田</t>
    <phoneticPr fontId="1"/>
  </si>
  <si>
    <t>蓮</t>
  </si>
  <si>
    <t>草野</t>
    <phoneticPr fontId="1"/>
  </si>
  <si>
    <t>清水麻</t>
    <phoneticPr fontId="1"/>
  </si>
  <si>
    <t>村川</t>
    <rPh sb="1" eb="2">
      <t>カワ</t>
    </rPh>
    <phoneticPr fontId="1"/>
  </si>
  <si>
    <t>モロン</t>
  </si>
  <si>
    <t>渡辺</t>
    <phoneticPr fontId="1"/>
  </si>
  <si>
    <t>マルセリーノ</t>
  </si>
  <si>
    <t>堀岡</t>
    <phoneticPr fontId="1"/>
  </si>
  <si>
    <t>九鬼</t>
    <phoneticPr fontId="1"/>
  </si>
  <si>
    <t>庄司</t>
    <phoneticPr fontId="1"/>
  </si>
  <si>
    <t>小笠原</t>
    <phoneticPr fontId="1"/>
  </si>
  <si>
    <t>粟飯原</t>
    <phoneticPr fontId="1"/>
  </si>
  <si>
    <t>小深田</t>
    <phoneticPr fontId="1"/>
  </si>
  <si>
    <t>林 琢真</t>
  </si>
  <si>
    <t>大田 泰示</t>
  </si>
  <si>
    <t>度会 隆輝</t>
  </si>
  <si>
    <t>松尾 汐恩</t>
  </si>
  <si>
    <t>徳山 壮磨</t>
  </si>
  <si>
    <t>小園 健太</t>
  </si>
  <si>
    <t>吉野 光樹</t>
  </si>
  <si>
    <t>勝又 温史</t>
  </si>
  <si>
    <t>三浦 銀二</t>
  </si>
  <si>
    <t>武田 陸玖</t>
  </si>
  <si>
    <t>松本 凌人</t>
  </si>
  <si>
    <t>橋本 達弥</t>
  </si>
  <si>
    <t>森下 瑠大</t>
  </si>
  <si>
    <t>西浦 直亨</t>
  </si>
  <si>
    <t>深沢 鳳介</t>
  </si>
  <si>
    <t>石上 泰輝</t>
  </si>
  <si>
    <t>石川 達也</t>
  </si>
  <si>
    <t>石田 裕太郎</t>
  </si>
  <si>
    <t>井上 絢登</t>
  </si>
  <si>
    <t>梶原 昂希</t>
  </si>
  <si>
    <t>平良 拳太郎</t>
  </si>
  <si>
    <t>中川 虎大</t>
  </si>
  <si>
    <t>上甲 凌大</t>
  </si>
  <si>
    <t>草野 陽斗</t>
  </si>
  <si>
    <t>清水 麻成</t>
    <phoneticPr fontId="1"/>
  </si>
  <si>
    <t>村川 凪</t>
  </si>
  <si>
    <t>渡辺 明貴</t>
  </si>
  <si>
    <t>今野 瑠斗</t>
  </si>
  <si>
    <t>堀岡 隼人</t>
  </si>
  <si>
    <t>庄司 陽斗</t>
  </si>
  <si>
    <t>小笠原 蒼</t>
  </si>
  <si>
    <t>近藤 大雅</t>
  </si>
  <si>
    <t>粟飯原 龍之介</t>
  </si>
  <si>
    <t>ゲラ</t>
  </si>
  <si>
    <t>ノイジー</t>
  </si>
  <si>
    <t>岩貞</t>
    <phoneticPr fontId="1"/>
  </si>
  <si>
    <t>青柳</t>
    <phoneticPr fontId="1"/>
  </si>
  <si>
    <t>下村</t>
    <phoneticPr fontId="1"/>
  </si>
  <si>
    <t>渡邉</t>
    <phoneticPr fontId="1"/>
  </si>
  <si>
    <t>椎葉</t>
    <phoneticPr fontId="1"/>
  </si>
  <si>
    <t>門別</t>
    <phoneticPr fontId="1"/>
  </si>
  <si>
    <t>漆原</t>
    <phoneticPr fontId="1"/>
  </si>
  <si>
    <t>才木</t>
    <phoneticPr fontId="1"/>
  </si>
  <si>
    <t xml:space="preserve">井坪 </t>
    <phoneticPr fontId="1"/>
  </si>
  <si>
    <t>髙濱</t>
    <phoneticPr fontId="1"/>
  </si>
  <si>
    <t>戸井</t>
    <phoneticPr fontId="1"/>
  </si>
  <si>
    <t>島本</t>
    <phoneticPr fontId="1"/>
  </si>
  <si>
    <t>茨木</t>
    <phoneticPr fontId="1"/>
  </si>
  <si>
    <t>大竹</t>
    <phoneticPr fontId="1"/>
  </si>
  <si>
    <t>ミエセス</t>
  </si>
  <si>
    <t>百﨑</t>
    <phoneticPr fontId="1"/>
  </si>
  <si>
    <t>小野寺</t>
    <phoneticPr fontId="1"/>
  </si>
  <si>
    <t>石黒</t>
    <phoneticPr fontId="1"/>
  </si>
  <si>
    <t>津田</t>
    <phoneticPr fontId="1"/>
  </si>
  <si>
    <t>野口</t>
    <phoneticPr fontId="1"/>
  </si>
  <si>
    <t>ビーズリー</t>
  </si>
  <si>
    <t>松原</t>
    <phoneticPr fontId="1"/>
  </si>
  <si>
    <t>伊藤稜</t>
    <phoneticPr fontId="1"/>
  </si>
  <si>
    <t>福島</t>
    <phoneticPr fontId="1"/>
  </si>
  <si>
    <t>川原</t>
    <phoneticPr fontId="1"/>
  </si>
  <si>
    <t>髙橋遥</t>
    <phoneticPr fontId="1"/>
  </si>
  <si>
    <t>佐藤蓮</t>
    <phoneticPr fontId="1"/>
  </si>
  <si>
    <t>森下 翔太</t>
  </si>
  <si>
    <t>下村 海翔</t>
  </si>
  <si>
    <t>渡邉 諒</t>
  </si>
  <si>
    <t>椎葉 剛</t>
  </si>
  <si>
    <t>門別 啓人</t>
  </si>
  <si>
    <t>井坪 陽生</t>
  </si>
  <si>
    <t>髙濱 祐仁</t>
  </si>
  <si>
    <t>戸井 零士</t>
  </si>
  <si>
    <t>茨木 秀俊</t>
  </si>
  <si>
    <t>富田 蓮</t>
  </si>
  <si>
    <t>山田 脩也</t>
  </si>
  <si>
    <t>百﨑 蒼生</t>
  </si>
  <si>
    <t>石黒 佑弥</t>
  </si>
  <si>
    <t>津田 淳哉</t>
  </si>
  <si>
    <t>野口 恭佑</t>
  </si>
  <si>
    <t>松原 快</t>
  </si>
  <si>
    <t>福島 圭音</t>
  </si>
  <si>
    <t>岡林</t>
    <phoneticPr fontId="1"/>
  </si>
  <si>
    <t>田中幹</t>
    <phoneticPr fontId="1"/>
  </si>
  <si>
    <t>村松</t>
    <phoneticPr fontId="1"/>
  </si>
  <si>
    <t>中田</t>
    <phoneticPr fontId="1"/>
  </si>
  <si>
    <t>中島</t>
    <phoneticPr fontId="1"/>
  </si>
  <si>
    <t>草加</t>
    <phoneticPr fontId="1"/>
  </si>
  <si>
    <t>涌井</t>
    <phoneticPr fontId="1"/>
  </si>
  <si>
    <t>石川昂</t>
    <phoneticPr fontId="1"/>
  </si>
  <si>
    <t>森</t>
    <phoneticPr fontId="1"/>
  </si>
  <si>
    <t>辻本</t>
    <phoneticPr fontId="1"/>
  </si>
  <si>
    <t>仲地</t>
    <phoneticPr fontId="1"/>
  </si>
  <si>
    <t>福田</t>
    <phoneticPr fontId="1"/>
  </si>
  <si>
    <t>濱</t>
    <phoneticPr fontId="1"/>
  </si>
  <si>
    <t>宇佐見</t>
    <phoneticPr fontId="1"/>
  </si>
  <si>
    <t>川越</t>
    <phoneticPr fontId="1"/>
  </si>
  <si>
    <t>龍空</t>
  </si>
  <si>
    <t>梅野</t>
    <phoneticPr fontId="1"/>
  </si>
  <si>
    <t>砂田</t>
    <phoneticPr fontId="1"/>
  </si>
  <si>
    <t>土生</t>
    <phoneticPr fontId="1"/>
  </si>
  <si>
    <t>加藤</t>
    <phoneticPr fontId="1"/>
  </si>
  <si>
    <t>上林</t>
    <phoneticPr fontId="1"/>
  </si>
  <si>
    <t>後藤</t>
    <phoneticPr fontId="1"/>
  </si>
  <si>
    <t>山浅</t>
    <phoneticPr fontId="1"/>
  </si>
  <si>
    <t>齋藤綱</t>
    <phoneticPr fontId="1"/>
  </si>
  <si>
    <t>上田</t>
    <phoneticPr fontId="1"/>
  </si>
  <si>
    <t>福永</t>
    <phoneticPr fontId="1"/>
  </si>
  <si>
    <t>R.マルティネス</t>
    <phoneticPr fontId="1"/>
  </si>
  <si>
    <t>加藤竜</t>
    <phoneticPr fontId="1"/>
  </si>
  <si>
    <t>樋口</t>
    <phoneticPr fontId="1"/>
  </si>
  <si>
    <t>カリステ</t>
  </si>
  <si>
    <t xml:space="preserve">竹内 </t>
    <phoneticPr fontId="1"/>
  </si>
  <si>
    <t>岩嵜</t>
    <phoneticPr fontId="1"/>
  </si>
  <si>
    <t>加藤翼</t>
    <phoneticPr fontId="1"/>
  </si>
  <si>
    <t>垣越</t>
    <phoneticPr fontId="1"/>
  </si>
  <si>
    <t>松木平</t>
    <phoneticPr fontId="1"/>
  </si>
  <si>
    <t>星野</t>
    <phoneticPr fontId="1"/>
  </si>
  <si>
    <t>石川翔</t>
    <phoneticPr fontId="1"/>
  </si>
  <si>
    <t>福元</t>
    <phoneticPr fontId="1"/>
  </si>
  <si>
    <t>岡田</t>
    <phoneticPr fontId="1"/>
  </si>
  <si>
    <t>板山</t>
    <phoneticPr fontId="1"/>
  </si>
  <si>
    <t>野中</t>
    <phoneticPr fontId="1"/>
  </si>
  <si>
    <t>森山</t>
    <phoneticPr fontId="1"/>
  </si>
  <si>
    <t>日渡</t>
    <phoneticPr fontId="1"/>
  </si>
  <si>
    <t>菊田</t>
    <phoneticPr fontId="1"/>
  </si>
  <si>
    <t>尾田</t>
    <phoneticPr fontId="1"/>
  </si>
  <si>
    <t>川上</t>
    <phoneticPr fontId="1"/>
  </si>
  <si>
    <t>モニエル</t>
  </si>
  <si>
    <t>細川</t>
    <phoneticPr fontId="1"/>
  </si>
  <si>
    <t>田中 幹也</t>
  </si>
  <si>
    <t>鵜飼 航丞</t>
  </si>
  <si>
    <t>村松 開人</t>
  </si>
  <si>
    <t>中田 翔</t>
  </si>
  <si>
    <t>中島 宏之</t>
  </si>
  <si>
    <t>草加 勝</t>
  </si>
  <si>
    <t>大野 雄大</t>
  </si>
  <si>
    <t>石森 大誠</t>
  </si>
  <si>
    <t>津田 啓史</t>
  </si>
  <si>
    <t>辻本 倫太郎</t>
  </si>
  <si>
    <t>仲地 礼亜</t>
  </si>
  <si>
    <t>福田 幸之介</t>
  </si>
  <si>
    <t>濱 将乃介</t>
  </si>
  <si>
    <t>宇佐見 真吾</t>
  </si>
  <si>
    <t>ブライト 健太</t>
  </si>
  <si>
    <t>味谷 大誠</t>
  </si>
  <si>
    <t>梅野 雄吾</t>
  </si>
  <si>
    <t>土生 翔太</t>
  </si>
  <si>
    <t>加藤 翔平</t>
  </si>
  <si>
    <t>山浅 龍之介</t>
  </si>
  <si>
    <t>福島 章太</t>
  </si>
  <si>
    <t>上田 洸太朗</t>
  </si>
  <si>
    <t>福永 裕基</t>
  </si>
  <si>
    <t>松山 晋也</t>
  </si>
  <si>
    <t>加藤 竜馬</t>
  </si>
  <si>
    <t>樋口 正修</t>
  </si>
  <si>
    <t>竹内 龍臣</t>
  </si>
  <si>
    <t>岩嵜 翔</t>
  </si>
  <si>
    <t>垣越 建伸</t>
  </si>
  <si>
    <t>松木平 優太</t>
  </si>
  <si>
    <t>星野 真生</t>
  </si>
  <si>
    <t>石川 翔</t>
  </si>
  <si>
    <t>福元 悠真</t>
  </si>
  <si>
    <t>野中 天翔</t>
  </si>
  <si>
    <t>森山 暁生</t>
  </si>
  <si>
    <t>近藤 廉</t>
  </si>
  <si>
    <t>日渡 騰輝</t>
  </si>
  <si>
    <t>菊田 翔友</t>
  </si>
  <si>
    <t>尾田 剛樹</t>
  </si>
  <si>
    <t>川上 理偉</t>
  </si>
  <si>
    <t>川瀬</t>
    <phoneticPr fontId="1"/>
  </si>
  <si>
    <t>牧原大</t>
    <phoneticPr fontId="1"/>
  </si>
  <si>
    <t>嶺井</t>
    <phoneticPr fontId="1"/>
  </si>
  <si>
    <t>三森</t>
    <phoneticPr fontId="1"/>
  </si>
  <si>
    <t>有原</t>
    <phoneticPr fontId="1"/>
  </si>
  <si>
    <t>山川</t>
    <phoneticPr fontId="1"/>
  </si>
  <si>
    <t>岩井</t>
    <phoneticPr fontId="1"/>
  </si>
  <si>
    <t>ウォーカー</t>
  </si>
  <si>
    <t>廣瀨</t>
    <phoneticPr fontId="1"/>
  </si>
  <si>
    <t>村田</t>
    <phoneticPr fontId="1"/>
  </si>
  <si>
    <t>イヒネ</t>
    <phoneticPr fontId="1"/>
  </si>
  <si>
    <t>生海</t>
  </si>
  <si>
    <t>澤柳</t>
    <phoneticPr fontId="1"/>
  </si>
  <si>
    <t>前田</t>
    <phoneticPr fontId="1"/>
  </si>
  <si>
    <t>大関</t>
    <phoneticPr fontId="1"/>
  </si>
  <si>
    <t>藤井</t>
    <phoneticPr fontId="1"/>
  </si>
  <si>
    <t>松本晴</t>
    <phoneticPr fontId="1"/>
  </si>
  <si>
    <t>大山</t>
    <phoneticPr fontId="1"/>
  </si>
  <si>
    <t>長谷川</t>
    <phoneticPr fontId="1"/>
  </si>
  <si>
    <t>大野</t>
    <phoneticPr fontId="1"/>
  </si>
  <si>
    <t>ヘルナンデス</t>
  </si>
  <si>
    <t>吉田</t>
    <phoneticPr fontId="1"/>
  </si>
  <si>
    <t>藤田</t>
    <phoneticPr fontId="1"/>
  </si>
  <si>
    <t>木村</t>
    <phoneticPr fontId="1"/>
  </si>
  <si>
    <t>野村 勇</t>
  </si>
  <si>
    <t>佐藤宏</t>
    <phoneticPr fontId="1"/>
  </si>
  <si>
    <t>石塚</t>
    <phoneticPr fontId="1"/>
  </si>
  <si>
    <t>藤野</t>
    <phoneticPr fontId="1"/>
  </si>
  <si>
    <t>大泉</t>
    <phoneticPr fontId="1"/>
  </si>
  <si>
    <t>桑原</t>
    <phoneticPr fontId="1"/>
  </si>
  <si>
    <t>古川</t>
    <phoneticPr fontId="1"/>
  </si>
  <si>
    <t>宮里</t>
    <phoneticPr fontId="1"/>
  </si>
  <si>
    <t>緒方</t>
    <phoneticPr fontId="1"/>
  </si>
  <si>
    <t>伊藤</t>
    <phoneticPr fontId="1"/>
  </si>
  <si>
    <t>佐倉</t>
    <phoneticPr fontId="1"/>
  </si>
  <si>
    <t>勝連</t>
    <phoneticPr fontId="1"/>
  </si>
  <si>
    <t>中澤</t>
    <phoneticPr fontId="1"/>
  </si>
  <si>
    <t>川村</t>
    <phoneticPr fontId="1"/>
  </si>
  <si>
    <t>大城</t>
    <phoneticPr fontId="1"/>
  </si>
  <si>
    <t>中村亮</t>
    <phoneticPr fontId="1"/>
  </si>
  <si>
    <t>佐藤直</t>
    <phoneticPr fontId="1"/>
  </si>
  <si>
    <t>井﨑</t>
    <phoneticPr fontId="1"/>
  </si>
  <si>
    <t>フェリックス</t>
  </si>
  <si>
    <t>藤原</t>
    <phoneticPr fontId="1"/>
  </si>
  <si>
    <t>シモン</t>
  </si>
  <si>
    <t>ハモンド</t>
  </si>
  <si>
    <t>山崎琢</t>
    <phoneticPr fontId="1"/>
  </si>
  <si>
    <t>佐久間</t>
    <phoneticPr fontId="1"/>
  </si>
  <si>
    <t>山本恵</t>
    <phoneticPr fontId="1"/>
  </si>
  <si>
    <t>瀧本</t>
    <phoneticPr fontId="1"/>
  </si>
  <si>
    <t>三代</t>
    <phoneticPr fontId="1"/>
  </si>
  <si>
    <t>佐藤琢</t>
    <phoneticPr fontId="1"/>
  </si>
  <si>
    <t>仲田</t>
    <phoneticPr fontId="1"/>
  </si>
  <si>
    <t>小林</t>
    <phoneticPr fontId="1"/>
  </si>
  <si>
    <t>長水</t>
    <phoneticPr fontId="1"/>
  </si>
  <si>
    <t>内野</t>
    <phoneticPr fontId="1"/>
  </si>
  <si>
    <t>岡植</t>
    <phoneticPr fontId="1"/>
  </si>
  <si>
    <t>水口</t>
    <phoneticPr fontId="1"/>
  </si>
  <si>
    <t>宮﨑</t>
    <phoneticPr fontId="1"/>
  </si>
  <si>
    <t>重松</t>
    <phoneticPr fontId="1"/>
  </si>
  <si>
    <t>前田純</t>
    <phoneticPr fontId="1"/>
  </si>
  <si>
    <t>佐藤航</t>
    <phoneticPr fontId="1"/>
  </si>
  <si>
    <t>飛田</t>
    <phoneticPr fontId="1"/>
  </si>
  <si>
    <t>西尾</t>
    <phoneticPr fontId="1"/>
  </si>
  <si>
    <t>盛島</t>
    <phoneticPr fontId="1"/>
  </si>
  <si>
    <t>渡邊佑</t>
    <phoneticPr fontId="1"/>
  </si>
  <si>
    <t>オスーナ</t>
  </si>
  <si>
    <t>鍬原</t>
    <phoneticPr fontId="1"/>
  </si>
  <si>
    <t>アルモンテ</t>
  </si>
  <si>
    <t>サルディ</t>
  </si>
  <si>
    <t>風間 球打</t>
  </si>
  <si>
    <t>有原 航平</t>
  </si>
  <si>
    <t>大津 亮介</t>
  </si>
  <si>
    <t>岩井 俊介</t>
  </si>
  <si>
    <t>廣瀨 隆太</t>
  </si>
  <si>
    <t>村田 賢一</t>
  </si>
  <si>
    <t>イヒネ イツア</t>
  </si>
  <si>
    <t>澤柳 亮太郎</t>
  </si>
  <si>
    <t>前田 悠伍</t>
  </si>
  <si>
    <t>大関 友久</t>
  </si>
  <si>
    <t>松本 晴</t>
  </si>
  <si>
    <t>大山 凌</t>
  </si>
  <si>
    <t>長谷川 威展</t>
  </si>
  <si>
    <t>大野 稼頭央</t>
  </si>
  <si>
    <t>吉田 賢吾</t>
  </si>
  <si>
    <t>藤田 悠太郎</t>
  </si>
  <si>
    <t>木村 光</t>
  </si>
  <si>
    <t>佐藤 宏樹</t>
  </si>
  <si>
    <t>石塚 綜一郎</t>
  </si>
  <si>
    <t>藤野 恵音</t>
  </si>
  <si>
    <t>大泉 周也</t>
  </si>
  <si>
    <t>桑原 秀侍</t>
  </si>
  <si>
    <t>古川 侑利</t>
  </si>
  <si>
    <t>宮里 優吾</t>
  </si>
  <si>
    <t>緒方 理貢</t>
  </si>
  <si>
    <t>伊藤 大将</t>
  </si>
  <si>
    <t>佐倉 侠史朗</t>
  </si>
  <si>
    <t>勝連 大稀</t>
  </si>
  <si>
    <t>中澤 恒貴</t>
  </si>
  <si>
    <t>川村 友斗</t>
  </si>
  <si>
    <t>星野 恒太朗</t>
  </si>
  <si>
    <t>大城 真乃</t>
  </si>
  <si>
    <t>大竹 風雅</t>
  </si>
  <si>
    <t>中村 亮太</t>
  </si>
  <si>
    <t>井﨑 燦志郎</t>
  </si>
  <si>
    <t>三浦 瑞樹</t>
  </si>
  <si>
    <t>藤原 大翔</t>
  </si>
  <si>
    <t>村上 舜</t>
  </si>
  <si>
    <t>藤田 淳平</t>
  </si>
  <si>
    <t>加藤 洸稀</t>
  </si>
  <si>
    <t>山崎 琢磨</t>
  </si>
  <si>
    <t>佐久間 拓斗</t>
  </si>
  <si>
    <t>山本 恵大</t>
  </si>
  <si>
    <t>加藤 晴空</t>
  </si>
  <si>
    <t>瀧本 将生</t>
  </si>
  <si>
    <t>三代 祥貴</t>
  </si>
  <si>
    <t>佐藤 琢磨</t>
  </si>
  <si>
    <t>仲田 慶介</t>
  </si>
  <si>
    <t>赤羽 蓮</t>
  </si>
  <si>
    <t>山下 恭吾</t>
  </si>
  <si>
    <t>長水 啓眞</t>
  </si>
  <si>
    <t>内野 海斗</t>
  </si>
  <si>
    <t>岡植 純平</t>
  </si>
  <si>
    <t>佐々木 明都</t>
  </si>
  <si>
    <t>水口 創太</t>
  </si>
  <si>
    <t>宮﨑 颯</t>
  </si>
  <si>
    <t>重松 凱人</t>
  </si>
  <si>
    <t>前田 純</t>
  </si>
  <si>
    <t>佐藤 航太</t>
  </si>
  <si>
    <t>飛田 悠成</t>
  </si>
  <si>
    <t>西尾 歩真</t>
  </si>
  <si>
    <t>盛島 稜大</t>
  </si>
  <si>
    <t>渡邊 佑樹</t>
  </si>
  <si>
    <t>鍬原 拓也</t>
  </si>
  <si>
    <t>スチュワートJR</t>
    <phoneticPr fontId="1"/>
  </si>
  <si>
    <t>蛭間</t>
    <phoneticPr fontId="1"/>
  </si>
  <si>
    <t>佐藤龍</t>
    <phoneticPr fontId="1"/>
  </si>
  <si>
    <t>與座</t>
    <phoneticPr fontId="1"/>
  </si>
  <si>
    <t>佐藤隼</t>
    <phoneticPr fontId="1"/>
  </si>
  <si>
    <t>田村</t>
    <phoneticPr fontId="1"/>
  </si>
  <si>
    <t>武内</t>
    <phoneticPr fontId="1"/>
  </si>
  <si>
    <t>糸川</t>
    <phoneticPr fontId="1"/>
  </si>
  <si>
    <t>炭谷</t>
    <phoneticPr fontId="1"/>
  </si>
  <si>
    <t>青山</t>
    <phoneticPr fontId="1"/>
  </si>
  <si>
    <t>元山</t>
    <phoneticPr fontId="1"/>
  </si>
  <si>
    <t>甲斐野</t>
    <phoneticPr fontId="1"/>
  </si>
  <si>
    <t>山田陽</t>
    <phoneticPr fontId="1"/>
  </si>
  <si>
    <t>野田</t>
    <phoneticPr fontId="1"/>
  </si>
  <si>
    <t>浜屋</t>
    <phoneticPr fontId="1"/>
  </si>
  <si>
    <t>成田</t>
    <phoneticPr fontId="1"/>
  </si>
  <si>
    <t>ボー</t>
    <phoneticPr fontId="1"/>
  </si>
  <si>
    <t>アギラー</t>
  </si>
  <si>
    <t>杉山</t>
    <phoneticPr fontId="1"/>
  </si>
  <si>
    <t>今井</t>
    <phoneticPr fontId="1"/>
  </si>
  <si>
    <t>髙松</t>
    <phoneticPr fontId="1"/>
  </si>
  <si>
    <t>陽川</t>
    <phoneticPr fontId="1"/>
  </si>
  <si>
    <t>アブレイユ</t>
  </si>
  <si>
    <t>コルデロ</t>
  </si>
  <si>
    <t>宮澤</t>
    <phoneticPr fontId="1"/>
  </si>
  <si>
    <t>中村</t>
    <phoneticPr fontId="1"/>
  </si>
  <si>
    <t>滝澤</t>
    <phoneticPr fontId="1"/>
  </si>
  <si>
    <t>古市</t>
    <phoneticPr fontId="1"/>
  </si>
  <si>
    <t>豆田</t>
    <phoneticPr fontId="1"/>
  </si>
  <si>
    <t>齊藤大</t>
    <phoneticPr fontId="1"/>
  </si>
  <si>
    <t>粟津</t>
    <phoneticPr fontId="1"/>
  </si>
  <si>
    <t>上間</t>
    <phoneticPr fontId="1"/>
  </si>
  <si>
    <t>牧野</t>
    <phoneticPr fontId="1"/>
  </si>
  <si>
    <t>野村</t>
    <phoneticPr fontId="1"/>
  </si>
  <si>
    <t xml:space="preserve">三浦 </t>
    <phoneticPr fontId="1"/>
  </si>
  <si>
    <t>是澤</t>
    <phoneticPr fontId="1"/>
  </si>
  <si>
    <t>シンクレア</t>
  </si>
  <si>
    <t>谷口</t>
    <phoneticPr fontId="1"/>
  </si>
  <si>
    <t>森脇</t>
    <phoneticPr fontId="1"/>
  </si>
  <si>
    <t>菅井</t>
    <phoneticPr fontId="1"/>
  </si>
  <si>
    <t>川下</t>
    <phoneticPr fontId="1"/>
  </si>
  <si>
    <t>金子功</t>
    <phoneticPr fontId="1"/>
  </si>
  <si>
    <t>木瀬</t>
    <phoneticPr fontId="1"/>
  </si>
  <si>
    <t>奥村</t>
    <phoneticPr fontId="1"/>
  </si>
  <si>
    <t>川野</t>
    <phoneticPr fontId="1"/>
  </si>
  <si>
    <t>仲三河</t>
    <phoneticPr fontId="1"/>
  </si>
  <si>
    <t>赤上</t>
    <phoneticPr fontId="1"/>
  </si>
  <si>
    <t>児玉 亮涼</t>
  </si>
  <si>
    <t>蛭間 拓哉</t>
  </si>
  <si>
    <t>佐藤 龍世</t>
  </si>
  <si>
    <t>上田 大河</t>
  </si>
  <si>
    <t>武内 夏暉</t>
  </si>
  <si>
    <t>糸川 亮太</t>
  </si>
  <si>
    <t>炭谷 銀仁朗</t>
  </si>
  <si>
    <t>青山 美夏人</t>
  </si>
  <si>
    <t>元山 飛優</t>
  </si>
  <si>
    <t>古川 雄大</t>
  </si>
  <si>
    <t>山田 陽翔</t>
  </si>
  <si>
    <t>野田 海人</t>
  </si>
  <si>
    <t>成田 晴風</t>
  </si>
  <si>
    <t>ボー・タカハシ</t>
  </si>
  <si>
    <t>杉山 遙希</t>
  </si>
  <si>
    <t>宮澤 太成</t>
  </si>
  <si>
    <t>滝澤 夏央</t>
  </si>
  <si>
    <t>長谷川 信哉</t>
  </si>
  <si>
    <t>古市 尊</t>
  </si>
  <si>
    <t>豆田 泰志</t>
  </si>
  <si>
    <t>村田 怜音</t>
  </si>
  <si>
    <t>齊藤 大将</t>
  </si>
  <si>
    <t>粟津 凱士</t>
  </si>
  <si>
    <t>伊藤 翔</t>
  </si>
  <si>
    <t>上間 永遠</t>
  </si>
  <si>
    <t>野村 和輝</t>
  </si>
  <si>
    <t>三浦 大輝</t>
  </si>
  <si>
    <t>是澤 涼輔</t>
  </si>
  <si>
    <t>谷口 朝陽</t>
  </si>
  <si>
    <t>菅井 信也</t>
  </si>
  <si>
    <t>川下 将勲</t>
  </si>
  <si>
    <t>金子 功児</t>
  </si>
  <si>
    <t>木瀬 翔太</t>
  </si>
  <si>
    <t>奥村 光一</t>
  </si>
  <si>
    <t>赤上 優人</t>
  </si>
  <si>
    <t>ヤン</t>
    <phoneticPr fontId="1"/>
  </si>
  <si>
    <t>児玉</t>
    <rPh sb="0" eb="2">
      <t>コダマ</t>
    </rPh>
    <phoneticPr fontId="1"/>
  </si>
  <si>
    <t>友杉</t>
    <phoneticPr fontId="1"/>
  </si>
  <si>
    <t>藤岡</t>
    <phoneticPr fontId="1"/>
  </si>
  <si>
    <t>澤村</t>
    <phoneticPr fontId="1"/>
  </si>
  <si>
    <t>ポランコ</t>
  </si>
  <si>
    <t>石川慎</t>
    <phoneticPr fontId="1"/>
  </si>
  <si>
    <t>菊地</t>
    <phoneticPr fontId="1"/>
  </si>
  <si>
    <t>大谷</t>
    <phoneticPr fontId="1"/>
  </si>
  <si>
    <t>高野</t>
    <phoneticPr fontId="1"/>
  </si>
  <si>
    <t>田中</t>
    <phoneticPr fontId="1"/>
  </si>
  <si>
    <t>坂本</t>
    <phoneticPr fontId="1"/>
  </si>
  <si>
    <t>小野</t>
    <phoneticPr fontId="1"/>
  </si>
  <si>
    <t>大下</t>
    <phoneticPr fontId="1"/>
  </si>
  <si>
    <t>西村</t>
    <phoneticPr fontId="1"/>
  </si>
  <si>
    <t>ダイクストラ</t>
  </si>
  <si>
    <t>メルセデス</t>
  </si>
  <si>
    <t>植田</t>
    <phoneticPr fontId="1"/>
  </si>
  <si>
    <t>鈴木昭</t>
    <phoneticPr fontId="1"/>
  </si>
  <si>
    <t>愛斗</t>
  </si>
  <si>
    <t>山口</t>
    <phoneticPr fontId="1"/>
  </si>
  <si>
    <t>柿沼</t>
    <phoneticPr fontId="1"/>
  </si>
  <si>
    <t>早坂</t>
    <phoneticPr fontId="1"/>
  </si>
  <si>
    <t>横山</t>
    <phoneticPr fontId="1"/>
  </si>
  <si>
    <t>フェルナンデス</t>
  </si>
  <si>
    <t>寺地</t>
    <phoneticPr fontId="1"/>
  </si>
  <si>
    <t>澤田</t>
    <phoneticPr fontId="1"/>
  </si>
  <si>
    <t>金田</t>
    <phoneticPr fontId="1"/>
  </si>
  <si>
    <t>田中楓</t>
    <phoneticPr fontId="1"/>
  </si>
  <si>
    <t>土肥</t>
    <phoneticPr fontId="1"/>
  </si>
  <si>
    <t>石川歩</t>
    <phoneticPr fontId="1"/>
  </si>
  <si>
    <t>河村</t>
    <phoneticPr fontId="1"/>
  </si>
  <si>
    <t>古谷</t>
    <phoneticPr fontId="1"/>
  </si>
  <si>
    <t>永島田</t>
    <phoneticPr fontId="1"/>
  </si>
  <si>
    <t>村山</t>
    <phoneticPr fontId="1"/>
  </si>
  <si>
    <t>吉川</t>
    <phoneticPr fontId="1"/>
  </si>
  <si>
    <t>白濱</t>
    <phoneticPr fontId="1"/>
  </si>
  <si>
    <t>黒川</t>
    <phoneticPr fontId="1"/>
  </si>
  <si>
    <t>菅野</t>
    <phoneticPr fontId="1"/>
  </si>
  <si>
    <t>二保</t>
    <phoneticPr fontId="1"/>
  </si>
  <si>
    <t>松石</t>
    <phoneticPr fontId="1"/>
  </si>
  <si>
    <t>髙野</t>
    <phoneticPr fontId="1"/>
  </si>
  <si>
    <t>富山</t>
    <phoneticPr fontId="1"/>
  </si>
  <si>
    <t>友杉 篤輝</t>
  </si>
  <si>
    <t>上田 希由翔</t>
  </si>
  <si>
    <t>澤村 拓一</t>
  </si>
  <si>
    <t>石川 慎吾</t>
  </si>
  <si>
    <t>菊地 吏玖</t>
  </si>
  <si>
    <t>大谷 輝龍</t>
  </si>
  <si>
    <t>高野 脩汰</t>
  </si>
  <si>
    <t>田中 晴也</t>
  </si>
  <si>
    <t>坂本 光士郎</t>
  </si>
  <si>
    <t>西村 天裕</t>
  </si>
  <si>
    <t>木村 優人</t>
  </si>
  <si>
    <t>早坂 響</t>
  </si>
  <si>
    <t>山本 大斗</t>
  </si>
  <si>
    <t>寺地 隆成</t>
  </si>
  <si>
    <t>金田 優太</t>
  </si>
  <si>
    <t>田中 楓基</t>
  </si>
  <si>
    <t>永島田 輝斗</t>
  </si>
  <si>
    <t>村山 亮介</t>
  </si>
  <si>
    <t>吉川 悠斗</t>
  </si>
  <si>
    <t>白濱 快起</t>
  </si>
  <si>
    <t>勝又 琉偉</t>
  </si>
  <si>
    <t>黒川 凱星</t>
  </si>
  <si>
    <t>武内 涼太</t>
  </si>
  <si>
    <t>松石 信八</t>
  </si>
  <si>
    <t>髙野 光海</t>
  </si>
  <si>
    <t>藤田 和樹</t>
  </si>
  <si>
    <t>富山 紘之進</t>
  </si>
  <si>
    <t>エスピノーザ</t>
  </si>
  <si>
    <t>ゴンザレス</t>
  </si>
  <si>
    <t>宇田川</t>
    <phoneticPr fontId="1"/>
  </si>
  <si>
    <t>曽谷</t>
    <phoneticPr fontId="1"/>
  </si>
  <si>
    <t>阿部</t>
    <phoneticPr fontId="1"/>
  </si>
  <si>
    <t>山﨑</t>
    <phoneticPr fontId="1"/>
  </si>
  <si>
    <t>内藤</t>
    <phoneticPr fontId="1"/>
  </si>
  <si>
    <t>齋藤響</t>
    <phoneticPr fontId="1"/>
  </si>
  <si>
    <t>廣岡</t>
    <phoneticPr fontId="1"/>
  </si>
  <si>
    <t>杉澤</t>
    <phoneticPr fontId="1"/>
  </si>
  <si>
    <t>セデーニョ</t>
  </si>
  <si>
    <t>マチャド</t>
  </si>
  <si>
    <t>トーマス</t>
  </si>
  <si>
    <t>東松</t>
    <phoneticPr fontId="1"/>
  </si>
  <si>
    <t>カスティーヨ</t>
  </si>
  <si>
    <t>茶野</t>
    <phoneticPr fontId="1"/>
  </si>
  <si>
    <t>堀</t>
    <phoneticPr fontId="1"/>
  </si>
  <si>
    <t>河内 康介</t>
  </si>
  <si>
    <t>大里</t>
    <phoneticPr fontId="1"/>
  </si>
  <si>
    <t>髙島</t>
    <phoneticPr fontId="1"/>
  </si>
  <si>
    <t>古田島</t>
    <phoneticPr fontId="1"/>
  </si>
  <si>
    <t>権田</t>
    <phoneticPr fontId="1"/>
  </si>
  <si>
    <t>平野</t>
    <phoneticPr fontId="1"/>
  </si>
  <si>
    <t>山中</t>
    <phoneticPr fontId="1"/>
  </si>
  <si>
    <t>031</t>
  </si>
  <si>
    <t>032</t>
  </si>
  <si>
    <t>入山</t>
    <phoneticPr fontId="1"/>
  </si>
  <si>
    <t>034</t>
  </si>
  <si>
    <t>041</t>
  </si>
  <si>
    <t>寿賀</t>
    <phoneticPr fontId="1"/>
  </si>
  <si>
    <t>042</t>
  </si>
  <si>
    <t>大江</t>
    <phoneticPr fontId="1"/>
  </si>
  <si>
    <t>043</t>
  </si>
  <si>
    <t>044</t>
  </si>
  <si>
    <t>芦田</t>
    <phoneticPr fontId="1"/>
  </si>
  <si>
    <t>045</t>
  </si>
  <si>
    <t>河野</t>
    <phoneticPr fontId="1"/>
  </si>
  <si>
    <t>上野</t>
    <phoneticPr fontId="1"/>
  </si>
  <si>
    <t>香月</t>
    <phoneticPr fontId="1"/>
  </si>
  <si>
    <t>椋木</t>
    <phoneticPr fontId="1"/>
  </si>
  <si>
    <t>井口</t>
    <phoneticPr fontId="1"/>
  </si>
  <si>
    <t>西川 龍馬</t>
  </si>
  <si>
    <t>曽谷 龍平</t>
  </si>
  <si>
    <t>吉田 輝星</t>
  </si>
  <si>
    <t>内藤 鵬</t>
  </si>
  <si>
    <t>齋藤 響介</t>
  </si>
  <si>
    <t>廣岡 大志</t>
  </si>
  <si>
    <t>杉澤 龍</t>
  </si>
  <si>
    <t>横山 聖哉</t>
  </si>
  <si>
    <t>石川 亮</t>
  </si>
  <si>
    <t>東松 快征</t>
  </si>
  <si>
    <t>茶野 篤政</t>
  </si>
  <si>
    <t>堀 柊那</t>
  </si>
  <si>
    <t>髙島 泰都</t>
  </si>
  <si>
    <t>古田島 成龍</t>
  </si>
  <si>
    <t>権田 琉成</t>
  </si>
  <si>
    <t>才木 海翔</t>
  </si>
  <si>
    <t>入山 海斗</t>
  </si>
  <si>
    <t>村上 喬一朗</t>
  </si>
  <si>
    <t>寿賀 弘都</t>
  </si>
  <si>
    <t>大江 海透</t>
  </si>
  <si>
    <t>宮國 凌空</t>
  </si>
  <si>
    <t>芦田 丈飛</t>
  </si>
  <si>
    <t>河野 聡太</t>
  </si>
  <si>
    <t>木下 元秀</t>
  </si>
  <si>
    <t>上野 響平</t>
  </si>
  <si>
    <t>香月 一也</t>
  </si>
  <si>
    <t>井口 和朋</t>
  </si>
  <si>
    <t>ポンセ</t>
  </si>
  <si>
    <t>古謝</t>
    <phoneticPr fontId="1"/>
  </si>
  <si>
    <t>荘司</t>
    <phoneticPr fontId="1"/>
  </si>
  <si>
    <t>ターリー</t>
  </si>
  <si>
    <t>小孫</t>
    <phoneticPr fontId="1"/>
  </si>
  <si>
    <t>フランコ</t>
  </si>
  <si>
    <t>弓削</t>
    <phoneticPr fontId="1"/>
  </si>
  <si>
    <t>伊藤裕</t>
    <phoneticPr fontId="1"/>
  </si>
  <si>
    <t>櫻井</t>
    <phoneticPr fontId="1"/>
  </si>
  <si>
    <t>伊藤茉</t>
    <phoneticPr fontId="1"/>
  </si>
  <si>
    <t>坂井</t>
    <phoneticPr fontId="1"/>
  </si>
  <si>
    <t>日當</t>
    <phoneticPr fontId="1"/>
  </si>
  <si>
    <t>ワォーターズ</t>
    <phoneticPr fontId="1"/>
  </si>
  <si>
    <t>松田</t>
    <phoneticPr fontId="1"/>
  </si>
  <si>
    <t>大内</t>
    <phoneticPr fontId="1"/>
  </si>
  <si>
    <t>青野</t>
    <phoneticPr fontId="1"/>
  </si>
  <si>
    <t>宮森</t>
    <phoneticPr fontId="1"/>
  </si>
  <si>
    <t>辰見</t>
    <phoneticPr fontId="1"/>
  </si>
  <si>
    <t>王彦程</t>
    <phoneticPr fontId="1"/>
  </si>
  <si>
    <t>水上</t>
    <phoneticPr fontId="1"/>
  </si>
  <si>
    <t>062</t>
  </si>
  <si>
    <t>西口</t>
    <phoneticPr fontId="1"/>
  </si>
  <si>
    <t>古賀</t>
    <phoneticPr fontId="1"/>
  </si>
  <si>
    <t>永田</t>
    <phoneticPr fontId="1"/>
  </si>
  <si>
    <t>清宮</t>
    <phoneticPr fontId="1"/>
  </si>
  <si>
    <t>江川</t>
    <phoneticPr fontId="1"/>
  </si>
  <si>
    <t>小峯</t>
    <phoneticPr fontId="1"/>
  </si>
  <si>
    <t>澤野</t>
    <phoneticPr fontId="1"/>
  </si>
  <si>
    <t>柳澤</t>
    <phoneticPr fontId="1"/>
  </si>
  <si>
    <t>大河原</t>
    <phoneticPr fontId="1"/>
  </si>
  <si>
    <t>竹下</t>
    <phoneticPr fontId="1"/>
  </si>
  <si>
    <t>古謝 樹</t>
  </si>
  <si>
    <t>荘司 康誠</t>
  </si>
  <si>
    <t>小孫 竜二</t>
  </si>
  <si>
    <t>平良 竜哉</t>
  </si>
  <si>
    <t>渡辺 翔太</t>
  </si>
  <si>
    <t>中島 大輔</t>
  </si>
  <si>
    <t>伊藤 茉央</t>
  </si>
  <si>
    <t>坂井 陽翔</t>
  </si>
  <si>
    <t>日當 直喜</t>
  </si>
  <si>
    <t>松田 啄磨</t>
  </si>
  <si>
    <t>林 優樹</t>
  </si>
  <si>
    <t>大内 誠弥</t>
  </si>
  <si>
    <t>青野 拓海</t>
  </si>
  <si>
    <t>宮森 智志</t>
  </si>
  <si>
    <t>辰見 鴻之介</t>
  </si>
  <si>
    <t>王 彦程</t>
  </si>
  <si>
    <t>古賀 康誠</t>
  </si>
  <si>
    <t>永田 颯太郎</t>
  </si>
  <si>
    <t>清宮 虎多朗</t>
  </si>
  <si>
    <t>江川 侑斗</t>
  </si>
  <si>
    <t>小峯 新陸</t>
  </si>
  <si>
    <t>澤野 聖悠</t>
  </si>
  <si>
    <t>柳澤 大空</t>
  </si>
  <si>
    <t>大河原 翔</t>
  </si>
  <si>
    <t>竹下 瑛広</t>
  </si>
  <si>
    <t>フォスター・グリフィン</t>
    <phoneticPr fontId="1"/>
  </si>
  <si>
    <t>カイル・ケラー</t>
    <phoneticPr fontId="1"/>
  </si>
  <si>
    <t>アルベルト・バルドナード</t>
    <phoneticPr fontId="1"/>
  </si>
  <si>
    <t>ヨアンデル・メンデス</t>
    <phoneticPr fontId="1"/>
  </si>
  <si>
    <t>ヨアン・ロペス</t>
    <phoneticPr fontId="1"/>
  </si>
  <si>
    <t>フリアン・ティマ</t>
    <phoneticPr fontId="1"/>
  </si>
  <si>
    <t>エルビス・ルシアーノ</t>
    <phoneticPr fontId="1"/>
  </si>
  <si>
    <t>ユーリー・ラモス</t>
    <phoneticPr fontId="1"/>
  </si>
  <si>
    <t>エスタミー・ウレーニャ</t>
    <phoneticPr fontId="1"/>
  </si>
  <si>
    <t>ホセ・オスナ</t>
    <phoneticPr fontId="1"/>
  </si>
  <si>
    <t>ドミンゴ・サンタナ</t>
    <phoneticPr fontId="1"/>
  </si>
  <si>
    <t>スコット・マクガフ</t>
    <phoneticPr fontId="1"/>
  </si>
  <si>
    <t>ホセ・エスパーダ</t>
    <phoneticPr fontId="1"/>
  </si>
  <si>
    <t>ミゲル・ヤフーレ</t>
    <phoneticPr fontId="1"/>
  </si>
  <si>
    <t>タイラー・オースティン</t>
    <phoneticPr fontId="1"/>
  </si>
  <si>
    <t>アンドレ・ジャクソン</t>
    <phoneticPr fontId="1"/>
  </si>
  <si>
    <t>J.B.ウェンデルケン</t>
    <phoneticPr fontId="1"/>
  </si>
  <si>
    <t>ローワン・ウィック</t>
    <phoneticPr fontId="1"/>
  </si>
  <si>
    <t>アンソニー・ケイ</t>
    <phoneticPr fontId="1"/>
  </si>
  <si>
    <t>ウィルニー・モロン</t>
    <phoneticPr fontId="1"/>
  </si>
  <si>
    <t>ハンセル・マルセリーノ</t>
    <phoneticPr fontId="1"/>
  </si>
  <si>
    <t>ジョフレック・ディアス</t>
    <phoneticPr fontId="1"/>
  </si>
  <si>
    <t>アレクサンダー・マルティネス</t>
    <phoneticPr fontId="1"/>
  </si>
  <si>
    <t>シェルドン・ノイジー</t>
    <phoneticPr fontId="1"/>
  </si>
  <si>
    <t>ハビー・ゲラ</t>
    <phoneticPr fontId="1"/>
  </si>
  <si>
    <t>ヨハン・ミエセス</t>
    <phoneticPr fontId="1"/>
  </si>
  <si>
    <t>ジェレミー・ビーズリー</t>
    <phoneticPr fontId="1"/>
  </si>
  <si>
    <t>ダヤン・ビシエド</t>
    <phoneticPr fontId="1"/>
  </si>
  <si>
    <t>ウンベルト・メヒア</t>
    <phoneticPr fontId="1"/>
  </si>
  <si>
    <t>ライデル・マルティネス</t>
    <phoneticPr fontId="1"/>
  </si>
  <si>
    <t>マイケル・フェリス</t>
    <phoneticPr fontId="1"/>
  </si>
  <si>
    <t>アレックス・ディカーソン</t>
    <phoneticPr fontId="1"/>
  </si>
  <si>
    <t>松山</t>
    <rPh sb="0" eb="2">
      <t>マツヤマ</t>
    </rPh>
    <phoneticPr fontId="1"/>
  </si>
  <si>
    <t>メヒア</t>
    <phoneticPr fontId="1"/>
  </si>
  <si>
    <t>フェリス</t>
    <phoneticPr fontId="1"/>
  </si>
  <si>
    <t>ディカーソン</t>
    <phoneticPr fontId="1"/>
  </si>
  <si>
    <t>オルランド・カリステ</t>
    <phoneticPr fontId="1"/>
  </si>
  <si>
    <t>フランク・アルバレス</t>
    <phoneticPr fontId="1"/>
  </si>
  <si>
    <t>カルロス・モニエル</t>
    <phoneticPr fontId="1"/>
  </si>
  <si>
    <t>クリスチャン・ロドリゲス</t>
    <phoneticPr fontId="1"/>
  </si>
  <si>
    <t>スチュワート・ジュニア</t>
    <phoneticPr fontId="1"/>
  </si>
  <si>
    <t>アダム・ウォーカー</t>
    <phoneticPr fontId="1"/>
  </si>
  <si>
    <t>リバン・モイネロ</t>
    <phoneticPr fontId="1"/>
  </si>
  <si>
    <t>ロベルト・オスナ</t>
    <phoneticPr fontId="1"/>
  </si>
  <si>
    <t>ダーウィンゾン・ヘルナンデス</t>
    <phoneticPr fontId="1"/>
  </si>
  <si>
    <t>野村勇</t>
    <phoneticPr fontId="1"/>
  </si>
  <si>
    <t>アレクサンダー・アルメンタ</t>
    <phoneticPr fontId="1"/>
  </si>
  <si>
    <t>マイロン・フェリックス</t>
    <phoneticPr fontId="1"/>
  </si>
  <si>
    <t>マルコ・シモン</t>
    <phoneticPr fontId="1"/>
  </si>
  <si>
    <t>ルイス・ロドリゲス</t>
    <phoneticPr fontId="1"/>
  </si>
  <si>
    <t>ホセ・オスーナ</t>
    <phoneticPr fontId="1"/>
  </si>
  <si>
    <t>デービッド・アルモンテ</t>
    <phoneticPr fontId="1"/>
  </si>
  <si>
    <t>ダリオ・サルディ</t>
    <phoneticPr fontId="1"/>
  </si>
  <si>
    <t>ジェフリー・ヤン</t>
    <phoneticPr fontId="1"/>
  </si>
  <si>
    <t>ヘスス・アギラー</t>
    <phoneticPr fontId="1"/>
  </si>
  <si>
    <t>アルバート・アブレイユ</t>
    <phoneticPr fontId="1"/>
  </si>
  <si>
    <t>フランチー・コルデロ</t>
    <phoneticPr fontId="1"/>
  </si>
  <si>
    <t>ビクター・ロペス</t>
    <phoneticPr fontId="1"/>
  </si>
  <si>
    <t>モンテル</t>
    <phoneticPr fontId="1"/>
  </si>
  <si>
    <t>ジョセフ</t>
    <phoneticPr fontId="1"/>
  </si>
  <si>
    <t>アンソニー・ガルシア</t>
    <phoneticPr fontId="1"/>
  </si>
  <si>
    <t>グレゴリー・ポランコ</t>
    <phoneticPr fontId="1"/>
  </si>
  <si>
    <t>ジェームス・ダイクストラ</t>
    <phoneticPr fontId="1"/>
  </si>
  <si>
    <t>C.C.メルセデス</t>
    <phoneticPr fontId="1"/>
  </si>
  <si>
    <t>ジュニオール・フェルナンデス</t>
    <phoneticPr fontId="1"/>
  </si>
  <si>
    <t>ジミー・コルデロ</t>
    <phoneticPr fontId="1"/>
  </si>
  <si>
    <t>ネフタリ・ソト</t>
    <phoneticPr fontId="1"/>
  </si>
  <si>
    <t>アンダーソン・エスピノーザ</t>
    <phoneticPr fontId="1"/>
  </si>
  <si>
    <t>マーウィン・ゴンザレス</t>
    <phoneticPr fontId="1"/>
  </si>
  <si>
    <t>レアンドロ・セデーニョ</t>
    <phoneticPr fontId="1"/>
  </si>
  <si>
    <t>アンドレス・マチャド</t>
    <phoneticPr fontId="1"/>
  </si>
  <si>
    <t>コーディ・トーマス</t>
    <phoneticPr fontId="1"/>
  </si>
  <si>
    <t>ルイス・カスティーヨ</t>
    <phoneticPr fontId="1"/>
  </si>
  <si>
    <t>セサル・バルガス</t>
    <phoneticPr fontId="1"/>
  </si>
  <si>
    <t>河内</t>
    <phoneticPr fontId="1"/>
  </si>
  <si>
    <t>コディ・ポンセ</t>
    <phoneticPr fontId="1"/>
  </si>
  <si>
    <t>ニック・ターリー</t>
    <phoneticPr fontId="1"/>
  </si>
  <si>
    <t>マイケル・フランコ</t>
    <phoneticPr fontId="1"/>
  </si>
  <si>
    <t>巨人</t>
    <rPh sb="0" eb="2">
      <t>キョジン</t>
    </rPh>
    <phoneticPr fontId="1"/>
  </si>
  <si>
    <t>ヤクルト</t>
    <phoneticPr fontId="1"/>
  </si>
  <si>
    <t>DeNA</t>
    <phoneticPr fontId="1"/>
  </si>
  <si>
    <t>阪神</t>
    <rPh sb="0" eb="2">
      <t>ハンシン</t>
    </rPh>
    <phoneticPr fontId="1"/>
  </si>
  <si>
    <t>中日</t>
    <rPh sb="0" eb="2">
      <t>チュウニチ</t>
    </rPh>
    <phoneticPr fontId="1"/>
  </si>
  <si>
    <t>ソフトバンク</t>
    <phoneticPr fontId="1"/>
  </si>
  <si>
    <t>西武</t>
    <rPh sb="0" eb="2">
      <t>セイブ</t>
    </rPh>
    <phoneticPr fontId="1"/>
  </si>
  <si>
    <t>ロッテ</t>
    <phoneticPr fontId="1"/>
  </si>
  <si>
    <t>オリックス</t>
    <phoneticPr fontId="1"/>
  </si>
  <si>
    <t>楽天</t>
    <rPh sb="0" eb="2">
      <t>ラクテン</t>
    </rPh>
    <phoneticPr fontId="1"/>
  </si>
  <si>
    <t>中川圭</t>
    <rPh sb="2" eb="3">
      <t>ケイ</t>
    </rPh>
    <phoneticPr fontId="1"/>
  </si>
  <si>
    <t>T－岡田</t>
    <phoneticPr fontId="1"/>
  </si>
  <si>
    <t>オドーア</t>
    <phoneticPr fontId="1"/>
  </si>
  <si>
    <t>ルーグネット・オドーア</t>
    <phoneticPr fontId="1"/>
  </si>
  <si>
    <t>山﨑 剛</t>
    <rPh sb="1" eb="2">
      <t>サキ</t>
    </rPh>
    <phoneticPr fontId="1"/>
  </si>
  <si>
    <t>濵田</t>
    <phoneticPr fontId="1"/>
  </si>
  <si>
    <t>平田</t>
    <phoneticPr fontId="1"/>
  </si>
  <si>
    <t>加藤大</t>
    <phoneticPr fontId="1"/>
  </si>
  <si>
    <t>松本遼</t>
    <phoneticPr fontId="1"/>
  </si>
  <si>
    <t>齊藤伸</t>
    <phoneticPr fontId="1"/>
  </si>
  <si>
    <t>柳川</t>
    <phoneticPr fontId="1"/>
  </si>
  <si>
    <t>中山</t>
    <phoneticPr fontId="1"/>
  </si>
  <si>
    <t>山本晃</t>
    <phoneticPr fontId="1"/>
  </si>
  <si>
    <t>鍵谷</t>
    <phoneticPr fontId="1"/>
  </si>
  <si>
    <t>柿木</t>
    <phoneticPr fontId="1"/>
  </si>
  <si>
    <t>宮内</t>
    <phoneticPr fontId="1"/>
  </si>
  <si>
    <t>梅林</t>
    <phoneticPr fontId="1"/>
  </si>
  <si>
    <t>松岡</t>
    <phoneticPr fontId="1"/>
  </si>
  <si>
    <t>孫易磊</t>
    <phoneticPr fontId="1"/>
  </si>
  <si>
    <t>濵田 泰希</t>
  </si>
  <si>
    <t>平田 大樹</t>
  </si>
  <si>
    <t>加藤 大和</t>
  </si>
  <si>
    <t>鍵谷 陽平</t>
  </si>
  <si>
    <t>宮内 春輝</t>
  </si>
  <si>
    <t>梅林 優貴</t>
  </si>
  <si>
    <t>松岡 洸希</t>
  </si>
  <si>
    <t>孫 易磊</t>
  </si>
  <si>
    <t>する</t>
  </si>
  <si>
    <t>GIANTS</t>
    <phoneticPr fontId="1"/>
  </si>
  <si>
    <t>SWALLOWS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</si>
</sst>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>
    <numFmt numFmtId="176" formatCode=".000"/>
  </numFmts>
  <fonts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00FF00"/>
      <name val="ＭＳ Ｐゴシック"/>
      <family val="2"/>
      <charset val="128"/>
      <scheme val="minor"/>
    </font>
    <font>
      <sz val="11"/>
      <color rgb="FFFFFF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FF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1"/>
      <color rgb="FF006298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94C52B"/>
      <name val="ＭＳ Ｐゴシック"/>
      <family val="2"/>
      <charset val="128"/>
      <scheme val="minor"/>
    </font>
    <font>
      <sz val="11"/>
      <color rgb="FF001443"/>
      <name val="ＭＳ Ｐゴシック"/>
      <family val="3"/>
      <charset val="128"/>
      <scheme val="minor"/>
    </font>
    <font>
      <sz val="11"/>
      <color rgb="FFF79727"/>
      <name val="ＭＳ Ｐゴシック"/>
      <family val="2"/>
      <charset val="128"/>
      <scheme val="minor"/>
    </font>
    <font>
      <sz val="11"/>
      <color rgb="FFFFE30D"/>
      <name val="ＭＳ Ｐゴシック"/>
      <family val="2"/>
      <charset val="128"/>
      <scheme val="minor"/>
    </font>
    <font>
      <sz val="11"/>
      <color rgb="FF261C1A"/>
      <name val="ＭＳ Ｐゴシック"/>
      <family val="2"/>
      <charset val="128"/>
      <scheme val="minor"/>
    </font>
    <font>
      <sz val="11"/>
      <color rgb="FF00408E"/>
      <name val="ＭＳ Ｐゴシック"/>
      <family val="3"/>
      <charset val="128"/>
      <scheme val="minor"/>
    </font>
    <font>
      <sz val="11"/>
      <color rgb="FF00037A"/>
      <name val="ＭＳ Ｐゴシック"/>
      <family val="3"/>
      <charset val="128"/>
      <scheme val="minor"/>
    </font>
    <font>
      <sz val="11"/>
      <color rgb="FFB8A536"/>
      <name val="ＭＳ Ｐゴシック"/>
      <family val="2"/>
      <charset val="128"/>
      <scheme val="minor"/>
    </font>
    <font>
      <sz val="11"/>
      <color rgb="FFF6AB00"/>
      <name val="ＭＳ Ｐゴシック"/>
      <family val="2"/>
      <charset val="128"/>
      <scheme val="minor"/>
    </font>
    <font>
      <sz val="11"/>
      <color rgb="FFFF71FF"/>
      <name val="ＭＳ Ｐゴシック"/>
      <family val="3"/>
      <charset val="128"/>
      <scheme val="minor"/>
    </font>
  </fonts>
  <fills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B4A16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006298"/>
        <bgColor indexed="64"/>
      </patternFill>
    </fill>
    <fill>
      <patternFill patternType="solid">
        <fgColor rgb="FF004468"/>
        <bgColor indexed="64"/>
      </patternFill>
    </fill>
    <fill>
      <patternFill patternType="solid">
        <fgColor rgb="FFF79727"/>
        <bgColor indexed="64"/>
      </patternFill>
    </fill>
    <fill>
      <patternFill patternType="solid">
        <fgColor rgb="FFD77907"/>
        <bgColor indexed="64"/>
      </patternFill>
    </fill>
    <fill>
      <patternFill patternType="solid">
        <fgColor rgb="FF94C52B"/>
        <bgColor indexed="64"/>
      </patternFill>
    </fill>
    <fill>
      <patternFill patternType="solid">
        <fgColor rgb="FF001443"/>
        <bgColor indexed="64"/>
      </patternFill>
    </fill>
    <fill>
      <patternFill patternType="solid">
        <fgColor rgb="FF000C26"/>
        <bgColor indexed="64"/>
      </patternFill>
    </fill>
    <fill>
      <patternFill patternType="solid">
        <fgColor rgb="FF85B026"/>
        <bgColor indexed="64"/>
      </patternFill>
    </fill>
    <fill>
      <patternFill patternType="solid">
        <fgColor rgb="FF00428E"/>
        <bgColor indexed="64"/>
      </patternFill>
    </fill>
    <fill>
      <patternFill patternType="solid">
        <fgColor rgb="FFFEE101"/>
        <bgColor indexed="64"/>
      </patternFill>
    </fill>
    <fill>
      <patternFill patternType="solid">
        <fgColor rgb="FFD5BC01"/>
        <bgColor indexed="64"/>
      </patternFill>
    </fill>
    <fill>
      <patternFill patternType="solid">
        <fgColor rgb="FF006FEA"/>
        <bgColor indexed="64"/>
      </patternFill>
    </fill>
    <fill>
      <patternFill patternType="solid">
        <fgColor rgb="FF003B90"/>
        <bgColor indexed="64"/>
      </patternFill>
    </fill>
    <fill>
      <patternFill patternType="solid">
        <fgColor rgb="FFFCC700"/>
        <bgColor indexed="64"/>
      </patternFill>
    </fill>
    <fill>
      <patternFill patternType="solid">
        <fgColor rgb="FFD2A500"/>
        <bgColor indexed="64"/>
      </patternFill>
    </fill>
    <fill>
      <patternFill patternType="solid">
        <fgColor rgb="FF005FEA"/>
        <bgColor indexed="64"/>
      </patternFill>
    </fill>
    <fill>
      <patternFill patternType="solid">
        <fgColor rgb="FF001F45"/>
        <bgColor indexed="64"/>
      </patternFill>
    </fill>
    <fill>
      <patternFill patternType="solid">
        <fgColor rgb="FF00408E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0121"/>
        <bgColor indexed="64"/>
      </patternFill>
    </fill>
    <fill>
      <patternFill patternType="solid">
        <fgColor rgb="FF00037A"/>
        <bgColor indexed="64"/>
      </patternFill>
    </fill>
    <fill>
      <patternFill patternType="solid">
        <fgColor rgb="FFB8A536"/>
        <bgColor indexed="64"/>
      </patternFill>
    </fill>
    <fill>
      <patternFill patternType="solid">
        <fgColor rgb="FF870011"/>
        <bgColor indexed="64"/>
      </patternFill>
    </fill>
    <fill>
      <patternFill patternType="solid">
        <fgColor rgb="FF60000B"/>
        <bgColor indexed="64"/>
      </patternFill>
    </fill>
    <fill>
      <patternFill patternType="solid">
        <fgColor rgb="FFE6E6E6"/>
        <bgColor indexed="64"/>
      </patternFill>
    </fill>
  </fills>
  <borders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3" fillId="2" borderId="1" xfId="0" applyNumberFormat="1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right" vertical="center"/>
    </xf>
    <xf numFmtId="0" fontId="2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49" fontId="6" fillId="0" borderId="0" xfId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5" fillId="0" borderId="4" xfId="0" applyFont="1" applyBorder="1" applyAlignment="1">
      <alignment horizontal="center" vertical="center"/>
    </xf>
    <xf numFmtId="0" fontId="0" fillId="6" borderId="0" xfId="0" applyFill="1">
      <alignment vertical="center"/>
    </xf>
    <xf numFmtId="49" fontId="0" fillId="0" borderId="1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8" fillId="1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3" fillId="12" borderId="4" xfId="0" applyFont="1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horizontal="center" vertical="center"/>
    </xf>
    <xf numFmtId="0" fontId="11" fillId="17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76" fontId="15" fillId="2" borderId="1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right" vertical="center"/>
    </xf>
    <xf numFmtId="0" fontId="8" fillId="18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0" fontId="8" fillId="19" borderId="4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8" fillId="21" borderId="4" xfId="0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0" fontId="20" fillId="24" borderId="4" xfId="0" applyFont="1" applyFill="1" applyBorder="1" applyAlignment="1">
      <alignment horizontal="center" vertical="center"/>
    </xf>
    <xf numFmtId="0" fontId="8" fillId="25" borderId="1" xfId="0" applyFont="1" applyFill="1" applyBorder="1" applyAlignment="1">
      <alignment horizontal="center" vertical="center"/>
    </xf>
    <xf numFmtId="0" fontId="8" fillId="26" borderId="1" xfId="0" applyFont="1" applyFill="1" applyBorder="1" applyAlignment="1">
      <alignment horizontal="center" vertical="center"/>
    </xf>
    <xf numFmtId="0" fontId="21" fillId="23" borderId="4" xfId="0" applyFont="1" applyFill="1" applyBorder="1" applyAlignment="1">
      <alignment horizontal="center" vertical="center"/>
    </xf>
    <xf numFmtId="0" fontId="22" fillId="8" borderId="4" xfId="0" applyFont="1" applyFill="1" applyBorder="1" applyAlignment="1">
      <alignment horizontal="center" vertical="center"/>
    </xf>
    <xf numFmtId="0" fontId="18" fillId="27" borderId="4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24" fillId="28" borderId="4" xfId="0" applyFont="1" applyFill="1" applyBorder="1" applyAlignment="1">
      <alignment horizontal="center" vertical="center"/>
    </xf>
    <xf numFmtId="0" fontId="8" fillId="29" borderId="1" xfId="0" applyFont="1" applyFill="1" applyBorder="1" applyAlignment="1">
      <alignment horizontal="center" vertical="center"/>
    </xf>
    <xf numFmtId="0" fontId="23" fillId="30" borderId="4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18" fillId="31" borderId="4" xfId="0" applyFont="1" applyFill="1" applyBorder="1" applyAlignment="1">
      <alignment horizontal="center" vertical="center"/>
    </xf>
    <xf numFmtId="0" fontId="24" fillId="32" borderId="4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8" fillId="33" borderId="1" xfId="0" applyFont="1" applyFill="1" applyBorder="1" applyAlignment="1">
      <alignment horizontal="center" vertical="center"/>
    </xf>
    <xf numFmtId="0" fontId="8" fillId="34" borderId="4" xfId="0" applyFont="1" applyFill="1" applyBorder="1" applyAlignment="1">
      <alignment horizontal="center" vertical="center"/>
    </xf>
    <xf numFmtId="0" fontId="8" fillId="34" borderId="1" xfId="0" applyFont="1" applyFill="1" applyBorder="1" applyAlignment="1">
      <alignment horizontal="center" vertical="center"/>
    </xf>
    <xf numFmtId="0" fontId="24" fillId="3" borderId="4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18" fillId="35" borderId="4" xfId="0" applyFont="1" applyFill="1" applyBorder="1" applyAlignment="1">
      <alignment horizontal="center" vertical="center"/>
    </xf>
    <xf numFmtId="0" fontId="8" fillId="36" borderId="4" xfId="0" applyFont="1" applyFill="1" applyBorder="1" applyAlignment="1">
      <alignment horizontal="center" vertical="center"/>
    </xf>
    <xf numFmtId="0" fontId="8" fillId="36" borderId="1" xfId="0" applyFont="1" applyFill="1" applyBorder="1" applyAlignment="1">
      <alignment horizontal="center" vertical="center"/>
    </xf>
    <xf numFmtId="0" fontId="8" fillId="37" borderId="1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18" fillId="38" borderId="4" xfId="0" applyFont="1" applyFill="1" applyBorder="1" applyAlignment="1">
      <alignment horizontal="center" vertical="center"/>
    </xf>
    <xf numFmtId="0" fontId="8" fillId="40" borderId="1" xfId="0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/>
    </xf>
    <xf numFmtId="0" fontId="27" fillId="39" borderId="4" xfId="0" applyFont="1" applyFill="1" applyBorder="1" applyAlignment="1">
      <alignment horizontal="center" vertical="center"/>
    </xf>
    <xf numFmtId="0" fontId="8" fillId="41" borderId="1" xfId="0" applyFont="1" applyFill="1" applyBorder="1" applyAlignment="1">
      <alignment horizontal="center" vertical="center"/>
    </xf>
    <xf numFmtId="0" fontId="8" fillId="42" borderId="1" xfId="0" applyFont="1" applyFill="1" applyBorder="1" applyAlignment="1">
      <alignment horizontal="center" vertical="center"/>
    </xf>
    <xf numFmtId="0" fontId="28" fillId="41" borderId="4" xfId="0" applyFont="1" applyFill="1" applyBorder="1" applyAlignment="1">
      <alignment horizontal="center" vertical="center"/>
    </xf>
    <xf numFmtId="0" fontId="8" fillId="43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FF71FF"/>
      <color rgb="FFE6E6E6"/>
      <color rgb="FFF6AB00"/>
      <color rgb="FF870011"/>
      <color rgb="FF60000B"/>
      <color rgb="FFB8A536"/>
      <color rgb="FF00037A"/>
      <color rgb="FF000121"/>
      <color rgb="FF00408E"/>
      <color rgb="FF001F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571500</xdr:colOff>
      <xdr:row>0</xdr:row>
      <xdr:rowOff>457200</xdr:rowOff>
    </xdr:from>
    <xdr:to>
      <xdr:col>17</xdr:col>
      <xdr:colOff>426720</xdr:colOff>
      <xdr:row>2</xdr:row>
      <xdr:rowOff>68580</xdr:rowOff>
    </xdr:to>
    <xdr:sp macro="[0]!成績移動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9715500" y="457200"/>
          <a:ext cx="1074420" cy="38862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成績移動</a:t>
          </a:r>
        </a:p>
      </xdr:txBody>
    </xdr:sp>
    <xdr:clientData/>
  </xdr:twoCellAnchor>
  <xdr:twoCellAnchor>
    <xdr:from>
      <xdr:col>17</xdr:col>
      <xdr:colOff>586740</xdr:colOff>
      <xdr:row>0</xdr:row>
      <xdr:rowOff>457200</xdr:rowOff>
    </xdr:from>
    <xdr:to>
      <xdr:col>19</xdr:col>
      <xdr:colOff>441960</xdr:colOff>
      <xdr:row>2</xdr:row>
      <xdr:rowOff>68580</xdr:rowOff>
    </xdr:to>
    <xdr:sp macro="[0]!移動消去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949940" y="457200"/>
          <a:ext cx="1074420" cy="28194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消去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baseball.yahoo.co.jp/npb/team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91C6-06DB-41EA-B523-5A350D888CB9}">
  <sheetPr codeName="Sheet1"/>
  <sheetViews>
    <sheetView zoomScaleNormal="100" workbookViewId="0">
      <selection activeCell="L13" sqref="L13"/>
    </sheetView>
  </sheetViews>
  <sheetFormatPr defaultRowHeight="13.2" x14ac:dyDescent="0.2"/>
  <cols>
    <col min="2" max="2" width="14.109375" customWidth="1"/>
    <col min="3" max="3" width="16.77734375" bestFit="1" customWidth="1"/>
    <col min="4" max="5" width="11.6640625" customWidth="1"/>
    <col min="7" max="7" width="14.109375" customWidth="1"/>
    <col min="8" max="8" width="16.77734375" customWidth="1"/>
    <col min="9" max="9" width="11.6640625" customWidth="1"/>
    <col min="11" max="11" width="11.6640625" bestFit="1" customWidth="1"/>
    <col min="12" max="12" width="13.5546875" customWidth="1"/>
    <col min="14" max="14" width="20" bestFit="1" customWidth="1"/>
    <col min="15" max="15" width="7.21875" customWidth="1"/>
    <col min="16" max="16" width="8.88671875" customWidth="1"/>
  </cols>
  <sheetData>
    <row r="3" spans="2:18" x14ac:dyDescent="0.2">
      <c r="D3" t="s" s="2">
        <v>875</v>
      </c>
      <c r="E3" t="s" s="2">
        <v>876</v>
      </c>
      <c r="P3" t="s" s="2">
        <v>875</v>
      </c>
      <c r="Q3" t="s" s="2">
        <v>876</v>
      </c>
    </row>
    <row r="4" spans="2:18" ht="13.2" customHeight="1" x14ac:dyDescent="0.2">
      <c r="B4" t="s" s="106">
        <v>844</v>
      </c>
      <c r="C4" t="s" s="2">
        <v>846</v>
      </c>
      <c r="D4" t="s" s="70">
        <v>850</v>
      </c>
      <c r="E4" t="s" s="74">
        <v>850</v>
      </c>
      <c r="G4" t="s" s="109">
        <v>864</v>
      </c>
      <c r="H4" t="s" s="2">
        <v>846</v>
      </c>
      <c r="I4" t="s" s="40">
        <v>865</v>
      </c>
      <c r="K4" t="s" s="3">
        <v>870</v>
      </c>
      <c r="L4" t="s" s="3">
        <v>2006</v>
      </c>
      <c r="N4" t="s" s="117">
        <v>844</v>
      </c>
      <c r="O4" t="s" s="44">
        <v>877</v>
      </c>
      <c r="P4" s="3">
        <f>textcolor(D4)</f>
      </c>
      <c r="Q4" s="3">
        <f>textcolor(E4)</f>
      </c>
      <c r="R4" t="s">
        <v>890</v>
      </c>
    </row>
    <row r="5" spans="2:18" x14ac:dyDescent="0.2">
      <c r="B5" s="107"/>
      <c r="C5" t="s" s="2">
        <v>847</v>
      </c>
      <c r="D5" s="72"/>
      <c r="E5" s="75"/>
      <c r="G5" s="116"/>
      <c r="H5" t="s" s="2">
        <v>847</v>
      </c>
      <c r="I5" s="37"/>
      <c r="K5" t="s" s="3">
        <v>888</v>
      </c>
      <c r="L5" t="s" s="3">
        <v>2044</v>
      </c>
      <c r="N5" s="118"/>
      <c r="O5" t="s" s="44">
        <v>884</v>
      </c>
      <c r="P5" s="3">
        <f>BackGroundColor(D4,D5,D6,D7,D8,FALSE)</f>
      </c>
      <c r="Q5" s="3">
        <f>BackGroundColor(E4,E5,E6,E7,E8,FALSE)</f>
      </c>
      <c r="R5" t="s">
        <v>890</v>
      </c>
    </row>
    <row r="6" spans="2:18" x14ac:dyDescent="0.2">
      <c r="B6" s="107"/>
      <c r="C6" t="s" s="2">
        <v>842</v>
      </c>
      <c r="D6" t="s" s="2">
        <v>843</v>
      </c>
      <c r="E6" t="s" s="2">
        <v>843</v>
      </c>
      <c r="G6" s="116"/>
      <c r="H6" t="s" s="2">
        <v>842</v>
      </c>
      <c r="I6" s="2"/>
      <c r="K6" t="s" s="3">
        <v>903</v>
      </c>
      <c r="L6" s="43">
        <f>GetLastRow(L4)</f>
      </c>
      <c r="N6" t="s" s="110">
        <v>861</v>
      </c>
      <c r="O6" t="s" s="44">
        <v>877</v>
      </c>
      <c r="P6" s="3">
        <f>textcolor(D9)</f>
      </c>
      <c r="Q6" s="3">
        <f>textcolor(E9)</f>
      </c>
      <c r="R6" t="s">
        <v>890</v>
      </c>
    </row>
    <row r="7" spans="2:18" x14ac:dyDescent="0.2">
      <c r="B7" s="107"/>
      <c r="C7" t="s" s="2">
        <v>851</v>
      </c>
      <c r="D7" s="34">
        <v>0.4</v>
      </c>
      <c r="E7" s="34">
        <v>0.4</v>
      </c>
      <c r="G7" s="116"/>
      <c r="H7" t="s" s="2">
        <v>851</v>
      </c>
      <c r="I7" s="34"/>
      <c r="K7" t="s" s="3">
        <v>871</v>
      </c>
      <c r="L7" t="s" s="3">
        <v>2007</v>
      </c>
      <c r="N7" s="111"/>
      <c r="O7" t="s" s="44">
        <v>884</v>
      </c>
      <c r="P7" s="3">
        <f>BackGroundColor(D9,D10,D11,D12,D13,FALSE)</f>
      </c>
      <c r="Q7" s="3">
        <f>BackGroundColor(E9,E10,E11,E12,E13,FALSE)</f>
      </c>
      <c r="R7" t="s">
        <v>890</v>
      </c>
    </row>
    <row r="8" spans="2:18" x14ac:dyDescent="0.2">
      <c r="B8" s="108"/>
      <c r="C8" t="s" s="2">
        <v>852</v>
      </c>
      <c r="D8" s="34">
        <v>0.6</v>
      </c>
      <c r="E8" s="34">
        <v>0.6</v>
      </c>
      <c r="G8" s="116"/>
      <c r="H8" t="s" s="2">
        <v>852</v>
      </c>
      <c r="I8" s="34"/>
      <c r="K8" t="s" s="3">
        <v>889</v>
      </c>
      <c r="L8" t="s" s="3">
        <v>2045</v>
      </c>
      <c r="N8" t="s" s="48">
        <v>845</v>
      </c>
      <c r="O8" t="s" s="44">
        <v>887</v>
      </c>
      <c r="P8" s="3">
        <f>BackGroundColorSingle(D14)</f>
      </c>
      <c r="Q8" s="3">
        <f t="shared" ref="Q8:Q10" si="0">BackGroundColorSingle(E14)</f>
      </c>
      <c r="R8" t="s">
        <v>890</v>
      </c>
    </row>
    <row r="9" spans="2:18" x14ac:dyDescent="0.2">
      <c r="B9" t="s" s="106">
        <v>861</v>
      </c>
      <c r="C9" t="s" s="2">
        <v>846</v>
      </c>
      <c r="D9" t="s" s="29">
        <v>850</v>
      </c>
      <c r="E9" t="s" s="29">
        <v>850</v>
      </c>
      <c r="G9" t="s" s="109">
        <v>866</v>
      </c>
      <c r="H9" t="s" s="2">
        <v>846</v>
      </c>
      <c r="I9" t="s" s="41">
        <v>865</v>
      </c>
      <c r="K9" t="s" s="3">
        <v>904</v>
      </c>
      <c r="L9" s="43">
        <f>GetLastRow(L7)</f>
      </c>
      <c r="N9" t="s" s="48">
        <v>895</v>
      </c>
      <c r="O9" t="s" s="44">
        <v>887</v>
      </c>
      <c r="P9" s="3">
        <f>BackGroundColorSingle(D15)</f>
      </c>
      <c r="Q9" s="3">
        <f t="shared" si="0"/>
      </c>
      <c r="R9" t="s">
        <v>890</v>
      </c>
    </row>
    <row r="10" spans="2:18" x14ac:dyDescent="0.2">
      <c r="B10" s="107"/>
      <c r="C10" t="s" s="2">
        <v>847</v>
      </c>
      <c r="D10" s="37"/>
      <c r="E10" s="37"/>
      <c r="G10" s="116"/>
      <c r="H10" t="s" s="2">
        <v>847</v>
      </c>
      <c r="I10" s="37"/>
      <c r="K10" t="s" s="3">
        <v>873</v>
      </c>
      <c r="L10" s="43">
        <v>9</v>
      </c>
      <c r="N10" t="s" s="48">
        <v>894</v>
      </c>
      <c r="O10" t="s" s="44">
        <v>887</v>
      </c>
      <c r="P10" s="3">
        <f>BackGroundColorSingle(D16)</f>
      </c>
      <c r="Q10" s="3">
        <f t="shared" si="0"/>
      </c>
      <c r="R10" t="s">
        <v>890</v>
      </c>
    </row>
    <row r="11" spans="2:18" x14ac:dyDescent="0.2">
      <c r="B11" s="107"/>
      <c r="C11" t="s" s="2">
        <v>842</v>
      </c>
      <c r="D11" s="2"/>
      <c r="E11" s="2"/>
      <c r="G11" s="116"/>
      <c r="H11" t="s" s="2">
        <v>842</v>
      </c>
      <c r="I11" s="2"/>
      <c r="K11" t="s" s="3">
        <v>874</v>
      </c>
      <c r="L11" t="s" s="3">
        <v>2043</v>
      </c>
      <c r="N11" t="s" s="117">
        <v>848</v>
      </c>
      <c r="O11" t="s" s="44">
        <v>877</v>
      </c>
      <c r="P11" s="3">
        <f>textcolor(D17)</f>
      </c>
      <c r="Q11" s="3">
        <f>textcolor(E16)</f>
      </c>
      <c r="R11" t="s">
        <v>890</v>
      </c>
    </row>
    <row r="12" spans="2:18" x14ac:dyDescent="0.2">
      <c r="B12" s="107"/>
      <c r="C12" t="s" s="2">
        <v>851</v>
      </c>
      <c r="D12" s="34"/>
      <c r="E12" s="34"/>
      <c r="G12" s="116"/>
      <c r="H12" t="s" s="2">
        <v>851</v>
      </c>
      <c r="I12" s="34"/>
      <c r="K12" t="s" s="3">
        <v>901</v>
      </c>
      <c r="L12" t="s" s="3">
        <v>902</v>
      </c>
      <c r="N12" s="118"/>
      <c r="O12" t="s" s="44">
        <v>884</v>
      </c>
      <c r="P12" s="3">
        <f>BackGroundColor(D17,D18,D19,D20,D21,FALSE)</f>
      </c>
      <c r="Q12" s="3">
        <f>BackGroundColor(E17,E18,E19,E20,E21,FALSE)</f>
      </c>
      <c r="R12" t="s">
        <v>890</v>
      </c>
    </row>
    <row r="13" spans="2:18" x14ac:dyDescent="0.2">
      <c r="B13" s="108"/>
      <c r="C13" t="s" s="2">
        <v>852</v>
      </c>
      <c r="D13" s="34"/>
      <c r="E13" s="34"/>
      <c r="G13" s="116"/>
      <c r="H13" t="s" s="2">
        <v>852</v>
      </c>
      <c r="I13" s="34"/>
      <c r="N13" t="s" s="117">
        <v>849</v>
      </c>
      <c r="O13" t="s" s="44">
        <v>877</v>
      </c>
      <c r="P13" s="3">
        <f>textcolor(D22)</f>
      </c>
      <c r="Q13" s="3">
        <f>textcolor(E22)</f>
      </c>
      <c r="R13" t="s">
        <v>890</v>
      </c>
    </row>
    <row r="14" spans="2:18" ht="13.2" customHeight="1" x14ac:dyDescent="0.2">
      <c r="B14" t="s" s="28">
        <v>845</v>
      </c>
      <c r="C14" t="s" s="2">
        <v>887</v>
      </c>
      <c r="D14" s="71"/>
      <c r="E14" s="73"/>
      <c r="G14" t="s" s="109">
        <v>867</v>
      </c>
      <c r="H14" t="s" s="2">
        <v>846</v>
      </c>
      <c r="I14" t="s" s="38">
        <v>865</v>
      </c>
      <c r="N14" s="118"/>
      <c r="O14" t="s" s="44">
        <v>884</v>
      </c>
      <c r="P14" s="3">
        <f>BackGroundColor(D22,D23,D24,D25,D26,TRUE)</f>
      </c>
      <c r="Q14" s="3">
        <f>BackGroundColor(E22,E23,E24,E25,E26,TRUE)</f>
      </c>
      <c r="R14" t="s">
        <v>890</v>
      </c>
    </row>
    <row r="15" spans="2:18" ht="13.2" customHeight="1" x14ac:dyDescent="0.2">
      <c r="B15" t="s" s="28">
        <v>895</v>
      </c>
      <c r="C15" t="s" s="2">
        <v>887</v>
      </c>
      <c r="D15" s="52"/>
      <c r="E15" s="52"/>
      <c r="G15" s="116"/>
      <c r="H15" t="s" s="2">
        <v>847</v>
      </c>
      <c r="I15" s="37"/>
      <c r="N15" t="s" s="117">
        <v>854</v>
      </c>
      <c r="O15" t="s" s="44">
        <v>877</v>
      </c>
      <c r="P15" s="3">
        <f>textcolor(D27)</f>
      </c>
      <c r="Q15" s="3">
        <f>textcolor(E27)</f>
      </c>
      <c r="R15" t="s">
        <v>890</v>
      </c>
    </row>
    <row r="16" spans="2:18" x14ac:dyDescent="0.2">
      <c r="B16" t="s" s="28">
        <v>894</v>
      </c>
      <c r="C16" t="s" s="2">
        <v>887</v>
      </c>
      <c r="D16" s="51"/>
      <c r="E16" s="51"/>
      <c r="G16" s="116"/>
      <c r="H16" t="s" s="2">
        <v>842</v>
      </c>
      <c r="I16" s="2"/>
      <c r="N16" s="118"/>
      <c r="O16" t="s" s="44">
        <v>884</v>
      </c>
      <c r="P16" s="3">
        <f>BackGroundColor(D27,D28,D29,D30,D31,FALSE)</f>
      </c>
      <c r="Q16" s="3">
        <f>BackGroundColor(E27,E28,E29,E30,E31,FALSE)</f>
      </c>
      <c r="R16" t="s">
        <v>890</v>
      </c>
    </row>
    <row r="17" spans="2:18" x14ac:dyDescent="0.2">
      <c r="B17" t="s" s="106">
        <v>848</v>
      </c>
      <c r="C17" t="s" s="2">
        <v>846</v>
      </c>
      <c r="D17" t="s" s="29">
        <v>856</v>
      </c>
      <c r="E17" t="s" s="29">
        <v>856</v>
      </c>
      <c r="G17" s="116"/>
      <c r="H17" t="s" s="2">
        <v>851</v>
      </c>
      <c r="I17" s="34"/>
      <c r="N17" t="s" s="117">
        <v>855</v>
      </c>
      <c r="O17" t="s" s="44">
        <v>877</v>
      </c>
      <c r="P17" s="3">
        <f>textcolor(D32)</f>
      </c>
      <c r="Q17" s="3">
        <f>textcolor(E32)</f>
      </c>
      <c r="R17" t="s">
        <v>890</v>
      </c>
    </row>
    <row r="18" spans="2:18" x14ac:dyDescent="0.2">
      <c r="B18" s="107"/>
      <c r="C18" t="s" s="2">
        <v>847</v>
      </c>
      <c r="D18" s="30"/>
      <c r="E18" s="30"/>
      <c r="G18" s="116"/>
      <c r="H18" t="s" s="2">
        <v>852</v>
      </c>
      <c r="I18" s="34"/>
      <c r="N18" s="118"/>
      <c r="O18" t="s" s="44">
        <v>884</v>
      </c>
      <c r="P18" s="3">
        <f>BackGroundColor(D27,D28,D29,D30,D31,FALSE)</f>
      </c>
      <c r="Q18" s="3">
        <f>BackGroundColor(E27,E28,E29,E30,E31,FALSE)</f>
      </c>
      <c r="R18" t="s">
        <v>890</v>
      </c>
    </row>
    <row r="19" spans="2:18" x14ac:dyDescent="0.2">
      <c r="B19" s="107"/>
      <c r="C19" t="s" s="2">
        <v>842</v>
      </c>
      <c r="D19" t="s" s="2">
        <v>843</v>
      </c>
      <c r="E19" t="s" s="2">
        <v>843</v>
      </c>
      <c r="G19" t="s" s="109">
        <v>885</v>
      </c>
      <c r="H19" t="s" s="2">
        <v>846</v>
      </c>
      <c r="I19" s="64">
        <v>1</v>
      </c>
      <c r="N19" t="s" s="117">
        <v>857</v>
      </c>
      <c r="O19" t="s" s="44">
        <v>877</v>
      </c>
      <c r="P19" s="3">
        <f>textcolor(D37)</f>
      </c>
      <c r="Q19" s="3">
        <f>textcolor(E37)</f>
      </c>
      <c r="R19" t="s">
        <v>890</v>
      </c>
    </row>
    <row r="20" spans="2:18" ht="13.2" customHeight="1" x14ac:dyDescent="0.2">
      <c r="B20" s="107"/>
      <c r="C20" t="s" s="2">
        <v>851</v>
      </c>
      <c r="D20" s="34">
        <v>0.4</v>
      </c>
      <c r="E20" s="34">
        <v>0.4</v>
      </c>
      <c r="G20" s="116"/>
      <c r="H20" t="s" s="2">
        <v>847</v>
      </c>
      <c r="I20" s="37"/>
      <c r="N20" s="118"/>
      <c r="O20" t="s" s="44">
        <v>884</v>
      </c>
      <c r="P20" s="3">
        <f>BackGroundColor(D37,D38,D39,D40,D41,FALSE)</f>
      </c>
      <c r="Q20" s="3">
        <f>BackGroundColor(E37,E38,E39,E40,E41,FALSE)</f>
      </c>
      <c r="R20" t="s">
        <v>890</v>
      </c>
    </row>
    <row r="21" spans="2:18" x14ac:dyDescent="0.2">
      <c r="B21" s="108"/>
      <c r="C21" t="s" s="2">
        <v>852</v>
      </c>
      <c r="D21" s="34">
        <v>0.6</v>
      </c>
      <c r="E21" s="34">
        <v>0.6</v>
      </c>
      <c r="G21" s="116"/>
      <c r="H21" t="s" s="2">
        <v>842</v>
      </c>
      <c r="I21" s="2"/>
      <c r="N21" t="s" s="117">
        <v>858</v>
      </c>
      <c r="O21" t="s" s="44">
        <v>877</v>
      </c>
      <c r="P21" s="3">
        <f>textcolor(D42)</f>
      </c>
      <c r="Q21" s="3">
        <f>textcolor(E42)</f>
      </c>
      <c r="R21" t="s">
        <v>890</v>
      </c>
    </row>
    <row r="22" spans="2:18" x14ac:dyDescent="0.2">
      <c r="B22" t="s" s="109">
        <v>849</v>
      </c>
      <c r="C22" t="s" s="2">
        <v>846</v>
      </c>
      <c r="D22" t="s" s="53">
        <v>853</v>
      </c>
      <c r="E22" t="s" s="53">
        <v>853</v>
      </c>
      <c r="G22" s="116"/>
      <c r="H22" t="s" s="2">
        <v>851</v>
      </c>
      <c r="I22" s="34"/>
      <c r="N22" s="118"/>
      <c r="O22" t="s" s="44">
        <v>884</v>
      </c>
      <c r="P22" s="3">
        <f>BackGroundColor(D42,D43,D44,D45,D46,TRUE)</f>
      </c>
      <c r="Q22" s="3">
        <f>BackGroundColor(E42,E43,E44,E45,E46,TRUE)</f>
      </c>
      <c r="R22" t="s">
        <v>890</v>
      </c>
    </row>
    <row r="23" spans="2:18" x14ac:dyDescent="0.2">
      <c r="B23" s="109"/>
      <c r="C23" t="s" s="2">
        <v>847</v>
      </c>
      <c r="D23" t="s" s="35">
        <v>853</v>
      </c>
      <c r="E23" t="s" s="35">
        <v>853</v>
      </c>
      <c r="G23" s="116"/>
      <c r="H23" t="s" s="2">
        <v>852</v>
      </c>
      <c r="I23" s="34"/>
      <c r="N23" t="s" s="117">
        <v>893</v>
      </c>
      <c r="O23" t="s" s="44">
        <v>877</v>
      </c>
      <c r="P23" s="3">
        <f>textcolor(D47)</f>
      </c>
      <c r="Q23" s="3">
        <f>textcolor(E47)</f>
      </c>
      <c r="R23" t="s">
        <v>890</v>
      </c>
    </row>
    <row r="24" spans="2:18" x14ac:dyDescent="0.2">
      <c r="B24" s="109"/>
      <c r="C24" t="s" s="2">
        <v>842</v>
      </c>
      <c r="D24" s="2"/>
      <c r="E24" s="2"/>
      <c r="G24" t="s" s="109">
        <v>868</v>
      </c>
      <c r="H24" t="s" s="2">
        <v>846</v>
      </c>
      <c r="I24" t="s" s="39">
        <v>869</v>
      </c>
      <c r="N24" s="118"/>
      <c r="O24" t="s" s="44">
        <v>884</v>
      </c>
      <c r="P24" s="3">
        <f>BackGroundColor(D47,D48,D49,D50,D51,FALSE)</f>
      </c>
      <c r="Q24" s="3">
        <f>BackGroundColor(E47,E48,E49,E50,E51,FALSE)</f>
      </c>
      <c r="R24" t="s">
        <v>890</v>
      </c>
    </row>
    <row r="25" spans="2:18" ht="13.2" customHeight="1" x14ac:dyDescent="0.2">
      <c r="B25" s="109"/>
      <c r="C25" t="s" s="2">
        <v>851</v>
      </c>
      <c r="D25" s="34"/>
      <c r="E25" s="34"/>
      <c r="G25" s="116"/>
      <c r="H25" t="s" s="2">
        <v>847</v>
      </c>
      <c r="I25" s="37"/>
      <c r="N25" t="s" s="117">
        <v>892</v>
      </c>
      <c r="O25" t="s" s="44">
        <v>877</v>
      </c>
      <c r="P25" s="3">
        <f>textcolor(D52)</f>
      </c>
      <c r="Q25" s="3">
        <f>textcolor(E52)</f>
      </c>
      <c r="R25" t="s">
        <v>890</v>
      </c>
    </row>
    <row r="26" spans="2:18" x14ac:dyDescent="0.2">
      <c r="B26" s="109"/>
      <c r="C26" t="s" s="2">
        <v>852</v>
      </c>
      <c r="D26" s="34"/>
      <c r="E26" s="34"/>
      <c r="G26" s="116"/>
      <c r="H26" t="s" s="2">
        <v>842</v>
      </c>
      <c r="I26" s="2"/>
      <c r="N26" s="118"/>
      <c r="O26" t="s" s="44">
        <v>884</v>
      </c>
      <c r="P26" s="3">
        <f>BackGroundColor(D52,D53,D54,D55,D56,TRUE)</f>
      </c>
      <c r="Q26" s="3">
        <f>BackGroundColor(E52,E53,E54,E55,E56,TRUE)</f>
      </c>
      <c r="R26" t="s">
        <v>890</v>
      </c>
    </row>
    <row r="27" spans="2:18" x14ac:dyDescent="0.2">
      <c r="B27" t="s" s="106">
        <v>854</v>
      </c>
      <c r="C27" t="s" s="2">
        <v>846</v>
      </c>
      <c r="D27" t="s" s="70">
        <v>856</v>
      </c>
      <c r="E27" t="s" s="77">
        <v>856</v>
      </c>
      <c r="G27" s="116"/>
      <c r="H27" t="s" s="2">
        <v>851</v>
      </c>
      <c r="I27" s="34"/>
      <c r="N27" t="s" s="119">
        <v>859</v>
      </c>
      <c r="O27" t="s" s="44">
        <v>877</v>
      </c>
      <c r="P27" s="3">
        <f>textcolor(D57)</f>
      </c>
      <c r="Q27" s="3">
        <f>textcolor(E57)</f>
      </c>
      <c r="R27" t="s">
        <v>890</v>
      </c>
    </row>
    <row r="28" spans="2:18" x14ac:dyDescent="0.2">
      <c r="B28" s="107"/>
      <c r="C28" t="s" s="2">
        <v>847</v>
      </c>
      <c r="D28" s="72"/>
      <c r="E28" s="76"/>
      <c r="G28" s="116"/>
      <c r="H28" t="s" s="2">
        <v>852</v>
      </c>
      <c r="I28" s="34"/>
      <c r="N28" s="120"/>
      <c r="O28" t="s" s="44">
        <v>884</v>
      </c>
      <c r="P28" s="3">
        <f>BackGroundColor(D57,D58,D59,D60,D61,TRUE)</f>
      </c>
      <c r="Q28" s="3">
        <f>BackGroundColor(E57,E58,E59,E60,E61,TRUE)</f>
      </c>
      <c r="R28" t="s">
        <v>890</v>
      </c>
    </row>
    <row r="29" spans="2:18" x14ac:dyDescent="0.2">
      <c r="B29" s="107"/>
      <c r="C29" t="s" s="2">
        <v>842</v>
      </c>
      <c r="D29" t="s" s="2">
        <v>843</v>
      </c>
      <c r="E29" t="s" s="2">
        <v>843</v>
      </c>
      <c r="G29" t="s" s="106">
        <v>884</v>
      </c>
      <c r="H29" t="s" s="2">
        <v>846</v>
      </c>
      <c r="I29" s="42"/>
      <c r="N29" t="s" s="112">
        <v>862</v>
      </c>
      <c r="O29" t="s" s="44">
        <v>877</v>
      </c>
      <c r="P29" s="3">
        <f>textcolor(D62)</f>
      </c>
      <c r="Q29" s="3">
        <f>textcolor(E62)</f>
      </c>
      <c r="R29" t="s">
        <v>890</v>
      </c>
    </row>
    <row r="30" spans="2:18" ht="13.2" customHeight="1" x14ac:dyDescent="0.2">
      <c r="B30" s="107"/>
      <c r="C30" t="s" s="2">
        <v>851</v>
      </c>
      <c r="D30" s="34">
        <v>0.4</v>
      </c>
      <c r="E30" s="34">
        <v>0.4</v>
      </c>
      <c r="G30" s="107"/>
      <c r="H30" t="s" s="2">
        <v>847</v>
      </c>
      <c r="I30" s="37"/>
      <c r="N30" s="113"/>
      <c r="O30" t="s" s="44">
        <v>884</v>
      </c>
      <c r="P30" s="3">
        <f>BackGroundColor(D62,D63,D64,D65,D66,FALSE)</f>
      </c>
      <c r="Q30" s="3">
        <f>BackGroundColor(E62,E63,E64,E65,E66,FALSE)</f>
      </c>
      <c r="R30" t="s">
        <v>890</v>
      </c>
    </row>
    <row r="31" spans="2:18" x14ac:dyDescent="0.2">
      <c r="B31" s="108"/>
      <c r="C31" t="s" s="2">
        <v>852</v>
      </c>
      <c r="D31" s="34">
        <v>0.6</v>
      </c>
      <c r="E31" s="34">
        <v>0.6</v>
      </c>
      <c r="G31" s="107"/>
      <c r="H31" t="s" s="2">
        <v>842</v>
      </c>
      <c r="I31" s="2"/>
      <c r="N31" t="s" s="112">
        <v>863</v>
      </c>
      <c r="O31" t="s" s="44">
        <v>877</v>
      </c>
      <c r="P31" s="3">
        <f>textcolor(D67)</f>
      </c>
      <c r="Q31" s="3">
        <f>textcolor(E67)</f>
      </c>
      <c r="R31" t="s">
        <v>890</v>
      </c>
    </row>
    <row r="32" spans="2:18" x14ac:dyDescent="0.2">
      <c r="B32" t="s" s="109">
        <v>855</v>
      </c>
      <c r="C32" t="s" s="2">
        <v>846</v>
      </c>
      <c r="D32" t="s" s="70">
        <v>853</v>
      </c>
      <c r="E32" t="s" s="77">
        <v>853</v>
      </c>
      <c r="G32" s="107"/>
      <c r="H32" t="s" s="2">
        <v>851</v>
      </c>
      <c r="I32" s="34"/>
      <c r="N32" s="113"/>
      <c r="O32" t="s" s="44">
        <v>884</v>
      </c>
      <c r="P32" s="3">
        <f>BackGroundColor(D67,D68,D69,D70,D71,FALSE)</f>
      </c>
      <c r="Q32" s="3">
        <f>BackGroundColor(E67,E68,E69,E70,E71,FALSE)</f>
      </c>
      <c r="R32" t="s">
        <v>890</v>
      </c>
    </row>
    <row r="33" spans="2:18" x14ac:dyDescent="0.2">
      <c r="B33" s="109"/>
      <c r="C33" t="s" s="2">
        <v>847</v>
      </c>
      <c r="D33" s="72"/>
      <c r="E33" s="76"/>
      <c r="G33" s="108"/>
      <c r="H33" t="s" s="2">
        <v>852</v>
      </c>
      <c r="I33" s="34"/>
      <c r="N33" t="s" s="114">
        <v>860</v>
      </c>
      <c r="O33" t="s" s="44">
        <v>877</v>
      </c>
      <c r="P33" s="3">
        <f>textcolor(D72)</f>
      </c>
      <c r="Q33" s="3">
        <f>textcolor(E72)</f>
      </c>
      <c r="R33" t="s">
        <v>890</v>
      </c>
    </row>
    <row r="34" spans="2:18" x14ac:dyDescent="0.2">
      <c r="B34" s="109"/>
      <c r="C34" t="s" s="2">
        <v>842</v>
      </c>
      <c r="D34" t="s" s="2">
        <v>843</v>
      </c>
      <c r="E34" t="s" s="2">
        <v>843</v>
      </c>
      <c r="G34" t="s" s="2">
        <v>886</v>
      </c>
      <c r="H34" t="s" s="2">
        <v>887</v>
      </c>
      <c r="I34" s="47"/>
      <c r="N34" s="115"/>
      <c r="O34" t="s" s="44">
        <v>884</v>
      </c>
      <c r="P34" s="3">
        <f>BackGroundColor(D72,D73,D74,D75,D76,TRUE)</f>
      </c>
      <c r="Q34" s="3">
        <f>BackGroundColor(E72,E73,E74,E75,E76,TRUE)</f>
      </c>
      <c r="R34" t="s">
        <v>890</v>
      </c>
    </row>
    <row r="35" spans="2:18" ht="13.2" customHeight="1" x14ac:dyDescent="0.2">
      <c r="B35" s="109"/>
      <c r="C35" t="s" s="2">
        <v>851</v>
      </c>
      <c r="D35" s="34">
        <v>0.4</v>
      </c>
      <c r="E35" s="34">
        <v>0.4</v>
      </c>
      <c r="G35" t="s" s="2">
        <v>896</v>
      </c>
      <c r="H35" t="s" s="2">
        <v>887</v>
      </c>
      <c r="I35" s="52"/>
      <c r="N35" t="s" s="48">
        <v>878</v>
      </c>
      <c r="O35" t="s" s="44">
        <v>877</v>
      </c>
      <c r="P35" s="3">
        <f>textcolor(D77)</f>
      </c>
      <c r="Q35" s="3">
        <f>textcolor(E77)</f>
      </c>
      <c r="R35" t="s">
        <v>890</v>
      </c>
    </row>
    <row r="36" spans="2:18" x14ac:dyDescent="0.2">
      <c r="B36" s="109"/>
      <c r="C36" t="s" s="2">
        <v>852</v>
      </c>
      <c r="D36" s="34">
        <v>0.6</v>
      </c>
      <c r="E36" s="34">
        <v>0.6</v>
      </c>
      <c r="G36" t="s" s="106">
        <v>897</v>
      </c>
      <c r="H36" t="s" s="2">
        <v>846</v>
      </c>
      <c r="I36" t="s" s="39">
        <v>856</v>
      </c>
      <c r="N36" t="s" s="110">
        <v>880</v>
      </c>
      <c r="O36" t="s" s="44">
        <v>877</v>
      </c>
      <c r="P36" s="3">
        <f>textcolor(I4)</f>
      </c>
      <c r="Q36" t="s">
        <v>890</v>
      </c>
      <c r="R36" t="s">
        <v>890</v>
      </c>
    </row>
    <row r="37" spans="2:18" x14ac:dyDescent="0.2">
      <c r="B37" t="s" s="106">
        <v>857</v>
      </c>
      <c r="C37" t="s" s="2">
        <v>846</v>
      </c>
      <c r="D37" t="s" s="29">
        <v>856</v>
      </c>
      <c r="E37" t="s" s="29">
        <v>856</v>
      </c>
      <c r="G37" s="107"/>
      <c r="H37" t="s" s="2">
        <v>847</v>
      </c>
      <c r="I37" s="37"/>
      <c r="N37" s="111"/>
      <c r="O37" t="s" s="44">
        <v>884</v>
      </c>
      <c r="P37" s="3">
        <f>BackGroundColor(I4,I5,I6,I7,I8,TRUE)</f>
      </c>
      <c r="Q37" t="s">
        <v>890</v>
      </c>
    </row>
    <row r="38" spans="2:18" x14ac:dyDescent="0.2">
      <c r="B38" s="107"/>
      <c r="C38" t="s" s="2">
        <v>847</v>
      </c>
      <c r="D38" s="30"/>
      <c r="E38" s="30"/>
      <c r="G38" s="107"/>
      <c r="H38" t="s" s="2">
        <v>842</v>
      </c>
      <c r="I38" s="2"/>
      <c r="N38" t="s" s="110">
        <v>881</v>
      </c>
      <c r="O38" t="s" s="44">
        <v>877</v>
      </c>
      <c r="P38" s="3">
        <f>textcolor(I9)</f>
      </c>
      <c r="Q38" t="s">
        <v>890</v>
      </c>
    </row>
    <row r="39" spans="2:18" x14ac:dyDescent="0.2">
      <c r="B39" s="107"/>
      <c r="C39" t="s" s="2">
        <v>842</v>
      </c>
      <c r="D39" t="s" s="2">
        <v>843</v>
      </c>
      <c r="E39" t="s" s="2">
        <v>843</v>
      </c>
      <c r="G39" s="107"/>
      <c r="H39" t="s" s="2">
        <v>851</v>
      </c>
      <c r="I39" s="34"/>
      <c r="N39" s="111"/>
      <c r="O39" t="s" s="44">
        <v>884</v>
      </c>
      <c r="P39" s="3">
        <f>BackGroundColor(I9,I10,I11,I12,I13,TRUE)</f>
      </c>
      <c r="Q39" t="s">
        <v>890</v>
      </c>
    </row>
    <row r="40" spans="2:18" ht="13.2" customHeight="1" x14ac:dyDescent="0.2">
      <c r="B40" s="107"/>
      <c r="C40" t="s" s="2">
        <v>851</v>
      </c>
      <c r="D40" s="34">
        <v>0.4</v>
      </c>
      <c r="E40" s="34">
        <v>0.4</v>
      </c>
      <c r="G40" s="108"/>
      <c r="H40" t="s" s="2">
        <v>852</v>
      </c>
      <c r="I40" s="34"/>
      <c r="N40" t="s" s="110">
        <v>882</v>
      </c>
      <c r="O40" t="s" s="44">
        <v>877</v>
      </c>
      <c r="P40" s="3">
        <f>textcolor(I14)</f>
      </c>
      <c r="Q40" t="s">
        <v>890</v>
      </c>
    </row>
    <row r="41" spans="2:18" x14ac:dyDescent="0.2">
      <c r="B41" s="108"/>
      <c r="C41" t="s" s="2">
        <v>852</v>
      </c>
      <c r="D41" s="34">
        <v>0.6</v>
      </c>
      <c r="E41" s="34">
        <v>0.6</v>
      </c>
      <c r="G41" t="s" s="109">
        <v>898</v>
      </c>
      <c r="H41" t="s" s="2">
        <v>846</v>
      </c>
      <c r="I41" t="s" s="53">
        <v>853</v>
      </c>
      <c r="N41" s="111"/>
      <c r="O41" t="s" s="44">
        <v>884</v>
      </c>
      <c r="P41" s="3">
        <f>BackGroundColor(I14,I15,I16,I17,I18,TRUE)</f>
      </c>
      <c r="Q41" t="s">
        <v>890</v>
      </c>
    </row>
    <row r="42" spans="2:18" x14ac:dyDescent="0.2">
      <c r="B42" t="s" s="109">
        <v>858</v>
      </c>
      <c r="C42" t="s" s="2">
        <v>846</v>
      </c>
      <c r="D42" t="s" s="54">
        <v>853</v>
      </c>
      <c r="E42" t="s" s="54">
        <v>853</v>
      </c>
      <c r="G42" s="109"/>
      <c r="H42" t="s" s="2">
        <v>847</v>
      </c>
      <c r="I42" s="37"/>
      <c r="N42" t="s" s="110">
        <v>891</v>
      </c>
      <c r="O42" t="s" s="44">
        <v>877</v>
      </c>
      <c r="P42" s="3">
        <f>textcolor(I19)</f>
      </c>
      <c r="Q42" t="s">
        <v>890</v>
      </c>
    </row>
    <row r="43" spans="2:18" x14ac:dyDescent="0.2">
      <c r="B43" s="109"/>
      <c r="C43" t="s" s="2">
        <v>847</v>
      </c>
      <c r="D43" t="s" s="31">
        <v>853</v>
      </c>
      <c r="E43" t="s" s="31">
        <v>853</v>
      </c>
      <c r="G43" s="109"/>
      <c r="H43" t="s" s="2">
        <v>842</v>
      </c>
      <c r="I43" s="2"/>
      <c r="N43" s="111"/>
      <c r="O43" t="s" s="44">
        <v>884</v>
      </c>
      <c r="P43" s="3">
        <f>BackGroundColor(I19,I20,I21,I22,I23,FALSE)</f>
      </c>
      <c r="Q43" t="s">
        <v>890</v>
      </c>
    </row>
    <row r="44" spans="2:18" x14ac:dyDescent="0.2">
      <c r="B44" s="109"/>
      <c r="C44" t="s" s="2">
        <v>842</v>
      </c>
      <c r="D44" s="2"/>
      <c r="E44" s="2"/>
      <c r="G44" s="109"/>
      <c r="H44" t="s" s="2">
        <v>851</v>
      </c>
      <c r="I44" s="34"/>
      <c r="N44" t="s" s="110">
        <v>883</v>
      </c>
      <c r="O44" t="s" s="44">
        <v>877</v>
      </c>
      <c r="P44" s="3">
        <f>textcolor(I24)</f>
      </c>
      <c r="Q44" t="s">
        <v>890</v>
      </c>
    </row>
    <row r="45" spans="2:18" ht="13.2" customHeight="1" x14ac:dyDescent="0.2">
      <c r="B45" s="109"/>
      <c r="C45" t="s" s="2">
        <v>851</v>
      </c>
      <c r="D45" s="34"/>
      <c r="E45" s="34"/>
      <c r="G45" s="109"/>
      <c r="H45" t="s" s="2">
        <v>852</v>
      </c>
      <c r="I45" s="34"/>
      <c r="N45" s="111"/>
      <c r="O45" t="s" s="44">
        <v>884</v>
      </c>
      <c r="P45" s="3">
        <f>BackGroundColor(I24,I25,I26,I27,I28,FALSE)</f>
      </c>
      <c r="Q45" t="s">
        <v>890</v>
      </c>
    </row>
    <row r="46" spans="2:18" x14ac:dyDescent="0.2">
      <c r="B46" s="109"/>
      <c r="C46" t="s" s="2">
        <v>852</v>
      </c>
      <c r="D46" s="34"/>
      <c r="E46" s="34"/>
      <c r="N46" t="s" s="50">
        <v>884</v>
      </c>
      <c r="O46" t="s" s="44">
        <v>887</v>
      </c>
      <c r="P46" s="3">
        <f>BackGroundColor(I29,I30,I31,I32,I33,FALSE)</f>
      </c>
      <c r="Q46" t="s">
        <v>890</v>
      </c>
    </row>
    <row r="47" spans="2:18" x14ac:dyDescent="0.2">
      <c r="B47" t="s" s="106">
        <v>893</v>
      </c>
      <c r="C47" t="s" s="2">
        <v>846</v>
      </c>
      <c r="D47" t="s" s="70">
        <v>856</v>
      </c>
      <c r="E47" t="s" s="77">
        <v>856</v>
      </c>
      <c r="N47" t="s" s="49">
        <v>886</v>
      </c>
      <c r="O47" t="s" s="44">
        <v>887</v>
      </c>
      <c r="P47" s="3">
        <f>BackGroundColorSingle(I34)</f>
      </c>
      <c r="Q47" t="s">
        <v>890</v>
      </c>
    </row>
    <row r="48" spans="2:18" x14ac:dyDescent="0.2">
      <c r="B48" s="107"/>
      <c r="C48" t="s" s="2">
        <v>847</v>
      </c>
      <c r="D48" s="72"/>
      <c r="E48" s="76"/>
      <c r="N48" t="s" s="49">
        <v>896</v>
      </c>
      <c r="O48" t="s" s="44">
        <v>887</v>
      </c>
      <c r="P48" s="3">
        <f>BackGroundColorSingle(I35)</f>
      </c>
      <c r="Q48" t="s">
        <v>890</v>
      </c>
    </row>
    <row r="49" spans="2:17" x14ac:dyDescent="0.2">
      <c r="B49" s="107"/>
      <c r="C49" t="s" s="2">
        <v>842</v>
      </c>
      <c r="D49" t="s" s="2">
        <v>843</v>
      </c>
      <c r="E49" t="s" s="2">
        <v>843</v>
      </c>
      <c r="N49" t="s" s="110">
        <v>899</v>
      </c>
      <c r="O49" t="s" s="44">
        <v>877</v>
      </c>
      <c r="P49" s="3">
        <f>textcolor(I36)</f>
      </c>
      <c r="Q49" t="s">
        <v>890</v>
      </c>
    </row>
    <row r="50" spans="2:17" x14ac:dyDescent="0.2">
      <c r="B50" s="107"/>
      <c r="C50" t="s" s="2">
        <v>851</v>
      </c>
      <c r="D50" s="34">
        <v>0.4</v>
      </c>
      <c r="E50" s="34">
        <v>0.4</v>
      </c>
      <c r="N50" s="111"/>
      <c r="O50" t="s" s="44">
        <v>884</v>
      </c>
      <c r="P50" s="3">
        <f>BackGroundColor(I36,I37,I38,I39,I40,FALSE)</f>
      </c>
      <c r="Q50" t="s">
        <v>890</v>
      </c>
    </row>
    <row r="51" spans="2:17" x14ac:dyDescent="0.2">
      <c r="B51" s="108"/>
      <c r="C51" t="s" s="2">
        <v>852</v>
      </c>
      <c r="D51" s="34">
        <v>0.6</v>
      </c>
      <c r="E51" s="34">
        <v>0.6</v>
      </c>
      <c r="N51" t="s" s="110">
        <v>900</v>
      </c>
      <c r="O51" t="s" s="44">
        <v>877</v>
      </c>
      <c r="P51" s="3">
        <f>textcolor(I41)</f>
      </c>
      <c r="Q51" t="s">
        <v>890</v>
      </c>
    </row>
    <row r="52" spans="2:17" x14ac:dyDescent="0.2">
      <c r="B52" t="s" s="109">
        <v>892</v>
      </c>
      <c r="C52" t="s" s="2">
        <v>846</v>
      </c>
      <c r="D52" t="s" s="53">
        <v>853</v>
      </c>
      <c r="E52" t="s" s="53">
        <v>853</v>
      </c>
      <c r="N52" s="111"/>
      <c r="O52" t="s" s="44">
        <v>884</v>
      </c>
      <c r="P52" s="3">
        <f>BackGroundColor(I41,I42,I43,I44,I45,FALSE)</f>
      </c>
      <c r="Q52" t="s">
        <v>890</v>
      </c>
    </row>
    <row r="53" spans="2:17" x14ac:dyDescent="0.2">
      <c r="B53" s="109"/>
      <c r="C53" t="s" s="2">
        <v>847</v>
      </c>
      <c r="D53" t="s" s="31">
        <v>853</v>
      </c>
      <c r="E53" t="s" s="31">
        <v>853</v>
      </c>
    </row>
    <row r="54" spans="2:17" x14ac:dyDescent="0.2">
      <c r="B54" s="109"/>
      <c r="C54" t="s" s="2">
        <v>842</v>
      </c>
      <c r="D54" s="2"/>
      <c r="E54" s="2"/>
    </row>
    <row r="55" spans="2:17" x14ac:dyDescent="0.2">
      <c r="B55" s="109"/>
      <c r="C55" t="s" s="2">
        <v>851</v>
      </c>
      <c r="D55" s="34"/>
      <c r="E55" s="34"/>
    </row>
    <row r="56" spans="2:17" x14ac:dyDescent="0.2">
      <c r="B56" s="109"/>
      <c r="C56" t="s" s="2">
        <v>852</v>
      </c>
      <c r="D56" s="34"/>
      <c r="E56" s="34"/>
    </row>
    <row r="57" spans="2:17" x14ac:dyDescent="0.2">
      <c r="B57" t="s" s="109">
        <v>859</v>
      </c>
      <c r="C57" t="s" s="2">
        <v>846</v>
      </c>
      <c r="D57" t="s" s="78">
        <v>853</v>
      </c>
      <c r="E57" t="s" s="77">
        <v>853</v>
      </c>
    </row>
    <row r="58" spans="2:17" x14ac:dyDescent="0.2">
      <c r="B58" s="109"/>
      <c r="C58" t="s" s="2">
        <v>847</v>
      </c>
      <c r="D58" s="96"/>
      <c r="E58" s="76"/>
    </row>
    <row r="59" spans="2:17" x14ac:dyDescent="0.2">
      <c r="B59" s="109"/>
      <c r="C59" t="s" s="2">
        <v>842</v>
      </c>
      <c r="D59" t="s" s="2">
        <v>843</v>
      </c>
      <c r="E59" t="s" s="2">
        <v>843</v>
      </c>
    </row>
    <row r="60" spans="2:17" x14ac:dyDescent="0.2">
      <c r="B60" s="109"/>
      <c r="C60" t="s" s="2">
        <v>851</v>
      </c>
      <c r="D60" s="34">
        <v>0.4</v>
      </c>
      <c r="E60" s="34">
        <v>0.4</v>
      </c>
    </row>
    <row r="61" spans="2:17" x14ac:dyDescent="0.2">
      <c r="B61" s="109"/>
      <c r="C61" t="s" s="2">
        <v>852</v>
      </c>
      <c r="D61" s="34">
        <v>0.6</v>
      </c>
      <c r="E61" s="34">
        <v>0.6</v>
      </c>
    </row>
    <row r="62" spans="2:17" x14ac:dyDescent="0.2">
      <c r="B62" t="s" s="109">
        <v>862</v>
      </c>
      <c r="C62" t="s" s="2">
        <v>846</v>
      </c>
      <c r="D62" t="s" s="78">
        <v>853</v>
      </c>
      <c r="E62" t="s" s="77">
        <v>853</v>
      </c>
    </row>
    <row r="63" spans="2:17" x14ac:dyDescent="0.2">
      <c r="B63" s="109"/>
      <c r="C63" t="s" s="2">
        <v>847</v>
      </c>
      <c r="D63" s="96"/>
      <c r="E63" s="76"/>
    </row>
    <row r="64" spans="2:17" x14ac:dyDescent="0.2">
      <c r="B64" s="109"/>
      <c r="C64" t="s" s="2">
        <v>842</v>
      </c>
      <c r="D64" t="s" s="2">
        <v>843</v>
      </c>
      <c r="E64" t="s" s="2">
        <v>843</v>
      </c>
    </row>
    <row r="65" spans="2:5" x14ac:dyDescent="0.2">
      <c r="B65" s="109"/>
      <c r="C65" t="s" s="2">
        <v>851</v>
      </c>
      <c r="D65" s="34">
        <v>0.4</v>
      </c>
      <c r="E65" s="34">
        <v>0.4</v>
      </c>
    </row>
    <row r="66" spans="2:5" x14ac:dyDescent="0.2">
      <c r="B66" s="109"/>
      <c r="C66" t="s" s="2">
        <v>852</v>
      </c>
      <c r="D66" s="34">
        <v>0.6</v>
      </c>
      <c r="E66" s="34">
        <v>0.6</v>
      </c>
    </row>
    <row r="67" spans="2:5" x14ac:dyDescent="0.2">
      <c r="B67" t="s" s="109">
        <v>863</v>
      </c>
      <c r="C67" t="s" s="2">
        <v>846</v>
      </c>
      <c r="D67" t="s" s="54">
        <v>853</v>
      </c>
      <c r="E67" t="s" s="54">
        <v>853</v>
      </c>
    </row>
    <row r="68" spans="2:5" x14ac:dyDescent="0.2">
      <c r="B68" s="109"/>
      <c r="C68" t="s" s="2">
        <v>847</v>
      </c>
      <c r="D68" t="s" s="31">
        <v>853</v>
      </c>
      <c r="E68" t="s" s="31">
        <v>853</v>
      </c>
    </row>
    <row r="69" spans="2:5" x14ac:dyDescent="0.2">
      <c r="B69" s="109"/>
      <c r="C69" t="s" s="2">
        <v>842</v>
      </c>
      <c r="D69" s="2"/>
      <c r="E69" s="2"/>
    </row>
    <row r="70" spans="2:5" x14ac:dyDescent="0.2">
      <c r="B70" s="109"/>
      <c r="C70" t="s" s="2">
        <v>851</v>
      </c>
      <c r="D70" s="34"/>
      <c r="E70" s="34"/>
    </row>
    <row r="71" spans="2:5" x14ac:dyDescent="0.2">
      <c r="B71" s="109"/>
      <c r="C71" t="s" s="2">
        <v>852</v>
      </c>
      <c r="D71" s="34"/>
      <c r="E71" s="34"/>
    </row>
    <row r="72" spans="2:5" x14ac:dyDescent="0.2">
      <c r="B72" t="s" s="109">
        <v>860</v>
      </c>
      <c r="C72" t="s" s="2">
        <v>846</v>
      </c>
      <c r="D72" t="s" s="78">
        <v>853</v>
      </c>
      <c r="E72" t="s" s="77">
        <v>853</v>
      </c>
    </row>
    <row r="73" spans="2:5" x14ac:dyDescent="0.2">
      <c r="B73" s="109"/>
      <c r="C73" t="s" s="2">
        <v>847</v>
      </c>
      <c r="D73" s="96"/>
      <c r="E73" s="76"/>
    </row>
    <row r="74" spans="2:5" x14ac:dyDescent="0.2">
      <c r="B74" s="109"/>
      <c r="C74" t="s" s="2">
        <v>842</v>
      </c>
      <c r="D74" t="s" s="2">
        <v>843</v>
      </c>
      <c r="E74" t="s" s="2">
        <v>843</v>
      </c>
    </row>
    <row r="75" spans="2:5" x14ac:dyDescent="0.2">
      <c r="B75" s="109"/>
      <c r="C75" t="s" s="2">
        <v>851</v>
      </c>
      <c r="D75" s="34">
        <v>0.4</v>
      </c>
      <c r="E75" s="34">
        <v>0.4</v>
      </c>
    </row>
    <row r="76" spans="2:5" x14ac:dyDescent="0.2">
      <c r="B76" s="109"/>
      <c r="C76" t="s" s="2">
        <v>852</v>
      </c>
      <c r="D76" s="34">
        <v>0.6</v>
      </c>
      <c r="E76" s="34">
        <v>0.6</v>
      </c>
    </row>
    <row r="77" spans="2:5" x14ac:dyDescent="0.2">
      <c r="B77" t="s" s="28">
        <v>878</v>
      </c>
      <c r="C77" t="s" s="2">
        <v>879</v>
      </c>
      <c r="D77" t="s" s="45">
        <v>877</v>
      </c>
      <c r="E77" t="s" s="46">
        <v>877</v>
      </c>
    </row>
  </sheetData>
  <mergeCells count="43">
    <mergeCell ref="N17:N18"/>
    <mergeCell ref="N19:N20"/>
    <mergeCell ref="N21:N22"/>
    <mergeCell ref="N27:N28"/>
    <mergeCell ref="N29:N30"/>
    <mergeCell ref="N23:N24"/>
    <mergeCell ref="N25:N26"/>
    <mergeCell ref="N4:N5"/>
    <mergeCell ref="N6:N7"/>
    <mergeCell ref="N11:N12"/>
    <mergeCell ref="N13:N14"/>
    <mergeCell ref="N15:N16"/>
    <mergeCell ref="B57:B61"/>
    <mergeCell ref="B62:B66"/>
    <mergeCell ref="B72:B76"/>
    <mergeCell ref="B67:B71"/>
    <mergeCell ref="B9:B13"/>
    <mergeCell ref="B32:B36"/>
    <mergeCell ref="B37:B41"/>
    <mergeCell ref="B42:B46"/>
    <mergeCell ref="B47:B51"/>
    <mergeCell ref="B52:B56"/>
    <mergeCell ref="B4:B8"/>
    <mergeCell ref="B17:B21"/>
    <mergeCell ref="B22:B26"/>
    <mergeCell ref="B27:B31"/>
    <mergeCell ref="G4:G8"/>
    <mergeCell ref="G9:G13"/>
    <mergeCell ref="G14:G18"/>
    <mergeCell ref="G19:G23"/>
    <mergeCell ref="G24:G28"/>
    <mergeCell ref="G36:G40"/>
    <mergeCell ref="G41:G45"/>
    <mergeCell ref="N49:N50"/>
    <mergeCell ref="N51:N52"/>
    <mergeCell ref="G29:G33"/>
    <mergeCell ref="N40:N41"/>
    <mergeCell ref="N44:N45"/>
    <mergeCell ref="N31:N32"/>
    <mergeCell ref="N33:N34"/>
    <mergeCell ref="N36:N37"/>
    <mergeCell ref="N38:N39"/>
    <mergeCell ref="N42:N43"/>
  </mergeCells>
  <phoneticPr fontId="1"/>
  <dataValidations count="3">
    <dataValidation type="list" allowBlank="1" showInputMessage="1" showErrorMessage="1" sqref="D49:E49 D24:E24 D29:E29 D6:E6 D44:E44 D34:E34 I38 D39:E39 D19:E19 D59:E59 D64:E64 D74:E74 I6 I11 I16 I21 I26 I31 D69:E69 D11:E11 I43 D54:E54" xr:uid="{D5F97FF2-898C-40D7-9B01-C10686DBAF5C}">
      <formula1>"縦(上→下),横(左→右)"</formula1>
    </dataValidation>
    <dataValidation type="list" allowBlank="1" showInputMessage="1" showErrorMessage="1" sqref="L11" xr:uid="{D4136EE2-ABDE-4608-944D-C756BA3ED2C0}">
      <formula1>"する,しない"</formula1>
    </dataValidation>
    <dataValidation type="list" allowBlank="1" showInputMessage="1" showErrorMessage="1" sqref="L12" xr:uid="{597F7367-EBE6-46BE-82B3-BD968D45CF8E}">
      <formula1>"一塁側,三塁側"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4E2A7-9B86-44CA-808A-F971A5933F78}">
  <sheetPr codeName="Sheet2"/>
  <sheetViews>
    <sheetView tabSelected="1" zoomScaleNormal="100" workbookViewId="0"/>
  </sheetViews>
  <sheetFormatPr defaultColWidth="11.6640625" defaultRowHeight="13.2" x14ac:dyDescent="0.2"/>
  <sheetData>
    <row r="2" spans="2:13" x14ac:dyDescent="0.2">
      <c r="B2" t="s" s="68">
        <v>1287</v>
      </c>
      <c r="C2" t="s" s="69">
        <v>2006</v>
      </c>
      <c r="D2" t="s" s="69">
        <v>2007</v>
      </c>
      <c r="E2" t="s" s="69">
        <v>2008</v>
      </c>
      <c r="F2" t="s" s="69">
        <v>2009</v>
      </c>
      <c r="G2" t="s" s="69">
        <v>2010</v>
      </c>
      <c r="H2" t="s" s="69">
        <v>2011</v>
      </c>
      <c r="I2" t="s" s="69">
        <v>2012</v>
      </c>
      <c r="J2" t="s" s="69">
        <v>872</v>
      </c>
      <c r="K2" t="s" s="69">
        <v>2013</v>
      </c>
      <c r="L2" t="s" s="69">
        <v>2014</v>
      </c>
      <c r="M2" t="s" s="69">
        <v>2015</v>
      </c>
    </row>
    <row r="3" spans="2:13" ht="13.2" customHeight="1" x14ac:dyDescent="0.2">
      <c r="B3" t="s" s="33">
        <v>850</v>
      </c>
      <c r="C3" t="s" s="70">
        <v>850</v>
      </c>
      <c r="D3" t="s" s="74">
        <v>850</v>
      </c>
      <c r="E3" t="s" s="83">
        <v>850</v>
      </c>
      <c r="F3" t="s" s="81">
        <v>850</v>
      </c>
      <c r="G3" t="s" s="89">
        <v>850</v>
      </c>
      <c r="H3" t="s" s="86">
        <v>850</v>
      </c>
      <c r="I3" t="s" s="94">
        <v>850</v>
      </c>
      <c r="J3" t="s" s="67">
        <v>850</v>
      </c>
      <c r="K3" t="s" s="91">
        <v>850</v>
      </c>
      <c r="L3" t="s" s="101">
        <v>850</v>
      </c>
      <c r="M3" t="s" s="104">
        <v>850</v>
      </c>
    </row>
    <row r="4" spans="2:13" x14ac:dyDescent="0.2">
      <c r="B4" s="32"/>
      <c r="C4" s="72"/>
      <c r="D4" s="75"/>
      <c r="E4" s="79"/>
      <c r="F4" s="82"/>
      <c r="G4" s="85"/>
      <c r="H4" s="88"/>
      <c r="I4" s="93"/>
      <c r="J4" s="66"/>
      <c r="K4" s="105"/>
      <c r="L4" s="98"/>
      <c r="M4" s="103"/>
    </row>
    <row r="5" spans="2:13" x14ac:dyDescent="0.2">
      <c r="B5" t="s" s="2">
        <v>843</v>
      </c>
      <c r="C5" t="s" s="2">
        <v>843</v>
      </c>
      <c r="D5" t="s" s="2">
        <v>843</v>
      </c>
      <c r="E5" t="s" s="2">
        <v>843</v>
      </c>
      <c r="F5" t="s" s="2">
        <v>843</v>
      </c>
      <c r="G5" t="s" s="2">
        <v>843</v>
      </c>
      <c r="H5" t="s" s="2">
        <v>843</v>
      </c>
      <c r="I5" t="s" s="2">
        <v>843</v>
      </c>
      <c r="J5" t="s" s="2">
        <v>843</v>
      </c>
      <c r="K5" t="s" s="2">
        <v>843</v>
      </c>
      <c r="L5" t="s" s="2">
        <v>843</v>
      </c>
      <c r="M5" t="s" s="2">
        <v>843</v>
      </c>
    </row>
    <row r="6" spans="2:13" x14ac:dyDescent="0.2">
      <c r="B6" s="34">
        <v>0.4</v>
      </c>
      <c r="C6" s="34">
        <v>0.4</v>
      </c>
      <c r="D6" s="34">
        <v>0.4</v>
      </c>
      <c r="E6" s="34">
        <v>0.4</v>
      </c>
      <c r="F6" s="34">
        <v>0.4</v>
      </c>
      <c r="G6" s="34">
        <v>0.4</v>
      </c>
      <c r="H6" s="34">
        <v>0.4</v>
      </c>
      <c r="I6" s="34">
        <v>0.4</v>
      </c>
      <c r="J6" s="34">
        <v>0.4</v>
      </c>
      <c r="K6" s="34">
        <v>0.4</v>
      </c>
      <c r="L6" s="34">
        <v>0.4</v>
      </c>
      <c r="M6" s="34">
        <v>0.4</v>
      </c>
    </row>
    <row r="7" spans="2:13" x14ac:dyDescent="0.2">
      <c r="B7" s="34">
        <v>0.6</v>
      </c>
      <c r="C7" s="34">
        <v>0.6</v>
      </c>
      <c r="D7" s="34">
        <v>0.6</v>
      </c>
      <c r="E7" s="34">
        <v>0.6</v>
      </c>
      <c r="F7" s="34">
        <v>0.6</v>
      </c>
      <c r="G7" s="34">
        <v>0.6</v>
      </c>
      <c r="H7" s="34">
        <v>0.6</v>
      </c>
      <c r="I7" s="34">
        <v>0.6</v>
      </c>
      <c r="J7" s="34">
        <v>0.6</v>
      </c>
      <c r="K7" s="34">
        <v>0.6</v>
      </c>
      <c r="L7" s="34">
        <v>0.6</v>
      </c>
      <c r="M7" s="34">
        <v>0.6</v>
      </c>
    </row>
    <row r="8" spans="2:13" x14ac:dyDescent="0.2">
      <c r="B8" t="s" s="29">
        <v>850</v>
      </c>
      <c r="C8" t="s" s="29">
        <v>850</v>
      </c>
      <c r="D8" t="s" s="29">
        <v>850</v>
      </c>
      <c r="E8" t="s" s="29">
        <v>850</v>
      </c>
      <c r="F8" t="s" s="29">
        <v>850</v>
      </c>
      <c r="G8" t="s" s="29">
        <v>850</v>
      </c>
      <c r="H8" t="s" s="29">
        <v>850</v>
      </c>
      <c r="I8" t="s" s="29">
        <v>850</v>
      </c>
      <c r="J8" t="s" s="29">
        <v>850</v>
      </c>
      <c r="K8" t="s" s="29">
        <v>850</v>
      </c>
      <c r="L8" t="s" s="29">
        <v>850</v>
      </c>
      <c r="M8" t="s" s="29">
        <v>850</v>
      </c>
    </row>
    <row r="9" spans="2:13" x14ac:dyDescent="0.2"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</row>
    <row r="10" spans="2:13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2:13" x14ac:dyDescent="0.2"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</row>
    <row r="12" spans="2:13" x14ac:dyDescent="0.2"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</row>
    <row r="13" spans="2:13" ht="13.2" customHeight="1" x14ac:dyDescent="0.2">
      <c r="B13" s="27"/>
      <c r="C13" s="71"/>
      <c r="D13" s="73"/>
      <c r="E13" s="84"/>
      <c r="F13" s="80"/>
      <c r="G13" s="90"/>
      <c r="H13" s="87"/>
      <c r="I13" s="95"/>
      <c r="J13" s="36"/>
      <c r="K13" s="51"/>
      <c r="L13" s="99"/>
      <c r="M13" s="102"/>
    </row>
    <row r="14" spans="2:13" ht="13.2" customHeight="1" x14ac:dyDescent="0.2"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</row>
    <row r="15" spans="2:13" x14ac:dyDescent="0.2"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</row>
    <row r="16" spans="2:13" x14ac:dyDescent="0.2">
      <c r="B16" t="s" s="29">
        <v>856</v>
      </c>
      <c r="C16" t="s" s="29">
        <v>856</v>
      </c>
      <c r="D16" t="s" s="29">
        <v>856</v>
      </c>
      <c r="E16" t="s" s="29">
        <v>856</v>
      </c>
      <c r="F16" t="s" s="29">
        <v>856</v>
      </c>
      <c r="G16" t="s" s="29">
        <v>856</v>
      </c>
      <c r="H16" t="s" s="29">
        <v>856</v>
      </c>
      <c r="I16" t="s" s="29">
        <v>856</v>
      </c>
      <c r="J16" t="s" s="29">
        <v>856</v>
      </c>
      <c r="K16" t="s" s="29">
        <v>856</v>
      </c>
      <c r="L16" t="s" s="29">
        <v>856</v>
      </c>
      <c r="M16" t="s" s="29">
        <v>856</v>
      </c>
    </row>
    <row r="17" spans="2:13" x14ac:dyDescent="0.2"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</row>
    <row r="18" spans="2:13" x14ac:dyDescent="0.2">
      <c r="B18" t="s" s="2">
        <v>843</v>
      </c>
      <c r="C18" t="s" s="2">
        <v>843</v>
      </c>
      <c r="D18" t="s" s="2">
        <v>843</v>
      </c>
      <c r="E18" t="s" s="2">
        <v>843</v>
      </c>
      <c r="F18" t="s" s="2">
        <v>843</v>
      </c>
      <c r="G18" t="s" s="2">
        <v>843</v>
      </c>
      <c r="H18" t="s" s="2">
        <v>843</v>
      </c>
      <c r="I18" t="s" s="2">
        <v>843</v>
      </c>
      <c r="J18" t="s" s="2">
        <v>843</v>
      </c>
      <c r="K18" t="s" s="2">
        <v>843</v>
      </c>
      <c r="L18" t="s" s="2">
        <v>843</v>
      </c>
      <c r="M18" t="s" s="2">
        <v>843</v>
      </c>
    </row>
    <row r="19" spans="2:13" ht="13.2" customHeight="1" x14ac:dyDescent="0.2">
      <c r="B19" s="34">
        <v>0.4</v>
      </c>
      <c r="C19" s="34">
        <v>0.4</v>
      </c>
      <c r="D19" s="34">
        <v>0.4</v>
      </c>
      <c r="E19" s="34">
        <v>0.4</v>
      </c>
      <c r="F19" s="34">
        <v>0.4</v>
      </c>
      <c r="G19" s="34">
        <v>0.4</v>
      </c>
      <c r="H19" s="34">
        <v>0.4</v>
      </c>
      <c r="I19" s="34">
        <v>0.4</v>
      </c>
      <c r="J19" s="34">
        <v>0.4</v>
      </c>
      <c r="K19" s="34">
        <v>0.4</v>
      </c>
      <c r="L19" s="34">
        <v>0.4</v>
      </c>
      <c r="M19" s="34">
        <v>0.4</v>
      </c>
    </row>
    <row r="20" spans="2:13" x14ac:dyDescent="0.2">
      <c r="B20" s="34">
        <v>0.6</v>
      </c>
      <c r="C20" s="34">
        <v>0.6</v>
      </c>
      <c r="D20" s="34">
        <v>0.6</v>
      </c>
      <c r="E20" s="34">
        <v>0.6</v>
      </c>
      <c r="F20" s="34">
        <v>0.6</v>
      </c>
      <c r="G20" s="34">
        <v>0.6</v>
      </c>
      <c r="H20" s="34">
        <v>0.6</v>
      </c>
      <c r="I20" s="34">
        <v>0.6</v>
      </c>
      <c r="J20" s="34">
        <v>0.6</v>
      </c>
      <c r="K20" s="34">
        <v>0.6</v>
      </c>
      <c r="L20" s="34">
        <v>0.6</v>
      </c>
      <c r="M20" s="34">
        <v>0.6</v>
      </c>
    </row>
    <row r="21" spans="2:13" x14ac:dyDescent="0.2">
      <c r="B21" t="s" s="53">
        <v>853</v>
      </c>
      <c r="C21" t="s" s="53">
        <v>853</v>
      </c>
      <c r="D21" t="s" s="53">
        <v>853</v>
      </c>
      <c r="E21" t="s" s="53">
        <v>853</v>
      </c>
      <c r="F21" t="s" s="53">
        <v>853</v>
      </c>
      <c r="G21" t="s" s="53">
        <v>853</v>
      </c>
      <c r="H21" t="s" s="53">
        <v>853</v>
      </c>
      <c r="I21" t="s" s="53">
        <v>853</v>
      </c>
      <c r="J21" t="s" s="53">
        <v>853</v>
      </c>
      <c r="K21" t="s" s="53">
        <v>853</v>
      </c>
      <c r="L21" t="s" s="53">
        <v>853</v>
      </c>
      <c r="M21" t="s" s="53">
        <v>853</v>
      </c>
    </row>
    <row r="22" spans="2:13" x14ac:dyDescent="0.2">
      <c r="B22" t="s" s="35">
        <v>853</v>
      </c>
      <c r="C22" t="s" s="35">
        <v>853</v>
      </c>
      <c r="D22" t="s" s="35">
        <v>853</v>
      </c>
      <c r="E22" t="s" s="35">
        <v>853</v>
      </c>
      <c r="F22" t="s" s="35">
        <v>853</v>
      </c>
      <c r="G22" t="s" s="35">
        <v>853</v>
      </c>
      <c r="H22" t="s" s="35">
        <v>853</v>
      </c>
      <c r="I22" t="s" s="35">
        <v>853</v>
      </c>
      <c r="J22" t="s" s="35">
        <v>853</v>
      </c>
      <c r="K22" t="s" s="35">
        <v>853</v>
      </c>
      <c r="L22" t="s" s="35">
        <v>853</v>
      </c>
      <c r="M22" t="s" s="35">
        <v>853</v>
      </c>
    </row>
    <row r="23" spans="2:13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2:13" ht="13.2" customHeight="1" x14ac:dyDescent="0.2"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</row>
    <row r="25" spans="2:13" x14ac:dyDescent="0.2"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</row>
    <row r="26" spans="2:13" x14ac:dyDescent="0.2">
      <c r="B26" t="s" s="33">
        <v>856</v>
      </c>
      <c r="C26" t="s" s="70">
        <v>856</v>
      </c>
      <c r="D26" t="s" s="77">
        <v>856</v>
      </c>
      <c r="E26" t="s" s="83">
        <v>856</v>
      </c>
      <c r="F26" t="s" s="81">
        <v>856</v>
      </c>
      <c r="G26" t="s" s="89">
        <v>856</v>
      </c>
      <c r="H26" t="s" s="86">
        <v>856</v>
      </c>
      <c r="I26" t="s" s="97">
        <v>856</v>
      </c>
      <c r="J26" t="s" s="65">
        <v>856</v>
      </c>
      <c r="K26" t="s" s="91">
        <v>856</v>
      </c>
      <c r="L26" t="s" s="100">
        <v>856</v>
      </c>
      <c r="M26" t="s" s="104">
        <v>856</v>
      </c>
    </row>
    <row r="27" spans="2:13" x14ac:dyDescent="0.2">
      <c r="B27" s="32"/>
      <c r="C27" s="72"/>
      <c r="D27" s="76"/>
      <c r="E27" s="79"/>
      <c r="F27" s="82"/>
      <c r="G27" s="85"/>
      <c r="H27" s="88"/>
      <c r="I27" s="105"/>
      <c r="J27" s="105"/>
      <c r="K27" s="105"/>
      <c r="L27" s="105"/>
      <c r="M27" s="103"/>
    </row>
    <row r="28" spans="2:13" x14ac:dyDescent="0.2">
      <c r="B28" t="s" s="2">
        <v>843</v>
      </c>
      <c r="C28" t="s" s="2">
        <v>843</v>
      </c>
      <c r="D28" t="s" s="2">
        <v>843</v>
      </c>
      <c r="E28" t="s" s="2">
        <v>843</v>
      </c>
      <c r="F28" t="s" s="2">
        <v>843</v>
      </c>
      <c r="G28" t="s" s="2">
        <v>843</v>
      </c>
      <c r="H28" t="s" s="2">
        <v>843</v>
      </c>
      <c r="I28" t="s" s="2">
        <v>843</v>
      </c>
      <c r="J28" t="s" s="2">
        <v>843</v>
      </c>
      <c r="K28" t="s" s="2">
        <v>843</v>
      </c>
      <c r="L28" t="s" s="2">
        <v>843</v>
      </c>
      <c r="M28" t="s" s="2">
        <v>843</v>
      </c>
    </row>
    <row r="29" spans="2:13" ht="13.2" customHeight="1" x14ac:dyDescent="0.2">
      <c r="B29" s="34">
        <v>0.4</v>
      </c>
      <c r="C29" s="34">
        <v>0.4</v>
      </c>
      <c r="D29" s="34">
        <v>0.4</v>
      </c>
      <c r="E29" s="34">
        <v>0.4</v>
      </c>
      <c r="F29" s="34">
        <v>0.4</v>
      </c>
      <c r="G29" s="34">
        <v>0.4</v>
      </c>
      <c r="H29" s="34">
        <v>0.4</v>
      </c>
      <c r="I29" s="34">
        <v>0.4</v>
      </c>
      <c r="J29" s="34">
        <v>0.4</v>
      </c>
      <c r="K29" s="34">
        <v>0.4</v>
      </c>
      <c r="L29" s="34">
        <v>0.4</v>
      </c>
      <c r="M29" s="34">
        <v>0.4</v>
      </c>
    </row>
    <row r="30" spans="2:13" x14ac:dyDescent="0.2">
      <c r="B30" s="34">
        <v>0.6</v>
      </c>
      <c r="C30" s="34">
        <v>0.6</v>
      </c>
      <c r="D30" s="34">
        <v>0.6</v>
      </c>
      <c r="E30" s="34">
        <v>0.6</v>
      </c>
      <c r="F30" s="34">
        <v>0.6</v>
      </c>
      <c r="G30" s="34">
        <v>0.6</v>
      </c>
      <c r="H30" s="34">
        <v>0.6</v>
      </c>
      <c r="I30" s="34">
        <v>0.6</v>
      </c>
      <c r="J30" s="34">
        <v>0.6</v>
      </c>
      <c r="K30" s="34">
        <v>0.6</v>
      </c>
      <c r="L30" s="34">
        <v>0.6</v>
      </c>
      <c r="M30" s="34">
        <v>0.6</v>
      </c>
    </row>
    <row r="31" spans="2:13" x14ac:dyDescent="0.2">
      <c r="B31" t="s" s="33">
        <v>853</v>
      </c>
      <c r="C31" t="s" s="70">
        <v>853</v>
      </c>
      <c r="D31" t="s" s="77">
        <v>853</v>
      </c>
      <c r="E31" t="s" s="83">
        <v>853</v>
      </c>
      <c r="F31" t="s" s="81">
        <v>853</v>
      </c>
      <c r="G31" t="s" s="89">
        <v>853</v>
      </c>
      <c r="H31" t="s" s="86">
        <v>853</v>
      </c>
      <c r="I31" t="s" s="97">
        <v>853</v>
      </c>
      <c r="J31" t="s" s="65">
        <v>853</v>
      </c>
      <c r="K31" t="s" s="91">
        <v>853</v>
      </c>
      <c r="L31" t="s" s="100">
        <v>853</v>
      </c>
      <c r="M31" t="s" s="104">
        <v>853</v>
      </c>
    </row>
    <row r="32" spans="2:13" x14ac:dyDescent="0.2">
      <c r="B32" s="32"/>
      <c r="C32" s="72"/>
      <c r="D32" s="76"/>
      <c r="E32" s="79"/>
      <c r="F32" s="82"/>
      <c r="G32" s="85"/>
      <c r="H32" s="88"/>
      <c r="I32" s="105"/>
      <c r="J32" s="105"/>
      <c r="K32" s="105"/>
      <c r="L32" s="105"/>
      <c r="M32" s="103"/>
    </row>
    <row r="33" spans="2:13" x14ac:dyDescent="0.2">
      <c r="B33" t="s" s="2">
        <v>843</v>
      </c>
      <c r="C33" t="s" s="2">
        <v>843</v>
      </c>
      <c r="D33" t="s" s="2">
        <v>843</v>
      </c>
      <c r="E33" t="s" s="2">
        <v>843</v>
      </c>
      <c r="F33" t="s" s="2">
        <v>843</v>
      </c>
      <c r="G33" t="s" s="2">
        <v>843</v>
      </c>
      <c r="H33" t="s" s="2">
        <v>843</v>
      </c>
      <c r="I33" t="s" s="2">
        <v>843</v>
      </c>
      <c r="J33" t="s" s="2">
        <v>843</v>
      </c>
      <c r="K33" t="s" s="2">
        <v>843</v>
      </c>
      <c r="L33" t="s" s="2">
        <v>843</v>
      </c>
      <c r="M33" t="s" s="2">
        <v>843</v>
      </c>
    </row>
    <row r="34" spans="2:13" ht="13.2" customHeight="1" x14ac:dyDescent="0.2">
      <c r="B34" s="34">
        <v>0.4</v>
      </c>
      <c r="C34" s="34">
        <v>0.4</v>
      </c>
      <c r="D34" s="34">
        <v>0.4</v>
      </c>
      <c r="E34" s="34">
        <v>0.4</v>
      </c>
      <c r="F34" s="34">
        <v>0.4</v>
      </c>
      <c r="G34" s="34">
        <v>0.4</v>
      </c>
      <c r="H34" s="34">
        <v>0.4</v>
      </c>
      <c r="I34" s="34">
        <v>0.4</v>
      </c>
      <c r="J34" s="34">
        <v>0.4</v>
      </c>
      <c r="K34" s="34">
        <v>0.4</v>
      </c>
      <c r="L34" s="34">
        <v>0.4</v>
      </c>
      <c r="M34" s="34">
        <v>0.4</v>
      </c>
    </row>
    <row r="35" spans="2:13" x14ac:dyDescent="0.2">
      <c r="B35" s="34">
        <v>0.6</v>
      </c>
      <c r="C35" s="34">
        <v>0.6</v>
      </c>
      <c r="D35" s="34">
        <v>0.6</v>
      </c>
      <c r="E35" s="34">
        <v>0.6</v>
      </c>
      <c r="F35" s="34">
        <v>0.6</v>
      </c>
      <c r="G35" s="34">
        <v>0.6</v>
      </c>
      <c r="H35" s="34">
        <v>0.6</v>
      </c>
      <c r="I35" s="34">
        <v>0.6</v>
      </c>
      <c r="J35" s="34">
        <v>0.6</v>
      </c>
      <c r="K35" s="34">
        <v>0.6</v>
      </c>
      <c r="L35" s="34">
        <v>0.6</v>
      </c>
      <c r="M35" s="34">
        <v>0.6</v>
      </c>
    </row>
    <row r="36" spans="2:13" x14ac:dyDescent="0.2">
      <c r="B36" t="s" s="29">
        <v>856</v>
      </c>
      <c r="C36" t="s" s="29">
        <v>856</v>
      </c>
      <c r="D36" t="s" s="29">
        <v>856</v>
      </c>
      <c r="E36" t="s" s="29">
        <v>856</v>
      </c>
      <c r="F36" t="s" s="29">
        <v>856</v>
      </c>
      <c r="G36" t="s" s="29">
        <v>856</v>
      </c>
      <c r="H36" t="s" s="29">
        <v>856</v>
      </c>
      <c r="I36" t="s" s="29">
        <v>856</v>
      </c>
      <c r="J36" t="s" s="29">
        <v>856</v>
      </c>
      <c r="K36" t="s" s="29">
        <v>856</v>
      </c>
      <c r="L36" t="s" s="29">
        <v>856</v>
      </c>
      <c r="M36" t="s" s="29">
        <v>856</v>
      </c>
    </row>
    <row r="37" spans="2:13" x14ac:dyDescent="0.2"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</row>
    <row r="38" spans="2:13" x14ac:dyDescent="0.2">
      <c r="B38" t="s" s="2">
        <v>843</v>
      </c>
      <c r="C38" t="s" s="2">
        <v>843</v>
      </c>
      <c r="D38" t="s" s="2">
        <v>843</v>
      </c>
      <c r="E38" t="s" s="2">
        <v>843</v>
      </c>
      <c r="F38" t="s" s="2">
        <v>843</v>
      </c>
      <c r="G38" t="s" s="2">
        <v>843</v>
      </c>
      <c r="H38" t="s" s="2">
        <v>843</v>
      </c>
      <c r="I38" t="s" s="2">
        <v>843</v>
      </c>
      <c r="J38" t="s" s="2">
        <v>843</v>
      </c>
      <c r="K38" t="s" s="2">
        <v>843</v>
      </c>
      <c r="L38" t="s" s="2">
        <v>843</v>
      </c>
      <c r="M38" t="s" s="2">
        <v>843</v>
      </c>
    </row>
    <row r="39" spans="2:13" ht="13.2" customHeight="1" x14ac:dyDescent="0.2">
      <c r="B39" s="34">
        <v>0.4</v>
      </c>
      <c r="C39" s="34">
        <v>0.4</v>
      </c>
      <c r="D39" s="34">
        <v>0.4</v>
      </c>
      <c r="E39" s="34">
        <v>0.4</v>
      </c>
      <c r="F39" s="34">
        <v>0.4</v>
      </c>
      <c r="G39" s="34">
        <v>0.4</v>
      </c>
      <c r="H39" s="34">
        <v>0.4</v>
      </c>
      <c r="I39" s="34">
        <v>0.4</v>
      </c>
      <c r="J39" s="34">
        <v>0.4</v>
      </c>
      <c r="K39" s="34">
        <v>0.4</v>
      </c>
      <c r="L39" s="34">
        <v>0.4</v>
      </c>
      <c r="M39" s="34">
        <v>0.4</v>
      </c>
    </row>
    <row r="40" spans="2:13" x14ac:dyDescent="0.2">
      <c r="B40" s="34">
        <v>0.6</v>
      </c>
      <c r="C40" s="34">
        <v>0.6</v>
      </c>
      <c r="D40" s="34">
        <v>0.6</v>
      </c>
      <c r="E40" s="34">
        <v>0.6</v>
      </c>
      <c r="F40" s="34">
        <v>0.6</v>
      </c>
      <c r="G40" s="34">
        <v>0.6</v>
      </c>
      <c r="H40" s="34">
        <v>0.6</v>
      </c>
      <c r="I40" s="34">
        <v>0.6</v>
      </c>
      <c r="J40" s="34">
        <v>0.6</v>
      </c>
      <c r="K40" s="34">
        <v>0.6</v>
      </c>
      <c r="L40" s="34">
        <v>0.6</v>
      </c>
      <c r="M40" s="34">
        <v>0.6</v>
      </c>
    </row>
    <row r="41" spans="2:13" x14ac:dyDescent="0.2">
      <c r="B41" t="s" s="54">
        <v>853</v>
      </c>
      <c r="C41" t="s" s="54">
        <v>853</v>
      </c>
      <c r="D41" t="s" s="54">
        <v>853</v>
      </c>
      <c r="E41" t="s" s="54">
        <v>853</v>
      </c>
      <c r="F41" t="s" s="54">
        <v>853</v>
      </c>
      <c r="G41" t="s" s="54">
        <v>853</v>
      </c>
      <c r="H41" t="s" s="54">
        <v>853</v>
      </c>
      <c r="I41" t="s" s="54">
        <v>853</v>
      </c>
      <c r="J41" t="s" s="54">
        <v>853</v>
      </c>
      <c r="K41" t="s" s="54">
        <v>853</v>
      </c>
      <c r="L41" t="s" s="54">
        <v>853</v>
      </c>
      <c r="M41" t="s" s="54">
        <v>853</v>
      </c>
    </row>
    <row r="42" spans="2:13" x14ac:dyDescent="0.2">
      <c r="B42" t="s" s="31">
        <v>853</v>
      </c>
      <c r="C42" t="s" s="31">
        <v>853</v>
      </c>
      <c r="D42" t="s" s="31">
        <v>853</v>
      </c>
      <c r="E42" t="s" s="31">
        <v>853</v>
      </c>
      <c r="F42" t="s" s="31">
        <v>853</v>
      </c>
      <c r="G42" t="s" s="31">
        <v>853</v>
      </c>
      <c r="H42" t="s" s="31">
        <v>853</v>
      </c>
      <c r="I42" t="s" s="31">
        <v>853</v>
      </c>
      <c r="J42" t="s" s="31">
        <v>853</v>
      </c>
      <c r="K42" t="s" s="31">
        <v>853</v>
      </c>
      <c r="L42" t="s" s="31">
        <v>853</v>
      </c>
      <c r="M42" t="s" s="31">
        <v>853</v>
      </c>
    </row>
    <row r="43" spans="2:13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2:13" ht="13.2" customHeight="1" x14ac:dyDescent="0.2"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</row>
    <row r="45" spans="2:13" x14ac:dyDescent="0.2"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</row>
    <row r="46" spans="2:13" x14ac:dyDescent="0.2">
      <c r="B46" t="s" s="33">
        <v>856</v>
      </c>
      <c r="C46" t="s" s="70">
        <v>856</v>
      </c>
      <c r="D46" t="s" s="77">
        <v>856</v>
      </c>
      <c r="E46" t="s" s="83">
        <v>856</v>
      </c>
      <c r="F46" t="s" s="81">
        <v>856</v>
      </c>
      <c r="G46" t="s" s="89">
        <v>856</v>
      </c>
      <c r="H46" t="s" s="86">
        <v>856</v>
      </c>
      <c r="I46" t="s" s="97">
        <v>856</v>
      </c>
      <c r="J46" t="s" s="65">
        <v>856</v>
      </c>
      <c r="K46" t="s" s="91">
        <v>856</v>
      </c>
      <c r="L46" t="s" s="100">
        <v>856</v>
      </c>
      <c r="M46" t="s" s="104">
        <v>856</v>
      </c>
    </row>
    <row r="47" spans="2:13" x14ac:dyDescent="0.2">
      <c r="B47" s="32"/>
      <c r="C47" s="72"/>
      <c r="D47" s="76"/>
      <c r="E47" s="79"/>
      <c r="F47" s="82"/>
      <c r="G47" s="85"/>
      <c r="H47" s="88"/>
      <c r="I47" s="105"/>
      <c r="J47" s="105"/>
      <c r="K47" s="105"/>
      <c r="L47" s="105"/>
      <c r="M47" s="103"/>
    </row>
    <row r="48" spans="2:13" x14ac:dyDescent="0.2">
      <c r="B48" t="s" s="2">
        <v>843</v>
      </c>
      <c r="C48" t="s" s="2">
        <v>843</v>
      </c>
      <c r="D48" t="s" s="2">
        <v>843</v>
      </c>
      <c r="E48" t="s" s="2">
        <v>843</v>
      </c>
      <c r="F48" t="s" s="2">
        <v>843</v>
      </c>
      <c r="G48" t="s" s="2">
        <v>843</v>
      </c>
      <c r="H48" t="s" s="2">
        <v>843</v>
      </c>
      <c r="I48" t="s" s="2">
        <v>843</v>
      </c>
      <c r="J48" t="s" s="2">
        <v>843</v>
      </c>
      <c r="K48" t="s" s="2">
        <v>843</v>
      </c>
      <c r="L48" t="s" s="2">
        <v>843</v>
      </c>
      <c r="M48" t="s" s="2">
        <v>843</v>
      </c>
    </row>
    <row r="49" spans="2:13" x14ac:dyDescent="0.2">
      <c r="B49" s="34">
        <v>0.4</v>
      </c>
      <c r="C49" s="34">
        <v>0.4</v>
      </c>
      <c r="D49" s="34">
        <v>0.4</v>
      </c>
      <c r="E49" s="34">
        <v>0.4</v>
      </c>
      <c r="F49" s="34">
        <v>0.4</v>
      </c>
      <c r="G49" s="34">
        <v>0.4</v>
      </c>
      <c r="H49" s="34">
        <v>0.4</v>
      </c>
      <c r="I49" s="34">
        <v>0.4</v>
      </c>
      <c r="J49" s="34">
        <v>0.4</v>
      </c>
      <c r="K49" s="34">
        <v>0.4</v>
      </c>
      <c r="L49" s="34">
        <v>0.4</v>
      </c>
      <c r="M49" s="34">
        <v>0.4</v>
      </c>
    </row>
    <row r="50" spans="2:13" x14ac:dyDescent="0.2">
      <c r="B50" s="34">
        <v>0.6</v>
      </c>
      <c r="C50" s="34">
        <v>0.6</v>
      </c>
      <c r="D50" s="34">
        <v>0.6</v>
      </c>
      <c r="E50" s="34">
        <v>0.6</v>
      </c>
      <c r="F50" s="34">
        <v>0.6</v>
      </c>
      <c r="G50" s="34">
        <v>0.6</v>
      </c>
      <c r="H50" s="34">
        <v>0.6</v>
      </c>
      <c r="I50" s="34">
        <v>0.6</v>
      </c>
      <c r="J50" s="34">
        <v>0.6</v>
      </c>
      <c r="K50" s="34">
        <v>0.6</v>
      </c>
      <c r="L50" s="34">
        <v>0.6</v>
      </c>
      <c r="M50" s="34">
        <v>0.6</v>
      </c>
    </row>
    <row r="51" spans="2:13" x14ac:dyDescent="0.2">
      <c r="B51" t="s" s="53">
        <v>853</v>
      </c>
      <c r="C51" t="s" s="53">
        <v>853</v>
      </c>
      <c r="D51" t="s" s="53">
        <v>853</v>
      </c>
      <c r="E51" t="s" s="53">
        <v>853</v>
      </c>
      <c r="F51" t="s" s="53">
        <v>853</v>
      </c>
      <c r="G51" t="s" s="53">
        <v>853</v>
      </c>
      <c r="H51" t="s" s="53">
        <v>853</v>
      </c>
      <c r="I51" t="s" s="53">
        <v>853</v>
      </c>
      <c r="J51" t="s" s="53">
        <v>853</v>
      </c>
      <c r="K51" t="s" s="53">
        <v>853</v>
      </c>
      <c r="L51" t="s" s="53">
        <v>853</v>
      </c>
      <c r="M51" t="s" s="53">
        <v>853</v>
      </c>
    </row>
    <row r="52" spans="2:13" x14ac:dyDescent="0.2">
      <c r="B52" t="s" s="31">
        <v>853</v>
      </c>
      <c r="C52" t="s" s="31">
        <v>853</v>
      </c>
      <c r="D52" t="s" s="31">
        <v>853</v>
      </c>
      <c r="E52" t="s" s="31">
        <v>853</v>
      </c>
      <c r="F52" t="s" s="31">
        <v>853</v>
      </c>
      <c r="G52" t="s" s="31">
        <v>853</v>
      </c>
      <c r="H52" t="s" s="31">
        <v>853</v>
      </c>
      <c r="I52" t="s" s="31">
        <v>853</v>
      </c>
      <c r="J52" t="s" s="31">
        <v>853</v>
      </c>
      <c r="K52" t="s" s="31">
        <v>853</v>
      </c>
      <c r="L52" t="s" s="31">
        <v>853</v>
      </c>
      <c r="M52" t="s" s="31">
        <v>853</v>
      </c>
    </row>
    <row r="53" spans="2:13" x14ac:dyDescent="0.2"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2:13" x14ac:dyDescent="0.2"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</row>
    <row r="55" spans="2:13" x14ac:dyDescent="0.2"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</row>
    <row r="56" spans="2:13" x14ac:dyDescent="0.2">
      <c r="B56" t="s" s="33">
        <v>853</v>
      </c>
      <c r="C56" t="s" s="78">
        <v>853</v>
      </c>
      <c r="D56" t="s" s="77">
        <v>853</v>
      </c>
      <c r="E56" t="s" s="83">
        <v>853</v>
      </c>
      <c r="F56" t="s" s="81">
        <v>853</v>
      </c>
      <c r="G56" t="s" s="89">
        <v>853</v>
      </c>
      <c r="H56" t="s" s="86">
        <v>853</v>
      </c>
      <c r="I56" t="s" s="94">
        <v>853</v>
      </c>
      <c r="J56" t="s" s="67">
        <v>853</v>
      </c>
      <c r="K56" t="s" s="92">
        <v>853</v>
      </c>
      <c r="L56" t="s" s="101">
        <v>853</v>
      </c>
      <c r="M56" t="s" s="104">
        <v>853</v>
      </c>
    </row>
    <row r="57" spans="2:13" x14ac:dyDescent="0.2">
      <c r="B57" s="32"/>
      <c r="C57" s="96"/>
      <c r="D57" s="76"/>
      <c r="E57" s="79"/>
      <c r="F57" s="82"/>
      <c r="G57" s="85"/>
      <c r="H57" s="88"/>
      <c r="I57" s="93"/>
      <c r="J57" s="66"/>
      <c r="K57" s="96"/>
      <c r="L57" s="98"/>
      <c r="M57" s="103"/>
    </row>
    <row r="58" spans="2:13" x14ac:dyDescent="0.2">
      <c r="B58" t="s" s="2">
        <v>843</v>
      </c>
      <c r="C58" t="s" s="2">
        <v>843</v>
      </c>
      <c r="D58" t="s" s="2">
        <v>843</v>
      </c>
      <c r="E58" t="s" s="2">
        <v>843</v>
      </c>
      <c r="F58" t="s" s="2">
        <v>843</v>
      </c>
      <c r="G58" t="s" s="2">
        <v>843</v>
      </c>
      <c r="H58" t="s" s="2">
        <v>843</v>
      </c>
      <c r="I58" t="s" s="2">
        <v>843</v>
      </c>
      <c r="J58" t="s" s="2">
        <v>843</v>
      </c>
      <c r="K58" t="s" s="2">
        <v>843</v>
      </c>
      <c r="L58" t="s" s="2">
        <v>843</v>
      </c>
      <c r="M58" t="s" s="2">
        <v>843</v>
      </c>
    </row>
    <row r="59" spans="2:13" x14ac:dyDescent="0.2">
      <c r="B59" s="34">
        <v>0.4</v>
      </c>
      <c r="C59" s="34">
        <v>0.4</v>
      </c>
      <c r="D59" s="34">
        <v>0.4</v>
      </c>
      <c r="E59" s="34">
        <v>0.4</v>
      </c>
      <c r="F59" s="34">
        <v>0.4</v>
      </c>
      <c r="G59" s="34">
        <v>0.4</v>
      </c>
      <c r="H59" s="34">
        <v>0.4</v>
      </c>
      <c r="I59" s="34">
        <v>0.4</v>
      </c>
      <c r="J59" s="34">
        <v>0.4</v>
      </c>
      <c r="K59" s="34">
        <v>0.4</v>
      </c>
      <c r="L59" s="34">
        <v>0.4</v>
      </c>
      <c r="M59" s="34">
        <v>0.4</v>
      </c>
    </row>
    <row r="60" spans="2:13" x14ac:dyDescent="0.2">
      <c r="B60" s="34">
        <v>0.6</v>
      </c>
      <c r="C60" s="34">
        <v>0.6</v>
      </c>
      <c r="D60" s="34">
        <v>0.6</v>
      </c>
      <c r="E60" s="34">
        <v>0.6</v>
      </c>
      <c r="F60" s="34">
        <v>0.6</v>
      </c>
      <c r="G60" s="34">
        <v>0.6</v>
      </c>
      <c r="H60" s="34">
        <v>0.6</v>
      </c>
      <c r="I60" s="34">
        <v>0.6</v>
      </c>
      <c r="J60" s="34">
        <v>0.6</v>
      </c>
      <c r="K60" s="34">
        <v>0.6</v>
      </c>
      <c r="L60" s="34">
        <v>0.6</v>
      </c>
      <c r="M60" s="34">
        <v>0.6</v>
      </c>
    </row>
    <row r="61" spans="2:13" x14ac:dyDescent="0.2">
      <c r="B61" t="s" s="33">
        <v>853</v>
      </c>
      <c r="C61" t="s" s="78">
        <v>853</v>
      </c>
      <c r="D61" t="s" s="77">
        <v>853</v>
      </c>
      <c r="E61" t="s" s="83">
        <v>853</v>
      </c>
      <c r="F61" t="s" s="81">
        <v>853</v>
      </c>
      <c r="G61" t="s" s="89">
        <v>853</v>
      </c>
      <c r="H61" t="s" s="86">
        <v>853</v>
      </c>
      <c r="I61" t="s" s="94">
        <v>853</v>
      </c>
      <c r="J61" t="s" s="67">
        <v>853</v>
      </c>
      <c r="K61" t="s" s="92">
        <v>853</v>
      </c>
      <c r="L61" t="s" s="101">
        <v>853</v>
      </c>
      <c r="M61" t="s" s="104">
        <v>853</v>
      </c>
    </row>
    <row r="62" spans="2:13" x14ac:dyDescent="0.2">
      <c r="B62" s="32"/>
      <c r="C62" s="96"/>
      <c r="D62" s="76"/>
      <c r="E62" s="79"/>
      <c r="F62" s="82"/>
      <c r="G62" s="85"/>
      <c r="H62" s="88"/>
      <c r="I62" s="93"/>
      <c r="J62" s="66"/>
      <c r="K62" s="96"/>
      <c r="L62" s="98"/>
      <c r="M62" s="103"/>
    </row>
    <row r="63" spans="2:13" x14ac:dyDescent="0.2">
      <c r="B63" t="s" s="2">
        <v>843</v>
      </c>
      <c r="C63" t="s" s="2">
        <v>843</v>
      </c>
      <c r="D63" t="s" s="2">
        <v>843</v>
      </c>
      <c r="E63" t="s" s="2">
        <v>843</v>
      </c>
      <c r="F63" t="s" s="2">
        <v>843</v>
      </c>
      <c r="G63" t="s" s="2">
        <v>843</v>
      </c>
      <c r="H63" t="s" s="2">
        <v>843</v>
      </c>
      <c r="I63" t="s" s="2">
        <v>843</v>
      </c>
      <c r="J63" t="s" s="2">
        <v>843</v>
      </c>
      <c r="K63" t="s" s="2">
        <v>843</v>
      </c>
      <c r="L63" t="s" s="2">
        <v>843</v>
      </c>
      <c r="M63" t="s" s="2">
        <v>843</v>
      </c>
    </row>
    <row r="64" spans="2:13" x14ac:dyDescent="0.2">
      <c r="B64" s="34">
        <v>0.4</v>
      </c>
      <c r="C64" s="34">
        <v>0.4</v>
      </c>
      <c r="D64" s="34">
        <v>0.4</v>
      </c>
      <c r="E64" s="34">
        <v>0.4</v>
      </c>
      <c r="F64" s="34">
        <v>0.4</v>
      </c>
      <c r="G64" s="34">
        <v>0.4</v>
      </c>
      <c r="H64" s="34">
        <v>0.4</v>
      </c>
      <c r="I64" s="34">
        <v>0.4</v>
      </c>
      <c r="J64" s="34">
        <v>0.4</v>
      </c>
      <c r="K64" s="34">
        <v>0.4</v>
      </c>
      <c r="L64" s="34">
        <v>0.4</v>
      </c>
      <c r="M64" s="34">
        <v>0.4</v>
      </c>
    </row>
    <row r="65" spans="2:13" x14ac:dyDescent="0.2">
      <c r="B65" s="34">
        <v>0.6</v>
      </c>
      <c r="C65" s="34">
        <v>0.6</v>
      </c>
      <c r="D65" s="34">
        <v>0.6</v>
      </c>
      <c r="E65" s="34">
        <v>0.6</v>
      </c>
      <c r="F65" s="34">
        <v>0.6</v>
      </c>
      <c r="G65" s="34">
        <v>0.6</v>
      </c>
      <c r="H65" s="34">
        <v>0.6</v>
      </c>
      <c r="I65" s="34">
        <v>0.6</v>
      </c>
      <c r="J65" s="34">
        <v>0.6</v>
      </c>
      <c r="K65" s="34">
        <v>0.6</v>
      </c>
      <c r="L65" s="34">
        <v>0.6</v>
      </c>
      <c r="M65" s="34">
        <v>0.6</v>
      </c>
    </row>
    <row r="66" spans="2:13" x14ac:dyDescent="0.2">
      <c r="B66" t="s" s="54">
        <v>853</v>
      </c>
      <c r="C66" t="s" s="54">
        <v>853</v>
      </c>
      <c r="D66" t="s" s="54">
        <v>853</v>
      </c>
      <c r="E66" t="s" s="54">
        <v>853</v>
      </c>
      <c r="F66" t="s" s="54">
        <v>853</v>
      </c>
      <c r="G66" t="s" s="54">
        <v>853</v>
      </c>
      <c r="H66" t="s" s="54">
        <v>853</v>
      </c>
      <c r="I66" t="s" s="54">
        <v>853</v>
      </c>
      <c r="J66" t="s" s="54">
        <v>853</v>
      </c>
      <c r="K66" t="s" s="54">
        <v>853</v>
      </c>
      <c r="L66" t="s" s="54">
        <v>853</v>
      </c>
      <c r="M66" t="s" s="54">
        <v>853</v>
      </c>
    </row>
    <row r="67" spans="2:13" x14ac:dyDescent="0.2">
      <c r="B67" t="s" s="31">
        <v>853</v>
      </c>
      <c r="C67" t="s" s="31">
        <v>853</v>
      </c>
      <c r="D67" t="s" s="31">
        <v>853</v>
      </c>
      <c r="E67" t="s" s="31">
        <v>853</v>
      </c>
      <c r="F67" t="s" s="31">
        <v>853</v>
      </c>
      <c r="G67" t="s" s="31">
        <v>853</v>
      </c>
      <c r="H67" t="s" s="31">
        <v>853</v>
      </c>
      <c r="I67" t="s" s="31">
        <v>853</v>
      </c>
      <c r="J67" t="s" s="31">
        <v>853</v>
      </c>
      <c r="K67" t="s" s="31">
        <v>853</v>
      </c>
      <c r="L67" t="s" s="31">
        <v>853</v>
      </c>
      <c r="M67" t="s" s="31">
        <v>853</v>
      </c>
    </row>
    <row r="68" spans="2:13" x14ac:dyDescent="0.2"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2:13" x14ac:dyDescent="0.2"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</row>
    <row r="70" spans="2:13" x14ac:dyDescent="0.2"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</row>
    <row r="71" spans="2:13" x14ac:dyDescent="0.2">
      <c r="B71" t="s" s="33">
        <v>853</v>
      </c>
      <c r="C71" t="s" s="78">
        <v>853</v>
      </c>
      <c r="D71" t="s" s="77">
        <v>853</v>
      </c>
      <c r="E71" t="s" s="83">
        <v>853</v>
      </c>
      <c r="F71" t="s" s="81">
        <v>853</v>
      </c>
      <c r="G71" t="s" s="89">
        <v>853</v>
      </c>
      <c r="H71" t="s" s="86">
        <v>853</v>
      </c>
      <c r="I71" t="s" s="94">
        <v>853</v>
      </c>
      <c r="J71" t="s" s="67">
        <v>853</v>
      </c>
      <c r="K71" t="s" s="92">
        <v>853</v>
      </c>
      <c r="L71" t="s" s="101">
        <v>853</v>
      </c>
      <c r="M71" t="s" s="104">
        <v>853</v>
      </c>
    </row>
    <row r="72" spans="2:13" x14ac:dyDescent="0.2">
      <c r="B72" s="32"/>
      <c r="C72" s="96"/>
      <c r="D72" s="76"/>
      <c r="E72" s="79"/>
      <c r="F72" s="82"/>
      <c r="G72" s="85"/>
      <c r="H72" s="88"/>
      <c r="I72" s="93"/>
      <c r="J72" s="66"/>
      <c r="K72" s="96"/>
      <c r="L72" s="98"/>
      <c r="M72" s="103"/>
    </row>
    <row r="73" spans="2:13" x14ac:dyDescent="0.2">
      <c r="B73" t="s" s="2">
        <v>843</v>
      </c>
      <c r="C73" t="s" s="2">
        <v>843</v>
      </c>
      <c r="D73" t="s" s="2">
        <v>843</v>
      </c>
      <c r="E73" t="s" s="2">
        <v>843</v>
      </c>
      <c r="F73" t="s" s="2">
        <v>843</v>
      </c>
      <c r="G73" t="s" s="2">
        <v>843</v>
      </c>
      <c r="H73" t="s" s="2">
        <v>843</v>
      </c>
      <c r="I73" t="s" s="2">
        <v>843</v>
      </c>
      <c r="J73" t="s" s="2">
        <v>843</v>
      </c>
      <c r="K73" t="s" s="2">
        <v>843</v>
      </c>
      <c r="L73" t="s" s="2">
        <v>843</v>
      </c>
      <c r="M73" t="s" s="2">
        <v>843</v>
      </c>
    </row>
    <row r="74" spans="2:13" x14ac:dyDescent="0.2">
      <c r="B74" s="34">
        <v>0.4</v>
      </c>
      <c r="C74" s="34">
        <v>0.4</v>
      </c>
      <c r="D74" s="34">
        <v>0.4</v>
      </c>
      <c r="E74" s="34">
        <v>0.4</v>
      </c>
      <c r="F74" s="34">
        <v>0.4</v>
      </c>
      <c r="G74" s="34">
        <v>0.4</v>
      </c>
      <c r="H74" s="34">
        <v>0.4</v>
      </c>
      <c r="I74" s="34">
        <v>0.4</v>
      </c>
      <c r="J74" s="34">
        <v>0.4</v>
      </c>
      <c r="K74" s="34">
        <v>0.4</v>
      </c>
      <c r="L74" s="34">
        <v>0.4</v>
      </c>
      <c r="M74" s="34">
        <v>0.4</v>
      </c>
    </row>
    <row r="75" spans="2:13" x14ac:dyDescent="0.2">
      <c r="B75" s="34">
        <v>0.6</v>
      </c>
      <c r="C75" s="34">
        <v>0.6</v>
      </c>
      <c r="D75" s="34">
        <v>0.6</v>
      </c>
      <c r="E75" s="34">
        <v>0.6</v>
      </c>
      <c r="F75" s="34">
        <v>0.6</v>
      </c>
      <c r="G75" s="34">
        <v>0.6</v>
      </c>
      <c r="H75" s="34">
        <v>0.6</v>
      </c>
      <c r="I75" s="34">
        <v>0.6</v>
      </c>
      <c r="J75" s="34">
        <v>0.6</v>
      </c>
      <c r="K75" s="34">
        <v>0.6</v>
      </c>
      <c r="L75" s="34">
        <v>0.6</v>
      </c>
      <c r="M75" s="34">
        <v>0.6</v>
      </c>
    </row>
    <row r="76" spans="2:13" x14ac:dyDescent="0.2">
      <c r="B76" t="s" s="45">
        <v>877</v>
      </c>
      <c r="C76" t="s" s="45">
        <v>877</v>
      </c>
      <c r="D76" t="s" s="46">
        <v>877</v>
      </c>
      <c r="E76" t="s" s="123">
        <v>877</v>
      </c>
      <c r="F76" t="s" s="123">
        <v>877</v>
      </c>
      <c r="G76" t="s" s="45">
        <v>877</v>
      </c>
      <c r="H76" t="s" s="123">
        <v>877</v>
      </c>
      <c r="I76" t="s" s="45">
        <v>877</v>
      </c>
      <c r="J76" t="s" s="46">
        <v>877</v>
      </c>
      <c r="K76" t="s" s="46">
        <v>877</v>
      </c>
      <c r="L76" t="s" s="45">
        <v>877</v>
      </c>
      <c r="M76" t="s" s="46">
        <v>877</v>
      </c>
    </row>
  </sheetData>
  <phoneticPr fontId="1"/>
  <dataValidations count="1">
    <dataValidation type="list" allowBlank="1" showInputMessage="1" showErrorMessage="1" sqref="B53:M53 B10:M10 B68:M68 B73:M73 B63:M63 B58:M58 B18:M18 B38:M38 B33:M33 B43:M43 B28:M28 B5:M5 B23:M23 B48:M48" xr:uid="{311AC8CB-2F7D-4A52-AD98-C190B2975A5A}">
      <formula1>"縦(上→下),横(左→右)"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2"/>
      <c r="C2" s="122"/>
      <c r="D2" s="122"/>
      <c r="E2" s="4">
        <f>IFERROR(G2/F2,0)</f>
      </c>
      <c r="F2" s="5">
        <f t="shared" ref="F2:L2" si="0">SUM(F4:F104)</f>
      </c>
      <c r="G2" s="5">
        <f t="shared" si="0"/>
      </c>
      <c r="H2" s="5">
        <f t="shared" si="0"/>
      </c>
      <c r="I2" s="5">
        <f t="shared" si="0"/>
      </c>
      <c r="J2" s="6">
        <f t="shared" si="0"/>
      </c>
      <c r="K2" s="12">
        <f t="shared" si="0"/>
      </c>
      <c r="L2" s="7">
        <f t="shared" si="0"/>
      </c>
      <c r="M2" s="11">
        <f>IFERROR(IF((G2+P2+Q2)/(F2+P2+Q2+R2)=1,"1.00",(G2+P2+Q2)/(F2+P2+Q2+R2)),0)</f>
      </c>
      <c r="N2" s="11">
        <f>IFERROR(SUM(SUM(((G2-H2-I2-J2)*1),H2*2,I2*3,J2*4)/F2,((G2+P2+Q2)/(F2+P2+Q2+R2))),M2)</f>
      </c>
      <c r="O2" s="5">
        <f>SUM(O4:O104)</f>
      </c>
      <c r="P2" s="5">
        <f>SUM(P4:P104)</f>
      </c>
      <c r="Q2" s="5">
        <f>SUM(Q4:Q104)</f>
      </c>
      <c r="R2" s="5">
        <f>SUM(R4:R104)</f>
      </c>
      <c r="S2" s="5">
        <f>SUM(S4:S104)</f>
      </c>
      <c r="T2" s="5">
        <f t="shared" ref="T2:V2" si="1">SUM(T4:T104)</f>
      </c>
      <c r="U2" s="5">
        <f t="shared" si="1"/>
      </c>
      <c r="V2" s="5">
        <f t="shared" si="1"/>
      </c>
      <c r="W2" s="20">
        <f>IFERROR(CalcRC27(F2,G2,K2,O2,P2,Q2,R2,S2,T2,U2,V2),"-")</f>
      </c>
      <c r="X2" t="s" s="121">
        <v>229</v>
      </c>
    </row>
    <row r="3" spans="2:24" x14ac:dyDescent="0.2">
      <c r="B3" t="s" s="55">
        <v>841</v>
      </c>
      <c r="C3" t="s" s="56">
        <v>1039</v>
      </c>
      <c r="D3" t="s" s="56">
        <v>1040</v>
      </c>
      <c r="E3" t="s" s="57">
        <v>56</v>
      </c>
      <c r="F3" t="s" s="58">
        <v>0</v>
      </c>
      <c r="G3" t="s" s="55">
        <v>1</v>
      </c>
      <c r="H3" t="s" s="55">
        <v>360</v>
      </c>
      <c r="I3" t="s" s="55">
        <v>361</v>
      </c>
      <c r="J3" t="s" s="59">
        <v>1041</v>
      </c>
      <c r="K3" t="s" s="55">
        <v>983</v>
      </c>
      <c r="L3" t="s" s="60">
        <v>2</v>
      </c>
      <c r="M3" t="s" s="61">
        <v>359</v>
      </c>
      <c r="N3" t="s" s="57">
        <v>362</v>
      </c>
      <c r="O3" t="s" s="62">
        <v>978</v>
      </c>
      <c r="P3" t="s" s="55">
        <v>234</v>
      </c>
      <c r="Q3" t="s" s="55">
        <v>235</v>
      </c>
      <c r="R3" t="s" s="55">
        <v>976</v>
      </c>
      <c r="S3" t="s" s="55">
        <v>977</v>
      </c>
      <c r="T3" t="s" s="55">
        <v>979</v>
      </c>
      <c r="U3" t="s" s="55">
        <v>980</v>
      </c>
      <c r="V3" t="s" s="55">
        <v>981</v>
      </c>
      <c r="W3" t="s" s="55">
        <v>982</v>
      </c>
      <c r="X3" s="121"/>
    </row>
    <row r="4" spans="2:24" ht="13.8" x14ac:dyDescent="0.2">
      <c r="B4" s="8">
        <f>IF(C4="","",C4)</f>
      </c>
      <c r="C4" t="s" s="10">
        <v>173</v>
      </c>
      <c r="D4" t="s" s="13">
        <v>984</v>
      </c>
      <c r="E4" s="11">
        <f t="shared" ref="E4:E68" si="2">IFERROR(IF(G4/F4=1,"1.00",G4/F4),"---")</f>
      </c>
      <c r="F4" s="5">
        <v>14</v>
      </c>
      <c r="G4" s="5">
        <v>2</v>
      </c>
      <c r="H4" s="5">
        <v>1</v>
      </c>
      <c r="I4" s="5">
        <v>0</v>
      </c>
      <c r="J4" s="6">
        <v>0</v>
      </c>
      <c r="K4" s="12">
        <f>((G4-H4-I4-J4)+(H4*2)+(I4*3)+(J4*4))</f>
      </c>
      <c r="L4" s="7">
        <v>0</v>
      </c>
      <c r="M4" s="11">
        <f t="shared" ref="M4:M67" si="3">IFERROR(IF((G4+P4+Q4)/(F4+P4+Q4+S4)=1,"1.00",(G4+P4+Q4)/(F4+P4+Q4+S4)),0)</f>
      </c>
      <c r="N4" s="11">
        <f t="shared" ref="N4:N67" si="4">IFERROR(SUM(K4/F4,((G4+P4+Q4)/(F4+P4+Q4+S4))),M4)</f>
      </c>
      <c r="O4" s="20">
        <v>3</v>
      </c>
      <c r="P4" s="21">
        <v>1</v>
      </c>
      <c r="Q4" s="21">
        <v>0</v>
      </c>
      <c r="R4" s="22">
        <v>0</v>
      </c>
      <c r="S4" s="22">
        <v>0</v>
      </c>
      <c r="T4" s="20">
        <v>1</v>
      </c>
      <c r="U4" s="20">
        <v>1</v>
      </c>
      <c r="V4" s="20">
        <v>0</v>
      </c>
      <c r="W4" s="63">
        <f>IFERROR(CalcRC27(F4,G4,K4,O4,P4,Q4,R4,S4,T4,U4,V4),"-")</f>
      </c>
      <c r="X4" t="s" s="13">
        <v>292</v>
      </c>
    </row>
    <row r="5" spans="2:24" ht="13.8" x14ac:dyDescent="0.2">
      <c r="B5" s="8">
        <f t="shared" ref="B5:B68" si="5">IF(C5="","",C5)</f>
      </c>
      <c r="C5" s="10">
        <v>0</v>
      </c>
      <c r="D5" t="s" s="13">
        <v>985</v>
      </c>
      <c r="E5" s="11">
        <f t="shared" si="2"/>
      </c>
      <c r="F5" s="5">
        <v>247</v>
      </c>
      <c r="G5" s="5">
        <v>64</v>
      </c>
      <c r="H5" s="5">
        <v>7</v>
      </c>
      <c r="I5" s="5">
        <v>1</v>
      </c>
      <c r="J5" s="6">
        <v>1</v>
      </c>
      <c r="K5" s="12">
        <f t="shared" ref="K5:K68" si="6">((G5-H5-I5-J5)+(H5*2)+(I5*3)+(J5*4))</f>
      </c>
      <c r="L5" s="7">
        <v>17</v>
      </c>
      <c r="M5" s="11">
        <f t="shared" si="3"/>
      </c>
      <c r="N5" s="11">
        <f t="shared" si="4"/>
      </c>
      <c r="O5" s="20">
        <v>46</v>
      </c>
      <c r="P5" s="21">
        <v>12</v>
      </c>
      <c r="Q5" s="21">
        <v>9</v>
      </c>
      <c r="R5" s="22">
        <v>8</v>
      </c>
      <c r="S5" s="22">
        <v>0</v>
      </c>
      <c r="T5" s="20">
        <v>8</v>
      </c>
      <c r="U5" s="20">
        <v>2</v>
      </c>
      <c r="V5" s="20">
        <v>1</v>
      </c>
      <c r="W5" s="63">
        <f>IFERROR(CalcRC27(F5,G5,K5,O5,P5,Q5,R5,S5,T5,U5,V5),"-")</f>
      </c>
      <c r="X5" t="s" s="13">
        <v>293</v>
      </c>
    </row>
    <row r="6" spans="2:24" ht="13.8" x14ac:dyDescent="0.2">
      <c r="B6" s="8">
        <f t="shared" si="5"/>
      </c>
      <c r="C6" s="10">
        <v>1</v>
      </c>
      <c r="D6" s="13"/>
      <c r="E6" s="11">
        <f t="shared" si="2"/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</c>
      <c r="L6" s="7">
        <v>0</v>
      </c>
      <c r="M6" s="11">
        <f t="shared" si="3"/>
      </c>
      <c r="N6" s="11">
        <f t="shared" si="4"/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>
        <f>IFERROR(CalcRC27(F6,G6,K6,O6,P6,Q6,R6,S6,T6,U6,V6),"-")</f>
      </c>
      <c r="X6" s="13"/>
    </row>
    <row r="7" spans="2:24" ht="13.8" x14ac:dyDescent="0.2">
      <c r="B7" s="8">
        <f t="shared" si="5"/>
      </c>
      <c r="C7" s="10">
        <v>2</v>
      </c>
      <c r="D7" t="s" s="13">
        <v>1744</v>
      </c>
      <c r="E7" s="11">
        <f t="shared" si="2"/>
      </c>
      <c r="F7" s="5">
        <v>224</v>
      </c>
      <c r="G7" s="5">
        <v>51</v>
      </c>
      <c r="H7" s="5">
        <v>10</v>
      </c>
      <c r="I7" s="5">
        <v>0</v>
      </c>
      <c r="J7" s="6">
        <v>6</v>
      </c>
      <c r="K7" s="12">
        <f t="shared" si="6"/>
      </c>
      <c r="L7" s="7">
        <v>28</v>
      </c>
      <c r="M7" s="11">
        <f t="shared" si="3"/>
      </c>
      <c r="N7" s="11">
        <f t="shared" si="4"/>
      </c>
      <c r="O7" s="20">
        <v>48</v>
      </c>
      <c r="P7" s="21">
        <v>25</v>
      </c>
      <c r="Q7" s="21">
        <v>1</v>
      </c>
      <c r="R7" s="22">
        <v>3</v>
      </c>
      <c r="S7" s="22">
        <v>0</v>
      </c>
      <c r="T7" s="20">
        <v>2</v>
      </c>
      <c r="U7" s="20">
        <v>6</v>
      </c>
      <c r="V7" s="20">
        <v>6</v>
      </c>
      <c r="W7" s="63">
        <f>IFERROR(CalcRC27(F7,G7,K7,O7,P7,Q7,R7,S7,T7,U7,V7),"-")</f>
      </c>
      <c r="X7" t="s" s="13">
        <v>295</v>
      </c>
    </row>
    <row r="8" spans="2:24" ht="13.8" x14ac:dyDescent="0.2">
      <c r="B8" s="8">
        <f t="shared" si="5"/>
      </c>
      <c r="C8" s="10">
        <v>3</v>
      </c>
      <c r="D8" s="13"/>
      <c r="E8" s="11">
        <f t="shared" si="2"/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6"/>
      </c>
      <c r="L8" s="7">
        <v>0</v>
      </c>
      <c r="M8" s="11">
        <f t="shared" si="3"/>
      </c>
      <c r="N8" s="11">
        <f t="shared" si="4"/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>
        <f>IFERROR(CalcRC27(F8,G8,K8,O8,P8,Q8,R8,S8,T8,U8,V8),"-")</f>
      </c>
      <c r="X8" s="13"/>
    </row>
    <row r="9" spans="2:24" ht="13.8" x14ac:dyDescent="0.2">
      <c r="B9" s="8">
        <f t="shared" si="5"/>
      </c>
      <c r="C9" s="10">
        <v>4</v>
      </c>
      <c r="D9" s="13"/>
      <c r="E9" s="11">
        <f t="shared" si="2"/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6"/>
      </c>
      <c r="L9" s="7">
        <v>0</v>
      </c>
      <c r="M9" s="11">
        <f t="shared" si="3"/>
      </c>
      <c r="N9" s="11">
        <f t="shared" si="4"/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>
        <f>IFERROR(CalcRC27(F9,G9,K9,O9,P9,Q9,R9,S9,T9,U9,V9),"-")</f>
      </c>
      <c r="X9" s="13"/>
    </row>
    <row r="10" spans="2:24" ht="13.8" x14ac:dyDescent="0.2">
      <c r="B10" s="8">
        <f t="shared" si="5"/>
      </c>
      <c r="C10" s="10">
        <v>5</v>
      </c>
      <c r="D10" s="13"/>
      <c r="E10" s="11">
        <f t="shared" ref="E10" si="7">IFERROR(IF(G10/F10=1,"1.00",G10/F10),"---")</f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6"/>
      </c>
      <c r="L10" s="7">
        <v>0</v>
      </c>
      <c r="M10" s="11">
        <f t="shared" si="3"/>
      </c>
      <c r="N10" s="11">
        <f t="shared" si="4"/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>
        <f>IFERROR(CalcRC27(F10,G10,K10,O10,P10,Q10,R10,S10,T10,U10,V10),"-")</f>
      </c>
      <c r="X10" s="13"/>
    </row>
    <row r="11" spans="2:24" ht="13.8" x14ac:dyDescent="0.2">
      <c r="B11" s="8">
        <f t="shared" si="5"/>
      </c>
      <c r="C11" s="10">
        <v>6</v>
      </c>
      <c r="D11" s="13"/>
      <c r="E11" s="11">
        <f t="shared" si="2"/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</c>
      <c r="L11" s="7">
        <v>0</v>
      </c>
      <c r="M11" s="11">
        <f t="shared" si="3"/>
      </c>
      <c r="N11" s="11">
        <f t="shared" si="4"/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</c>
      <c r="X11" s="13"/>
    </row>
    <row r="12" spans="2:24" ht="13.8" x14ac:dyDescent="0.2">
      <c r="B12" s="8">
        <f t="shared" si="5"/>
      </c>
      <c r="C12" s="10">
        <v>7</v>
      </c>
      <c r="D12" t="s" s="13">
        <v>986</v>
      </c>
      <c r="E12" s="11">
        <f t="shared" si="2"/>
      </c>
      <c r="F12" s="5">
        <v>260</v>
      </c>
      <c r="G12" s="5">
        <v>71</v>
      </c>
      <c r="H12" s="5">
        <v>13</v>
      </c>
      <c r="I12" s="5">
        <v>0</v>
      </c>
      <c r="J12" s="6">
        <v>12</v>
      </c>
      <c r="K12" s="12">
        <f t="shared" si="6"/>
      </c>
      <c r="L12" s="7">
        <v>35</v>
      </c>
      <c r="M12" s="11">
        <f t="shared" si="3"/>
      </c>
      <c r="N12" s="11">
        <f t="shared" si="4"/>
      </c>
      <c r="O12" s="20">
        <v>72</v>
      </c>
      <c r="P12" s="21">
        <v>19</v>
      </c>
      <c r="Q12" s="21">
        <v>0</v>
      </c>
      <c r="R12" s="22">
        <v>5</v>
      </c>
      <c r="S12" s="22">
        <v>0</v>
      </c>
      <c r="T12" s="20">
        <v>1</v>
      </c>
      <c r="U12" s="20">
        <v>6</v>
      </c>
      <c r="V12" s="20">
        <v>7</v>
      </c>
      <c r="W12" s="63">
        <f>IFERROR(CalcRC27(F12,G12,K12,O12,P12,Q12,R12,S12,T12,U12,V12),"-")</f>
      </c>
      <c r="X12" t="s" s="13">
        <v>296</v>
      </c>
    </row>
    <row r="13" spans="2:24" ht="13.8" x14ac:dyDescent="0.2">
      <c r="B13" s="8">
        <f t="shared" si="5"/>
      </c>
      <c r="C13" s="10">
        <v>8</v>
      </c>
      <c r="D13" s="13"/>
      <c r="E13" s="11">
        <f t="shared" si="2"/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6"/>
      </c>
      <c r="L13" s="7">
        <v>0</v>
      </c>
      <c r="M13" s="11">
        <f t="shared" si="3"/>
      </c>
      <c r="N13" s="11">
        <f t="shared" si="4"/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</c>
      <c r="X13" s="13"/>
    </row>
    <row r="14" spans="2:24" ht="13.8" x14ac:dyDescent="0.2">
      <c r="B14" s="8">
        <f t="shared" si="5"/>
      </c>
      <c r="C14" s="10">
        <v>9</v>
      </c>
      <c r="D14" t="s" s="13">
        <v>818</v>
      </c>
      <c r="E14" s="11">
        <f t="shared" si="2"/>
      </c>
      <c r="F14" s="5">
        <v>434</v>
      </c>
      <c r="G14" s="5">
        <v>119</v>
      </c>
      <c r="H14" s="5">
        <v>20</v>
      </c>
      <c r="I14" s="5">
        <v>6</v>
      </c>
      <c r="J14" s="6">
        <v>4</v>
      </c>
      <c r="K14" s="12">
        <f t="shared" si="6"/>
      </c>
      <c r="L14" s="7">
        <v>38</v>
      </c>
      <c r="M14" s="11">
        <f t="shared" si="3"/>
      </c>
      <c r="N14" s="11">
        <f t="shared" si="4"/>
      </c>
      <c r="O14" s="20">
        <v>81</v>
      </c>
      <c r="P14" s="21">
        <v>35</v>
      </c>
      <c r="Q14" s="21">
        <v>4</v>
      </c>
      <c r="R14" s="22">
        <v>9</v>
      </c>
      <c r="S14" s="22">
        <v>1</v>
      </c>
      <c r="T14" s="20">
        <v>8</v>
      </c>
      <c r="U14" s="20">
        <v>3</v>
      </c>
      <c r="V14" s="20">
        <v>12</v>
      </c>
      <c r="W14" s="63">
        <f>IFERROR(CalcRC27(F14,G14,K14,O14,P14,Q14,R14,S14,T14,U14,V14),"-")</f>
      </c>
      <c r="X14" t="s" s="13">
        <v>914</v>
      </c>
    </row>
    <row r="15" spans="2:24" ht="13.8" x14ac:dyDescent="0.2">
      <c r="B15" s="8">
        <f t="shared" si="5"/>
      </c>
      <c r="C15" s="10">
        <v>10</v>
      </c>
      <c r="D15" t="s" s="13">
        <v>987</v>
      </c>
      <c r="E15" s="11">
        <f t="shared" si="2"/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6"/>
      </c>
      <c r="L15" s="7">
        <v>0</v>
      </c>
      <c r="M15" s="11">
        <f t="shared" si="3"/>
      </c>
      <c r="N15" s="11">
        <f t="shared" si="4"/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</c>
      <c r="X15" t="s" s="13">
        <v>1022</v>
      </c>
    </row>
    <row r="16" spans="2:24" ht="13.8" x14ac:dyDescent="0.2">
      <c r="B16" s="8">
        <f t="shared" si="5"/>
      </c>
      <c r="C16" s="10">
        <v>11</v>
      </c>
      <c r="D16" t="s" s="13">
        <v>988</v>
      </c>
      <c r="E16" s="11">
        <f t="shared" si="2"/>
      </c>
      <c r="F16" s="5">
        <v>45</v>
      </c>
      <c r="G16" s="5">
        <v>2</v>
      </c>
      <c r="H16" s="5">
        <v>0</v>
      </c>
      <c r="I16" s="5">
        <v>0</v>
      </c>
      <c r="J16" s="6">
        <v>0</v>
      </c>
      <c r="K16" s="12">
        <f t="shared" si="6"/>
      </c>
      <c r="L16" s="7">
        <v>0</v>
      </c>
      <c r="M16" s="11">
        <f t="shared" si="3"/>
      </c>
      <c r="N16" s="11">
        <f t="shared" si="4"/>
      </c>
      <c r="O16" s="20">
        <v>25</v>
      </c>
      <c r="P16" s="21">
        <v>0</v>
      </c>
      <c r="Q16" s="21">
        <v>0</v>
      </c>
      <c r="R16" s="22">
        <v>9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</c>
      <c r="X16" t="s" s="13">
        <v>313</v>
      </c>
    </row>
    <row r="17" spans="2:24" ht="13.8" x14ac:dyDescent="0.2">
      <c r="B17" s="8">
        <f t="shared" si="5"/>
      </c>
      <c r="C17" s="10">
        <v>12</v>
      </c>
      <c r="D17" t="s" s="13">
        <v>989</v>
      </c>
      <c r="E17" s="11">
        <f t="shared" si="2"/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</c>
      <c r="L17" s="7">
        <v>0</v>
      </c>
      <c r="M17" s="11">
        <f t="shared" si="3"/>
      </c>
      <c r="N17" s="11">
        <f t="shared" si="4"/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>
        <f>IFERROR(CalcRC27(F17,G17,K17,O17,P17,Q17,R17,S17,T17,U17,V17),"-")</f>
      </c>
      <c r="X17" t="s" s="13">
        <v>314</v>
      </c>
    </row>
    <row r="18" spans="2:24" ht="13.8" x14ac:dyDescent="0.2">
      <c r="B18" s="8">
        <f t="shared" si="5"/>
      </c>
      <c r="C18" s="10">
        <v>13</v>
      </c>
      <c r="D18" t="s" s="13">
        <v>990</v>
      </c>
      <c r="E18" s="11">
        <f t="shared" si="2"/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</c>
      <c r="L18" s="7">
        <v>0</v>
      </c>
      <c r="M18" s="11">
        <f t="shared" si="3"/>
      </c>
      <c r="N18" s="11">
        <f t="shared" si="4"/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>
        <f>IFERROR(CalcRC27(F18,G18,K18,O18,P18,Q18,R18,S18,T18,U18,V18),"-")</f>
      </c>
      <c r="X18" t="s" s="13">
        <v>315</v>
      </c>
    </row>
    <row r="19" spans="2:24" ht="13.8" x14ac:dyDescent="0.2">
      <c r="B19" s="8">
        <f t="shared" si="5"/>
      </c>
      <c r="C19" s="10">
        <v>14</v>
      </c>
      <c r="D19" t="s" s="13">
        <v>991</v>
      </c>
      <c r="E19" s="11">
        <f t="shared" si="2"/>
      </c>
      <c r="F19" s="5">
        <v>30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</c>
      <c r="L19" s="7">
        <v>0</v>
      </c>
      <c r="M19" s="11">
        <f t="shared" si="3"/>
      </c>
      <c r="N19" s="11">
        <f t="shared" si="4"/>
      </c>
      <c r="O19" s="20">
        <v>15</v>
      </c>
      <c r="P19" s="21">
        <v>1</v>
      </c>
      <c r="Q19" s="21">
        <v>0</v>
      </c>
      <c r="R19" s="22">
        <v>2</v>
      </c>
      <c r="S19" s="22">
        <v>0</v>
      </c>
      <c r="T19" s="20">
        <v>1</v>
      </c>
      <c r="U19" s="20">
        <v>0</v>
      </c>
      <c r="V19" s="20">
        <v>0</v>
      </c>
      <c r="W19" s="63">
        <f>IFERROR(CalcRC27(F19,G19,K19,O19,P19,Q19,R19,S19,T19,U19,V19),"-")</f>
      </c>
      <c r="X19" t="s" s="13">
        <v>268</v>
      </c>
    </row>
    <row r="20" spans="2:24" ht="13.8" x14ac:dyDescent="0.2">
      <c r="B20" s="8">
        <f t="shared" si="5"/>
      </c>
      <c r="C20" s="10">
        <v>15</v>
      </c>
      <c r="D20" s="13"/>
      <c r="E20" s="11">
        <f t="shared" si="2"/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</c>
      <c r="L20" s="7">
        <v>0</v>
      </c>
      <c r="M20" s="11">
        <f t="shared" si="3"/>
      </c>
      <c r="N20" s="11">
        <f t="shared" si="4"/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>
        <f>IFERROR(CalcRC27(F20,G20,K20,O20,P20,Q20,R20,S20,T20,U20,V20),"-")</f>
      </c>
      <c r="X20" s="13"/>
    </row>
    <row r="21" spans="2:24" ht="13.8" x14ac:dyDescent="0.2">
      <c r="B21" s="8">
        <f t="shared" si="5"/>
      </c>
      <c r="C21" s="10">
        <v>16</v>
      </c>
      <c r="D21" t="s" s="13">
        <v>1438</v>
      </c>
      <c r="E21" s="11">
        <f t="shared" si="2"/>
      </c>
      <c r="F21" s="5">
        <v>10</v>
      </c>
      <c r="G21" s="5">
        <v>2</v>
      </c>
      <c r="H21" s="5">
        <v>0</v>
      </c>
      <c r="I21" s="5">
        <v>0</v>
      </c>
      <c r="J21" s="6">
        <v>0</v>
      </c>
      <c r="K21" s="12">
        <f t="shared" si="6"/>
      </c>
      <c r="L21" s="7">
        <v>1</v>
      </c>
      <c r="M21" s="11">
        <f t="shared" si="3"/>
      </c>
      <c r="N21" s="11">
        <f t="shared" si="4"/>
      </c>
      <c r="O21" s="20">
        <v>2</v>
      </c>
      <c r="P21" s="21">
        <v>2</v>
      </c>
      <c r="Q21" s="21">
        <v>0</v>
      </c>
      <c r="R21" s="22">
        <v>3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</c>
      <c r="X21" t="s" s="13">
        <v>675</v>
      </c>
    </row>
    <row r="22" spans="2:24" ht="13.8" x14ac:dyDescent="0.2">
      <c r="B22" s="8">
        <f t="shared" si="5"/>
      </c>
      <c r="C22" s="10">
        <v>17</v>
      </c>
      <c r="D22" t="s" s="13">
        <v>992</v>
      </c>
      <c r="E22" s="11">
        <f t="shared" si="2"/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</c>
      <c r="L22" s="7">
        <v>0</v>
      </c>
      <c r="M22" s="11">
        <f t="shared" si="3"/>
      </c>
      <c r="N22" s="11">
        <f t="shared" si="4"/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>
        <f>IFERROR(CalcRC27(F22,G22,K22,O22,P22,Q22,R22,S22,T22,U22,V22),"-")</f>
      </c>
      <c r="X22" t="s" s="13">
        <v>1023</v>
      </c>
    </row>
    <row r="23" spans="2:24" ht="13.8" x14ac:dyDescent="0.2">
      <c r="B23" s="8">
        <f t="shared" si="5"/>
      </c>
      <c r="C23" s="10">
        <v>18</v>
      </c>
      <c r="D23" t="s" s="13">
        <v>1320</v>
      </c>
      <c r="E23" s="11">
        <f t="shared" si="2"/>
      </c>
      <c r="F23" s="5">
        <v>35</v>
      </c>
      <c r="G23" s="5">
        <v>6</v>
      </c>
      <c r="H23" s="5">
        <v>2</v>
      </c>
      <c r="I23" s="5">
        <v>0</v>
      </c>
      <c r="J23" s="6">
        <v>1</v>
      </c>
      <c r="K23" s="12">
        <f t="shared" si="6"/>
      </c>
      <c r="L23" s="7">
        <v>4</v>
      </c>
      <c r="M23" s="11">
        <f t="shared" si="3"/>
      </c>
      <c r="N23" s="11">
        <f t="shared" si="4"/>
      </c>
      <c r="O23" s="20">
        <v>12</v>
      </c>
      <c r="P23" s="21">
        <v>1</v>
      </c>
      <c r="Q23" s="21">
        <v>0</v>
      </c>
      <c r="R23" s="22">
        <v>5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</c>
      <c r="X23" t="s" s="13">
        <v>317</v>
      </c>
    </row>
    <row r="24" spans="2:24" ht="13.8" x14ac:dyDescent="0.2">
      <c r="B24" s="8">
        <f t="shared" si="5"/>
      </c>
      <c r="C24" s="10">
        <v>19</v>
      </c>
      <c r="D24" t="s" s="13">
        <v>1685</v>
      </c>
      <c r="E24" s="11">
        <f t="shared" si="2"/>
      </c>
      <c r="F24" s="5">
        <v>8</v>
      </c>
      <c r="G24" s="5">
        <v>1</v>
      </c>
      <c r="H24" s="5">
        <v>0</v>
      </c>
      <c r="I24" s="5">
        <v>0</v>
      </c>
      <c r="J24" s="6">
        <v>0</v>
      </c>
      <c r="K24" s="12">
        <f t="shared" si="6"/>
      </c>
      <c r="L24" s="7">
        <v>0</v>
      </c>
      <c r="M24" s="11">
        <f t="shared" si="3"/>
      </c>
      <c r="N24" s="11">
        <f t="shared" si="4"/>
      </c>
      <c r="O24" s="20">
        <v>3</v>
      </c>
      <c r="P24" s="21">
        <v>1</v>
      </c>
      <c r="Q24" s="21">
        <v>0</v>
      </c>
      <c r="R24" s="22">
        <v>1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</c>
      <c r="X24" t="s" s="13">
        <v>318</v>
      </c>
    </row>
    <row r="25" spans="2:24" ht="13.8" x14ac:dyDescent="0.2">
      <c r="B25" s="8">
        <f t="shared" si="5"/>
      </c>
      <c r="C25" s="10">
        <v>20</v>
      </c>
      <c r="D25" t="s" s="13">
        <v>993</v>
      </c>
      <c r="E25" s="11">
        <f t="shared" si="2"/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</c>
      <c r="L25" s="7">
        <v>0</v>
      </c>
      <c r="M25" s="11">
        <f t="shared" si="3"/>
      </c>
      <c r="N25" s="11">
        <f t="shared" si="4"/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>
        <f>IFERROR(CalcRC27(F25,G25,K25,O25,P25,Q25,R25,S25,T25,U25,V25),"-")</f>
      </c>
      <c r="X25" t="s" s="13">
        <v>319</v>
      </c>
    </row>
    <row r="26" spans="2:24" ht="13.8" x14ac:dyDescent="0.2">
      <c r="B26" s="8">
        <f t="shared" si="5"/>
      </c>
      <c r="C26" s="10">
        <v>21</v>
      </c>
      <c r="D26" t="s" s="13">
        <v>994</v>
      </c>
      <c r="E26" s="11">
        <f t="shared" si="2"/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6"/>
      </c>
      <c r="L26" s="7">
        <v>0</v>
      </c>
      <c r="M26" s="11">
        <f t="shared" si="3"/>
      </c>
      <c r="N26" s="11">
        <f t="shared" si="4"/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>
        <f>IFERROR(CalcRC27(F26,G26,K26,O26,P26,Q26,R26,S26,T26,U26,V26),"-")</f>
      </c>
      <c r="X26" t="s" s="13">
        <v>1024</v>
      </c>
    </row>
    <row r="27" spans="2:24" ht="13.8" x14ac:dyDescent="0.2">
      <c r="B27" s="8">
        <f t="shared" si="5"/>
      </c>
      <c r="C27" s="10">
        <v>22</v>
      </c>
      <c r="D27" t="s" s="13">
        <v>995</v>
      </c>
      <c r="E27" s="11">
        <f t="shared" si="2"/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</c>
      <c r="L27" s="7">
        <v>0</v>
      </c>
      <c r="M27" s="11">
        <f t="shared" si="3"/>
      </c>
      <c r="N27" s="11">
        <f t="shared" si="4"/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>
        <f>IFERROR(CalcRC27(F27,G27,K27,O27,P27,Q27,R27,S27,T27,U27,V27),"-")</f>
      </c>
      <c r="X27" t="s" s="13">
        <v>1025</v>
      </c>
    </row>
    <row r="28" spans="2:24" ht="13.8" x14ac:dyDescent="0.2">
      <c r="B28" s="8">
        <f t="shared" si="5"/>
      </c>
      <c r="C28" s="10">
        <v>23</v>
      </c>
      <c r="D28" s="13"/>
      <c r="E28" s="11">
        <f t="shared" si="2"/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6"/>
      </c>
      <c r="L28" s="7">
        <v>0</v>
      </c>
      <c r="M28" s="11">
        <f t="shared" si="3"/>
      </c>
      <c r="N28" s="11">
        <f t="shared" si="4"/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>
        <f>IFERROR(CalcRC27(F28,G28,K28,O28,P28,Q28,R28,S28,T28,U28,V28),"-")</f>
      </c>
      <c r="X28" s="13"/>
    </row>
    <row r="29" spans="2:24" ht="13.8" x14ac:dyDescent="0.2">
      <c r="B29" s="8">
        <f t="shared" si="5"/>
      </c>
      <c r="C29" s="10">
        <v>24</v>
      </c>
      <c r="D29" t="s" s="13">
        <v>664</v>
      </c>
      <c r="E29" s="11">
        <f t="shared" si="2"/>
      </c>
      <c r="F29" s="5">
        <v>3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</c>
      <c r="L29" s="7">
        <v>0</v>
      </c>
      <c r="M29" s="11">
        <f t="shared" si="3"/>
      </c>
      <c r="N29" s="11">
        <f t="shared" si="4"/>
      </c>
      <c r="O29" s="20">
        <v>3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</c>
      <c r="X29" t="s" s="13">
        <v>676</v>
      </c>
    </row>
    <row r="30" spans="2:24" ht="13.8" x14ac:dyDescent="0.2">
      <c r="B30" s="8">
        <f t="shared" si="5"/>
      </c>
      <c r="C30" s="10">
        <v>25</v>
      </c>
      <c r="D30" s="13"/>
      <c r="E30" s="11">
        <f t="shared" si="2"/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</c>
      <c r="L30" s="7">
        <v>0</v>
      </c>
      <c r="M30" s="11">
        <f t="shared" si="3"/>
      </c>
      <c r="N30" s="11">
        <f t="shared" si="4"/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</c>
      <c r="X30" s="13"/>
    </row>
    <row r="31" spans="2:24" ht="13.8" x14ac:dyDescent="0.2">
      <c r="B31" s="8">
        <f t="shared" si="5"/>
      </c>
      <c r="C31" s="10">
        <v>26</v>
      </c>
      <c r="D31" t="s" s="13">
        <v>905</v>
      </c>
      <c r="E31" s="11">
        <f t="shared" si="2"/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</c>
      <c r="L31" s="7">
        <v>0</v>
      </c>
      <c r="M31" s="11">
        <f t="shared" si="3"/>
      </c>
      <c r="N31" s="11">
        <f t="shared" si="4"/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>
        <f>IFERROR(CalcRC27(F31,G31,K31,O31,P31,Q31,R31,S31,T31,U31,V31),"-")</f>
      </c>
      <c r="X31" t="s" s="13">
        <v>915</v>
      </c>
    </row>
    <row r="32" spans="2:24" ht="13.8" x14ac:dyDescent="0.2">
      <c r="B32" s="8">
        <f t="shared" si="5"/>
      </c>
      <c r="C32" s="10">
        <v>27</v>
      </c>
      <c r="D32" t="s" s="13">
        <v>996</v>
      </c>
      <c r="E32" s="11">
        <f t="shared" si="2"/>
      </c>
      <c r="F32" s="5">
        <v>116</v>
      </c>
      <c r="G32" s="5">
        <v>20</v>
      </c>
      <c r="H32" s="5">
        <v>4</v>
      </c>
      <c r="I32" s="5">
        <v>0</v>
      </c>
      <c r="J32" s="6">
        <v>1</v>
      </c>
      <c r="K32" s="12">
        <f t="shared" si="6"/>
      </c>
      <c r="L32" s="7">
        <v>10</v>
      </c>
      <c r="M32" s="11">
        <f t="shared" si="3"/>
      </c>
      <c r="N32" s="11">
        <f t="shared" si="4"/>
      </c>
      <c r="O32" s="20">
        <v>26</v>
      </c>
      <c r="P32" s="21">
        <v>10</v>
      </c>
      <c r="Q32" s="21">
        <v>4</v>
      </c>
      <c r="R32" s="22">
        <v>2</v>
      </c>
      <c r="S32" s="22">
        <v>1</v>
      </c>
      <c r="T32" s="20">
        <v>0</v>
      </c>
      <c r="U32" s="20">
        <v>0</v>
      </c>
      <c r="V32" s="20">
        <v>4</v>
      </c>
      <c r="W32" s="63">
        <f>IFERROR(CalcRC27(F32,G32,K32,O32,P32,Q32,R32,S32,T32,U32,V32),"-")</f>
      </c>
      <c r="X32" t="s" s="13">
        <v>298</v>
      </c>
    </row>
    <row r="33" spans="2:24" ht="13.8" x14ac:dyDescent="0.2">
      <c r="B33" s="8">
        <f t="shared" si="5"/>
      </c>
      <c r="C33" s="10">
        <v>28</v>
      </c>
      <c r="D33" t="s" s="13">
        <v>997</v>
      </c>
      <c r="E33" s="11">
        <f t="shared" si="2"/>
      </c>
      <c r="F33" s="5">
        <v>40</v>
      </c>
      <c r="G33" s="5">
        <v>11</v>
      </c>
      <c r="H33" s="5">
        <v>4</v>
      </c>
      <c r="I33" s="5">
        <v>0</v>
      </c>
      <c r="J33" s="6">
        <v>0</v>
      </c>
      <c r="K33" s="12">
        <f t="shared" si="6"/>
      </c>
      <c r="L33" s="7">
        <v>1</v>
      </c>
      <c r="M33" s="11">
        <f t="shared" si="3"/>
      </c>
      <c r="N33" s="11">
        <f t="shared" si="4"/>
      </c>
      <c r="O33" s="20">
        <v>12</v>
      </c>
      <c r="P33" s="21">
        <v>2</v>
      </c>
      <c r="Q33" s="21">
        <v>0</v>
      </c>
      <c r="R33" s="22">
        <v>8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</c>
      <c r="X33" t="s" s="13">
        <v>320</v>
      </c>
    </row>
    <row r="34" spans="2:24" ht="13.8" x14ac:dyDescent="0.2">
      <c r="B34" s="8">
        <f t="shared" si="5"/>
      </c>
      <c r="C34" s="10">
        <v>29</v>
      </c>
      <c r="D34" t="s" s="13">
        <v>665</v>
      </c>
      <c r="E34" s="11">
        <f t="shared" si="2"/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</c>
      <c r="L34" s="7">
        <v>0</v>
      </c>
      <c r="M34" s="11">
        <f t="shared" si="3"/>
      </c>
      <c r="N34" s="11">
        <f t="shared" si="4"/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>
        <f>IFERROR(CalcRC27(F34,G34,K34,O34,P34,Q34,R34,S34,T34,U34,V34),"-")</f>
      </c>
      <c r="X34" t="s" s="13">
        <v>321</v>
      </c>
    </row>
    <row r="35" spans="2:24" ht="13.8" x14ac:dyDescent="0.2">
      <c r="B35" s="8">
        <f t="shared" si="5"/>
      </c>
      <c r="C35" s="10">
        <v>30</v>
      </c>
      <c r="D35" t="s" s="13">
        <v>998</v>
      </c>
      <c r="E35" s="11">
        <f t="shared" si="2"/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6"/>
      </c>
      <c r="L35" s="7">
        <v>0</v>
      </c>
      <c r="M35" s="11">
        <f t="shared" si="3"/>
      </c>
      <c r="N35" s="11">
        <f t="shared" si="4"/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>
        <f>IFERROR(CalcRC27(F35,G35,K35,O35,P35,Q35,R35,S35,T35,U35,V35),"-")</f>
      </c>
      <c r="X35" t="s" s="13">
        <v>1026</v>
      </c>
    </row>
    <row r="36" spans="2:24" ht="13.8" x14ac:dyDescent="0.2">
      <c r="B36" s="8">
        <f t="shared" si="5"/>
      </c>
      <c r="C36" s="10">
        <v>31</v>
      </c>
      <c r="D36" t="s" s="13">
        <v>999</v>
      </c>
      <c r="E36" s="11">
        <f t="shared" si="2"/>
      </c>
      <c r="F36" s="5">
        <v>395</v>
      </c>
      <c r="G36" s="5">
        <v>105</v>
      </c>
      <c r="H36" s="5">
        <v>19</v>
      </c>
      <c r="I36" s="5">
        <v>1</v>
      </c>
      <c r="J36" s="6">
        <v>12</v>
      </c>
      <c r="K36" s="12">
        <f t="shared" si="6"/>
      </c>
      <c r="L36" s="7">
        <v>44</v>
      </c>
      <c r="M36" s="11">
        <f t="shared" si="3"/>
      </c>
      <c r="N36" s="11">
        <f t="shared" si="4"/>
      </c>
      <c r="O36" s="20">
        <v>67</v>
      </c>
      <c r="P36" s="21">
        <v>47</v>
      </c>
      <c r="Q36" s="21">
        <v>3</v>
      </c>
      <c r="R36" s="22">
        <v>1</v>
      </c>
      <c r="S36" s="22">
        <v>2</v>
      </c>
      <c r="T36" s="20">
        <v>3</v>
      </c>
      <c r="U36" s="20">
        <v>0</v>
      </c>
      <c r="V36" s="20">
        <v>9</v>
      </c>
      <c r="W36" s="63">
        <f>IFERROR(CalcRC27(F36,G36,K36,O36,P36,Q36,R36,S36,T36,U36,V36),"-")</f>
      </c>
      <c r="X36" t="s" s="13">
        <v>299</v>
      </c>
    </row>
    <row r="37" spans="2:24" ht="13.8" x14ac:dyDescent="0.2">
      <c r="B37" s="8">
        <f t="shared" si="5"/>
      </c>
      <c r="C37" s="10">
        <v>32</v>
      </c>
      <c r="D37" t="s" s="13">
        <v>1190</v>
      </c>
      <c r="E37" s="11">
        <f t="shared" si="2"/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6"/>
      </c>
      <c r="L37" s="7">
        <v>0</v>
      </c>
      <c r="M37" s="11">
        <f t="shared" si="3"/>
      </c>
      <c r="N37" s="11">
        <f t="shared" si="4"/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>
        <f>IFERROR(CalcRC27(F37,G37,K37,O37,P37,Q37,R37,S37,T37,U37,V37),"-")</f>
      </c>
      <c r="X37" t="s" s="13">
        <v>310</v>
      </c>
    </row>
    <row r="38" spans="2:24" ht="13.8" x14ac:dyDescent="0.2">
      <c r="B38" s="8">
        <f t="shared" si="5"/>
      </c>
      <c r="C38" s="10">
        <v>33</v>
      </c>
      <c r="D38" t="s" s="13">
        <v>1000</v>
      </c>
      <c r="E38" s="11">
        <f t="shared" si="2"/>
      </c>
      <c r="F38" s="5">
        <v>442</v>
      </c>
      <c r="G38" s="5">
        <v>114</v>
      </c>
      <c r="H38" s="5">
        <v>17</v>
      </c>
      <c r="I38" s="5">
        <v>0</v>
      </c>
      <c r="J38" s="6">
        <v>5</v>
      </c>
      <c r="K38" s="12">
        <f t="shared" si="6"/>
      </c>
      <c r="L38" s="7">
        <v>27</v>
      </c>
      <c r="M38" s="11">
        <f t="shared" si="3"/>
      </c>
      <c r="N38" s="11">
        <f t="shared" si="4"/>
      </c>
      <c r="O38" s="20">
        <v>68</v>
      </c>
      <c r="P38" s="21">
        <v>32</v>
      </c>
      <c r="Q38" s="21">
        <v>2</v>
      </c>
      <c r="R38" s="22">
        <v>8</v>
      </c>
      <c r="S38" s="22">
        <v>1</v>
      </c>
      <c r="T38" s="20">
        <v>7</v>
      </c>
      <c r="U38" s="20">
        <v>5</v>
      </c>
      <c r="V38" s="20">
        <v>6</v>
      </c>
      <c r="W38" s="63">
        <f>IFERROR(CalcRC27(F38,G38,K38,O38,P38,Q38,R38,S38,T38,U38,V38),"-")</f>
      </c>
      <c r="X38" t="s" s="13">
        <v>300</v>
      </c>
    </row>
    <row r="39" spans="2:24" ht="13.8" x14ac:dyDescent="0.2">
      <c r="B39" s="8">
        <f t="shared" si="5"/>
      </c>
      <c r="C39" s="10">
        <v>34</v>
      </c>
      <c r="D39" t="s" s="13">
        <v>1001</v>
      </c>
      <c r="E39" s="11">
        <f t="shared" si="2"/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</c>
      <c r="L39" s="7">
        <v>0</v>
      </c>
      <c r="M39" s="11">
        <f t="shared" si="3"/>
      </c>
      <c r="N39" s="11">
        <f t="shared" si="4"/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>
        <f>IFERROR(CalcRC27(F39,G39,K39,O39,P39,Q39,R39,S39,T39,U39,V39),"-")</f>
      </c>
      <c r="X39" t="s" s="13">
        <v>322</v>
      </c>
    </row>
    <row r="40" spans="2:24" ht="13.8" x14ac:dyDescent="0.2">
      <c r="B40" s="8">
        <f t="shared" si="5"/>
      </c>
      <c r="C40" s="10">
        <v>35</v>
      </c>
      <c r="D40" t="s" s="13">
        <v>1002</v>
      </c>
      <c r="E40" s="11">
        <f t="shared" si="2"/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6"/>
      </c>
      <c r="L40" s="7">
        <v>0</v>
      </c>
      <c r="M40" s="11">
        <f t="shared" si="3"/>
      </c>
      <c r="N40" s="11">
        <f t="shared" si="4"/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>
        <f>IFERROR(CalcRC27(F40,G40,K40,O40,P40,Q40,R40,S40,T40,U40,V40),"-")</f>
      </c>
      <c r="X40" t="s" s="13">
        <v>1027</v>
      </c>
    </row>
    <row r="41" spans="2:24" ht="13.8" x14ac:dyDescent="0.2">
      <c r="B41" s="8">
        <f t="shared" si="5"/>
      </c>
      <c r="C41" s="10">
        <v>36</v>
      </c>
      <c r="D41" t="s" s="13">
        <v>1003</v>
      </c>
      <c r="E41" s="11">
        <f t="shared" si="2"/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</c>
      <c r="L41" s="7">
        <v>0</v>
      </c>
      <c r="M41" s="11">
        <f t="shared" si="3"/>
      </c>
      <c r="N41" s="11">
        <f t="shared" si="4"/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>
        <f>IFERROR(CalcRC27(F41,G41,K41,O41,P41,Q41,R41,S41,T41,U41,V41),"-")</f>
      </c>
      <c r="X41" t="s" s="13">
        <v>323</v>
      </c>
    </row>
    <row r="42" spans="2:24" ht="13.8" x14ac:dyDescent="0.2">
      <c r="B42" s="8">
        <f t="shared" si="5"/>
      </c>
      <c r="C42" s="10">
        <v>37</v>
      </c>
      <c r="D42" t="s" s="13">
        <v>1004</v>
      </c>
      <c r="E42" s="11">
        <f t="shared" si="2"/>
      </c>
      <c r="F42" s="5">
        <v>371</v>
      </c>
      <c r="G42" s="5">
        <v>106</v>
      </c>
      <c r="H42" s="5">
        <v>11</v>
      </c>
      <c r="I42" s="5">
        <v>1</v>
      </c>
      <c r="J42" s="6">
        <v>0</v>
      </c>
      <c r="K42" s="12">
        <f t="shared" si="6"/>
      </c>
      <c r="L42" s="7">
        <v>26</v>
      </c>
      <c r="M42" s="11">
        <f t="shared" si="3"/>
      </c>
      <c r="N42" s="11">
        <f t="shared" si="4"/>
      </c>
      <c r="O42" s="20">
        <v>51</v>
      </c>
      <c r="P42" s="21">
        <v>33</v>
      </c>
      <c r="Q42" s="21">
        <v>5</v>
      </c>
      <c r="R42" s="22">
        <v>8</v>
      </c>
      <c r="S42" s="22">
        <v>1</v>
      </c>
      <c r="T42" s="20">
        <v>5</v>
      </c>
      <c r="U42" s="20">
        <v>6</v>
      </c>
      <c r="V42" s="20">
        <v>10</v>
      </c>
      <c r="W42" s="63">
        <f>IFERROR(CalcRC27(F42,G42,K42,O42,P42,Q42,R42,S42,T42,U42,V42),"-")</f>
      </c>
      <c r="X42" t="s" s="13">
        <v>301</v>
      </c>
    </row>
    <row r="43" spans="2:24" ht="13.8" x14ac:dyDescent="0.2">
      <c r="B43" s="8">
        <f t="shared" si="5"/>
      </c>
      <c r="C43" s="10">
        <v>38</v>
      </c>
      <c r="D43" t="s" s="13">
        <v>1005</v>
      </c>
      <c r="E43" s="11">
        <f t="shared" si="2"/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6"/>
      </c>
      <c r="L43" s="7">
        <v>0</v>
      </c>
      <c r="M43" s="11">
        <f t="shared" si="3"/>
      </c>
      <c r="N43" s="11">
        <f t="shared" si="4"/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>
        <f>IFERROR(CalcRC27(F43,G43,K43,O43,P43,Q43,R43,S43,T43,U43,V43),"-")</f>
      </c>
      <c r="X43" t="s" s="13">
        <v>302</v>
      </c>
    </row>
    <row r="44" spans="2:24" ht="13.8" x14ac:dyDescent="0.2">
      <c r="B44" s="8">
        <f t="shared" si="5"/>
      </c>
      <c r="C44" s="10">
        <v>39</v>
      </c>
      <c r="D44" t="s" s="13">
        <v>906</v>
      </c>
      <c r="E44" s="11">
        <f t="shared" si="2"/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</c>
      <c r="L44" s="7">
        <v>0</v>
      </c>
      <c r="M44" s="11">
        <f t="shared" si="3"/>
      </c>
      <c r="N44" s="11">
        <f t="shared" si="4"/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>
        <f>IFERROR(CalcRC27(F44,G44,K44,O44,P44,Q44,R44,S44,T44,U44,V44),"-")</f>
      </c>
      <c r="X44" t="s" s="13">
        <v>916</v>
      </c>
    </row>
    <row r="45" spans="2:24" ht="13.8" x14ac:dyDescent="0.2">
      <c r="B45" s="8">
        <f t="shared" si="5"/>
      </c>
      <c r="C45" s="10">
        <v>40</v>
      </c>
      <c r="D45" t="s" s="13">
        <v>1006</v>
      </c>
      <c r="E45" s="11">
        <f t="shared" si="2"/>
      </c>
      <c r="F45" s="5">
        <v>29</v>
      </c>
      <c r="G45" s="5">
        <v>6</v>
      </c>
      <c r="H45" s="5">
        <v>1</v>
      </c>
      <c r="I45" s="5">
        <v>0</v>
      </c>
      <c r="J45" s="6">
        <v>1</v>
      </c>
      <c r="K45" s="12">
        <f t="shared" si="6"/>
      </c>
      <c r="L45" s="7">
        <v>4</v>
      </c>
      <c r="M45" s="11">
        <f t="shared" si="3"/>
      </c>
      <c r="N45" s="11">
        <f t="shared" si="4"/>
      </c>
      <c r="O45" s="20">
        <v>10</v>
      </c>
      <c r="P45" s="21">
        <v>1</v>
      </c>
      <c r="Q45" s="21">
        <v>1</v>
      </c>
      <c r="R45" s="22">
        <v>1</v>
      </c>
      <c r="S45" s="22">
        <v>0</v>
      </c>
      <c r="T45" s="20">
        <v>0</v>
      </c>
      <c r="U45" s="20">
        <v>0</v>
      </c>
      <c r="V45" s="20">
        <v>2</v>
      </c>
      <c r="W45" s="63">
        <f>IFERROR(CalcRC27(F45,G45,K45,O45,P45,Q45,R45,S45,T45,U45,V45),"-")</f>
      </c>
      <c r="X45" t="s" s="13">
        <v>303</v>
      </c>
    </row>
    <row r="46" spans="2:24" ht="13.8" x14ac:dyDescent="0.2">
      <c r="B46" s="8">
        <f t="shared" si="5"/>
      </c>
      <c r="C46" s="10">
        <v>41</v>
      </c>
      <c r="D46" t="s" s="13">
        <v>1007</v>
      </c>
      <c r="E46" s="11">
        <f t="shared" si="2"/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</c>
      <c r="L46" s="7">
        <v>0</v>
      </c>
      <c r="M46" s="11">
        <f t="shared" si="3"/>
      </c>
      <c r="N46" s="11">
        <f t="shared" si="4"/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>
        <f>IFERROR(CalcRC27(F46,G46,K46,O46,P46,Q46,R46,S46,T46,U46,V46),"-")</f>
      </c>
      <c r="X46" t="s" s="13">
        <v>324</v>
      </c>
    </row>
    <row r="47" spans="2:24" ht="13.8" x14ac:dyDescent="0.2">
      <c r="B47" s="8">
        <f t="shared" si="5"/>
      </c>
      <c r="C47" s="10">
        <v>42</v>
      </c>
      <c r="D47" t="s" s="13">
        <v>1008</v>
      </c>
      <c r="E47" s="11">
        <f t="shared" si="2"/>
      </c>
      <c r="F47" s="5">
        <v>11</v>
      </c>
      <c r="G47" s="5">
        <v>1</v>
      </c>
      <c r="H47" s="5">
        <v>0</v>
      </c>
      <c r="I47" s="5">
        <v>0</v>
      </c>
      <c r="J47" s="6">
        <v>0</v>
      </c>
      <c r="K47" s="12">
        <f t="shared" si="6"/>
      </c>
      <c r="L47" s="7">
        <v>0</v>
      </c>
      <c r="M47" s="11">
        <f t="shared" si="3"/>
      </c>
      <c r="N47" s="11">
        <f t="shared" si="4"/>
      </c>
      <c r="O47" s="20">
        <v>7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</c>
      <c r="X47" t="s" s="13">
        <v>1028</v>
      </c>
    </row>
    <row r="48" spans="2:24" ht="13.8" x14ac:dyDescent="0.2">
      <c r="B48" s="8">
        <f t="shared" si="5"/>
      </c>
      <c r="C48" s="10">
        <v>43</v>
      </c>
      <c r="D48" t="s" s="13">
        <v>1009</v>
      </c>
      <c r="E48" s="11">
        <f t="shared" si="2"/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6"/>
      </c>
      <c r="L48" s="7">
        <v>0</v>
      </c>
      <c r="M48" s="11">
        <f t="shared" si="3"/>
      </c>
      <c r="N48" s="11">
        <f t="shared" si="4"/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>
        <f>IFERROR(CalcRC27(F48,G48,K48,O48,P48,Q48,R48,S48,T48,U48,V48),"-")</f>
      </c>
      <c r="X48" t="s" s="13">
        <v>269</v>
      </c>
    </row>
    <row r="49" spans="2:24" ht="13.8" x14ac:dyDescent="0.2">
      <c r="B49" s="8">
        <f t="shared" si="5"/>
      </c>
      <c r="C49" s="10">
        <v>44</v>
      </c>
      <c r="D49" t="s" s="13">
        <v>1310</v>
      </c>
      <c r="E49" s="11">
        <f t="shared" si="2"/>
      </c>
      <c r="F49" s="5">
        <v>58</v>
      </c>
      <c r="G49" s="5">
        <v>12</v>
      </c>
      <c r="H49" s="5">
        <v>4</v>
      </c>
      <c r="I49" s="5">
        <v>0</v>
      </c>
      <c r="J49" s="6">
        <v>1</v>
      </c>
      <c r="K49" s="12">
        <f t="shared" si="6"/>
      </c>
      <c r="L49" s="7">
        <v>5</v>
      </c>
      <c r="M49" s="11">
        <f t="shared" si="3"/>
      </c>
      <c r="N49" s="11">
        <f t="shared" si="4"/>
      </c>
      <c r="O49" s="20">
        <v>20</v>
      </c>
      <c r="P49" s="21">
        <v>3</v>
      </c>
      <c r="Q49" s="21">
        <v>1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</c>
      <c r="X49" t="s" s="13">
        <v>304</v>
      </c>
    </row>
    <row r="50" spans="2:24" ht="13.8" x14ac:dyDescent="0.2">
      <c r="B50" s="8">
        <f t="shared" si="5"/>
      </c>
      <c r="C50" s="10">
        <v>45</v>
      </c>
      <c r="D50" t="s" s="13">
        <v>1319</v>
      </c>
      <c r="E50" s="11">
        <f t="shared" si="2"/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</c>
      <c r="L50" s="7">
        <v>0</v>
      </c>
      <c r="M50" s="11">
        <f t="shared" si="3"/>
      </c>
      <c r="N50" s="11">
        <f t="shared" si="4"/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>
        <f>IFERROR(CalcRC27(F50,G50,K50,O50,P50,Q50,R50,S50,T50,U50,V50),"-")</f>
      </c>
      <c r="X50" t="s" s="13">
        <v>677</v>
      </c>
    </row>
    <row r="51" spans="2:24" ht="13.8" x14ac:dyDescent="0.2">
      <c r="B51" s="8">
        <f t="shared" si="5"/>
      </c>
      <c r="C51" s="10">
        <v>46</v>
      </c>
      <c r="D51" t="s" s="13">
        <v>1840</v>
      </c>
      <c r="E51" s="11">
        <f t="shared" si="2"/>
      </c>
      <c r="F51" s="5">
        <v>2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</c>
      <c r="L51" s="7">
        <v>0</v>
      </c>
      <c r="M51" s="11">
        <f t="shared" si="3"/>
      </c>
      <c r="N51" s="11">
        <f t="shared" si="4"/>
      </c>
      <c r="O51" s="20">
        <v>1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</c>
      <c r="X51" t="s" s="13">
        <v>917</v>
      </c>
    </row>
    <row r="52" spans="2:24" ht="13.8" x14ac:dyDescent="0.2">
      <c r="B52" s="8">
        <f t="shared" si="5"/>
      </c>
      <c r="C52" s="10">
        <v>47</v>
      </c>
      <c r="D52" t="s" s="13">
        <v>907</v>
      </c>
      <c r="E52" s="11">
        <f t="shared" si="2"/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</c>
      <c r="L52" s="7">
        <v>0</v>
      </c>
      <c r="M52" s="11">
        <f t="shared" si="3"/>
      </c>
      <c r="N52" s="11">
        <f t="shared" si="4"/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>
        <f>IFERROR(CalcRC27(F52,G52,K52,O52,P52,Q52,R52,S52,T52,U52,V52),"-")</f>
      </c>
      <c r="X52" t="s" s="13">
        <v>918</v>
      </c>
    </row>
    <row r="53" spans="2:24" ht="13.8" x14ac:dyDescent="0.2">
      <c r="B53" s="8">
        <f t="shared" si="5"/>
      </c>
      <c r="C53" s="10">
        <v>48</v>
      </c>
      <c r="D53" t="s" s="13">
        <v>666</v>
      </c>
      <c r="E53" s="11">
        <f t="shared" si="2"/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</c>
      <c r="L53" s="7">
        <v>0</v>
      </c>
      <c r="M53" s="11">
        <f t="shared" si="3"/>
      </c>
      <c r="N53" s="11">
        <f t="shared" si="4"/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>
        <f>IFERROR(CalcRC27(F53,G53,K53,O53,P53,Q53,R53,S53,T53,U53,V53),"-")</f>
      </c>
      <c r="X53" t="s" s="13">
        <v>270</v>
      </c>
    </row>
    <row r="54" spans="2:24" ht="13.8" x14ac:dyDescent="0.2">
      <c r="B54" s="8">
        <f t="shared" si="5"/>
      </c>
      <c r="C54" s="10">
        <v>49</v>
      </c>
      <c r="D54" t="s" s="13">
        <v>908</v>
      </c>
      <c r="E54" s="11">
        <f t="shared" si="2"/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6"/>
      </c>
      <c r="L54" s="7">
        <v>0</v>
      </c>
      <c r="M54" s="11">
        <f t="shared" si="3"/>
      </c>
      <c r="N54" s="11">
        <f t="shared" si="4"/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</c>
      <c r="X54" t="s" s="13">
        <v>919</v>
      </c>
    </row>
    <row r="55" spans="2:24" ht="13.8" x14ac:dyDescent="0.2">
      <c r="B55" s="8">
        <f t="shared" si="5"/>
      </c>
      <c r="C55" s="10">
        <v>50</v>
      </c>
      <c r="D55" t="s" s="13">
        <v>667</v>
      </c>
      <c r="E55" s="11">
        <f t="shared" si="2"/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6"/>
      </c>
      <c r="L55" s="7">
        <v>0</v>
      </c>
      <c r="M55" s="11">
        <f t="shared" si="3"/>
      </c>
      <c r="N55" s="11">
        <f t="shared" si="4"/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>
        <f>IFERROR(CalcRC27(F55,G55,K55,O55,P55,Q55,R55,S55,T55,U55,V55),"-")</f>
      </c>
      <c r="X55" t="s" s="13">
        <v>678</v>
      </c>
    </row>
    <row r="56" spans="2:24" ht="13.8" x14ac:dyDescent="0.2">
      <c r="B56" s="8">
        <f t="shared" si="5"/>
      </c>
      <c r="C56" s="10">
        <v>51</v>
      </c>
      <c r="D56" t="s" s="13">
        <v>1010</v>
      </c>
      <c r="E56" s="11">
        <f t="shared" si="2"/>
      </c>
      <c r="F56" s="5">
        <v>290</v>
      </c>
      <c r="G56" s="5">
        <v>83</v>
      </c>
      <c r="H56" s="5">
        <v>11</v>
      </c>
      <c r="I56" s="5">
        <v>7</v>
      </c>
      <c r="J56" s="6">
        <v>6</v>
      </c>
      <c r="K56" s="12">
        <f t="shared" si="6"/>
      </c>
      <c r="L56" s="7">
        <v>31</v>
      </c>
      <c r="M56" s="11">
        <f t="shared" si="3"/>
      </c>
      <c r="N56" s="11">
        <f t="shared" si="4"/>
      </c>
      <c r="O56" s="20">
        <v>38</v>
      </c>
      <c r="P56" s="21">
        <v>10</v>
      </c>
      <c r="Q56" s="21">
        <v>2</v>
      </c>
      <c r="R56" s="22">
        <v>4</v>
      </c>
      <c r="S56" s="22">
        <v>0</v>
      </c>
      <c r="T56" s="20">
        <v>8</v>
      </c>
      <c r="U56" s="20">
        <v>4</v>
      </c>
      <c r="V56" s="20">
        <v>7</v>
      </c>
      <c r="W56" s="63">
        <f>IFERROR(CalcRC27(F56,G56,K56,O56,P56,Q56,R56,S56,T56,U56,V56),"-")</f>
      </c>
      <c r="X56" t="s" s="13">
        <v>305</v>
      </c>
    </row>
    <row r="57" spans="2:24" ht="13.8" x14ac:dyDescent="0.2">
      <c r="B57" s="8">
        <f t="shared" si="5"/>
      </c>
      <c r="C57" s="10">
        <v>52</v>
      </c>
      <c r="D57" t="s" s="13">
        <v>668</v>
      </c>
      <c r="E57" s="11">
        <f t="shared" si="2"/>
      </c>
      <c r="F57" s="5">
        <v>139</v>
      </c>
      <c r="G57" s="5">
        <v>38</v>
      </c>
      <c r="H57" s="5">
        <v>6</v>
      </c>
      <c r="I57" s="5">
        <v>0</v>
      </c>
      <c r="J57" s="6">
        <v>11</v>
      </c>
      <c r="K57" s="12">
        <f t="shared" si="6"/>
      </c>
      <c r="L57" s="7">
        <v>27</v>
      </c>
      <c r="M57" s="11">
        <f t="shared" si="3"/>
      </c>
      <c r="N57" s="11">
        <f t="shared" si="4"/>
      </c>
      <c r="O57" s="20">
        <v>40</v>
      </c>
      <c r="P57" s="21">
        <v>6</v>
      </c>
      <c r="Q57" s="21">
        <v>1</v>
      </c>
      <c r="R57" s="22">
        <v>0</v>
      </c>
      <c r="S57" s="22">
        <v>0</v>
      </c>
      <c r="T57" s="20">
        <v>0</v>
      </c>
      <c r="U57" s="20">
        <v>0</v>
      </c>
      <c r="V57" s="20">
        <v>5</v>
      </c>
      <c r="W57" s="63">
        <f>IFERROR(CalcRC27(F57,G57,K57,O57,P57,Q57,R57,S57,T57,U57,V57),"-")</f>
      </c>
      <c r="X57" t="s" s="13">
        <v>679</v>
      </c>
    </row>
    <row r="58" spans="2:24" ht="13.8" x14ac:dyDescent="0.2">
      <c r="B58" s="8">
        <f t="shared" si="5"/>
      </c>
      <c r="C58" s="10">
        <v>53</v>
      </c>
      <c r="D58" t="s" s="13">
        <v>1571</v>
      </c>
      <c r="E58" s="11">
        <f t="shared" si="2"/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6"/>
      </c>
      <c r="L58" s="7">
        <v>0</v>
      </c>
      <c r="M58" s="11">
        <f t="shared" si="3"/>
      </c>
      <c r="N58" s="11">
        <f t="shared" si="4"/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>
        <f>IFERROR(CalcRC27(F58,G58,K58,O58,P58,Q58,R58,S58,T58,U58,V58),"-")</f>
      </c>
      <c r="X58" t="s" s="13">
        <v>325</v>
      </c>
    </row>
    <row r="59" spans="2:24" ht="13.8" x14ac:dyDescent="0.2">
      <c r="B59" s="8">
        <f t="shared" si="5"/>
      </c>
      <c r="C59" s="10">
        <v>54</v>
      </c>
      <c r="D59" t="s" s="13">
        <v>1011</v>
      </c>
      <c r="E59" s="11">
        <f t="shared" si="2"/>
      </c>
      <c r="F59" s="5">
        <v>50</v>
      </c>
      <c r="G59" s="5">
        <v>7</v>
      </c>
      <c r="H59" s="5">
        <v>2</v>
      </c>
      <c r="I59" s="5">
        <v>0</v>
      </c>
      <c r="J59" s="6">
        <v>0</v>
      </c>
      <c r="K59" s="12">
        <f t="shared" si="6"/>
      </c>
      <c r="L59" s="7">
        <v>3</v>
      </c>
      <c r="M59" s="11">
        <f t="shared" si="3"/>
      </c>
      <c r="N59" s="11">
        <f t="shared" si="4"/>
      </c>
      <c r="O59" s="20">
        <v>13</v>
      </c>
      <c r="P59" s="21">
        <v>5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3</v>
      </c>
      <c r="W59" s="63">
        <f>IFERROR(CalcRC27(F59,G59,K59,O59,P59,Q59,R59,S59,T59,U59,V59),"-")</f>
      </c>
      <c r="X59" t="s" s="13">
        <v>306</v>
      </c>
    </row>
    <row r="60" spans="2:24" ht="13.8" x14ac:dyDescent="0.2">
      <c r="B60" s="8">
        <f t="shared" si="5"/>
      </c>
      <c r="C60" s="10">
        <v>55</v>
      </c>
      <c r="D60" t="s" s="13">
        <v>1960</v>
      </c>
      <c r="E60" s="11">
        <f t="shared" si="2"/>
      </c>
      <c r="F60" s="5">
        <v>143</v>
      </c>
      <c r="G60" s="5">
        <v>36</v>
      </c>
      <c r="H60" s="5">
        <v>9</v>
      </c>
      <c r="I60" s="5">
        <v>0</v>
      </c>
      <c r="J60" s="6">
        <v>0</v>
      </c>
      <c r="K60" s="12">
        <f t="shared" si="6"/>
      </c>
      <c r="L60" s="7">
        <v>27</v>
      </c>
      <c r="M60" s="11">
        <f t="shared" si="3"/>
      </c>
      <c r="N60" s="11">
        <f t="shared" si="4"/>
      </c>
      <c r="O60" s="20">
        <v>27</v>
      </c>
      <c r="P60" s="21">
        <v>10</v>
      </c>
      <c r="Q60" s="21">
        <v>1</v>
      </c>
      <c r="R60" s="22">
        <v>0</v>
      </c>
      <c r="S60" s="22">
        <v>2</v>
      </c>
      <c r="T60" s="20">
        <v>0</v>
      </c>
      <c r="U60" s="20">
        <v>0</v>
      </c>
      <c r="V60" s="20">
        <v>4</v>
      </c>
      <c r="W60" s="63">
        <f>IFERROR(CalcRC27(F60,G60,K60,O60,P60,Q60,R60,S60,T60,U60,V60),"-")</f>
      </c>
      <c r="X60" t="s" s="13">
        <v>307</v>
      </c>
    </row>
    <row r="61" spans="2:24" ht="13.8" x14ac:dyDescent="0.2">
      <c r="B61" s="8">
        <f t="shared" si="5"/>
      </c>
      <c r="C61" s="10">
        <v>56</v>
      </c>
      <c r="D61" t="s" s="13">
        <v>909</v>
      </c>
      <c r="E61" s="11">
        <f t="shared" si="2"/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6"/>
      </c>
      <c r="L61" s="7">
        <v>0</v>
      </c>
      <c r="M61" s="11">
        <f t="shared" si="3"/>
      </c>
      <c r="N61" s="11">
        <f t="shared" si="4"/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>
        <f>IFERROR(CalcRC27(F61,G61,K61,O61,P61,Q61,R61,S61,T61,U61,V61),"-")</f>
      </c>
      <c r="X61" t="s" s="13">
        <v>920</v>
      </c>
    </row>
    <row r="62" spans="2:24" ht="13.8" x14ac:dyDescent="0.2">
      <c r="B62" s="8">
        <f t="shared" si="5"/>
      </c>
      <c r="C62" s="10">
        <v>57</v>
      </c>
      <c r="D62" t="s" s="13">
        <v>673</v>
      </c>
      <c r="E62" s="11">
        <f t="shared" si="2"/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</c>
      <c r="L62" s="7">
        <v>0</v>
      </c>
      <c r="M62" s="11">
        <f t="shared" si="3"/>
      </c>
      <c r="N62" s="11">
        <f t="shared" si="4"/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>
        <f>IFERROR(CalcRC27(F62,G62,K62,O62,P62,Q62,R62,S62,T62,U62,V62),"-")</f>
      </c>
      <c r="X62" t="s" s="13">
        <v>312</v>
      </c>
    </row>
    <row r="63" spans="2:24" ht="13.8" x14ac:dyDescent="0.2">
      <c r="B63" s="8">
        <f t="shared" si="5"/>
      </c>
      <c r="C63" s="10">
        <v>58</v>
      </c>
      <c r="D63" t="s" s="13">
        <v>1570</v>
      </c>
      <c r="E63" s="11">
        <f t="shared" si="2"/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6"/>
      </c>
      <c r="L63" s="7">
        <v>0</v>
      </c>
      <c r="M63" s="11">
        <f t="shared" si="3"/>
      </c>
      <c r="N63" s="11">
        <f t="shared" si="4"/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>
        <f>IFERROR(CalcRC27(F63,G63,K63,O63,P63,Q63,R63,S63,T63,U63,V63),"-")</f>
      </c>
      <c r="X63" t="s" s="13">
        <v>1029</v>
      </c>
    </row>
    <row r="64" spans="2:24" ht="13.8" x14ac:dyDescent="0.2">
      <c r="B64" s="8">
        <f t="shared" si="5"/>
      </c>
      <c r="C64" s="10">
        <v>59</v>
      </c>
      <c r="D64" t="s" s="13">
        <v>1012</v>
      </c>
      <c r="E64" s="11">
        <f t="shared" si="2"/>
      </c>
      <c r="F64" s="5">
        <v>66</v>
      </c>
      <c r="G64" s="5">
        <v>10</v>
      </c>
      <c r="H64" s="5">
        <v>2</v>
      </c>
      <c r="I64" s="5">
        <v>0</v>
      </c>
      <c r="J64" s="6">
        <v>1</v>
      </c>
      <c r="K64" s="12">
        <f t="shared" si="6"/>
      </c>
      <c r="L64" s="7">
        <v>5</v>
      </c>
      <c r="M64" s="11">
        <f t="shared" si="3"/>
      </c>
      <c r="N64" s="11">
        <f t="shared" si="4"/>
      </c>
      <c r="O64" s="20">
        <v>22</v>
      </c>
      <c r="P64" s="21">
        <v>2</v>
      </c>
      <c r="Q64" s="21">
        <v>2</v>
      </c>
      <c r="R64" s="22">
        <v>1</v>
      </c>
      <c r="S64" s="22">
        <v>0</v>
      </c>
      <c r="T64" s="20">
        <v>4</v>
      </c>
      <c r="U64" s="20">
        <v>3</v>
      </c>
      <c r="V64" s="20">
        <v>1</v>
      </c>
      <c r="W64" s="63">
        <f>IFERROR(CalcRC27(F64,G64,K64,O64,P64,Q64,R64,S64,T64,U64,V64),"-")</f>
      </c>
      <c r="X64" t="s" s="13">
        <v>308</v>
      </c>
    </row>
    <row r="65" spans="2:24" ht="13.8" x14ac:dyDescent="0.2">
      <c r="B65" s="8">
        <f t="shared" si="5"/>
      </c>
      <c r="C65" s="10">
        <v>60</v>
      </c>
      <c r="D65" t="s" s="13">
        <v>1657</v>
      </c>
      <c r="E65" s="11">
        <f t="shared" si="2"/>
      </c>
      <c r="F65" s="5">
        <v>22</v>
      </c>
      <c r="G65" s="5">
        <v>8</v>
      </c>
      <c r="H65" s="5">
        <v>2</v>
      </c>
      <c r="I65" s="5">
        <v>0</v>
      </c>
      <c r="J65" s="6">
        <v>0</v>
      </c>
      <c r="K65" s="12">
        <f t="shared" si="6"/>
      </c>
      <c r="L65" s="7">
        <v>0</v>
      </c>
      <c r="M65" s="11">
        <f t="shared" si="3"/>
      </c>
      <c r="N65" s="11">
        <f t="shared" si="4"/>
      </c>
      <c r="O65" s="20">
        <v>6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1</v>
      </c>
      <c r="W65" s="63">
        <f>IFERROR(CalcRC27(F65,G65,K65,O65,P65,Q65,R65,S65,T65,U65,V65),"-")</f>
      </c>
      <c r="X65" t="s" s="13">
        <v>680</v>
      </c>
    </row>
    <row r="66" spans="2:24" ht="13.8" x14ac:dyDescent="0.2">
      <c r="B66" s="8">
        <f t="shared" si="5"/>
      </c>
      <c r="C66" s="10">
        <v>61</v>
      </c>
      <c r="D66" t="s" s="13">
        <v>1013</v>
      </c>
      <c r="E66" s="11">
        <f t="shared" si="2"/>
      </c>
      <c r="F66" s="5">
        <v>119</v>
      </c>
      <c r="G66" s="5">
        <v>22</v>
      </c>
      <c r="H66" s="5">
        <v>2</v>
      </c>
      <c r="I66" s="5">
        <v>0</v>
      </c>
      <c r="J66" s="6">
        <v>0</v>
      </c>
      <c r="K66" s="12">
        <f t="shared" si="6"/>
      </c>
      <c r="L66" s="7">
        <v>3</v>
      </c>
      <c r="M66" s="11">
        <f t="shared" si="3"/>
      </c>
      <c r="N66" s="11">
        <f t="shared" si="4"/>
      </c>
      <c r="O66" s="20">
        <v>35</v>
      </c>
      <c r="P66" s="21">
        <v>14</v>
      </c>
      <c r="Q66" s="21">
        <v>0</v>
      </c>
      <c r="R66" s="22">
        <v>12</v>
      </c>
      <c r="S66" s="22">
        <v>1</v>
      </c>
      <c r="T66" s="20">
        <v>7</v>
      </c>
      <c r="U66" s="20">
        <v>0</v>
      </c>
      <c r="V66" s="20">
        <v>2</v>
      </c>
      <c r="W66" s="63">
        <f>IFERROR(CalcRC27(F66,G66,K66,O66,P66,Q66,R66,S66,T66,U66,V66),"-")</f>
      </c>
      <c r="X66" t="s" s="13">
        <v>309</v>
      </c>
    </row>
    <row r="67" spans="2:24" ht="13.8" x14ac:dyDescent="0.2">
      <c r="B67" s="8">
        <f t="shared" si="5"/>
      </c>
      <c r="C67" s="10">
        <v>62</v>
      </c>
      <c r="D67" t="s" s="13">
        <v>1182</v>
      </c>
      <c r="E67" s="11">
        <f t="shared" si="2"/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</c>
      <c r="L67" s="7">
        <v>0</v>
      </c>
      <c r="M67" s="11">
        <f t="shared" si="3"/>
      </c>
      <c r="N67" s="11">
        <f t="shared" si="4"/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>
        <f>IFERROR(CalcRC27(F67,G67,K67,O67,P67,Q67,R67,S67,T67,U67,V67),"-")</f>
      </c>
      <c r="X67" t="s" s="13">
        <v>921</v>
      </c>
    </row>
    <row r="68" spans="2:24" ht="13.8" x14ac:dyDescent="0.2">
      <c r="B68" s="8">
        <f t="shared" si="5"/>
      </c>
      <c r="C68" s="10">
        <v>63</v>
      </c>
      <c r="D68" t="s" s="13">
        <v>910</v>
      </c>
      <c r="E68" s="11">
        <f t="shared" si="2"/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</c>
      <c r="L68" s="7">
        <v>0</v>
      </c>
      <c r="M68" s="11">
        <f t="shared" ref="M68:M131" si="8">IFERROR(IF((G68+P68+Q68)/(F68+P68+Q68+S68)=1,"1.00",(G68+P68+Q68)/(F68+P68+Q68+S68)),0)</f>
      </c>
      <c r="N68" s="11">
        <f t="shared" ref="N68:N131" si="9">IFERROR(SUM(K68/F68,((G68+P68+Q68)/(F68+P68+Q68+S68))),M68)</f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>
        <f>IFERROR(CalcRC27(F68,G68,K68,O68,P68,Q68,R68,S68,T68,U68,V68),"-")</f>
      </c>
      <c r="X68" t="s" s="13">
        <v>1030</v>
      </c>
    </row>
    <row r="69" spans="2:24" ht="13.8" x14ac:dyDescent="0.2">
      <c r="B69" s="8">
        <f t="shared" ref="B69:B132" si="10">IF(C69="","",C69)</f>
      </c>
      <c r="C69" s="10">
        <v>64</v>
      </c>
      <c r="D69" t="s" s="13">
        <v>669</v>
      </c>
      <c r="E69" s="11">
        <f t="shared" ref="E69:E132" si="11">IFERROR(IF(G69/F69=1,"1.00",G69/F69),"---")</f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</c>
      <c r="L69" s="7">
        <v>0</v>
      </c>
      <c r="M69" s="11">
        <f t="shared" si="8"/>
      </c>
      <c r="N69" s="11">
        <f t="shared" si="9"/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>
        <f>IFERROR(CalcRC27(F69,G69,K69,O69,P69,Q69,R69,S69,T69,U69,V69),"-")</f>
      </c>
      <c r="X69" t="s" s="13">
        <v>681</v>
      </c>
    </row>
    <row r="70" spans="2:24" ht="13.8" x14ac:dyDescent="0.2">
      <c r="B70" s="8">
        <f t="shared" si="10"/>
      </c>
      <c r="C70" s="10">
        <v>65</v>
      </c>
      <c r="D70" t="s" s="13">
        <v>1285</v>
      </c>
      <c r="E70" s="11">
        <f t="shared" si="11"/>
      </c>
      <c r="F70" s="5">
        <v>14</v>
      </c>
      <c r="G70" s="5">
        <v>2</v>
      </c>
      <c r="H70" s="5">
        <v>0</v>
      </c>
      <c r="I70" s="5">
        <v>0</v>
      </c>
      <c r="J70" s="6">
        <v>0</v>
      </c>
      <c r="K70" s="12">
        <f t="shared" si="12"/>
      </c>
      <c r="L70" s="7">
        <v>2</v>
      </c>
      <c r="M70" s="11">
        <f t="shared" si="8"/>
      </c>
      <c r="N70" s="11">
        <f t="shared" si="9"/>
      </c>
      <c r="O70" s="20">
        <v>9</v>
      </c>
      <c r="P70" s="21">
        <v>0</v>
      </c>
      <c r="Q70" s="21">
        <v>0</v>
      </c>
      <c r="R70" s="22">
        <v>1</v>
      </c>
      <c r="S70" s="22">
        <v>0</v>
      </c>
      <c r="T70" s="20">
        <v>0</v>
      </c>
      <c r="U70" s="20">
        <v>0</v>
      </c>
      <c r="V70" s="20">
        <v>0</v>
      </c>
      <c r="W70" s="63">
        <f>IFERROR(CalcRC27(F70,G70,K70,O70,P70,Q70,R70,S70,T70,U70,V70),"-")</f>
      </c>
      <c r="X70" t="s" s="13">
        <v>326</v>
      </c>
    </row>
    <row r="71" spans="2:24" ht="13.8" x14ac:dyDescent="0.2">
      <c r="B71" s="8">
        <f t="shared" si="10"/>
      </c>
      <c r="C71" s="10">
        <v>66</v>
      </c>
      <c r="D71" t="s" s="13">
        <v>1014</v>
      </c>
      <c r="E71" s="11">
        <f t="shared" si="11"/>
      </c>
      <c r="F71" s="5">
        <v>12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</c>
      <c r="L71" s="7">
        <v>0</v>
      </c>
      <c r="M71" s="11">
        <f t="shared" si="8"/>
      </c>
      <c r="N71" s="11">
        <f t="shared" si="9"/>
      </c>
      <c r="O71" s="20">
        <v>7</v>
      </c>
      <c r="P71" s="21">
        <v>0</v>
      </c>
      <c r="Q71" s="21">
        <v>0</v>
      </c>
      <c r="R71" s="22">
        <v>1</v>
      </c>
      <c r="S71" s="22">
        <v>0</v>
      </c>
      <c r="T71" s="20">
        <v>0</v>
      </c>
      <c r="U71" s="20">
        <v>0</v>
      </c>
      <c r="V71" s="20">
        <v>0</v>
      </c>
      <c r="W71" s="63">
        <f>IFERROR(CalcRC27(F71,G71,K71,O71,P71,Q71,R71,S71,T71,U71,V71),"-")</f>
      </c>
      <c r="X71" t="s" s="13">
        <v>327</v>
      </c>
    </row>
    <row r="72" spans="2:24" ht="13.8" x14ac:dyDescent="0.2">
      <c r="B72" s="8">
        <f t="shared" si="10"/>
      </c>
      <c r="C72" s="10">
        <v>67</v>
      </c>
      <c r="D72" t="s" s="13">
        <v>1219</v>
      </c>
      <c r="E72" s="11">
        <f t="shared" si="11"/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</c>
      <c r="L72" s="7">
        <v>0</v>
      </c>
      <c r="M72" s="11">
        <f t="shared" si="8"/>
      </c>
      <c r="N72" s="11">
        <f t="shared" si="9"/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>
        <f>IFERROR(CalcRC27(F72,G72,K72,O72,P72,Q72,R72,S72,T72,U72,V72),"-")</f>
      </c>
      <c r="X72" t="s" s="13">
        <v>1220</v>
      </c>
    </row>
    <row r="73" spans="2:24" ht="13.8" x14ac:dyDescent="0.2">
      <c r="B73" s="8">
        <f t="shared" si="10"/>
      </c>
      <c r="C73" s="10">
        <v>68</v>
      </c>
      <c r="D73" t="s" s="13">
        <v>1015</v>
      </c>
      <c r="E73" s="11">
        <f t="shared" si="11"/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</c>
      <c r="L73" s="7">
        <v>0</v>
      </c>
      <c r="M73" s="11">
        <f t="shared" si="8"/>
      </c>
      <c r="N73" s="11">
        <f t="shared" si="9"/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>
        <f>IFERROR(CalcRC27(F73,G73,K73,O73,P73,Q73,R73,S73,T73,U73,V73),"-")</f>
      </c>
      <c r="X73" t="s" s="13">
        <v>1031</v>
      </c>
    </row>
    <row r="74" spans="2:24" ht="13.8" x14ac:dyDescent="0.2">
      <c r="B74" s="8">
        <f t="shared" si="10"/>
      </c>
      <c r="C74" s="10">
        <v>69</v>
      </c>
      <c r="D74" t="s" s="13">
        <v>1016</v>
      </c>
      <c r="E74" s="11">
        <f t="shared" si="11"/>
      </c>
      <c r="F74" s="5">
        <v>47</v>
      </c>
      <c r="G74" s="5">
        <v>7</v>
      </c>
      <c r="H74" s="5">
        <v>1</v>
      </c>
      <c r="I74" s="5">
        <v>0</v>
      </c>
      <c r="J74" s="6">
        <v>0</v>
      </c>
      <c r="K74" s="12">
        <f t="shared" si="12"/>
      </c>
      <c r="L74" s="7">
        <v>4</v>
      </c>
      <c r="M74" s="11">
        <f t="shared" si="8"/>
      </c>
      <c r="N74" s="11">
        <f t="shared" si="9"/>
      </c>
      <c r="O74" s="20">
        <v>12</v>
      </c>
      <c r="P74" s="21">
        <v>4</v>
      </c>
      <c r="Q74" s="21">
        <v>0</v>
      </c>
      <c r="R74" s="22">
        <v>2</v>
      </c>
      <c r="S74" s="22">
        <v>0</v>
      </c>
      <c r="T74" s="20">
        <v>14</v>
      </c>
      <c r="U74" s="20">
        <v>6</v>
      </c>
      <c r="V74" s="20">
        <v>3</v>
      </c>
      <c r="W74" s="63">
        <f>IFERROR(CalcRC27(F74,G74,K74,O74,P74,Q74,R74,S74,T74,U74,V74),"-")</f>
      </c>
      <c r="X74" t="s" s="13">
        <v>271</v>
      </c>
    </row>
    <row r="75" spans="2:24" ht="13.8" x14ac:dyDescent="0.2">
      <c r="B75" s="8">
        <f t="shared" si="10"/>
      </c>
      <c r="C75" s="10">
        <v>70</v>
      </c>
      <c r="D75" t="s" s="13">
        <v>1286</v>
      </c>
      <c r="E75" s="11">
        <f t="shared" si="11"/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</c>
      <c r="L75" s="7">
        <v>0</v>
      </c>
      <c r="M75" s="11">
        <f t="shared" si="8"/>
      </c>
      <c r="N75" s="11">
        <f t="shared" si="9"/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>
        <f>IFERROR(CalcRC27(F75,G75,K75,O75,P75,Q75,R75,S75,T75,U75,V75),"-")</f>
      </c>
      <c r="X75" s="13"/>
    </row>
    <row r="76" spans="2:24" ht="13.8" x14ac:dyDescent="0.2">
      <c r="B76" s="8">
        <f t="shared" si="10"/>
      </c>
      <c r="C76" s="10">
        <v>71</v>
      </c>
      <c r="D76" s="13"/>
      <c r="E76" s="11">
        <f t="shared" si="11"/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</c>
      <c r="L76" s="7">
        <v>0</v>
      </c>
      <c r="M76" s="11">
        <f t="shared" si="8"/>
      </c>
      <c r="N76" s="11">
        <f t="shared" si="9"/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>
        <f>IFERROR(CalcRC27(F76,G76,K76,O76,P76,Q76,R76,S76,T76,U76,V76),"-")</f>
      </c>
      <c r="X76" s="13"/>
    </row>
    <row r="77" spans="2:24" ht="13.8" x14ac:dyDescent="0.2">
      <c r="B77" s="8">
        <f t="shared" si="10"/>
      </c>
      <c r="C77" s="10">
        <v>72</v>
      </c>
      <c r="D77" s="13"/>
      <c r="E77" s="11">
        <f t="shared" si="11"/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</c>
      <c r="L77" s="7">
        <v>0</v>
      </c>
      <c r="M77" s="11">
        <f t="shared" si="8"/>
      </c>
      <c r="N77" s="11">
        <f t="shared" si="9"/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>
        <f>IFERROR(CalcRC27(F77,G77,K77,O77,P77,Q77,R77,S77,T77,U77,V77),"-")</f>
      </c>
      <c r="X77" s="13"/>
    </row>
    <row r="78" spans="2:24" ht="13.8" x14ac:dyDescent="0.2">
      <c r="B78" s="8">
        <f t="shared" si="10"/>
      </c>
      <c r="C78" s="10">
        <v>73</v>
      </c>
      <c r="D78" s="13"/>
      <c r="E78" s="11">
        <f t="shared" si="11"/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</c>
      <c r="L78" s="7">
        <v>0</v>
      </c>
      <c r="M78" s="11">
        <f t="shared" si="8"/>
      </c>
      <c r="N78" s="11">
        <f t="shared" si="9"/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>
        <f>IFERROR(CalcRC27(F78,G78,K78,O78,P78,Q78,R78,S78,T78,U78,V78),"-")</f>
      </c>
      <c r="X78" s="13"/>
    </row>
    <row r="79" spans="2:24" ht="13.8" x14ac:dyDescent="0.2">
      <c r="B79" s="8">
        <f t="shared" si="10"/>
      </c>
      <c r="C79" s="10">
        <v>74</v>
      </c>
      <c r="D79" s="13"/>
      <c r="E79" s="11">
        <f t="shared" si="11"/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</c>
      <c r="L79" s="7">
        <v>0</v>
      </c>
      <c r="M79" s="11">
        <f t="shared" si="8"/>
      </c>
      <c r="N79" s="11">
        <f t="shared" si="9"/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>
        <f>IFERROR(CalcRC27(F79,G79,K79,O79,P79,Q79,R79,S79,T79,U79,V79),"-")</f>
      </c>
      <c r="X79" s="13"/>
    </row>
    <row r="80" spans="2:24" ht="13.8" x14ac:dyDescent="0.2">
      <c r="B80" s="8">
        <f t="shared" si="10"/>
      </c>
      <c r="C80" s="10">
        <v>75</v>
      </c>
      <c r="D80" s="13"/>
      <c r="E80" s="11">
        <f t="shared" si="11"/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</c>
      <c r="L80" s="7">
        <v>0</v>
      </c>
      <c r="M80" s="11">
        <f t="shared" si="8"/>
      </c>
      <c r="N80" s="11">
        <f t="shared" si="9"/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>
        <f>IFERROR(CalcRC27(F80,G80,K80,O80,P80,Q80,R80,S80,T80,U80,V80),"-")</f>
      </c>
      <c r="X80" s="13"/>
    </row>
    <row r="81" spans="2:24" ht="13.8" x14ac:dyDescent="0.2">
      <c r="B81" s="8">
        <f t="shared" si="10"/>
      </c>
      <c r="C81" s="10">
        <v>76</v>
      </c>
      <c r="D81" s="13"/>
      <c r="E81" s="11">
        <f t="shared" si="11"/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</c>
      <c r="L81" s="7">
        <v>0</v>
      </c>
      <c r="M81" s="11">
        <f t="shared" si="8"/>
      </c>
      <c r="N81" s="11">
        <f t="shared" si="9"/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>
        <f>IFERROR(CalcRC27(F81,G81,K81,O81,P81,Q81,R81,S81,T81,U81,V81),"-")</f>
      </c>
      <c r="X81" s="13"/>
    </row>
    <row r="82" spans="2:24" ht="13.8" x14ac:dyDescent="0.2">
      <c r="B82" s="8">
        <f t="shared" si="10"/>
      </c>
      <c r="C82" s="10">
        <v>77</v>
      </c>
      <c r="D82" s="13"/>
      <c r="E82" s="11">
        <f t="shared" si="11"/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</c>
      <c r="L82" s="7">
        <v>0</v>
      </c>
      <c r="M82" s="11">
        <f t="shared" si="8"/>
      </c>
      <c r="N82" s="11">
        <f t="shared" si="9"/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>
        <f>IFERROR(CalcRC27(F82,G82,K82,O82,P82,Q82,R82,S82,T82,U82,V82),"-")</f>
      </c>
      <c r="X82" s="13"/>
    </row>
    <row r="83" spans="2:24" ht="13.8" x14ac:dyDescent="0.2">
      <c r="B83" s="8">
        <f t="shared" si="10"/>
      </c>
      <c r="C83" s="10">
        <v>78</v>
      </c>
      <c r="D83" s="13"/>
      <c r="E83" s="11">
        <f t="shared" si="11"/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</c>
      <c r="L83" s="7">
        <v>0</v>
      </c>
      <c r="M83" s="11">
        <f t="shared" si="8"/>
      </c>
      <c r="N83" s="11">
        <f t="shared" si="9"/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>
        <f>IFERROR(CalcRC27(F83,G83,K83,O83,P83,Q83,R83,S83,T83,U83,V83),"-")</f>
      </c>
      <c r="X83" s="13"/>
    </row>
    <row r="84" spans="2:24" ht="13.8" x14ac:dyDescent="0.2">
      <c r="B84" s="8">
        <f t="shared" si="10"/>
      </c>
      <c r="C84" s="10">
        <v>79</v>
      </c>
      <c r="D84" s="13"/>
      <c r="E84" s="11">
        <f t="shared" si="11"/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</c>
      <c r="L84" s="7">
        <v>0</v>
      </c>
      <c r="M84" s="11">
        <f t="shared" si="8"/>
      </c>
      <c r="N84" s="11">
        <f t="shared" si="9"/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>
        <f>IFERROR(CalcRC27(F84,G84,K84,O84,P84,Q84,R84,S84,T84,U84,V84),"-")</f>
      </c>
      <c r="X84" s="13"/>
    </row>
    <row r="85" spans="2:24" ht="13.8" x14ac:dyDescent="0.2">
      <c r="B85" s="8">
        <f t="shared" si="10"/>
      </c>
      <c r="C85" s="10">
        <v>80</v>
      </c>
      <c r="D85" s="13"/>
      <c r="E85" s="11">
        <f t="shared" si="11"/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</c>
      <c r="L85" s="7">
        <v>0</v>
      </c>
      <c r="M85" s="11">
        <f t="shared" si="8"/>
      </c>
      <c r="N85" s="11">
        <f t="shared" si="9"/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>
        <f>IFERROR(CalcRC27(F85,G85,K85,O85,P85,Q85,R85,S85,T85,U85,V85),"-")</f>
      </c>
      <c r="X85" s="13"/>
    </row>
    <row r="86" spans="2:24" ht="13.8" x14ac:dyDescent="0.2">
      <c r="B86" s="8">
        <f t="shared" si="10"/>
      </c>
      <c r="C86" s="10">
        <v>81</v>
      </c>
      <c r="D86" s="13"/>
      <c r="E86" s="11">
        <f t="shared" si="11"/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</c>
      <c r="L86" s="7">
        <v>0</v>
      </c>
      <c r="M86" s="11">
        <f t="shared" si="8"/>
      </c>
      <c r="N86" s="11">
        <f t="shared" si="9"/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>
        <f>IFERROR(CalcRC27(F86,G86,K86,O86,P86,Q86,R86,S86,T86,U86,V86),"-")</f>
      </c>
      <c r="X86" s="13"/>
    </row>
    <row r="87" spans="2:24" ht="13.8" x14ac:dyDescent="0.2">
      <c r="B87" s="8">
        <f t="shared" si="10"/>
      </c>
      <c r="C87" s="10">
        <v>82</v>
      </c>
      <c r="D87" s="13"/>
      <c r="E87" s="11">
        <f t="shared" si="11"/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</c>
      <c r="L87" s="7">
        <v>0</v>
      </c>
      <c r="M87" s="11">
        <f t="shared" si="8"/>
      </c>
      <c r="N87" s="11">
        <f t="shared" si="9"/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>
        <f>IFERROR(CalcRC27(F87,G87,K87,O87,P87,Q87,R87,S87,T87,U87,V87),"-")</f>
      </c>
      <c r="X87" s="13"/>
    </row>
    <row r="88" spans="2:24" ht="13.8" x14ac:dyDescent="0.2">
      <c r="B88" s="8">
        <f t="shared" si="10"/>
      </c>
      <c r="C88" s="10">
        <v>83</v>
      </c>
      <c r="D88" s="13"/>
      <c r="E88" s="11">
        <f t="shared" si="11"/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</c>
      <c r="L88" s="7">
        <v>0</v>
      </c>
      <c r="M88" s="11">
        <f t="shared" si="8"/>
      </c>
      <c r="N88" s="11">
        <f t="shared" si="9"/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>
        <f>IFERROR(CalcRC27(F88,G88,K88,O88,P88,Q88,R88,S88,T88,U88,V88),"-")</f>
      </c>
      <c r="X88" s="13"/>
    </row>
    <row r="89" spans="2:24" ht="13.8" x14ac:dyDescent="0.2">
      <c r="B89" s="8">
        <f t="shared" si="10"/>
      </c>
      <c r="C89" s="10">
        <v>84</v>
      </c>
      <c r="D89" s="13"/>
      <c r="E89" s="11">
        <f t="shared" si="11"/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</c>
      <c r="L89" s="7">
        <v>0</v>
      </c>
      <c r="M89" s="11">
        <f t="shared" si="8"/>
      </c>
      <c r="N89" s="11">
        <f t="shared" si="9"/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>
        <f>IFERROR(CalcRC27(F89,G89,K89,O89,P89,Q89,R89,S89,T89,U89,V89),"-")</f>
      </c>
      <c r="X89" s="13"/>
    </row>
    <row r="90" spans="2:24" ht="13.8" x14ac:dyDescent="0.2">
      <c r="B90" s="8">
        <f t="shared" si="10"/>
      </c>
      <c r="C90" s="10">
        <v>85</v>
      </c>
      <c r="D90" s="13"/>
      <c r="E90" s="11">
        <f t="shared" si="11"/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</c>
      <c r="L90" s="7">
        <v>0</v>
      </c>
      <c r="M90" s="11">
        <f t="shared" si="8"/>
      </c>
      <c r="N90" s="11">
        <f t="shared" si="9"/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>
        <f>IFERROR(CalcRC27(F90,G90,K90,O90,P90,Q90,R90,S90,T90,U90,V90),"-")</f>
      </c>
      <c r="X90" s="13"/>
    </row>
    <row r="91" spans="2:24" ht="13.8" x14ac:dyDescent="0.2">
      <c r="B91" s="8">
        <f t="shared" si="10"/>
      </c>
      <c r="C91" s="10">
        <v>86</v>
      </c>
      <c r="D91" s="13"/>
      <c r="E91" s="11">
        <f t="shared" si="11"/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</c>
      <c r="L91" s="7">
        <v>0</v>
      </c>
      <c r="M91" s="11">
        <f t="shared" si="8"/>
      </c>
      <c r="N91" s="11">
        <f t="shared" si="9"/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>
        <f>IFERROR(CalcRC27(F91,G91,K91,O91,P91,Q91,R91,S91,T91,U91,V91),"-")</f>
      </c>
      <c r="X91" s="13"/>
    </row>
    <row r="92" spans="2:24" ht="13.8" x14ac:dyDescent="0.2">
      <c r="B92" s="8">
        <f t="shared" si="10"/>
      </c>
      <c r="C92" s="10">
        <v>87</v>
      </c>
      <c r="D92" s="13"/>
      <c r="E92" s="11">
        <f t="shared" si="11"/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</c>
      <c r="L92" s="7">
        <v>0</v>
      </c>
      <c r="M92" s="11">
        <f t="shared" si="8"/>
      </c>
      <c r="N92" s="11">
        <f t="shared" si="9"/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>
        <f>IFERROR(CalcRC27(F92,G92,K92,O92,P92,Q92,R92,S92,T92,U92,V92),"-")</f>
      </c>
      <c r="X92" s="13"/>
    </row>
    <row r="93" spans="2:24" ht="13.8" x14ac:dyDescent="0.2">
      <c r="B93" s="8">
        <f t="shared" si="10"/>
      </c>
      <c r="C93" s="10">
        <v>88</v>
      </c>
      <c r="D93" s="13"/>
      <c r="E93" s="11">
        <f t="shared" si="11"/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</c>
      <c r="L93" s="7">
        <v>0</v>
      </c>
      <c r="M93" s="11">
        <f t="shared" si="8"/>
      </c>
      <c r="N93" s="11">
        <f t="shared" si="9"/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>
        <f>IFERROR(CalcRC27(F93,G93,K93,O93,P93,Q93,R93,S93,T93,U93,V93),"-")</f>
      </c>
      <c r="X93" s="13"/>
    </row>
    <row r="94" spans="2:24" ht="13.8" x14ac:dyDescent="0.2">
      <c r="B94" s="8">
        <f t="shared" si="10"/>
      </c>
      <c r="C94" s="10">
        <v>89</v>
      </c>
      <c r="D94" s="13"/>
      <c r="E94" s="11">
        <f t="shared" si="11"/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</c>
      <c r="L94" s="7">
        <v>0</v>
      </c>
      <c r="M94" s="11">
        <f t="shared" si="8"/>
      </c>
      <c r="N94" s="11">
        <f t="shared" si="9"/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>
        <f>IFERROR(CalcRC27(F94,G94,K94,O94,P94,Q94,R94,S94,T94,U94,V94),"-")</f>
      </c>
      <c r="X94" s="13"/>
    </row>
    <row r="95" spans="2:24" ht="13.8" x14ac:dyDescent="0.2">
      <c r="B95" s="8">
        <f t="shared" si="10"/>
      </c>
      <c r="C95" s="10">
        <v>90</v>
      </c>
      <c r="D95" s="13"/>
      <c r="E95" s="11">
        <f t="shared" si="11"/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</c>
      <c r="L95" s="7">
        <v>0</v>
      </c>
      <c r="M95" s="11">
        <f t="shared" si="8"/>
      </c>
      <c r="N95" s="11">
        <f t="shared" si="9"/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>
        <f>IFERROR(CalcRC27(F95,G95,K95,O95,P95,Q95,R95,S95,T95,U95,V95),"-")</f>
      </c>
      <c r="X95" s="13"/>
    </row>
    <row r="96" spans="2:24" ht="13.8" x14ac:dyDescent="0.2">
      <c r="B96" s="8">
        <f t="shared" si="10"/>
      </c>
      <c r="C96" s="10">
        <v>91</v>
      </c>
      <c r="D96" s="13"/>
      <c r="E96" s="11">
        <f t="shared" si="11"/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</c>
      <c r="L96" s="7">
        <v>0</v>
      </c>
      <c r="M96" s="11">
        <f t="shared" si="8"/>
      </c>
      <c r="N96" s="11">
        <f t="shared" si="9"/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>
        <f>IFERROR(CalcRC27(F96,G96,K96,O96,P96,Q96,R96,S96,T96,U96,V96),"-")</f>
      </c>
      <c r="X96" s="13"/>
    </row>
    <row r="97" spans="2:24" ht="13.8" x14ac:dyDescent="0.2">
      <c r="B97" s="8">
        <f t="shared" si="10"/>
      </c>
      <c r="C97" s="10">
        <v>92</v>
      </c>
      <c r="D97" s="13"/>
      <c r="E97" s="11">
        <f t="shared" si="11"/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</c>
      <c r="L97" s="7">
        <v>0</v>
      </c>
      <c r="M97" s="11">
        <f t="shared" si="8"/>
      </c>
      <c r="N97" s="11">
        <f t="shared" si="9"/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>
        <f>IFERROR(CalcRC27(F97,G97,K97,O97,P97,Q97,R97,S97,T97,U97,V97),"-")</f>
      </c>
      <c r="X97" s="13"/>
    </row>
    <row r="98" spans="2:24" ht="13.8" x14ac:dyDescent="0.2">
      <c r="B98" s="8">
        <f t="shared" si="10"/>
      </c>
      <c r="C98" s="10">
        <v>93</v>
      </c>
      <c r="D98" s="13"/>
      <c r="E98" s="11">
        <f t="shared" si="11"/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</c>
      <c r="L98" s="7">
        <v>0</v>
      </c>
      <c r="M98" s="11">
        <f t="shared" si="8"/>
      </c>
      <c r="N98" s="11">
        <f t="shared" si="9"/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>
        <f>IFERROR(CalcRC27(F98,G98,K98,O98,P98,Q98,R98,S98,T98,U98,V98),"-")</f>
      </c>
      <c r="X98" s="13"/>
    </row>
    <row r="99" spans="2:24" ht="13.8" x14ac:dyDescent="0.2">
      <c r="B99" s="8">
        <f t="shared" si="10"/>
      </c>
      <c r="C99" s="10">
        <v>94</v>
      </c>
      <c r="D99" s="13"/>
      <c r="E99" s="11">
        <f t="shared" si="11"/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</c>
      <c r="L99" s="7">
        <v>0</v>
      </c>
      <c r="M99" s="11">
        <f t="shared" si="8"/>
      </c>
      <c r="N99" s="11">
        <f t="shared" si="9"/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>
        <f>IFERROR(CalcRC27(F99,G99,K99,O99,P99,Q99,R99,S99,T99,U99,V99),"-")</f>
      </c>
      <c r="X99" s="13"/>
    </row>
    <row r="100" spans="2:24" ht="13.8" x14ac:dyDescent="0.2">
      <c r="B100" s="8">
        <f t="shared" si="10"/>
      </c>
      <c r="C100" s="10">
        <v>95</v>
      </c>
      <c r="D100" t="s" s="13">
        <v>1017</v>
      </c>
      <c r="E100" s="11">
        <f t="shared" si="11"/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</c>
      <c r="L100" s="7">
        <v>0</v>
      </c>
      <c r="M100" s="11">
        <f t="shared" si="8"/>
      </c>
      <c r="N100" s="11">
        <f t="shared" si="9"/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>
        <f>IFERROR(CalcRC27(F100,G100,K100,O100,P100,Q100,R100,S100,T100,U100,V100),"-")</f>
      </c>
      <c r="X100" t="s" s="13">
        <v>1032</v>
      </c>
    </row>
    <row r="101" spans="2:24" ht="13.8" x14ac:dyDescent="0.2">
      <c r="B101" s="8">
        <f t="shared" si="10"/>
      </c>
      <c r="C101" s="10">
        <v>96</v>
      </c>
      <c r="D101" t="s" s="13">
        <v>1018</v>
      </c>
      <c r="E101" s="11">
        <f t="shared" si="11"/>
      </c>
      <c r="F101" s="5">
        <v>20</v>
      </c>
      <c r="G101" s="5">
        <v>3</v>
      </c>
      <c r="H101" s="5">
        <v>0</v>
      </c>
      <c r="I101" s="5">
        <v>0</v>
      </c>
      <c r="J101" s="6">
        <v>0</v>
      </c>
      <c r="K101" s="12">
        <f t="shared" si="12"/>
      </c>
      <c r="L101" s="7">
        <v>0</v>
      </c>
      <c r="M101" s="11">
        <f t="shared" si="8"/>
      </c>
      <c r="N101" s="11">
        <f t="shared" si="9"/>
      </c>
      <c r="O101" s="20">
        <v>7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1</v>
      </c>
      <c r="V101" s="20">
        <v>0</v>
      </c>
      <c r="W101" s="63">
        <f>IFERROR(CalcRC27(F101,G101,K101,O101,P101,Q101,R101,S101,T101,U101,V101),"-")</f>
      </c>
      <c r="X101" t="s" s="13">
        <v>297</v>
      </c>
    </row>
    <row r="102" spans="2:24" ht="13.8" x14ac:dyDescent="0.2">
      <c r="B102" s="8">
        <f t="shared" si="10"/>
      </c>
      <c r="C102" s="10">
        <v>97</v>
      </c>
      <c r="D102" t="s" s="13">
        <v>911</v>
      </c>
      <c r="E102" s="11">
        <f t="shared" si="11"/>
      </c>
      <c r="F102" s="5">
        <v>34</v>
      </c>
      <c r="G102" s="5">
        <v>6</v>
      </c>
      <c r="H102" s="5">
        <v>1</v>
      </c>
      <c r="I102" s="5">
        <v>0</v>
      </c>
      <c r="J102" s="6">
        <v>0</v>
      </c>
      <c r="K102" s="12">
        <f t="shared" si="12"/>
      </c>
      <c r="L102" s="7">
        <v>3</v>
      </c>
      <c r="M102" s="11">
        <f t="shared" si="8"/>
      </c>
      <c r="N102" s="11">
        <f t="shared" si="9"/>
      </c>
      <c r="O102" s="20">
        <v>10</v>
      </c>
      <c r="P102" s="21">
        <v>1</v>
      </c>
      <c r="Q102" s="21">
        <v>1</v>
      </c>
      <c r="R102" s="22">
        <v>0</v>
      </c>
      <c r="S102" s="22">
        <v>1</v>
      </c>
      <c r="T102" s="20">
        <v>1</v>
      </c>
      <c r="U102" s="20">
        <v>0</v>
      </c>
      <c r="V102" s="20">
        <v>2</v>
      </c>
      <c r="W102" s="63">
        <f>IFERROR(CalcRC27(F102,G102,K102,O102,P102,Q102,R102,S102,T102,U102,V102),"-")</f>
      </c>
      <c r="X102" t="s" s="13">
        <v>922</v>
      </c>
    </row>
    <row r="103" spans="2:24" ht="13.8" x14ac:dyDescent="0.2">
      <c r="B103" s="8">
        <f t="shared" si="10"/>
      </c>
      <c r="C103" s="10">
        <v>98</v>
      </c>
      <c r="D103" t="s" s="13">
        <v>670</v>
      </c>
      <c r="E103" s="11">
        <f t="shared" si="11"/>
      </c>
      <c r="F103" s="5">
        <v>8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</c>
      <c r="L103" s="7">
        <v>0</v>
      </c>
      <c r="M103" s="11">
        <f t="shared" si="8"/>
      </c>
      <c r="N103" s="11">
        <f t="shared" si="9"/>
      </c>
      <c r="O103" s="20">
        <v>6</v>
      </c>
      <c r="P103" s="21">
        <v>1</v>
      </c>
      <c r="Q103" s="21">
        <v>0</v>
      </c>
      <c r="R103" s="22">
        <v>1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</c>
      <c r="X103" t="s" s="13">
        <v>1033</v>
      </c>
    </row>
    <row r="104" spans="2:24" ht="13.8" x14ac:dyDescent="0.2">
      <c r="B104" s="8">
        <f t="shared" si="10"/>
      </c>
      <c r="C104" s="10">
        <v>99</v>
      </c>
      <c r="D104" t="s" s="13">
        <v>671</v>
      </c>
      <c r="E104" s="11">
        <f t="shared" si="11"/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</c>
      <c r="L104" s="7">
        <v>0</v>
      </c>
      <c r="M104" s="11">
        <f t="shared" si="8"/>
      </c>
      <c r="N104" s="11">
        <f t="shared" si="9"/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</c>
      <c r="X104" t="s" s="13">
        <v>311</v>
      </c>
    </row>
    <row r="105" spans="2:24" ht="13.8" x14ac:dyDescent="0.2">
      <c r="B105" s="8">
        <f t="shared" si="10"/>
      </c>
      <c r="C105" s="10">
        <v>120</v>
      </c>
      <c r="D105" t="s" s="23">
        <v>1019</v>
      </c>
      <c r="E105" s="11">
        <f t="shared" si="11"/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</c>
      <c r="L105" s="7">
        <v>0</v>
      </c>
      <c r="M105" s="11">
        <f t="shared" si="8"/>
      </c>
      <c r="N105" s="11">
        <f t="shared" si="9"/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>
        <f>IFERROR(CalcRC27(F105,G105,K105,O105,P105,Q105,R105,S105,T105,U105,V105),"-")</f>
      </c>
      <c r="X105" t="s" s="13">
        <v>1034</v>
      </c>
    </row>
    <row r="106" spans="2:24" ht="13.8" x14ac:dyDescent="0.2">
      <c r="B106" s="8">
        <f t="shared" si="10"/>
      </c>
      <c r="C106" s="10">
        <v>121</v>
      </c>
      <c r="D106" t="s" s="13">
        <v>912</v>
      </c>
      <c r="E106" s="11">
        <f t="shared" si="11"/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</c>
      <c r="L106" s="7">
        <v>0</v>
      </c>
      <c r="M106" s="11">
        <f t="shared" si="8"/>
      </c>
      <c r="N106" s="11">
        <f t="shared" si="9"/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>
        <f>IFERROR(CalcRC27(F106,G106,K106,O106,P106,Q106,R106,S106,T106,U106,V106),"-")</f>
      </c>
      <c r="X106" t="s" s="13">
        <v>923</v>
      </c>
    </row>
    <row r="107" spans="2:24" ht="13.8" x14ac:dyDescent="0.2">
      <c r="B107" s="8">
        <f t="shared" si="10"/>
      </c>
      <c r="C107" s="10">
        <v>122</v>
      </c>
      <c r="D107" t="s" s="13">
        <v>672</v>
      </c>
      <c r="E107" s="11">
        <f t="shared" si="11"/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</c>
      <c r="L107" s="7">
        <v>0</v>
      </c>
      <c r="M107" s="11">
        <f t="shared" si="8"/>
      </c>
      <c r="N107" s="11">
        <f t="shared" si="9"/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>
        <f>IFERROR(CalcRC27(F107,G107,K107,O107,P107,Q107,R107,S107,T107,U107,V107),"-")</f>
      </c>
      <c r="X107" t="s" s="13">
        <v>682</v>
      </c>
    </row>
    <row r="108" spans="2:24" ht="13.8" x14ac:dyDescent="0.2">
      <c r="B108" s="8">
        <f t="shared" si="10"/>
      </c>
      <c r="C108" s="10">
        <v>123</v>
      </c>
      <c r="D108" t="s" s="13">
        <v>1468</v>
      </c>
      <c r="E108" s="11">
        <f t="shared" si="11"/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</c>
      <c r="L108" s="7">
        <v>0</v>
      </c>
      <c r="M108" s="11">
        <f t="shared" si="8"/>
      </c>
      <c r="N108" s="11">
        <f t="shared" si="9"/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>
        <f>IFERROR(CalcRC27(F108,G108,K108,O108,P108,Q108,R108,S108,T108,U108,V108),"-")</f>
      </c>
      <c r="X108" t="s" s="13">
        <v>316</v>
      </c>
    </row>
    <row r="109" spans="2:24" ht="13.8" x14ac:dyDescent="0.2">
      <c r="B109" s="8">
        <f t="shared" si="10"/>
      </c>
      <c r="C109" s="10">
        <v>124</v>
      </c>
      <c r="D109" t="s" s="13">
        <v>1020</v>
      </c>
      <c r="E109" s="11">
        <f t="shared" si="11"/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</c>
      <c r="L109" s="7">
        <v>0</v>
      </c>
      <c r="M109" s="11">
        <f t="shared" si="8"/>
      </c>
      <c r="N109" s="11">
        <f t="shared" si="9"/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>
        <f>IFERROR(CalcRC27(F109,G109,K109,O109,P109,Q109,R109,S109,T109,U109,V109),"-")</f>
      </c>
      <c r="X109" t="s" s="13">
        <v>1035</v>
      </c>
    </row>
    <row r="110" spans="2:24" ht="13.8" x14ac:dyDescent="0.2">
      <c r="B110" s="8">
        <f t="shared" si="10"/>
      </c>
      <c r="C110" s="10">
        <v>125</v>
      </c>
      <c r="D110" t="s" s="13">
        <v>913</v>
      </c>
      <c r="E110" s="11">
        <f t="shared" si="11"/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</c>
      <c r="L110" s="7">
        <v>0</v>
      </c>
      <c r="M110" s="11">
        <f t="shared" si="8"/>
      </c>
      <c r="N110" s="11">
        <f t="shared" si="9"/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>
        <f>IFERROR(CalcRC27(F110,G110,K110,O110,P110,Q110,R110,S110,T110,U110,V110),"-")</f>
      </c>
      <c r="X110" t="s" s="13">
        <v>924</v>
      </c>
    </row>
    <row r="111" spans="2:24" ht="13.8" x14ac:dyDescent="0.2">
      <c r="B111" s="8">
        <f t="shared" si="10"/>
      </c>
      <c r="C111" s="10">
        <v>126</v>
      </c>
      <c r="D111" t="s" s="13">
        <v>674</v>
      </c>
      <c r="E111" s="11">
        <f t="shared" si="11"/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</c>
      <c r="L111" s="7">
        <v>0</v>
      </c>
      <c r="M111" s="11">
        <f t="shared" si="8"/>
      </c>
      <c r="N111" s="11">
        <f t="shared" si="9"/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>
        <f>IFERROR(CalcRC27(F111,G111,K111,O111,P111,Q111,R111,S111,T111,U111,V111),"-")</f>
      </c>
      <c r="X111" t="s" s="13">
        <v>683</v>
      </c>
    </row>
    <row r="112" spans="2:24" ht="13.8" x14ac:dyDescent="0.2">
      <c r="B112" s="8">
        <f t="shared" si="10"/>
      </c>
      <c r="C112" s="10">
        <v>127</v>
      </c>
      <c r="D112" t="s" s="13">
        <v>653</v>
      </c>
      <c r="E112" s="11">
        <f t="shared" si="11"/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</c>
      <c r="L112" s="7">
        <v>0</v>
      </c>
      <c r="M112" s="11">
        <f t="shared" si="8"/>
      </c>
      <c r="N112" s="11">
        <f t="shared" si="9"/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>
        <f>IFERROR(CalcRC27(F112,G112,K112,O112,P112,Q112,R112,S112,T112,U112,V112),"-")</f>
      </c>
      <c r="X112" t="s" s="13">
        <v>684</v>
      </c>
    </row>
    <row r="113" spans="2:24" ht="13.8" x14ac:dyDescent="0.2">
      <c r="B113" s="8">
        <f t="shared" si="10"/>
      </c>
      <c r="C113" s="10">
        <v>128</v>
      </c>
      <c r="D113" t="s" s="13">
        <v>1021</v>
      </c>
      <c r="E113" s="11">
        <f t="shared" si="11"/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</c>
      <c r="L113" s="7">
        <v>0</v>
      </c>
      <c r="M113" s="11">
        <f t="shared" si="8"/>
      </c>
      <c r="N113" s="11">
        <f t="shared" si="9"/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>
        <f>IFERROR(CalcRC27(F113,G113,K113,O113,P113,Q113,R113,S113,T113,U113,V113),"-")</f>
      </c>
      <c r="X113" t="s" s="13">
        <v>1036</v>
      </c>
    </row>
    <row r="114" spans="2:24" ht="13.8" x14ac:dyDescent="0.2">
      <c r="B114" s="8">
        <f t="shared" si="10"/>
      </c>
      <c r="C114" s="10"/>
      <c r="D114" s="8"/>
      <c r="E114" s="11">
        <f t="shared" si="11"/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</c>
      <c r="L114" s="7">
        <v>0</v>
      </c>
      <c r="M114" s="11">
        <f t="shared" si="8"/>
      </c>
      <c r="N114" s="11">
        <f t="shared" si="9"/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>
        <f>IFERROR(CalcRC27(F114,G114,K114,O114,P114,Q114,R114,S114,T114,U114,V114),"-")</f>
      </c>
      <c r="X114" s="13"/>
    </row>
    <row r="115" spans="2:24" ht="13.8" x14ac:dyDescent="0.2">
      <c r="B115" s="8">
        <f t="shared" si="10"/>
      </c>
      <c r="C115" s="10"/>
      <c r="D115" s="8"/>
      <c r="E115" s="11">
        <f t="shared" si="11"/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</c>
      <c r="L115" s="7">
        <v>0</v>
      </c>
      <c r="M115" s="11">
        <f t="shared" si="8"/>
      </c>
      <c r="N115" s="11">
        <f t="shared" si="9"/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>
        <f>IFERROR(CalcRC27(F115,G115,K115,O115,P115,Q115,R115,S115,T115,U115,V115),"-")</f>
      </c>
      <c r="X115" s="13"/>
    </row>
    <row r="116" spans="2:24" ht="13.8" x14ac:dyDescent="0.2">
      <c r="B116" s="8">
        <f t="shared" si="10"/>
      </c>
      <c r="C116" s="10"/>
      <c r="D116" s="8"/>
      <c r="E116" s="11">
        <f t="shared" si="11"/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</c>
      <c r="L116" s="7">
        <v>0</v>
      </c>
      <c r="M116" s="11">
        <f t="shared" si="8"/>
      </c>
      <c r="N116" s="11">
        <f t="shared" si="9"/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>
        <f>IFERROR(CalcRC27(F116,G116,K116,O116,P116,Q116,R116,S116,T116,U116,V116),"-")</f>
      </c>
      <c r="X116" s="13"/>
    </row>
    <row r="117" spans="2:24" ht="13.8" x14ac:dyDescent="0.2">
      <c r="B117" s="8">
        <f t="shared" si="10"/>
      </c>
      <c r="C117" s="10"/>
      <c r="D117" s="8"/>
      <c r="E117" s="11">
        <f t="shared" si="11"/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</c>
      <c r="L117" s="7">
        <v>0</v>
      </c>
      <c r="M117" s="11">
        <f t="shared" si="8"/>
      </c>
      <c r="N117" s="11">
        <f t="shared" si="9"/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>
        <f>IFERROR(CalcRC27(F117,G117,K117,O117,P117,Q117,R117,S117,T117,U117,V117),"-")</f>
      </c>
      <c r="X117" s="13"/>
    </row>
    <row r="118" spans="2:24" ht="13.8" x14ac:dyDescent="0.2">
      <c r="B118" s="8">
        <f t="shared" si="10"/>
      </c>
      <c r="C118" s="10"/>
      <c r="D118" s="8"/>
      <c r="E118" s="11">
        <f t="shared" si="11"/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</c>
      <c r="L118" s="7">
        <v>0</v>
      </c>
      <c r="M118" s="11">
        <f t="shared" si="8"/>
      </c>
      <c r="N118" s="11">
        <f t="shared" si="9"/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>
        <f>IFERROR(CalcRC27(F118,G118,K118,O118,P118,Q118,R118,S118,T118,U118,V118),"-")</f>
      </c>
      <c r="X118" s="13"/>
    </row>
    <row r="119" spans="2:24" ht="13.8" x14ac:dyDescent="0.2">
      <c r="B119" s="8">
        <f t="shared" si="10"/>
      </c>
      <c r="C119" s="10"/>
      <c r="D119" s="8"/>
      <c r="E119" s="11">
        <f t="shared" si="11"/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</c>
      <c r="L119" s="7">
        <v>0</v>
      </c>
      <c r="M119" s="11">
        <f t="shared" si="8"/>
      </c>
      <c r="N119" s="11">
        <f t="shared" si="9"/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>
        <f>IFERROR(CalcRC27(F119,G119,K119,O119,P119,Q119,R119,S119,T119,U119,V119),"-")</f>
      </c>
      <c r="X119" s="13"/>
    </row>
    <row r="120" spans="2:24" ht="13.8" x14ac:dyDescent="0.2">
      <c r="B120" s="8">
        <f t="shared" si="10"/>
      </c>
      <c r="C120" s="10"/>
      <c r="D120" s="8"/>
      <c r="E120" s="11">
        <f t="shared" si="11"/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</c>
      <c r="L120" s="7">
        <v>0</v>
      </c>
      <c r="M120" s="11">
        <f t="shared" si="8"/>
      </c>
      <c r="N120" s="11">
        <f t="shared" si="9"/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>
        <f>IFERROR(CalcRC27(F120,G120,K120,O120,P120,Q120,R120,S120,T120,U120,V120),"-")</f>
      </c>
      <c r="X120" s="13"/>
    </row>
    <row r="121" spans="2:24" ht="13.8" x14ac:dyDescent="0.2">
      <c r="B121" s="8">
        <f t="shared" si="10"/>
      </c>
      <c r="C121" s="10"/>
      <c r="D121" s="8"/>
      <c r="E121" s="11">
        <f t="shared" si="11"/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</c>
      <c r="L121" s="7">
        <v>0</v>
      </c>
      <c r="M121" s="11">
        <f t="shared" si="8"/>
      </c>
      <c r="N121" s="11">
        <f t="shared" si="9"/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>
        <f>IFERROR(CalcRC27(F121,G121,K121,O121,P121,Q121,R121,S121,T121,U121,V121),"-")</f>
      </c>
      <c r="X121" s="13"/>
    </row>
    <row r="122" spans="2:24" ht="13.8" x14ac:dyDescent="0.2">
      <c r="B122" s="8">
        <f t="shared" si="10"/>
      </c>
      <c r="C122" s="10"/>
      <c r="D122" s="8"/>
      <c r="E122" s="11">
        <f t="shared" si="11"/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</c>
      <c r="L122" s="7">
        <v>0</v>
      </c>
      <c r="M122" s="11">
        <f t="shared" si="8"/>
      </c>
      <c r="N122" s="11">
        <f t="shared" si="9"/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>
        <f>IFERROR(CalcRC27(F122,G122,K122,O122,P122,Q122,R122,S122,T122,U122,V122),"-")</f>
      </c>
      <c r="X122" s="13"/>
    </row>
    <row r="123" spans="2:24" ht="13.8" x14ac:dyDescent="0.2">
      <c r="B123" s="8">
        <f t="shared" si="10"/>
      </c>
      <c r="C123" s="10"/>
      <c r="D123" s="8"/>
      <c r="E123" s="11">
        <f t="shared" si="11"/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</c>
      <c r="L123" s="7">
        <v>0</v>
      </c>
      <c r="M123" s="11">
        <f t="shared" si="8"/>
      </c>
      <c r="N123" s="11">
        <f t="shared" si="9"/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>
        <f>IFERROR(CalcRC27(F123,G123,K123,O123,P123,Q123,R123,S123,T123,U123,V123),"-")</f>
      </c>
      <c r="X123" s="13"/>
    </row>
    <row r="124" spans="2:24" ht="13.8" x14ac:dyDescent="0.2">
      <c r="B124" s="8">
        <f t="shared" si="10"/>
      </c>
      <c r="C124" s="10"/>
      <c r="D124" s="8"/>
      <c r="E124" s="11">
        <f t="shared" si="11"/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</c>
      <c r="L124" s="7">
        <v>0</v>
      </c>
      <c r="M124" s="11">
        <f t="shared" si="8"/>
      </c>
      <c r="N124" s="11">
        <f t="shared" si="9"/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>
        <f>IFERROR(CalcRC27(F124,G124,K124,O124,P124,Q124,R124,S124,T124,U124,V124),"-")</f>
      </c>
      <c r="X124" s="13"/>
    </row>
    <row r="125" spans="2:24" ht="13.8" x14ac:dyDescent="0.2">
      <c r="B125" s="8">
        <f t="shared" si="10"/>
      </c>
      <c r="C125" s="10"/>
      <c r="D125" s="8"/>
      <c r="E125" s="11">
        <f t="shared" si="11"/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</c>
      <c r="L125" s="7">
        <v>0</v>
      </c>
      <c r="M125" s="11">
        <f t="shared" si="8"/>
      </c>
      <c r="N125" s="11">
        <f t="shared" si="9"/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>
        <f>IFERROR(CalcRC27(F125,G125,K125,O125,P125,Q125,R125,S125,T125,U125,V125),"-")</f>
      </c>
      <c r="X125" s="13"/>
    </row>
    <row r="126" spans="2:24" ht="13.8" x14ac:dyDescent="0.2">
      <c r="B126" s="8">
        <f t="shared" si="10"/>
      </c>
      <c r="C126" s="10"/>
      <c r="D126" s="8"/>
      <c r="E126" s="11">
        <f t="shared" si="11"/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</c>
      <c r="L126" s="7">
        <v>0</v>
      </c>
      <c r="M126" s="11">
        <f t="shared" si="8"/>
      </c>
      <c r="N126" s="11">
        <f t="shared" si="9"/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>
        <f>IFERROR(CalcRC27(F126,G126,K126,O126,P126,Q126,R126,S126,T126,U126,V126),"-")</f>
      </c>
      <c r="X126" s="13"/>
    </row>
    <row r="127" spans="2:24" ht="13.8" x14ac:dyDescent="0.2">
      <c r="B127" s="8">
        <f t="shared" si="10"/>
      </c>
      <c r="C127" s="10"/>
      <c r="D127" s="8"/>
      <c r="E127" s="11">
        <f t="shared" si="11"/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</c>
      <c r="L127" s="7">
        <v>0</v>
      </c>
      <c r="M127" s="11">
        <f t="shared" si="8"/>
      </c>
      <c r="N127" s="11">
        <f t="shared" si="9"/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>
        <f>IFERROR(CalcRC27(F127,G127,K127,O127,P127,Q127,R127,S127,T127,U127,V127),"-")</f>
      </c>
      <c r="X127" s="13"/>
    </row>
    <row r="128" spans="2:24" ht="13.8" x14ac:dyDescent="0.2">
      <c r="B128" s="8">
        <f t="shared" si="10"/>
      </c>
      <c r="C128" s="10"/>
      <c r="D128" s="8"/>
      <c r="E128" s="11">
        <f t="shared" si="11"/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</c>
      <c r="L128" s="7">
        <v>0</v>
      </c>
      <c r="M128" s="11">
        <f t="shared" si="8"/>
      </c>
      <c r="N128" s="11">
        <f t="shared" si="9"/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>
        <f>IFERROR(CalcRC27(F128,G128,K128,O128,P128,Q128,R128,S128,T128,U128,V128),"-")</f>
      </c>
      <c r="X128" s="13"/>
    </row>
    <row r="129" spans="2:24" ht="13.8" x14ac:dyDescent="0.2">
      <c r="B129" s="8">
        <f t="shared" si="10"/>
      </c>
      <c r="C129" s="10"/>
      <c r="D129" s="8"/>
      <c r="E129" s="11">
        <f t="shared" si="11"/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</c>
      <c r="L129" s="7">
        <v>0</v>
      </c>
      <c r="M129" s="11">
        <f t="shared" si="8"/>
      </c>
      <c r="N129" s="11">
        <f t="shared" si="9"/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>
        <f>IFERROR(CalcRC27(F129,G129,K129,O129,P129,Q129,R129,S129,T129,U129,V129),"-")</f>
      </c>
      <c r="X129" s="13"/>
    </row>
    <row r="130" spans="2:24" ht="13.8" x14ac:dyDescent="0.2">
      <c r="B130" s="8">
        <f t="shared" si="10"/>
      </c>
      <c r="C130" s="10"/>
      <c r="D130" s="8"/>
      <c r="E130" s="11">
        <f t="shared" si="11"/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</c>
      <c r="L130" s="7">
        <v>0</v>
      </c>
      <c r="M130" s="11">
        <f t="shared" si="8"/>
      </c>
      <c r="N130" s="11">
        <f t="shared" si="9"/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>
        <f>IFERROR(CalcRC27(F130,G130,K130,O130,P130,Q130,R130,S130,T130,U130,V130),"-")</f>
      </c>
      <c r="X130" s="13"/>
    </row>
    <row r="131" spans="2:24" ht="13.8" x14ac:dyDescent="0.2">
      <c r="B131" s="8">
        <f t="shared" si="10"/>
      </c>
      <c r="C131" s="10"/>
      <c r="D131" s="8"/>
      <c r="E131" s="11">
        <f t="shared" si="11"/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</c>
      <c r="L131" s="7">
        <v>0</v>
      </c>
      <c r="M131" s="11">
        <f t="shared" si="8"/>
      </c>
      <c r="N131" s="11">
        <f t="shared" si="9"/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>
        <f>IFERROR(CalcRC27(F131,G131,K131,O131,P131,Q131,R131,S131,T131,U131,V131),"-")</f>
      </c>
      <c r="X131" s="13"/>
    </row>
    <row r="132" spans="2:24" ht="13.8" x14ac:dyDescent="0.2">
      <c r="B132" s="8">
        <f t="shared" si="10"/>
      </c>
      <c r="C132" s="10"/>
      <c r="D132" s="8"/>
      <c r="E132" s="11">
        <f t="shared" si="11"/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</c>
      <c r="L132" s="7">
        <v>0</v>
      </c>
      <c r="M132" s="11">
        <f t="shared" ref="M132:M134" si="13">IFERROR(IF((G132+P132+Q132)/(F132+P132+Q132+S132)=1,"1.00",(G132+P132+Q132)/(F132+P132+Q132+S132)),0)</f>
      </c>
      <c r="N132" s="11">
        <f t="shared" ref="N132:N134" si="14">IFERROR(SUM(K132/F132,((G132+P132+Q132)/(F132+P132+Q132+S132))),M132)</f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>
        <f>IFERROR(CalcRC27(F132,G132,K132,O132,P132,Q132,R132,S132,T132,U132,V132),"-")</f>
      </c>
      <c r="X132" s="13"/>
    </row>
    <row r="133" spans="2:24" ht="13.8" x14ac:dyDescent="0.2">
      <c r="B133" s="8">
        <f t="shared" ref="B133:B134" si="15">IF(C133="","",C133)</f>
      </c>
      <c r="C133" s="10"/>
      <c r="D133" s="8"/>
      <c r="E133" s="11">
        <f t="shared" ref="E133:E134" si="16">IFERROR(IF(G133/F133=1,"1.00",G133/F133),"---")</f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</c>
      <c r="L133" s="7">
        <v>0</v>
      </c>
      <c r="M133" s="11">
        <f t="shared" si="13"/>
      </c>
      <c r="N133" s="11">
        <f t="shared" si="14"/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>
        <f>IFERROR(CalcRC27(F133,G133,K133,O133,P133,Q133,R133,S133,T133,U133,V133),"-")</f>
      </c>
      <c r="X133" s="13"/>
    </row>
    <row r="134" spans="2:24" ht="13.8" x14ac:dyDescent="0.2">
      <c r="B134" s="8">
        <f t="shared" si="15"/>
      </c>
      <c r="C134" s="10"/>
      <c r="D134" s="8"/>
      <c r="E134" s="11">
        <f t="shared" si="16"/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</c>
      <c r="L134" s="7">
        <v>0</v>
      </c>
      <c r="M134" s="11">
        <f t="shared" si="13"/>
      </c>
      <c r="N134" s="11">
        <f t="shared" si="14"/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>
        <f>IFERROR(CalcRC27(F134,G134,K134,O134,P134,Q134,R134,S134,T134,U134,V134),"-")</f>
      </c>
      <c r="X134" s="13"/>
    </row>
  </sheetData>
  <mergeCells count="2">
    <mergeCell ref="X2:X3"/>
    <mergeCell ref="B2:D2"/>
  </mergeCells>
  <phoneticPr fontId="1"/>
  <pageMargins left="0.7" right="0.7" top="0.75" bottom="0.75" header="0.3" footer="0.3"/>
  <ignoredErrors>
    <ignoredError sqref="L2 F2:G2 J2" formulaRange="1"/>
    <ignoredError sqref="M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78C3-0D30-45AE-8AB7-6D73231D05C8}">
  <sheetPr codeName="Sheet11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2"/>
      <c r="C2" s="122"/>
      <c r="D2" s="122"/>
      <c r="E2" s="4">
        <f>IFERROR(G2/F2,0)</f>
      </c>
      <c r="F2" s="5">
        <f t="shared" ref="F2:L2" si="0">SUM(F4:F104)</f>
      </c>
      <c r="G2" s="5">
        <f t="shared" si="0"/>
      </c>
      <c r="H2" s="5">
        <f t="shared" si="0"/>
      </c>
      <c r="I2" s="5">
        <f t="shared" si="0"/>
      </c>
      <c r="J2" s="6">
        <f t="shared" si="0"/>
      </c>
      <c r="K2" s="12">
        <f t="shared" si="0"/>
      </c>
      <c r="L2" s="7">
        <f t="shared" si="0"/>
      </c>
      <c r="M2" s="11">
        <f>IFERROR(IF((G2+P2+Q2)/(F2+P2+Q2+R2)=1,"1.00",(G2+P2+Q2)/(F2+P2+Q2+R2)),0)</f>
      </c>
      <c r="N2" s="11">
        <f>IFERROR(SUM(SUM(((G2-H2-I2-J2)*1),H2*2,I2*3,J2*4)/F2,((G2+P2+Q2)/(F2+P2+Q2+R2))),M2)</f>
      </c>
      <c r="O2" s="5">
        <f>SUM(O4:O104)</f>
      </c>
      <c r="P2" s="5">
        <f>SUM(P4:P104)</f>
      </c>
      <c r="Q2" s="5">
        <f>SUM(Q4:Q104)</f>
      </c>
      <c r="R2" s="5">
        <f>SUM(R4:R104)</f>
      </c>
      <c r="S2" s="5">
        <f>SUM(S4:S104)</f>
      </c>
      <c r="T2" s="5">
        <f t="shared" ref="T2:V2" si="1">SUM(T4:T104)</f>
      </c>
      <c r="U2" s="5">
        <f t="shared" si="1"/>
      </c>
      <c r="V2" s="5">
        <f t="shared" si="1"/>
      </c>
      <c r="W2" s="20">
        <f>IFERROR(CalcRC27(F2,G2,K2,O2,P2,Q2,R2,S2,T2,U2,V2),"-")</f>
      </c>
      <c r="X2" t="s" s="121">
        <v>229</v>
      </c>
    </row>
    <row r="3" spans="2:24" x14ac:dyDescent="0.2">
      <c r="B3" t="s" s="55">
        <v>841</v>
      </c>
      <c r="C3" t="s" s="56">
        <v>1039</v>
      </c>
      <c r="D3" t="s" s="56">
        <v>1040</v>
      </c>
      <c r="E3" t="s" s="57">
        <v>56</v>
      </c>
      <c r="F3" t="s" s="58">
        <v>0</v>
      </c>
      <c r="G3" t="s" s="55">
        <v>1</v>
      </c>
      <c r="H3" t="s" s="55">
        <v>360</v>
      </c>
      <c r="I3" t="s" s="55">
        <v>361</v>
      </c>
      <c r="J3" t="s" s="59">
        <v>1041</v>
      </c>
      <c r="K3" t="s" s="55">
        <v>983</v>
      </c>
      <c r="L3" t="s" s="60">
        <v>2</v>
      </c>
      <c r="M3" t="s" s="61">
        <v>359</v>
      </c>
      <c r="N3" t="s" s="57">
        <v>362</v>
      </c>
      <c r="O3" t="s" s="62">
        <v>978</v>
      </c>
      <c r="P3" t="s" s="55">
        <v>234</v>
      </c>
      <c r="Q3" t="s" s="55">
        <v>235</v>
      </c>
      <c r="R3" t="s" s="55">
        <v>976</v>
      </c>
      <c r="S3" t="s" s="55">
        <v>977</v>
      </c>
      <c r="T3" t="s" s="55">
        <v>979</v>
      </c>
      <c r="U3" t="s" s="55">
        <v>980</v>
      </c>
      <c r="V3" t="s" s="55">
        <v>981</v>
      </c>
      <c r="W3" t="s" s="55">
        <v>982</v>
      </c>
      <c r="X3" s="121"/>
    </row>
    <row r="4" spans="2:24" ht="13.8" x14ac:dyDescent="0.2">
      <c r="B4" s="8">
        <f>IF(C4="","",C4)</f>
      </c>
      <c r="C4" t="s" s="10">
        <v>173</v>
      </c>
      <c r="D4" t="s" s="13">
        <v>7</v>
      </c>
      <c r="E4" s="11">
        <f>IFERROR(IF(G4/F4=1,"1.00",G4/F4),"---")</f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2">((G4-H4-I4-J4)+(H4*2)+(I4*3)+(J4*4))</f>
      </c>
      <c r="L4" s="7">
        <v>0</v>
      </c>
      <c r="M4" s="11">
        <f t="shared" ref="M4:M67" si="3">IFERROR(IF((G4+P4+Q4)/(F4+P4+Q4+S4)=1,"1.00",(G4+P4+Q4)/(F4+P4+Q4+S4)),0)</f>
      </c>
      <c r="N4" s="11">
        <f t="shared" ref="N4:N67" si="4">IFERROR(SUM(K4/F4,((G4+P4+Q4)/(F4+P4+Q4+S4))),M4)</f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>
        <f>IFERROR(CalcRC27(F4,G4,K4,O4,P4,Q4,R4,S4,T4,U4,V4),"-")</f>
      </c>
      <c r="X4" t="s" s="13">
        <v>1042</v>
      </c>
    </row>
    <row r="5" spans="2:24" ht="13.8" x14ac:dyDescent="0.2">
      <c r="B5" s="8">
        <f t="shared" ref="B5:B68" si="5">IF(C5="","",C5)</f>
      </c>
      <c r="C5" s="10">
        <v>0</v>
      </c>
      <c r="D5" t="s" s="13">
        <v>41</v>
      </c>
      <c r="E5" s="11">
        <f t="shared" ref="E5:E68" si="6">IFERROR(IF(G5/F5=1,"1.00",G5/F5),"---")</f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2"/>
      </c>
      <c r="L5" s="7">
        <v>0</v>
      </c>
      <c r="M5" s="11">
        <f t="shared" si="3"/>
      </c>
      <c r="N5" s="11">
        <f t="shared" si="4"/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>
        <f>IFERROR(CalcRC27(F5,G5,K5,O5,P5,Q5,R5,S5,T5,U5,V5),"-")</f>
      </c>
      <c r="X5" t="s" s="13">
        <v>1043</v>
      </c>
    </row>
    <row r="6" spans="2:24" ht="13.8" x14ac:dyDescent="0.2">
      <c r="B6" s="8">
        <f t="shared" si="5"/>
      </c>
      <c r="C6" s="10">
        <v>1</v>
      </c>
      <c r="D6" s="13"/>
      <c r="E6" s="11">
        <f t="shared" si="6"/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ref="K6:K69" si="7">((G6-H6-I6-J6)+(H6*2)+(I6*3)+(J6*4))</f>
      </c>
      <c r="L6" s="7">
        <v>0</v>
      </c>
      <c r="M6" s="11">
        <f t="shared" ref="M6:M69" si="8">IFERROR(IF((G6+P6+Q6)/(F6+P6+Q6+S6)=1,"1.00",(G6+P6+Q6)/(F6+P6+Q6+S6)),0)</f>
      </c>
      <c r="N6" s="11">
        <f t="shared" ref="N6:N69" si="9">IFERROR(SUM(K6/F6,((G6+P6+Q6)/(F6+P6+Q6+S6))),M6)</f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>
        <f>IFERROR(CalcRC27(F6,G6,K6,O6,P6,Q6,R6,S6,T6,U6,V6),"-")</f>
      </c>
      <c r="X6" s="13"/>
    </row>
    <row r="7" spans="2:24" ht="13.8" x14ac:dyDescent="0.2">
      <c r="B7" s="8">
        <f t="shared" si="5"/>
      </c>
      <c r="C7" s="10">
        <v>2</v>
      </c>
      <c r="D7" t="s" s="13">
        <v>1044</v>
      </c>
      <c r="E7" s="11">
        <f t="shared" si="6"/>
      </c>
      <c r="F7" s="5">
        <v>3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</c>
      <c r="L7" s="7">
        <v>0</v>
      </c>
      <c r="M7" s="11">
        <f t="shared" si="8"/>
      </c>
      <c r="N7" s="11">
        <f t="shared" si="9"/>
      </c>
      <c r="O7" s="20">
        <v>1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>
        <f>IFERROR(CalcRC27(F7,G7,K7,O7,P7,Q7,R7,S7,T7,U7,V7),"-")</f>
      </c>
      <c r="X7" t="s" s="13">
        <v>1045</v>
      </c>
    </row>
    <row r="8" spans="2:24" ht="13.8" x14ac:dyDescent="0.2">
      <c r="B8" s="8">
        <f t="shared" si="5"/>
      </c>
      <c r="C8" s="10">
        <v>3</v>
      </c>
      <c r="D8" s="13"/>
      <c r="E8" s="11">
        <f t="shared" si="6"/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</c>
      <c r="L8" s="7">
        <v>0</v>
      </c>
      <c r="M8" s="11">
        <f t="shared" si="8"/>
      </c>
      <c r="N8" s="11">
        <f t="shared" si="9"/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>
        <f>IFERROR(CalcRC27(F8,G8,K8,O8,P8,Q8,R8,S8,T8,U8,V8),"-")</f>
      </c>
      <c r="X8" s="13"/>
    </row>
    <row r="9" spans="2:24" ht="13.8" x14ac:dyDescent="0.2">
      <c r="B9" s="8">
        <f t="shared" si="5"/>
      </c>
      <c r="C9" s="10">
        <v>4</v>
      </c>
      <c r="D9" s="13"/>
      <c r="E9" s="11">
        <f t="shared" si="6"/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</c>
      <c r="L9" s="7">
        <v>0</v>
      </c>
      <c r="M9" s="11">
        <f t="shared" si="8"/>
      </c>
      <c r="N9" s="11">
        <f t="shared" si="9"/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>
        <f>IFERROR(CalcRC27(F9,G9,K9,O9,P9,Q9,R9,S9,T9,U9,V9),"-")</f>
      </c>
      <c r="X9" s="13"/>
    </row>
    <row r="10" spans="2:24" ht="13.8" x14ac:dyDescent="0.2">
      <c r="B10" s="8">
        <f t="shared" si="5"/>
      </c>
      <c r="C10" s="10">
        <v>5</v>
      </c>
      <c r="D10" t="s" s="13">
        <v>1046</v>
      </c>
      <c r="E10" s="11">
        <f t="shared" si="6"/>
      </c>
      <c r="F10" s="5">
        <v>1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</c>
      <c r="L10" s="7">
        <v>0</v>
      </c>
      <c r="M10" s="11">
        <f t="shared" si="8"/>
      </c>
      <c r="N10" s="11">
        <f t="shared" si="9"/>
      </c>
      <c r="O10" s="20">
        <v>0</v>
      </c>
      <c r="P10" s="21">
        <v>0</v>
      </c>
      <c r="Q10" s="21">
        <v>0</v>
      </c>
      <c r="R10" s="22">
        <v>1</v>
      </c>
      <c r="S10" s="22">
        <v>0</v>
      </c>
      <c r="T10" s="20">
        <v>0</v>
      </c>
      <c r="U10" s="20">
        <v>0</v>
      </c>
      <c r="V10" s="20">
        <v>1</v>
      </c>
      <c r="W10" s="63">
        <f>IFERROR(CalcRC27(F10,G10,K10,O10,P10,Q10,R10,S10,T10,U10,V10),"-")</f>
      </c>
      <c r="X10" t="s" s="13">
        <v>1047</v>
      </c>
    </row>
    <row r="11" spans="2:24" ht="13.8" x14ac:dyDescent="0.2">
      <c r="B11" s="8">
        <f t="shared" si="5"/>
      </c>
      <c r="C11" s="10">
        <v>6</v>
      </c>
      <c r="D11" t="s" s="13">
        <v>1745</v>
      </c>
      <c r="E11" s="11">
        <f t="shared" si="6"/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</c>
      <c r="L11" s="7">
        <v>0</v>
      </c>
      <c r="M11" s="11">
        <f t="shared" si="8"/>
      </c>
      <c r="N11" s="11">
        <f t="shared" si="9"/>
      </c>
      <c r="O11" s="20">
        <v>0</v>
      </c>
      <c r="P11" s="21">
        <v>0</v>
      </c>
      <c r="Q11" s="21">
        <v>0</v>
      </c>
      <c r="R11" s="22">
        <v>1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</c>
      <c r="X11" t="s" s="13">
        <v>1048</v>
      </c>
    </row>
    <row r="12" spans="2:24" ht="13.8" x14ac:dyDescent="0.2">
      <c r="B12" s="8">
        <f t="shared" si="5"/>
      </c>
      <c r="C12" s="10">
        <v>7</v>
      </c>
      <c r="D12" t="s" s="13">
        <v>1049</v>
      </c>
      <c r="E12" s="11">
        <f t="shared" si="6"/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</c>
      <c r="L12" s="7">
        <v>0</v>
      </c>
      <c r="M12" s="11">
        <f t="shared" si="8"/>
      </c>
      <c r="N12" s="11">
        <f t="shared" si="9"/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>
        <f>IFERROR(CalcRC27(F12,G12,K12,O12,P12,Q12,R12,S12,T12,U12,V12),"-")</f>
      </c>
      <c r="X12" t="s" s="13">
        <v>1050</v>
      </c>
    </row>
    <row r="13" spans="2:24" ht="13.8" x14ac:dyDescent="0.2">
      <c r="B13" s="8">
        <f t="shared" si="5"/>
      </c>
      <c r="C13" s="10">
        <v>8</v>
      </c>
      <c r="D13" t="s" s="13">
        <v>4</v>
      </c>
      <c r="E13" s="11">
        <f t="shared" si="6"/>
      </c>
      <c r="F13" s="5">
        <v>1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</c>
      <c r="L13" s="7">
        <v>0</v>
      </c>
      <c r="M13" s="11">
        <f t="shared" si="8"/>
      </c>
      <c r="N13" s="11">
        <f t="shared" si="9"/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</c>
      <c r="X13" t="s" s="13">
        <v>1051</v>
      </c>
    </row>
    <row r="14" spans="2:24" ht="13.8" x14ac:dyDescent="0.2">
      <c r="B14" s="8">
        <f t="shared" si="5"/>
      </c>
      <c r="C14" s="10">
        <v>9</v>
      </c>
      <c r="D14" s="13"/>
      <c r="E14" s="11">
        <f t="shared" si="6"/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</c>
      <c r="L14" s="7">
        <v>0</v>
      </c>
      <c r="M14" s="11">
        <f t="shared" si="8"/>
      </c>
      <c r="N14" s="11">
        <f t="shared" si="9"/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>
        <f>IFERROR(CalcRC27(F14,G14,K14,O14,P14,Q14,R14,S14,T14,U14,V14),"-")</f>
      </c>
      <c r="X14" s="13"/>
    </row>
    <row r="15" spans="2:24" ht="13.8" x14ac:dyDescent="0.2">
      <c r="B15" s="8">
        <f t="shared" si="5"/>
      </c>
      <c r="C15" s="10">
        <v>10</v>
      </c>
      <c r="D15" s="13"/>
      <c r="E15" s="11">
        <f t="shared" si="6"/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</c>
      <c r="L15" s="7">
        <v>0</v>
      </c>
      <c r="M15" s="11">
        <f t="shared" si="8"/>
      </c>
      <c r="N15" s="11">
        <f t="shared" si="9"/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</c>
      <c r="X15" s="13"/>
    </row>
    <row r="16" spans="2:24" ht="13.8" x14ac:dyDescent="0.2">
      <c r="B16" s="8">
        <f t="shared" si="5"/>
      </c>
      <c r="C16" s="10">
        <v>11</v>
      </c>
      <c r="D16" t="s" s="13">
        <v>177</v>
      </c>
      <c r="E16" s="11">
        <f t="shared" si="6"/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</c>
      <c r="L16" s="7">
        <v>0</v>
      </c>
      <c r="M16" s="11">
        <f t="shared" si="8"/>
      </c>
      <c r="N16" s="11">
        <f t="shared" si="9"/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</c>
      <c r="X16" t="s" s="13">
        <v>1052</v>
      </c>
    </row>
    <row r="17" spans="2:24" ht="13.8" x14ac:dyDescent="0.2">
      <c r="B17" s="8">
        <f t="shared" si="5"/>
      </c>
      <c r="C17" s="10">
        <v>12</v>
      </c>
      <c r="D17" t="s" s="13">
        <v>1053</v>
      </c>
      <c r="E17" s="11">
        <f t="shared" si="6"/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</c>
      <c r="L17" s="7">
        <v>0</v>
      </c>
      <c r="M17" s="11">
        <f t="shared" si="8"/>
      </c>
      <c r="N17" s="11">
        <f t="shared" si="9"/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>
        <f>IFERROR(CalcRC27(F17,G17,K17,O17,P17,Q17,R17,S17,T17,U17,V17),"-")</f>
      </c>
      <c r="X17" t="s" s="13">
        <v>1054</v>
      </c>
    </row>
    <row r="18" spans="2:24" ht="13.8" x14ac:dyDescent="0.2">
      <c r="B18" s="8">
        <f t="shared" si="5"/>
      </c>
      <c r="C18" s="10">
        <v>13</v>
      </c>
      <c r="D18" t="s" s="13">
        <v>174</v>
      </c>
      <c r="E18" s="11">
        <f t="shared" si="6"/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</c>
      <c r="L18" s="7">
        <v>0</v>
      </c>
      <c r="M18" s="11">
        <f t="shared" si="8"/>
      </c>
      <c r="N18" s="11">
        <f t="shared" si="9"/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>
        <f>IFERROR(CalcRC27(F18,G18,K18,O18,P18,Q18,R18,S18,T18,U18,V18),"-")</f>
      </c>
      <c r="X18" t="s" s="13">
        <v>1055</v>
      </c>
    </row>
    <row r="19" spans="2:24" ht="13.8" x14ac:dyDescent="0.2">
      <c r="B19" s="8">
        <f t="shared" si="5"/>
      </c>
      <c r="C19" s="10">
        <v>14</v>
      </c>
      <c r="D19" s="13"/>
      <c r="E19" s="11">
        <f t="shared" si="6"/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</c>
      <c r="L19" s="7">
        <v>0</v>
      </c>
      <c r="M19" s="11">
        <f t="shared" si="8"/>
      </c>
      <c r="N19" s="11">
        <f t="shared" si="9"/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>
        <f>IFERROR(CalcRC27(F19,G19,K19,O19,P19,Q19,R19,S19,T19,U19,V19),"-")</f>
      </c>
      <c r="X19" s="13"/>
    </row>
    <row r="20" spans="2:24" ht="13.8" x14ac:dyDescent="0.2">
      <c r="B20" s="8">
        <f t="shared" si="5"/>
      </c>
      <c r="C20" s="10">
        <v>15</v>
      </c>
      <c r="D20" t="s" s="13">
        <v>1056</v>
      </c>
      <c r="E20" s="11">
        <f t="shared" si="6"/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</c>
      <c r="L20" s="7">
        <v>0</v>
      </c>
      <c r="M20" s="11">
        <f t="shared" si="8"/>
      </c>
      <c r="N20" s="11">
        <f t="shared" si="9"/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>
        <f>IFERROR(CalcRC27(F20,G20,K20,O20,P20,Q20,R20,S20,T20,U20,V20),"-")</f>
      </c>
      <c r="X20" t="s" s="13">
        <v>1056</v>
      </c>
    </row>
    <row r="21" spans="2:24" ht="13.8" x14ac:dyDescent="0.2">
      <c r="B21" s="8">
        <f t="shared" si="5"/>
      </c>
      <c r="C21" s="10">
        <v>16</v>
      </c>
      <c r="D21" s="13"/>
      <c r="E21" s="11">
        <f t="shared" si="6"/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</c>
      <c r="L21" s="7">
        <v>0</v>
      </c>
      <c r="M21" s="11">
        <f t="shared" si="8"/>
      </c>
      <c r="N21" s="11">
        <f t="shared" si="9"/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</c>
      <c r="X21" s="13"/>
    </row>
    <row r="22" spans="2:24" ht="13.8" x14ac:dyDescent="0.2">
      <c r="B22" s="8">
        <f t="shared" si="5"/>
      </c>
      <c r="C22" s="10">
        <v>17</v>
      </c>
      <c r="D22" t="s" s="13">
        <v>1180</v>
      </c>
      <c r="E22" s="11">
        <f t="shared" si="6"/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</c>
      <c r="L22" s="7">
        <v>0</v>
      </c>
      <c r="M22" s="11">
        <f t="shared" si="8"/>
      </c>
      <c r="N22" s="11">
        <f t="shared" si="9"/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>
        <f>IFERROR(CalcRC27(F22,G22,K22,O22,P22,Q22,R22,S22,T22,U22,V22),"-")</f>
      </c>
      <c r="X22" t="s" s="13">
        <v>1057</v>
      </c>
    </row>
    <row r="23" spans="2:24" ht="13.8" x14ac:dyDescent="0.2">
      <c r="B23" s="8">
        <f t="shared" si="5"/>
      </c>
      <c r="C23" s="10">
        <v>18</v>
      </c>
      <c r="D23" t="s" s="13">
        <v>1772</v>
      </c>
      <c r="E23" s="11">
        <f t="shared" si="6"/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</c>
      <c r="L23" s="7">
        <v>0</v>
      </c>
      <c r="M23" s="11">
        <f t="shared" si="8"/>
      </c>
      <c r="N23" s="11">
        <f t="shared" si="9"/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</c>
      <c r="X23" t="s" s="13">
        <v>1058</v>
      </c>
    </row>
    <row r="24" spans="2:24" ht="13.8" x14ac:dyDescent="0.2">
      <c r="B24" s="8">
        <f t="shared" si="5"/>
      </c>
      <c r="C24" s="10">
        <v>19</v>
      </c>
      <c r="D24" t="s" s="13">
        <v>1189</v>
      </c>
      <c r="E24" s="11">
        <f t="shared" si="6"/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</c>
      <c r="L24" s="7">
        <v>0</v>
      </c>
      <c r="M24" s="11">
        <f t="shared" si="8"/>
      </c>
      <c r="N24" s="11">
        <f t="shared" si="9"/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</c>
      <c r="X24" t="s" s="13">
        <v>1059</v>
      </c>
    </row>
    <row r="25" spans="2:24" ht="13.8" x14ac:dyDescent="0.2">
      <c r="B25" s="8">
        <f t="shared" si="5"/>
      </c>
      <c r="C25" s="10">
        <v>20</v>
      </c>
      <c r="D25" t="s" s="13">
        <v>175</v>
      </c>
      <c r="E25" s="11">
        <f t="shared" si="6"/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</c>
      <c r="L25" s="7">
        <v>0</v>
      </c>
      <c r="M25" s="11">
        <f t="shared" si="8"/>
      </c>
      <c r="N25" s="11">
        <f t="shared" si="9"/>
      </c>
      <c r="O25" s="20">
        <v>0</v>
      </c>
      <c r="P25" s="21">
        <v>0</v>
      </c>
      <c r="Q25" s="21">
        <v>0</v>
      </c>
      <c r="R25" s="22">
        <v>1</v>
      </c>
      <c r="S25" s="22">
        <v>0</v>
      </c>
      <c r="T25" s="20">
        <v>0</v>
      </c>
      <c r="U25" s="20">
        <v>0</v>
      </c>
      <c r="V25" s="20">
        <v>0</v>
      </c>
      <c r="W25" s="63">
        <f>IFERROR(CalcRC27(F25,G25,K25,O25,P25,Q25,R25,S25,T25,U25,V25),"-")</f>
      </c>
      <c r="X25" t="s" s="13">
        <v>1060</v>
      </c>
    </row>
    <row r="26" spans="2:24" ht="13.8" x14ac:dyDescent="0.2">
      <c r="B26" s="8">
        <f t="shared" si="5"/>
      </c>
      <c r="C26" s="10">
        <v>21</v>
      </c>
      <c r="D26" s="13"/>
      <c r="E26" s="11">
        <f t="shared" si="6"/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</c>
      <c r="L26" s="7">
        <v>0</v>
      </c>
      <c r="M26" s="11">
        <f t="shared" si="8"/>
      </c>
      <c r="N26" s="11">
        <f t="shared" si="9"/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>
        <f>IFERROR(CalcRC27(F26,G26,K26,O26,P26,Q26,R26,S26,T26,U26,V26),"-")</f>
      </c>
      <c r="X26" s="13"/>
    </row>
    <row r="27" spans="2:24" ht="13.8" x14ac:dyDescent="0.2">
      <c r="B27" s="8">
        <f t="shared" si="5"/>
      </c>
      <c r="C27" s="10">
        <v>22</v>
      </c>
      <c r="D27" t="s" s="13">
        <v>1571</v>
      </c>
      <c r="E27" s="11">
        <f t="shared" si="6"/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</c>
      <c r="L27" s="7">
        <v>0</v>
      </c>
      <c r="M27" s="11">
        <f t="shared" si="8"/>
      </c>
      <c r="N27" s="11">
        <f t="shared" si="9"/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>
        <f>IFERROR(CalcRC27(F27,G27,K27,O27,P27,Q27,R27,S27,T27,U27,V27),"-")</f>
      </c>
      <c r="X27" t="s" s="13">
        <v>1061</v>
      </c>
    </row>
    <row r="28" spans="2:24" ht="13.8" x14ac:dyDescent="0.2">
      <c r="B28" s="8">
        <f t="shared" si="5"/>
      </c>
      <c r="C28" s="10">
        <v>23</v>
      </c>
      <c r="D28" t="s" s="13">
        <v>2018</v>
      </c>
      <c r="E28" s="11">
        <f t="shared" si="6"/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</c>
      <c r="L28" s="7">
        <v>0</v>
      </c>
      <c r="M28" s="11">
        <f t="shared" si="8"/>
      </c>
      <c r="N28" s="11">
        <f t="shared" si="9"/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>
        <f>IFERROR(CalcRC27(F28,G28,K28,O28,P28,Q28,R28,S28,T28,U28,V28),"-")</f>
      </c>
      <c r="X28" t="s" s="13">
        <v>2019</v>
      </c>
    </row>
    <row r="29" spans="2:24" ht="13.8" x14ac:dyDescent="0.2">
      <c r="B29" s="8">
        <f t="shared" si="5"/>
      </c>
      <c r="C29" s="10">
        <v>24</v>
      </c>
      <c r="D29" t="s" s="13">
        <v>1556</v>
      </c>
      <c r="E29" s="11">
        <f t="shared" si="6"/>
      </c>
      <c r="F29" s="5">
        <v>1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</c>
      <c r="L29" s="7">
        <v>0</v>
      </c>
      <c r="M29" s="11">
        <f t="shared" si="8"/>
      </c>
      <c r="N29" s="11">
        <f t="shared" si="9"/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1</v>
      </c>
      <c r="W29" s="63">
        <f>IFERROR(CalcRC27(F29,G29,K29,O29,P29,Q29,R29,S29,T29,U29,V29),"-")</f>
      </c>
      <c r="X29" t="s" s="13">
        <v>1062</v>
      </c>
    </row>
    <row r="30" spans="2:24" ht="13.8" x14ac:dyDescent="0.2">
      <c r="B30" s="8">
        <f t="shared" si="5"/>
      </c>
      <c r="C30" s="10">
        <v>25</v>
      </c>
      <c r="D30" t="s" s="13">
        <v>1063</v>
      </c>
      <c r="E30" s="11">
        <f t="shared" si="6"/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</c>
      <c r="L30" s="7">
        <v>0</v>
      </c>
      <c r="M30" s="11">
        <f t="shared" si="8"/>
      </c>
      <c r="N30" s="11">
        <f t="shared" si="9"/>
      </c>
      <c r="O30" s="20">
        <v>0</v>
      </c>
      <c r="P30" s="21">
        <v>1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</c>
      <c r="X30" t="s" s="13">
        <v>1064</v>
      </c>
    </row>
    <row r="31" spans="2:24" ht="13.8" x14ac:dyDescent="0.2">
      <c r="B31" s="8">
        <f t="shared" si="5"/>
      </c>
      <c r="C31" s="10">
        <v>26</v>
      </c>
      <c r="D31" t="s" s="13">
        <v>176</v>
      </c>
      <c r="E31" s="11">
        <f t="shared" si="6"/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</c>
      <c r="L31" s="7">
        <v>0</v>
      </c>
      <c r="M31" s="11">
        <f t="shared" si="8"/>
      </c>
      <c r="N31" s="11">
        <f t="shared" si="9"/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>
        <f>IFERROR(CalcRC27(F31,G31,K31,O31,P31,Q31,R31,S31,T31,U31,V31),"-")</f>
      </c>
      <c r="X31" t="s" s="13">
        <v>1065</v>
      </c>
    </row>
    <row r="32" spans="2:24" ht="13.8" x14ac:dyDescent="0.2">
      <c r="B32" s="8">
        <f t="shared" si="5"/>
      </c>
      <c r="C32" s="10">
        <v>27</v>
      </c>
      <c r="D32" t="s" s="13">
        <v>1066</v>
      </c>
      <c r="E32" s="11">
        <f t="shared" si="6"/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</c>
      <c r="L32" s="7">
        <v>0</v>
      </c>
      <c r="M32" s="11">
        <f t="shared" si="8"/>
      </c>
      <c r="N32" s="11">
        <f t="shared" si="9"/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</c>
      <c r="X32" t="s" s="13">
        <v>1067</v>
      </c>
    </row>
    <row r="33" spans="2:24" ht="13.8" x14ac:dyDescent="0.2">
      <c r="B33" s="8">
        <f t="shared" si="5"/>
      </c>
      <c r="C33" s="10">
        <v>28</v>
      </c>
      <c r="D33" t="s" s="13">
        <v>1068</v>
      </c>
      <c r="E33" s="11">
        <f t="shared" si="6"/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</c>
      <c r="L33" s="7">
        <v>0</v>
      </c>
      <c r="M33" s="11">
        <f t="shared" si="8"/>
      </c>
      <c r="N33" s="11">
        <f t="shared" si="9"/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</c>
      <c r="X33" t="s" s="13">
        <v>1069</v>
      </c>
    </row>
    <row r="34" spans="2:24" ht="13.8" x14ac:dyDescent="0.2">
      <c r="B34" s="8">
        <f t="shared" si="5"/>
      </c>
      <c r="C34" s="10">
        <v>29</v>
      </c>
      <c r="D34" t="s" s="13">
        <v>1070</v>
      </c>
      <c r="E34" s="11">
        <f t="shared" si="6"/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</c>
      <c r="L34" s="7">
        <v>0</v>
      </c>
      <c r="M34" s="11">
        <f t="shared" si="8"/>
      </c>
      <c r="N34" s="11">
        <f t="shared" si="9"/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>
        <f>IFERROR(CalcRC27(F34,G34,K34,O34,P34,Q34,R34,S34,T34,U34,V34),"-")</f>
      </c>
      <c r="X34" t="s" s="13">
        <v>1928</v>
      </c>
    </row>
    <row r="35" spans="2:24" ht="13.8" x14ac:dyDescent="0.2">
      <c r="B35" s="8">
        <f t="shared" si="5"/>
      </c>
      <c r="C35" s="10">
        <v>30</v>
      </c>
      <c r="D35" t="s" s="13">
        <v>1300</v>
      </c>
      <c r="E35" s="11">
        <f t="shared" si="6"/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</c>
      <c r="L35" s="7">
        <v>0</v>
      </c>
      <c r="M35" s="11">
        <f t="shared" si="8"/>
      </c>
      <c r="N35" s="11">
        <f t="shared" si="9"/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>
        <f>IFERROR(CalcRC27(F35,G35,K35,O35,P35,Q35,R35,S35,T35,U35,V35),"-")</f>
      </c>
      <c r="X35" t="s" s="13">
        <v>1258</v>
      </c>
    </row>
    <row r="36" spans="2:24" ht="13.8" x14ac:dyDescent="0.2">
      <c r="B36" s="8">
        <f t="shared" si="5"/>
      </c>
      <c r="C36" s="10">
        <v>31</v>
      </c>
      <c r="D36" t="s" s="13">
        <v>1071</v>
      </c>
      <c r="E36" s="11">
        <f t="shared" si="6"/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</c>
      <c r="L36" s="7">
        <v>0</v>
      </c>
      <c r="M36" s="11">
        <f t="shared" si="8"/>
      </c>
      <c r="N36" s="11">
        <f t="shared" si="9"/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>
        <f>IFERROR(CalcRC27(F36,G36,K36,O36,P36,Q36,R36,S36,T36,U36,V36),"-")</f>
      </c>
      <c r="X36" t="s" s="13">
        <v>1072</v>
      </c>
    </row>
    <row r="37" spans="2:24" ht="13.8" x14ac:dyDescent="0.2">
      <c r="B37" s="8">
        <f t="shared" si="5"/>
      </c>
      <c r="C37" s="10">
        <v>32</v>
      </c>
      <c r="D37" t="s" s="13">
        <v>1297</v>
      </c>
      <c r="E37" s="11">
        <f t="shared" si="6"/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7"/>
      </c>
      <c r="L37" s="7">
        <v>0</v>
      </c>
      <c r="M37" s="11">
        <f t="shared" si="8"/>
      </c>
      <c r="N37" s="11">
        <f t="shared" si="9"/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>
        <f>IFERROR(CalcRC27(F37,G37,K37,O37,P37,Q37,R37,S37,T37,U37,V37),"-")</f>
      </c>
      <c r="X37" t="s" s="13">
        <v>1073</v>
      </c>
    </row>
    <row r="38" spans="2:24" ht="13.8" x14ac:dyDescent="0.2">
      <c r="B38" s="8">
        <f t="shared" si="5"/>
      </c>
      <c r="C38" s="10">
        <v>33</v>
      </c>
      <c r="D38" t="s" s="13">
        <v>1221</v>
      </c>
      <c r="E38" s="11">
        <f t="shared" si="6"/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</c>
      <c r="L38" s="7">
        <v>0</v>
      </c>
      <c r="M38" s="11">
        <f t="shared" si="8"/>
      </c>
      <c r="N38" s="11">
        <f t="shared" si="9"/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>
        <f>IFERROR(CalcRC27(F38,G38,K38,O38,P38,Q38,R38,S38,T38,U38,V38),"-")</f>
      </c>
      <c r="X38" t="s" s="13">
        <v>1929</v>
      </c>
    </row>
    <row r="39" spans="2:24" ht="13.8" x14ac:dyDescent="0.2">
      <c r="B39" s="8">
        <f t="shared" si="5"/>
      </c>
      <c r="C39" s="10">
        <v>34</v>
      </c>
      <c r="D39" s="13"/>
      <c r="E39" s="11">
        <f t="shared" si="6"/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</c>
      <c r="L39" s="7">
        <v>0</v>
      </c>
      <c r="M39" s="11">
        <f t="shared" si="8"/>
      </c>
      <c r="N39" s="11">
        <f t="shared" si="9"/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>
        <f>IFERROR(CalcRC27(F39,G39,K39,O39,P39,Q39,R39,S39,T39,U39,V39),"-")</f>
      </c>
      <c r="X39" s="13"/>
    </row>
    <row r="40" spans="2:24" ht="13.8" x14ac:dyDescent="0.2">
      <c r="B40" s="8">
        <f t="shared" si="5"/>
      </c>
      <c r="C40" s="10">
        <v>35</v>
      </c>
      <c r="D40" t="s" s="13">
        <v>1074</v>
      </c>
      <c r="E40" s="11">
        <f t="shared" si="6"/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</c>
      <c r="L40" s="7">
        <v>0</v>
      </c>
      <c r="M40" s="11">
        <f t="shared" si="8"/>
      </c>
      <c r="N40" s="11">
        <f t="shared" si="9"/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>
        <f>IFERROR(CalcRC27(F40,G40,K40,O40,P40,Q40,R40,S40,T40,U40,V40),"-")</f>
      </c>
      <c r="X40" t="s" s="13">
        <v>1075</v>
      </c>
    </row>
    <row r="41" spans="2:24" ht="13.8" x14ac:dyDescent="0.2">
      <c r="B41" s="8">
        <f t="shared" si="5"/>
      </c>
      <c r="C41" s="10">
        <v>36</v>
      </c>
      <c r="D41" t="s" s="13">
        <v>1076</v>
      </c>
      <c r="E41" s="11">
        <f t="shared" si="6"/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</c>
      <c r="L41" s="7">
        <v>0</v>
      </c>
      <c r="M41" s="11">
        <f t="shared" si="8"/>
      </c>
      <c r="N41" s="11">
        <f t="shared" si="9"/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>
        <f>IFERROR(CalcRC27(F41,G41,K41,O41,P41,Q41,R41,S41,T41,U41,V41),"-")</f>
      </c>
      <c r="X41" t="s" s="13">
        <v>575</v>
      </c>
    </row>
    <row r="42" spans="2:24" ht="13.8" x14ac:dyDescent="0.2">
      <c r="B42" s="8">
        <f t="shared" si="5"/>
      </c>
      <c r="C42" s="10">
        <v>37</v>
      </c>
      <c r="D42" t="s" s="13">
        <v>1077</v>
      </c>
      <c r="E42" s="11">
        <f t="shared" si="6"/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</c>
      <c r="L42" s="7">
        <v>0</v>
      </c>
      <c r="M42" s="11">
        <f t="shared" si="8"/>
      </c>
      <c r="N42" s="11">
        <f t="shared" si="9"/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>
        <f>IFERROR(CalcRC27(F42,G42,K42,O42,P42,Q42,R42,S42,T42,U42,V42),"-")</f>
      </c>
      <c r="X42" t="s" s="13">
        <v>1078</v>
      </c>
    </row>
    <row r="43" spans="2:24" ht="13.8" x14ac:dyDescent="0.2">
      <c r="B43" s="8">
        <f t="shared" si="5"/>
      </c>
      <c r="C43" s="10">
        <v>38</v>
      </c>
      <c r="D43" t="s" s="13">
        <v>1468</v>
      </c>
      <c r="E43" s="11">
        <f t="shared" si="6"/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</c>
      <c r="L43" s="7">
        <v>0</v>
      </c>
      <c r="M43" s="11">
        <f t="shared" si="8"/>
      </c>
      <c r="N43" s="11">
        <f t="shared" si="9"/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>
        <f>IFERROR(CalcRC27(F43,G43,K43,O43,P43,Q43,R43,S43,T43,U43,V43),"-")</f>
      </c>
      <c r="X43" t="s" s="13">
        <v>1079</v>
      </c>
    </row>
    <row r="44" spans="2:24" ht="13.8" x14ac:dyDescent="0.2">
      <c r="B44" s="8">
        <f t="shared" si="5"/>
      </c>
      <c r="C44" s="10">
        <v>39</v>
      </c>
      <c r="D44" s="13"/>
      <c r="E44" s="11">
        <f t="shared" si="6"/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</c>
      <c r="L44" s="7">
        <v>0</v>
      </c>
      <c r="M44" s="11">
        <f t="shared" si="8"/>
      </c>
      <c r="N44" s="11">
        <f t="shared" si="9"/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>
        <f>IFERROR(CalcRC27(F44,G44,K44,O44,P44,Q44,R44,S44,T44,U44,V44),"-")</f>
      </c>
      <c r="X44" s="13"/>
    </row>
    <row r="45" spans="2:24" ht="13.8" x14ac:dyDescent="0.2">
      <c r="B45" s="8">
        <f t="shared" si="5"/>
      </c>
      <c r="C45" s="10">
        <v>40</v>
      </c>
      <c r="D45" t="s" s="13">
        <v>2027</v>
      </c>
      <c r="E45" s="11">
        <f t="shared" si="6"/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</c>
      <c r="L45" s="7">
        <v>0</v>
      </c>
      <c r="M45" s="11">
        <f t="shared" si="8"/>
      </c>
      <c r="N45" s="11">
        <f t="shared" si="9"/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>
        <f>IFERROR(CalcRC27(F45,G45,K45,O45,P45,Q45,R45,S45,T45,U45,V45),"-")</f>
      </c>
      <c r="X45" t="s" s="13">
        <v>1080</v>
      </c>
    </row>
    <row r="46" spans="2:24" ht="13.8" x14ac:dyDescent="0.2">
      <c r="B46" s="8">
        <f t="shared" si="5"/>
      </c>
      <c r="C46" s="10">
        <v>41</v>
      </c>
      <c r="D46" t="s" s="13">
        <v>5</v>
      </c>
      <c r="E46" s="11">
        <f t="shared" si="6"/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</c>
      <c r="L46" s="7">
        <v>0</v>
      </c>
      <c r="M46" s="11">
        <f t="shared" si="8"/>
      </c>
      <c r="N46" s="11">
        <f t="shared" si="9"/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>
        <f>IFERROR(CalcRC27(F46,G46,K46,O46,P46,Q46,R46,S46,T46,U46,V46),"-")</f>
      </c>
      <c r="X46" t="s" s="13">
        <v>1081</v>
      </c>
    </row>
    <row r="47" spans="2:24" ht="13.8" x14ac:dyDescent="0.2">
      <c r="B47" s="8">
        <f t="shared" si="5"/>
      </c>
      <c r="C47" s="10">
        <v>42</v>
      </c>
      <c r="D47" s="13"/>
      <c r="E47" s="11">
        <f t="shared" si="6"/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</c>
      <c r="L47" s="7">
        <v>0</v>
      </c>
      <c r="M47" s="11">
        <f t="shared" si="8"/>
      </c>
      <c r="N47" s="11">
        <f t="shared" si="9"/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</c>
      <c r="X47" s="13"/>
    </row>
    <row r="48" spans="2:24" ht="13.8" x14ac:dyDescent="0.2">
      <c r="B48" s="8">
        <f t="shared" si="5"/>
      </c>
      <c r="C48" s="10">
        <v>43</v>
      </c>
      <c r="D48" t="s" s="13">
        <v>6</v>
      </c>
      <c r="E48" s="11">
        <f t="shared" si="6"/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</c>
      <c r="L48" s="7">
        <v>0</v>
      </c>
      <c r="M48" s="11">
        <f t="shared" si="8"/>
      </c>
      <c r="N48" s="11">
        <f t="shared" si="9"/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>
        <f>IFERROR(CalcRC27(F48,G48,K48,O48,P48,Q48,R48,S48,T48,U48,V48),"-")</f>
      </c>
      <c r="X48" t="s" s="13">
        <v>1082</v>
      </c>
    </row>
    <row r="49" spans="2:24" ht="13.8" x14ac:dyDescent="0.2">
      <c r="B49" s="8">
        <f t="shared" si="5"/>
      </c>
      <c r="C49" s="10">
        <v>44</v>
      </c>
      <c r="D49" t="s" s="13">
        <v>1323</v>
      </c>
      <c r="E49" s="11">
        <f t="shared" si="6"/>
      </c>
      <c r="F49" s="5">
        <v>1</v>
      </c>
      <c r="G49" s="5">
        <v>1</v>
      </c>
      <c r="H49" s="5">
        <v>0</v>
      </c>
      <c r="I49" s="5">
        <v>0</v>
      </c>
      <c r="J49" s="6">
        <v>0</v>
      </c>
      <c r="K49" s="12">
        <f t="shared" si="7"/>
      </c>
      <c r="L49" s="7">
        <v>0</v>
      </c>
      <c r="M49" s="11">
        <f t="shared" si="8"/>
      </c>
      <c r="N49" s="11">
        <f t="shared" si="9"/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</c>
      <c r="X49" t="s" s="13">
        <v>1083</v>
      </c>
    </row>
    <row r="50" spans="2:24" ht="13.8" x14ac:dyDescent="0.2">
      <c r="B50" s="8">
        <f t="shared" si="5"/>
      </c>
      <c r="C50" s="10">
        <v>45</v>
      </c>
      <c r="D50" t="s" s="13">
        <v>37</v>
      </c>
      <c r="E50" s="11">
        <f t="shared" si="6"/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</c>
      <c r="L50" s="7">
        <v>0</v>
      </c>
      <c r="M50" s="11">
        <f t="shared" si="8"/>
      </c>
      <c r="N50" s="11">
        <f t="shared" si="9"/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>
        <f>IFERROR(CalcRC27(F50,G50,K50,O50,P50,Q50,R50,S50,T50,U50,V50),"-")</f>
      </c>
      <c r="X50" t="s" s="13">
        <v>688</v>
      </c>
    </row>
    <row r="51" spans="2:24" ht="13.8" x14ac:dyDescent="0.2">
      <c r="B51" s="8">
        <f t="shared" si="5"/>
      </c>
      <c r="C51" s="10">
        <v>46</v>
      </c>
      <c r="D51" t="s" s="13">
        <v>1084</v>
      </c>
      <c r="E51" s="11">
        <f t="shared" si="6"/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</c>
      <c r="L51" s="7">
        <v>0</v>
      </c>
      <c r="M51" s="11">
        <f t="shared" si="8"/>
      </c>
      <c r="N51" s="11">
        <f t="shared" si="9"/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</c>
      <c r="X51" t="s" s="13">
        <v>1085</v>
      </c>
    </row>
    <row r="52" spans="2:24" ht="13.8" x14ac:dyDescent="0.2">
      <c r="B52" s="8">
        <f t="shared" si="5"/>
      </c>
      <c r="C52" s="10">
        <v>47</v>
      </c>
      <c r="D52" t="s" s="13">
        <v>1086</v>
      </c>
      <c r="E52" s="11">
        <f t="shared" si="6"/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</c>
      <c r="L52" s="7">
        <v>0</v>
      </c>
      <c r="M52" s="11">
        <f t="shared" si="8"/>
      </c>
      <c r="N52" s="11">
        <f t="shared" si="9"/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>
        <f>IFERROR(CalcRC27(F52,G52,K52,O52,P52,Q52,R52,S52,T52,U52,V52),"-")</f>
      </c>
      <c r="X52" t="s" s="13">
        <v>1087</v>
      </c>
    </row>
    <row r="53" spans="2:24" ht="13.8" x14ac:dyDescent="0.2">
      <c r="B53" s="8">
        <f t="shared" si="5"/>
      </c>
      <c r="C53" s="10">
        <v>48</v>
      </c>
      <c r="D53" t="s" s="13">
        <v>1088</v>
      </c>
      <c r="E53" s="11">
        <f t="shared" si="6"/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</c>
      <c r="L53" s="7">
        <v>0</v>
      </c>
      <c r="M53" s="11">
        <f t="shared" si="8"/>
      </c>
      <c r="N53" s="11">
        <f t="shared" si="9"/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>
        <f>IFERROR(CalcRC27(F53,G53,K53,O53,P53,Q53,R53,S53,T53,U53,V53),"-")</f>
      </c>
      <c r="X53" t="s" s="13">
        <v>1089</v>
      </c>
    </row>
    <row r="54" spans="2:24" ht="13.8" x14ac:dyDescent="0.2">
      <c r="B54" s="8">
        <f t="shared" si="5"/>
      </c>
      <c r="C54" s="10">
        <v>49</v>
      </c>
      <c r="D54" t="s" s="13">
        <v>1090</v>
      </c>
      <c r="E54" s="11">
        <f t="shared" si="6"/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</c>
      <c r="L54" s="7">
        <v>0</v>
      </c>
      <c r="M54" s="11">
        <f t="shared" si="8"/>
      </c>
      <c r="N54" s="11">
        <f t="shared" si="9"/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</c>
      <c r="X54" t="s" s="13">
        <v>1930</v>
      </c>
    </row>
    <row r="55" spans="2:24" ht="13.8" x14ac:dyDescent="0.2">
      <c r="B55" s="8">
        <f t="shared" si="5"/>
      </c>
      <c r="C55" s="10">
        <v>50</v>
      </c>
      <c r="D55" t="s" s="13">
        <v>219</v>
      </c>
      <c r="E55" s="11">
        <f t="shared" si="6"/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</c>
      <c r="L55" s="7">
        <v>0</v>
      </c>
      <c r="M55" s="11">
        <f t="shared" si="8"/>
      </c>
      <c r="N55" s="11">
        <f t="shared" si="9"/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>
        <f>IFERROR(CalcRC27(F55,G55,K55,O55,P55,Q55,R55,S55,T55,U55,V55),"-")</f>
      </c>
      <c r="X55" t="s" s="13">
        <v>138</v>
      </c>
    </row>
    <row r="56" spans="2:24" ht="13.8" x14ac:dyDescent="0.2">
      <c r="B56" s="8">
        <f t="shared" si="5"/>
      </c>
      <c r="C56" s="10">
        <v>51</v>
      </c>
      <c r="D56" t="s" s="13">
        <v>1091</v>
      </c>
      <c r="E56" s="11">
        <f t="shared" si="6"/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</c>
      <c r="L56" s="7">
        <v>0</v>
      </c>
      <c r="M56" s="11">
        <f t="shared" si="8"/>
      </c>
      <c r="N56" s="11">
        <f t="shared" si="9"/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>
        <f>IFERROR(CalcRC27(F56,G56,K56,O56,P56,Q56,R56,S56,T56,U56,V56),"-")</f>
      </c>
      <c r="X56" t="s" s="13">
        <v>1092</v>
      </c>
    </row>
    <row r="57" spans="2:24" ht="13.8" x14ac:dyDescent="0.2">
      <c r="B57" s="8">
        <f t="shared" si="5"/>
      </c>
      <c r="C57" s="10">
        <v>52</v>
      </c>
      <c r="D57" s="13"/>
      <c r="E57" s="11">
        <f t="shared" si="6"/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</c>
      <c r="L57" s="7">
        <v>0</v>
      </c>
      <c r="M57" s="11">
        <f t="shared" si="8"/>
      </c>
      <c r="N57" s="11">
        <f t="shared" si="9"/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>
        <f>IFERROR(CalcRC27(F57,G57,K57,O57,P57,Q57,R57,S57,T57,U57,V57),"-")</f>
      </c>
      <c r="X57" s="13"/>
    </row>
    <row r="58" spans="2:24" ht="13.8" x14ac:dyDescent="0.2">
      <c r="B58" s="8">
        <f t="shared" si="5"/>
      </c>
      <c r="C58" s="10">
        <v>53</v>
      </c>
      <c r="D58" t="s" s="13">
        <v>43</v>
      </c>
      <c r="E58" s="11">
        <f t="shared" si="6"/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</c>
      <c r="L58" s="7">
        <v>0</v>
      </c>
      <c r="M58" s="11">
        <f t="shared" si="8"/>
      </c>
      <c r="N58" s="11">
        <f t="shared" si="9"/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>
        <f>IFERROR(CalcRC27(F58,G58,K58,O58,P58,Q58,R58,S58,T58,U58,V58),"-")</f>
      </c>
      <c r="X58" t="s" s="13">
        <v>1093</v>
      </c>
    </row>
    <row r="59" spans="2:24" ht="13.8" x14ac:dyDescent="0.2">
      <c r="B59" s="8">
        <f t="shared" si="5"/>
      </c>
      <c r="C59" s="10">
        <v>54</v>
      </c>
      <c r="D59" t="s" s="13">
        <v>1094</v>
      </c>
      <c r="E59" s="11">
        <f t="shared" si="6"/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</c>
      <c r="L59" s="7">
        <v>0</v>
      </c>
      <c r="M59" s="11">
        <f t="shared" si="8"/>
      </c>
      <c r="N59" s="11">
        <f t="shared" si="9"/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>
        <f>IFERROR(CalcRC27(F59,G59,K59,O59,P59,Q59,R59,S59,T59,U59,V59),"-")</f>
      </c>
      <c r="X59" t="s" s="13">
        <v>1095</v>
      </c>
    </row>
    <row r="60" spans="2:24" ht="13.8" x14ac:dyDescent="0.2">
      <c r="B60" s="8">
        <f t="shared" si="5"/>
      </c>
      <c r="C60" s="10">
        <v>55</v>
      </c>
      <c r="D60" t="s" s="13">
        <v>1096</v>
      </c>
      <c r="E60" s="11">
        <f t="shared" si="6"/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</c>
      <c r="L60" s="7">
        <v>0</v>
      </c>
      <c r="M60" s="11">
        <f t="shared" si="8"/>
      </c>
      <c r="N60" s="11">
        <f t="shared" si="9"/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>
        <f>IFERROR(CalcRC27(F60,G60,K60,O60,P60,Q60,R60,S60,T60,U60,V60),"-")</f>
      </c>
      <c r="X60" t="s" s="13">
        <v>1097</v>
      </c>
    </row>
    <row r="61" spans="2:24" ht="13.8" x14ac:dyDescent="0.2">
      <c r="B61" s="8">
        <f t="shared" si="5"/>
      </c>
      <c r="C61" s="10">
        <v>56</v>
      </c>
      <c r="D61" t="s" s="13">
        <v>1098</v>
      </c>
      <c r="E61" s="11">
        <f t="shared" si="6"/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</c>
      <c r="L61" s="7">
        <v>0</v>
      </c>
      <c r="M61" s="11">
        <f t="shared" si="8"/>
      </c>
      <c r="N61" s="11">
        <f t="shared" si="9"/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>
        <f>IFERROR(CalcRC27(F61,G61,K61,O61,P61,Q61,R61,S61,T61,U61,V61),"-")</f>
      </c>
      <c r="X61" t="s" s="13">
        <v>1099</v>
      </c>
    </row>
    <row r="62" spans="2:24" ht="13.8" x14ac:dyDescent="0.2">
      <c r="B62" s="8">
        <f t="shared" si="5"/>
      </c>
      <c r="C62" s="10">
        <v>57</v>
      </c>
      <c r="D62" t="s" s="13">
        <v>1100</v>
      </c>
      <c r="E62" s="11">
        <f t="shared" si="6"/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</c>
      <c r="L62" s="7">
        <v>0</v>
      </c>
      <c r="M62" s="11">
        <f t="shared" si="8"/>
      </c>
      <c r="N62" s="11">
        <f t="shared" si="9"/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>
        <f>IFERROR(CalcRC27(F62,G62,K62,O62,P62,Q62,R62,S62,T62,U62,V62),"-")</f>
      </c>
      <c r="X62" t="s" s="13">
        <v>1101</v>
      </c>
    </row>
    <row r="63" spans="2:24" ht="13.8" x14ac:dyDescent="0.2">
      <c r="B63" s="8">
        <f t="shared" si="5"/>
      </c>
      <c r="C63" s="10">
        <v>58</v>
      </c>
      <c r="D63" t="s" s="13">
        <v>1102</v>
      </c>
      <c r="E63" s="11">
        <f t="shared" si="6"/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</c>
      <c r="L63" s="7">
        <v>0</v>
      </c>
      <c r="M63" s="11">
        <f t="shared" si="8"/>
      </c>
      <c r="N63" s="11">
        <f t="shared" si="9"/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>
        <f>IFERROR(CalcRC27(F63,G63,K63,O63,P63,Q63,R63,S63,T63,U63,V63),"-")</f>
      </c>
      <c r="X63" t="s" s="13">
        <v>1103</v>
      </c>
    </row>
    <row r="64" spans="2:24" ht="13.8" x14ac:dyDescent="0.2">
      <c r="B64" s="8">
        <f t="shared" si="5"/>
      </c>
      <c r="C64" s="10">
        <v>59</v>
      </c>
      <c r="D64" t="s" s="13">
        <v>1407</v>
      </c>
      <c r="E64" s="11">
        <f t="shared" si="6"/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</c>
      <c r="L64" s="7">
        <v>0</v>
      </c>
      <c r="M64" s="11">
        <f t="shared" si="8"/>
      </c>
      <c r="N64" s="11">
        <f t="shared" si="9"/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>
        <f>IFERROR(CalcRC27(F64,G64,K64,O64,P64,Q64,R64,S64,T64,U64,V64),"-")</f>
      </c>
      <c r="X64" t="s" s="13">
        <v>1104</v>
      </c>
    </row>
    <row r="65" spans="2:24" ht="13.8" x14ac:dyDescent="0.2">
      <c r="B65" s="8">
        <f t="shared" si="5"/>
      </c>
      <c r="C65" s="10">
        <v>60</v>
      </c>
      <c r="D65" t="s" s="13">
        <v>1473</v>
      </c>
      <c r="E65" s="11">
        <f t="shared" si="6"/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</c>
      <c r="L65" s="7">
        <v>0</v>
      </c>
      <c r="M65" s="11">
        <f t="shared" si="8"/>
      </c>
      <c r="N65" s="11">
        <f t="shared" si="9"/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>
        <f>IFERROR(CalcRC27(F65,G65,K65,O65,P65,Q65,R65,S65,T65,U65,V65),"-")</f>
      </c>
      <c r="X65" t="s" s="13">
        <v>1105</v>
      </c>
    </row>
    <row r="66" spans="2:24" ht="13.8" x14ac:dyDescent="0.2">
      <c r="B66" s="8">
        <f t="shared" si="5"/>
      </c>
      <c r="C66" s="10">
        <v>61</v>
      </c>
      <c r="D66" t="s" s="13">
        <v>40</v>
      </c>
      <c r="E66" s="11">
        <f t="shared" si="6"/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</c>
      <c r="L66" s="7">
        <v>0</v>
      </c>
      <c r="M66" s="11">
        <f t="shared" si="8"/>
      </c>
      <c r="N66" s="11">
        <f t="shared" si="9"/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>
        <f>IFERROR(CalcRC27(F66,G66,K66,O66,P66,Q66,R66,S66,T66,U66,V66),"-")</f>
      </c>
      <c r="X66" t="s" s="13">
        <v>1106</v>
      </c>
    </row>
    <row r="67" spans="2:24" ht="13.8" x14ac:dyDescent="0.2">
      <c r="B67" s="8">
        <f t="shared" si="5"/>
      </c>
      <c r="C67" s="10">
        <v>62</v>
      </c>
      <c r="D67" t="s" s="13">
        <v>39</v>
      </c>
      <c r="E67" s="11">
        <f t="shared" si="6"/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</c>
      <c r="L67" s="7">
        <v>0</v>
      </c>
      <c r="M67" s="11">
        <f t="shared" si="8"/>
      </c>
      <c r="N67" s="11">
        <f t="shared" si="9"/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>
        <f>IFERROR(CalcRC27(F67,G67,K67,O67,P67,Q67,R67,S67,T67,U67,V67),"-")</f>
      </c>
      <c r="X67" t="s" s="13">
        <v>1107</v>
      </c>
    </row>
    <row r="68" spans="2:24" ht="13.8" x14ac:dyDescent="0.2">
      <c r="B68" s="8">
        <f t="shared" si="5"/>
      </c>
      <c r="C68" s="10">
        <v>63</v>
      </c>
      <c r="D68" t="s" s="13">
        <v>73</v>
      </c>
      <c r="E68" s="11">
        <f t="shared" si="6"/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7"/>
      </c>
      <c r="L68" s="7">
        <v>0</v>
      </c>
      <c r="M68" s="11">
        <f t="shared" si="8"/>
      </c>
      <c r="N68" s="11">
        <f t="shared" si="9"/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>
        <f>IFERROR(CalcRC27(F68,G68,K68,O68,P68,Q68,R68,S68,T68,U68,V68),"-")</f>
      </c>
      <c r="X68" t="s" s="2">
        <v>525</v>
      </c>
    </row>
    <row r="69" spans="2:24" ht="13.8" x14ac:dyDescent="0.2">
      <c r="B69" s="8">
        <f t="shared" ref="B69:B132" si="10">IF(C69="","",C69)</f>
      </c>
      <c r="C69" s="10">
        <v>64</v>
      </c>
      <c r="D69" t="s" s="13">
        <v>1835</v>
      </c>
      <c r="E69" s="11">
        <f t="shared" ref="E69:E132" si="11">IFERROR(IF(G69/F69=1,"1.00",G69/F69),"---")</f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</c>
      <c r="L69" s="7">
        <v>0</v>
      </c>
      <c r="M69" s="11">
        <f t="shared" si="8"/>
      </c>
      <c r="N69" s="11">
        <f t="shared" si="9"/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>
        <f>IFERROR(CalcRC27(F69,G69,K69,O69,P69,Q69,R69,S69,T69,U69,V69),"-")</f>
      </c>
      <c r="X69" t="s" s="13">
        <v>1108</v>
      </c>
    </row>
    <row r="70" spans="2:24" ht="13.8" x14ac:dyDescent="0.2">
      <c r="B70" s="8">
        <f t="shared" si="10"/>
      </c>
      <c r="C70" s="10">
        <v>65</v>
      </c>
      <c r="D70" t="s" s="13">
        <v>1109</v>
      </c>
      <c r="E70" s="11">
        <f t="shared" si="11"/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ref="K70:K133" si="12">((G70-H70-I70-J70)+(H70*2)+(I70*3)+(J70*4))</f>
      </c>
      <c r="L70" s="7">
        <v>0</v>
      </c>
      <c r="M70" s="11">
        <f t="shared" ref="M70:M133" si="13">IFERROR(IF((G70+P70+Q70)/(F70+P70+Q70+S70)=1,"1.00",(G70+P70+Q70)/(F70+P70+Q70+S70)),0)</f>
      </c>
      <c r="N70" s="11">
        <f t="shared" ref="N70:N133" si="14">IFERROR(SUM(K70/F70,((G70+P70+Q70)/(F70+P70+Q70+S70))),M70)</f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>
        <f>IFERROR(CalcRC27(F70,G70,K70,O70,P70,Q70,R70,S70,T70,U70,V70),"-")</f>
      </c>
      <c r="X70" t="s" s="13">
        <v>1931</v>
      </c>
    </row>
    <row r="71" spans="2:24" ht="13.8" x14ac:dyDescent="0.2">
      <c r="B71" s="8">
        <f t="shared" si="10"/>
      </c>
      <c r="C71" s="10">
        <v>66</v>
      </c>
      <c r="D71" t="s" s="13">
        <v>177</v>
      </c>
      <c r="E71" s="11">
        <f t="shared" si="11"/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</c>
      <c r="L71" s="7">
        <v>0</v>
      </c>
      <c r="M71" s="11">
        <f t="shared" si="13"/>
      </c>
      <c r="N71" s="11">
        <f t="shared" si="14"/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>
        <f>IFERROR(CalcRC27(F71,G71,K71,O71,P71,Q71,R71,S71,T71,U71,V71),"-")</f>
      </c>
      <c r="X71" t="s" s="13">
        <v>1052</v>
      </c>
    </row>
    <row r="72" spans="2:24" ht="13.8" x14ac:dyDescent="0.2">
      <c r="B72" s="8">
        <f t="shared" si="10"/>
      </c>
      <c r="C72" s="10">
        <v>67</v>
      </c>
      <c r="D72" t="s" s="13">
        <v>1110</v>
      </c>
      <c r="E72" s="11">
        <f t="shared" si="11"/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</c>
      <c r="L72" s="7">
        <v>0</v>
      </c>
      <c r="M72" s="11">
        <f t="shared" si="13"/>
      </c>
      <c r="N72" s="11">
        <f t="shared" si="14"/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>
        <f>IFERROR(CalcRC27(F72,G72,K72,O72,P72,Q72,R72,S72,T72,U72,V72),"-")</f>
      </c>
      <c r="X72" t="s" s="13">
        <v>1111</v>
      </c>
    </row>
    <row r="73" spans="2:24" ht="13.8" x14ac:dyDescent="0.2">
      <c r="B73" s="8">
        <f t="shared" si="10"/>
      </c>
      <c r="C73" s="10">
        <v>68</v>
      </c>
      <c r="D73" t="s" s="13">
        <v>1112</v>
      </c>
      <c r="E73" s="11">
        <f t="shared" si="11"/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</c>
      <c r="L73" s="7">
        <v>0</v>
      </c>
      <c r="M73" s="11">
        <f t="shared" si="13"/>
      </c>
      <c r="N73" s="11">
        <f t="shared" si="14"/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>
        <f>IFERROR(CalcRC27(F73,G73,K73,O73,P73,Q73,R73,S73,T73,U73,V73),"-")</f>
      </c>
      <c r="X73" t="s" s="13">
        <v>1113</v>
      </c>
    </row>
    <row r="74" spans="2:24" ht="13.8" x14ac:dyDescent="0.2">
      <c r="B74" s="8">
        <f t="shared" si="10"/>
      </c>
      <c r="C74" s="10">
        <v>69</v>
      </c>
      <c r="D74" s="13"/>
      <c r="E74" s="11">
        <f t="shared" si="11"/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</c>
      <c r="L74" s="7">
        <v>0</v>
      </c>
      <c r="M74" s="11">
        <f t="shared" si="13"/>
      </c>
      <c r="N74" s="11">
        <f t="shared" si="14"/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>
        <f>IFERROR(CalcRC27(F74,G74,K74,O74,P74,Q74,R74,S74,T74,U74,V74),"-")</f>
      </c>
      <c r="X74" s="13"/>
    </row>
    <row r="75" spans="2:24" ht="13.8" x14ac:dyDescent="0.2">
      <c r="B75" s="8">
        <f t="shared" si="10"/>
      </c>
      <c r="C75" s="10">
        <v>70</v>
      </c>
      <c r="D75" s="13"/>
      <c r="E75" s="11">
        <f t="shared" si="11"/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</c>
      <c r="L75" s="7">
        <v>0</v>
      </c>
      <c r="M75" s="11">
        <f t="shared" si="13"/>
      </c>
      <c r="N75" s="11">
        <f t="shared" si="14"/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>
        <f>IFERROR(CalcRC27(F75,G75,K75,O75,P75,Q75,R75,S75,T75,U75,V75),"-")</f>
      </c>
      <c r="X75" s="13"/>
    </row>
    <row r="76" spans="2:24" ht="13.8" x14ac:dyDescent="0.2">
      <c r="B76" s="8">
        <f t="shared" si="10"/>
      </c>
      <c r="C76" s="10">
        <v>71</v>
      </c>
      <c r="D76" s="13"/>
      <c r="E76" s="11">
        <f t="shared" si="11"/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</c>
      <c r="L76" s="7">
        <v>0</v>
      </c>
      <c r="M76" s="11">
        <f t="shared" si="13"/>
      </c>
      <c r="N76" s="11">
        <f t="shared" si="14"/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>
        <f>IFERROR(CalcRC27(F76,G76,K76,O76,P76,Q76,R76,S76,T76,U76,V76),"-")</f>
      </c>
      <c r="X76" s="13"/>
    </row>
    <row r="77" spans="2:24" ht="13.8" x14ac:dyDescent="0.2">
      <c r="B77" s="8">
        <f t="shared" si="10"/>
      </c>
      <c r="C77" s="10">
        <v>72</v>
      </c>
      <c r="D77" s="13"/>
      <c r="E77" s="11">
        <f t="shared" si="11"/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</c>
      <c r="L77" s="7">
        <v>0</v>
      </c>
      <c r="M77" s="11">
        <f t="shared" si="13"/>
      </c>
      <c r="N77" s="11">
        <f t="shared" si="14"/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>
        <f>IFERROR(CalcRC27(F77,G77,K77,O77,P77,Q77,R77,S77,T77,U77,V77),"-")</f>
      </c>
      <c r="X77" s="13"/>
    </row>
    <row r="78" spans="2:24" ht="13.8" x14ac:dyDescent="0.2">
      <c r="B78" s="8">
        <f t="shared" si="10"/>
      </c>
      <c r="C78" s="10">
        <v>73</v>
      </c>
      <c r="D78" s="13"/>
      <c r="E78" s="11">
        <f t="shared" si="11"/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</c>
      <c r="L78" s="7">
        <v>0</v>
      </c>
      <c r="M78" s="11">
        <f t="shared" si="13"/>
      </c>
      <c r="N78" s="11">
        <f t="shared" si="14"/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>
        <f>IFERROR(CalcRC27(F78,G78,K78,O78,P78,Q78,R78,S78,T78,U78,V78),"-")</f>
      </c>
      <c r="X78" s="13"/>
    </row>
    <row r="79" spans="2:24" ht="13.8" x14ac:dyDescent="0.2">
      <c r="B79" s="8">
        <f t="shared" si="10"/>
      </c>
      <c r="C79" s="10">
        <v>74</v>
      </c>
      <c r="D79" s="13"/>
      <c r="E79" s="11">
        <f t="shared" si="11"/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</c>
      <c r="L79" s="7">
        <v>0</v>
      </c>
      <c r="M79" s="11">
        <f t="shared" si="13"/>
      </c>
      <c r="N79" s="11">
        <f t="shared" si="14"/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>
        <f>IFERROR(CalcRC27(F79,G79,K79,O79,P79,Q79,R79,S79,T79,U79,V79),"-")</f>
      </c>
      <c r="X79" s="13"/>
    </row>
    <row r="80" spans="2:24" ht="13.8" x14ac:dyDescent="0.2">
      <c r="B80" s="8">
        <f t="shared" si="10"/>
      </c>
      <c r="C80" s="10">
        <v>75</v>
      </c>
      <c r="D80" s="13"/>
      <c r="E80" s="11">
        <f t="shared" si="11"/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</c>
      <c r="L80" s="7">
        <v>0</v>
      </c>
      <c r="M80" s="11">
        <f t="shared" si="13"/>
      </c>
      <c r="N80" s="11">
        <f t="shared" si="14"/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>
        <f>IFERROR(CalcRC27(F80,G80,K80,O80,P80,Q80,R80,S80,T80,U80,V80),"-")</f>
      </c>
      <c r="X80" s="13"/>
    </row>
    <row r="81" spans="2:24" ht="13.8" x14ac:dyDescent="0.2">
      <c r="B81" s="8">
        <f t="shared" si="10"/>
      </c>
      <c r="C81" s="10">
        <v>76</v>
      </c>
      <c r="D81" s="13"/>
      <c r="E81" s="11">
        <f t="shared" si="11"/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</c>
      <c r="L81" s="7">
        <v>0</v>
      </c>
      <c r="M81" s="11">
        <f t="shared" si="13"/>
      </c>
      <c r="N81" s="11">
        <f t="shared" si="14"/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>
        <f>IFERROR(CalcRC27(F81,G81,K81,O81,P81,Q81,R81,S81,T81,U81,V81),"-")</f>
      </c>
      <c r="X81" s="13"/>
    </row>
    <row r="82" spans="2:24" ht="13.8" x14ac:dyDescent="0.2">
      <c r="B82" s="8">
        <f t="shared" si="10"/>
      </c>
      <c r="C82" s="10">
        <v>77</v>
      </c>
      <c r="D82" s="13"/>
      <c r="E82" s="11">
        <f t="shared" si="11"/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</c>
      <c r="L82" s="7">
        <v>0</v>
      </c>
      <c r="M82" s="11">
        <f t="shared" si="13"/>
      </c>
      <c r="N82" s="11">
        <f t="shared" si="14"/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>
        <f>IFERROR(CalcRC27(F82,G82,K82,O82,P82,Q82,R82,S82,T82,U82,V82),"-")</f>
      </c>
      <c r="X82" s="13"/>
    </row>
    <row r="83" spans="2:24" ht="13.8" x14ac:dyDescent="0.2">
      <c r="B83" s="8">
        <f t="shared" si="10"/>
      </c>
      <c r="C83" s="10">
        <v>78</v>
      </c>
      <c r="D83" s="13"/>
      <c r="E83" s="11">
        <f t="shared" si="11"/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</c>
      <c r="L83" s="7">
        <v>0</v>
      </c>
      <c r="M83" s="11">
        <f t="shared" si="13"/>
      </c>
      <c r="N83" s="11">
        <f t="shared" si="14"/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>
        <f>IFERROR(CalcRC27(F83,G83,K83,O83,P83,Q83,R83,S83,T83,U83,V83),"-")</f>
      </c>
      <c r="X83" s="13"/>
    </row>
    <row r="84" spans="2:24" ht="13.8" x14ac:dyDescent="0.2">
      <c r="B84" s="8">
        <f t="shared" si="10"/>
      </c>
      <c r="C84" s="10">
        <v>79</v>
      </c>
      <c r="D84" s="13"/>
      <c r="E84" s="11">
        <f t="shared" si="11"/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</c>
      <c r="L84" s="7">
        <v>0</v>
      </c>
      <c r="M84" s="11">
        <f t="shared" si="13"/>
      </c>
      <c r="N84" s="11">
        <f t="shared" si="14"/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>
        <f>IFERROR(CalcRC27(F84,G84,K84,O84,P84,Q84,R84,S84,T84,U84,V84),"-")</f>
      </c>
      <c r="X84" s="13"/>
    </row>
    <row r="85" spans="2:24" ht="13.8" x14ac:dyDescent="0.2">
      <c r="B85" s="8">
        <f t="shared" si="10"/>
      </c>
      <c r="C85" s="10">
        <v>80</v>
      </c>
      <c r="D85" s="13"/>
      <c r="E85" s="11">
        <f t="shared" si="11"/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</c>
      <c r="L85" s="7">
        <v>0</v>
      </c>
      <c r="M85" s="11">
        <f t="shared" si="13"/>
      </c>
      <c r="N85" s="11">
        <f t="shared" si="14"/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>
        <f>IFERROR(CalcRC27(F85,G85,K85,O85,P85,Q85,R85,S85,T85,U85,V85),"-")</f>
      </c>
      <c r="X85" s="13"/>
    </row>
    <row r="86" spans="2:24" ht="13.8" x14ac:dyDescent="0.2">
      <c r="B86" s="8">
        <f t="shared" si="10"/>
      </c>
      <c r="C86" s="10">
        <v>81</v>
      </c>
      <c r="D86" s="13"/>
      <c r="E86" s="11">
        <f t="shared" si="11"/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</c>
      <c r="L86" s="7">
        <v>0</v>
      </c>
      <c r="M86" s="11">
        <f t="shared" si="13"/>
      </c>
      <c r="N86" s="11">
        <f t="shared" si="14"/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>
        <f>IFERROR(CalcRC27(F86,G86,K86,O86,P86,Q86,R86,S86,T86,U86,V86),"-")</f>
      </c>
      <c r="X86" s="13"/>
    </row>
    <row r="87" spans="2:24" ht="13.8" x14ac:dyDescent="0.2">
      <c r="B87" s="8">
        <f t="shared" si="10"/>
      </c>
      <c r="C87" s="10">
        <v>82</v>
      </c>
      <c r="D87" s="13"/>
      <c r="E87" s="11">
        <f t="shared" si="11"/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</c>
      <c r="L87" s="7">
        <v>0</v>
      </c>
      <c r="M87" s="11">
        <f t="shared" si="13"/>
      </c>
      <c r="N87" s="11">
        <f t="shared" si="14"/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>
        <f>IFERROR(CalcRC27(F87,G87,K87,O87,P87,Q87,R87,S87,T87,U87,V87),"-")</f>
      </c>
      <c r="X87" s="13"/>
    </row>
    <row r="88" spans="2:24" ht="13.8" x14ac:dyDescent="0.2">
      <c r="B88" s="8">
        <f t="shared" si="10"/>
      </c>
      <c r="C88" s="10">
        <v>83</v>
      </c>
      <c r="D88" s="13"/>
      <c r="E88" s="11">
        <f t="shared" si="11"/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</c>
      <c r="L88" s="7">
        <v>0</v>
      </c>
      <c r="M88" s="11">
        <f t="shared" si="13"/>
      </c>
      <c r="N88" s="11">
        <f t="shared" si="14"/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>
        <f>IFERROR(CalcRC27(F88,G88,K88,O88,P88,Q88,R88,S88,T88,U88,V88),"-")</f>
      </c>
      <c r="X88" s="13"/>
    </row>
    <row r="89" spans="2:24" ht="13.8" x14ac:dyDescent="0.2">
      <c r="B89" s="8">
        <f t="shared" si="10"/>
      </c>
      <c r="C89" s="10">
        <v>84</v>
      </c>
      <c r="D89" s="13"/>
      <c r="E89" s="11">
        <f t="shared" si="11"/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</c>
      <c r="L89" s="7">
        <v>0</v>
      </c>
      <c r="M89" s="11">
        <f t="shared" si="13"/>
      </c>
      <c r="N89" s="11">
        <f t="shared" si="14"/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>
        <f>IFERROR(CalcRC27(F89,G89,K89,O89,P89,Q89,R89,S89,T89,U89,V89),"-")</f>
      </c>
      <c r="X89" s="13"/>
    </row>
    <row r="90" spans="2:24" ht="13.8" x14ac:dyDescent="0.2">
      <c r="B90" s="8">
        <f t="shared" si="10"/>
      </c>
      <c r="C90" s="10">
        <v>85</v>
      </c>
      <c r="D90" s="13"/>
      <c r="E90" s="11">
        <f t="shared" si="11"/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</c>
      <c r="L90" s="7">
        <v>0</v>
      </c>
      <c r="M90" s="11">
        <f t="shared" si="13"/>
      </c>
      <c r="N90" s="11">
        <f t="shared" si="14"/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>
        <f>IFERROR(CalcRC27(F90,G90,K90,O90,P90,Q90,R90,S90,T90,U90,V90),"-")</f>
      </c>
      <c r="X90" s="13"/>
    </row>
    <row r="91" spans="2:24" ht="13.8" x14ac:dyDescent="0.2">
      <c r="B91" s="8">
        <f t="shared" si="10"/>
      </c>
      <c r="C91" s="10">
        <v>86</v>
      </c>
      <c r="D91" s="13"/>
      <c r="E91" s="11">
        <f t="shared" si="11"/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</c>
      <c r="L91" s="7">
        <v>0</v>
      </c>
      <c r="M91" s="11">
        <f t="shared" si="13"/>
      </c>
      <c r="N91" s="11">
        <f t="shared" si="14"/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>
        <f>IFERROR(CalcRC27(F91,G91,K91,O91,P91,Q91,R91,S91,T91,U91,V91),"-")</f>
      </c>
      <c r="X91" s="13"/>
    </row>
    <row r="92" spans="2:24" ht="13.8" x14ac:dyDescent="0.2">
      <c r="B92" s="8">
        <f t="shared" si="10"/>
      </c>
      <c r="C92" s="10">
        <v>87</v>
      </c>
      <c r="D92" s="13"/>
      <c r="E92" s="11">
        <f t="shared" si="11"/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</c>
      <c r="L92" s="7">
        <v>0</v>
      </c>
      <c r="M92" s="11">
        <f t="shared" si="13"/>
      </c>
      <c r="N92" s="11">
        <f t="shared" si="14"/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>
        <f>IFERROR(CalcRC27(F92,G92,K92,O92,P92,Q92,R92,S92,T92,U92,V92),"-")</f>
      </c>
      <c r="X92" s="13"/>
    </row>
    <row r="93" spans="2:24" ht="13.8" x14ac:dyDescent="0.2">
      <c r="B93" s="8">
        <f t="shared" si="10"/>
      </c>
      <c r="C93" s="10">
        <v>88</v>
      </c>
      <c r="D93" s="13"/>
      <c r="E93" s="11">
        <f t="shared" si="11"/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</c>
      <c r="L93" s="7">
        <v>0</v>
      </c>
      <c r="M93" s="11">
        <f t="shared" si="13"/>
      </c>
      <c r="N93" s="11">
        <f t="shared" si="14"/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>
        <f>IFERROR(CalcRC27(F93,G93,K93,O93,P93,Q93,R93,S93,T93,U93,V93),"-")</f>
      </c>
      <c r="X93" s="13"/>
    </row>
    <row r="94" spans="2:24" ht="13.8" x14ac:dyDescent="0.2">
      <c r="B94" s="8">
        <f t="shared" si="10"/>
      </c>
      <c r="C94" s="10">
        <v>89</v>
      </c>
      <c r="D94" s="13"/>
      <c r="E94" s="11">
        <f t="shared" si="11"/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</c>
      <c r="L94" s="7">
        <v>0</v>
      </c>
      <c r="M94" s="11">
        <f t="shared" si="13"/>
      </c>
      <c r="N94" s="11">
        <f t="shared" si="14"/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>
        <f>IFERROR(CalcRC27(F94,G94,K94,O94,P94,Q94,R94,S94,T94,U94,V94),"-")</f>
      </c>
      <c r="X94" s="13"/>
    </row>
    <row r="95" spans="2:24" ht="13.8" x14ac:dyDescent="0.2">
      <c r="B95" s="8">
        <f t="shared" si="10"/>
      </c>
      <c r="C95" s="10">
        <v>90</v>
      </c>
      <c r="D95" t="s" s="13">
        <v>1289</v>
      </c>
      <c r="E95" s="11">
        <f t="shared" si="11"/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</c>
      <c r="L95" s="7">
        <v>0</v>
      </c>
      <c r="M95" s="11">
        <f t="shared" si="13"/>
      </c>
      <c r="N95" s="11">
        <f t="shared" si="14"/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>
        <f>IFERROR(CalcRC27(F95,G95,K95,O95,P95,Q95,R95,S95,T95,U95,V95),"-")</f>
      </c>
      <c r="X95" t="s" s="13">
        <v>1114</v>
      </c>
    </row>
    <row r="96" spans="2:24" ht="13.8" x14ac:dyDescent="0.2">
      <c r="B96" s="8">
        <f t="shared" si="10"/>
      </c>
      <c r="C96" s="10">
        <v>91</v>
      </c>
      <c r="D96" t="s" s="13">
        <v>1115</v>
      </c>
      <c r="E96" s="11">
        <f t="shared" si="11"/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</c>
      <c r="L96" s="7">
        <v>0</v>
      </c>
      <c r="M96" s="11">
        <f t="shared" si="13"/>
      </c>
      <c r="N96" s="11">
        <f t="shared" si="14"/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>
        <f>IFERROR(CalcRC27(F96,G96,K96,O96,P96,Q96,R96,S96,T96,U96,V96),"-")</f>
      </c>
      <c r="X96" t="s" s="13">
        <v>1116</v>
      </c>
    </row>
    <row r="97" spans="2:24" ht="13.8" x14ac:dyDescent="0.2">
      <c r="B97" s="8">
        <f t="shared" si="10"/>
      </c>
      <c r="C97" s="10">
        <v>92</v>
      </c>
      <c r="D97" t="s" s="13">
        <v>1117</v>
      </c>
      <c r="E97" s="11">
        <f t="shared" si="11"/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</c>
      <c r="L97" s="7">
        <v>0</v>
      </c>
      <c r="M97" s="11">
        <f t="shared" si="13"/>
      </c>
      <c r="N97" s="11">
        <f t="shared" si="14"/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>
        <f>IFERROR(CalcRC27(F97,G97,K97,O97,P97,Q97,R97,S97,T97,U97,V97),"-")</f>
      </c>
      <c r="X97" t="s" s="13">
        <v>1118</v>
      </c>
    </row>
    <row r="98" spans="2:24" ht="13.8" x14ac:dyDescent="0.2">
      <c r="B98" s="8">
        <f t="shared" si="10"/>
      </c>
      <c r="C98" s="10">
        <v>93</v>
      </c>
      <c r="D98" t="s" s="13">
        <v>1119</v>
      </c>
      <c r="E98" s="11">
        <f t="shared" si="11"/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</c>
      <c r="L98" s="7">
        <v>0</v>
      </c>
      <c r="M98" s="11">
        <f t="shared" si="13"/>
      </c>
      <c r="N98" s="11">
        <f t="shared" si="14"/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>
        <f>IFERROR(CalcRC27(F98,G98,K98,O98,P98,Q98,R98,S98,T98,U98,V98),"-")</f>
      </c>
      <c r="X98" t="s" s="13">
        <v>1120</v>
      </c>
    </row>
    <row r="99" spans="2:24" ht="13.8" x14ac:dyDescent="0.2">
      <c r="B99" s="8">
        <f t="shared" si="10"/>
      </c>
      <c r="C99" s="10">
        <v>94</v>
      </c>
      <c r="D99" t="s" s="13">
        <v>719</v>
      </c>
      <c r="E99" s="11">
        <f t="shared" si="11"/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</c>
      <c r="L99" s="7">
        <v>0</v>
      </c>
      <c r="M99" s="11">
        <f t="shared" si="13"/>
      </c>
      <c r="N99" s="11">
        <f t="shared" si="14"/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>
        <f>IFERROR(CalcRC27(F99,G99,K99,O99,P99,Q99,R99,S99,T99,U99,V99),"-")</f>
      </c>
      <c r="X99" t="s" s="13">
        <v>1121</v>
      </c>
    </row>
    <row r="100" spans="2:24" ht="13.8" x14ac:dyDescent="0.2">
      <c r="B100" s="8">
        <f t="shared" si="10"/>
      </c>
      <c r="C100" s="10">
        <v>95</v>
      </c>
      <c r="D100" s="13"/>
      <c r="E100" s="11">
        <f t="shared" si="11"/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</c>
      <c r="L100" s="7">
        <v>0</v>
      </c>
      <c r="M100" s="11">
        <f t="shared" si="13"/>
      </c>
      <c r="N100" s="11">
        <f t="shared" si="14"/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>
        <f>IFERROR(CalcRC27(F100,G100,K100,O100,P100,Q100,R100,S100,T100,U100,V100),"-")</f>
      </c>
      <c r="X100" s="13"/>
    </row>
    <row r="101" spans="2:24" ht="13.8" x14ac:dyDescent="0.2">
      <c r="B101" s="8">
        <f t="shared" si="10"/>
      </c>
      <c r="C101" s="10">
        <v>96</v>
      </c>
      <c r="D101" t="s" s="13">
        <v>1741</v>
      </c>
      <c r="E101" s="11">
        <f t="shared" si="11"/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</c>
      <c r="L101" s="7">
        <v>0</v>
      </c>
      <c r="M101" s="11">
        <f t="shared" si="13"/>
      </c>
      <c r="N101" s="11">
        <f t="shared" si="14"/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>
        <f>IFERROR(CalcRC27(F101,G101,K101,O101,P101,Q101,R101,S101,T101,U101,V101),"-")</f>
      </c>
      <c r="X101" t="s" s="13">
        <v>1122</v>
      </c>
    </row>
    <row r="102" spans="2:24" ht="13.8" x14ac:dyDescent="0.2">
      <c r="B102" s="8">
        <f t="shared" si="10"/>
      </c>
      <c r="C102" s="10">
        <v>97</v>
      </c>
      <c r="D102" t="s" s="13">
        <v>1330</v>
      </c>
      <c r="E102" s="11">
        <f t="shared" si="11"/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</c>
      <c r="L102" s="7">
        <v>0</v>
      </c>
      <c r="M102" s="11">
        <f t="shared" si="13"/>
      </c>
      <c r="N102" s="11">
        <f t="shared" si="14"/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>
        <f>IFERROR(CalcRC27(F102,G102,K102,O102,P102,Q102,R102,S102,T102,U102,V102),"-")</f>
      </c>
      <c r="X102" t="s" s="13">
        <v>1123</v>
      </c>
    </row>
    <row r="103" spans="2:24" ht="13.8" x14ac:dyDescent="0.2">
      <c r="B103" s="8">
        <f t="shared" si="10"/>
      </c>
      <c r="C103" s="10">
        <v>98</v>
      </c>
      <c r="D103" s="13"/>
      <c r="E103" s="11">
        <f t="shared" si="11"/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</c>
      <c r="L103" s="7">
        <v>0</v>
      </c>
      <c r="M103" s="11">
        <f t="shared" si="13"/>
      </c>
      <c r="N103" s="11">
        <f t="shared" si="14"/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</c>
      <c r="X103" s="13"/>
    </row>
    <row r="104" spans="2:24" ht="13.8" x14ac:dyDescent="0.2">
      <c r="B104" s="8">
        <f t="shared" si="10"/>
      </c>
      <c r="C104" s="10">
        <v>99</v>
      </c>
      <c r="D104" t="s" s="13">
        <v>1124</v>
      </c>
      <c r="E104" s="11">
        <f t="shared" si="11"/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</c>
      <c r="L104" s="7">
        <v>0</v>
      </c>
      <c r="M104" s="11">
        <f t="shared" si="13"/>
      </c>
      <c r="N104" s="11">
        <f t="shared" si="14"/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</c>
      <c r="X104" t="s" s="13">
        <v>1932</v>
      </c>
    </row>
    <row r="105" spans="2:24" ht="13.8" x14ac:dyDescent="0.2">
      <c r="B105" s="8">
        <f t="shared" si="10"/>
      </c>
      <c r="C105" t="s" s="10">
        <v>1229</v>
      </c>
      <c r="D105" t="s" s="23">
        <v>1449</v>
      </c>
      <c r="E105" s="11">
        <f t="shared" si="11"/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</c>
      <c r="L105" s="7">
        <v>0</v>
      </c>
      <c r="M105" s="11">
        <f t="shared" si="13"/>
      </c>
      <c r="N105" s="11">
        <f t="shared" si="14"/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>
        <f>IFERROR(CalcRC27(F105,G105,K105,O105,P105,Q105,R105,S105,T105,U105,V105),"-")</f>
      </c>
      <c r="X105" t="s" s="13">
        <v>692</v>
      </c>
    </row>
    <row r="106" spans="2:24" ht="13.8" x14ac:dyDescent="0.2">
      <c r="B106" s="8">
        <f t="shared" si="10"/>
      </c>
      <c r="C106" t="s" s="10">
        <v>1230</v>
      </c>
      <c r="D106" t="s" s="13">
        <v>1433</v>
      </c>
      <c r="E106" s="11">
        <f t="shared" si="11"/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</c>
      <c r="L106" s="7">
        <v>0</v>
      </c>
      <c r="M106" s="11">
        <f t="shared" si="13"/>
      </c>
      <c r="N106" s="11">
        <f t="shared" si="14"/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>
        <f>IFERROR(CalcRC27(F106,G106,K106,O106,P106,Q106,R106,S106,T106,U106,V106),"-")</f>
      </c>
      <c r="X106" t="s" s="13">
        <v>1125</v>
      </c>
    </row>
    <row r="107" spans="2:24" ht="13.8" x14ac:dyDescent="0.2">
      <c r="B107" s="8">
        <f t="shared" si="10"/>
      </c>
      <c r="C107" t="s" s="10">
        <v>1231</v>
      </c>
      <c r="D107" t="s" s="13">
        <v>1297</v>
      </c>
      <c r="E107" s="11">
        <f t="shared" si="11"/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</c>
      <c r="L107" s="7">
        <v>0</v>
      </c>
      <c r="M107" s="11">
        <f t="shared" si="13"/>
      </c>
      <c r="N107" s="11">
        <f t="shared" si="14"/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>
        <f>IFERROR(CalcRC27(F107,G107,K107,O107,P107,Q107,R107,S107,T107,U107,V107),"-")</f>
      </c>
      <c r="X107" t="s" s="13">
        <v>693</v>
      </c>
    </row>
    <row r="108" spans="2:24" ht="13.8" x14ac:dyDescent="0.2">
      <c r="B108" s="8">
        <f t="shared" si="10"/>
      </c>
      <c r="C108" t="s" s="10">
        <v>1232</v>
      </c>
      <c r="D108" t="s" s="13">
        <v>1768</v>
      </c>
      <c r="E108" s="11">
        <f t="shared" si="11"/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</c>
      <c r="L108" s="7">
        <v>0</v>
      </c>
      <c r="M108" s="11">
        <f t="shared" si="13"/>
      </c>
      <c r="N108" s="11">
        <f t="shared" si="14"/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>
        <f>IFERROR(CalcRC27(F108,G108,K108,O108,P108,Q108,R108,S108,T108,U108,V108),"-")</f>
      </c>
      <c r="X108" t="s" s="13">
        <v>1126</v>
      </c>
    </row>
    <row r="109" spans="2:24" ht="13.8" x14ac:dyDescent="0.2">
      <c r="B109" s="8">
        <f t="shared" si="10"/>
      </c>
      <c r="C109" t="s" s="10">
        <v>1233</v>
      </c>
      <c r="D109" t="s" s="13">
        <v>1127</v>
      </c>
      <c r="E109" s="11">
        <f t="shared" si="11"/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</c>
      <c r="L109" s="7">
        <v>0</v>
      </c>
      <c r="M109" s="11">
        <f t="shared" si="13"/>
      </c>
      <c r="N109" s="11">
        <f t="shared" si="14"/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>
        <f>IFERROR(CalcRC27(F109,G109,K109,O109,P109,Q109,R109,S109,T109,U109,V109),"-")</f>
      </c>
      <c r="X109" t="s" s="13">
        <v>1128</v>
      </c>
    </row>
    <row r="110" spans="2:24" ht="13.8" x14ac:dyDescent="0.2">
      <c r="B110" s="8">
        <f t="shared" si="10"/>
      </c>
      <c r="C110" t="s" s="10">
        <v>1129</v>
      </c>
      <c r="D110" t="s" s="13">
        <v>706</v>
      </c>
      <c r="E110" s="11">
        <f t="shared" si="11"/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</c>
      <c r="L110" s="7">
        <v>0</v>
      </c>
      <c r="M110" s="11">
        <f t="shared" si="13"/>
      </c>
      <c r="N110" s="11">
        <f t="shared" si="14"/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>
        <f>IFERROR(CalcRC27(F110,G110,K110,O110,P110,Q110,R110,S110,T110,U110,V110),"-")</f>
      </c>
      <c r="X110" t="s" s="13">
        <v>1048</v>
      </c>
    </row>
    <row r="111" spans="2:24" ht="13.8" x14ac:dyDescent="0.2">
      <c r="B111" s="8">
        <f t="shared" si="10"/>
      </c>
      <c r="C111" t="s" s="10">
        <v>1260</v>
      </c>
      <c r="D111" t="s" s="13">
        <v>1130</v>
      </c>
      <c r="E111" s="11">
        <f t="shared" si="11"/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</c>
      <c r="L111" s="7">
        <v>0</v>
      </c>
      <c r="M111" s="11">
        <f t="shared" si="13"/>
      </c>
      <c r="N111" s="11">
        <f t="shared" si="14"/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>
        <f>IFERROR(CalcRC27(F111,G111,K111,O111,P111,Q111,R111,S111,T111,U111,V111),"-")</f>
      </c>
      <c r="X111" t="s" s="13">
        <v>1131</v>
      </c>
    </row>
    <row r="112" spans="2:24" ht="13.8" x14ac:dyDescent="0.2">
      <c r="B112" s="8">
        <f t="shared" si="10"/>
      </c>
      <c r="C112" t="s" s="10">
        <v>1234</v>
      </c>
      <c r="D112" t="s" s="13">
        <v>1132</v>
      </c>
      <c r="E112" s="11">
        <f t="shared" si="11"/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</c>
      <c r="L112" s="7">
        <v>0</v>
      </c>
      <c r="M112" s="11">
        <f t="shared" si="13"/>
      </c>
      <c r="N112" s="11">
        <f t="shared" si="14"/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>
        <f>IFERROR(CalcRC27(F112,G112,K112,O112,P112,Q112,R112,S112,T112,U112,V112),"-")</f>
      </c>
      <c r="X112" t="s" s="13">
        <v>1133</v>
      </c>
    </row>
    <row r="113" spans="2:24" ht="13.8" x14ac:dyDescent="0.2">
      <c r="B113" s="8">
        <f t="shared" si="10"/>
      </c>
      <c r="C113" t="s" s="10">
        <v>1134</v>
      </c>
      <c r="D113" t="s" s="13">
        <v>707</v>
      </c>
      <c r="E113" s="11">
        <f t="shared" si="11"/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</c>
      <c r="L113" s="7">
        <v>0</v>
      </c>
      <c r="M113" s="11">
        <f t="shared" si="13"/>
      </c>
      <c r="N113" s="11">
        <f t="shared" si="14"/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>
        <f>IFERROR(CalcRC27(F113,G113,K113,O113,P113,Q113,R113,S113,T113,U113,V113),"-")</f>
      </c>
      <c r="X113" t="s" s="13">
        <v>694</v>
      </c>
    </row>
    <row r="114" spans="2:24" ht="13.8" x14ac:dyDescent="0.2">
      <c r="B114" s="8">
        <f t="shared" si="10"/>
      </c>
      <c r="C114" t="s" s="10">
        <v>1135</v>
      </c>
      <c r="D114" t="s" s="26">
        <v>708</v>
      </c>
      <c r="E114" s="11">
        <f t="shared" si="11"/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</c>
      <c r="L114" s="7">
        <v>0</v>
      </c>
      <c r="M114" s="11">
        <f t="shared" si="13"/>
      </c>
      <c r="N114" s="11">
        <f t="shared" si="14"/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>
        <f>IFERROR(CalcRC27(F114,G114,K114,O114,P114,Q114,R114,S114,T114,U114,V114),"-")</f>
      </c>
      <c r="X114" t="s" s="13">
        <v>695</v>
      </c>
    </row>
    <row r="115" spans="2:24" ht="13.8" x14ac:dyDescent="0.2">
      <c r="B115" s="8">
        <f t="shared" si="10"/>
      </c>
      <c r="C115" t="s" s="10">
        <v>1235</v>
      </c>
      <c r="D115" t="s" s="26">
        <v>709</v>
      </c>
      <c r="E115" s="11">
        <f t="shared" si="11"/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</c>
      <c r="L115" s="7">
        <v>0</v>
      </c>
      <c r="M115" s="11">
        <f t="shared" si="13"/>
      </c>
      <c r="N115" s="11">
        <f t="shared" si="14"/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>
        <f>IFERROR(CalcRC27(F115,G115,K115,O115,P115,Q115,R115,S115,T115,U115,V115),"-")</f>
      </c>
      <c r="X115" t="s" s="13">
        <v>696</v>
      </c>
    </row>
    <row r="116" spans="2:24" ht="13.8" x14ac:dyDescent="0.2">
      <c r="B116" s="8">
        <f t="shared" si="10"/>
      </c>
      <c r="C116" t="s" s="10">
        <v>1236</v>
      </c>
      <c r="D116" t="s" s="26">
        <v>1136</v>
      </c>
      <c r="E116" s="11">
        <f t="shared" si="11"/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</c>
      <c r="L116" s="7">
        <v>0</v>
      </c>
      <c r="M116" s="11">
        <f t="shared" si="13"/>
      </c>
      <c r="N116" s="11">
        <f t="shared" si="14"/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>
        <f>IFERROR(CalcRC27(F116,G116,K116,O116,P116,Q116,R116,S116,T116,U116,V116),"-")</f>
      </c>
      <c r="X116" t="s" s="13">
        <v>1137</v>
      </c>
    </row>
    <row r="117" spans="2:24" ht="13.8" x14ac:dyDescent="0.2">
      <c r="B117" s="8">
        <f t="shared" si="10"/>
      </c>
      <c r="C117" t="s" s="10">
        <v>1237</v>
      </c>
      <c r="D117" t="s" s="8">
        <v>686</v>
      </c>
      <c r="E117" s="11">
        <f t="shared" si="11"/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</c>
      <c r="L117" s="7">
        <v>0</v>
      </c>
      <c r="M117" s="11">
        <f t="shared" si="13"/>
      </c>
      <c r="N117" s="11">
        <f t="shared" si="14"/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>
        <f>IFERROR(CalcRC27(F117,G117,K117,O117,P117,Q117,R117,S117,T117,U117,V117),"-")</f>
      </c>
      <c r="X117" t="s" s="13">
        <v>1933</v>
      </c>
    </row>
    <row r="118" spans="2:24" ht="13.8" x14ac:dyDescent="0.2">
      <c r="B118" s="8">
        <f t="shared" si="10"/>
      </c>
      <c r="C118" t="s" s="10">
        <v>1238</v>
      </c>
      <c r="D118" t="s" s="26">
        <v>710</v>
      </c>
      <c r="E118" s="11">
        <f t="shared" si="11"/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</c>
      <c r="L118" s="7">
        <v>0</v>
      </c>
      <c r="M118" s="11">
        <f t="shared" si="13"/>
      </c>
      <c r="N118" s="11">
        <f t="shared" si="14"/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>
        <f>IFERROR(CalcRC27(F118,G118,K118,O118,P118,Q118,R118,S118,T118,U118,V118),"-")</f>
      </c>
      <c r="X118" t="s" s="13">
        <v>1138</v>
      </c>
    </row>
    <row r="119" spans="2:24" ht="13.8" x14ac:dyDescent="0.2">
      <c r="B119" s="8">
        <f t="shared" si="10"/>
      </c>
      <c r="C119" t="s" s="10">
        <v>1301</v>
      </c>
      <c r="D119" t="s" s="26">
        <v>711</v>
      </c>
      <c r="E119" s="11">
        <f t="shared" si="11"/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</c>
      <c r="L119" s="7">
        <v>0</v>
      </c>
      <c r="M119" s="11">
        <f t="shared" si="13"/>
      </c>
      <c r="N119" s="11">
        <f t="shared" si="14"/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>
        <f>IFERROR(CalcRC27(F119,G119,K119,O119,P119,Q119,R119,S119,T119,U119,V119),"-")</f>
      </c>
      <c r="X119" t="s" s="13">
        <v>697</v>
      </c>
    </row>
    <row r="120" spans="2:24" ht="13.8" x14ac:dyDescent="0.2">
      <c r="B120" s="8">
        <f t="shared" si="10"/>
      </c>
      <c r="C120" t="s" s="10">
        <v>1261</v>
      </c>
      <c r="D120" t="s" s="26">
        <v>1139</v>
      </c>
      <c r="E120" s="11">
        <f t="shared" si="11"/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</c>
      <c r="L120" s="7">
        <v>0</v>
      </c>
      <c r="M120" s="11">
        <f t="shared" si="13"/>
      </c>
      <c r="N120" s="11">
        <f t="shared" si="14"/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>
        <f>IFERROR(CalcRC27(F120,G120,K120,O120,P120,Q120,R120,S120,T120,U120,V120),"-")</f>
      </c>
      <c r="X120" t="s" s="13">
        <v>1140</v>
      </c>
    </row>
    <row r="121" spans="2:24" ht="13.8" x14ac:dyDescent="0.2">
      <c r="B121" s="8">
        <f t="shared" si="10"/>
      </c>
      <c r="C121" t="s" s="10">
        <v>1141</v>
      </c>
      <c r="D121" t="s" s="26">
        <v>713</v>
      </c>
      <c r="E121" s="11">
        <f t="shared" si="11"/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</c>
      <c r="L121" s="7">
        <v>0</v>
      </c>
      <c r="M121" s="11">
        <f t="shared" si="13"/>
      </c>
      <c r="N121" s="11">
        <f t="shared" si="14"/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>
        <f>IFERROR(CalcRC27(F121,G121,K121,O121,P121,Q121,R121,S121,T121,U121,V121),"-")</f>
      </c>
      <c r="X121" t="s" s="13">
        <v>698</v>
      </c>
    </row>
    <row r="122" spans="2:24" ht="13.8" x14ac:dyDescent="0.2">
      <c r="B122" s="8">
        <f t="shared" si="10"/>
      </c>
      <c r="C122" t="s" s="10">
        <v>1302</v>
      </c>
      <c r="D122" t="s" s="26">
        <v>1142</v>
      </c>
      <c r="E122" s="11">
        <f t="shared" si="11"/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</c>
      <c r="L122" s="7">
        <v>0</v>
      </c>
      <c r="M122" s="11">
        <f t="shared" si="13"/>
      </c>
      <c r="N122" s="11">
        <f t="shared" si="14"/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>
        <f>IFERROR(CalcRC27(F122,G122,K122,O122,P122,Q122,R122,S122,T122,U122,V122),"-")</f>
      </c>
      <c r="X122" t="s" s="13">
        <v>1143</v>
      </c>
    </row>
    <row r="123" spans="2:24" ht="13.8" x14ac:dyDescent="0.2">
      <c r="B123" s="8">
        <f t="shared" si="10"/>
      </c>
      <c r="C123" t="s" s="10">
        <v>1239</v>
      </c>
      <c r="D123" t="s" s="26">
        <v>1144</v>
      </c>
      <c r="E123" s="11">
        <f t="shared" si="11"/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</c>
      <c r="L123" s="7">
        <v>0</v>
      </c>
      <c r="M123" s="11">
        <f t="shared" si="13"/>
      </c>
      <c r="N123" s="11">
        <f t="shared" si="14"/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>
        <f>IFERROR(CalcRC27(F123,G123,K123,O123,P123,Q123,R123,S123,T123,U123,V123),"-")</f>
      </c>
      <c r="X123" t="s" s="13">
        <v>691</v>
      </c>
    </row>
    <row r="124" spans="2:24" ht="13.8" x14ac:dyDescent="0.2">
      <c r="B124" s="8">
        <f t="shared" si="10"/>
      </c>
      <c r="C124" t="s" s="10">
        <v>1240</v>
      </c>
      <c r="D124" t="s" s="26">
        <v>1226</v>
      </c>
      <c r="E124" s="11">
        <f t="shared" si="11"/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</c>
      <c r="L124" s="7">
        <v>0</v>
      </c>
      <c r="M124" s="11">
        <f t="shared" si="13"/>
      </c>
      <c r="N124" s="11">
        <f t="shared" si="14"/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>
        <f>IFERROR(CalcRC27(F124,G124,K124,O124,P124,Q124,R124,S124,T124,U124,V124),"-")</f>
      </c>
      <c r="X124" t="s" s="13">
        <v>812</v>
      </c>
    </row>
    <row r="125" spans="2:24" ht="13.8" x14ac:dyDescent="0.2">
      <c r="B125" s="8">
        <f t="shared" si="10"/>
      </c>
      <c r="C125" t="s" s="10">
        <v>1241</v>
      </c>
      <c r="D125" t="s" s="26">
        <v>714</v>
      </c>
      <c r="E125" s="11">
        <f t="shared" si="11"/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</c>
      <c r="L125" s="7">
        <v>0</v>
      </c>
      <c r="M125" s="11">
        <f t="shared" si="13"/>
      </c>
      <c r="N125" s="11">
        <f t="shared" si="14"/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>
        <f>IFERROR(CalcRC27(F125,G125,K125,O125,P125,Q125,R125,S125,T125,U125,V125),"-")</f>
      </c>
      <c r="X125" t="s" s="13">
        <v>699</v>
      </c>
    </row>
    <row r="126" spans="2:24" ht="13.8" x14ac:dyDescent="0.2">
      <c r="B126" s="8">
        <f t="shared" si="10"/>
      </c>
      <c r="C126" t="s" s="10">
        <v>1303</v>
      </c>
      <c r="D126" t="s" s="26">
        <v>1657</v>
      </c>
      <c r="E126" s="11">
        <f t="shared" si="11"/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</c>
      <c r="L126" s="7">
        <v>0</v>
      </c>
      <c r="M126" s="11">
        <f t="shared" si="13"/>
      </c>
      <c r="N126" s="11">
        <f t="shared" si="14"/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>
        <f>IFERROR(CalcRC27(F126,G126,K126,O126,P126,Q126,R126,S126,T126,U126,V126),"-")</f>
      </c>
      <c r="X126" t="s" s="13">
        <v>1145</v>
      </c>
    </row>
    <row r="127" spans="2:24" ht="13.8" x14ac:dyDescent="0.2">
      <c r="B127" s="8">
        <f t="shared" si="10"/>
      </c>
      <c r="C127" t="s" s="10">
        <v>1305</v>
      </c>
      <c r="D127" t="s" s="26">
        <v>1531</v>
      </c>
      <c r="E127" s="11">
        <f t="shared" si="11"/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</c>
      <c r="L127" s="7">
        <v>0</v>
      </c>
      <c r="M127" s="11">
        <f t="shared" si="13"/>
      </c>
      <c r="N127" s="11">
        <f t="shared" si="14"/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>
        <f>IFERROR(CalcRC27(F127,G127,K127,O127,P127,Q127,R127,S127,T127,U127,V127),"-")</f>
      </c>
      <c r="X127" t="s" s="13">
        <v>700</v>
      </c>
    </row>
    <row r="128" spans="2:24" ht="13.8" x14ac:dyDescent="0.2">
      <c r="B128" s="8">
        <f t="shared" si="10"/>
      </c>
      <c r="C128" t="s" s="10">
        <v>1307</v>
      </c>
      <c r="D128" t="s" s="26">
        <v>715</v>
      </c>
      <c r="E128" s="11">
        <f t="shared" si="11"/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</c>
      <c r="L128" s="7">
        <v>0</v>
      </c>
      <c r="M128" s="11">
        <f t="shared" si="13"/>
      </c>
      <c r="N128" s="11">
        <f t="shared" si="14"/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>
        <f>IFERROR(CalcRC27(F128,G128,K128,O128,P128,Q128,R128,S128,T128,U128,V128),"-")</f>
      </c>
      <c r="X128" t="s" s="13">
        <v>701</v>
      </c>
    </row>
    <row r="129" spans="2:24" ht="13.8" x14ac:dyDescent="0.2">
      <c r="B129" s="8">
        <f t="shared" si="10"/>
      </c>
      <c r="C129" t="s" s="10">
        <v>1308</v>
      </c>
      <c r="D129" t="s" s="26">
        <v>1183</v>
      </c>
      <c r="E129" s="11">
        <f t="shared" si="11"/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</c>
      <c r="L129" s="7">
        <v>0</v>
      </c>
      <c r="M129" s="11">
        <f t="shared" si="13"/>
      </c>
      <c r="N129" s="11">
        <f t="shared" si="14"/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>
        <f>IFERROR(CalcRC27(F129,G129,K129,O129,P129,Q129,R129,S129,T129,U129,V129),"-")</f>
      </c>
      <c r="X129" t="s" s="13">
        <v>1146</v>
      </c>
    </row>
    <row r="130" spans="2:24" ht="13.8" x14ac:dyDescent="0.2">
      <c r="B130" s="8">
        <f t="shared" si="10"/>
      </c>
      <c r="C130" t="s" s="10">
        <v>1147</v>
      </c>
      <c r="D130" t="s" s="26">
        <v>1148</v>
      </c>
      <c r="E130" s="11">
        <f t="shared" si="11"/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</c>
      <c r="L130" s="7">
        <v>0</v>
      </c>
      <c r="M130" s="11">
        <f t="shared" si="13"/>
      </c>
      <c r="N130" s="11">
        <f t="shared" si="14"/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>
        <f>IFERROR(CalcRC27(F130,G130,K130,O130,P130,Q130,R130,S130,T130,U130,V130),"-")</f>
      </c>
      <c r="X130" t="s" s="13">
        <v>1149</v>
      </c>
    </row>
    <row r="131" spans="2:24" ht="13.8" x14ac:dyDescent="0.2">
      <c r="B131" s="8">
        <f t="shared" si="10"/>
      </c>
      <c r="C131" t="s" s="10">
        <v>1150</v>
      </c>
      <c r="D131" t="s" s="26">
        <v>716</v>
      </c>
      <c r="E131" s="11">
        <f t="shared" si="11"/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</c>
      <c r="L131" s="7">
        <v>0</v>
      </c>
      <c r="M131" s="11">
        <f t="shared" si="13"/>
      </c>
      <c r="N131" s="11">
        <f t="shared" si="14"/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>
        <f>IFERROR(CalcRC27(F131,G131,K131,O131,P131,Q131,R131,S131,T131,U131,V131),"-")</f>
      </c>
      <c r="X131" t="s" s="13">
        <v>702</v>
      </c>
    </row>
    <row r="132" spans="2:24" ht="13.8" x14ac:dyDescent="0.2">
      <c r="B132" s="8">
        <f t="shared" si="10"/>
      </c>
      <c r="C132" t="s" s="10">
        <v>1151</v>
      </c>
      <c r="D132" t="s" s="26">
        <v>717</v>
      </c>
      <c r="E132" s="11">
        <f t="shared" si="11"/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</c>
      <c r="L132" s="7">
        <v>0</v>
      </c>
      <c r="M132" s="11">
        <f t="shared" si="13"/>
      </c>
      <c r="N132" s="11">
        <f t="shared" si="14"/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>
        <f>IFERROR(CalcRC27(F132,G132,K132,O132,P132,Q132,R132,S132,T132,U132,V132),"-")</f>
      </c>
      <c r="X132" t="s" s="13">
        <v>703</v>
      </c>
    </row>
    <row r="133" spans="2:24" ht="13.8" x14ac:dyDescent="0.2">
      <c r="B133" s="8">
        <f t="shared" ref="B133:B150" si="15">IF(C133="","",C133)</f>
      </c>
      <c r="C133" t="s" s="10">
        <v>1828</v>
      </c>
      <c r="D133" t="s" s="26">
        <v>1152</v>
      </c>
      <c r="E133" s="11">
        <f t="shared" ref="E133:E150" si="16">IFERROR(IF(G133/F133=1,"1.00",G133/F133),"---")</f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</c>
      <c r="L133" s="7">
        <v>0</v>
      </c>
      <c r="M133" s="11">
        <f t="shared" si="13"/>
      </c>
      <c r="N133" s="11">
        <f t="shared" si="14"/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>
        <f>IFERROR(CalcRC27(F133,G133,K133,O133,P133,Q133,R133,S133,T133,U133,V133),"-")</f>
      </c>
      <c r="X133" t="s" s="13">
        <v>1153</v>
      </c>
    </row>
    <row r="134" spans="2:24" ht="13.8" x14ac:dyDescent="0.2">
      <c r="B134" s="8">
        <f t="shared" si="15"/>
      </c>
      <c r="C134" t="s" s="10">
        <v>1154</v>
      </c>
      <c r="D134" t="s" s="26">
        <v>1155</v>
      </c>
      <c r="E134" s="11">
        <f t="shared" si="16"/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ref="K134:K150" si="17">((G134-H134-I134-J134)+(H134*2)+(I134*3)+(J134*4))</f>
      </c>
      <c r="L134" s="7">
        <v>0</v>
      </c>
      <c r="M134" s="11">
        <f t="shared" ref="M134:M150" si="18">IFERROR(IF((G134+P134+Q134)/(F134+P134+Q134+S134)=1,"1.00",(G134+P134+Q134)/(F134+P134+Q134+S134)),0)</f>
      </c>
      <c r="N134" s="11">
        <f t="shared" ref="N134:N150" si="19">IFERROR(SUM(K134/F134,((G134+P134+Q134)/(F134+P134+Q134+S134))),M134)</f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>
        <f>IFERROR(CalcRC27(F134,G134,K134,O134,P134,Q134,R134,S134,T134,U134,V134),"-")</f>
      </c>
      <c r="X134" t="s" s="13">
        <v>1156</v>
      </c>
    </row>
    <row r="135" spans="2:24" ht="13.8" x14ac:dyDescent="0.2">
      <c r="B135" s="8">
        <f t="shared" si="15"/>
      </c>
      <c r="C135" t="s" s="10">
        <v>1831</v>
      </c>
      <c r="D135" t="s" s="26">
        <v>1157</v>
      </c>
      <c r="E135" s="11">
        <f t="shared" si="16"/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7"/>
      </c>
      <c r="L135" s="7">
        <v>0</v>
      </c>
      <c r="M135" s="11">
        <f t="shared" si="18"/>
      </c>
      <c r="N135" s="11">
        <f t="shared" si="19"/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3">
        <f>IFERROR(CalcRC27(F135,G135,K135,O135,P135,Q135,R135,S135,T135,U135,V135),"-")</f>
      </c>
      <c r="X135" t="s" s="13">
        <v>1158</v>
      </c>
    </row>
    <row r="136" spans="2:24" ht="13.8" x14ac:dyDescent="0.2">
      <c r="B136" s="8">
        <f t="shared" si="15"/>
      </c>
      <c r="C136" t="s" s="10">
        <v>1159</v>
      </c>
      <c r="D136" t="s" s="8">
        <v>1160</v>
      </c>
      <c r="E136" s="11">
        <f t="shared" si="16"/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7"/>
      </c>
      <c r="L136" s="7">
        <v>0</v>
      </c>
      <c r="M136" s="11">
        <f t="shared" si="18"/>
      </c>
      <c r="N136" s="11">
        <f t="shared" si="19"/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3">
        <f>IFERROR(CalcRC27(F136,G136,K136,O136,P136,Q136,R136,S136,T136,U136,V136),"-")</f>
      </c>
      <c r="X136" t="s" s="13">
        <v>1934</v>
      </c>
    </row>
    <row r="137" spans="2:24" ht="13.8" x14ac:dyDescent="0.2">
      <c r="B137" s="8">
        <f t="shared" si="15"/>
      </c>
      <c r="C137" t="s" s="10">
        <v>1161</v>
      </c>
      <c r="D137" t="s" s="26">
        <v>1162</v>
      </c>
      <c r="E137" s="11">
        <f t="shared" si="16"/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7"/>
      </c>
      <c r="L137" s="7">
        <v>0</v>
      </c>
      <c r="M137" s="11">
        <f t="shared" si="18"/>
      </c>
      <c r="N137" s="11">
        <f t="shared" si="19"/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3">
        <f>IFERROR(CalcRC27(F137,G137,K137,O137,P137,Q137,R137,S137,T137,U137,V137),"-")</f>
      </c>
      <c r="X137" t="s" s="13">
        <v>687</v>
      </c>
    </row>
    <row r="138" spans="2:24" ht="13.8" x14ac:dyDescent="0.2">
      <c r="B138" s="8">
        <f t="shared" si="15"/>
      </c>
      <c r="C138" t="s" s="10">
        <v>1837</v>
      </c>
      <c r="D138" t="s" s="26">
        <v>1163</v>
      </c>
      <c r="E138" s="11">
        <f t="shared" si="16"/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7"/>
      </c>
      <c r="L138" s="7">
        <v>0</v>
      </c>
      <c r="M138" s="11">
        <f t="shared" si="18"/>
      </c>
      <c r="N138" s="11">
        <f t="shared" si="19"/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3">
        <f>IFERROR(CalcRC27(F138,G138,K138,O138,P138,Q138,R138,S138,T138,U138,V138),"-")</f>
      </c>
      <c r="X138" t="s" s="13">
        <v>1164</v>
      </c>
    </row>
    <row r="139" spans="2:24" ht="13.8" x14ac:dyDescent="0.2">
      <c r="B139" s="8">
        <f t="shared" si="15"/>
      </c>
      <c r="C139" t="s" s="10">
        <v>1165</v>
      </c>
      <c r="D139" t="s" s="26">
        <v>718</v>
      </c>
      <c r="E139" s="11">
        <f t="shared" si="16"/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7"/>
      </c>
      <c r="L139" s="7">
        <v>0</v>
      </c>
      <c r="M139" s="11">
        <f t="shared" si="18"/>
      </c>
      <c r="N139" s="11">
        <f t="shared" si="19"/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3">
        <f>IFERROR(CalcRC27(F139,G139,K139,O139,P139,Q139,R139,S139,T139,U139,V139),"-")</f>
      </c>
      <c r="X139" t="s" s="13">
        <v>704</v>
      </c>
    </row>
    <row r="140" spans="2:24" ht="13.8" x14ac:dyDescent="0.2">
      <c r="B140" s="8">
        <f t="shared" si="15"/>
      </c>
      <c r="C140" t="s" s="10">
        <v>1166</v>
      </c>
      <c r="D140" t="s" s="26">
        <v>1167</v>
      </c>
      <c r="E140" s="11">
        <f t="shared" si="16"/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7"/>
      </c>
      <c r="L140" s="7">
        <v>0</v>
      </c>
      <c r="M140" s="11">
        <f t="shared" si="18"/>
      </c>
      <c r="N140" s="11">
        <f t="shared" si="19"/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3">
        <f>IFERROR(CalcRC27(F140,G140,K140,O140,P140,Q140,R140,S140,T140,U140,V140),"-")</f>
      </c>
      <c r="X140" t="s" s="13">
        <v>779</v>
      </c>
    </row>
    <row r="141" spans="2:24" ht="13.8" x14ac:dyDescent="0.2">
      <c r="B141" s="8">
        <f t="shared" si="15"/>
      </c>
      <c r="C141" t="s" s="10">
        <v>1168</v>
      </c>
      <c r="D141" t="s" s="26">
        <v>1551</v>
      </c>
      <c r="E141" s="11">
        <f t="shared" si="16"/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7"/>
      </c>
      <c r="L141" s="7">
        <v>0</v>
      </c>
      <c r="M141" s="11">
        <f t="shared" si="18"/>
      </c>
      <c r="N141" s="11">
        <f t="shared" si="19"/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3">
        <f>IFERROR(CalcRC27(F141,G141,K141,O141,P141,Q141,R141,S141,T141,U141,V141),"-")</f>
      </c>
      <c r="X141" t="s" s="13">
        <v>705</v>
      </c>
    </row>
    <row r="142" spans="2:24" ht="13.8" x14ac:dyDescent="0.2">
      <c r="B142" s="8">
        <f t="shared" si="15"/>
      </c>
      <c r="C142" t="s" s="10">
        <v>1169</v>
      </c>
      <c r="D142" t="s" s="8">
        <v>1170</v>
      </c>
      <c r="E142" s="11">
        <f t="shared" si="16"/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7"/>
      </c>
      <c r="L142" s="7">
        <v>0</v>
      </c>
      <c r="M142" s="11">
        <f t="shared" si="18"/>
      </c>
      <c r="N142" s="11">
        <f t="shared" si="19"/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3">
        <f>IFERROR(CalcRC27(F142,G142,K142,O142,P142,Q142,R142,S142,T142,U142,V142),"-")</f>
      </c>
      <c r="X142" t="s" s="13">
        <v>1935</v>
      </c>
    </row>
    <row r="143" spans="2:24" ht="13.8" x14ac:dyDescent="0.2">
      <c r="B143" s="8">
        <f t="shared" si="15"/>
      </c>
      <c r="C143" t="s" s="10">
        <v>1171</v>
      </c>
      <c r="D143" t="s" s="26">
        <v>1172</v>
      </c>
      <c r="E143" s="11">
        <f t="shared" si="16"/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7"/>
      </c>
      <c r="L143" s="7">
        <v>0</v>
      </c>
      <c r="M143" s="11">
        <f t="shared" si="18"/>
      </c>
      <c r="N143" s="11">
        <f t="shared" si="19"/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3">
        <f>IFERROR(CalcRC27(F143,G143,K143,O143,P143,Q143,R143,S143,T143,U143,V143),"-")</f>
      </c>
      <c r="X143" t="s" s="13">
        <v>689</v>
      </c>
    </row>
    <row r="144" spans="2:24" ht="13.8" x14ac:dyDescent="0.2">
      <c r="B144" s="8">
        <f t="shared" si="15"/>
      </c>
      <c r="C144" t="s" s="10">
        <v>1173</v>
      </c>
      <c r="D144" t="s" s="26">
        <v>1174</v>
      </c>
      <c r="E144" s="11">
        <f t="shared" si="16"/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17"/>
      </c>
      <c r="L144" s="7">
        <v>0</v>
      </c>
      <c r="M144" s="11">
        <f t="shared" si="18"/>
      </c>
      <c r="N144" s="11">
        <f t="shared" si="19"/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3">
        <f>IFERROR(CalcRC27(F144,G144,K144,O144,P144,Q144,R144,S144,T144,U144,V144),"-")</f>
      </c>
      <c r="X144" t="s" s="13">
        <v>690</v>
      </c>
    </row>
    <row r="145" spans="2:24" ht="13.8" x14ac:dyDescent="0.2">
      <c r="B145" s="8">
        <f t="shared" si="15"/>
      </c>
      <c r="C145" t="s" s="10">
        <v>1175</v>
      </c>
      <c r="D145" t="s" s="8">
        <v>179</v>
      </c>
      <c r="E145" s="11">
        <f t="shared" si="16"/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17"/>
      </c>
      <c r="L145" s="7">
        <v>0</v>
      </c>
      <c r="M145" s="11">
        <f t="shared" si="18"/>
      </c>
      <c r="N145" s="11">
        <f t="shared" si="19"/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3">
        <f>IFERROR(CalcRC27(F145,G145,K145,O145,P145,Q145,R145,S145,T145,U145,V145),"-")</f>
      </c>
      <c r="X145" t="s" s="13">
        <v>1936</v>
      </c>
    </row>
    <row r="146" spans="2:24" ht="13.8" x14ac:dyDescent="0.2">
      <c r="B146" s="8">
        <f t="shared" si="15"/>
      </c>
      <c r="C146" s="10"/>
      <c r="D146" s="8"/>
      <c r="E146" s="11">
        <f t="shared" si="16"/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7"/>
      </c>
      <c r="L146" s="7">
        <v>0</v>
      </c>
      <c r="M146" s="11">
        <f t="shared" si="18"/>
      </c>
      <c r="N146" s="11">
        <f t="shared" si="19"/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3">
        <f>IFERROR(CalcRC27(F146,G146,K146,O146,P146,Q146,R146,S146,T146,U146,V146),"-")</f>
      </c>
      <c r="X146" s="13"/>
    </row>
    <row r="147" spans="2:24" ht="13.8" x14ac:dyDescent="0.2">
      <c r="B147" s="8">
        <f t="shared" si="15"/>
      </c>
      <c r="C147" s="10"/>
      <c r="D147" s="8"/>
      <c r="E147" s="11">
        <f t="shared" si="16"/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7"/>
      </c>
      <c r="L147" s="7">
        <v>0</v>
      </c>
      <c r="M147" s="11">
        <f t="shared" si="18"/>
      </c>
      <c r="N147" s="11">
        <f t="shared" si="19"/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3">
        <f>IFERROR(CalcRC27(F147,G147,K147,O147,P147,Q147,R147,S147,T147,U147,V147),"-")</f>
      </c>
      <c r="X147" s="13"/>
    </row>
    <row r="148" spans="2:24" ht="13.8" x14ac:dyDescent="0.2">
      <c r="B148" s="8">
        <f t="shared" si="15"/>
      </c>
      <c r="C148" s="10"/>
      <c r="D148" s="8"/>
      <c r="E148" s="11">
        <f t="shared" si="16"/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7"/>
      </c>
      <c r="L148" s="7">
        <v>0</v>
      </c>
      <c r="M148" s="11">
        <f t="shared" si="18"/>
      </c>
      <c r="N148" s="11">
        <f t="shared" si="19"/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3">
        <f>IFERROR(CalcRC27(F148,G148,K148,O148,P148,Q148,R148,S148,T148,U148,V148),"-")</f>
      </c>
      <c r="X148" s="13"/>
    </row>
    <row r="149" spans="2:24" ht="13.8" x14ac:dyDescent="0.2">
      <c r="B149" s="8">
        <f t="shared" si="15"/>
      </c>
      <c r="C149" s="10"/>
      <c r="D149" s="8"/>
      <c r="E149" s="11">
        <f t="shared" si="16"/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7"/>
      </c>
      <c r="L149" s="7">
        <v>0</v>
      </c>
      <c r="M149" s="11">
        <f t="shared" si="18"/>
      </c>
      <c r="N149" s="11">
        <f t="shared" si="19"/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3">
        <f>IFERROR(CalcRC27(F149,G149,K149,O149,P149,Q149,R149,S149,T149,U149,V149),"-")</f>
      </c>
      <c r="X149" s="13"/>
    </row>
    <row r="150" spans="2:24" ht="13.8" x14ac:dyDescent="0.2">
      <c r="B150" s="8">
        <f t="shared" si="15"/>
      </c>
      <c r="C150" s="10"/>
      <c r="D150" s="8"/>
      <c r="E150" s="11">
        <f t="shared" si="16"/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7"/>
      </c>
      <c r="L150" s="7">
        <v>0</v>
      </c>
      <c r="M150" s="11">
        <f t="shared" si="18"/>
      </c>
      <c r="N150" s="11">
        <f t="shared" si="19"/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3">
        <f>IFERROR(CalcRC27(F150,G150,K150,O150,P150,Q150,R150,S150,T150,U150,V150),"-")</f>
      </c>
      <c r="X150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BA797-777A-4B4F-877E-D48D0698BE83}">
  <sheetPr codeName="Sheet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2"/>
      <c r="C2" s="122"/>
      <c r="D2" s="122"/>
      <c r="E2" s="4">
        <f>IFERROR(G2/F2,0)</f>
      </c>
      <c r="F2" s="5">
        <f t="shared" ref="F2:L2" si="0">SUM(F4:F104)</f>
      </c>
      <c r="G2" s="5">
        <f t="shared" si="0"/>
      </c>
      <c r="H2" s="5">
        <f t="shared" si="0"/>
      </c>
      <c r="I2" s="5">
        <f t="shared" si="0"/>
      </c>
      <c r="J2" s="6">
        <f t="shared" si="0"/>
      </c>
      <c r="K2" s="12">
        <f t="shared" si="0"/>
      </c>
      <c r="L2" s="7">
        <f t="shared" si="0"/>
      </c>
      <c r="M2" s="11">
        <f>IFERROR(IF((G2+P2+Q2)/(F2+P2+Q2+R2)=1,"1.00",(G2+P2+Q2)/(F2+P2+Q2+R2)),0)</f>
      </c>
      <c r="N2" s="11">
        <f>IFERROR(SUM(SUM(((G2-H2-I2-J2)*1),H2*2,I2*3,J2*4)/F2,((G2+P2+Q2)/(F2+P2+Q2+R2))),M2)</f>
      </c>
      <c r="O2" s="5">
        <f>SUM(O4:O104)</f>
      </c>
      <c r="P2" s="5">
        <f>SUM(P4:P104)</f>
      </c>
      <c r="Q2" s="5">
        <f>SUM(Q4:Q104)</f>
      </c>
      <c r="R2" s="5">
        <f>SUM(R4:R104)</f>
      </c>
      <c r="S2" s="5">
        <f>SUM(S4:S104)</f>
      </c>
      <c r="T2" s="5">
        <f t="shared" ref="T2:V2" si="1">SUM(T4:T104)</f>
      </c>
      <c r="U2" s="5">
        <f t="shared" si="1"/>
      </c>
      <c r="V2" s="5">
        <f t="shared" si="1"/>
      </c>
      <c r="W2" s="20">
        <f>IFERROR(CalcRC27(F2,G2,K2,O2,P2,Q2,R2,S2,T2,U2,V2),"-")</f>
      </c>
      <c r="X2" t="s" s="121">
        <v>229</v>
      </c>
    </row>
    <row r="3" spans="2:24" x14ac:dyDescent="0.2">
      <c r="B3" t="s" s="55">
        <v>841</v>
      </c>
      <c r="C3" t="s" s="56">
        <v>1039</v>
      </c>
      <c r="D3" t="s" s="56">
        <v>1040</v>
      </c>
      <c r="E3" t="s" s="57">
        <v>56</v>
      </c>
      <c r="F3" t="s" s="58">
        <v>0</v>
      </c>
      <c r="G3" t="s" s="55">
        <v>1</v>
      </c>
      <c r="H3" t="s" s="55">
        <v>360</v>
      </c>
      <c r="I3" t="s" s="55">
        <v>361</v>
      </c>
      <c r="J3" t="s" s="59">
        <v>1041</v>
      </c>
      <c r="K3" t="s" s="55">
        <v>983</v>
      </c>
      <c r="L3" t="s" s="60">
        <v>2</v>
      </c>
      <c r="M3" t="s" s="61">
        <v>359</v>
      </c>
      <c r="N3" t="s" s="57">
        <v>362</v>
      </c>
      <c r="O3" t="s" s="62">
        <v>978</v>
      </c>
      <c r="P3" t="s" s="55">
        <v>234</v>
      </c>
      <c r="Q3" t="s" s="55">
        <v>235</v>
      </c>
      <c r="R3" t="s" s="55">
        <v>976</v>
      </c>
      <c r="S3" t="s" s="55">
        <v>977</v>
      </c>
      <c r="T3" t="s" s="55">
        <v>979</v>
      </c>
      <c r="U3" t="s" s="55">
        <v>980</v>
      </c>
      <c r="V3" t="s" s="55">
        <v>981</v>
      </c>
      <c r="W3" t="s" s="55">
        <v>982</v>
      </c>
      <c r="X3" s="121"/>
    </row>
    <row r="4" spans="2:24" ht="13.8" x14ac:dyDescent="0.2">
      <c r="B4" s="8">
        <f>IF(C4="","",C4)</f>
      </c>
      <c r="C4" t="s" s="10">
        <v>173</v>
      </c>
      <c r="D4" t="s" s="13">
        <v>1288</v>
      </c>
      <c r="E4" s="11">
        <f>IFERROR(IF(G4/F4=1,"1.00",G4/F4),"---")</f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2">((G4-H4-I4-J4)+(H4*2)+(I4*3)+(J4*4))</f>
      </c>
      <c r="L4" s="7">
        <v>0</v>
      </c>
      <c r="M4" s="11">
        <f t="shared" ref="M4:M67" si="3">IFERROR(IF((G4+P4+Q4)/(F4+P4+Q4+S4)=1,"1.00",(G4+P4+Q4)/(F4+P4+Q4+S4)),0)</f>
      </c>
      <c r="N4" s="11">
        <f t="shared" ref="N4:N67" si="4">IFERROR(SUM(K4/F4,((G4+P4+Q4)/(F4+P4+Q4+S4))),M4)</f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>
        <f>IFERROR(CalcRC27(F4,G4,K4,O4,P4,Q4,R4,S4,T4,U4,V4),"-")</f>
      </c>
      <c r="X4" t="s" s="2">
        <v>1309</v>
      </c>
    </row>
    <row r="5" spans="2:24" ht="13.8" x14ac:dyDescent="0.2">
      <c r="B5" s="8">
        <f t="shared" ref="B5:B68" si="5">IF(C5="","",C5)</f>
      </c>
      <c r="C5" s="10">
        <v>0</v>
      </c>
      <c r="D5" t="s" s="13">
        <v>180</v>
      </c>
      <c r="E5" s="11">
        <f t="shared" ref="E5:E68" si="6">IFERROR(IF(G5/F5=1,"1.00",G5/F5),"---")</f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7">((G5-H5-I5-J5)+(H5*2)+(I5*3)+(J5*4))</f>
      </c>
      <c r="L5" s="7">
        <v>0</v>
      </c>
      <c r="M5" s="11">
        <f t="shared" ref="M5:M68" si="8">IFERROR(IF((G5+P5+Q5)/(F5+P5+Q5+S5)=1,"1.00",(G5+P5+Q5)/(F5+P5+Q5+S5)),0)</f>
      </c>
      <c r="N5" s="11">
        <f t="shared" ref="N5:N68" si="9">IFERROR(SUM(K5/F5,((G5+P5+Q5)/(F5+P5+Q5+S5))),M5)</f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>
        <f>IFERROR(CalcRC27(F5,G5,K5,O5,P5,Q5,R5,S5,T5,U5,V5),"-")</f>
      </c>
      <c r="X5" t="s" s="2">
        <v>720</v>
      </c>
    </row>
    <row r="6" spans="2:24" ht="13.8" x14ac:dyDescent="0.2">
      <c r="B6" s="8">
        <f t="shared" si="5"/>
      </c>
      <c r="C6" s="10">
        <v>1</v>
      </c>
      <c r="D6" t="s" s="13">
        <v>1289</v>
      </c>
      <c r="E6" s="11">
        <f t="shared" si="6"/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</c>
      <c r="L6" s="7">
        <v>0</v>
      </c>
      <c r="M6" s="11">
        <f t="shared" si="8"/>
      </c>
      <c r="N6" s="11">
        <f t="shared" si="9"/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>
        <f>IFERROR(CalcRC27(F6,G6,K6,O6,P6,Q6,R6,S6,T6,U6,V6),"-")</f>
      </c>
      <c r="X6" t="s" s="2">
        <v>721</v>
      </c>
    </row>
    <row r="7" spans="2:24" ht="13.8" x14ac:dyDescent="0.2">
      <c r="B7" s="8">
        <f t="shared" si="5"/>
      </c>
      <c r="C7" s="10">
        <v>2</v>
      </c>
      <c r="D7" s="13"/>
      <c r="E7" s="11">
        <f t="shared" si="6"/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</c>
      <c r="L7" s="7">
        <v>0</v>
      </c>
      <c r="M7" s="11">
        <f t="shared" si="8"/>
      </c>
      <c r="N7" s="11">
        <f t="shared" si="9"/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>
        <f>IFERROR(CalcRC27(F7,G7,K7,O7,P7,Q7,R7,S7,T7,U7,V7),"-")</f>
      </c>
      <c r="X7" s="2"/>
    </row>
    <row r="8" spans="2:24" ht="13.8" x14ac:dyDescent="0.2">
      <c r="B8" s="8">
        <f t="shared" si="5"/>
      </c>
      <c r="C8" s="10">
        <v>3</v>
      </c>
      <c r="D8" t="s" s="13">
        <v>1290</v>
      </c>
      <c r="E8" s="11">
        <f t="shared" si="6"/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</c>
      <c r="L8" s="7">
        <v>0</v>
      </c>
      <c r="M8" s="11">
        <f t="shared" si="8"/>
      </c>
      <c r="N8" s="11">
        <f t="shared" si="9"/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>
        <f>IFERROR(CalcRC27(F8,G8,K8,O8,P8,Q8,R8,S8,T8,U8,V8),"-")</f>
      </c>
      <c r="X8" t="s" s="2">
        <v>1176</v>
      </c>
    </row>
    <row r="9" spans="2:24" ht="13.8" x14ac:dyDescent="0.2">
      <c r="B9" s="8">
        <f t="shared" si="5"/>
      </c>
      <c r="C9" s="10">
        <v>4</v>
      </c>
      <c r="D9" t="s" s="13">
        <v>763</v>
      </c>
      <c r="E9" s="11">
        <f t="shared" si="6"/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</c>
      <c r="L9" s="7">
        <v>0</v>
      </c>
      <c r="M9" s="11">
        <f t="shared" si="8"/>
      </c>
      <c r="N9" s="11">
        <f t="shared" si="9"/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>
        <f>IFERROR(CalcRC27(F9,G9,K9,O9,P9,Q9,R9,S9,T9,U9,V9),"-")</f>
      </c>
      <c r="X9" t="s" s="2">
        <v>722</v>
      </c>
    </row>
    <row r="10" spans="2:24" ht="13.8" x14ac:dyDescent="0.2">
      <c r="B10" s="8">
        <f t="shared" si="5"/>
      </c>
      <c r="C10" s="10">
        <v>5</v>
      </c>
      <c r="D10" t="s" s="13">
        <v>12</v>
      </c>
      <c r="E10" s="11">
        <f t="shared" si="6"/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</c>
      <c r="L10" s="7">
        <v>0</v>
      </c>
      <c r="M10" s="11">
        <f t="shared" si="8"/>
      </c>
      <c r="N10" s="11">
        <f t="shared" si="9"/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>
        <f>IFERROR(CalcRC27(F10,G10,K10,O10,P10,Q10,R10,S10,T10,U10,V10),"-")</f>
      </c>
      <c r="X10" t="s" s="2">
        <v>723</v>
      </c>
    </row>
    <row r="11" spans="2:24" ht="13.8" x14ac:dyDescent="0.2">
      <c r="B11" s="8">
        <f t="shared" si="5"/>
      </c>
      <c r="C11" s="10">
        <v>6</v>
      </c>
      <c r="D11" s="9"/>
      <c r="E11" s="11">
        <f t="shared" si="6"/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</c>
      <c r="L11" s="7">
        <v>0</v>
      </c>
      <c r="M11" s="11">
        <f t="shared" si="8"/>
      </c>
      <c r="N11" s="11">
        <f t="shared" si="9"/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</c>
      <c r="X11" s="2"/>
    </row>
    <row r="12" spans="2:24" ht="13.8" x14ac:dyDescent="0.2">
      <c r="B12" s="8">
        <f t="shared" si="5"/>
      </c>
      <c r="C12" s="10">
        <v>7</v>
      </c>
      <c r="D12" t="s" s="9">
        <v>85</v>
      </c>
      <c r="E12" s="11">
        <f t="shared" si="6"/>
      </c>
      <c r="F12" s="5">
        <v>1</v>
      </c>
      <c r="G12" s="5">
        <v>1</v>
      </c>
      <c r="H12" s="5">
        <v>0</v>
      </c>
      <c r="I12" s="5">
        <v>0</v>
      </c>
      <c r="J12" s="6">
        <v>0</v>
      </c>
      <c r="K12" s="12">
        <f t="shared" si="7"/>
      </c>
      <c r="L12" s="7">
        <v>0</v>
      </c>
      <c r="M12" s="11">
        <f t="shared" si="8"/>
      </c>
      <c r="N12" s="11">
        <f t="shared" si="9"/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>
        <f>IFERROR(CalcRC27(F12,G12,K12,O12,P12,Q12,R12,S12,T12,U12,V12),"-")</f>
      </c>
      <c r="X12" t="s" s="2">
        <v>753</v>
      </c>
    </row>
    <row r="13" spans="2:24" ht="13.8" x14ac:dyDescent="0.2">
      <c r="B13" s="8">
        <f t="shared" si="5"/>
      </c>
      <c r="C13" s="10">
        <v>8</v>
      </c>
      <c r="D13" s="13"/>
      <c r="E13" s="11">
        <f t="shared" si="6"/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</c>
      <c r="L13" s="7">
        <v>0</v>
      </c>
      <c r="M13" s="11">
        <f t="shared" si="8"/>
      </c>
      <c r="N13" s="11">
        <f t="shared" si="9"/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</c>
      <c r="X13" s="2"/>
    </row>
    <row r="14" spans="2:24" ht="13.8" x14ac:dyDescent="0.2">
      <c r="B14" s="8">
        <f t="shared" si="5"/>
      </c>
      <c r="C14" s="10">
        <v>9</v>
      </c>
      <c r="D14" t="s" s="13">
        <v>1177</v>
      </c>
      <c r="E14" s="11">
        <f t="shared" si="6"/>
      </c>
      <c r="F14" s="5">
        <v>1</v>
      </c>
      <c r="G14" s="5">
        <v>1</v>
      </c>
      <c r="H14" s="5">
        <v>0</v>
      </c>
      <c r="I14" s="5">
        <v>0</v>
      </c>
      <c r="J14" s="6">
        <v>0</v>
      </c>
      <c r="K14" s="12">
        <f t="shared" si="7"/>
      </c>
      <c r="L14" s="7">
        <v>0</v>
      </c>
      <c r="M14" s="11">
        <f t="shared" si="8"/>
      </c>
      <c r="N14" s="11">
        <f t="shared" si="9"/>
      </c>
      <c r="O14" s="20">
        <v>0</v>
      </c>
      <c r="P14" s="21">
        <v>1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>
        <f>IFERROR(CalcRC27(F14,G14,K14,O14,P14,Q14,R14,S14,T14,U14,V14),"-")</f>
      </c>
      <c r="X14" t="s" s="2">
        <v>724</v>
      </c>
    </row>
    <row r="15" spans="2:24" ht="13.8" x14ac:dyDescent="0.2">
      <c r="B15" s="8">
        <f t="shared" si="5"/>
      </c>
      <c r="C15" s="10">
        <v>10</v>
      </c>
      <c r="D15" t="s" s="13">
        <v>1178</v>
      </c>
      <c r="E15" s="11">
        <f t="shared" si="6"/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</c>
      <c r="L15" s="7">
        <v>0</v>
      </c>
      <c r="M15" s="11">
        <f t="shared" si="8"/>
      </c>
      <c r="N15" s="11">
        <f t="shared" si="9"/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</c>
      <c r="X15" t="s" s="2">
        <v>742</v>
      </c>
    </row>
    <row r="16" spans="2:24" ht="13.8" x14ac:dyDescent="0.2">
      <c r="B16" s="8">
        <f t="shared" si="5"/>
      </c>
      <c r="C16" s="10">
        <v>11</v>
      </c>
      <c r="D16" s="13"/>
      <c r="E16" s="11">
        <f t="shared" si="6"/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</c>
      <c r="L16" s="7">
        <v>0</v>
      </c>
      <c r="M16" s="11">
        <f t="shared" si="8"/>
      </c>
      <c r="N16" s="11">
        <f t="shared" si="9"/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</c>
      <c r="X16" s="2"/>
    </row>
    <row r="17" spans="2:24" ht="13.8" x14ac:dyDescent="0.2">
      <c r="B17" s="8">
        <f t="shared" si="5"/>
      </c>
      <c r="C17" s="10">
        <v>12</v>
      </c>
      <c r="D17" t="s" s="13">
        <v>14</v>
      </c>
      <c r="E17" s="11">
        <f t="shared" si="6"/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</c>
      <c r="L17" s="7">
        <v>0</v>
      </c>
      <c r="M17" s="11">
        <f t="shared" si="8"/>
      </c>
      <c r="N17" s="11">
        <f t="shared" si="9"/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>
        <f>IFERROR(CalcRC27(F17,G17,K17,O17,P17,Q17,R17,S17,T17,U17,V17),"-")</f>
      </c>
      <c r="X17" t="s" s="2">
        <v>726</v>
      </c>
    </row>
    <row r="18" spans="2:24" ht="13.8" x14ac:dyDescent="0.2">
      <c r="B18" s="8">
        <f t="shared" si="5"/>
      </c>
      <c r="C18" s="10">
        <v>13</v>
      </c>
      <c r="D18" t="s" s="13">
        <v>1179</v>
      </c>
      <c r="E18" s="11">
        <f t="shared" si="6"/>
      </c>
      <c r="F18" s="5">
        <v>1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</c>
      <c r="L18" s="7">
        <v>0</v>
      </c>
      <c r="M18" s="11">
        <f t="shared" si="8"/>
      </c>
      <c r="N18" s="11">
        <f t="shared" si="9"/>
      </c>
      <c r="O18" s="20">
        <v>1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>
        <f>IFERROR(CalcRC27(F18,G18,K18,O18,P18,Q18,R18,S18,T18,U18,V18),"-")</f>
      </c>
      <c r="X18" t="s" s="2">
        <v>1937</v>
      </c>
    </row>
    <row r="19" spans="2:24" ht="13.8" x14ac:dyDescent="0.2">
      <c r="B19" s="8">
        <f t="shared" si="5"/>
      </c>
      <c r="C19" s="10">
        <v>14</v>
      </c>
      <c r="D19" t="s" s="13">
        <v>1180</v>
      </c>
      <c r="E19" s="11">
        <f t="shared" si="6"/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</c>
      <c r="L19" s="7">
        <v>0</v>
      </c>
      <c r="M19" s="11">
        <f t="shared" si="8"/>
      </c>
      <c r="N19" s="11">
        <f t="shared" si="9"/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>
        <f>IFERROR(CalcRC27(F19,G19,K19,O19,P19,Q19,R19,S19,T19,U19,V19),"-")</f>
      </c>
      <c r="X19" t="s" s="2">
        <v>1181</v>
      </c>
    </row>
    <row r="20" spans="2:24" ht="13.8" x14ac:dyDescent="0.2">
      <c r="B20" s="8">
        <f t="shared" si="5"/>
      </c>
      <c r="C20" s="10">
        <v>15</v>
      </c>
      <c r="D20" t="s" s="2">
        <v>1291</v>
      </c>
      <c r="E20" s="11">
        <f t="shared" si="6"/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</c>
      <c r="L20" s="7">
        <v>0</v>
      </c>
      <c r="M20" s="11">
        <f t="shared" si="8"/>
      </c>
      <c r="N20" s="11">
        <f t="shared" si="9"/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>
        <f>IFERROR(CalcRC27(F20,G20,K20,O20,P20,Q20,R20,S20,T20,U20,V20),"-")</f>
      </c>
      <c r="X20" t="s" s="2">
        <v>728</v>
      </c>
    </row>
    <row r="21" spans="2:24" ht="13.8" x14ac:dyDescent="0.2">
      <c r="B21" s="8">
        <f t="shared" si="5"/>
      </c>
      <c r="C21" s="10">
        <v>16</v>
      </c>
      <c r="D21" t="s" s="13">
        <v>9</v>
      </c>
      <c r="E21" s="11">
        <f t="shared" si="6"/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</c>
      <c r="L21" s="7">
        <v>0</v>
      </c>
      <c r="M21" s="11">
        <f t="shared" si="8"/>
      </c>
      <c r="N21" s="11">
        <f t="shared" si="9"/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</c>
      <c r="X21" t="s" s="2">
        <v>729</v>
      </c>
    </row>
    <row r="22" spans="2:24" ht="13.8" x14ac:dyDescent="0.2">
      <c r="B22" s="8">
        <f t="shared" si="5"/>
      </c>
      <c r="C22" s="10">
        <v>17</v>
      </c>
      <c r="D22" t="s" s="13">
        <v>1182</v>
      </c>
      <c r="E22" s="11">
        <f t="shared" si="6"/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</c>
      <c r="L22" s="7">
        <v>0</v>
      </c>
      <c r="M22" s="11">
        <f t="shared" si="8"/>
      </c>
      <c r="N22" s="11">
        <f t="shared" si="9"/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>
        <f>IFERROR(CalcRC27(F22,G22,K22,O22,P22,Q22,R22,S22,T22,U22,V22),"-")</f>
      </c>
      <c r="X22" t="s" s="2">
        <v>730</v>
      </c>
    </row>
    <row r="23" spans="2:24" ht="13.8" x14ac:dyDescent="0.2">
      <c r="B23" s="8">
        <f t="shared" si="5"/>
      </c>
      <c r="C23" s="10">
        <v>18</v>
      </c>
      <c r="D23" t="s" s="13">
        <v>83</v>
      </c>
      <c r="E23" s="11">
        <f t="shared" si="6"/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</c>
      <c r="L23" s="7">
        <v>0</v>
      </c>
      <c r="M23" s="11">
        <f t="shared" si="8"/>
      </c>
      <c r="N23" s="11">
        <f t="shared" si="9"/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</c>
      <c r="X23" t="s" s="2">
        <v>725</v>
      </c>
    </row>
    <row r="24" spans="2:24" ht="13.8" x14ac:dyDescent="0.2">
      <c r="B24" s="8">
        <f t="shared" si="5"/>
      </c>
      <c r="C24" s="10">
        <v>19</v>
      </c>
      <c r="D24" t="s" s="13">
        <v>1292</v>
      </c>
      <c r="E24" s="11">
        <f t="shared" si="6"/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</c>
      <c r="L24" s="7">
        <v>0</v>
      </c>
      <c r="M24" s="11">
        <f t="shared" si="8"/>
      </c>
      <c r="N24" s="11">
        <f t="shared" si="9"/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</c>
      <c r="X24" t="s" s="2">
        <v>731</v>
      </c>
    </row>
    <row r="25" spans="2:24" ht="13.8" x14ac:dyDescent="0.2">
      <c r="B25" s="8">
        <f t="shared" si="5"/>
      </c>
      <c r="C25" s="10">
        <v>20</v>
      </c>
      <c r="D25" t="s" s="13">
        <v>181</v>
      </c>
      <c r="E25" s="11">
        <f t="shared" si="6"/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</c>
      <c r="L25" s="7">
        <v>0</v>
      </c>
      <c r="M25" s="11">
        <f t="shared" si="8"/>
      </c>
      <c r="N25" s="11">
        <f t="shared" si="9"/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>
        <f>IFERROR(CalcRC27(F25,G25,K25,O25,P25,Q25,R25,S25,T25,U25,V25),"-")</f>
      </c>
      <c r="X25" t="s" s="2">
        <v>732</v>
      </c>
    </row>
    <row r="26" spans="2:24" ht="13.8" x14ac:dyDescent="0.2">
      <c r="B26" s="8">
        <f t="shared" si="5"/>
      </c>
      <c r="C26" s="10">
        <v>21</v>
      </c>
      <c r="D26" t="s" s="13">
        <v>1183</v>
      </c>
      <c r="E26" s="11">
        <f t="shared" si="6"/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</c>
      <c r="L26" s="7">
        <v>0</v>
      </c>
      <c r="M26" s="11">
        <f t="shared" si="8"/>
      </c>
      <c r="N26" s="11">
        <f t="shared" si="9"/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>
        <f>IFERROR(CalcRC27(F26,G26,K26,O26,P26,Q26,R26,S26,T26,U26,V26),"-")</f>
      </c>
      <c r="X26" t="s" s="2">
        <v>1184</v>
      </c>
    </row>
    <row r="27" spans="2:24" ht="13.8" x14ac:dyDescent="0.2">
      <c r="B27" s="8">
        <f t="shared" si="5"/>
      </c>
      <c r="C27" s="10">
        <v>22</v>
      </c>
      <c r="D27" s="13"/>
      <c r="E27" s="11">
        <f t="shared" si="6"/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</c>
      <c r="L27" s="7">
        <v>0</v>
      </c>
      <c r="M27" s="11">
        <f t="shared" si="8"/>
      </c>
      <c r="N27" s="11">
        <f t="shared" si="9"/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>
        <f>IFERROR(CalcRC27(F27,G27,K27,O27,P27,Q27,R27,S27,T27,U27,V27),"-")</f>
      </c>
      <c r="X27" s="2"/>
    </row>
    <row r="28" spans="2:24" ht="13.8" x14ac:dyDescent="0.2">
      <c r="B28" s="8">
        <f t="shared" si="5"/>
      </c>
      <c r="C28" s="10">
        <v>23</v>
      </c>
      <c r="D28" t="s" s="13">
        <v>13</v>
      </c>
      <c r="E28" s="11">
        <f t="shared" si="6"/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</c>
      <c r="L28" s="7">
        <v>0</v>
      </c>
      <c r="M28" s="11">
        <f t="shared" si="8"/>
      </c>
      <c r="N28" s="11">
        <f t="shared" si="9"/>
      </c>
      <c r="O28" s="20">
        <v>0</v>
      </c>
      <c r="P28" s="21">
        <v>0</v>
      </c>
      <c r="Q28" s="21">
        <v>1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>
        <f>IFERROR(CalcRC27(F28,G28,K28,O28,P28,Q28,R28,S28,T28,U28,V28),"-")</f>
      </c>
      <c r="X28" t="s" s="2">
        <v>733</v>
      </c>
    </row>
    <row r="29" spans="2:24" ht="13.8" x14ac:dyDescent="0.2">
      <c r="B29" s="8">
        <f t="shared" si="5"/>
      </c>
      <c r="C29" s="10">
        <v>24</v>
      </c>
      <c r="D29" t="s" s="13">
        <v>10</v>
      </c>
      <c r="E29" s="11">
        <f t="shared" si="6"/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</c>
      <c r="L29" s="7">
        <v>0</v>
      </c>
      <c r="M29" s="11">
        <f t="shared" si="8"/>
      </c>
      <c r="N29" s="11">
        <f t="shared" si="9"/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</c>
      <c r="X29" t="s" s="2">
        <v>734</v>
      </c>
    </row>
    <row r="30" spans="2:24" ht="13.8" x14ac:dyDescent="0.2">
      <c r="B30" s="8">
        <f t="shared" si="5"/>
      </c>
      <c r="C30" s="10">
        <v>25</v>
      </c>
      <c r="D30" t="s" s="13">
        <v>1185</v>
      </c>
      <c r="E30" s="11">
        <f t="shared" si="6"/>
      </c>
      <c r="F30" s="5">
        <v>1</v>
      </c>
      <c r="G30" s="5">
        <v>1</v>
      </c>
      <c r="H30" s="5">
        <v>0</v>
      </c>
      <c r="I30" s="5">
        <v>0</v>
      </c>
      <c r="J30" s="6">
        <v>0</v>
      </c>
      <c r="K30" s="12">
        <f t="shared" si="7"/>
      </c>
      <c r="L30" s="7">
        <v>1</v>
      </c>
      <c r="M30" s="11">
        <f t="shared" si="8"/>
      </c>
      <c r="N30" s="11">
        <f t="shared" si="9"/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</c>
      <c r="X30" t="s" s="2">
        <v>1938</v>
      </c>
    </row>
    <row r="31" spans="2:24" ht="13.8" x14ac:dyDescent="0.2">
      <c r="B31" s="8">
        <f t="shared" si="5"/>
      </c>
      <c r="C31" s="10">
        <v>26</v>
      </c>
      <c r="D31" t="s" s="13">
        <v>182</v>
      </c>
      <c r="E31" s="11">
        <f t="shared" si="6"/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</c>
      <c r="L31" s="7">
        <v>0</v>
      </c>
      <c r="M31" s="11">
        <f t="shared" si="8"/>
      </c>
      <c r="N31" s="11">
        <f t="shared" si="9"/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>
        <f>IFERROR(CalcRC27(F31,G31,K31,O31,P31,Q31,R31,S31,T31,U31,V31),"-")</f>
      </c>
      <c r="X31" t="s" s="2">
        <v>1186</v>
      </c>
    </row>
    <row r="32" spans="2:24" ht="13.8" x14ac:dyDescent="0.2">
      <c r="B32" s="8">
        <f t="shared" si="5"/>
      </c>
      <c r="C32" s="10">
        <v>27</v>
      </c>
      <c r="D32" t="s" s="9">
        <v>1677</v>
      </c>
      <c r="E32" s="11">
        <f t="shared" si="6"/>
      </c>
      <c r="F32" s="5">
        <v>1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</c>
      <c r="L32" s="7">
        <v>0</v>
      </c>
      <c r="M32" s="11">
        <f t="shared" si="8"/>
      </c>
      <c r="N32" s="11">
        <f t="shared" si="9"/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</c>
      <c r="X32" t="s" s="2">
        <v>735</v>
      </c>
    </row>
    <row r="33" spans="2:24" ht="13.8" x14ac:dyDescent="0.2">
      <c r="B33" s="8">
        <f t="shared" si="5"/>
      </c>
      <c r="C33" s="10">
        <v>28</v>
      </c>
      <c r="D33" t="s" s="13">
        <v>1187</v>
      </c>
      <c r="E33" s="11">
        <f t="shared" si="6"/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</c>
      <c r="L33" s="7">
        <v>0</v>
      </c>
      <c r="M33" s="11">
        <f t="shared" si="8"/>
      </c>
      <c r="N33" s="11">
        <f t="shared" si="9"/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</c>
      <c r="X33" t="s" s="2">
        <v>1188</v>
      </c>
    </row>
    <row r="34" spans="2:24" ht="13.8" x14ac:dyDescent="0.2">
      <c r="B34" s="8">
        <f t="shared" si="5"/>
      </c>
      <c r="C34" s="10">
        <v>29</v>
      </c>
      <c r="D34" t="s" s="13">
        <v>1293</v>
      </c>
      <c r="E34" s="11">
        <f t="shared" si="6"/>
      </c>
      <c r="F34" s="5">
        <v>1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</c>
      <c r="L34" s="7">
        <v>0</v>
      </c>
      <c r="M34" s="11">
        <f t="shared" si="8"/>
      </c>
      <c r="N34" s="11">
        <f t="shared" si="9"/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>
        <f>IFERROR(CalcRC27(F34,G34,K34,O34,P34,Q34,R34,S34,T34,U34,V34),"-")</f>
      </c>
      <c r="X34" t="s" s="2">
        <v>736</v>
      </c>
    </row>
    <row r="35" spans="2:24" ht="13.8" x14ac:dyDescent="0.2">
      <c r="B35" s="8">
        <f t="shared" si="5"/>
      </c>
      <c r="C35" s="10">
        <v>30</v>
      </c>
      <c r="D35" t="s" s="13">
        <v>15</v>
      </c>
      <c r="E35" s="11">
        <f t="shared" si="6"/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</c>
      <c r="L35" s="7">
        <v>0</v>
      </c>
      <c r="M35" s="11">
        <f t="shared" si="8"/>
      </c>
      <c r="N35" s="11">
        <f t="shared" si="9"/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>
        <f>IFERROR(CalcRC27(F35,G35,K35,O35,P35,Q35,R35,S35,T35,U35,V35),"-")</f>
      </c>
      <c r="X35" t="s" s="2">
        <v>737</v>
      </c>
    </row>
    <row r="36" spans="2:24" ht="13.8" x14ac:dyDescent="0.2">
      <c r="B36" s="8">
        <f t="shared" si="5"/>
      </c>
      <c r="C36" s="10">
        <v>31</v>
      </c>
      <c r="D36" t="s" s="13">
        <v>1189</v>
      </c>
      <c r="E36" s="11">
        <f t="shared" si="6"/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</c>
      <c r="L36" s="7">
        <v>0</v>
      </c>
      <c r="M36" s="11">
        <f t="shared" si="8"/>
      </c>
      <c r="N36" s="11">
        <f t="shared" si="9"/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>
        <f>IFERROR(CalcRC27(F36,G36,K36,O36,P36,Q36,R36,S36,T36,U36,V36),"-")</f>
      </c>
      <c r="X36" t="s" s="2">
        <v>738</v>
      </c>
    </row>
    <row r="37" spans="2:24" ht="13.8" x14ac:dyDescent="0.2">
      <c r="B37" s="8">
        <f t="shared" si="5"/>
      </c>
      <c r="C37" s="10">
        <v>32</v>
      </c>
      <c r="D37" t="s" s="13">
        <v>183</v>
      </c>
      <c r="E37" s="11">
        <f t="shared" si="6"/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7"/>
      </c>
      <c r="L37" s="7">
        <v>0</v>
      </c>
      <c r="M37" s="11">
        <f t="shared" si="8"/>
      </c>
      <c r="N37" s="11">
        <f t="shared" si="9"/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>
        <f>IFERROR(CalcRC27(F37,G37,K37,O37,P37,Q37,R37,S37,T37,U37,V37),"-")</f>
      </c>
      <c r="X37" t="s" s="2">
        <v>739</v>
      </c>
    </row>
    <row r="38" spans="2:24" ht="13.8" x14ac:dyDescent="0.2">
      <c r="B38" s="8">
        <f t="shared" si="5"/>
      </c>
      <c r="C38" s="10">
        <v>33</v>
      </c>
      <c r="D38" t="s" s="13">
        <v>46</v>
      </c>
      <c r="E38" s="11">
        <f t="shared" si="6"/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</c>
      <c r="L38" s="7">
        <v>0</v>
      </c>
      <c r="M38" s="11">
        <f t="shared" si="8"/>
      </c>
      <c r="N38" s="11">
        <f t="shared" si="9"/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>
        <f>IFERROR(CalcRC27(F38,G38,K38,O38,P38,Q38,R38,S38,T38,U38,V38),"-")</f>
      </c>
      <c r="X38" t="s" s="2">
        <v>740</v>
      </c>
    </row>
    <row r="39" spans="2:24" ht="13.8" x14ac:dyDescent="0.2">
      <c r="B39" s="8">
        <f t="shared" si="5"/>
      </c>
      <c r="C39" s="10">
        <v>34</v>
      </c>
      <c r="D39" t="s" s="13">
        <v>36</v>
      </c>
      <c r="E39" s="11">
        <f t="shared" si="6"/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</c>
      <c r="L39" s="7">
        <v>0</v>
      </c>
      <c r="M39" s="11">
        <f t="shared" si="8"/>
      </c>
      <c r="N39" s="11">
        <f t="shared" si="9"/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>
        <f>IFERROR(CalcRC27(F39,G39,K39,O39,P39,Q39,R39,S39,T39,U39,V39),"-")</f>
      </c>
      <c r="X39" t="s" s="2">
        <v>741</v>
      </c>
    </row>
    <row r="40" spans="2:24" ht="13.8" x14ac:dyDescent="0.2">
      <c r="B40" s="8">
        <f t="shared" si="5"/>
      </c>
      <c r="C40" s="10">
        <v>35</v>
      </c>
      <c r="D40" t="s" s="13">
        <v>1190</v>
      </c>
      <c r="E40" s="11">
        <f t="shared" si="6"/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</c>
      <c r="L40" s="7">
        <v>0</v>
      </c>
      <c r="M40" s="11">
        <f t="shared" si="8"/>
      </c>
      <c r="N40" s="11">
        <f t="shared" si="9"/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>
        <f>IFERROR(CalcRC27(F40,G40,K40,O40,P40,Q40,R40,S40,T40,U40,V40),"-")</f>
      </c>
      <c r="X40" t="s" s="2">
        <v>1191</v>
      </c>
    </row>
    <row r="41" spans="2:24" ht="13.8" x14ac:dyDescent="0.2">
      <c r="B41" s="8">
        <f t="shared" si="5"/>
      </c>
      <c r="C41" s="10">
        <v>36</v>
      </c>
      <c r="D41" t="s" s="13">
        <v>1748</v>
      </c>
      <c r="E41" s="11">
        <f t="shared" si="6"/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</c>
      <c r="L41" s="7">
        <v>0</v>
      </c>
      <c r="M41" s="11">
        <f t="shared" si="8"/>
      </c>
      <c r="N41" s="11">
        <f t="shared" si="9"/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>
        <f>IFERROR(CalcRC27(F41,G41,K41,O41,P41,Q41,R41,S41,T41,U41,V41),"-")</f>
      </c>
      <c r="X41" t="s" s="2">
        <v>1192</v>
      </c>
    </row>
    <row r="42" spans="2:24" ht="13.8" x14ac:dyDescent="0.2">
      <c r="B42" s="8">
        <f t="shared" si="5"/>
      </c>
      <c r="C42" s="10">
        <v>37</v>
      </c>
      <c r="D42" t="s" s="13">
        <v>1222</v>
      </c>
      <c r="E42" s="11">
        <f t="shared" si="6"/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</c>
      <c r="L42" s="7">
        <v>0</v>
      </c>
      <c r="M42" s="11">
        <f t="shared" si="8"/>
      </c>
      <c r="N42" s="11">
        <f t="shared" si="9"/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>
        <f>IFERROR(CalcRC27(F42,G42,K42,O42,P42,Q42,R42,S42,T42,U42,V42),"-")</f>
      </c>
      <c r="X42" t="s" s="2">
        <v>1939</v>
      </c>
    </row>
    <row r="43" spans="2:24" ht="13.8" x14ac:dyDescent="0.2">
      <c r="B43" s="8">
        <f t="shared" si="5"/>
      </c>
      <c r="C43" s="10">
        <v>38</v>
      </c>
      <c r="D43" t="s" s="13">
        <v>1193</v>
      </c>
      <c r="E43" s="11">
        <f t="shared" si="6"/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</c>
      <c r="L43" s="7">
        <v>0</v>
      </c>
      <c r="M43" s="11">
        <f t="shared" si="8"/>
      </c>
      <c r="N43" s="11">
        <f t="shared" si="9"/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>
        <f>IFERROR(CalcRC27(F43,G43,K43,O43,P43,Q43,R43,S43,T43,U43,V43),"-")</f>
      </c>
      <c r="X43" t="s" s="2">
        <v>1194</v>
      </c>
    </row>
    <row r="44" spans="2:24" ht="13.8" x14ac:dyDescent="0.2">
      <c r="B44" s="8">
        <f t="shared" si="5"/>
      </c>
      <c r="C44" s="10">
        <v>39</v>
      </c>
      <c r="D44" t="s" s="13">
        <v>1294</v>
      </c>
      <c r="E44" s="11">
        <f t="shared" si="6"/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</c>
      <c r="L44" s="7">
        <v>0</v>
      </c>
      <c r="M44" s="11">
        <f t="shared" si="8"/>
      </c>
      <c r="N44" s="11">
        <f t="shared" si="9"/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>
        <f>IFERROR(CalcRC27(F44,G44,K44,O44,P44,Q44,R44,S44,T44,U44,V44),"-")</f>
      </c>
      <c r="X44" t="s" s="2">
        <v>1940</v>
      </c>
    </row>
    <row r="45" spans="2:24" ht="13.8" x14ac:dyDescent="0.2">
      <c r="B45" s="8">
        <f t="shared" si="5"/>
      </c>
      <c r="C45" s="10">
        <v>40</v>
      </c>
      <c r="D45" t="s" s="13">
        <v>43</v>
      </c>
      <c r="E45" s="11">
        <f t="shared" si="6"/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</c>
      <c r="L45" s="7">
        <v>0</v>
      </c>
      <c r="M45" s="11">
        <f t="shared" si="8"/>
      </c>
      <c r="N45" s="11">
        <f t="shared" si="9"/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>
        <f>IFERROR(CalcRC27(F45,G45,K45,O45,P45,Q45,R45,S45,T45,U45,V45),"-")</f>
      </c>
      <c r="X45" t="s" s="2">
        <v>727</v>
      </c>
    </row>
    <row r="46" spans="2:24" ht="13.8" x14ac:dyDescent="0.2">
      <c r="B46" s="8">
        <f t="shared" si="5"/>
      </c>
      <c r="C46" s="10">
        <v>41</v>
      </c>
      <c r="D46" t="s" s="13">
        <v>764</v>
      </c>
      <c r="E46" s="11">
        <f t="shared" si="6"/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</c>
      <c r="L46" s="7">
        <v>0</v>
      </c>
      <c r="M46" s="11">
        <f t="shared" si="8"/>
      </c>
      <c r="N46" s="11">
        <f t="shared" si="9"/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>
        <f>IFERROR(CalcRC27(F46,G46,K46,O46,P46,Q46,R46,S46,T46,U46,V46),"-")</f>
      </c>
      <c r="X46" t="s" s="2">
        <v>743</v>
      </c>
    </row>
    <row r="47" spans="2:24" ht="13.8" x14ac:dyDescent="0.2">
      <c r="B47" s="8">
        <f t="shared" si="5"/>
      </c>
      <c r="C47" s="10">
        <v>42</v>
      </c>
      <c r="D47" t="s" s="13">
        <v>1195</v>
      </c>
      <c r="E47" s="11">
        <f t="shared" si="6"/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</c>
      <c r="L47" s="7">
        <v>0</v>
      </c>
      <c r="M47" s="11">
        <f t="shared" si="8"/>
      </c>
      <c r="N47" s="11">
        <f t="shared" si="9"/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</c>
      <c r="X47" t="s" s="2">
        <v>1196</v>
      </c>
    </row>
    <row r="48" spans="2:24" ht="13.8" x14ac:dyDescent="0.2">
      <c r="B48" s="8">
        <f t="shared" si="5"/>
      </c>
      <c r="C48" s="10">
        <v>43</v>
      </c>
      <c r="D48" t="s" s="13">
        <v>1295</v>
      </c>
      <c r="E48" s="11">
        <f t="shared" si="6"/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</c>
      <c r="L48" s="7">
        <v>0</v>
      </c>
      <c r="M48" s="11">
        <f t="shared" si="8"/>
      </c>
      <c r="N48" s="11">
        <f t="shared" si="9"/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>
        <f>IFERROR(CalcRC27(F48,G48,K48,O48,P48,Q48,R48,S48,T48,U48,V48),"-")</f>
      </c>
      <c r="X48" t="s" s="2">
        <v>1197</v>
      </c>
    </row>
    <row r="49" spans="2:24" ht="13.8" x14ac:dyDescent="0.2">
      <c r="B49" s="8">
        <f t="shared" si="5"/>
      </c>
      <c r="C49" s="10">
        <v>44</v>
      </c>
      <c r="D49" t="s" s="13">
        <v>84</v>
      </c>
      <c r="E49" s="11">
        <f t="shared" si="6"/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</c>
      <c r="L49" s="7">
        <v>0</v>
      </c>
      <c r="M49" s="11">
        <f t="shared" si="8"/>
      </c>
      <c r="N49" s="11">
        <f t="shared" si="9"/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</c>
      <c r="X49" t="s" s="2">
        <v>744</v>
      </c>
    </row>
    <row r="50" spans="2:24" ht="13.8" x14ac:dyDescent="0.2">
      <c r="B50" s="8">
        <f t="shared" si="5"/>
      </c>
      <c r="C50" s="10">
        <v>45</v>
      </c>
      <c r="D50" t="s" s="13">
        <v>1198</v>
      </c>
      <c r="E50" s="11">
        <f t="shared" si="6"/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</c>
      <c r="L50" s="7">
        <v>0</v>
      </c>
      <c r="M50" s="11">
        <f t="shared" si="8"/>
      </c>
      <c r="N50" s="11">
        <f t="shared" si="9"/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>
        <f>IFERROR(CalcRC27(F50,G50,K50,O50,P50,Q50,R50,S50,T50,U50,V50),"-")</f>
      </c>
      <c r="X50" t="s" s="2">
        <v>759</v>
      </c>
    </row>
    <row r="51" spans="2:24" ht="13.8" x14ac:dyDescent="0.2">
      <c r="B51" s="8">
        <f t="shared" si="5"/>
      </c>
      <c r="C51" s="10">
        <v>46</v>
      </c>
      <c r="D51" t="s" s="13">
        <v>44</v>
      </c>
      <c r="E51" s="11">
        <f t="shared" si="6"/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</c>
      <c r="L51" s="7">
        <v>0</v>
      </c>
      <c r="M51" s="11">
        <f t="shared" si="8"/>
      </c>
      <c r="N51" s="11">
        <f t="shared" si="9"/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</c>
      <c r="X51" t="s" s="2">
        <v>745</v>
      </c>
    </row>
    <row r="52" spans="2:24" ht="13.8" x14ac:dyDescent="0.2">
      <c r="B52" s="8">
        <f t="shared" si="5"/>
      </c>
      <c r="C52" s="10">
        <v>47</v>
      </c>
      <c r="D52" t="s" s="13">
        <v>1199</v>
      </c>
      <c r="E52" s="11">
        <f t="shared" si="6"/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</c>
      <c r="L52" s="7">
        <v>0</v>
      </c>
      <c r="M52" s="11">
        <f t="shared" si="8"/>
      </c>
      <c r="N52" s="11">
        <f t="shared" si="9"/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>
        <f>IFERROR(CalcRC27(F52,G52,K52,O52,P52,Q52,R52,S52,T52,U52,V52),"-")</f>
      </c>
      <c r="X52" t="s" s="2">
        <v>746</v>
      </c>
    </row>
    <row r="53" spans="2:24" ht="13.8" x14ac:dyDescent="0.2">
      <c r="B53" s="8">
        <f t="shared" si="5"/>
      </c>
      <c r="C53" s="10">
        <v>48</v>
      </c>
      <c r="D53" t="s" s="13">
        <v>11</v>
      </c>
      <c r="E53" s="11">
        <f t="shared" si="6"/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</c>
      <c r="L53" s="7">
        <v>0</v>
      </c>
      <c r="M53" s="11">
        <f t="shared" si="8"/>
      </c>
      <c r="N53" s="11">
        <f t="shared" si="9"/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>
        <f>IFERROR(CalcRC27(F53,G53,K53,O53,P53,Q53,R53,S53,T53,U53,V53),"-")</f>
      </c>
      <c r="X53" t="s" s="2">
        <v>747</v>
      </c>
    </row>
    <row r="54" spans="2:24" ht="13.8" x14ac:dyDescent="0.2">
      <c r="B54" s="8">
        <f t="shared" si="5"/>
      </c>
      <c r="C54" s="10">
        <v>49</v>
      </c>
      <c r="D54" t="s" s="13">
        <v>59</v>
      </c>
      <c r="E54" s="11">
        <f t="shared" si="6"/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</c>
      <c r="L54" s="7">
        <v>0</v>
      </c>
      <c r="M54" s="11">
        <f t="shared" si="8"/>
      </c>
      <c r="N54" s="11">
        <f t="shared" si="9"/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</c>
      <c r="X54" t="s" s="13">
        <v>1200</v>
      </c>
    </row>
    <row r="55" spans="2:24" ht="13.8" x14ac:dyDescent="0.2">
      <c r="B55" s="8">
        <f t="shared" si="5"/>
      </c>
      <c r="C55" s="10">
        <v>50</v>
      </c>
      <c r="D55" t="s" s="13">
        <v>1201</v>
      </c>
      <c r="E55" s="11">
        <f t="shared" si="6"/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</c>
      <c r="L55" s="7">
        <v>0</v>
      </c>
      <c r="M55" s="11">
        <f t="shared" si="8"/>
      </c>
      <c r="N55" s="11">
        <f t="shared" si="9"/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>
        <f>IFERROR(CalcRC27(F55,G55,K55,O55,P55,Q55,R55,S55,T55,U55,V55),"-")</f>
      </c>
      <c r="X55" t="s" s="2">
        <v>1202</v>
      </c>
    </row>
    <row r="56" spans="2:24" ht="13.8" x14ac:dyDescent="0.2">
      <c r="B56" s="8">
        <f t="shared" si="5"/>
      </c>
      <c r="C56" s="10">
        <v>51</v>
      </c>
      <c r="D56" t="s" s="13">
        <v>45</v>
      </c>
      <c r="E56" s="11">
        <f t="shared" si="6"/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</c>
      <c r="L56" s="7">
        <v>0</v>
      </c>
      <c r="M56" s="11">
        <f t="shared" si="8"/>
      </c>
      <c r="N56" s="11">
        <f t="shared" si="9"/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>
        <f>IFERROR(CalcRC27(F56,G56,K56,O56,P56,Q56,R56,S56,T56,U56,V56),"-")</f>
      </c>
      <c r="X56" t="s" s="2">
        <v>748</v>
      </c>
    </row>
    <row r="57" spans="2:24" ht="13.8" x14ac:dyDescent="0.2">
      <c r="B57" s="8">
        <f t="shared" si="5"/>
      </c>
      <c r="C57" s="10">
        <v>52</v>
      </c>
      <c r="D57" t="s" s="13">
        <v>1203</v>
      </c>
      <c r="E57" s="11">
        <f t="shared" si="6"/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</c>
      <c r="L57" s="7">
        <v>0</v>
      </c>
      <c r="M57" s="11">
        <f t="shared" si="8"/>
      </c>
      <c r="N57" s="11">
        <f t="shared" si="9"/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>
        <f>IFERROR(CalcRC27(F57,G57,K57,O57,P57,Q57,R57,S57,T57,U57,V57),"-")</f>
      </c>
      <c r="X57" t="s" s="2">
        <v>1204</v>
      </c>
    </row>
    <row r="58" spans="2:24" ht="13.8" x14ac:dyDescent="0.2">
      <c r="B58" s="8">
        <f t="shared" si="5"/>
      </c>
      <c r="C58" s="10">
        <v>53</v>
      </c>
      <c r="D58" t="s" s="13">
        <v>1536</v>
      </c>
      <c r="E58" s="11">
        <f t="shared" si="6"/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</c>
      <c r="L58" s="7">
        <v>0</v>
      </c>
      <c r="M58" s="11">
        <f t="shared" si="8"/>
      </c>
      <c r="N58" s="11">
        <f t="shared" si="9"/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>
        <f>IFERROR(CalcRC27(F58,G58,K58,O58,P58,Q58,R58,S58,T58,U58,V58),"-")</f>
      </c>
      <c r="X58" t="s" s="2">
        <v>750</v>
      </c>
    </row>
    <row r="59" spans="2:24" ht="13.8" x14ac:dyDescent="0.2">
      <c r="B59" s="8">
        <f t="shared" si="5"/>
      </c>
      <c r="C59" s="10">
        <v>54</v>
      </c>
      <c r="D59" t="s" s="13">
        <v>1205</v>
      </c>
      <c r="E59" s="11">
        <f t="shared" si="6"/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</c>
      <c r="L59" s="7">
        <v>0</v>
      </c>
      <c r="M59" s="11">
        <f t="shared" si="8"/>
      </c>
      <c r="N59" s="11">
        <f t="shared" si="9"/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>
        <f>IFERROR(CalcRC27(F59,G59,K59,O59,P59,Q59,R59,S59,T59,U59,V59),"-")</f>
      </c>
      <c r="X59" t="s" s="2">
        <v>1205</v>
      </c>
    </row>
    <row r="60" spans="2:24" ht="13.8" x14ac:dyDescent="0.2">
      <c r="B60" s="8">
        <f t="shared" si="5"/>
      </c>
      <c r="C60" s="10">
        <v>55</v>
      </c>
      <c r="D60" t="s" s="13">
        <v>1296</v>
      </c>
      <c r="E60" s="11">
        <f t="shared" si="6"/>
      </c>
      <c r="F60" s="5">
        <v>1</v>
      </c>
      <c r="G60" s="5">
        <v>1</v>
      </c>
      <c r="H60" s="5">
        <v>0</v>
      </c>
      <c r="I60" s="5">
        <v>0</v>
      </c>
      <c r="J60" s="6">
        <v>1</v>
      </c>
      <c r="K60" s="12">
        <f t="shared" si="7"/>
      </c>
      <c r="L60" s="7">
        <v>3</v>
      </c>
      <c r="M60" s="11">
        <f t="shared" si="8"/>
      </c>
      <c r="N60" s="11">
        <f t="shared" si="9"/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>
        <f>IFERROR(CalcRC27(F60,G60,K60,O60,P60,Q60,R60,S60,T60,U60,V60),"-")</f>
      </c>
      <c r="X60" t="s" s="2">
        <v>751</v>
      </c>
    </row>
    <row r="61" spans="2:24" ht="13.8" x14ac:dyDescent="0.2">
      <c r="B61" s="8">
        <f t="shared" si="5"/>
      </c>
      <c r="C61" s="10">
        <v>56</v>
      </c>
      <c r="D61" t="s" s="13">
        <v>1745</v>
      </c>
      <c r="E61" s="11">
        <f t="shared" si="6"/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</c>
      <c r="L61" s="7">
        <v>0</v>
      </c>
      <c r="M61" s="11">
        <f t="shared" si="8"/>
      </c>
      <c r="N61" s="11">
        <f t="shared" si="9"/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>
        <f>IFERROR(CalcRC27(F61,G61,K61,O61,P61,Q61,R61,S61,T61,U61,V61),"-")</f>
      </c>
      <c r="X61" t="s" s="2">
        <v>1206</v>
      </c>
    </row>
    <row r="62" spans="2:24" ht="13.8" x14ac:dyDescent="0.2">
      <c r="B62" s="8">
        <f t="shared" si="5"/>
      </c>
      <c r="C62" s="10">
        <v>57</v>
      </c>
      <c r="D62" t="s" s="13">
        <v>1894</v>
      </c>
      <c r="E62" s="11">
        <f t="shared" si="6"/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</c>
      <c r="L62" s="7">
        <v>0</v>
      </c>
      <c r="M62" s="11">
        <f t="shared" si="8"/>
      </c>
      <c r="N62" s="11">
        <f t="shared" si="9"/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>
        <f>IFERROR(CalcRC27(F62,G62,K62,O62,P62,Q62,R62,S62,T62,U62,V62),"-")</f>
      </c>
      <c r="X62" t="s" s="2">
        <v>752</v>
      </c>
    </row>
    <row r="63" spans="2:24" ht="13.8" x14ac:dyDescent="0.2">
      <c r="B63" s="8">
        <f t="shared" si="5"/>
      </c>
      <c r="C63" s="10">
        <v>58</v>
      </c>
      <c r="D63" t="s" s="13">
        <v>1207</v>
      </c>
      <c r="E63" s="11">
        <f t="shared" si="6"/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</c>
      <c r="L63" s="7">
        <v>0</v>
      </c>
      <c r="M63" s="11">
        <f t="shared" si="8"/>
      </c>
      <c r="N63" s="11">
        <f t="shared" si="9"/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>
        <f>IFERROR(CalcRC27(F63,G63,K63,O63,P63,Q63,R63,S63,T63,U63,V63),"-")</f>
      </c>
      <c r="X63" t="s" s="2">
        <v>1208</v>
      </c>
    </row>
    <row r="64" spans="2:24" ht="13.8" x14ac:dyDescent="0.2">
      <c r="B64" s="8">
        <f t="shared" si="5"/>
      </c>
      <c r="C64" s="10">
        <v>59</v>
      </c>
      <c r="D64" t="s" s="13">
        <v>765</v>
      </c>
      <c r="E64" s="11">
        <f t="shared" si="6"/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</c>
      <c r="L64" s="7">
        <v>0</v>
      </c>
      <c r="M64" s="11">
        <f t="shared" si="8"/>
      </c>
      <c r="N64" s="11">
        <f t="shared" si="9"/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>
        <f>IFERROR(CalcRC27(F64,G64,K64,O64,P64,Q64,R64,S64,T64,U64,V64),"-")</f>
      </c>
      <c r="X64" t="s" s="2">
        <v>754</v>
      </c>
    </row>
    <row r="65" spans="2:24" ht="13.8" x14ac:dyDescent="0.2">
      <c r="B65" s="8">
        <f t="shared" si="5"/>
      </c>
      <c r="C65" s="10">
        <v>60</v>
      </c>
      <c r="D65" t="s" s="13">
        <v>86</v>
      </c>
      <c r="E65" s="11">
        <f t="shared" si="6"/>
      </c>
      <c r="F65" s="5">
        <v>1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</c>
      <c r="L65" s="7">
        <v>0</v>
      </c>
      <c r="M65" s="11">
        <f t="shared" si="8"/>
      </c>
      <c r="N65" s="11">
        <f t="shared" si="9"/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>
        <f>IFERROR(CalcRC27(F65,G65,K65,O65,P65,Q65,R65,S65,T65,U65,V65),"-")</f>
      </c>
      <c r="X65" t="s" s="2">
        <v>755</v>
      </c>
    </row>
    <row r="66" spans="2:24" ht="13.8" x14ac:dyDescent="0.2">
      <c r="B66" s="8">
        <f t="shared" si="5"/>
      </c>
      <c r="C66" s="10">
        <v>61</v>
      </c>
      <c r="D66" t="s" s="13">
        <v>122</v>
      </c>
      <c r="E66" s="11">
        <f t="shared" si="6"/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</c>
      <c r="L66" s="7">
        <v>0</v>
      </c>
      <c r="M66" s="11">
        <f t="shared" si="8"/>
      </c>
      <c r="N66" s="11">
        <f t="shared" si="9"/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>
        <f>IFERROR(CalcRC27(F66,G66,K66,O66,P66,Q66,R66,S66,T66,U66,V66),"-")</f>
      </c>
      <c r="X66" t="s" s="2">
        <v>1209</v>
      </c>
    </row>
    <row r="67" spans="2:24" ht="13.8" x14ac:dyDescent="0.2">
      <c r="B67" s="8">
        <f t="shared" si="5"/>
      </c>
      <c r="C67" s="10">
        <v>62</v>
      </c>
      <c r="D67" t="s" s="13">
        <v>766</v>
      </c>
      <c r="E67" s="11">
        <f t="shared" si="6"/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</c>
      <c r="L67" s="7">
        <v>0</v>
      </c>
      <c r="M67" s="11">
        <f t="shared" si="8"/>
      </c>
      <c r="N67" s="11">
        <f t="shared" si="9"/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>
        <f>IFERROR(CalcRC27(F67,G67,K67,O67,P67,Q67,R67,S67,T67,U67,V67),"-")</f>
      </c>
      <c r="X67" t="s" s="2">
        <v>756</v>
      </c>
    </row>
    <row r="68" spans="2:24" ht="13.8" x14ac:dyDescent="0.2">
      <c r="B68" s="8">
        <f t="shared" si="5"/>
      </c>
      <c r="C68" s="10">
        <v>63</v>
      </c>
      <c r="D68" t="s" s="9">
        <v>1210</v>
      </c>
      <c r="E68" s="11">
        <f t="shared" si="6"/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7"/>
      </c>
      <c r="L68" s="7">
        <v>0</v>
      </c>
      <c r="M68" s="11">
        <f t="shared" si="8"/>
      </c>
      <c r="N68" s="11">
        <f t="shared" si="9"/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>
        <f>IFERROR(CalcRC27(F68,G68,K68,O68,P68,Q68,R68,S68,T68,U68,V68),"-")</f>
      </c>
      <c r="X68" t="s" s="2">
        <v>1211</v>
      </c>
    </row>
    <row r="69" spans="2:24" ht="13.8" x14ac:dyDescent="0.2">
      <c r="B69" s="8">
        <f t="shared" ref="B69:B132" si="10">IF(C69="","",C69)</f>
      </c>
      <c r="C69" s="10">
        <v>64</v>
      </c>
      <c r="D69" s="13"/>
      <c r="E69" s="11">
        <f t="shared" ref="E69:E132" si="11">IFERROR(IF(G69/F69=1,"1.00",G69/F69),"---")</f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</c>
      <c r="L69" s="7">
        <v>0</v>
      </c>
      <c r="M69" s="11">
        <f t="shared" ref="M69:M132" si="13">IFERROR(IF((G69+P69+Q69)/(F69+P69+Q69+S69)=1,"1.00",(G69+P69+Q69)/(F69+P69+Q69+S69)),0)</f>
      </c>
      <c r="N69" s="11">
        <f t="shared" ref="N69:N132" si="14">IFERROR(SUM(K69/F69,((G69+P69+Q69)/(F69+P69+Q69+S69))),M69)</f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>
        <f>IFERROR(CalcRC27(F69,G69,K69,O69,P69,Q69,R69,S69,T69,U69,V69),"-")</f>
      </c>
      <c r="X69" s="2"/>
    </row>
    <row r="70" spans="2:24" ht="13.8" x14ac:dyDescent="0.2">
      <c r="B70" s="8">
        <f t="shared" si="10"/>
      </c>
      <c r="C70" s="10">
        <v>65</v>
      </c>
      <c r="D70" t="s" s="9">
        <v>1297</v>
      </c>
      <c r="E70" s="11">
        <f t="shared" si="11"/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</c>
      <c r="L70" s="7">
        <v>0</v>
      </c>
      <c r="M70" s="11">
        <f t="shared" si="13"/>
      </c>
      <c r="N70" s="11">
        <f t="shared" si="14"/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>
        <f>IFERROR(CalcRC27(F70,G70,K70,O70,P70,Q70,R70,S70,T70,U70,V70),"-")</f>
      </c>
      <c r="X70" t="s" s="2">
        <v>1212</v>
      </c>
    </row>
    <row r="71" spans="2:24" ht="13.8" x14ac:dyDescent="0.2">
      <c r="B71" s="8">
        <f t="shared" si="10"/>
      </c>
      <c r="C71" s="10">
        <v>66</v>
      </c>
      <c r="D71" t="s" s="13">
        <v>29</v>
      </c>
      <c r="E71" s="11">
        <f t="shared" si="11"/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</c>
      <c r="L71" s="7">
        <v>0</v>
      </c>
      <c r="M71" s="11">
        <f t="shared" si="13"/>
      </c>
      <c r="N71" s="11">
        <f t="shared" si="14"/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>
        <f>IFERROR(CalcRC27(F71,G71,K71,O71,P71,Q71,R71,S71,T71,U71,V71),"-")</f>
      </c>
      <c r="X71" t="s" s="2">
        <v>1213</v>
      </c>
    </row>
    <row r="72" spans="2:24" ht="13.8" x14ac:dyDescent="0.2">
      <c r="B72" s="8">
        <f t="shared" si="10"/>
      </c>
      <c r="C72" s="10">
        <v>67</v>
      </c>
      <c r="D72" t="s" s="13">
        <v>1551</v>
      </c>
      <c r="E72" s="11">
        <f t="shared" si="11"/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</c>
      <c r="L72" s="7">
        <v>0</v>
      </c>
      <c r="M72" s="11">
        <f t="shared" si="13"/>
      </c>
      <c r="N72" s="11">
        <f t="shared" si="14"/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>
        <f>IFERROR(CalcRC27(F72,G72,K72,O72,P72,Q72,R72,S72,T72,U72,V72),"-")</f>
      </c>
      <c r="X72" t="s" s="2">
        <v>1214</v>
      </c>
    </row>
    <row r="73" spans="2:24" ht="13.8" x14ac:dyDescent="0.2">
      <c r="B73" s="8">
        <f t="shared" si="10"/>
      </c>
      <c r="C73" s="10">
        <v>68</v>
      </c>
      <c r="D73" t="s" s="13">
        <v>767</v>
      </c>
      <c r="E73" s="11">
        <f t="shared" si="11"/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</c>
      <c r="L73" s="7">
        <v>0</v>
      </c>
      <c r="M73" s="11">
        <f t="shared" si="13"/>
      </c>
      <c r="N73" s="11">
        <f t="shared" si="14"/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>
        <f>IFERROR(CalcRC27(F73,G73,K73,O73,P73,Q73,R73,S73,T73,U73,V73),"-")</f>
      </c>
      <c r="X73" t="s" s="2">
        <v>760</v>
      </c>
    </row>
    <row r="74" spans="2:24" ht="13.8" x14ac:dyDescent="0.2">
      <c r="B74" s="8">
        <f t="shared" si="10"/>
      </c>
      <c r="C74" s="10">
        <v>69</v>
      </c>
      <c r="D74" t="s" s="13">
        <v>1298</v>
      </c>
      <c r="E74" s="11">
        <f t="shared" si="11"/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</c>
      <c r="L74" s="7">
        <v>0</v>
      </c>
      <c r="M74" s="11">
        <f t="shared" si="13"/>
      </c>
      <c r="N74" s="11">
        <f t="shared" si="14"/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>
        <f>IFERROR(CalcRC27(F74,G74,K74,O74,P74,Q74,R74,S74,T74,U74,V74),"-")</f>
      </c>
      <c r="X74" t="s" s="2">
        <v>758</v>
      </c>
    </row>
    <row r="75" spans="2:24" ht="13.8" x14ac:dyDescent="0.2">
      <c r="B75" s="8">
        <f t="shared" si="10"/>
      </c>
      <c r="C75" s="10">
        <v>70</v>
      </c>
      <c r="D75" s="13"/>
      <c r="E75" s="11">
        <f t="shared" si="11"/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</c>
      <c r="L75" s="7">
        <v>0</v>
      </c>
      <c r="M75" s="11">
        <f t="shared" si="13"/>
      </c>
      <c r="N75" s="11">
        <f t="shared" si="14"/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>
        <f>IFERROR(CalcRC27(F75,G75,K75,O75,P75,Q75,R75,S75,T75,U75,V75),"-")</f>
      </c>
      <c r="X75" s="2"/>
    </row>
    <row r="76" spans="2:24" ht="13.8" x14ac:dyDescent="0.2">
      <c r="B76" s="8">
        <f t="shared" si="10"/>
      </c>
      <c r="C76" s="10">
        <v>71</v>
      </c>
      <c r="D76" s="13"/>
      <c r="E76" s="11">
        <f t="shared" si="11"/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</c>
      <c r="L76" s="7">
        <v>0</v>
      </c>
      <c r="M76" s="11">
        <f t="shared" si="13"/>
      </c>
      <c r="N76" s="11">
        <f t="shared" si="14"/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>
        <f>IFERROR(CalcRC27(F76,G76,K76,O76,P76,Q76,R76,S76,T76,U76,V76),"-")</f>
      </c>
      <c r="X76" s="2"/>
    </row>
    <row r="77" spans="2:24" ht="13.8" x14ac:dyDescent="0.2">
      <c r="B77" s="8">
        <f t="shared" si="10"/>
      </c>
      <c r="C77" s="10">
        <v>72</v>
      </c>
      <c r="D77" s="8"/>
      <c r="E77" s="11">
        <f t="shared" si="11"/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</c>
      <c r="L77" s="7">
        <v>0</v>
      </c>
      <c r="M77" s="11">
        <f t="shared" si="13"/>
      </c>
      <c r="N77" s="11">
        <f t="shared" si="14"/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>
        <f>IFERROR(CalcRC27(F77,G77,K77,O77,P77,Q77,R77,S77,T77,U77,V77),"-")</f>
      </c>
      <c r="X77" s="2"/>
    </row>
    <row r="78" spans="2:24" ht="13.8" x14ac:dyDescent="0.2">
      <c r="B78" s="8">
        <f t="shared" si="10"/>
      </c>
      <c r="C78" s="10">
        <v>73</v>
      </c>
      <c r="D78" s="8"/>
      <c r="E78" s="11">
        <f t="shared" si="11"/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</c>
      <c r="L78" s="7">
        <v>0</v>
      </c>
      <c r="M78" s="11">
        <f t="shared" si="13"/>
      </c>
      <c r="N78" s="11">
        <f t="shared" si="14"/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>
        <f>IFERROR(CalcRC27(F78,G78,K78,O78,P78,Q78,R78,S78,T78,U78,V78),"-")</f>
      </c>
      <c r="X78" s="2"/>
    </row>
    <row r="79" spans="2:24" ht="13.8" x14ac:dyDescent="0.2">
      <c r="B79" s="8">
        <f t="shared" si="10"/>
      </c>
      <c r="C79" s="10">
        <v>74</v>
      </c>
      <c r="D79" s="8"/>
      <c r="E79" s="11">
        <f t="shared" si="11"/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</c>
      <c r="L79" s="7">
        <v>0</v>
      </c>
      <c r="M79" s="11">
        <f t="shared" si="13"/>
      </c>
      <c r="N79" s="11">
        <f t="shared" si="14"/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>
        <f>IFERROR(CalcRC27(F79,G79,K79,O79,P79,Q79,R79,S79,T79,U79,V79),"-")</f>
      </c>
      <c r="X79" s="2"/>
    </row>
    <row r="80" spans="2:24" ht="13.8" x14ac:dyDescent="0.2">
      <c r="B80" s="8">
        <f t="shared" si="10"/>
      </c>
      <c r="C80" s="10">
        <v>75</v>
      </c>
      <c r="D80" s="8"/>
      <c r="E80" s="11">
        <f t="shared" si="11"/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</c>
      <c r="L80" s="7">
        <v>0</v>
      </c>
      <c r="M80" s="11">
        <f t="shared" si="13"/>
      </c>
      <c r="N80" s="11">
        <f t="shared" si="14"/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>
        <f>IFERROR(CalcRC27(F80,G80,K80,O80,P80,Q80,R80,S80,T80,U80,V80),"-")</f>
      </c>
      <c r="X80" s="2"/>
    </row>
    <row r="81" spans="2:24" ht="13.8" x14ac:dyDescent="0.2">
      <c r="B81" s="8">
        <f t="shared" si="10"/>
      </c>
      <c r="C81" s="10">
        <v>76</v>
      </c>
      <c r="D81" s="8"/>
      <c r="E81" s="11">
        <f t="shared" si="11"/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</c>
      <c r="L81" s="7">
        <v>0</v>
      </c>
      <c r="M81" s="11">
        <f t="shared" si="13"/>
      </c>
      <c r="N81" s="11">
        <f t="shared" si="14"/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>
        <f>IFERROR(CalcRC27(F81,G81,K81,O81,P81,Q81,R81,S81,T81,U81,V81),"-")</f>
      </c>
      <c r="X81" s="2"/>
    </row>
    <row r="82" spans="2:24" ht="13.8" x14ac:dyDescent="0.2">
      <c r="B82" s="8">
        <f t="shared" si="10"/>
      </c>
      <c r="C82" s="10">
        <v>77</v>
      </c>
      <c r="D82" s="8"/>
      <c r="E82" s="11">
        <f t="shared" si="11"/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</c>
      <c r="L82" s="7">
        <v>0</v>
      </c>
      <c r="M82" s="11">
        <f t="shared" si="13"/>
      </c>
      <c r="N82" s="11">
        <f t="shared" si="14"/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>
        <f>IFERROR(CalcRC27(F82,G82,K82,O82,P82,Q82,R82,S82,T82,U82,V82),"-")</f>
      </c>
      <c r="X82" s="2"/>
    </row>
    <row r="83" spans="2:24" ht="13.8" x14ac:dyDescent="0.2">
      <c r="B83" s="8">
        <f t="shared" si="10"/>
      </c>
      <c r="C83" s="10">
        <v>78</v>
      </c>
      <c r="D83" s="8"/>
      <c r="E83" s="11">
        <f t="shared" si="11"/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</c>
      <c r="L83" s="7">
        <v>0</v>
      </c>
      <c r="M83" s="11">
        <f t="shared" si="13"/>
      </c>
      <c r="N83" s="11">
        <f t="shared" si="14"/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>
        <f>IFERROR(CalcRC27(F83,G83,K83,O83,P83,Q83,R83,S83,T83,U83,V83),"-")</f>
      </c>
      <c r="X83" s="2"/>
    </row>
    <row r="84" spans="2:24" ht="13.8" x14ac:dyDescent="0.2">
      <c r="B84" s="8">
        <f t="shared" si="10"/>
      </c>
      <c r="C84" s="10">
        <v>79</v>
      </c>
      <c r="D84" s="8"/>
      <c r="E84" s="11">
        <f t="shared" si="11"/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</c>
      <c r="L84" s="7">
        <v>0</v>
      </c>
      <c r="M84" s="11">
        <f t="shared" si="13"/>
      </c>
      <c r="N84" s="11">
        <f t="shared" si="14"/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>
        <f>IFERROR(CalcRC27(F84,G84,K84,O84,P84,Q84,R84,S84,T84,U84,V84),"-")</f>
      </c>
      <c r="X84" s="2"/>
    </row>
    <row r="85" spans="2:24" ht="13.8" x14ac:dyDescent="0.2">
      <c r="B85" s="8">
        <f t="shared" si="10"/>
      </c>
      <c r="C85" s="10">
        <v>80</v>
      </c>
      <c r="D85" s="8"/>
      <c r="E85" s="11">
        <f t="shared" si="11"/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</c>
      <c r="L85" s="7">
        <v>0</v>
      </c>
      <c r="M85" s="11">
        <f t="shared" si="13"/>
      </c>
      <c r="N85" s="11">
        <f t="shared" si="14"/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>
        <f>IFERROR(CalcRC27(F85,G85,K85,O85,P85,Q85,R85,S85,T85,U85,V85),"-")</f>
      </c>
      <c r="X85" s="2"/>
    </row>
    <row r="86" spans="2:24" ht="13.8" x14ac:dyDescent="0.2">
      <c r="B86" s="8">
        <f t="shared" si="10"/>
      </c>
      <c r="C86" s="10">
        <v>81</v>
      </c>
      <c r="D86" s="8"/>
      <c r="E86" s="11">
        <f t="shared" si="11"/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</c>
      <c r="L86" s="7">
        <v>0</v>
      </c>
      <c r="M86" s="11">
        <f t="shared" si="13"/>
      </c>
      <c r="N86" s="11">
        <f t="shared" si="14"/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>
        <f>IFERROR(CalcRC27(F86,G86,K86,O86,P86,Q86,R86,S86,T86,U86,V86),"-")</f>
      </c>
      <c r="X86" s="2"/>
    </row>
    <row r="87" spans="2:24" ht="13.8" x14ac:dyDescent="0.2">
      <c r="B87" s="8">
        <f t="shared" si="10"/>
      </c>
      <c r="C87" s="10">
        <v>82</v>
      </c>
      <c r="D87" s="8"/>
      <c r="E87" s="11">
        <f t="shared" si="11"/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</c>
      <c r="L87" s="7">
        <v>0</v>
      </c>
      <c r="M87" s="11">
        <f t="shared" si="13"/>
      </c>
      <c r="N87" s="11">
        <f t="shared" si="14"/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>
        <f>IFERROR(CalcRC27(F87,G87,K87,O87,P87,Q87,R87,S87,T87,U87,V87),"-")</f>
      </c>
      <c r="X87" s="2"/>
    </row>
    <row r="88" spans="2:24" ht="13.8" x14ac:dyDescent="0.2">
      <c r="B88" s="8">
        <f t="shared" si="10"/>
      </c>
      <c r="C88" s="10">
        <v>83</v>
      </c>
      <c r="D88" s="8"/>
      <c r="E88" s="11">
        <f t="shared" si="11"/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</c>
      <c r="L88" s="7">
        <v>0</v>
      </c>
      <c r="M88" s="11">
        <f t="shared" si="13"/>
      </c>
      <c r="N88" s="11">
        <f t="shared" si="14"/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>
        <f>IFERROR(CalcRC27(F88,G88,K88,O88,P88,Q88,R88,S88,T88,U88,V88),"-")</f>
      </c>
      <c r="X88" s="2"/>
    </row>
    <row r="89" spans="2:24" ht="13.8" x14ac:dyDescent="0.2">
      <c r="B89" s="8">
        <f t="shared" si="10"/>
      </c>
      <c r="C89" s="10">
        <v>84</v>
      </c>
      <c r="D89" s="8"/>
      <c r="E89" s="11">
        <f t="shared" si="11"/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</c>
      <c r="L89" s="7">
        <v>0</v>
      </c>
      <c r="M89" s="11">
        <f t="shared" si="13"/>
      </c>
      <c r="N89" s="11">
        <f t="shared" si="14"/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>
        <f>IFERROR(CalcRC27(F89,G89,K89,O89,P89,Q89,R89,S89,T89,U89,V89),"-")</f>
      </c>
      <c r="X89" s="2"/>
    </row>
    <row r="90" spans="2:24" ht="13.8" x14ac:dyDescent="0.2">
      <c r="B90" s="8">
        <f t="shared" si="10"/>
      </c>
      <c r="C90" s="10">
        <v>85</v>
      </c>
      <c r="D90" s="8"/>
      <c r="E90" s="11">
        <f t="shared" si="11"/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</c>
      <c r="L90" s="7">
        <v>0</v>
      </c>
      <c r="M90" s="11">
        <f t="shared" si="13"/>
      </c>
      <c r="N90" s="11">
        <f t="shared" si="14"/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>
        <f>IFERROR(CalcRC27(F90,G90,K90,O90,P90,Q90,R90,S90,T90,U90,V90),"-")</f>
      </c>
      <c r="X90" s="2"/>
    </row>
    <row r="91" spans="2:24" ht="13.8" x14ac:dyDescent="0.2">
      <c r="B91" s="8">
        <f t="shared" si="10"/>
      </c>
      <c r="C91" s="10">
        <v>86</v>
      </c>
      <c r="D91" s="8"/>
      <c r="E91" s="11">
        <f t="shared" si="11"/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</c>
      <c r="L91" s="7">
        <v>0</v>
      </c>
      <c r="M91" s="11">
        <f t="shared" si="13"/>
      </c>
      <c r="N91" s="11">
        <f t="shared" si="14"/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>
        <f>IFERROR(CalcRC27(F91,G91,K91,O91,P91,Q91,R91,S91,T91,U91,V91),"-")</f>
      </c>
      <c r="X91" s="2"/>
    </row>
    <row r="92" spans="2:24" ht="13.8" x14ac:dyDescent="0.2">
      <c r="B92" s="8">
        <f t="shared" si="10"/>
      </c>
      <c r="C92" s="10">
        <v>87</v>
      </c>
      <c r="D92" s="8"/>
      <c r="E92" s="11">
        <f t="shared" si="11"/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</c>
      <c r="L92" s="7">
        <v>0</v>
      </c>
      <c r="M92" s="11">
        <f t="shared" si="13"/>
      </c>
      <c r="N92" s="11">
        <f t="shared" si="14"/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>
        <f>IFERROR(CalcRC27(F92,G92,K92,O92,P92,Q92,R92,S92,T92,U92,V92),"-")</f>
      </c>
      <c r="X92" s="2"/>
    </row>
    <row r="93" spans="2:24" ht="13.8" x14ac:dyDescent="0.2">
      <c r="B93" s="8">
        <f t="shared" si="10"/>
      </c>
      <c r="C93" s="10">
        <v>88</v>
      </c>
      <c r="D93" s="8"/>
      <c r="E93" s="11">
        <f t="shared" si="11"/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</c>
      <c r="L93" s="7">
        <v>0</v>
      </c>
      <c r="M93" s="11">
        <f t="shared" si="13"/>
      </c>
      <c r="N93" s="11">
        <f t="shared" si="14"/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>
        <f>IFERROR(CalcRC27(F93,G93,K93,O93,P93,Q93,R93,S93,T93,U93,V93),"-")</f>
      </c>
      <c r="X93" s="2"/>
    </row>
    <row r="94" spans="2:24" ht="13.8" x14ac:dyDescent="0.2">
      <c r="B94" s="8">
        <f t="shared" si="10"/>
      </c>
      <c r="C94" s="10">
        <v>89</v>
      </c>
      <c r="D94" s="8"/>
      <c r="E94" s="11">
        <f t="shared" si="11"/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</c>
      <c r="L94" s="7">
        <v>0</v>
      </c>
      <c r="M94" s="11">
        <f t="shared" si="13"/>
      </c>
      <c r="N94" s="11">
        <f t="shared" si="14"/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>
        <f>IFERROR(CalcRC27(F94,G94,K94,O94,P94,Q94,R94,S94,T94,U94,V94),"-")</f>
      </c>
      <c r="X94" s="2"/>
    </row>
    <row r="95" spans="2:24" ht="13.8" x14ac:dyDescent="0.2">
      <c r="B95" s="8">
        <f t="shared" si="10"/>
      </c>
      <c r="C95" s="10">
        <v>90</v>
      </c>
      <c r="D95" s="13"/>
      <c r="E95" s="11">
        <f t="shared" si="11"/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</c>
      <c r="L95" s="7">
        <v>0</v>
      </c>
      <c r="M95" s="11">
        <f t="shared" si="13"/>
      </c>
      <c r="N95" s="11">
        <f t="shared" si="14"/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>
        <f>IFERROR(CalcRC27(F95,G95,K95,O95,P95,Q95,R95,S95,T95,U95,V95),"-")</f>
      </c>
      <c r="X95" s="2"/>
    </row>
    <row r="96" spans="2:24" ht="13.8" x14ac:dyDescent="0.2">
      <c r="B96" s="8">
        <f t="shared" si="10"/>
      </c>
      <c r="C96" s="10">
        <v>91</v>
      </c>
      <c r="D96" s="13"/>
      <c r="E96" s="11">
        <f t="shared" si="11"/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</c>
      <c r="L96" s="7">
        <v>0</v>
      </c>
      <c r="M96" s="11">
        <f t="shared" si="13"/>
      </c>
      <c r="N96" s="11">
        <f t="shared" si="14"/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>
        <f>IFERROR(CalcRC27(F96,G96,K96,O96,P96,Q96,R96,S96,T96,U96,V96),"-")</f>
      </c>
      <c r="X96" s="2"/>
    </row>
    <row r="97" spans="2:24" ht="13.8" x14ac:dyDescent="0.2">
      <c r="B97" s="8">
        <f t="shared" si="10"/>
      </c>
      <c r="C97" s="10">
        <v>92</v>
      </c>
      <c r="D97" s="8"/>
      <c r="E97" s="11">
        <f t="shared" si="11"/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</c>
      <c r="L97" s="7">
        <v>0</v>
      </c>
      <c r="M97" s="11">
        <f t="shared" si="13"/>
      </c>
      <c r="N97" s="11">
        <f t="shared" si="14"/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>
        <f>IFERROR(CalcRC27(F97,G97,K97,O97,P97,Q97,R97,S97,T97,U97,V97),"-")</f>
      </c>
      <c r="X97" s="2"/>
    </row>
    <row r="98" spans="2:24" ht="13.8" x14ac:dyDescent="0.2">
      <c r="B98" s="8">
        <f t="shared" si="10"/>
      </c>
      <c r="C98" s="10">
        <v>93</v>
      </c>
      <c r="D98" s="8"/>
      <c r="E98" s="11">
        <f t="shared" si="11"/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</c>
      <c r="L98" s="7">
        <v>0</v>
      </c>
      <c r="M98" s="11">
        <f t="shared" si="13"/>
      </c>
      <c r="N98" s="11">
        <f t="shared" si="14"/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>
        <f>IFERROR(CalcRC27(F98,G98,K98,O98,P98,Q98,R98,S98,T98,U98,V98),"-")</f>
      </c>
      <c r="X98" s="2"/>
    </row>
    <row r="99" spans="2:24" ht="13.8" x14ac:dyDescent="0.2">
      <c r="B99" s="8">
        <f t="shared" si="10"/>
      </c>
      <c r="C99" s="10">
        <v>94</v>
      </c>
      <c r="D99" s="8"/>
      <c r="E99" s="11">
        <f t="shared" si="11"/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</c>
      <c r="L99" s="7">
        <v>0</v>
      </c>
      <c r="M99" s="11">
        <f t="shared" si="13"/>
      </c>
      <c r="N99" s="11">
        <f t="shared" si="14"/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>
        <f>IFERROR(CalcRC27(F99,G99,K99,O99,P99,Q99,R99,S99,T99,U99,V99),"-")</f>
      </c>
      <c r="X99" s="2"/>
    </row>
    <row r="100" spans="2:24" ht="13.8" x14ac:dyDescent="0.2">
      <c r="B100" s="8">
        <f t="shared" si="10"/>
      </c>
      <c r="C100" s="10">
        <v>95</v>
      </c>
      <c r="D100" s="8"/>
      <c r="E100" s="11">
        <f t="shared" si="11"/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</c>
      <c r="L100" s="7">
        <v>0</v>
      </c>
      <c r="M100" s="11">
        <f t="shared" si="13"/>
      </c>
      <c r="N100" s="11">
        <f t="shared" si="14"/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>
        <f>IFERROR(CalcRC27(F100,G100,K100,O100,P100,Q100,R100,S100,T100,U100,V100),"-")</f>
      </c>
      <c r="X100" s="2"/>
    </row>
    <row r="101" spans="2:24" ht="13.8" x14ac:dyDescent="0.2">
      <c r="B101" s="8">
        <f t="shared" si="10"/>
      </c>
      <c r="C101" s="10">
        <v>96</v>
      </c>
      <c r="D101" s="8"/>
      <c r="E101" s="11">
        <f t="shared" si="11"/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</c>
      <c r="L101" s="7">
        <v>0</v>
      </c>
      <c r="M101" s="11">
        <f t="shared" si="13"/>
      </c>
      <c r="N101" s="11">
        <f t="shared" si="14"/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>
        <f>IFERROR(CalcRC27(F101,G101,K101,O101,P101,Q101,R101,S101,T101,U101,V101),"-")</f>
      </c>
      <c r="X101" s="2"/>
    </row>
    <row r="102" spans="2:24" ht="13.8" x14ac:dyDescent="0.2">
      <c r="B102" s="8">
        <f t="shared" si="10"/>
      </c>
      <c r="C102" s="10">
        <v>97</v>
      </c>
      <c r="D102" s="8"/>
      <c r="E102" s="11">
        <f t="shared" si="11"/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</c>
      <c r="L102" s="7">
        <v>0</v>
      </c>
      <c r="M102" s="11">
        <f t="shared" si="13"/>
      </c>
      <c r="N102" s="11">
        <f t="shared" si="14"/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>
        <f>IFERROR(CalcRC27(F102,G102,K102,O102,P102,Q102,R102,S102,T102,U102,V102),"-")</f>
      </c>
      <c r="X102" s="2"/>
    </row>
    <row r="103" spans="2:24" ht="13.8" x14ac:dyDescent="0.2">
      <c r="B103" s="8">
        <f t="shared" si="10"/>
      </c>
      <c r="C103" s="10">
        <v>98</v>
      </c>
      <c r="D103" s="8"/>
      <c r="E103" s="11">
        <f t="shared" si="11"/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</c>
      <c r="L103" s="7">
        <v>0</v>
      </c>
      <c r="M103" s="11">
        <f t="shared" si="13"/>
      </c>
      <c r="N103" s="11">
        <f t="shared" si="14"/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</c>
      <c r="X103" s="2"/>
    </row>
    <row r="104" spans="2:24" ht="13.8" x14ac:dyDescent="0.2">
      <c r="B104" s="8">
        <f t="shared" si="10"/>
      </c>
      <c r="C104" s="10">
        <v>99</v>
      </c>
      <c r="D104" t="s" s="9">
        <v>1299</v>
      </c>
      <c r="E104" s="11">
        <f t="shared" si="11"/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</c>
      <c r="L104" s="7">
        <v>0</v>
      </c>
      <c r="M104" s="11">
        <f t="shared" si="13"/>
      </c>
      <c r="N104" s="11">
        <f t="shared" si="14"/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</c>
      <c r="X104" t="s" s="9">
        <v>1941</v>
      </c>
    </row>
    <row r="105" spans="2:24" ht="13.8" x14ac:dyDescent="0.2">
      <c r="B105" s="8">
        <f t="shared" si="10"/>
      </c>
      <c r="C105" t="s" s="10">
        <v>1236</v>
      </c>
      <c r="D105" t="s" s="14">
        <v>1300</v>
      </c>
      <c r="E105" s="11">
        <f t="shared" si="11"/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</c>
      <c r="L105" s="7">
        <v>0</v>
      </c>
      <c r="M105" s="11">
        <f t="shared" si="13"/>
      </c>
      <c r="N105" s="11">
        <f t="shared" si="14"/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>
        <f>IFERROR(CalcRC27(F105,G105,K105,O105,P105,Q105,R105,S105,T105,U105,V105),"-")</f>
      </c>
      <c r="X105" t="s" s="2">
        <v>749</v>
      </c>
    </row>
    <row r="106" spans="2:24" ht="13.8" x14ac:dyDescent="0.2">
      <c r="B106" s="8">
        <f t="shared" si="10"/>
      </c>
      <c r="C106" t="s" s="10">
        <v>1237</v>
      </c>
      <c r="D106" t="s" s="9">
        <v>1215</v>
      </c>
      <c r="E106" s="11">
        <f t="shared" si="11"/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</c>
      <c r="L106" s="7">
        <v>0</v>
      </c>
      <c r="M106" s="11">
        <f t="shared" si="13"/>
      </c>
      <c r="N106" s="11">
        <f t="shared" si="14"/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>
        <f>IFERROR(CalcRC27(F106,G106,K106,O106,P106,Q106,R106,S106,T106,U106,V106),"-")</f>
      </c>
      <c r="X106" t="s" s="2">
        <v>757</v>
      </c>
    </row>
    <row r="107" spans="2:24" ht="13.8" x14ac:dyDescent="0.2">
      <c r="B107" s="8">
        <f t="shared" si="10"/>
      </c>
      <c r="C107" t="s" s="10">
        <v>1301</v>
      </c>
      <c r="D107" t="s" s="9">
        <v>1117</v>
      </c>
      <c r="E107" s="11">
        <f t="shared" si="11"/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</c>
      <c r="L107" s="7">
        <v>0</v>
      </c>
      <c r="M107" s="11">
        <f t="shared" si="13"/>
      </c>
      <c r="N107" s="11">
        <f t="shared" si="14"/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>
        <f>IFERROR(CalcRC27(F107,G107,K107,O107,P107,Q107,R107,S107,T107,U107,V107),"-")</f>
      </c>
      <c r="X107" t="s" s="2">
        <v>1118</v>
      </c>
    </row>
    <row r="108" spans="2:24" ht="13.8" x14ac:dyDescent="0.2">
      <c r="B108" s="8">
        <f t="shared" si="10"/>
      </c>
      <c r="C108" t="s" s="10">
        <v>1302</v>
      </c>
      <c r="D108" t="s" s="9">
        <v>768</v>
      </c>
      <c r="E108" s="11">
        <f t="shared" si="11"/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</c>
      <c r="L108" s="7">
        <v>0</v>
      </c>
      <c r="M108" s="11">
        <f t="shared" si="13"/>
      </c>
      <c r="N108" s="11">
        <f t="shared" si="14"/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>
        <f>IFERROR(CalcRC27(F108,G108,K108,O108,P108,Q108,R108,S108,T108,U108,V108),"-")</f>
      </c>
      <c r="X108" t="s" s="2">
        <v>761</v>
      </c>
    </row>
    <row r="109" spans="2:24" ht="13.8" x14ac:dyDescent="0.2">
      <c r="B109" s="8">
        <f t="shared" si="10"/>
      </c>
      <c r="C109" t="s" s="10">
        <v>1303</v>
      </c>
      <c r="D109" t="s" s="9">
        <v>1304</v>
      </c>
      <c r="E109" s="11">
        <f t="shared" si="11"/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</c>
      <c r="L109" s="7">
        <v>0</v>
      </c>
      <c r="M109" s="11">
        <f t="shared" si="13"/>
      </c>
      <c r="N109" s="11">
        <f t="shared" si="14"/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>
        <f>IFERROR(CalcRC27(F109,G109,K109,O109,P109,Q109,R109,S109,T109,U109,V109),"-")</f>
      </c>
      <c r="X109" t="s" s="2">
        <v>1216</v>
      </c>
    </row>
    <row r="110" spans="2:24" ht="13.8" x14ac:dyDescent="0.2">
      <c r="B110" s="8">
        <f t="shared" si="10"/>
      </c>
      <c r="C110" t="s" s="10">
        <v>1305</v>
      </c>
      <c r="D110" t="s" s="9">
        <v>1306</v>
      </c>
      <c r="E110" s="11">
        <f t="shared" si="11"/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</c>
      <c r="L110" s="7">
        <v>0</v>
      </c>
      <c r="M110" s="11">
        <f t="shared" si="13"/>
      </c>
      <c r="N110" s="11">
        <f t="shared" si="14"/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>
        <f>IFERROR(CalcRC27(F110,G110,K110,O110,P110,Q110,R110,S110,T110,U110,V110),"-")</f>
      </c>
      <c r="X110" t="s" s="2">
        <v>762</v>
      </c>
    </row>
    <row r="111" spans="2:24" ht="13.8" x14ac:dyDescent="0.2">
      <c r="B111" s="8">
        <f t="shared" si="10"/>
      </c>
      <c r="C111" t="s" s="10">
        <v>1307</v>
      </c>
      <c r="D111" t="s" s="9">
        <v>1217</v>
      </c>
      <c r="E111" s="11">
        <f t="shared" si="11"/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</c>
      <c r="L111" s="7">
        <v>0</v>
      </c>
      <c r="M111" s="11">
        <f t="shared" si="13"/>
      </c>
      <c r="N111" s="11">
        <f t="shared" si="14"/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>
        <f>IFERROR(CalcRC27(F111,G111,K111,O111,P111,Q111,R111,S111,T111,U111,V111),"-")</f>
      </c>
      <c r="X111" t="s" s="2">
        <v>1217</v>
      </c>
    </row>
    <row r="112" spans="2:24" ht="13.8" x14ac:dyDescent="0.2">
      <c r="B112" s="8">
        <f t="shared" si="10"/>
      </c>
      <c r="C112" t="s" s="10">
        <v>1308</v>
      </c>
      <c r="D112" t="s" s="13">
        <v>1743</v>
      </c>
      <c r="E112" s="11">
        <f t="shared" si="11"/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</c>
      <c r="L112" s="7">
        <v>0</v>
      </c>
      <c r="M112" s="11">
        <f t="shared" si="13"/>
      </c>
      <c r="N112" s="11">
        <f t="shared" si="14"/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>
        <f>IFERROR(CalcRC27(F112,G112,K112,O112,P112,Q112,R112,S112,T112,U112,V112),"-")</f>
      </c>
      <c r="X112" t="s" s="13">
        <v>1218</v>
      </c>
    </row>
    <row r="113" spans="2:24" ht="13.8" x14ac:dyDescent="0.2">
      <c r="B113" s="8">
        <f t="shared" si="10"/>
      </c>
      <c r="C113" s="10"/>
      <c r="D113" s="13"/>
      <c r="E113" s="11">
        <f t="shared" si="11"/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</c>
      <c r="L113" s="7">
        <v>0</v>
      </c>
      <c r="M113" s="11">
        <f t="shared" si="13"/>
      </c>
      <c r="N113" s="11">
        <f t="shared" si="14"/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>
        <f>IFERROR(CalcRC27(F113,G113,K113,O113,P113,Q113,R113,S113,T113,U113,V113),"-")</f>
      </c>
      <c r="X113" s="13"/>
    </row>
    <row r="114" spans="2:24" ht="13.8" x14ac:dyDescent="0.2">
      <c r="B114" s="8">
        <f t="shared" si="10"/>
      </c>
      <c r="C114" s="10"/>
      <c r="D114" s="8"/>
      <c r="E114" s="11">
        <f t="shared" si="11"/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</c>
      <c r="L114" s="7">
        <v>0</v>
      </c>
      <c r="M114" s="11">
        <f t="shared" si="13"/>
      </c>
      <c r="N114" s="11">
        <f t="shared" si="14"/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>
        <f>IFERROR(CalcRC27(F114,G114,K114,O114,P114,Q114,R114,S114,T114,U114,V114),"-")</f>
      </c>
      <c r="X114" s="13"/>
    </row>
    <row r="115" spans="2:24" ht="13.8" x14ac:dyDescent="0.2">
      <c r="B115" s="8">
        <f t="shared" si="10"/>
      </c>
      <c r="C115" s="10"/>
      <c r="D115" s="8"/>
      <c r="E115" s="11">
        <f t="shared" si="11"/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</c>
      <c r="L115" s="7">
        <v>0</v>
      </c>
      <c r="M115" s="11">
        <f t="shared" si="13"/>
      </c>
      <c r="N115" s="11">
        <f t="shared" si="14"/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>
        <f>IFERROR(CalcRC27(F115,G115,K115,O115,P115,Q115,R115,S115,T115,U115,V115),"-")</f>
      </c>
      <c r="X115" s="13"/>
    </row>
    <row r="116" spans="2:24" ht="13.8" x14ac:dyDescent="0.2">
      <c r="B116" s="8">
        <f t="shared" si="10"/>
      </c>
      <c r="C116" s="10"/>
      <c r="D116" s="8"/>
      <c r="E116" s="11">
        <f t="shared" si="11"/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</c>
      <c r="L116" s="7">
        <v>0</v>
      </c>
      <c r="M116" s="11">
        <f t="shared" si="13"/>
      </c>
      <c r="N116" s="11">
        <f t="shared" si="14"/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>
        <f>IFERROR(CalcRC27(F116,G116,K116,O116,P116,Q116,R116,S116,T116,U116,V116),"-")</f>
      </c>
      <c r="X116" s="13"/>
    </row>
    <row r="117" spans="2:24" ht="13.8" x14ac:dyDescent="0.2">
      <c r="B117" s="8">
        <f t="shared" si="10"/>
      </c>
      <c r="C117" s="10"/>
      <c r="D117" s="8"/>
      <c r="E117" s="11">
        <f t="shared" si="11"/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</c>
      <c r="L117" s="7">
        <v>0</v>
      </c>
      <c r="M117" s="11">
        <f t="shared" si="13"/>
      </c>
      <c r="N117" s="11">
        <f t="shared" si="14"/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>
        <f>IFERROR(CalcRC27(F117,G117,K117,O117,P117,Q117,R117,S117,T117,U117,V117),"-")</f>
      </c>
      <c r="X117" s="13"/>
    </row>
    <row r="118" spans="2:24" ht="13.8" x14ac:dyDescent="0.2">
      <c r="B118" s="8">
        <f t="shared" si="10"/>
      </c>
      <c r="C118" s="10"/>
      <c r="D118" s="8"/>
      <c r="E118" s="11">
        <f t="shared" si="11"/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</c>
      <c r="L118" s="7">
        <v>0</v>
      </c>
      <c r="M118" s="11">
        <f t="shared" si="13"/>
      </c>
      <c r="N118" s="11">
        <f t="shared" si="14"/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>
        <f>IFERROR(CalcRC27(F118,G118,K118,O118,P118,Q118,R118,S118,T118,U118,V118),"-")</f>
      </c>
      <c r="X118" s="13"/>
    </row>
    <row r="119" spans="2:24" ht="13.8" x14ac:dyDescent="0.2">
      <c r="B119" s="8">
        <f t="shared" si="10"/>
      </c>
      <c r="C119" s="10"/>
      <c r="D119" s="8"/>
      <c r="E119" s="11">
        <f t="shared" si="11"/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</c>
      <c r="L119" s="7">
        <v>0</v>
      </c>
      <c r="M119" s="11">
        <f t="shared" si="13"/>
      </c>
      <c r="N119" s="11">
        <f t="shared" si="14"/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>
        <f>IFERROR(CalcRC27(F119,G119,K119,O119,P119,Q119,R119,S119,T119,U119,V119),"-")</f>
      </c>
      <c r="X119" s="13"/>
    </row>
    <row r="120" spans="2:24" ht="13.8" x14ac:dyDescent="0.2">
      <c r="B120" s="8">
        <f t="shared" si="10"/>
      </c>
      <c r="C120" s="10"/>
      <c r="D120" s="8"/>
      <c r="E120" s="11">
        <f t="shared" si="11"/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</c>
      <c r="L120" s="7">
        <v>0</v>
      </c>
      <c r="M120" s="11">
        <f t="shared" si="13"/>
      </c>
      <c r="N120" s="11">
        <f t="shared" si="14"/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>
        <f>IFERROR(CalcRC27(F120,G120,K120,O120,P120,Q120,R120,S120,T120,U120,V120),"-")</f>
      </c>
      <c r="X120" s="13"/>
    </row>
    <row r="121" spans="2:24" ht="13.8" x14ac:dyDescent="0.2">
      <c r="B121" s="8">
        <f t="shared" si="10"/>
      </c>
      <c r="C121" s="10"/>
      <c r="D121" s="8"/>
      <c r="E121" s="11">
        <f t="shared" si="11"/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</c>
      <c r="L121" s="7">
        <v>0</v>
      </c>
      <c r="M121" s="11">
        <f t="shared" si="13"/>
      </c>
      <c r="N121" s="11">
        <f t="shared" si="14"/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>
        <f>IFERROR(CalcRC27(F121,G121,K121,O121,P121,Q121,R121,S121,T121,U121,V121),"-")</f>
      </c>
      <c r="X121" s="13"/>
    </row>
    <row r="122" spans="2:24" ht="13.8" x14ac:dyDescent="0.2">
      <c r="B122" s="8">
        <f t="shared" si="10"/>
      </c>
      <c r="C122" s="10"/>
      <c r="D122" s="8"/>
      <c r="E122" s="11">
        <f t="shared" si="11"/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</c>
      <c r="L122" s="7">
        <v>0</v>
      </c>
      <c r="M122" s="11">
        <f t="shared" si="13"/>
      </c>
      <c r="N122" s="11">
        <f t="shared" si="14"/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>
        <f>IFERROR(CalcRC27(F122,G122,K122,O122,P122,Q122,R122,S122,T122,U122,V122),"-")</f>
      </c>
      <c r="X122" s="13"/>
    </row>
    <row r="123" spans="2:24" ht="13.8" x14ac:dyDescent="0.2">
      <c r="B123" s="8">
        <f t="shared" si="10"/>
      </c>
      <c r="C123" s="10"/>
      <c r="D123" s="8"/>
      <c r="E123" s="11">
        <f t="shared" si="11"/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</c>
      <c r="L123" s="7">
        <v>0</v>
      </c>
      <c r="M123" s="11">
        <f t="shared" si="13"/>
      </c>
      <c r="N123" s="11">
        <f t="shared" si="14"/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>
        <f>IFERROR(CalcRC27(F123,G123,K123,O123,P123,Q123,R123,S123,T123,U123,V123),"-")</f>
      </c>
      <c r="X123" s="13"/>
    </row>
    <row r="124" spans="2:24" ht="13.8" x14ac:dyDescent="0.2">
      <c r="B124" s="8">
        <f t="shared" si="10"/>
      </c>
      <c r="C124" s="10"/>
      <c r="D124" s="8"/>
      <c r="E124" s="11">
        <f t="shared" si="11"/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</c>
      <c r="L124" s="7">
        <v>0</v>
      </c>
      <c r="M124" s="11">
        <f t="shared" si="13"/>
      </c>
      <c r="N124" s="11">
        <f t="shared" si="14"/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>
        <f>IFERROR(CalcRC27(F124,G124,K124,O124,P124,Q124,R124,S124,T124,U124,V124),"-")</f>
      </c>
      <c r="X124" s="13"/>
    </row>
    <row r="125" spans="2:24" ht="13.8" x14ac:dyDescent="0.2">
      <c r="B125" s="8">
        <f t="shared" si="10"/>
      </c>
      <c r="C125" s="10"/>
      <c r="D125" s="8"/>
      <c r="E125" s="11">
        <f t="shared" si="11"/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</c>
      <c r="L125" s="7">
        <v>0</v>
      </c>
      <c r="M125" s="11">
        <f t="shared" si="13"/>
      </c>
      <c r="N125" s="11">
        <f t="shared" si="14"/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>
        <f>IFERROR(CalcRC27(F125,G125,K125,O125,P125,Q125,R125,S125,T125,U125,V125),"-")</f>
      </c>
      <c r="X125" s="13"/>
    </row>
    <row r="126" spans="2:24" ht="13.8" x14ac:dyDescent="0.2">
      <c r="B126" s="8">
        <f t="shared" si="10"/>
      </c>
      <c r="C126" s="10"/>
      <c r="D126" s="8"/>
      <c r="E126" s="11">
        <f t="shared" si="11"/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</c>
      <c r="L126" s="7">
        <v>0</v>
      </c>
      <c r="M126" s="11">
        <f t="shared" si="13"/>
      </c>
      <c r="N126" s="11">
        <f t="shared" si="14"/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>
        <f>IFERROR(CalcRC27(F126,G126,K126,O126,P126,Q126,R126,S126,T126,U126,V126),"-")</f>
      </c>
      <c r="X126" s="13"/>
    </row>
    <row r="127" spans="2:24" ht="13.8" x14ac:dyDescent="0.2">
      <c r="B127" s="8">
        <f t="shared" si="10"/>
      </c>
      <c r="C127" s="10"/>
      <c r="D127" s="8"/>
      <c r="E127" s="11">
        <f t="shared" si="11"/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</c>
      <c r="L127" s="7">
        <v>0</v>
      </c>
      <c r="M127" s="11">
        <f t="shared" si="13"/>
      </c>
      <c r="N127" s="11">
        <f t="shared" si="14"/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>
        <f>IFERROR(CalcRC27(F127,G127,K127,O127,P127,Q127,R127,S127,T127,U127,V127),"-")</f>
      </c>
      <c r="X127" s="13"/>
    </row>
    <row r="128" spans="2:24" ht="13.8" x14ac:dyDescent="0.2">
      <c r="B128" s="8">
        <f t="shared" si="10"/>
      </c>
      <c r="C128" s="10"/>
      <c r="D128" s="8"/>
      <c r="E128" s="11">
        <f t="shared" si="11"/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</c>
      <c r="L128" s="7">
        <v>0</v>
      </c>
      <c r="M128" s="11">
        <f t="shared" si="13"/>
      </c>
      <c r="N128" s="11">
        <f t="shared" si="14"/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>
        <f>IFERROR(CalcRC27(F128,G128,K128,O128,P128,Q128,R128,S128,T128,U128,V128),"-")</f>
      </c>
      <c r="X128" s="13"/>
    </row>
    <row r="129" spans="2:24" ht="13.8" x14ac:dyDescent="0.2">
      <c r="B129" s="8">
        <f t="shared" si="10"/>
      </c>
      <c r="C129" s="10"/>
      <c r="D129" s="8"/>
      <c r="E129" s="11">
        <f t="shared" si="11"/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</c>
      <c r="L129" s="7">
        <v>0</v>
      </c>
      <c r="M129" s="11">
        <f t="shared" si="13"/>
      </c>
      <c r="N129" s="11">
        <f t="shared" si="14"/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>
        <f>IFERROR(CalcRC27(F129,G129,K129,O129,P129,Q129,R129,S129,T129,U129,V129),"-")</f>
      </c>
      <c r="X129" s="13"/>
    </row>
    <row r="130" spans="2:24" ht="13.8" x14ac:dyDescent="0.2">
      <c r="B130" s="8">
        <f t="shared" si="10"/>
      </c>
      <c r="C130" s="10"/>
      <c r="D130" s="8"/>
      <c r="E130" s="11">
        <f t="shared" si="11"/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</c>
      <c r="L130" s="7">
        <v>0</v>
      </c>
      <c r="M130" s="11">
        <f t="shared" si="13"/>
      </c>
      <c r="N130" s="11">
        <f t="shared" si="14"/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>
        <f>IFERROR(CalcRC27(F130,G130,K130,O130,P130,Q130,R130,S130,T130,U130,V130),"-")</f>
      </c>
      <c r="X130" s="13"/>
    </row>
    <row r="131" spans="2:24" ht="13.8" x14ac:dyDescent="0.2">
      <c r="B131" s="8">
        <f t="shared" si="10"/>
      </c>
      <c r="C131" s="10"/>
      <c r="D131" s="8"/>
      <c r="E131" s="11">
        <f t="shared" si="11"/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</c>
      <c r="L131" s="7">
        <v>0</v>
      </c>
      <c r="M131" s="11">
        <f t="shared" si="13"/>
      </c>
      <c r="N131" s="11">
        <f t="shared" si="14"/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>
        <f>IFERROR(CalcRC27(F131,G131,K131,O131,P131,Q131,R131,S131,T131,U131,V131),"-")</f>
      </c>
      <c r="X131" s="13"/>
    </row>
    <row r="132" spans="2:24" ht="13.8" x14ac:dyDescent="0.2">
      <c r="B132" s="8">
        <f t="shared" si="10"/>
      </c>
      <c r="C132" s="10"/>
      <c r="D132" s="8"/>
      <c r="E132" s="11">
        <f t="shared" si="11"/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</c>
      <c r="L132" s="7">
        <v>0</v>
      </c>
      <c r="M132" s="11">
        <f t="shared" si="13"/>
      </c>
      <c r="N132" s="11">
        <f t="shared" si="14"/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>
        <f>IFERROR(CalcRC27(F132,G132,K132,O132,P132,Q132,R132,S132,T132,U132,V132),"-")</f>
      </c>
      <c r="X132" s="13"/>
    </row>
    <row r="133" spans="2:24" ht="13.8" x14ac:dyDescent="0.2">
      <c r="B133" s="8">
        <f t="shared" ref="B133:B134" si="15">IF(C133="","",C133)</f>
      </c>
      <c r="C133" s="10"/>
      <c r="D133" s="8"/>
      <c r="E133" s="11">
        <f t="shared" ref="E133:E134" si="16">IFERROR(IF(G133/F133=1,"1.00",G133/F133),"---")</f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</c>
      <c r="L133" s="7">
        <v>0</v>
      </c>
      <c r="M133" s="11">
        <f t="shared" ref="M133:M134" si="18">IFERROR(IF((G133+P133+Q133)/(F133+P133+Q133+S133)=1,"1.00",(G133+P133+Q133)/(F133+P133+Q133+S133)),0)</f>
      </c>
      <c r="N133" s="11">
        <f t="shared" ref="N133:N134" si="19">IFERROR(SUM(K133/F133,((G133+P133+Q133)/(F133+P133+Q133+S133))),M133)</f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>
        <f>IFERROR(CalcRC27(F133,G133,K133,O133,P133,Q133,R133,S133,T133,U133,V133),"-")</f>
      </c>
      <c r="X133" s="13"/>
    </row>
    <row r="134" spans="2:24" ht="13.8" x14ac:dyDescent="0.2">
      <c r="B134" s="8">
        <f t="shared" si="15"/>
      </c>
      <c r="C134" s="10"/>
      <c r="D134" s="8"/>
      <c r="E134" s="11">
        <f t="shared" si="16"/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</c>
      <c r="L134" s="7">
        <v>0</v>
      </c>
      <c r="M134" s="11">
        <f t="shared" si="18"/>
      </c>
      <c r="N134" s="11">
        <f t="shared" si="19"/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>
        <f>IFERROR(CalcRC27(F134,G134,K134,O134,P134,Q134,R134,S134,T134,U134,V134),"-")</f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01057-34FE-4DDA-9F7E-E896712DFF96}">
  <sheetPr codeName="Sheet5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2"/>
      <c r="C2" s="122"/>
      <c r="D2" s="122"/>
      <c r="E2" s="4">
        <f>IFERROR(G2/F2,0)</f>
      </c>
      <c r="F2" s="5">
        <f t="shared" ref="F2:L2" si="0">SUM(F4:F104)</f>
      </c>
      <c r="G2" s="5">
        <f t="shared" si="0"/>
      </c>
      <c r="H2" s="5">
        <f t="shared" si="0"/>
      </c>
      <c r="I2" s="5">
        <f t="shared" si="0"/>
      </c>
      <c r="J2" s="6">
        <f t="shared" si="0"/>
      </c>
      <c r="K2" s="12">
        <f t="shared" si="0"/>
      </c>
      <c r="L2" s="7">
        <f t="shared" si="0"/>
      </c>
      <c r="M2" s="11">
        <f>IFERROR(IF((G2+P2+Q2)/(F2+P2+Q2+R2)=1,"1.00",(G2+P2+Q2)/(F2+P2+Q2+R2)),0)</f>
      </c>
      <c r="N2" s="11">
        <f>IFERROR(SUM(SUM(((G2-H2-I2-J2)*1),H2*2,I2*3,J2*4)/F2,((G2+P2+Q2)/(F2+P2+Q2+R2))),M2)</f>
      </c>
      <c r="O2" s="5">
        <f>SUM(O4:O104)</f>
      </c>
      <c r="P2" s="5">
        <f>SUM(P4:P104)</f>
      </c>
      <c r="Q2" s="5">
        <f>SUM(Q4:Q104)</f>
      </c>
      <c r="R2" s="5">
        <f>SUM(R4:R104)</f>
      </c>
      <c r="S2" s="5">
        <f>SUM(S4:S104)</f>
      </c>
      <c r="T2" s="5">
        <f t="shared" ref="T2:V2" si="1">SUM(T4:T104)</f>
      </c>
      <c r="U2" s="5">
        <f t="shared" si="1"/>
      </c>
      <c r="V2" s="5">
        <f t="shared" si="1"/>
      </c>
      <c r="W2" s="20">
        <f>IFERROR(CalcRC27(F2,G2,K2,O2,P2,Q2,R2,S2,T2,U2,V2),"-")</f>
      </c>
      <c r="X2" t="s" s="121">
        <v>229</v>
      </c>
    </row>
    <row r="3" spans="2:24" x14ac:dyDescent="0.2">
      <c r="B3" t="s" s="55">
        <v>841</v>
      </c>
      <c r="C3" t="s" s="56">
        <v>1039</v>
      </c>
      <c r="D3" t="s" s="56">
        <v>1040</v>
      </c>
      <c r="E3" t="s" s="57">
        <v>56</v>
      </c>
      <c r="F3" t="s" s="58">
        <v>0</v>
      </c>
      <c r="G3" t="s" s="55">
        <v>1</v>
      </c>
      <c r="H3" t="s" s="55">
        <v>360</v>
      </c>
      <c r="I3" t="s" s="55">
        <v>361</v>
      </c>
      <c r="J3" t="s" s="59">
        <v>1041</v>
      </c>
      <c r="K3" t="s" s="55">
        <v>983</v>
      </c>
      <c r="L3" t="s" s="60">
        <v>2</v>
      </c>
      <c r="M3" t="s" s="61">
        <v>359</v>
      </c>
      <c r="N3" t="s" s="57">
        <v>362</v>
      </c>
      <c r="O3" t="s" s="62">
        <v>978</v>
      </c>
      <c r="P3" t="s" s="55">
        <v>234</v>
      </c>
      <c r="Q3" t="s" s="55">
        <v>235</v>
      </c>
      <c r="R3" t="s" s="55">
        <v>976</v>
      </c>
      <c r="S3" t="s" s="55">
        <v>977</v>
      </c>
      <c r="T3" t="s" s="55">
        <v>979</v>
      </c>
      <c r="U3" t="s" s="55">
        <v>980</v>
      </c>
      <c r="V3" t="s" s="55">
        <v>981</v>
      </c>
      <c r="W3" t="s" s="55">
        <v>982</v>
      </c>
      <c r="X3" s="121"/>
    </row>
    <row r="4" spans="2:24" ht="13.8" x14ac:dyDescent="0.2">
      <c r="B4" s="8">
        <f>IF(C4="","",C4)</f>
      </c>
      <c r="C4" t="s" s="10">
        <v>173</v>
      </c>
      <c r="D4" t="s" s="13">
        <v>1310</v>
      </c>
      <c r="E4" s="11">
        <f t="shared" ref="E4:E68" si="2">IFERROR(IF(G4/F4=1,"1.00",G4/F4),"---")</f>
      </c>
      <c r="F4" s="5">
        <v>1</v>
      </c>
      <c r="G4" s="5">
        <v>0</v>
      </c>
      <c r="H4" s="5">
        <v>0</v>
      </c>
      <c r="I4" s="5">
        <v>0</v>
      </c>
      <c r="J4" s="6">
        <v>0</v>
      </c>
      <c r="K4" s="12">
        <f t="shared" ref="K4" si="3">((G4-H4-I4-J4)+(H4*2)+(I4*3)+(J4*4))</f>
      </c>
      <c r="L4" s="7">
        <v>0</v>
      </c>
      <c r="M4" s="11">
        <f t="shared" ref="M4" si="4">IFERROR(IF((G4+P4+Q4)/(F4+P4+Q4+S4)=1,"1.00",(G4+P4+Q4)/(F4+P4+Q4+S4)),0)</f>
      </c>
      <c r="N4" s="11">
        <f t="shared" ref="N4" si="5">IFERROR(SUM(K4/F4,((G4+P4+Q4)/(F4+P4+Q4+S4))),M4)</f>
      </c>
      <c r="O4" s="20">
        <v>1</v>
      </c>
      <c r="P4" s="21">
        <v>2</v>
      </c>
      <c r="Q4" s="21">
        <v>1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>
        <f>IFERROR(CalcRC27(F4,G4,K4,O4,P4,Q4,R4,S4,T4,U4,V4),"-")</f>
      </c>
      <c r="X4" t="s" s="2">
        <v>1351</v>
      </c>
    </row>
    <row r="5" spans="2:24" ht="13.8" x14ac:dyDescent="0.2">
      <c r="B5" s="8">
        <f t="shared" ref="B5:B68" si="6">IF(C5="","",C5)</f>
      </c>
      <c r="C5" s="10">
        <v>0</v>
      </c>
      <c r="D5" t="s" s="13">
        <v>1311</v>
      </c>
      <c r="E5" s="11">
        <f t="shared" si="2"/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7">((G5-H5-I5-J5)+(H5*2)+(I5*3)+(J5*4))</f>
      </c>
      <c r="L5" s="7">
        <v>0</v>
      </c>
      <c r="M5" s="11">
        <f t="shared" ref="M5:M68" si="8">IFERROR(IF((G5+P5+Q5)/(F5+P5+Q5+S5)=1,"1.00",(G5+P5+Q5)/(F5+P5+Q5+S5)),0)</f>
      </c>
      <c r="N5" s="11">
        <f t="shared" ref="N5:N68" si="9">IFERROR(SUM(K5/F5,((G5+P5+Q5)/(F5+P5+Q5+S5))),M5)</f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>
        <f>IFERROR(CalcRC27(F5,G5,K5,O5,P5,Q5,R5,S5,T5,U5,V5),"-")</f>
      </c>
      <c r="X5" t="s" s="2">
        <v>1352</v>
      </c>
    </row>
    <row r="6" spans="2:24" ht="13.8" x14ac:dyDescent="0.2">
      <c r="B6" s="8">
        <f t="shared" si="6"/>
      </c>
      <c r="C6" s="10">
        <v>1</v>
      </c>
      <c r="D6" t="s" s="13">
        <v>1547</v>
      </c>
      <c r="E6" s="11">
        <f t="shared" si="2"/>
      </c>
      <c r="F6" s="5">
        <v>4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</c>
      <c r="L6" s="7">
        <v>0</v>
      </c>
      <c r="M6" s="11">
        <f t="shared" si="8"/>
      </c>
      <c r="N6" s="11">
        <f t="shared" si="9"/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1</v>
      </c>
      <c r="W6" s="63">
        <f>IFERROR(CalcRC27(F6,G6,K6,O6,P6,Q6,R6,S6,T6,U6,V6),"-")</f>
      </c>
      <c r="X6" t="s" s="2">
        <v>609</v>
      </c>
    </row>
    <row r="7" spans="2:24" ht="13.8" x14ac:dyDescent="0.2">
      <c r="B7" s="8">
        <f t="shared" si="6"/>
      </c>
      <c r="C7" s="10">
        <v>2</v>
      </c>
      <c r="D7" t="s" s="13">
        <v>187</v>
      </c>
      <c r="E7" s="11">
        <f t="shared" si="2"/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</c>
      <c r="L7" s="7">
        <v>0</v>
      </c>
      <c r="M7" s="11">
        <f t="shared" si="8"/>
      </c>
      <c r="N7" s="11">
        <f t="shared" si="9"/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>
        <f>IFERROR(CalcRC27(F7,G7,K7,O7,P7,Q7,R7,S7,T7,U7,V7),"-")</f>
      </c>
      <c r="X7" t="s" s="2">
        <v>610</v>
      </c>
    </row>
    <row r="8" spans="2:24" ht="13.8" x14ac:dyDescent="0.2">
      <c r="B8" s="8">
        <f t="shared" si="6"/>
      </c>
      <c r="C8" s="10">
        <v>3</v>
      </c>
      <c r="D8" t="s" s="9">
        <v>184</v>
      </c>
      <c r="E8" s="11">
        <f t="shared" si="2"/>
      </c>
      <c r="F8" s="5">
        <v>2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</c>
      <c r="L8" s="7">
        <v>0</v>
      </c>
      <c r="M8" s="11">
        <f t="shared" si="8"/>
      </c>
      <c r="N8" s="11">
        <f t="shared" si="9"/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1</v>
      </c>
      <c r="W8" s="63">
        <f>IFERROR(CalcRC27(F8,G8,K8,O8,P8,Q8,R8,S8,T8,U8,V8),"-")</f>
      </c>
      <c r="X8" t="s" s="2">
        <v>1942</v>
      </c>
    </row>
    <row r="9" spans="2:24" ht="13.8" x14ac:dyDescent="0.2">
      <c r="B9" s="8">
        <f t="shared" si="6"/>
      </c>
      <c r="C9" s="10">
        <v>4</v>
      </c>
      <c r="D9" t="s" s="13">
        <v>1312</v>
      </c>
      <c r="E9" s="11">
        <f t="shared" si="2"/>
      </c>
      <c r="F9" s="5">
        <v>5</v>
      </c>
      <c r="G9" s="5">
        <v>2</v>
      </c>
      <c r="H9" s="5">
        <v>0</v>
      </c>
      <c r="I9" s="5">
        <v>0</v>
      </c>
      <c r="J9" s="6">
        <v>0</v>
      </c>
      <c r="K9" s="12">
        <f t="shared" si="7"/>
      </c>
      <c r="L9" s="7">
        <v>0</v>
      </c>
      <c r="M9" s="11">
        <f t="shared" si="8"/>
      </c>
      <c r="N9" s="11">
        <f t="shared" si="9"/>
      </c>
      <c r="O9" s="20">
        <v>1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>
        <f>IFERROR(CalcRC27(F9,G9,K9,O9,P9,Q9,R9,S9,T9,U9,V9),"-")</f>
      </c>
      <c r="X9" t="s" s="2">
        <v>1353</v>
      </c>
    </row>
    <row r="10" spans="2:24" ht="13.8" x14ac:dyDescent="0.2">
      <c r="B10" s="8">
        <f t="shared" si="6"/>
      </c>
      <c r="C10" s="10">
        <v>5</v>
      </c>
      <c r="D10" t="s" s="13">
        <v>1313</v>
      </c>
      <c r="E10" s="11">
        <f t="shared" si="2"/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</c>
      <c r="L10" s="7">
        <v>0</v>
      </c>
      <c r="M10" s="11">
        <f t="shared" si="8"/>
      </c>
      <c r="N10" s="11">
        <f t="shared" si="9"/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>
        <f>IFERROR(CalcRC27(F10,G10,K10,O10,P10,Q10,R10,S10,T10,U10,V10),"-")</f>
      </c>
      <c r="X10" t="s" s="2">
        <v>1354</v>
      </c>
    </row>
    <row r="11" spans="2:24" ht="13.8" x14ac:dyDescent="0.2">
      <c r="B11" s="8">
        <f t="shared" si="6"/>
      </c>
      <c r="C11" s="10">
        <v>6</v>
      </c>
      <c r="D11" t="s" s="13">
        <v>1314</v>
      </c>
      <c r="E11" s="11">
        <f t="shared" si="2"/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</c>
      <c r="L11" s="7">
        <v>0</v>
      </c>
      <c r="M11" s="11">
        <f t="shared" si="8"/>
      </c>
      <c r="N11" s="11">
        <f t="shared" si="9"/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</c>
      <c r="X11" t="s" s="2">
        <v>611</v>
      </c>
    </row>
    <row r="12" spans="2:24" ht="13.8" x14ac:dyDescent="0.2">
      <c r="B12" s="8">
        <f t="shared" si="6"/>
      </c>
      <c r="C12" s="10">
        <v>7</v>
      </c>
      <c r="D12" t="s" s="13">
        <v>188</v>
      </c>
      <c r="E12" s="11">
        <f t="shared" si="2"/>
      </c>
      <c r="F12" s="5">
        <v>3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</c>
      <c r="L12" s="7">
        <v>0</v>
      </c>
      <c r="M12" s="11">
        <f t="shared" si="8"/>
      </c>
      <c r="N12" s="11">
        <f t="shared" si="9"/>
      </c>
      <c r="O12" s="20">
        <v>0</v>
      </c>
      <c r="P12" s="21">
        <v>1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1</v>
      </c>
      <c r="W12" s="63">
        <f>IFERROR(CalcRC27(F12,G12,K12,O12,P12,Q12,R12,S12,T12,U12,V12),"-")</f>
      </c>
      <c r="X12" t="s" s="2">
        <v>612</v>
      </c>
    </row>
    <row r="13" spans="2:24" ht="13.8" x14ac:dyDescent="0.2">
      <c r="B13" s="8">
        <f t="shared" si="6"/>
      </c>
      <c r="C13" s="10">
        <v>8</v>
      </c>
      <c r="D13" t="s" s="13">
        <v>18</v>
      </c>
      <c r="E13" s="11">
        <f t="shared" si="2"/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</c>
      <c r="L13" s="7">
        <v>0</v>
      </c>
      <c r="M13" s="11">
        <f t="shared" si="8"/>
      </c>
      <c r="N13" s="11">
        <f t="shared" si="9"/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</c>
      <c r="X13" t="s" s="2">
        <v>613</v>
      </c>
    </row>
    <row r="14" spans="2:24" ht="13.8" x14ac:dyDescent="0.2">
      <c r="B14" s="8">
        <f t="shared" si="6"/>
      </c>
      <c r="C14" s="10">
        <v>9</v>
      </c>
      <c r="D14" t="s" s="13">
        <v>64</v>
      </c>
      <c r="E14" s="11">
        <f t="shared" si="2"/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</c>
      <c r="L14" s="7">
        <v>0</v>
      </c>
      <c r="M14" s="11">
        <f t="shared" si="8"/>
      </c>
      <c r="N14" s="11">
        <f t="shared" si="9"/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>
        <f>IFERROR(CalcRC27(F14,G14,K14,O14,P14,Q14,R14,S14,T14,U14,V14),"-")</f>
      </c>
      <c r="X14" t="s" s="2">
        <v>64</v>
      </c>
    </row>
    <row r="15" spans="2:24" ht="13.8" x14ac:dyDescent="0.2">
      <c r="B15" s="8">
        <f t="shared" si="6"/>
      </c>
      <c r="C15" s="10">
        <v>10</v>
      </c>
      <c r="D15" t="s" s="13">
        <v>19</v>
      </c>
      <c r="E15" s="11">
        <f t="shared" si="2"/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</c>
      <c r="L15" s="7">
        <v>0</v>
      </c>
      <c r="M15" s="11">
        <f t="shared" si="8"/>
      </c>
      <c r="N15" s="11">
        <f t="shared" si="9"/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</c>
      <c r="X15" t="s" s="2">
        <v>614</v>
      </c>
    </row>
    <row r="16" spans="2:24" ht="13.8" x14ac:dyDescent="0.2">
      <c r="B16" s="8">
        <f t="shared" si="6"/>
      </c>
      <c r="C16" s="10">
        <v>11</v>
      </c>
      <c r="D16" t="s" s="13">
        <v>1315</v>
      </c>
      <c r="E16" s="11">
        <f t="shared" si="2"/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</c>
      <c r="L16" s="7">
        <v>0</v>
      </c>
      <c r="M16" s="11">
        <f t="shared" si="8"/>
      </c>
      <c r="N16" s="11">
        <f t="shared" si="9"/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</c>
      <c r="X16" t="s" s="2">
        <v>615</v>
      </c>
    </row>
    <row r="17" spans="2:24" ht="13.8" x14ac:dyDescent="0.2">
      <c r="B17" s="8">
        <f t="shared" si="6"/>
      </c>
      <c r="C17" s="10">
        <v>12</v>
      </c>
      <c r="D17" s="13"/>
      <c r="E17" s="11">
        <f t="shared" si="2"/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</c>
      <c r="L17" s="7">
        <v>0</v>
      </c>
      <c r="M17" s="11">
        <f t="shared" si="8"/>
      </c>
      <c r="N17" s="11">
        <f t="shared" si="9"/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>
        <f>IFERROR(CalcRC27(F17,G17,K17,O17,P17,Q17,R17,S17,T17,U17,V17),"-")</f>
      </c>
      <c r="X17" s="2"/>
    </row>
    <row r="18" spans="2:24" ht="13.8" x14ac:dyDescent="0.2">
      <c r="B18" s="8">
        <f t="shared" si="6"/>
      </c>
      <c r="C18" s="10">
        <v>13</v>
      </c>
      <c r="D18" t="s" s="13">
        <v>171</v>
      </c>
      <c r="E18" s="11">
        <f t="shared" si="2"/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</c>
      <c r="L18" s="7">
        <v>0</v>
      </c>
      <c r="M18" s="11">
        <f t="shared" si="8"/>
      </c>
      <c r="N18" s="11">
        <f t="shared" si="9"/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>
        <f>IFERROR(CalcRC27(F18,G18,K18,O18,P18,Q18,R18,S18,T18,U18,V18),"-")</f>
      </c>
      <c r="X18" t="s" s="2">
        <v>616</v>
      </c>
    </row>
    <row r="19" spans="2:24" ht="13.8" x14ac:dyDescent="0.2">
      <c r="B19" s="8">
        <f t="shared" si="6"/>
      </c>
      <c r="C19" s="10">
        <v>14</v>
      </c>
      <c r="D19" t="s" s="13">
        <v>1316</v>
      </c>
      <c r="E19" s="11">
        <f t="shared" si="2"/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</c>
      <c r="L19" s="7">
        <v>0</v>
      </c>
      <c r="M19" s="11">
        <f t="shared" si="8"/>
      </c>
      <c r="N19" s="11">
        <f t="shared" si="9"/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>
        <f>IFERROR(CalcRC27(F19,G19,K19,O19,P19,Q19,R19,S19,T19,U19,V19),"-")</f>
      </c>
      <c r="X19" t="s" s="2">
        <v>617</v>
      </c>
    </row>
    <row r="20" spans="2:24" ht="13.8" x14ac:dyDescent="0.2">
      <c r="B20" s="8">
        <f t="shared" si="6"/>
      </c>
      <c r="C20" s="10">
        <v>15</v>
      </c>
      <c r="D20" t="s" s="2">
        <v>772</v>
      </c>
      <c r="E20" s="11">
        <f t="shared" si="2"/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</c>
      <c r="L20" s="7">
        <v>0</v>
      </c>
      <c r="M20" s="11">
        <f t="shared" si="8"/>
      </c>
      <c r="N20" s="11">
        <f t="shared" si="9"/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>
        <f>IFERROR(CalcRC27(F20,G20,K20,O20,P20,Q20,R20,S20,T20,U20,V20),"-")</f>
      </c>
      <c r="X20" t="s" s="2">
        <v>1355</v>
      </c>
    </row>
    <row r="21" spans="2:24" ht="13.8" x14ac:dyDescent="0.2">
      <c r="B21" s="8">
        <f t="shared" si="6"/>
      </c>
      <c r="C21" s="10">
        <v>16</v>
      </c>
      <c r="D21" t="s" s="13">
        <v>47</v>
      </c>
      <c r="E21" s="11">
        <f t="shared" si="2"/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</c>
      <c r="L21" s="7">
        <v>0</v>
      </c>
      <c r="M21" s="11">
        <f t="shared" si="8"/>
      </c>
      <c r="N21" s="11">
        <f t="shared" si="9"/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</c>
      <c r="X21" t="s" s="2">
        <v>618</v>
      </c>
    </row>
    <row r="22" spans="2:24" ht="13.8" x14ac:dyDescent="0.2">
      <c r="B22" s="8">
        <f t="shared" si="6"/>
      </c>
      <c r="C22" s="10">
        <v>17</v>
      </c>
      <c r="D22" t="s" s="13">
        <v>20</v>
      </c>
      <c r="E22" s="11">
        <f t="shared" si="2"/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</c>
      <c r="L22" s="7">
        <v>0</v>
      </c>
      <c r="M22" s="11">
        <f t="shared" si="8"/>
      </c>
      <c r="N22" s="11">
        <f t="shared" si="9"/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>
        <f>IFERROR(CalcRC27(F22,G22,K22,O22,P22,Q22,R22,S22,T22,U22,V22),"-")</f>
      </c>
      <c r="X22" t="s" s="2">
        <v>619</v>
      </c>
    </row>
    <row r="23" spans="2:24" ht="13.8" x14ac:dyDescent="0.2">
      <c r="B23" s="8">
        <f t="shared" si="6"/>
      </c>
      <c r="C23" s="10">
        <v>18</v>
      </c>
      <c r="D23" t="s" s="9">
        <v>1010</v>
      </c>
      <c r="E23" s="11">
        <f t="shared" si="2"/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</c>
      <c r="L23" s="7">
        <v>0</v>
      </c>
      <c r="M23" s="11">
        <f t="shared" si="8"/>
      </c>
      <c r="N23" s="11">
        <f t="shared" si="9"/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</c>
      <c r="X23" t="s" s="2">
        <v>1356</v>
      </c>
    </row>
    <row r="24" spans="2:24" ht="13.8" x14ac:dyDescent="0.2">
      <c r="B24" s="8">
        <f t="shared" si="6"/>
      </c>
      <c r="C24" s="10">
        <v>19</v>
      </c>
      <c r="D24" t="s" s="13">
        <v>17</v>
      </c>
      <c r="E24" s="11">
        <f t="shared" si="2"/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</c>
      <c r="L24" s="7">
        <v>0</v>
      </c>
      <c r="M24" s="11">
        <f t="shared" si="8"/>
      </c>
      <c r="N24" s="11">
        <f t="shared" si="9"/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</c>
      <c r="X24" t="s" s="2">
        <v>620</v>
      </c>
    </row>
    <row r="25" spans="2:24" ht="13.8" x14ac:dyDescent="0.2">
      <c r="B25" s="8">
        <f t="shared" si="6"/>
      </c>
      <c r="C25" s="10">
        <v>20</v>
      </c>
      <c r="D25" t="s" s="13">
        <v>1745</v>
      </c>
      <c r="E25" s="11">
        <f t="shared" si="2"/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</c>
      <c r="L25" s="7">
        <v>0</v>
      </c>
      <c r="M25" s="11">
        <f t="shared" si="8"/>
      </c>
      <c r="N25" s="11">
        <f t="shared" si="9"/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>
        <f>IFERROR(CalcRC27(F25,G25,K25,O25,P25,Q25,R25,S25,T25,U25,V25),"-")</f>
      </c>
      <c r="X25" t="s" s="2">
        <v>621</v>
      </c>
    </row>
    <row r="26" spans="2:24" ht="13.8" x14ac:dyDescent="0.2">
      <c r="B26" s="8">
        <f t="shared" si="6"/>
      </c>
      <c r="C26" s="10">
        <v>21</v>
      </c>
      <c r="D26" s="13"/>
      <c r="E26" s="11">
        <f t="shared" si="2"/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</c>
      <c r="L26" s="7">
        <v>0</v>
      </c>
      <c r="M26" s="11">
        <f t="shared" si="8"/>
      </c>
      <c r="N26" s="11">
        <f t="shared" si="9"/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>
        <f>IFERROR(CalcRC27(F26,G26,K26,O26,P26,Q26,R26,S26,T26,U26,V26),"-")</f>
      </c>
      <c r="X26" s="2"/>
    </row>
    <row r="27" spans="2:24" ht="13.8" x14ac:dyDescent="0.2">
      <c r="B27" s="8">
        <f t="shared" si="6"/>
      </c>
      <c r="C27" s="10">
        <v>22</v>
      </c>
      <c r="D27" t="s" s="13">
        <v>189</v>
      </c>
      <c r="E27" s="11">
        <f t="shared" si="2"/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</c>
      <c r="L27" s="7">
        <v>0</v>
      </c>
      <c r="M27" s="11">
        <f t="shared" si="8"/>
      </c>
      <c r="N27" s="11">
        <f t="shared" si="9"/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>
        <f>IFERROR(CalcRC27(F27,G27,K27,O27,P27,Q27,R27,S27,T27,U27,V27),"-")</f>
      </c>
      <c r="X27" t="s" s="2">
        <v>622</v>
      </c>
    </row>
    <row r="28" spans="2:24" ht="13.8" x14ac:dyDescent="0.2">
      <c r="B28" s="8">
        <f t="shared" si="6"/>
      </c>
      <c r="C28" s="10">
        <v>23</v>
      </c>
      <c r="D28" s="13"/>
      <c r="E28" s="11">
        <f t="shared" si="2"/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</c>
      <c r="L28" s="7">
        <v>0</v>
      </c>
      <c r="M28" s="11">
        <f t="shared" si="8"/>
      </c>
      <c r="N28" s="11">
        <f t="shared" si="9"/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>
        <f>IFERROR(CalcRC27(F28,G28,K28,O28,P28,Q28,R28,S28,T28,U28,V28),"-")</f>
      </c>
      <c r="X28" s="2"/>
    </row>
    <row r="29" spans="2:24" ht="13.8" x14ac:dyDescent="0.2">
      <c r="B29" s="8">
        <f t="shared" si="6"/>
      </c>
      <c r="C29" s="10">
        <v>24</v>
      </c>
      <c r="D29" t="s" s="13">
        <v>1317</v>
      </c>
      <c r="E29" s="11">
        <f t="shared" si="2"/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</c>
      <c r="L29" s="7">
        <v>0</v>
      </c>
      <c r="M29" s="11">
        <f t="shared" si="8"/>
      </c>
      <c r="N29" s="11">
        <f t="shared" si="9"/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</c>
      <c r="X29" t="s" s="2">
        <v>1357</v>
      </c>
    </row>
    <row r="30" spans="2:24" ht="13.8" x14ac:dyDescent="0.2">
      <c r="B30" s="8">
        <f t="shared" si="6"/>
      </c>
      <c r="C30" s="10">
        <v>25</v>
      </c>
      <c r="D30" s="13"/>
      <c r="E30" s="11">
        <f t="shared" si="2"/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</c>
      <c r="L30" s="7">
        <v>0</v>
      </c>
      <c r="M30" s="11">
        <f t="shared" si="8"/>
      </c>
      <c r="N30" s="11">
        <f t="shared" si="9"/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</c>
      <c r="X30" s="2"/>
    </row>
    <row r="31" spans="2:24" ht="13.8" x14ac:dyDescent="0.2">
      <c r="B31" s="8">
        <f t="shared" si="6"/>
      </c>
      <c r="C31" s="10">
        <v>26</v>
      </c>
      <c r="D31" t="s" s="13">
        <v>21</v>
      </c>
      <c r="E31" s="11">
        <f t="shared" si="2"/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</c>
      <c r="L31" s="7">
        <v>0</v>
      </c>
      <c r="M31" s="11">
        <f t="shared" si="8"/>
      </c>
      <c r="N31" s="11">
        <f t="shared" si="9"/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>
        <f>IFERROR(CalcRC27(F31,G31,K31,O31,P31,Q31,R31,S31,T31,U31,V31),"-")</f>
      </c>
      <c r="X31" t="s" s="2">
        <v>623</v>
      </c>
    </row>
    <row r="32" spans="2:24" ht="13.8" x14ac:dyDescent="0.2">
      <c r="B32" s="8">
        <f t="shared" si="6"/>
      </c>
      <c r="C32" s="10">
        <v>27</v>
      </c>
      <c r="D32" t="s" s="13">
        <v>48</v>
      </c>
      <c r="E32" s="11">
        <f t="shared" si="2"/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</c>
      <c r="L32" s="7">
        <v>0</v>
      </c>
      <c r="M32" s="11">
        <f t="shared" si="8"/>
      </c>
      <c r="N32" s="11">
        <f t="shared" si="9"/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</c>
      <c r="X32" t="s" s="2">
        <v>65</v>
      </c>
    </row>
    <row r="33" spans="2:24" ht="13.8" x14ac:dyDescent="0.2">
      <c r="B33" s="8">
        <f t="shared" si="6"/>
      </c>
      <c r="C33" s="10">
        <v>28</v>
      </c>
      <c r="D33" t="s" s="13">
        <v>770</v>
      </c>
      <c r="E33" s="11">
        <f t="shared" si="2"/>
      </c>
      <c r="F33" s="5">
        <v>1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</c>
      <c r="L33" s="7">
        <v>0</v>
      </c>
      <c r="M33" s="11">
        <f t="shared" si="8"/>
      </c>
      <c r="N33" s="11">
        <f t="shared" si="9"/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</c>
      <c r="X33" t="s" s="2">
        <v>1358</v>
      </c>
    </row>
    <row r="34" spans="2:24" ht="13.8" x14ac:dyDescent="0.2">
      <c r="B34" s="8">
        <f t="shared" si="6"/>
      </c>
      <c r="C34" s="10">
        <v>29</v>
      </c>
      <c r="D34" t="s" s="13">
        <v>25</v>
      </c>
      <c r="E34" s="11">
        <f t="shared" si="2"/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</c>
      <c r="L34" s="7">
        <v>0</v>
      </c>
      <c r="M34" s="11">
        <f t="shared" si="8"/>
      </c>
      <c r="N34" s="11">
        <f t="shared" si="9"/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>
        <f>IFERROR(CalcRC27(F34,G34,K34,O34,P34,Q34,R34,S34,T34,U34,V34),"-")</f>
      </c>
      <c r="X34" t="s" s="2">
        <v>624</v>
      </c>
    </row>
    <row r="35" spans="2:24" ht="13.8" x14ac:dyDescent="0.2">
      <c r="B35" s="8">
        <f t="shared" si="6"/>
      </c>
      <c r="C35" s="10">
        <v>30</v>
      </c>
      <c r="D35" t="s" s="13">
        <v>1136</v>
      </c>
      <c r="E35" s="11">
        <f t="shared" si="2"/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</c>
      <c r="L35" s="7">
        <v>0</v>
      </c>
      <c r="M35" s="11">
        <f t="shared" si="8"/>
      </c>
      <c r="N35" s="11">
        <f t="shared" si="9"/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>
        <f>IFERROR(CalcRC27(F35,G35,K35,O35,P35,Q35,R35,S35,T35,U35,V35),"-")</f>
      </c>
      <c r="X35" t="s" s="2">
        <v>1359</v>
      </c>
    </row>
    <row r="36" spans="2:24" ht="13.8" x14ac:dyDescent="0.2">
      <c r="B36" s="8">
        <f t="shared" si="6"/>
      </c>
      <c r="C36" s="10">
        <v>31</v>
      </c>
      <c r="D36" t="s" s="13">
        <v>764</v>
      </c>
      <c r="E36" s="11">
        <f t="shared" si="2"/>
      </c>
      <c r="F36" s="5">
        <v>1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</c>
      <c r="L36" s="7">
        <v>0</v>
      </c>
      <c r="M36" s="11">
        <f t="shared" si="8"/>
      </c>
      <c r="N36" s="11">
        <f t="shared" si="9"/>
      </c>
      <c r="O36" s="20">
        <v>0</v>
      </c>
      <c r="P36" s="21">
        <v>1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>
        <f>IFERROR(CalcRC27(F36,G36,K36,O36,P36,Q36,R36,S36,T36,U36,V36),"-")</f>
      </c>
      <c r="X36" t="s" s="2">
        <v>625</v>
      </c>
    </row>
    <row r="37" spans="2:24" ht="13.8" x14ac:dyDescent="0.2">
      <c r="B37" s="8">
        <f t="shared" si="6"/>
      </c>
      <c r="C37" s="10">
        <v>32</v>
      </c>
      <c r="D37" t="s" s="13">
        <v>49</v>
      </c>
      <c r="E37" s="11">
        <f t="shared" si="2"/>
      </c>
      <c r="F37" s="5">
        <v>2</v>
      </c>
      <c r="G37" s="5">
        <v>1</v>
      </c>
      <c r="H37" s="5">
        <v>1</v>
      </c>
      <c r="I37" s="5">
        <v>0</v>
      </c>
      <c r="J37" s="6">
        <v>0</v>
      </c>
      <c r="K37" s="12">
        <f t="shared" si="7"/>
      </c>
      <c r="L37" s="7">
        <v>0</v>
      </c>
      <c r="M37" s="11">
        <f t="shared" si="8"/>
      </c>
      <c r="N37" s="11">
        <f t="shared" si="9"/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>
        <f>IFERROR(CalcRC27(F37,G37,K37,O37,P37,Q37,R37,S37,T37,U37,V37),"-")</f>
      </c>
      <c r="X37" t="s" s="2">
        <v>626</v>
      </c>
    </row>
    <row r="38" spans="2:24" ht="13.8" x14ac:dyDescent="0.2">
      <c r="B38" s="8">
        <f t="shared" si="6"/>
      </c>
      <c r="C38" s="10">
        <v>33</v>
      </c>
      <c r="D38" t="s" s="13">
        <v>1318</v>
      </c>
      <c r="E38" s="11">
        <f t="shared" si="2"/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</c>
      <c r="L38" s="7">
        <v>0</v>
      </c>
      <c r="M38" s="11">
        <f t="shared" si="8"/>
      </c>
      <c r="N38" s="11">
        <f t="shared" si="9"/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>
        <f>IFERROR(CalcRC27(F38,G38,K38,O38,P38,Q38,R38,S38,T38,U38,V38),"-")</f>
      </c>
      <c r="X38" t="s" s="2">
        <v>1360</v>
      </c>
    </row>
    <row r="39" spans="2:24" ht="13.8" x14ac:dyDescent="0.2">
      <c r="B39" s="8">
        <f t="shared" si="6"/>
      </c>
      <c r="C39" s="10">
        <v>34</v>
      </c>
      <c r="D39" t="s" s="13">
        <v>1319</v>
      </c>
      <c r="E39" s="11">
        <f t="shared" si="2"/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</c>
      <c r="L39" s="7">
        <v>0</v>
      </c>
      <c r="M39" s="11">
        <f t="shared" si="8"/>
      </c>
      <c r="N39" s="11">
        <f t="shared" si="9"/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>
        <f>IFERROR(CalcRC27(F39,G39,K39,O39,P39,Q39,R39,S39,T39,U39,V39),"-")</f>
      </c>
      <c r="X39" t="s" s="2">
        <v>1361</v>
      </c>
    </row>
    <row r="40" spans="2:24" ht="13.8" x14ac:dyDescent="0.2">
      <c r="B40" s="8">
        <f t="shared" si="6"/>
      </c>
      <c r="C40" s="10">
        <v>35</v>
      </c>
      <c r="D40" t="s" s="13">
        <v>1304</v>
      </c>
      <c r="E40" s="11">
        <f t="shared" si="2"/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</c>
      <c r="L40" s="7">
        <v>0</v>
      </c>
      <c r="M40" s="11">
        <f t="shared" si="8"/>
      </c>
      <c r="N40" s="11">
        <f t="shared" si="9"/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>
        <f>IFERROR(CalcRC27(F40,G40,K40,O40,P40,Q40,R40,S40,T40,U40,V40),"-")</f>
      </c>
      <c r="X40" t="s" s="2">
        <v>1362</v>
      </c>
    </row>
    <row r="41" spans="2:24" ht="13.8" x14ac:dyDescent="0.2">
      <c r="B41" s="8">
        <f t="shared" si="6"/>
      </c>
      <c r="C41" s="10">
        <v>36</v>
      </c>
      <c r="D41" t="s" s="13">
        <v>1320</v>
      </c>
      <c r="E41" s="11">
        <f t="shared" si="2"/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</c>
      <c r="L41" s="7">
        <v>0</v>
      </c>
      <c r="M41" s="11">
        <f t="shared" si="8"/>
      </c>
      <c r="N41" s="11">
        <f t="shared" si="9"/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>
        <f>IFERROR(CalcRC27(F41,G41,K41,O41,P41,Q41,R41,S41,T41,U41,V41),"-")</f>
      </c>
      <c r="X41" t="s" s="2">
        <v>1363</v>
      </c>
    </row>
    <row r="42" spans="2:24" ht="13.8" x14ac:dyDescent="0.2">
      <c r="B42" s="8">
        <f t="shared" si="6"/>
      </c>
      <c r="C42" s="10">
        <v>37</v>
      </c>
      <c r="D42" t="s" s="13">
        <v>22</v>
      </c>
      <c r="E42" s="11">
        <f t="shared" si="2"/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</c>
      <c r="L42" s="7">
        <v>0</v>
      </c>
      <c r="M42" s="11">
        <f t="shared" si="8"/>
      </c>
      <c r="N42" s="11">
        <f t="shared" si="9"/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>
        <f>IFERROR(CalcRC27(F42,G42,K42,O42,P42,Q42,R42,S42,T42,U42,V42),"-")</f>
      </c>
      <c r="X42" t="s" s="2">
        <v>627</v>
      </c>
    </row>
    <row r="43" spans="2:24" ht="13.8" x14ac:dyDescent="0.2">
      <c r="B43" s="8">
        <f t="shared" si="6"/>
      </c>
      <c r="C43" s="10">
        <v>38</v>
      </c>
      <c r="D43" t="s" s="13">
        <v>1321</v>
      </c>
      <c r="E43" s="11">
        <f t="shared" si="2"/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</c>
      <c r="L43" s="7">
        <v>0</v>
      </c>
      <c r="M43" s="11">
        <f t="shared" si="8"/>
      </c>
      <c r="N43" s="11">
        <f t="shared" si="9"/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>
        <f>IFERROR(CalcRC27(F43,G43,K43,O43,P43,Q43,R43,S43,T43,U43,V43),"-")</f>
      </c>
      <c r="X43" t="s" s="2">
        <v>518</v>
      </c>
    </row>
    <row r="44" spans="2:24" ht="13.8" x14ac:dyDescent="0.2">
      <c r="B44" s="8">
        <f t="shared" si="6"/>
      </c>
      <c r="C44" s="10">
        <v>39</v>
      </c>
      <c r="D44" t="s" s="13">
        <v>1322</v>
      </c>
      <c r="E44" s="11">
        <f t="shared" si="2"/>
      </c>
      <c r="F44" s="5">
        <v>2</v>
      </c>
      <c r="G44" s="5">
        <v>1</v>
      </c>
      <c r="H44" s="5">
        <v>0</v>
      </c>
      <c r="I44" s="5">
        <v>0</v>
      </c>
      <c r="J44" s="6">
        <v>0</v>
      </c>
      <c r="K44" s="12">
        <f t="shared" si="7"/>
      </c>
      <c r="L44" s="7">
        <v>0</v>
      </c>
      <c r="M44" s="11">
        <f t="shared" si="8"/>
      </c>
      <c r="N44" s="11">
        <f t="shared" si="9"/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>
        <f>IFERROR(CalcRC27(F44,G44,K44,O44,P44,Q44,R44,S44,T44,U44,V44),"-")</f>
      </c>
      <c r="X44" t="s" s="2">
        <v>1364</v>
      </c>
    </row>
    <row r="45" spans="2:24" ht="13.8" x14ac:dyDescent="0.2">
      <c r="B45" s="8">
        <f t="shared" si="6"/>
      </c>
      <c r="C45" s="10">
        <v>40</v>
      </c>
      <c r="D45" t="s" s="13">
        <v>1319</v>
      </c>
      <c r="E45" s="11">
        <f t="shared" si="2"/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</c>
      <c r="L45" s="7">
        <v>0</v>
      </c>
      <c r="M45" s="11">
        <f t="shared" si="8"/>
      </c>
      <c r="N45" s="11">
        <f t="shared" si="9"/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>
        <f>IFERROR(CalcRC27(F45,G45,K45,O45,P45,Q45,R45,S45,T45,U45,V45),"-")</f>
      </c>
      <c r="X45" t="s" s="2">
        <v>190</v>
      </c>
    </row>
    <row r="46" spans="2:24" ht="13.8" x14ac:dyDescent="0.2">
      <c r="B46" s="8">
        <f t="shared" si="6"/>
      </c>
      <c r="C46" s="10">
        <v>41</v>
      </c>
      <c r="D46" t="s" s="13">
        <v>1323</v>
      </c>
      <c r="E46" s="11">
        <f t="shared" si="2"/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</c>
      <c r="L46" s="7">
        <v>0</v>
      </c>
      <c r="M46" s="11">
        <f t="shared" si="8"/>
      </c>
      <c r="N46" s="11">
        <f t="shared" si="9"/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>
        <f>IFERROR(CalcRC27(F46,G46,K46,O46,P46,Q46,R46,S46,T46,U46,V46),"-")</f>
      </c>
      <c r="X46" t="s" s="2">
        <v>154</v>
      </c>
    </row>
    <row r="47" spans="2:24" ht="13.8" x14ac:dyDescent="0.2">
      <c r="B47" s="8">
        <f t="shared" si="6"/>
      </c>
      <c r="C47" s="10">
        <v>42</v>
      </c>
      <c r="D47" t="s" s="13">
        <v>1324</v>
      </c>
      <c r="E47" s="11">
        <f t="shared" si="2"/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</c>
      <c r="L47" s="7">
        <v>0</v>
      </c>
      <c r="M47" s="11">
        <f t="shared" si="8"/>
      </c>
      <c r="N47" s="11">
        <f t="shared" si="9"/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</c>
      <c r="X47" t="s" s="2">
        <v>1943</v>
      </c>
    </row>
    <row r="48" spans="2:24" ht="13.8" x14ac:dyDescent="0.2">
      <c r="B48" s="8">
        <f t="shared" si="6"/>
      </c>
      <c r="C48" s="10">
        <v>43</v>
      </c>
      <c r="D48" t="s" s="13">
        <v>773</v>
      </c>
      <c r="E48" s="11">
        <f t="shared" si="2"/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</c>
      <c r="L48" s="7">
        <v>0</v>
      </c>
      <c r="M48" s="11">
        <f t="shared" si="8"/>
      </c>
      <c r="N48" s="11">
        <f t="shared" si="9"/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>
        <f>IFERROR(CalcRC27(F48,G48,K48,O48,P48,Q48,R48,S48,T48,U48,V48),"-")</f>
      </c>
      <c r="X48" t="s" s="2">
        <v>1365</v>
      </c>
    </row>
    <row r="49" spans="2:24" ht="13.8" x14ac:dyDescent="0.2">
      <c r="B49" s="8">
        <f t="shared" si="6"/>
      </c>
      <c r="C49" s="10">
        <v>44</v>
      </c>
      <c r="D49" t="s" s="13">
        <v>1325</v>
      </c>
      <c r="E49" s="11">
        <f t="shared" si="2"/>
      </c>
      <c r="F49" s="5">
        <v>2</v>
      </c>
      <c r="G49" s="5">
        <v>1</v>
      </c>
      <c r="H49" s="5">
        <v>0</v>
      </c>
      <c r="I49" s="5">
        <v>1</v>
      </c>
      <c r="J49" s="6">
        <v>0</v>
      </c>
      <c r="K49" s="12">
        <f t="shared" si="7"/>
      </c>
      <c r="L49" s="7">
        <v>3</v>
      </c>
      <c r="M49" s="11">
        <f t="shared" si="8"/>
      </c>
      <c r="N49" s="11">
        <f t="shared" si="9"/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</c>
      <c r="X49" t="s" s="2">
        <v>1366</v>
      </c>
    </row>
    <row r="50" spans="2:24" ht="13.8" x14ac:dyDescent="0.2">
      <c r="B50" s="8">
        <f t="shared" si="6"/>
      </c>
      <c r="C50" s="10">
        <v>45</v>
      </c>
      <c r="D50" t="s" s="13">
        <v>1326</v>
      </c>
      <c r="E50" s="11">
        <f t="shared" si="2"/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</c>
      <c r="L50" s="7">
        <v>0</v>
      </c>
      <c r="M50" s="11">
        <f t="shared" si="8"/>
      </c>
      <c r="N50" s="11">
        <f t="shared" si="9"/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>
        <f>IFERROR(CalcRC27(F50,G50,K50,O50,P50,Q50,R50,S50,T50,U50,V50),"-")</f>
      </c>
      <c r="X50" t="s" s="2">
        <v>369</v>
      </c>
    </row>
    <row r="51" spans="2:24" ht="13.8" x14ac:dyDescent="0.2">
      <c r="B51" s="8">
        <f t="shared" si="6"/>
      </c>
      <c r="C51" s="10">
        <v>46</v>
      </c>
      <c r="D51" t="s" s="13">
        <v>1326</v>
      </c>
      <c r="E51" s="11">
        <f t="shared" si="2"/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</c>
      <c r="L51" s="7">
        <v>0</v>
      </c>
      <c r="M51" s="11">
        <f t="shared" si="8"/>
      </c>
      <c r="N51" s="11">
        <f t="shared" si="9"/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</c>
      <c r="X51" t="s" s="2">
        <v>1367</v>
      </c>
    </row>
    <row r="52" spans="2:24" ht="13.8" x14ac:dyDescent="0.2">
      <c r="B52" s="8">
        <f t="shared" si="6"/>
      </c>
      <c r="C52" s="10">
        <v>47</v>
      </c>
      <c r="D52" s="13"/>
      <c r="E52" s="11">
        <f t="shared" si="2"/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</c>
      <c r="L52" s="7">
        <v>0</v>
      </c>
      <c r="M52" s="11">
        <f t="shared" si="8"/>
      </c>
      <c r="N52" s="11">
        <f t="shared" si="9"/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>
        <f>IFERROR(CalcRC27(F52,G52,K52,O52,P52,Q52,R52,S52,T52,U52,V52),"-")</f>
      </c>
      <c r="X52" s="2"/>
    </row>
    <row r="53" spans="2:24" ht="13.8" x14ac:dyDescent="0.2">
      <c r="B53" s="8">
        <f t="shared" si="6"/>
      </c>
      <c r="C53" s="10">
        <v>48</v>
      </c>
      <c r="D53" t="s" s="13">
        <v>23</v>
      </c>
      <c r="E53" s="11">
        <f t="shared" si="2"/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</c>
      <c r="L53" s="7">
        <v>0</v>
      </c>
      <c r="M53" s="11">
        <f t="shared" si="8"/>
      </c>
      <c r="N53" s="11">
        <f t="shared" si="9"/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>
        <f>IFERROR(CalcRC27(F53,G53,K53,O53,P53,Q53,R53,S53,T53,U53,V53),"-")</f>
      </c>
      <c r="X53" t="s" s="2">
        <v>631</v>
      </c>
    </row>
    <row r="54" spans="2:24" ht="13.8" x14ac:dyDescent="0.2">
      <c r="B54" s="8">
        <f t="shared" si="6"/>
      </c>
      <c r="C54" s="10">
        <v>49</v>
      </c>
      <c r="D54" t="s" s="9">
        <v>1327</v>
      </c>
      <c r="E54" s="11">
        <f t="shared" si="2"/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</c>
      <c r="L54" s="7">
        <v>0</v>
      </c>
      <c r="M54" s="11">
        <f t="shared" si="8"/>
      </c>
      <c r="N54" s="11">
        <f t="shared" si="9"/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</c>
      <c r="X54" t="s" s="2">
        <v>1944</v>
      </c>
    </row>
    <row r="55" spans="2:24" ht="13.8" x14ac:dyDescent="0.2">
      <c r="B55" s="8">
        <f t="shared" si="6"/>
      </c>
      <c r="C55" s="10">
        <v>50</v>
      </c>
      <c r="D55" t="s" s="13">
        <v>1295</v>
      </c>
      <c r="E55" s="11">
        <f t="shared" si="2"/>
      </c>
      <c r="F55" s="5">
        <v>2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</c>
      <c r="L55" s="7">
        <v>0</v>
      </c>
      <c r="M55" s="11">
        <f t="shared" si="8"/>
      </c>
      <c r="N55" s="11">
        <f t="shared" si="9"/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>
        <f>IFERROR(CalcRC27(F55,G55,K55,O55,P55,Q55,R55,S55,T55,U55,V55),"-")</f>
      </c>
      <c r="X55" t="s" s="2">
        <v>632</v>
      </c>
    </row>
    <row r="56" spans="2:24" ht="13.8" x14ac:dyDescent="0.2">
      <c r="B56" s="8">
        <f t="shared" si="6"/>
      </c>
      <c r="C56" s="10">
        <v>51</v>
      </c>
      <c r="D56" t="s" s="13">
        <v>1576</v>
      </c>
      <c r="E56" s="11">
        <f t="shared" si="2"/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</c>
      <c r="L56" s="7">
        <v>0</v>
      </c>
      <c r="M56" s="11">
        <f t="shared" si="8"/>
      </c>
      <c r="N56" s="11">
        <f t="shared" si="9"/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>
        <f>IFERROR(CalcRC27(F56,G56,K56,O56,P56,Q56,R56,S56,T56,U56,V56),"-")</f>
      </c>
      <c r="X56" t="s" s="2">
        <v>633</v>
      </c>
    </row>
    <row r="57" spans="2:24" ht="13.8" x14ac:dyDescent="0.2">
      <c r="B57" s="8">
        <f t="shared" si="6"/>
      </c>
      <c r="C57" s="10">
        <v>52</v>
      </c>
      <c r="D57" s="13"/>
      <c r="E57" s="11">
        <f t="shared" si="2"/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</c>
      <c r="L57" s="7">
        <v>0</v>
      </c>
      <c r="M57" s="11">
        <f t="shared" si="8"/>
      </c>
      <c r="N57" s="11">
        <f t="shared" si="9"/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>
        <f>IFERROR(CalcRC27(F57,G57,K57,O57,P57,Q57,R57,S57,T57,U57,V57),"-")</f>
      </c>
      <c r="X57" s="2"/>
    </row>
    <row r="58" spans="2:24" ht="13.8" x14ac:dyDescent="0.2">
      <c r="B58" s="8">
        <f t="shared" si="6"/>
      </c>
      <c r="C58" s="10">
        <v>53</v>
      </c>
      <c r="D58" t="s" s="13">
        <v>1328</v>
      </c>
      <c r="E58" s="11">
        <f t="shared" si="2"/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</c>
      <c r="L58" s="7">
        <v>0</v>
      </c>
      <c r="M58" s="11">
        <f t="shared" si="8"/>
      </c>
      <c r="N58" s="11">
        <f t="shared" si="9"/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>
        <f>IFERROR(CalcRC27(F58,G58,K58,O58,P58,Q58,R58,S58,T58,U58,V58),"-")</f>
      </c>
      <c r="X58" t="s" s="2">
        <v>413</v>
      </c>
    </row>
    <row r="59" spans="2:24" ht="13.8" x14ac:dyDescent="0.2">
      <c r="B59" s="8">
        <f t="shared" si="6"/>
      </c>
      <c r="C59" s="10">
        <v>54</v>
      </c>
      <c r="D59" t="s" s="13">
        <v>1329</v>
      </c>
      <c r="E59" s="11">
        <f t="shared" si="2"/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</c>
      <c r="L59" s="7">
        <v>0</v>
      </c>
      <c r="M59" s="11">
        <f t="shared" si="8"/>
      </c>
      <c r="N59" s="11">
        <f t="shared" si="9"/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>
        <f>IFERROR(CalcRC27(F59,G59,K59,O59,P59,Q59,R59,S59,T59,U59,V59),"-")</f>
      </c>
      <c r="X59" t="s" s="2">
        <v>1368</v>
      </c>
    </row>
    <row r="60" spans="2:24" ht="13.8" x14ac:dyDescent="0.2">
      <c r="B60" s="8">
        <f t="shared" si="6"/>
      </c>
      <c r="C60" s="10">
        <v>55</v>
      </c>
      <c r="D60" t="s" s="13">
        <v>1330</v>
      </c>
      <c r="E60" s="11">
        <f t="shared" si="2"/>
      </c>
      <c r="F60" s="5">
        <v>2</v>
      </c>
      <c r="G60" s="5">
        <v>1</v>
      </c>
      <c r="H60" s="5">
        <v>0</v>
      </c>
      <c r="I60" s="5">
        <v>0</v>
      </c>
      <c r="J60" s="6">
        <v>0</v>
      </c>
      <c r="K60" s="12">
        <f t="shared" si="7"/>
      </c>
      <c r="L60" s="7">
        <v>0</v>
      </c>
      <c r="M60" s="11">
        <f t="shared" si="8"/>
      </c>
      <c r="N60" s="11">
        <f t="shared" si="9"/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1</v>
      </c>
      <c r="U60" s="20">
        <v>0</v>
      </c>
      <c r="V60" s="20">
        <v>0</v>
      </c>
      <c r="W60" s="63">
        <f>IFERROR(CalcRC27(F60,G60,K60,O60,P60,Q60,R60,S60,T60,U60,V60),"-")</f>
      </c>
      <c r="X60" t="s" s="2">
        <v>1369</v>
      </c>
    </row>
    <row r="61" spans="2:24" ht="13.8" x14ac:dyDescent="0.2">
      <c r="B61" s="8">
        <f t="shared" si="6"/>
      </c>
      <c r="C61" s="10">
        <v>56</v>
      </c>
      <c r="D61" t="s" s="13">
        <v>712</v>
      </c>
      <c r="E61" s="11">
        <f t="shared" si="2"/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</c>
      <c r="L61" s="7">
        <v>0</v>
      </c>
      <c r="M61" s="11">
        <f t="shared" si="8"/>
      </c>
      <c r="N61" s="11">
        <f t="shared" si="9"/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>
        <f>IFERROR(CalcRC27(F61,G61,K61,O61,P61,Q61,R61,S61,T61,U61,V61),"-")</f>
      </c>
      <c r="X61" t="s" s="2">
        <v>635</v>
      </c>
    </row>
    <row r="62" spans="2:24" ht="13.8" x14ac:dyDescent="0.2">
      <c r="B62" s="8">
        <f t="shared" si="6"/>
      </c>
      <c r="C62" s="10">
        <v>57</v>
      </c>
      <c r="D62" t="s" s="13">
        <v>166</v>
      </c>
      <c r="E62" s="11">
        <f t="shared" si="2"/>
      </c>
      <c r="F62" s="5">
        <v>1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</c>
      <c r="L62" s="7">
        <v>0</v>
      </c>
      <c r="M62" s="11">
        <f t="shared" si="8"/>
      </c>
      <c r="N62" s="11">
        <f t="shared" si="9"/>
      </c>
      <c r="O62" s="20">
        <v>1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>
        <f>IFERROR(CalcRC27(F62,G62,K62,O62,P62,Q62,R62,S62,T62,U62,V62),"-")</f>
      </c>
      <c r="X62" t="s" s="2">
        <v>636</v>
      </c>
    </row>
    <row r="63" spans="2:24" ht="13.8" x14ac:dyDescent="0.2">
      <c r="B63" s="8">
        <f t="shared" si="6"/>
      </c>
      <c r="C63" s="10">
        <v>58</v>
      </c>
      <c r="D63" t="s" s="13">
        <v>774</v>
      </c>
      <c r="E63" s="11">
        <f t="shared" si="2"/>
      </c>
      <c r="F63" s="5">
        <v>2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</c>
      <c r="L63" s="7">
        <v>1</v>
      </c>
      <c r="M63" s="11">
        <f t="shared" si="8"/>
      </c>
      <c r="N63" s="11">
        <f t="shared" si="9"/>
      </c>
      <c r="O63" s="20">
        <v>0</v>
      </c>
      <c r="P63" s="21">
        <v>0</v>
      </c>
      <c r="Q63" s="21">
        <v>0</v>
      </c>
      <c r="R63" s="22">
        <v>0</v>
      </c>
      <c r="S63" s="22">
        <v>1</v>
      </c>
      <c r="T63" s="20">
        <v>0</v>
      </c>
      <c r="U63" s="20">
        <v>0</v>
      </c>
      <c r="V63" s="20">
        <v>0</v>
      </c>
      <c r="W63" s="63">
        <f>IFERROR(CalcRC27(F63,G63,K63,O63,P63,Q63,R63,S63,T63,U63,V63),"-")</f>
      </c>
      <c r="X63" t="s" s="2">
        <v>1370</v>
      </c>
    </row>
    <row r="64" spans="2:24" ht="13.8" x14ac:dyDescent="0.2">
      <c r="B64" s="8">
        <f t="shared" si="6"/>
      </c>
      <c r="C64" s="10">
        <v>59</v>
      </c>
      <c r="D64" t="s" s="13">
        <v>1331</v>
      </c>
      <c r="E64" s="11">
        <f t="shared" si="2"/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</c>
      <c r="L64" s="7">
        <v>0</v>
      </c>
      <c r="M64" s="11">
        <f t="shared" si="8"/>
      </c>
      <c r="N64" s="11">
        <f t="shared" si="9"/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>
        <f>IFERROR(CalcRC27(F64,G64,K64,O64,P64,Q64,R64,S64,T64,U64,V64),"-")</f>
      </c>
      <c r="X64" t="s" s="2">
        <v>1371</v>
      </c>
    </row>
    <row r="65" spans="2:24" ht="13.8" x14ac:dyDescent="0.2">
      <c r="B65" s="8">
        <f t="shared" si="6"/>
      </c>
      <c r="C65" s="10">
        <v>60</v>
      </c>
      <c r="D65" t="s" s="13">
        <v>50</v>
      </c>
      <c r="E65" s="11">
        <f t="shared" si="2"/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</c>
      <c r="L65" s="7">
        <v>0</v>
      </c>
      <c r="M65" s="11">
        <f t="shared" si="8"/>
      </c>
      <c r="N65" s="11">
        <f t="shared" si="9"/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>
        <f>IFERROR(CalcRC27(F65,G65,K65,O65,P65,Q65,R65,S65,T65,U65,V65),"-")</f>
      </c>
      <c r="X65" t="s" s="2">
        <v>637</v>
      </c>
    </row>
    <row r="66" spans="2:24" ht="13.8" x14ac:dyDescent="0.2">
      <c r="B66" s="8">
        <f t="shared" si="6"/>
      </c>
      <c r="C66" s="10">
        <v>61</v>
      </c>
      <c r="D66" t="s" s="13">
        <v>172</v>
      </c>
      <c r="E66" s="11">
        <f t="shared" si="2"/>
      </c>
      <c r="F66" s="5">
        <v>2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</c>
      <c r="L66" s="7">
        <v>0</v>
      </c>
      <c r="M66" s="11">
        <f t="shared" si="8"/>
      </c>
      <c r="N66" s="11">
        <f t="shared" si="9"/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>
        <f>IFERROR(CalcRC27(F66,G66,K66,O66,P66,Q66,R66,S66,T66,U66,V66),"-")</f>
      </c>
      <c r="X66" t="s" s="2">
        <v>638</v>
      </c>
    </row>
    <row r="67" spans="2:24" ht="13.8" x14ac:dyDescent="0.2">
      <c r="B67" s="8">
        <f t="shared" si="6"/>
      </c>
      <c r="C67" s="10">
        <v>62</v>
      </c>
      <c r="D67" t="s" s="13">
        <v>1332</v>
      </c>
      <c r="E67" s="11">
        <f t="shared" si="2"/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</c>
      <c r="L67" s="7">
        <v>0</v>
      </c>
      <c r="M67" s="11">
        <f t="shared" si="8"/>
      </c>
      <c r="N67" s="11">
        <f t="shared" si="9"/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>
        <f>IFERROR(CalcRC27(F67,G67,K67,O67,P67,Q67,R67,S67,T67,U67,V67),"-")</f>
      </c>
      <c r="X67" t="s" s="2">
        <v>1945</v>
      </c>
    </row>
    <row r="68" spans="2:24" ht="13.8" x14ac:dyDescent="0.2">
      <c r="B68" s="8">
        <f t="shared" si="6"/>
      </c>
      <c r="C68" s="10">
        <v>63</v>
      </c>
      <c r="D68" t="s" s="9">
        <v>24</v>
      </c>
      <c r="E68" s="11">
        <f t="shared" si="2"/>
      </c>
      <c r="F68" s="5">
        <v>1</v>
      </c>
      <c r="G68" s="5">
        <v>1</v>
      </c>
      <c r="H68" s="5">
        <v>0</v>
      </c>
      <c r="I68" s="5">
        <v>0</v>
      </c>
      <c r="J68" s="6">
        <v>0</v>
      </c>
      <c r="K68" s="12">
        <f t="shared" si="7"/>
      </c>
      <c r="L68" s="7">
        <v>0</v>
      </c>
      <c r="M68" s="11">
        <f t="shared" si="8"/>
      </c>
      <c r="N68" s="11">
        <f t="shared" si="9"/>
      </c>
      <c r="O68" s="20">
        <v>0</v>
      </c>
      <c r="P68" s="21">
        <v>0</v>
      </c>
      <c r="Q68" s="21">
        <v>1</v>
      </c>
      <c r="R68" s="22">
        <v>0</v>
      </c>
      <c r="S68" s="22">
        <v>0</v>
      </c>
      <c r="T68" s="20">
        <v>0</v>
      </c>
      <c r="U68" s="20">
        <v>1</v>
      </c>
      <c r="V68" s="20">
        <v>0</v>
      </c>
      <c r="W68" s="63">
        <f>IFERROR(CalcRC27(F68,G68,K68,O68,P68,Q68,R68,S68,T68,U68,V68),"-")</f>
      </c>
      <c r="X68" t="s" s="2">
        <v>639</v>
      </c>
    </row>
    <row r="69" spans="2:24" ht="13.8" x14ac:dyDescent="0.2">
      <c r="B69" s="8">
        <f t="shared" ref="B69:B132" si="10">IF(C69="","",C69)</f>
      </c>
      <c r="C69" s="10">
        <v>64</v>
      </c>
      <c r="D69" t="s" s="13">
        <v>775</v>
      </c>
      <c r="E69" s="11">
        <f t="shared" ref="E69:E131" si="11">IFERROR(IF(G69/F69=1,"1.00",G69/F69),"---")</f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1" si="12">((G69-H69-I69-J69)+(H69*2)+(I69*3)+(J69*4))</f>
      </c>
      <c r="L69" s="7">
        <v>0</v>
      </c>
      <c r="M69" s="11">
        <f t="shared" ref="M69:M131" si="13">IFERROR(IF((G69+P69+Q69)/(F69+P69+Q69+S69)=1,"1.00",(G69+P69+Q69)/(F69+P69+Q69+S69)),0)</f>
      </c>
      <c r="N69" s="11">
        <f t="shared" ref="N69:N131" si="14">IFERROR(SUM(K69/F69,((G69+P69+Q69)/(F69+P69+Q69+S69))),M69)</f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>
        <f>IFERROR(CalcRC27(F69,G69,K69,O69,P69,Q69,R69,S69,T69,U69,V69),"-")</f>
      </c>
      <c r="X69" t="s" s="2">
        <v>1372</v>
      </c>
    </row>
    <row r="70" spans="2:24" ht="13.8" x14ac:dyDescent="0.2">
      <c r="B70" s="8">
        <f t="shared" si="10"/>
      </c>
      <c r="C70" s="10">
        <v>65</v>
      </c>
      <c r="D70" t="s" s="9">
        <v>1333</v>
      </c>
      <c r="E70" s="11">
        <f t="shared" si="11"/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</c>
      <c r="L70" s="7">
        <v>0</v>
      </c>
      <c r="M70" s="11">
        <f t="shared" si="13"/>
      </c>
      <c r="N70" s="11">
        <f t="shared" si="14"/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>
        <f>IFERROR(CalcRC27(F70,G70,K70,O70,P70,Q70,R70,S70,T70,U70,V70),"-")</f>
      </c>
      <c r="X70" t="s" s="2">
        <v>771</v>
      </c>
    </row>
    <row r="71" spans="2:24" ht="13.8" x14ac:dyDescent="0.2">
      <c r="B71" s="8">
        <f t="shared" si="10"/>
      </c>
      <c r="C71" s="10">
        <v>66</v>
      </c>
      <c r="D71" t="s" s="13">
        <v>1334</v>
      </c>
      <c r="E71" s="11">
        <f t="shared" si="11"/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</c>
      <c r="L71" s="7">
        <v>0</v>
      </c>
      <c r="M71" s="11">
        <f t="shared" si="13"/>
      </c>
      <c r="N71" s="11">
        <f t="shared" si="14"/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>
        <f>IFERROR(CalcRC27(F71,G71,K71,O71,P71,Q71,R71,S71,T71,U71,V71),"-")</f>
      </c>
      <c r="X71" t="s" s="2">
        <v>1373</v>
      </c>
    </row>
    <row r="72" spans="2:24" ht="13.8" x14ac:dyDescent="0.2">
      <c r="B72" s="8">
        <f t="shared" si="10"/>
      </c>
      <c r="C72" s="10">
        <v>67</v>
      </c>
      <c r="D72" t="s" s="13">
        <v>1335</v>
      </c>
      <c r="E72" s="11">
        <f t="shared" si="11"/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</c>
      <c r="L72" s="7">
        <v>0</v>
      </c>
      <c r="M72" s="11">
        <f t="shared" si="13"/>
      </c>
      <c r="N72" s="11">
        <f t="shared" si="14"/>
      </c>
      <c r="O72" s="20">
        <v>0</v>
      </c>
      <c r="P72" s="21">
        <v>2</v>
      </c>
      <c r="Q72" s="21">
        <v>0</v>
      </c>
      <c r="R72" s="22">
        <v>0</v>
      </c>
      <c r="S72" s="22">
        <v>0</v>
      </c>
      <c r="T72" s="20">
        <v>0</v>
      </c>
      <c r="U72" s="20">
        <v>1</v>
      </c>
      <c r="V72" s="20">
        <v>0</v>
      </c>
      <c r="W72" s="63">
        <f>IFERROR(CalcRC27(F72,G72,K72,O72,P72,Q72,R72,S72,T72,U72,V72),"-")</f>
      </c>
      <c r="X72" t="s" s="2">
        <v>462</v>
      </c>
    </row>
    <row r="73" spans="2:24" ht="13.8" x14ac:dyDescent="0.2">
      <c r="B73" s="8">
        <f t="shared" si="10"/>
      </c>
      <c r="C73" s="10">
        <v>68</v>
      </c>
      <c r="D73" t="s" s="13">
        <v>1336</v>
      </c>
      <c r="E73" s="11">
        <f t="shared" si="11"/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</c>
      <c r="L73" s="7">
        <v>0</v>
      </c>
      <c r="M73" s="11">
        <f t="shared" si="13"/>
      </c>
      <c r="N73" s="11">
        <f t="shared" si="14"/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>
        <f>IFERROR(CalcRC27(F73,G73,K73,O73,P73,Q73,R73,S73,T73,U73,V73),"-")</f>
      </c>
      <c r="X73" t="s" s="2">
        <v>1946</v>
      </c>
    </row>
    <row r="74" spans="2:24" ht="13.8" x14ac:dyDescent="0.2">
      <c r="B74" s="8">
        <f t="shared" si="10"/>
      </c>
      <c r="C74" s="10">
        <v>69</v>
      </c>
      <c r="D74" s="8"/>
      <c r="E74" s="11">
        <f t="shared" si="11"/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</c>
      <c r="L74" s="7">
        <v>0</v>
      </c>
      <c r="M74" s="11">
        <f t="shared" si="13"/>
      </c>
      <c r="N74" s="11">
        <f t="shared" si="14"/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>
        <f>IFERROR(CalcRC27(F74,G74,K74,O74,P74,Q74,R74,S74,T74,U74,V74),"-")</f>
      </c>
      <c r="X74" s="2"/>
    </row>
    <row r="75" spans="2:24" ht="13.8" x14ac:dyDescent="0.2">
      <c r="B75" s="8">
        <f t="shared" si="10"/>
      </c>
      <c r="C75" s="10">
        <v>70</v>
      </c>
      <c r="D75" s="8"/>
      <c r="E75" s="11">
        <f t="shared" si="11"/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</c>
      <c r="L75" s="7">
        <v>0</v>
      </c>
      <c r="M75" s="11">
        <f t="shared" si="13"/>
      </c>
      <c r="N75" s="11">
        <f t="shared" si="14"/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>
        <f>IFERROR(CalcRC27(F75,G75,K75,O75,P75,Q75,R75,S75,T75,U75,V75),"-")</f>
      </c>
      <c r="X75" s="2"/>
    </row>
    <row r="76" spans="2:24" ht="13.8" x14ac:dyDescent="0.2">
      <c r="B76" s="8">
        <f t="shared" si="10"/>
      </c>
      <c r="C76" s="10">
        <v>71</v>
      </c>
      <c r="D76" s="8"/>
      <c r="E76" s="11">
        <f t="shared" si="11"/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</c>
      <c r="L76" s="7">
        <v>0</v>
      </c>
      <c r="M76" s="11">
        <f t="shared" si="13"/>
      </c>
      <c r="N76" s="11">
        <f t="shared" si="14"/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>
        <f>IFERROR(CalcRC27(F76,G76,K76,O76,P76,Q76,R76,S76,T76,U76,V76),"-")</f>
      </c>
      <c r="X76" s="2"/>
    </row>
    <row r="77" spans="2:24" ht="13.8" x14ac:dyDescent="0.2">
      <c r="B77" s="8">
        <f t="shared" si="10"/>
      </c>
      <c r="C77" s="10">
        <v>72</v>
      </c>
      <c r="D77" s="8"/>
      <c r="E77" s="11">
        <f t="shared" si="11"/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</c>
      <c r="L77" s="7">
        <v>0</v>
      </c>
      <c r="M77" s="11">
        <f t="shared" si="13"/>
      </c>
      <c r="N77" s="11">
        <f t="shared" si="14"/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>
        <f>IFERROR(CalcRC27(F77,G77,K77,O77,P77,Q77,R77,S77,T77,U77,V77),"-")</f>
      </c>
      <c r="X77" s="2"/>
    </row>
    <row r="78" spans="2:24" ht="13.8" x14ac:dyDescent="0.2">
      <c r="B78" s="8">
        <f t="shared" si="10"/>
      </c>
      <c r="C78" s="10">
        <v>73</v>
      </c>
      <c r="D78" s="8"/>
      <c r="E78" s="11">
        <f t="shared" si="11"/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</c>
      <c r="L78" s="7">
        <v>0</v>
      </c>
      <c r="M78" s="11">
        <f t="shared" si="13"/>
      </c>
      <c r="N78" s="11">
        <f t="shared" si="14"/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>
        <f>IFERROR(CalcRC27(F78,G78,K78,O78,P78,Q78,R78,S78,T78,U78,V78),"-")</f>
      </c>
      <c r="X78" s="2"/>
    </row>
    <row r="79" spans="2:24" ht="13.8" x14ac:dyDescent="0.2">
      <c r="B79" s="8">
        <f t="shared" si="10"/>
      </c>
      <c r="C79" s="10">
        <v>74</v>
      </c>
      <c r="D79" s="8"/>
      <c r="E79" s="11">
        <f t="shared" si="11"/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</c>
      <c r="L79" s="7">
        <v>0</v>
      </c>
      <c r="M79" s="11">
        <f t="shared" si="13"/>
      </c>
      <c r="N79" s="11">
        <f t="shared" si="14"/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>
        <f>IFERROR(CalcRC27(F79,G79,K79,O79,P79,Q79,R79,S79,T79,U79,V79),"-")</f>
      </c>
      <c r="X79" s="2"/>
    </row>
    <row r="80" spans="2:24" ht="13.8" x14ac:dyDescent="0.2">
      <c r="B80" s="8">
        <f t="shared" si="10"/>
      </c>
      <c r="C80" s="10">
        <v>75</v>
      </c>
      <c r="D80" s="8"/>
      <c r="E80" s="11">
        <f t="shared" si="11"/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</c>
      <c r="L80" s="7">
        <v>0</v>
      </c>
      <c r="M80" s="11">
        <f t="shared" si="13"/>
      </c>
      <c r="N80" s="11">
        <f t="shared" si="14"/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>
        <f>IFERROR(CalcRC27(F80,G80,K80,O80,P80,Q80,R80,S80,T80,U80,V80),"-")</f>
      </c>
      <c r="X80" s="2"/>
    </row>
    <row r="81" spans="2:24" ht="13.8" x14ac:dyDescent="0.2">
      <c r="B81" s="8">
        <f t="shared" si="10"/>
      </c>
      <c r="C81" s="10">
        <v>76</v>
      </c>
      <c r="D81" s="8"/>
      <c r="E81" s="11">
        <f t="shared" si="11"/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</c>
      <c r="L81" s="7">
        <v>0</v>
      </c>
      <c r="M81" s="11">
        <f t="shared" si="13"/>
      </c>
      <c r="N81" s="11">
        <f t="shared" si="14"/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>
        <f>IFERROR(CalcRC27(F81,G81,K81,O81,P81,Q81,R81,S81,T81,U81,V81),"-")</f>
      </c>
      <c r="X81" s="2"/>
    </row>
    <row r="82" spans="2:24" ht="13.8" x14ac:dyDescent="0.2">
      <c r="B82" s="8">
        <f t="shared" si="10"/>
      </c>
      <c r="C82" s="10">
        <v>77</v>
      </c>
      <c r="D82" s="8"/>
      <c r="E82" s="11">
        <f t="shared" si="11"/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</c>
      <c r="L82" s="7">
        <v>0</v>
      </c>
      <c r="M82" s="11">
        <f t="shared" si="13"/>
      </c>
      <c r="N82" s="11">
        <f t="shared" si="14"/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>
        <f>IFERROR(CalcRC27(F82,G82,K82,O82,P82,Q82,R82,S82,T82,U82,V82),"-")</f>
      </c>
      <c r="X82" s="2"/>
    </row>
    <row r="83" spans="2:24" ht="13.8" x14ac:dyDescent="0.2">
      <c r="B83" s="8">
        <f t="shared" si="10"/>
      </c>
      <c r="C83" s="10">
        <v>78</v>
      </c>
      <c r="D83" s="8"/>
      <c r="E83" s="11">
        <f t="shared" si="11"/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</c>
      <c r="L83" s="7">
        <v>0</v>
      </c>
      <c r="M83" s="11">
        <f t="shared" si="13"/>
      </c>
      <c r="N83" s="11">
        <f t="shared" si="14"/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>
        <f>IFERROR(CalcRC27(F83,G83,K83,O83,P83,Q83,R83,S83,T83,U83,V83),"-")</f>
      </c>
      <c r="X83" s="2"/>
    </row>
    <row r="84" spans="2:24" ht="13.8" x14ac:dyDescent="0.2">
      <c r="B84" s="8">
        <f t="shared" si="10"/>
      </c>
      <c r="C84" s="10">
        <v>79</v>
      </c>
      <c r="D84" s="8"/>
      <c r="E84" s="11">
        <f t="shared" si="11"/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</c>
      <c r="L84" s="7">
        <v>0</v>
      </c>
      <c r="M84" s="11">
        <f t="shared" si="13"/>
      </c>
      <c r="N84" s="11">
        <f t="shared" si="14"/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>
        <f>IFERROR(CalcRC27(F84,G84,K84,O84,P84,Q84,R84,S84,T84,U84,V84),"-")</f>
      </c>
      <c r="X84" s="2"/>
    </row>
    <row r="85" spans="2:24" ht="13.8" x14ac:dyDescent="0.2">
      <c r="B85" s="8">
        <f t="shared" si="10"/>
      </c>
      <c r="C85" s="10">
        <v>80</v>
      </c>
      <c r="D85" s="8"/>
      <c r="E85" s="11">
        <f t="shared" si="11"/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</c>
      <c r="L85" s="7">
        <v>0</v>
      </c>
      <c r="M85" s="11">
        <f t="shared" si="13"/>
      </c>
      <c r="N85" s="11">
        <f t="shared" si="14"/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>
        <f>IFERROR(CalcRC27(F85,G85,K85,O85,P85,Q85,R85,S85,T85,U85,V85),"-")</f>
      </c>
      <c r="X85" s="2"/>
    </row>
    <row r="86" spans="2:24" ht="13.8" x14ac:dyDescent="0.2">
      <c r="B86" s="8">
        <f t="shared" si="10"/>
      </c>
      <c r="C86" s="10">
        <v>81</v>
      </c>
      <c r="D86" s="8"/>
      <c r="E86" s="11">
        <f t="shared" si="11"/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</c>
      <c r="L86" s="7">
        <v>0</v>
      </c>
      <c r="M86" s="11">
        <f t="shared" si="13"/>
      </c>
      <c r="N86" s="11">
        <f t="shared" si="14"/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>
        <f>IFERROR(CalcRC27(F86,G86,K86,O86,P86,Q86,R86,S86,T86,U86,V86),"-")</f>
      </c>
      <c r="X86" s="2"/>
    </row>
    <row r="87" spans="2:24" ht="13.8" x14ac:dyDescent="0.2">
      <c r="B87" s="8">
        <f t="shared" si="10"/>
      </c>
      <c r="C87" s="10">
        <v>82</v>
      </c>
      <c r="D87" s="8"/>
      <c r="E87" s="11">
        <f t="shared" si="11"/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</c>
      <c r="L87" s="7">
        <v>0</v>
      </c>
      <c r="M87" s="11">
        <f t="shared" si="13"/>
      </c>
      <c r="N87" s="11">
        <f t="shared" si="14"/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>
        <f>IFERROR(CalcRC27(F87,G87,K87,O87,P87,Q87,R87,S87,T87,U87,V87),"-")</f>
      </c>
      <c r="X87" s="2"/>
    </row>
    <row r="88" spans="2:24" ht="13.8" x14ac:dyDescent="0.2">
      <c r="B88" s="8">
        <f t="shared" si="10"/>
      </c>
      <c r="C88" s="10">
        <v>83</v>
      </c>
      <c r="D88" s="8"/>
      <c r="E88" s="11">
        <f t="shared" si="11"/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</c>
      <c r="L88" s="7">
        <v>0</v>
      </c>
      <c r="M88" s="11">
        <f t="shared" si="13"/>
      </c>
      <c r="N88" s="11">
        <f t="shared" si="14"/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>
        <f>IFERROR(CalcRC27(F88,G88,K88,O88,P88,Q88,R88,S88,T88,U88,V88),"-")</f>
      </c>
      <c r="X88" s="2"/>
    </row>
    <row r="89" spans="2:24" ht="13.8" x14ac:dyDescent="0.2">
      <c r="B89" s="8">
        <f t="shared" si="10"/>
      </c>
      <c r="C89" s="10">
        <v>84</v>
      </c>
      <c r="D89" s="8"/>
      <c r="E89" s="11">
        <f t="shared" si="11"/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</c>
      <c r="L89" s="7">
        <v>0</v>
      </c>
      <c r="M89" s="11">
        <f t="shared" si="13"/>
      </c>
      <c r="N89" s="11">
        <f t="shared" si="14"/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>
        <f>IFERROR(CalcRC27(F89,G89,K89,O89,P89,Q89,R89,S89,T89,U89,V89),"-")</f>
      </c>
      <c r="X89" s="2"/>
    </row>
    <row r="90" spans="2:24" ht="13.8" x14ac:dyDescent="0.2">
      <c r="B90" s="8">
        <f t="shared" si="10"/>
      </c>
      <c r="C90" s="10">
        <v>85</v>
      </c>
      <c r="D90" s="8"/>
      <c r="E90" s="11">
        <f t="shared" si="11"/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</c>
      <c r="L90" s="7">
        <v>0</v>
      </c>
      <c r="M90" s="11">
        <f t="shared" si="13"/>
      </c>
      <c r="N90" s="11">
        <f t="shared" si="14"/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>
        <f>IFERROR(CalcRC27(F90,G90,K90,O90,P90,Q90,R90,S90,T90,U90,V90),"-")</f>
      </c>
      <c r="X90" s="2"/>
    </row>
    <row r="91" spans="2:24" ht="13.8" x14ac:dyDescent="0.2">
      <c r="B91" s="8">
        <f t="shared" si="10"/>
      </c>
      <c r="C91" s="10">
        <v>86</v>
      </c>
      <c r="D91" s="8"/>
      <c r="E91" s="11">
        <f t="shared" si="11"/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</c>
      <c r="L91" s="7">
        <v>0</v>
      </c>
      <c r="M91" s="11">
        <f t="shared" si="13"/>
      </c>
      <c r="N91" s="11">
        <f t="shared" si="14"/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>
        <f>IFERROR(CalcRC27(F91,G91,K91,O91,P91,Q91,R91,S91,T91,U91,V91),"-")</f>
      </c>
      <c r="X91" s="2"/>
    </row>
    <row r="92" spans="2:24" ht="13.8" x14ac:dyDescent="0.2">
      <c r="B92" s="8">
        <f t="shared" si="10"/>
      </c>
      <c r="C92" s="10">
        <v>87</v>
      </c>
      <c r="D92" s="8"/>
      <c r="E92" s="11">
        <f t="shared" si="11"/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</c>
      <c r="L92" s="7">
        <v>0</v>
      </c>
      <c r="M92" s="11">
        <f t="shared" si="13"/>
      </c>
      <c r="N92" s="11">
        <f t="shared" si="14"/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>
        <f>IFERROR(CalcRC27(F92,G92,K92,O92,P92,Q92,R92,S92,T92,U92,V92),"-")</f>
      </c>
      <c r="X92" s="2"/>
    </row>
    <row r="93" spans="2:24" ht="13.8" x14ac:dyDescent="0.2">
      <c r="B93" s="8">
        <f t="shared" si="10"/>
      </c>
      <c r="C93" s="10">
        <v>88</v>
      </c>
      <c r="D93" s="8"/>
      <c r="E93" s="11">
        <f t="shared" si="11"/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</c>
      <c r="L93" s="7">
        <v>0</v>
      </c>
      <c r="M93" s="11">
        <f t="shared" si="13"/>
      </c>
      <c r="N93" s="11">
        <f t="shared" si="14"/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>
        <f>IFERROR(CalcRC27(F93,G93,K93,O93,P93,Q93,R93,S93,T93,U93,V93),"-")</f>
      </c>
      <c r="X93" s="2"/>
    </row>
    <row r="94" spans="2:24" ht="13.8" x14ac:dyDescent="0.2">
      <c r="B94" s="8">
        <f t="shared" si="10"/>
      </c>
      <c r="C94" s="10">
        <v>89</v>
      </c>
      <c r="D94" s="8"/>
      <c r="E94" s="11">
        <f t="shared" si="11"/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</c>
      <c r="L94" s="7">
        <v>0</v>
      </c>
      <c r="M94" s="11">
        <f t="shared" si="13"/>
      </c>
      <c r="N94" s="11">
        <f t="shared" si="14"/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>
        <f>IFERROR(CalcRC27(F94,G94,K94,O94,P94,Q94,R94,S94,T94,U94,V94),"-")</f>
      </c>
      <c r="X94" s="2"/>
    </row>
    <row r="95" spans="2:24" ht="13.8" x14ac:dyDescent="0.2">
      <c r="B95" s="8">
        <f t="shared" si="10"/>
      </c>
      <c r="C95" s="10">
        <v>90</v>
      </c>
      <c r="D95" s="8"/>
      <c r="E95" s="11">
        <f t="shared" si="11"/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</c>
      <c r="L95" s="7">
        <v>0</v>
      </c>
      <c r="M95" s="11">
        <f t="shared" si="13"/>
      </c>
      <c r="N95" s="11">
        <f t="shared" si="14"/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>
        <f>IFERROR(CalcRC27(F95,G95,K95,O95,P95,Q95,R95,S95,T95,U95,V95),"-")</f>
      </c>
      <c r="X95" s="2"/>
    </row>
    <row r="96" spans="2:24" ht="13.8" x14ac:dyDescent="0.2">
      <c r="B96" s="8">
        <f t="shared" si="10"/>
      </c>
      <c r="C96" s="10">
        <v>91</v>
      </c>
      <c r="D96" s="13"/>
      <c r="E96" s="11">
        <f t="shared" si="11"/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</c>
      <c r="L96" s="7">
        <v>0</v>
      </c>
      <c r="M96" s="11">
        <f t="shared" si="13"/>
      </c>
      <c r="N96" s="11">
        <f t="shared" si="14"/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>
        <f>IFERROR(CalcRC27(F96,G96,K96,O96,P96,Q96,R96,S96,T96,U96,V96),"-")</f>
      </c>
      <c r="X96" s="2"/>
    </row>
    <row r="97" spans="2:24" ht="13.8" x14ac:dyDescent="0.2">
      <c r="B97" s="8">
        <f t="shared" si="10"/>
      </c>
      <c r="C97" s="10">
        <v>92</v>
      </c>
      <c r="D97" s="13"/>
      <c r="E97" s="11">
        <f t="shared" si="11"/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</c>
      <c r="L97" s="7">
        <v>0</v>
      </c>
      <c r="M97" s="11">
        <f t="shared" si="13"/>
      </c>
      <c r="N97" s="11">
        <f t="shared" si="14"/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>
        <f>IFERROR(CalcRC27(F97,G97,K97,O97,P97,Q97,R97,S97,T97,U97,V97),"-")</f>
      </c>
      <c r="X97" s="2"/>
    </row>
    <row r="98" spans="2:24" ht="13.8" x14ac:dyDescent="0.2">
      <c r="B98" s="8">
        <f t="shared" si="10"/>
      </c>
      <c r="C98" s="10">
        <v>93</v>
      </c>
      <c r="D98" s="13"/>
      <c r="E98" s="11">
        <f t="shared" si="11"/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</c>
      <c r="L98" s="7">
        <v>0</v>
      </c>
      <c r="M98" s="11">
        <f t="shared" si="13"/>
      </c>
      <c r="N98" s="11">
        <f t="shared" si="14"/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>
        <f>IFERROR(CalcRC27(F98,G98,K98,O98,P98,Q98,R98,S98,T98,U98,V98),"-")</f>
      </c>
      <c r="X98" s="2"/>
    </row>
    <row r="99" spans="2:24" ht="13.8" x14ac:dyDescent="0.2">
      <c r="B99" s="8">
        <f t="shared" si="10"/>
      </c>
      <c r="C99" s="10">
        <v>94</v>
      </c>
      <c r="D99" s="13"/>
      <c r="E99" s="11">
        <f t="shared" si="11"/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</c>
      <c r="L99" s="7">
        <v>0</v>
      </c>
      <c r="M99" s="11">
        <f t="shared" si="13"/>
      </c>
      <c r="N99" s="11">
        <f t="shared" si="14"/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>
        <f>IFERROR(CalcRC27(F99,G99,K99,O99,P99,Q99,R99,S99,T99,U99,V99),"-")</f>
      </c>
      <c r="X99" s="2"/>
    </row>
    <row r="100" spans="2:24" ht="13.8" x14ac:dyDescent="0.2">
      <c r="B100" s="8">
        <f t="shared" si="10"/>
      </c>
      <c r="C100" s="10">
        <v>95</v>
      </c>
      <c r="D100" s="8"/>
      <c r="E100" s="11">
        <f t="shared" si="11"/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</c>
      <c r="L100" s="7">
        <v>0</v>
      </c>
      <c r="M100" s="11">
        <f t="shared" si="13"/>
      </c>
      <c r="N100" s="11">
        <f t="shared" si="14"/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>
        <f>IFERROR(CalcRC27(F100,G100,K100,O100,P100,Q100,R100,S100,T100,U100,V100),"-")</f>
      </c>
      <c r="X100" s="2"/>
    </row>
    <row r="101" spans="2:24" ht="13.8" x14ac:dyDescent="0.2">
      <c r="B101" s="8">
        <f t="shared" si="10"/>
      </c>
      <c r="C101" s="10">
        <v>96</v>
      </c>
      <c r="D101" s="8"/>
      <c r="E101" s="11">
        <f t="shared" si="11"/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</c>
      <c r="L101" s="7">
        <v>0</v>
      </c>
      <c r="M101" s="11">
        <f t="shared" si="13"/>
      </c>
      <c r="N101" s="11">
        <f t="shared" si="14"/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>
        <f>IFERROR(CalcRC27(F101,G101,K101,O101,P101,Q101,R101,S101,T101,U101,V101),"-")</f>
      </c>
      <c r="X101" s="2"/>
    </row>
    <row r="102" spans="2:24" ht="13.8" x14ac:dyDescent="0.2">
      <c r="B102" s="8">
        <f t="shared" si="10"/>
      </c>
      <c r="C102" s="10">
        <v>97</v>
      </c>
      <c r="D102" s="13"/>
      <c r="E102" s="11">
        <f t="shared" si="11"/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</c>
      <c r="L102" s="7">
        <v>0</v>
      </c>
      <c r="M102" s="11">
        <f t="shared" si="13"/>
      </c>
      <c r="N102" s="11">
        <f t="shared" si="14"/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>
        <f>IFERROR(CalcRC27(F102,G102,K102,O102,P102,Q102,R102,S102,T102,U102,V102),"-")</f>
      </c>
      <c r="X102" s="2"/>
    </row>
    <row r="103" spans="2:24" ht="13.8" x14ac:dyDescent="0.2">
      <c r="B103" s="8">
        <f t="shared" si="10"/>
      </c>
      <c r="C103" s="10">
        <v>98</v>
      </c>
      <c r="D103" t="s" s="13">
        <v>1337</v>
      </c>
      <c r="E103" s="11">
        <f t="shared" si="11"/>
      </c>
      <c r="F103" s="5">
        <v>2</v>
      </c>
      <c r="G103" s="5">
        <v>1</v>
      </c>
      <c r="H103" s="5">
        <v>0</v>
      </c>
      <c r="I103" s="5">
        <v>0</v>
      </c>
      <c r="J103" s="6">
        <v>1</v>
      </c>
      <c r="K103" s="12">
        <f t="shared" si="12"/>
      </c>
      <c r="L103" s="7">
        <v>1</v>
      </c>
      <c r="M103" s="11">
        <f t="shared" si="13"/>
      </c>
      <c r="N103" s="11">
        <f t="shared" si="14"/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</c>
      <c r="X103" t="s" s="2">
        <v>537</v>
      </c>
    </row>
    <row r="104" spans="2:24" ht="13.8" x14ac:dyDescent="0.2">
      <c r="B104" s="8">
        <f t="shared" si="10"/>
      </c>
      <c r="C104" s="10">
        <v>99</v>
      </c>
      <c r="D104" s="13"/>
      <c r="E104" s="11">
        <f t="shared" si="11"/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</c>
      <c r="L104" s="7">
        <v>0</v>
      </c>
      <c r="M104" s="11">
        <f t="shared" si="13"/>
      </c>
      <c r="N104" s="11">
        <f t="shared" si="14"/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</c>
      <c r="X104" s="2"/>
    </row>
    <row r="105" spans="2:24" ht="13.8" x14ac:dyDescent="0.2">
      <c r="B105" s="8">
        <f t="shared" si="10"/>
      </c>
      <c r="C105" s="10">
        <v>100</v>
      </c>
      <c r="D105" t="s" s="9">
        <v>1338</v>
      </c>
      <c r="E105" s="11">
        <f t="shared" si="11"/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</c>
      <c r="L105" s="7">
        <v>0</v>
      </c>
      <c r="M105" s="11">
        <f t="shared" si="13"/>
      </c>
      <c r="N105" s="11">
        <f t="shared" si="14"/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>
        <f>IFERROR(CalcRC27(F105,G105,K105,O105,P105,Q105,R105,S105,T105,U105,V105),"-")</f>
      </c>
      <c r="X105" t="s" s="2">
        <v>1338</v>
      </c>
    </row>
    <row r="106" spans="2:24" ht="13.8" x14ac:dyDescent="0.2">
      <c r="B106" s="8">
        <f t="shared" si="10"/>
      </c>
      <c r="C106" s="10">
        <v>101</v>
      </c>
      <c r="D106" t="s" s="9">
        <v>1339</v>
      </c>
      <c r="E106" s="11">
        <f t="shared" si="11"/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</c>
      <c r="L106" s="7">
        <v>0</v>
      </c>
      <c r="M106" s="11">
        <f t="shared" si="13"/>
      </c>
      <c r="N106" s="11">
        <f t="shared" si="14"/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>
        <f>IFERROR(CalcRC27(F106,G106,K106,O106,P106,Q106,R106,S106,T106,U106,V106),"-")</f>
      </c>
      <c r="X106" t="s" s="2">
        <v>1374</v>
      </c>
    </row>
    <row r="107" spans="2:24" ht="13.8" x14ac:dyDescent="0.2">
      <c r="B107" s="8">
        <f t="shared" si="10"/>
      </c>
      <c r="C107" s="10">
        <v>102</v>
      </c>
      <c r="D107" t="s" s="9">
        <v>1340</v>
      </c>
      <c r="E107" s="11">
        <f t="shared" si="11"/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</c>
      <c r="L107" s="7">
        <v>0</v>
      </c>
      <c r="M107" s="11">
        <f t="shared" si="13"/>
      </c>
      <c r="N107" s="11">
        <f t="shared" si="14"/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>
        <f>IFERROR(CalcRC27(F107,G107,K107,O107,P107,Q107,R107,S107,T107,U107,V107),"-")</f>
      </c>
      <c r="X107" t="s" s="2">
        <v>1375</v>
      </c>
    </row>
    <row r="108" spans="2:24" ht="13.8" x14ac:dyDescent="0.2">
      <c r="B108" s="8">
        <f t="shared" si="10"/>
      </c>
      <c r="C108" s="10">
        <v>103</v>
      </c>
      <c r="D108" t="s" s="9">
        <v>1341</v>
      </c>
      <c r="E108" s="11">
        <f t="shared" si="11"/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</c>
      <c r="L108" s="7">
        <v>0</v>
      </c>
      <c r="M108" s="11">
        <f t="shared" si="13"/>
      </c>
      <c r="N108" s="11">
        <f t="shared" si="14"/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>
        <f>IFERROR(CalcRC27(F108,G108,K108,O108,P108,Q108,R108,S108,T108,U108,V108),"-")</f>
      </c>
      <c r="X108" t="s" s="2">
        <v>1376</v>
      </c>
    </row>
    <row r="109" spans="2:24" ht="13.8" x14ac:dyDescent="0.2">
      <c r="B109" s="8">
        <f t="shared" si="10"/>
      </c>
      <c r="C109" s="10">
        <v>105</v>
      </c>
      <c r="D109" t="s" s="9">
        <v>1342</v>
      </c>
      <c r="E109" s="11">
        <f t="shared" si="11"/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</c>
      <c r="L109" s="7">
        <v>0</v>
      </c>
      <c r="M109" s="11">
        <f t="shared" si="13"/>
      </c>
      <c r="N109" s="11">
        <f t="shared" si="14"/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>
        <f>IFERROR(CalcRC27(F109,G109,K109,O109,P109,Q109,R109,S109,T109,U109,V109),"-")</f>
      </c>
      <c r="X109" t="s" s="2">
        <v>1947</v>
      </c>
    </row>
    <row r="110" spans="2:24" ht="13.8" x14ac:dyDescent="0.2">
      <c r="B110" s="8">
        <f t="shared" si="10"/>
      </c>
      <c r="C110" s="10">
        <v>106</v>
      </c>
      <c r="D110" t="s" s="9">
        <v>1343</v>
      </c>
      <c r="E110" s="11">
        <f t="shared" si="11"/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</c>
      <c r="L110" s="7">
        <v>0</v>
      </c>
      <c r="M110" s="11">
        <f t="shared" si="13"/>
      </c>
      <c r="N110" s="11">
        <f t="shared" si="14"/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>
        <f>IFERROR(CalcRC27(F110,G110,K110,O110,P110,Q110,R110,S110,T110,U110,V110),"-")</f>
      </c>
      <c r="X110" t="s" s="2">
        <v>1377</v>
      </c>
    </row>
    <row r="111" spans="2:24" ht="13.8" x14ac:dyDescent="0.2">
      <c r="B111" s="8">
        <f t="shared" si="10"/>
      </c>
      <c r="C111" s="10">
        <v>107</v>
      </c>
      <c r="D111" t="s" s="9">
        <v>1344</v>
      </c>
      <c r="E111" s="11">
        <f t="shared" si="11"/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</c>
      <c r="L111" s="7">
        <v>0</v>
      </c>
      <c r="M111" s="11">
        <f t="shared" si="13"/>
      </c>
      <c r="N111" s="11">
        <f t="shared" si="14"/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>
        <f>IFERROR(CalcRC27(F111,G111,K111,O111,P111,Q111,R111,S111,T111,U111,V111),"-")</f>
      </c>
      <c r="X111" t="s" s="2">
        <v>1948</v>
      </c>
    </row>
    <row r="112" spans="2:24" ht="13.8" x14ac:dyDescent="0.2">
      <c r="B112" s="8">
        <f t="shared" si="10"/>
      </c>
      <c r="C112" s="10">
        <v>108</v>
      </c>
      <c r="D112" t="s" s="9">
        <v>1298</v>
      </c>
      <c r="E112" s="11">
        <f t="shared" si="11"/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</c>
      <c r="L112" s="7">
        <v>0</v>
      </c>
      <c r="M112" s="11">
        <f t="shared" si="13"/>
      </c>
      <c r="N112" s="11">
        <f t="shared" si="14"/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>
        <f>IFERROR(CalcRC27(F112,G112,K112,O112,P112,Q112,R112,S112,T112,U112,V112),"-")</f>
      </c>
      <c r="X112" t="s" s="2">
        <v>1378</v>
      </c>
    </row>
    <row r="113" spans="2:24" ht="13.8" x14ac:dyDescent="0.2">
      <c r="B113" s="8">
        <f t="shared" si="10"/>
      </c>
      <c r="C113" s="10">
        <v>109</v>
      </c>
      <c r="D113" t="s" s="9">
        <v>186</v>
      </c>
      <c r="E113" s="11">
        <f t="shared" si="11"/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</c>
      <c r="L113" s="7">
        <v>0</v>
      </c>
      <c r="M113" s="11">
        <f t="shared" si="13"/>
      </c>
      <c r="N113" s="11">
        <f t="shared" si="14"/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>
        <f>IFERROR(CalcRC27(F113,G113,K113,O113,P113,Q113,R113,S113,T113,U113,V113),"-")</f>
      </c>
      <c r="X113" t="s" s="2">
        <v>1949</v>
      </c>
    </row>
    <row r="114" spans="2:24" ht="13.8" x14ac:dyDescent="0.2">
      <c r="B114" s="8">
        <f t="shared" si="10"/>
      </c>
      <c r="C114" s="10">
        <v>110</v>
      </c>
      <c r="D114" t="s" s="8">
        <v>925</v>
      </c>
      <c r="E114" s="11">
        <f t="shared" si="11"/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</c>
      <c r="L114" s="7">
        <v>0</v>
      </c>
      <c r="M114" s="11">
        <f t="shared" si="13"/>
      </c>
      <c r="N114" s="11">
        <f t="shared" si="14"/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>
        <f>IFERROR(CalcRC27(F114,G114,K114,O114,P114,Q114,R114,S114,T114,U114,V114),"-")</f>
      </c>
      <c r="X114" t="s" s="13">
        <v>1950</v>
      </c>
    </row>
    <row r="115" spans="2:24" ht="13.8" x14ac:dyDescent="0.2">
      <c r="B115" s="8">
        <f t="shared" si="10"/>
      </c>
      <c r="C115" s="10">
        <v>111</v>
      </c>
      <c r="D115" t="s" s="26">
        <v>1345</v>
      </c>
      <c r="E115" s="11">
        <f t="shared" si="11"/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</c>
      <c r="L115" s="7">
        <v>0</v>
      </c>
      <c r="M115" s="11">
        <f t="shared" si="13"/>
      </c>
      <c r="N115" s="11">
        <f t="shared" si="14"/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>
        <f>IFERROR(CalcRC27(F115,G115,K115,O115,P115,Q115,R115,S115,T115,U115,V115),"-")</f>
      </c>
      <c r="X115" t="s" s="13">
        <v>1379</v>
      </c>
    </row>
    <row r="116" spans="2:24" ht="13.8" x14ac:dyDescent="0.2">
      <c r="B116" s="8">
        <f t="shared" si="10"/>
      </c>
      <c r="C116" s="10">
        <v>116</v>
      </c>
      <c r="D116" t="s" s="26">
        <v>1346</v>
      </c>
      <c r="E116" s="11">
        <f t="shared" si="11"/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</c>
      <c r="L116" s="7">
        <v>0</v>
      </c>
      <c r="M116" s="11">
        <f t="shared" si="13"/>
      </c>
      <c r="N116" s="11">
        <f t="shared" si="14"/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>
        <f>IFERROR(CalcRC27(F116,G116,K116,O116,P116,Q116,R116,S116,T116,U116,V116),"-")</f>
      </c>
      <c r="X116" t="s" s="13">
        <v>530</v>
      </c>
    </row>
    <row r="117" spans="2:24" ht="13.8" x14ac:dyDescent="0.2">
      <c r="B117" s="8">
        <f t="shared" si="10"/>
      </c>
      <c r="C117" s="10">
        <v>122</v>
      </c>
      <c r="D117" t="s" s="26">
        <v>1347</v>
      </c>
      <c r="E117" s="11">
        <f t="shared" si="11"/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</c>
      <c r="L117" s="7">
        <v>0</v>
      </c>
      <c r="M117" s="11">
        <f t="shared" si="13"/>
      </c>
      <c r="N117" s="11">
        <f t="shared" si="14"/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>
        <f>IFERROR(CalcRC27(F117,G117,K117,O117,P117,Q117,R117,S117,T117,U117,V117),"-")</f>
      </c>
      <c r="X117" t="s" s="13">
        <v>1380</v>
      </c>
    </row>
    <row r="118" spans="2:24" ht="13.8" x14ac:dyDescent="0.2">
      <c r="B118" s="8">
        <f t="shared" si="10"/>
      </c>
      <c r="C118" s="10">
        <v>125</v>
      </c>
      <c r="D118" t="s" s="26">
        <v>1348</v>
      </c>
      <c r="E118" s="11">
        <f t="shared" si="11"/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</c>
      <c r="L118" s="7">
        <v>0</v>
      </c>
      <c r="M118" s="11">
        <f t="shared" si="13"/>
      </c>
      <c r="N118" s="11">
        <f t="shared" si="14"/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>
        <f>IFERROR(CalcRC27(F118,G118,K118,O118,P118,Q118,R118,S118,T118,U118,V118),"-")</f>
      </c>
      <c r="X118" t="s" s="13">
        <v>1381</v>
      </c>
    </row>
    <row r="119" spans="2:24" ht="13.8" x14ac:dyDescent="0.2">
      <c r="B119" s="8">
        <f t="shared" si="10"/>
      </c>
      <c r="C119" s="10">
        <v>130</v>
      </c>
      <c r="D119" t="s" s="26">
        <v>1300</v>
      </c>
      <c r="E119" s="11">
        <f t="shared" si="11"/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</c>
      <c r="L119" s="7">
        <v>0</v>
      </c>
      <c r="M119" s="11">
        <f t="shared" si="13"/>
      </c>
      <c r="N119" s="11">
        <f t="shared" si="14"/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>
        <f>IFERROR(CalcRC27(F119,G119,K119,O119,P119,Q119,R119,S119,T119,U119,V119),"-")</f>
      </c>
      <c r="X119" t="s" s="13">
        <v>1382</v>
      </c>
    </row>
    <row r="120" spans="2:24" ht="13.8" x14ac:dyDescent="0.2">
      <c r="B120" s="8">
        <f t="shared" si="10"/>
      </c>
      <c r="C120" s="10">
        <v>133</v>
      </c>
      <c r="D120" t="s" s="26">
        <v>1349</v>
      </c>
      <c r="E120" s="11">
        <f t="shared" si="11"/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</c>
      <c r="L120" s="7">
        <v>0</v>
      </c>
      <c r="M120" s="11">
        <f t="shared" si="13"/>
      </c>
      <c r="N120" s="11">
        <f t="shared" si="14"/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>
        <f>IFERROR(CalcRC27(F120,G120,K120,O120,P120,Q120,R120,S120,T120,U120,V120),"-")</f>
      </c>
      <c r="X120" t="s" s="13">
        <v>1383</v>
      </c>
    </row>
    <row r="121" spans="2:24" ht="13.8" x14ac:dyDescent="0.2">
      <c r="B121" s="8">
        <f t="shared" si="10"/>
      </c>
      <c r="C121" s="10">
        <v>144</v>
      </c>
      <c r="D121" t="s" s="26">
        <v>1350</v>
      </c>
      <c r="E121" s="11">
        <f t="shared" si="11"/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</c>
      <c r="L121" s="7">
        <v>0</v>
      </c>
      <c r="M121" s="11">
        <f t="shared" si="13"/>
      </c>
      <c r="N121" s="11">
        <f t="shared" si="14"/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>
        <f>IFERROR(CalcRC27(F121,G121,K121,O121,P121,Q121,R121,S121,T121,U121,V121),"-")</f>
      </c>
      <c r="X121" t="s" s="13">
        <v>191</v>
      </c>
    </row>
    <row r="122" spans="2:24" ht="13.8" x14ac:dyDescent="0.2">
      <c r="B122" s="8">
        <f t="shared" si="10"/>
      </c>
      <c r="C122" s="10"/>
      <c r="D122" s="8"/>
      <c r="E122" s="11">
        <f t="shared" si="11"/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</c>
      <c r="L122" s="7">
        <v>0</v>
      </c>
      <c r="M122" s="11">
        <f t="shared" si="13"/>
      </c>
      <c r="N122" s="11">
        <f t="shared" si="14"/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>
        <f>IFERROR(CalcRC27(F122,G122,K122,O122,P122,Q122,R122,S122,T122,U122,V122),"-")</f>
      </c>
      <c r="X122" s="13"/>
    </row>
    <row r="123" spans="2:24" ht="13.8" x14ac:dyDescent="0.2">
      <c r="B123" s="8">
        <f t="shared" si="10"/>
      </c>
      <c r="C123" s="10"/>
      <c r="D123" s="8"/>
      <c r="E123" s="11">
        <f t="shared" si="11"/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</c>
      <c r="L123" s="7">
        <v>0</v>
      </c>
      <c r="M123" s="11">
        <f t="shared" si="13"/>
      </c>
      <c r="N123" s="11">
        <f t="shared" si="14"/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>
        <f>IFERROR(CalcRC27(F123,G123,K123,O123,P123,Q123,R123,S123,T123,U123,V123),"-")</f>
      </c>
      <c r="X123" s="13"/>
    </row>
    <row r="124" spans="2:24" ht="13.8" x14ac:dyDescent="0.2">
      <c r="B124" s="8">
        <f t="shared" si="10"/>
      </c>
      <c r="C124" s="10"/>
      <c r="D124" s="8"/>
      <c r="E124" s="11">
        <f t="shared" si="11"/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</c>
      <c r="L124" s="7">
        <v>0</v>
      </c>
      <c r="M124" s="11">
        <f t="shared" si="13"/>
      </c>
      <c r="N124" s="11">
        <f t="shared" si="14"/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>
        <f>IFERROR(CalcRC27(F124,G124,K124,O124,P124,Q124,R124,S124,T124,U124,V124),"-")</f>
      </c>
      <c r="X124" s="13"/>
    </row>
    <row r="125" spans="2:24" ht="13.8" x14ac:dyDescent="0.2">
      <c r="B125" s="8">
        <f t="shared" si="10"/>
      </c>
      <c r="C125" s="10"/>
      <c r="D125" s="8"/>
      <c r="E125" s="11">
        <f t="shared" si="11"/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</c>
      <c r="L125" s="7">
        <v>0</v>
      </c>
      <c r="M125" s="11">
        <f t="shared" si="13"/>
      </c>
      <c r="N125" s="11">
        <f t="shared" si="14"/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>
        <f>IFERROR(CalcRC27(F125,G125,K125,O125,P125,Q125,R125,S125,T125,U125,V125),"-")</f>
      </c>
      <c r="X125" s="13"/>
    </row>
    <row r="126" spans="2:24" ht="13.8" x14ac:dyDescent="0.2">
      <c r="B126" s="8">
        <f t="shared" si="10"/>
      </c>
      <c r="C126" s="10"/>
      <c r="D126" s="8"/>
      <c r="E126" s="11">
        <f t="shared" si="11"/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</c>
      <c r="L126" s="7">
        <v>0</v>
      </c>
      <c r="M126" s="11">
        <f t="shared" si="13"/>
      </c>
      <c r="N126" s="11">
        <f t="shared" si="14"/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>
        <f>IFERROR(CalcRC27(F126,G126,K126,O126,P126,Q126,R126,S126,T126,U126,V126),"-")</f>
      </c>
      <c r="X126" s="13"/>
    </row>
    <row r="127" spans="2:24" ht="13.8" x14ac:dyDescent="0.2">
      <c r="B127" s="8">
        <f t="shared" si="10"/>
      </c>
      <c r="C127" s="10"/>
      <c r="D127" s="8"/>
      <c r="E127" s="11">
        <f t="shared" si="11"/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</c>
      <c r="L127" s="7">
        <v>0</v>
      </c>
      <c r="M127" s="11">
        <f t="shared" si="13"/>
      </c>
      <c r="N127" s="11">
        <f t="shared" si="14"/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>
        <f>IFERROR(CalcRC27(F127,G127,K127,O127,P127,Q127,R127,S127,T127,U127,V127),"-")</f>
      </c>
      <c r="X127" s="13"/>
    </row>
    <row r="128" spans="2:24" ht="13.8" x14ac:dyDescent="0.2">
      <c r="B128" s="8">
        <f t="shared" si="10"/>
      </c>
      <c r="C128" s="10"/>
      <c r="D128" s="8"/>
      <c r="E128" s="11">
        <f t="shared" si="11"/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</c>
      <c r="L128" s="7">
        <v>0</v>
      </c>
      <c r="M128" s="11">
        <f t="shared" si="13"/>
      </c>
      <c r="N128" s="11">
        <f t="shared" si="14"/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>
        <f>IFERROR(CalcRC27(F128,G128,K128,O128,P128,Q128,R128,S128,T128,U128,V128),"-")</f>
      </c>
      <c r="X128" s="13"/>
    </row>
    <row r="129" spans="2:24" ht="13.8" x14ac:dyDescent="0.2">
      <c r="B129" s="8">
        <f t="shared" si="10"/>
      </c>
      <c r="C129" s="10"/>
      <c r="D129" s="8"/>
      <c r="E129" s="11">
        <f t="shared" si="11"/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</c>
      <c r="L129" s="7">
        <v>0</v>
      </c>
      <c r="M129" s="11">
        <f t="shared" si="13"/>
      </c>
      <c r="N129" s="11">
        <f t="shared" si="14"/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>
        <f>IFERROR(CalcRC27(F129,G129,K129,O129,P129,Q129,R129,S129,T129,U129,V129),"-")</f>
      </c>
      <c r="X129" s="13"/>
    </row>
    <row r="130" spans="2:24" ht="13.8" x14ac:dyDescent="0.2">
      <c r="B130" s="8">
        <f t="shared" si="10"/>
      </c>
      <c r="C130" s="10"/>
      <c r="D130" s="8"/>
      <c r="E130" s="11">
        <f t="shared" si="11"/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</c>
      <c r="L130" s="7">
        <v>0</v>
      </c>
      <c r="M130" s="11">
        <f t="shared" si="13"/>
      </c>
      <c r="N130" s="11">
        <f t="shared" si="14"/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>
        <f>IFERROR(CalcRC27(F130,G130,K130,O130,P130,Q130,R130,S130,T130,U130,V130),"-")</f>
      </c>
      <c r="X130" s="13"/>
    </row>
    <row r="131" spans="2:24" ht="13.8" x14ac:dyDescent="0.2">
      <c r="B131" s="8">
        <f t="shared" si="10"/>
      </c>
      <c r="C131" s="10"/>
      <c r="D131" s="8"/>
      <c r="E131" s="11">
        <f t="shared" si="11"/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</c>
      <c r="L131" s="7">
        <v>0</v>
      </c>
      <c r="M131" s="11">
        <f t="shared" si="13"/>
      </c>
      <c r="N131" s="11">
        <f t="shared" si="14"/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>
        <f>IFERROR(CalcRC27(F131,G131,K131,O131,P131,Q131,R131,S131,T131,U131,V131),"-")</f>
      </c>
      <c r="X131" s="13"/>
    </row>
    <row r="132" spans="2:24" ht="13.8" x14ac:dyDescent="0.2">
      <c r="B132" s="8">
        <f t="shared" si="10"/>
      </c>
      <c r="C132" s="10"/>
      <c r="D132" s="8"/>
      <c r="E132" s="11">
        <f t="shared" ref="E132:E133" si="15">IFERROR(IF(G132/F132=1,"1.00",G132/F132),"---")</f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3" si="16">((G132-H132-I132-J132)+(H132*2)+(I132*3)+(J132*4))</f>
      </c>
      <c r="L132" s="7">
        <v>0</v>
      </c>
      <c r="M132" s="11">
        <f t="shared" ref="M132:M133" si="17">IFERROR(IF((G132+P132+Q132)/(F132+P132+Q132+S132)=1,"1.00",(G132+P132+Q132)/(F132+P132+Q132+S132)),0)</f>
      </c>
      <c r="N132" s="11">
        <f t="shared" ref="N132:N133" si="18">IFERROR(SUM(K132/F132,((G132+P132+Q132)/(F132+P132+Q132+S132))),M132)</f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>
        <f>IFERROR(CalcRC27(F132,G132,K132,O132,P132,Q132,R132,S132,T132,U132,V132),"-")</f>
      </c>
      <c r="X132" s="13"/>
    </row>
    <row r="133" spans="2:24" ht="13.8" x14ac:dyDescent="0.2">
      <c r="B133" s="8">
        <f t="shared" ref="B133" si="19">IF(C133="","",C133)</f>
      </c>
      <c r="C133" s="10"/>
      <c r="D133" s="8"/>
      <c r="E133" s="11">
        <f t="shared" si="15"/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6"/>
      </c>
      <c r="L133" s="7">
        <v>0</v>
      </c>
      <c r="M133" s="11">
        <f t="shared" si="17"/>
      </c>
      <c r="N133" s="11">
        <f t="shared" si="18"/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>
        <f>IFERROR(CalcRC27(F133,G133,K133,O133,P133,Q133,R133,S133,T133,U133,V133),"-")</f>
      </c>
      <c r="X133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520AE-A3FD-4078-8BA4-3417D1E98CBA}">
  <sheetPr codeName="Sheet6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2"/>
      <c r="C2" s="122"/>
      <c r="D2" s="122"/>
      <c r="E2" s="4">
        <f>IFERROR(G2/F2,0)</f>
      </c>
      <c r="F2" s="5">
        <f t="shared" ref="F2:L2" si="0">SUM(F4:F104)</f>
      </c>
      <c r="G2" s="5">
        <f t="shared" si="0"/>
      </c>
      <c r="H2" s="5">
        <f t="shared" si="0"/>
      </c>
      <c r="I2" s="5">
        <f t="shared" si="0"/>
      </c>
      <c r="J2" s="6">
        <f t="shared" si="0"/>
      </c>
      <c r="K2" s="12">
        <f t="shared" si="0"/>
      </c>
      <c r="L2" s="7">
        <f t="shared" si="0"/>
      </c>
      <c r="M2" s="11">
        <f>IFERROR(IF((G2+P2+Q2)/(F2+P2+Q2+R2)=1,"1.00",(G2+P2+Q2)/(F2+P2+Q2+R2)),0)</f>
      </c>
      <c r="N2" s="11">
        <f>IFERROR(SUM(SUM(((G2-H2-I2-J2)*1),H2*2,I2*3,J2*4)/F2,((G2+P2+Q2)/(F2+P2+Q2+R2))),M2)</f>
      </c>
      <c r="O2" s="5">
        <f>SUM(O4:O104)</f>
      </c>
      <c r="P2" s="5">
        <f>SUM(P4:P104)</f>
      </c>
      <c r="Q2" s="5">
        <f>SUM(Q4:Q104)</f>
      </c>
      <c r="R2" s="5">
        <f>SUM(R4:R104)</f>
      </c>
      <c r="S2" s="5">
        <f>SUM(S4:S104)</f>
      </c>
      <c r="T2" s="5">
        <f t="shared" ref="T2:V2" si="1">SUM(T4:T104)</f>
      </c>
      <c r="U2" s="5">
        <f t="shared" si="1"/>
      </c>
      <c r="V2" s="5">
        <f t="shared" si="1"/>
      </c>
      <c r="W2" s="20">
        <f>IFERROR(CalcRC27(F2,G2,K2,O2,P2,Q2,R2,S2,T2,U2,V2),"-")</f>
      </c>
      <c r="X2" t="s" s="121">
        <v>229</v>
      </c>
    </row>
    <row r="3" spans="2:24" x14ac:dyDescent="0.2">
      <c r="B3" t="s" s="55">
        <v>841</v>
      </c>
      <c r="C3" t="s" s="56">
        <v>1039</v>
      </c>
      <c r="D3" t="s" s="56">
        <v>1040</v>
      </c>
      <c r="E3" t="s" s="57">
        <v>56</v>
      </c>
      <c r="F3" t="s" s="58">
        <v>0</v>
      </c>
      <c r="G3" t="s" s="55">
        <v>1</v>
      </c>
      <c r="H3" t="s" s="55">
        <v>360</v>
      </c>
      <c r="I3" t="s" s="55">
        <v>361</v>
      </c>
      <c r="J3" t="s" s="59">
        <v>1041</v>
      </c>
      <c r="K3" t="s" s="55">
        <v>983</v>
      </c>
      <c r="L3" t="s" s="60">
        <v>2</v>
      </c>
      <c r="M3" t="s" s="61">
        <v>359</v>
      </c>
      <c r="N3" t="s" s="57">
        <v>362</v>
      </c>
      <c r="O3" t="s" s="62">
        <v>978</v>
      </c>
      <c r="P3" t="s" s="55">
        <v>234</v>
      </c>
      <c r="Q3" t="s" s="55">
        <v>235</v>
      </c>
      <c r="R3" t="s" s="55">
        <v>976</v>
      </c>
      <c r="S3" t="s" s="55">
        <v>977</v>
      </c>
      <c r="T3" t="s" s="55">
        <v>979</v>
      </c>
      <c r="U3" t="s" s="55">
        <v>980</v>
      </c>
      <c r="V3" t="s" s="55">
        <v>981</v>
      </c>
      <c r="W3" t="s" s="55">
        <v>982</v>
      </c>
      <c r="X3" s="121"/>
    </row>
    <row r="4" spans="2:24" ht="13.8" x14ac:dyDescent="0.2">
      <c r="B4" s="8">
        <f>IF(C4="","",C4)</f>
      </c>
      <c r="C4" t="s" s="10">
        <v>173</v>
      </c>
      <c r="D4" t="s" s="13">
        <v>1384</v>
      </c>
      <c r="E4" s="11">
        <f t="shared" ref="E4:E68" si="2">IFERROR(IF(G4/F4=1,"1.00",G4/F4),"---")</f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" si="3">((G4-H4-I4-J4)+(H4*2)+(I4*3)+(J4*4))</f>
      </c>
      <c r="L4" s="7">
        <v>0</v>
      </c>
      <c r="M4" s="11">
        <f t="shared" ref="M4" si="4">IFERROR(IF((G4+P4+Q4)/(F4+P4+Q4+S4)=1,"1.00",(G4+P4+Q4)/(F4+P4+Q4+S4)),0)</f>
      </c>
      <c r="N4" s="11">
        <f t="shared" ref="N4" si="5">IFERROR(SUM(K4/F4,((G4+P4+Q4)/(F4+P4+Q4+S4))),M4)</f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>
        <f>IFERROR(CalcRC27(F4,G4,K4,O4,P4,Q4,R4,S4,T4,U4,V4),"-")</f>
      </c>
      <c r="X4" t="s" s="13">
        <v>1952</v>
      </c>
    </row>
    <row r="5" spans="2:24" ht="13.8" x14ac:dyDescent="0.2">
      <c r="B5" s="8">
        <f t="shared" ref="B5:B68" si="6">IF(C5="","",C5)</f>
      </c>
      <c r="C5" s="10">
        <v>0</v>
      </c>
      <c r="D5" t="s" s="13">
        <v>238</v>
      </c>
      <c r="E5" s="11">
        <f t="shared" si="2"/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7">((G5-H5-I5-J5)+(H5*2)+(I5*3)+(J5*4))</f>
      </c>
      <c r="L5" s="7">
        <v>0</v>
      </c>
      <c r="M5" s="11">
        <f t="shared" ref="M5:M68" si="8">IFERROR(IF((G5+P5+Q5)/(F5+P5+Q5+S5)=1,"1.00",(G5+P5+Q5)/(F5+P5+Q5+S5)),0)</f>
      </c>
      <c r="N5" s="11">
        <f t="shared" ref="N5:N68" si="9">IFERROR(SUM(K5/F5,((G5+P5+Q5)/(F5+P5+Q5+S5))),M5)</f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>
        <f>IFERROR(CalcRC27(F5,G5,K5,O5,P5,Q5,R5,S5,T5,U5,V5),"-")</f>
      </c>
      <c r="X5" t="s" s="13">
        <v>566</v>
      </c>
    </row>
    <row r="6" spans="2:24" ht="13.8" x14ac:dyDescent="0.2">
      <c r="B6" s="8">
        <f t="shared" si="6"/>
      </c>
      <c r="C6" s="10">
        <v>1</v>
      </c>
      <c r="D6" t="s" s="13">
        <v>1320</v>
      </c>
      <c r="E6" s="11">
        <f t="shared" si="2"/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</c>
      <c r="L6" s="7">
        <v>0</v>
      </c>
      <c r="M6" s="11">
        <f t="shared" si="8"/>
      </c>
      <c r="N6" s="11">
        <f t="shared" si="9"/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>
        <f>IFERROR(CalcRC27(F6,G6,K6,O6,P6,Q6,R6,S6,T6,U6,V6),"-")</f>
      </c>
      <c r="X6" t="s" s="13">
        <v>1413</v>
      </c>
    </row>
    <row r="7" spans="2:24" ht="13.8" x14ac:dyDescent="0.2">
      <c r="B7" s="8">
        <f t="shared" si="6"/>
      </c>
      <c r="C7" s="10">
        <v>2</v>
      </c>
      <c r="D7" t="s" s="13">
        <v>239</v>
      </c>
      <c r="E7" s="11">
        <f t="shared" si="2"/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</c>
      <c r="L7" s="7">
        <v>0</v>
      </c>
      <c r="M7" s="11">
        <f t="shared" si="8"/>
      </c>
      <c r="N7" s="11">
        <f t="shared" si="9"/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>
        <f>IFERROR(CalcRC27(F7,G7,K7,O7,P7,Q7,R7,S7,T7,U7,V7),"-")</f>
      </c>
      <c r="X7" t="s" s="13">
        <v>236</v>
      </c>
    </row>
    <row r="8" spans="2:24" ht="13.8" x14ac:dyDescent="0.2">
      <c r="B8" s="8">
        <f t="shared" si="6"/>
      </c>
      <c r="C8" s="10">
        <v>3</v>
      </c>
      <c r="D8" t="s" s="13">
        <v>240</v>
      </c>
      <c r="E8" s="11">
        <f t="shared" si="2"/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</c>
      <c r="L8" s="7">
        <v>0</v>
      </c>
      <c r="M8" s="11">
        <f t="shared" si="8"/>
      </c>
      <c r="N8" s="11">
        <f t="shared" si="9"/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>
        <f>IFERROR(CalcRC27(F8,G8,K8,O8,P8,Q8,R8,S8,T8,U8,V8),"-")</f>
      </c>
      <c r="X8" t="s" s="13">
        <v>567</v>
      </c>
    </row>
    <row r="9" spans="2:24" ht="13.8" x14ac:dyDescent="0.2">
      <c r="B9" s="8">
        <f t="shared" si="6"/>
      </c>
      <c r="C9" s="10">
        <v>4</v>
      </c>
      <c r="D9" t="s" s="13">
        <v>241</v>
      </c>
      <c r="E9" s="11">
        <f t="shared" si="2"/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</c>
      <c r="L9" s="7">
        <v>0</v>
      </c>
      <c r="M9" s="11">
        <f t="shared" si="8"/>
      </c>
      <c r="N9" s="11">
        <f t="shared" si="9"/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>
        <f>IFERROR(CalcRC27(F9,G9,K9,O9,P9,Q9,R9,S9,T9,U9,V9),"-")</f>
      </c>
      <c r="X9" t="s" s="13">
        <v>568</v>
      </c>
    </row>
    <row r="10" spans="2:24" ht="13.8" x14ac:dyDescent="0.2">
      <c r="B10" s="8">
        <f t="shared" si="6"/>
      </c>
      <c r="C10" s="10">
        <v>5</v>
      </c>
      <c r="D10" t="s" s="13">
        <v>242</v>
      </c>
      <c r="E10" s="11">
        <f t="shared" si="2"/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</c>
      <c r="L10" s="7">
        <v>0</v>
      </c>
      <c r="M10" s="11">
        <f t="shared" si="8"/>
      </c>
      <c r="N10" s="11">
        <f t="shared" si="9"/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>
        <f>IFERROR(CalcRC27(F10,G10,K10,O10,P10,Q10,R10,S10,T10,U10,V10),"-")</f>
      </c>
      <c r="X10" t="s" s="13">
        <v>569</v>
      </c>
    </row>
    <row r="11" spans="2:24" ht="13.8" x14ac:dyDescent="0.2">
      <c r="B11" s="8">
        <f t="shared" si="6"/>
      </c>
      <c r="C11" s="10">
        <v>6</v>
      </c>
      <c r="D11" s="13"/>
      <c r="E11" s="11">
        <f t="shared" si="2"/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</c>
      <c r="L11" s="7">
        <v>0</v>
      </c>
      <c r="M11" s="11">
        <f t="shared" si="8"/>
      </c>
      <c r="N11" s="11">
        <f t="shared" si="9"/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</c>
      <c r="X11" s="13"/>
    </row>
    <row r="12" spans="2:24" ht="13.8" x14ac:dyDescent="0.2">
      <c r="B12" s="8">
        <f t="shared" si="6"/>
      </c>
      <c r="C12" s="10">
        <v>7</v>
      </c>
      <c r="D12" t="s" s="13">
        <v>1385</v>
      </c>
      <c r="E12" s="11">
        <f t="shared" si="2"/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</c>
      <c r="L12" s="7">
        <v>0</v>
      </c>
      <c r="M12" s="11">
        <f t="shared" si="8"/>
      </c>
      <c r="N12" s="11">
        <f t="shared" si="9"/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>
        <f>IFERROR(CalcRC27(F12,G12,K12,O12,P12,Q12,R12,S12,T12,U12,V12),"-")</f>
      </c>
      <c r="X12" t="s" s="13">
        <v>1951</v>
      </c>
    </row>
    <row r="13" spans="2:24" ht="13.8" x14ac:dyDescent="0.2">
      <c r="B13" s="8">
        <f t="shared" si="6"/>
      </c>
      <c r="C13" s="10">
        <v>8</v>
      </c>
      <c r="D13" t="s" s="13">
        <v>243</v>
      </c>
      <c r="E13" s="11">
        <f t="shared" si="2"/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</c>
      <c r="L13" s="7">
        <v>0</v>
      </c>
      <c r="M13" s="11">
        <f t="shared" si="8"/>
      </c>
      <c r="N13" s="11">
        <f t="shared" si="9"/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</c>
      <c r="X13" t="s" s="13">
        <v>570</v>
      </c>
    </row>
    <row r="14" spans="2:24" ht="13.8" x14ac:dyDescent="0.2">
      <c r="B14" s="8">
        <f t="shared" si="6"/>
      </c>
      <c r="C14" s="10">
        <v>9</v>
      </c>
      <c r="D14" s="13"/>
      <c r="E14" s="11">
        <f t="shared" si="2"/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</c>
      <c r="L14" s="7">
        <v>0</v>
      </c>
      <c r="M14" s="11">
        <f t="shared" si="8"/>
      </c>
      <c r="N14" s="11">
        <f t="shared" si="9"/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>
        <f>IFERROR(CalcRC27(F14,G14,K14,O14,P14,Q14,R14,S14,T14,U14,V14),"-")</f>
      </c>
      <c r="X14" s="13"/>
    </row>
    <row r="15" spans="2:24" ht="13.8" x14ac:dyDescent="0.2">
      <c r="B15" s="8">
        <f t="shared" si="6"/>
      </c>
      <c r="C15" s="10">
        <v>10</v>
      </c>
      <c r="D15" s="13"/>
      <c r="E15" s="11">
        <f t="shared" si="2"/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</c>
      <c r="L15" s="7">
        <v>0</v>
      </c>
      <c r="M15" s="11">
        <f t="shared" si="8"/>
      </c>
      <c r="N15" s="11">
        <f t="shared" si="9"/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</c>
      <c r="X15" s="13"/>
    </row>
    <row r="16" spans="2:24" ht="13.8" x14ac:dyDescent="0.2">
      <c r="B16" s="8">
        <f t="shared" si="6"/>
      </c>
      <c r="C16" s="10">
        <v>11</v>
      </c>
      <c r="D16" s="13"/>
      <c r="E16" s="11">
        <f t="shared" si="2"/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</c>
      <c r="L16" s="7">
        <v>0</v>
      </c>
      <c r="M16" s="11">
        <f t="shared" si="8"/>
      </c>
      <c r="N16" s="11">
        <f t="shared" si="9"/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</c>
      <c r="X16" s="13"/>
    </row>
    <row r="17" spans="2:24" ht="13.8" x14ac:dyDescent="0.2">
      <c r="B17" s="8">
        <f t="shared" si="6"/>
      </c>
      <c r="C17" s="10">
        <v>12</v>
      </c>
      <c r="D17" t="s" s="13">
        <v>244</v>
      </c>
      <c r="E17" s="11">
        <f t="shared" si="2"/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</c>
      <c r="L17" s="7">
        <v>0</v>
      </c>
      <c r="M17" s="11">
        <f t="shared" si="8"/>
      </c>
      <c r="N17" s="11">
        <f t="shared" si="9"/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>
        <f>IFERROR(CalcRC27(F17,G17,K17,O17,P17,Q17,R17,S17,T17,U17,V17),"-")</f>
      </c>
      <c r="X17" t="s" s="13">
        <v>81</v>
      </c>
    </row>
    <row r="18" spans="2:24" ht="13.8" x14ac:dyDescent="0.2">
      <c r="B18" s="8">
        <f t="shared" si="6"/>
      </c>
      <c r="C18" s="10">
        <v>13</v>
      </c>
      <c r="D18" t="s" s="13">
        <v>650</v>
      </c>
      <c r="E18" s="11">
        <f t="shared" si="2"/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</c>
      <c r="L18" s="7">
        <v>0</v>
      </c>
      <c r="M18" s="11">
        <f t="shared" si="8"/>
      </c>
      <c r="N18" s="11">
        <f t="shared" si="9"/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>
        <f>IFERROR(CalcRC27(F18,G18,K18,O18,P18,Q18,R18,S18,T18,U18,V18),"-")</f>
      </c>
      <c r="X18" t="s" s="13">
        <v>571</v>
      </c>
    </row>
    <row r="19" spans="2:24" ht="13.8" x14ac:dyDescent="0.2">
      <c r="B19" s="8">
        <f t="shared" si="6"/>
      </c>
      <c r="C19" s="10">
        <v>14</v>
      </c>
      <c r="D19" t="s" s="13">
        <v>1386</v>
      </c>
      <c r="E19" s="11">
        <f t="shared" si="2"/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</c>
      <c r="L19" s="7">
        <v>0</v>
      </c>
      <c r="M19" s="11">
        <f t="shared" si="8"/>
      </c>
      <c r="N19" s="11">
        <f t="shared" si="9"/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>
        <f>IFERROR(CalcRC27(F19,G19,K19,O19,P19,Q19,R19,S19,T19,U19,V19),"-")</f>
      </c>
      <c r="X19" t="s" s="13">
        <v>574</v>
      </c>
    </row>
    <row r="20" spans="2:24" ht="13.8" x14ac:dyDescent="0.2">
      <c r="B20" s="8">
        <f t="shared" si="6"/>
      </c>
      <c r="C20" s="10">
        <v>15</v>
      </c>
      <c r="D20" t="s" s="13">
        <v>245</v>
      </c>
      <c r="E20" s="11">
        <f t="shared" si="2"/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</c>
      <c r="L20" s="7">
        <v>0</v>
      </c>
      <c r="M20" s="11">
        <f t="shared" si="8"/>
      </c>
      <c r="N20" s="11">
        <f t="shared" si="9"/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>
        <f>IFERROR(CalcRC27(F20,G20,K20,O20,P20,Q20,R20,S20,T20,U20,V20),"-")</f>
      </c>
      <c r="X20" t="s" s="13">
        <v>572</v>
      </c>
    </row>
    <row r="21" spans="2:24" ht="13.8" x14ac:dyDescent="0.2">
      <c r="B21" s="8">
        <f t="shared" si="6"/>
      </c>
      <c r="C21" s="10">
        <v>16</v>
      </c>
      <c r="D21" t="s" s="13">
        <v>246</v>
      </c>
      <c r="E21" s="11">
        <f t="shared" si="2"/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</c>
      <c r="L21" s="7">
        <v>0</v>
      </c>
      <c r="M21" s="11">
        <f t="shared" si="8"/>
      </c>
      <c r="N21" s="11">
        <f t="shared" si="9"/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</c>
      <c r="X21" t="s" s="13">
        <v>573</v>
      </c>
    </row>
    <row r="22" spans="2:24" ht="13.8" x14ac:dyDescent="0.2">
      <c r="B22" s="8">
        <f t="shared" si="6"/>
      </c>
      <c r="C22" s="10">
        <v>17</v>
      </c>
      <c r="D22" t="s" s="13">
        <v>1387</v>
      </c>
      <c r="E22" s="11">
        <f t="shared" si="2"/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</c>
      <c r="L22" s="7">
        <v>0</v>
      </c>
      <c r="M22" s="11">
        <f t="shared" si="8"/>
      </c>
      <c r="N22" s="11">
        <f t="shared" si="9"/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>
        <f>IFERROR(CalcRC27(F22,G22,K22,O22,P22,Q22,R22,S22,T22,U22,V22),"-")</f>
      </c>
      <c r="X22" t="s" s="13">
        <v>591</v>
      </c>
    </row>
    <row r="23" spans="2:24" ht="13.8" x14ac:dyDescent="0.2">
      <c r="B23" s="8">
        <f t="shared" si="6"/>
      </c>
      <c r="C23" s="10">
        <v>18</v>
      </c>
      <c r="D23" s="13"/>
      <c r="E23" s="11">
        <f t="shared" si="2"/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</c>
      <c r="L23" s="7">
        <v>0</v>
      </c>
      <c r="M23" s="11">
        <f t="shared" si="8"/>
      </c>
      <c r="N23" s="11">
        <f t="shared" si="9"/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</c>
      <c r="X23" s="13"/>
    </row>
    <row r="24" spans="2:24" ht="13.8" x14ac:dyDescent="0.2">
      <c r="B24" s="8">
        <f t="shared" si="6"/>
      </c>
      <c r="C24" s="10">
        <v>19</v>
      </c>
      <c r="D24" t="s" s="13">
        <v>1388</v>
      </c>
      <c r="E24" s="11">
        <f t="shared" si="2"/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</c>
      <c r="L24" s="7">
        <v>0</v>
      </c>
      <c r="M24" s="11">
        <f t="shared" si="8"/>
      </c>
      <c r="N24" s="11">
        <f t="shared" si="9"/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</c>
      <c r="X24" t="s" s="13">
        <v>1414</v>
      </c>
    </row>
    <row r="25" spans="2:24" ht="13.8" x14ac:dyDescent="0.2">
      <c r="B25" s="8">
        <f t="shared" si="6"/>
      </c>
      <c r="C25" s="10">
        <v>20</v>
      </c>
      <c r="D25" t="s" s="13">
        <v>651</v>
      </c>
      <c r="E25" s="11">
        <f t="shared" si="2"/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</c>
      <c r="L25" s="7">
        <v>0</v>
      </c>
      <c r="M25" s="11">
        <f t="shared" si="8"/>
      </c>
      <c r="N25" s="11">
        <f t="shared" si="9"/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>
        <f>IFERROR(CalcRC27(F25,G25,K25,O25,P25,Q25,R25,S25,T25,U25,V25),"-")</f>
      </c>
      <c r="X25" t="s" s="13">
        <v>656</v>
      </c>
    </row>
    <row r="26" spans="2:24" ht="13.8" x14ac:dyDescent="0.2">
      <c r="B26" s="8">
        <f t="shared" si="6"/>
      </c>
      <c r="C26" s="10">
        <v>21</v>
      </c>
      <c r="D26" t="s" s="13">
        <v>818</v>
      </c>
      <c r="E26" s="11">
        <f t="shared" si="2"/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</c>
      <c r="L26" s="7">
        <v>0</v>
      </c>
      <c r="M26" s="11">
        <f t="shared" si="8"/>
      </c>
      <c r="N26" s="11">
        <f t="shared" si="9"/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>
        <f>IFERROR(CalcRC27(F26,G26,K26,O26,P26,Q26,R26,S26,T26,U26,V26),"-")</f>
      </c>
      <c r="X26" t="s" s="13">
        <v>589</v>
      </c>
    </row>
    <row r="27" spans="2:24" ht="13.8" x14ac:dyDescent="0.2">
      <c r="B27" s="8">
        <f t="shared" si="6"/>
      </c>
      <c r="C27" s="10">
        <v>22</v>
      </c>
      <c r="D27" s="13"/>
      <c r="E27" s="11">
        <f t="shared" si="2"/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</c>
      <c r="L27" s="7">
        <v>0</v>
      </c>
      <c r="M27" s="11">
        <f t="shared" si="8"/>
      </c>
      <c r="N27" s="11">
        <f t="shared" si="9"/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>
        <f>IFERROR(CalcRC27(F27,G27,K27,O27,P27,Q27,R27,S27,T27,U27,V27),"-")</f>
      </c>
      <c r="X27" s="13"/>
    </row>
    <row r="28" spans="2:24" ht="13.8" x14ac:dyDescent="0.2">
      <c r="B28" s="8">
        <f t="shared" si="6"/>
      </c>
      <c r="C28" s="10">
        <v>23</v>
      </c>
      <c r="D28" s="13"/>
      <c r="E28" s="11">
        <f t="shared" si="2"/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</c>
      <c r="L28" s="7">
        <v>0</v>
      </c>
      <c r="M28" s="11">
        <f t="shared" si="8"/>
      </c>
      <c r="N28" s="11">
        <f t="shared" si="9"/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>
        <f>IFERROR(CalcRC27(F28,G28,K28,O28,P28,Q28,R28,S28,T28,U28,V28),"-")</f>
      </c>
      <c r="X28" s="13"/>
    </row>
    <row r="29" spans="2:24" ht="13.8" x14ac:dyDescent="0.2">
      <c r="B29" s="8">
        <f t="shared" si="6"/>
      </c>
      <c r="C29" s="10">
        <v>24</v>
      </c>
      <c r="D29" s="13"/>
      <c r="E29" s="11">
        <f t="shared" si="2"/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</c>
      <c r="L29" s="7">
        <v>0</v>
      </c>
      <c r="M29" s="11">
        <f t="shared" si="8"/>
      </c>
      <c r="N29" s="11">
        <f t="shared" si="9"/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</c>
      <c r="X29" s="13"/>
    </row>
    <row r="30" spans="2:24" ht="13.8" x14ac:dyDescent="0.2">
      <c r="B30" s="8">
        <f t="shared" si="6"/>
      </c>
      <c r="C30" s="10">
        <v>25</v>
      </c>
      <c r="D30" t="s" s="13">
        <v>1389</v>
      </c>
      <c r="E30" s="11">
        <f t="shared" si="2"/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</c>
      <c r="L30" s="7">
        <v>0</v>
      </c>
      <c r="M30" s="11">
        <f t="shared" si="8"/>
      </c>
      <c r="N30" s="11">
        <f t="shared" si="9"/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</c>
      <c r="X30" t="s" s="13">
        <v>1415</v>
      </c>
    </row>
    <row r="31" spans="2:24" ht="13.8" x14ac:dyDescent="0.2">
      <c r="B31" s="8">
        <f t="shared" si="6"/>
      </c>
      <c r="C31" s="10">
        <v>26</v>
      </c>
      <c r="D31" t="s" s="13">
        <v>1390</v>
      </c>
      <c r="E31" s="11">
        <f t="shared" si="2"/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</c>
      <c r="L31" s="7">
        <v>0</v>
      </c>
      <c r="M31" s="11">
        <f t="shared" si="8"/>
      </c>
      <c r="N31" s="11">
        <f t="shared" si="9"/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>
        <f>IFERROR(CalcRC27(F31,G31,K31,O31,P31,Q31,R31,S31,T31,U31,V31),"-")</f>
      </c>
      <c r="X31" t="s" s="13">
        <v>1416</v>
      </c>
    </row>
    <row r="32" spans="2:24" ht="13.8" x14ac:dyDescent="0.2">
      <c r="B32" s="8">
        <f t="shared" si="6"/>
      </c>
      <c r="C32" s="10">
        <v>27</v>
      </c>
      <c r="D32" t="s" s="13">
        <v>247</v>
      </c>
      <c r="E32" s="11">
        <f t="shared" si="2"/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</c>
      <c r="L32" s="7">
        <v>0</v>
      </c>
      <c r="M32" s="11">
        <f t="shared" si="8"/>
      </c>
      <c r="N32" s="11">
        <f t="shared" si="9"/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</c>
      <c r="X32" t="s" s="13">
        <v>577</v>
      </c>
    </row>
    <row r="33" spans="2:24" ht="13.8" x14ac:dyDescent="0.2">
      <c r="B33" s="8">
        <f t="shared" si="6"/>
      </c>
      <c r="C33" s="10">
        <v>28</v>
      </c>
      <c r="D33" t="s" s="13">
        <v>1297</v>
      </c>
      <c r="E33" s="11">
        <f t="shared" si="2"/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</c>
      <c r="L33" s="7">
        <v>0</v>
      </c>
      <c r="M33" s="11">
        <f t="shared" si="8"/>
      </c>
      <c r="N33" s="11">
        <f t="shared" si="9"/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</c>
      <c r="X33" t="s" s="13">
        <v>657</v>
      </c>
    </row>
    <row r="34" spans="2:24" ht="13.8" x14ac:dyDescent="0.2">
      <c r="B34" s="8">
        <f t="shared" si="6"/>
      </c>
      <c r="C34" s="10">
        <v>29</v>
      </c>
      <c r="D34" s="13"/>
      <c r="E34" s="11">
        <f t="shared" si="2"/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</c>
      <c r="L34" s="7">
        <v>0</v>
      </c>
      <c r="M34" s="11">
        <f t="shared" si="8"/>
      </c>
      <c r="N34" s="11">
        <f t="shared" si="9"/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>
        <f>IFERROR(CalcRC27(F34,G34,K34,O34,P34,Q34,R34,S34,T34,U34,V34),"-")</f>
      </c>
      <c r="X34" s="13"/>
    </row>
    <row r="35" spans="2:24" ht="13.8" x14ac:dyDescent="0.2">
      <c r="B35" s="8">
        <f t="shared" si="6"/>
      </c>
      <c r="C35" s="10">
        <v>30</v>
      </c>
      <c r="D35" t="s" s="13">
        <v>1391</v>
      </c>
      <c r="E35" s="11">
        <f t="shared" si="2"/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</c>
      <c r="L35" s="7">
        <v>0</v>
      </c>
      <c r="M35" s="11">
        <f t="shared" si="8"/>
      </c>
      <c r="N35" s="11">
        <f t="shared" si="9"/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>
        <f>IFERROR(CalcRC27(F35,G35,K35,O35,P35,Q35,R35,S35,T35,U35,V35),"-")</f>
      </c>
      <c r="X35" t="s" s="13">
        <v>1417</v>
      </c>
    </row>
    <row r="36" spans="2:24" ht="13.8" x14ac:dyDescent="0.2">
      <c r="B36" s="8">
        <f t="shared" si="6"/>
      </c>
      <c r="C36" s="10">
        <v>31</v>
      </c>
      <c r="D36" s="13"/>
      <c r="E36" s="11">
        <f t="shared" si="2"/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</c>
      <c r="L36" s="7">
        <v>0</v>
      </c>
      <c r="M36" s="11">
        <f t="shared" si="8"/>
      </c>
      <c r="N36" s="11">
        <f t="shared" si="9"/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>
        <f>IFERROR(CalcRC27(F36,G36,K36,O36,P36,Q36,R36,S36,T36,U36,V36),"-")</f>
      </c>
      <c r="X36" s="13"/>
    </row>
    <row r="37" spans="2:24" ht="13.8" x14ac:dyDescent="0.2">
      <c r="B37" s="8">
        <f t="shared" si="6"/>
      </c>
      <c r="C37" s="10">
        <v>32</v>
      </c>
      <c r="D37" t="s" s="13">
        <v>248</v>
      </c>
      <c r="E37" s="11">
        <f t="shared" si="2"/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7"/>
      </c>
      <c r="L37" s="7">
        <v>0</v>
      </c>
      <c r="M37" s="11">
        <f t="shared" si="8"/>
      </c>
      <c r="N37" s="11">
        <f t="shared" si="9"/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>
        <f>IFERROR(CalcRC27(F37,G37,K37,O37,P37,Q37,R37,S37,T37,U37,V37),"-")</f>
      </c>
      <c r="X37" t="s" s="13">
        <v>581</v>
      </c>
    </row>
    <row r="38" spans="2:24" ht="13.8" x14ac:dyDescent="0.2">
      <c r="B38" s="8">
        <f t="shared" si="6"/>
      </c>
      <c r="C38" s="10">
        <v>33</v>
      </c>
      <c r="D38" t="s" s="13">
        <v>249</v>
      </c>
      <c r="E38" s="11">
        <f t="shared" si="2"/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</c>
      <c r="L38" s="7">
        <v>0</v>
      </c>
      <c r="M38" s="11">
        <f t="shared" si="8"/>
      </c>
      <c r="N38" s="11">
        <f t="shared" si="9"/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>
        <f>IFERROR(CalcRC27(F38,G38,K38,O38,P38,Q38,R38,S38,T38,U38,V38),"-")</f>
      </c>
      <c r="X38" t="s" s="13">
        <v>582</v>
      </c>
    </row>
    <row r="39" spans="2:24" ht="13.8" x14ac:dyDescent="0.2">
      <c r="B39" s="8">
        <f t="shared" si="6"/>
      </c>
      <c r="C39" s="10">
        <v>34</v>
      </c>
      <c r="D39" t="s" s="13">
        <v>1392</v>
      </c>
      <c r="E39" s="11">
        <f t="shared" si="2"/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</c>
      <c r="L39" s="7">
        <v>0</v>
      </c>
      <c r="M39" s="11">
        <f t="shared" si="8"/>
      </c>
      <c r="N39" s="11">
        <f t="shared" si="9"/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>
        <f>IFERROR(CalcRC27(F39,G39,K39,O39,P39,Q39,R39,S39,T39,U39,V39),"-")</f>
      </c>
      <c r="X39" t="s" s="13">
        <v>426</v>
      </c>
    </row>
    <row r="40" spans="2:24" ht="13.8" x14ac:dyDescent="0.2">
      <c r="B40" s="8">
        <f t="shared" si="6"/>
      </c>
      <c r="C40" s="10">
        <v>35</v>
      </c>
      <c r="D40" t="s" s="13">
        <v>1393</v>
      </c>
      <c r="E40" s="11">
        <f t="shared" si="2"/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</c>
      <c r="L40" s="7">
        <v>0</v>
      </c>
      <c r="M40" s="11">
        <f t="shared" si="8"/>
      </c>
      <c r="N40" s="11">
        <f t="shared" si="9"/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>
        <f>IFERROR(CalcRC27(F40,G40,K40,O40,P40,Q40,R40,S40,T40,U40,V40),"-")</f>
      </c>
      <c r="X40" t="s" s="13">
        <v>606</v>
      </c>
    </row>
    <row r="41" spans="2:24" ht="13.8" x14ac:dyDescent="0.2">
      <c r="B41" s="8">
        <f t="shared" si="6"/>
      </c>
      <c r="C41" s="10">
        <v>36</v>
      </c>
      <c r="D41" t="s" s="13">
        <v>250</v>
      </c>
      <c r="E41" s="11">
        <f t="shared" si="2"/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</c>
      <c r="L41" s="7">
        <v>0</v>
      </c>
      <c r="M41" s="11">
        <f t="shared" si="8"/>
      </c>
      <c r="N41" s="11">
        <f t="shared" si="9"/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>
        <f>IFERROR(CalcRC27(F41,G41,K41,O41,P41,Q41,R41,S41,T41,U41,V41),"-")</f>
      </c>
      <c r="X41" t="s" s="13">
        <v>583</v>
      </c>
    </row>
    <row r="42" spans="2:24" ht="13.8" x14ac:dyDescent="0.2">
      <c r="B42" s="8">
        <f t="shared" si="6"/>
      </c>
      <c r="C42" s="10">
        <v>37</v>
      </c>
      <c r="D42" t="s" s="13">
        <v>251</v>
      </c>
      <c r="E42" s="11">
        <f t="shared" si="2"/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</c>
      <c r="L42" s="7">
        <v>0</v>
      </c>
      <c r="M42" s="11">
        <f t="shared" si="8"/>
      </c>
      <c r="N42" s="11">
        <f t="shared" si="9"/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>
        <f>IFERROR(CalcRC27(F42,G42,K42,O42,P42,Q42,R42,S42,T42,U42,V42),"-")</f>
      </c>
      <c r="X42" t="s" s="13">
        <v>584</v>
      </c>
    </row>
    <row r="43" spans="2:24" ht="13.8" x14ac:dyDescent="0.2">
      <c r="B43" s="8">
        <f t="shared" si="6"/>
      </c>
      <c r="C43" s="10">
        <v>38</v>
      </c>
      <c r="D43" t="s" s="13">
        <v>252</v>
      </c>
      <c r="E43" s="11">
        <f t="shared" si="2"/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</c>
      <c r="L43" s="7">
        <v>0</v>
      </c>
      <c r="M43" s="11">
        <f t="shared" si="8"/>
      </c>
      <c r="N43" s="11">
        <f t="shared" si="9"/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>
        <f>IFERROR(CalcRC27(F43,G43,K43,O43,P43,Q43,R43,S43,T43,U43,V43),"-")</f>
      </c>
      <c r="X43" t="s" s="13">
        <v>585</v>
      </c>
    </row>
    <row r="44" spans="2:24" ht="13.8" x14ac:dyDescent="0.2">
      <c r="B44" s="8">
        <f t="shared" si="6"/>
      </c>
      <c r="C44" s="10">
        <v>39</v>
      </c>
      <c r="D44" t="s" s="13">
        <v>253</v>
      </c>
      <c r="E44" s="11">
        <f t="shared" si="2"/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</c>
      <c r="L44" s="7">
        <v>0</v>
      </c>
      <c r="M44" s="11">
        <f t="shared" si="8"/>
      </c>
      <c r="N44" s="11">
        <f t="shared" si="9"/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>
        <f>IFERROR(CalcRC27(F44,G44,K44,O44,P44,Q44,R44,S44,T44,U44,V44),"-")</f>
      </c>
      <c r="X44" t="s" s="13">
        <v>586</v>
      </c>
    </row>
    <row r="45" spans="2:24" ht="13.8" x14ac:dyDescent="0.2">
      <c r="B45" s="8">
        <f t="shared" si="6"/>
      </c>
      <c r="C45" s="10">
        <v>40</v>
      </c>
      <c r="D45" t="s" s="13">
        <v>1394</v>
      </c>
      <c r="E45" s="11">
        <f t="shared" si="2"/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</c>
      <c r="L45" s="7">
        <v>0</v>
      </c>
      <c r="M45" s="11">
        <f t="shared" si="8"/>
      </c>
      <c r="N45" s="11">
        <f t="shared" si="9"/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>
        <f>IFERROR(CalcRC27(F45,G45,K45,O45,P45,Q45,R45,S45,T45,U45,V45),"-")</f>
      </c>
      <c r="X45" t="s" s="13">
        <v>1418</v>
      </c>
    </row>
    <row r="46" spans="2:24" ht="13.8" x14ac:dyDescent="0.2">
      <c r="B46" s="8">
        <f t="shared" si="6"/>
      </c>
      <c r="C46" s="10">
        <v>41</v>
      </c>
      <c r="D46" t="s" s="13">
        <v>254</v>
      </c>
      <c r="E46" s="11">
        <f t="shared" si="2"/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</c>
      <c r="L46" s="7">
        <v>0</v>
      </c>
      <c r="M46" s="11">
        <f t="shared" si="8"/>
      </c>
      <c r="N46" s="11">
        <f t="shared" si="9"/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>
        <f>IFERROR(CalcRC27(F46,G46,K46,O46,P46,Q46,R46,S46,T46,U46,V46),"-")</f>
      </c>
      <c r="X46" t="s" s="13">
        <v>587</v>
      </c>
    </row>
    <row r="47" spans="2:24" ht="13.8" x14ac:dyDescent="0.2">
      <c r="B47" s="8">
        <f t="shared" si="6"/>
      </c>
      <c r="C47" s="10">
        <v>42</v>
      </c>
      <c r="D47" s="13"/>
      <c r="E47" s="11">
        <f t="shared" si="2"/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</c>
      <c r="L47" s="7">
        <v>0</v>
      </c>
      <c r="M47" s="11">
        <f t="shared" si="8"/>
      </c>
      <c r="N47" s="11">
        <f t="shared" si="9"/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</c>
      <c r="X47" s="13"/>
    </row>
    <row r="48" spans="2:24" ht="13.8" x14ac:dyDescent="0.2">
      <c r="B48" s="8">
        <f t="shared" si="6"/>
      </c>
      <c r="C48" s="10">
        <v>43</v>
      </c>
      <c r="D48" t="s" s="13">
        <v>1395</v>
      </c>
      <c r="E48" s="11">
        <f t="shared" si="2"/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</c>
      <c r="L48" s="7">
        <v>0</v>
      </c>
      <c r="M48" s="11">
        <f t="shared" si="8"/>
      </c>
      <c r="N48" s="11">
        <f t="shared" si="9"/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>
        <f>IFERROR(CalcRC27(F48,G48,K48,O48,P48,Q48,R48,S48,T48,U48,V48),"-")</f>
      </c>
      <c r="X48" t="s" s="13">
        <v>1419</v>
      </c>
    </row>
    <row r="49" spans="2:24" ht="13.8" x14ac:dyDescent="0.2">
      <c r="B49" s="8">
        <f t="shared" si="6"/>
      </c>
      <c r="C49" s="10">
        <v>44</v>
      </c>
      <c r="D49" t="s" s="13">
        <v>1396</v>
      </c>
      <c r="E49" s="11">
        <f t="shared" si="2"/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</c>
      <c r="L49" s="7">
        <v>0</v>
      </c>
      <c r="M49" s="11">
        <f t="shared" si="8"/>
      </c>
      <c r="N49" s="11">
        <f t="shared" si="9"/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</c>
      <c r="X49" t="s" s="13">
        <v>1420</v>
      </c>
    </row>
    <row r="50" spans="2:24" ht="13.8" x14ac:dyDescent="0.2">
      <c r="B50" s="8">
        <f t="shared" si="6"/>
      </c>
      <c r="C50" s="10">
        <v>45</v>
      </c>
      <c r="D50" t="s" s="13">
        <v>255</v>
      </c>
      <c r="E50" s="11">
        <f t="shared" si="2"/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</c>
      <c r="L50" s="7">
        <v>0</v>
      </c>
      <c r="M50" s="11">
        <f t="shared" si="8"/>
      </c>
      <c r="N50" s="11">
        <f t="shared" si="9"/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>
        <f>IFERROR(CalcRC27(F50,G50,K50,O50,P50,Q50,R50,S50,T50,U50,V50),"-")</f>
      </c>
      <c r="X50" t="s" s="13">
        <v>588</v>
      </c>
    </row>
    <row r="51" spans="2:24" ht="13.8" x14ac:dyDescent="0.2">
      <c r="B51" s="8">
        <f t="shared" si="6"/>
      </c>
      <c r="C51" s="10">
        <v>46</v>
      </c>
      <c r="D51" t="s" s="13">
        <v>1397</v>
      </c>
      <c r="E51" s="11">
        <f t="shared" si="2"/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</c>
      <c r="L51" s="7">
        <v>0</v>
      </c>
      <c r="M51" s="11">
        <f t="shared" si="8"/>
      </c>
      <c r="N51" s="11">
        <f t="shared" si="9"/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</c>
      <c r="X51" t="s" s="13">
        <v>605</v>
      </c>
    </row>
    <row r="52" spans="2:24" ht="13.8" x14ac:dyDescent="0.2">
      <c r="B52" s="8">
        <f t="shared" si="6"/>
      </c>
      <c r="C52" s="10">
        <v>47</v>
      </c>
      <c r="D52" t="s" s="13">
        <v>652</v>
      </c>
      <c r="E52" s="11">
        <f t="shared" si="2"/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</c>
      <c r="L52" s="7">
        <v>0</v>
      </c>
      <c r="M52" s="11">
        <f t="shared" si="8"/>
      </c>
      <c r="N52" s="11">
        <f t="shared" si="9"/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>
        <f>IFERROR(CalcRC27(F52,G52,K52,O52,P52,Q52,R52,S52,T52,U52,V52),"-")</f>
      </c>
      <c r="X52" t="s" s="13">
        <v>658</v>
      </c>
    </row>
    <row r="53" spans="2:24" ht="13.8" x14ac:dyDescent="0.2">
      <c r="B53" s="8">
        <f t="shared" si="6"/>
      </c>
      <c r="C53" s="10">
        <v>48</v>
      </c>
      <c r="D53" t="s" s="13">
        <v>1398</v>
      </c>
      <c r="E53" s="11">
        <f t="shared" si="2"/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</c>
      <c r="L53" s="7">
        <v>0</v>
      </c>
      <c r="M53" s="11">
        <f t="shared" si="8"/>
      </c>
      <c r="N53" s="11">
        <f t="shared" si="9"/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>
        <f>IFERROR(CalcRC27(F53,G53,K53,O53,P53,Q53,R53,S53,T53,U53,V53),"-")</f>
      </c>
      <c r="X53" t="s" s="13">
        <v>1421</v>
      </c>
    </row>
    <row r="54" spans="2:24" ht="13.8" x14ac:dyDescent="0.2">
      <c r="B54" s="8">
        <f t="shared" si="6"/>
      </c>
      <c r="C54" s="10">
        <v>49</v>
      </c>
      <c r="D54" t="s" s="13">
        <v>1399</v>
      </c>
      <c r="E54" s="11">
        <f t="shared" si="2"/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</c>
      <c r="L54" s="7">
        <v>0</v>
      </c>
      <c r="M54" s="11">
        <f t="shared" si="8"/>
      </c>
      <c r="N54" s="11">
        <f t="shared" si="9"/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</c>
      <c r="X54" t="s" s="13">
        <v>66</v>
      </c>
    </row>
    <row r="55" spans="2:24" ht="13.8" x14ac:dyDescent="0.2">
      <c r="B55" s="8">
        <f t="shared" si="6"/>
      </c>
      <c r="C55" s="10">
        <v>50</v>
      </c>
      <c r="D55" t="s" s="13">
        <v>716</v>
      </c>
      <c r="E55" s="11">
        <f t="shared" si="2"/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</c>
      <c r="L55" s="7">
        <v>0</v>
      </c>
      <c r="M55" s="11">
        <f t="shared" si="8"/>
      </c>
      <c r="N55" s="11">
        <f t="shared" si="9"/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>
        <f>IFERROR(CalcRC27(F55,G55,K55,O55,P55,Q55,R55,S55,T55,U55,V55),"-")</f>
      </c>
      <c r="X55" t="s" s="13">
        <v>1422</v>
      </c>
    </row>
    <row r="56" spans="2:24" ht="13.8" x14ac:dyDescent="0.2">
      <c r="B56" s="8">
        <f t="shared" si="6"/>
      </c>
      <c r="C56" s="10">
        <v>51</v>
      </c>
      <c r="D56" t="s" s="13">
        <v>257</v>
      </c>
      <c r="E56" s="11">
        <f t="shared" si="2"/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</c>
      <c r="L56" s="7">
        <v>0</v>
      </c>
      <c r="M56" s="11">
        <f t="shared" si="8"/>
      </c>
      <c r="N56" s="11">
        <f t="shared" si="9"/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>
        <f>IFERROR(CalcRC27(F56,G56,K56,O56,P56,Q56,R56,S56,T56,U56,V56),"-")</f>
      </c>
      <c r="X56" t="s" s="13">
        <v>592</v>
      </c>
    </row>
    <row r="57" spans="2:24" ht="13.8" x14ac:dyDescent="0.2">
      <c r="B57" s="8">
        <f t="shared" si="6"/>
      </c>
      <c r="C57" s="10">
        <v>52</v>
      </c>
      <c r="D57" t="s" s="13">
        <v>1289</v>
      </c>
      <c r="E57" s="11">
        <f t="shared" si="2"/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</c>
      <c r="L57" s="7">
        <v>0</v>
      </c>
      <c r="M57" s="11">
        <f t="shared" si="8"/>
      </c>
      <c r="N57" s="11">
        <f t="shared" si="9"/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>
        <f>IFERROR(CalcRC27(F57,G57,K57,O57,P57,Q57,R57,S57,T57,U57,V57),"-")</f>
      </c>
      <c r="X57" t="s" s="13">
        <v>1423</v>
      </c>
    </row>
    <row r="58" spans="2:24" ht="13.8" x14ac:dyDescent="0.2">
      <c r="B58" s="8">
        <f t="shared" si="6"/>
      </c>
      <c r="C58" s="10">
        <v>53</v>
      </c>
      <c r="D58" t="s" s="13">
        <v>258</v>
      </c>
      <c r="E58" s="11">
        <f t="shared" si="2"/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</c>
      <c r="L58" s="7">
        <v>0</v>
      </c>
      <c r="M58" s="11">
        <f t="shared" si="8"/>
      </c>
      <c r="N58" s="11">
        <f t="shared" si="9"/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>
        <f>IFERROR(CalcRC27(F58,G58,K58,O58,P58,Q58,R58,S58,T58,U58,V58),"-")</f>
      </c>
      <c r="X58" t="s" s="13">
        <v>593</v>
      </c>
    </row>
    <row r="59" spans="2:24" ht="13.8" x14ac:dyDescent="0.2">
      <c r="B59" s="8">
        <f t="shared" si="6"/>
      </c>
      <c r="C59" s="10">
        <v>54</v>
      </c>
      <c r="D59" t="s" s="13">
        <v>259</v>
      </c>
      <c r="E59" s="11">
        <f t="shared" si="2"/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</c>
      <c r="L59" s="7">
        <v>0</v>
      </c>
      <c r="M59" s="11">
        <f t="shared" si="8"/>
      </c>
      <c r="N59" s="11">
        <f t="shared" si="9"/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>
        <f>IFERROR(CalcRC27(F59,G59,K59,O59,P59,Q59,R59,S59,T59,U59,V59),"-")</f>
      </c>
      <c r="X59" t="s" s="13">
        <v>594</v>
      </c>
    </row>
    <row r="60" spans="2:24" ht="13.8" x14ac:dyDescent="0.2">
      <c r="B60" s="8">
        <f t="shared" si="6"/>
      </c>
      <c r="C60" s="10">
        <v>55</v>
      </c>
      <c r="D60" t="s" s="13">
        <v>1400</v>
      </c>
      <c r="E60" s="11">
        <f t="shared" si="2"/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</c>
      <c r="L60" s="7">
        <v>0</v>
      </c>
      <c r="M60" s="11">
        <f t="shared" si="8"/>
      </c>
      <c r="N60" s="11">
        <f t="shared" si="9"/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>
        <f>IFERROR(CalcRC27(F60,G60,K60,O60,P60,Q60,R60,S60,T60,U60,V60),"-")</f>
      </c>
      <c r="X60" t="s" s="13">
        <v>1953</v>
      </c>
    </row>
    <row r="61" spans="2:24" ht="13.8" x14ac:dyDescent="0.2">
      <c r="B61" s="8">
        <f t="shared" si="6"/>
      </c>
      <c r="C61" s="10">
        <v>56</v>
      </c>
      <c r="D61" t="s" s="13">
        <v>1401</v>
      </c>
      <c r="E61" s="11">
        <f t="shared" si="2"/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</c>
      <c r="L61" s="7">
        <v>0</v>
      </c>
      <c r="M61" s="11">
        <f t="shared" si="8"/>
      </c>
      <c r="N61" s="11">
        <f t="shared" si="9"/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>
        <f>IFERROR(CalcRC27(F61,G61,K61,O61,P61,Q61,R61,S61,T61,U61,V61),"-")</f>
      </c>
      <c r="X61" t="s" s="13">
        <v>1424</v>
      </c>
    </row>
    <row r="62" spans="2:24" ht="13.8" x14ac:dyDescent="0.2">
      <c r="B62" s="8">
        <f t="shared" si="6"/>
      </c>
      <c r="C62" s="10">
        <v>57</v>
      </c>
      <c r="D62" t="s" s="13">
        <v>260</v>
      </c>
      <c r="E62" s="11">
        <f t="shared" si="2"/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</c>
      <c r="L62" s="7">
        <v>0</v>
      </c>
      <c r="M62" s="11">
        <f t="shared" si="8"/>
      </c>
      <c r="N62" s="11">
        <f t="shared" si="9"/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>
        <f>IFERROR(CalcRC27(F62,G62,K62,O62,P62,Q62,R62,S62,T62,U62,V62),"-")</f>
      </c>
      <c r="X62" t="s" s="13">
        <v>596</v>
      </c>
    </row>
    <row r="63" spans="2:24" ht="13.8" x14ac:dyDescent="0.2">
      <c r="B63" s="8">
        <f t="shared" si="6"/>
      </c>
      <c r="C63" s="10">
        <v>58</v>
      </c>
      <c r="D63" t="s" s="13">
        <v>653</v>
      </c>
      <c r="E63" s="11">
        <f t="shared" si="2"/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</c>
      <c r="L63" s="7">
        <v>0</v>
      </c>
      <c r="M63" s="11">
        <f t="shared" si="8"/>
      </c>
      <c r="N63" s="11">
        <f t="shared" si="9"/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>
        <f>IFERROR(CalcRC27(F63,G63,K63,O63,P63,Q63,R63,S63,T63,U63,V63),"-")</f>
      </c>
      <c r="X63" t="s" s="13">
        <v>659</v>
      </c>
    </row>
    <row r="64" spans="2:24" ht="13.8" x14ac:dyDescent="0.2">
      <c r="B64" s="8">
        <f t="shared" si="6"/>
      </c>
      <c r="C64" s="10">
        <v>59</v>
      </c>
      <c r="D64" t="s" s="13">
        <v>261</v>
      </c>
      <c r="E64" s="11">
        <f t="shared" si="2"/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</c>
      <c r="L64" s="7">
        <v>0</v>
      </c>
      <c r="M64" s="11">
        <f t="shared" si="8"/>
      </c>
      <c r="N64" s="11">
        <f t="shared" si="9"/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>
        <f>IFERROR(CalcRC27(F64,G64,K64,O64,P64,Q64,R64,S64,T64,U64,V64),"-")</f>
      </c>
      <c r="X64" t="s" s="13">
        <v>597</v>
      </c>
    </row>
    <row r="65" spans="2:24" ht="13.8" x14ac:dyDescent="0.2">
      <c r="B65" s="8">
        <f t="shared" si="6"/>
      </c>
      <c r="C65" s="10">
        <v>60</v>
      </c>
      <c r="D65" t="s" s="13">
        <v>1402</v>
      </c>
      <c r="E65" s="11">
        <f t="shared" si="2"/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</c>
      <c r="L65" s="7">
        <v>0</v>
      </c>
      <c r="M65" s="11">
        <f t="shared" si="8"/>
      </c>
      <c r="N65" s="11">
        <f t="shared" si="9"/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>
        <f>IFERROR(CalcRC27(F65,G65,K65,O65,P65,Q65,R65,S65,T65,U65,V65),"-")</f>
      </c>
      <c r="X65" t="s" s="13">
        <v>608</v>
      </c>
    </row>
    <row r="66" spans="2:24" ht="13.8" x14ac:dyDescent="0.2">
      <c r="B66" s="8">
        <f t="shared" si="6"/>
      </c>
      <c r="C66" s="10">
        <v>61</v>
      </c>
      <c r="D66" t="s" s="13">
        <v>654</v>
      </c>
      <c r="E66" s="11">
        <f t="shared" si="2"/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</c>
      <c r="L66" s="7">
        <v>0</v>
      </c>
      <c r="M66" s="11">
        <f t="shared" si="8"/>
      </c>
      <c r="N66" s="11">
        <f t="shared" si="9"/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>
        <f>IFERROR(CalcRC27(F66,G66,K66,O66,P66,Q66,R66,S66,T66,U66,V66),"-")</f>
      </c>
      <c r="X66" t="s" s="13">
        <v>660</v>
      </c>
    </row>
    <row r="67" spans="2:24" ht="13.8" x14ac:dyDescent="0.2">
      <c r="B67" s="8">
        <f t="shared" si="6"/>
      </c>
      <c r="C67" s="10">
        <v>62</v>
      </c>
      <c r="D67" t="s" s="13">
        <v>262</v>
      </c>
      <c r="E67" s="11">
        <f t="shared" si="2"/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</c>
      <c r="L67" s="7">
        <v>0</v>
      </c>
      <c r="M67" s="11">
        <f t="shared" si="8"/>
      </c>
      <c r="N67" s="11">
        <f t="shared" si="9"/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>
        <f>IFERROR(CalcRC27(F67,G67,K67,O67,P67,Q67,R67,S67,T67,U67,V67),"-")</f>
      </c>
      <c r="X67" t="s" s="13">
        <v>598</v>
      </c>
    </row>
    <row r="68" spans="2:24" ht="13.8" x14ac:dyDescent="0.2">
      <c r="B68" s="8">
        <f t="shared" si="6"/>
      </c>
      <c r="C68" s="10">
        <v>63</v>
      </c>
      <c r="D68" t="s" s="13">
        <v>1403</v>
      </c>
      <c r="E68" s="11">
        <f t="shared" si="2"/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7"/>
      </c>
      <c r="L68" s="7">
        <v>0</v>
      </c>
      <c r="M68" s="11">
        <f t="shared" si="8"/>
      </c>
      <c r="N68" s="11">
        <f t="shared" si="9"/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>
        <f>IFERROR(CalcRC27(F68,G68,K68,O68,P68,Q68,R68,S68,T68,U68,V68),"-")</f>
      </c>
      <c r="X68" t="s" s="13">
        <v>1425</v>
      </c>
    </row>
    <row r="69" spans="2:24" ht="13.8" x14ac:dyDescent="0.2">
      <c r="B69" s="8">
        <f t="shared" ref="B69:B132" si="10">IF(C69="","",C69)</f>
      </c>
      <c r="C69" s="10">
        <v>64</v>
      </c>
      <c r="D69" t="s" s="13">
        <v>655</v>
      </c>
      <c r="E69" s="11">
        <f t="shared" ref="E69:E132" si="11">IFERROR(IF(G69/F69=1,"1.00",G69/F69),"---")</f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</c>
      <c r="L69" s="7">
        <v>0</v>
      </c>
      <c r="M69" s="11">
        <f t="shared" ref="M69:M132" si="13">IFERROR(IF((G69+P69+Q69)/(F69+P69+Q69+S69)=1,"1.00",(G69+P69+Q69)/(F69+P69+Q69+S69)),0)</f>
      </c>
      <c r="N69" s="11">
        <f t="shared" ref="N69:N132" si="14">IFERROR(SUM(K69/F69,((G69+P69+Q69)/(F69+P69+Q69+S69))),M69)</f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>
        <f>IFERROR(CalcRC27(F69,G69,K69,O69,P69,Q69,R69,S69,T69,U69,V69),"-")</f>
      </c>
      <c r="X69" t="s" s="13">
        <v>661</v>
      </c>
    </row>
    <row r="70" spans="2:24" ht="13.8" x14ac:dyDescent="0.2">
      <c r="B70" s="8">
        <f t="shared" si="10"/>
      </c>
      <c r="C70" s="10">
        <v>65</v>
      </c>
      <c r="D70" t="s" s="13">
        <v>263</v>
      </c>
      <c r="E70" s="11">
        <f t="shared" si="11"/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</c>
      <c r="L70" s="7">
        <v>0</v>
      </c>
      <c r="M70" s="11">
        <f t="shared" si="13"/>
      </c>
      <c r="N70" s="11">
        <f t="shared" si="14"/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>
        <f>IFERROR(CalcRC27(F70,G70,K70,O70,P70,Q70,R70,S70,T70,U70,V70),"-")</f>
      </c>
      <c r="X70" t="s" s="13">
        <v>599</v>
      </c>
    </row>
    <row r="71" spans="2:24" ht="13.8" x14ac:dyDescent="0.2">
      <c r="B71" s="8">
        <f t="shared" si="10"/>
      </c>
      <c r="C71" s="10">
        <v>66</v>
      </c>
      <c r="D71" t="s" s="13">
        <v>1404</v>
      </c>
      <c r="E71" s="11">
        <f t="shared" si="11"/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</c>
      <c r="L71" s="7">
        <v>0</v>
      </c>
      <c r="M71" s="11">
        <f t="shared" si="13"/>
      </c>
      <c r="N71" s="11">
        <f t="shared" si="14"/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>
        <f>IFERROR(CalcRC27(F71,G71,K71,O71,P71,Q71,R71,S71,T71,U71,V71),"-")</f>
      </c>
      <c r="X71" t="s" s="13">
        <v>1426</v>
      </c>
    </row>
    <row r="72" spans="2:24" ht="13.8" x14ac:dyDescent="0.2">
      <c r="B72" s="8">
        <f t="shared" si="10"/>
      </c>
      <c r="C72" s="10">
        <v>67</v>
      </c>
      <c r="D72" t="s" s="13">
        <v>264</v>
      </c>
      <c r="E72" s="11">
        <f t="shared" si="11"/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</c>
      <c r="L72" s="7">
        <v>0</v>
      </c>
      <c r="M72" s="11">
        <f t="shared" si="13"/>
      </c>
      <c r="N72" s="11">
        <f t="shared" si="14"/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>
        <f>IFERROR(CalcRC27(F72,G72,K72,O72,P72,Q72,R72,S72,T72,U72,V72),"-")</f>
      </c>
      <c r="X72" t="s" s="13">
        <v>601</v>
      </c>
    </row>
    <row r="73" spans="2:24" ht="13.8" x14ac:dyDescent="0.2">
      <c r="B73" s="8">
        <f t="shared" si="10"/>
      </c>
      <c r="C73" s="10">
        <v>68</v>
      </c>
      <c r="D73" t="s" s="13">
        <v>1328</v>
      </c>
      <c r="E73" s="11">
        <f t="shared" si="11"/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</c>
      <c r="L73" s="7">
        <v>0</v>
      </c>
      <c r="M73" s="11">
        <f t="shared" si="13"/>
      </c>
      <c r="N73" s="11">
        <f t="shared" si="14"/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>
        <f>IFERROR(CalcRC27(F73,G73,K73,O73,P73,Q73,R73,S73,T73,U73,V73),"-")</f>
      </c>
      <c r="X73" t="s" s="13">
        <v>662</v>
      </c>
    </row>
    <row r="74" spans="2:24" ht="13.8" x14ac:dyDescent="0.2">
      <c r="B74" s="8">
        <f t="shared" si="10"/>
      </c>
      <c r="C74" s="10">
        <v>69</v>
      </c>
      <c r="D74" t="s" s="13">
        <v>265</v>
      </c>
      <c r="E74" s="11">
        <f t="shared" si="11"/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</c>
      <c r="L74" s="7">
        <v>0</v>
      </c>
      <c r="M74" s="11">
        <f t="shared" si="13"/>
      </c>
      <c r="N74" s="11">
        <f t="shared" si="14"/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>
        <f>IFERROR(CalcRC27(F74,G74,K74,O74,P74,Q74,R74,S74,T74,U74,V74),"-")</f>
      </c>
      <c r="X74" t="s" s="13">
        <v>602</v>
      </c>
    </row>
    <row r="75" spans="2:24" ht="13.8" x14ac:dyDescent="0.2">
      <c r="B75" s="8">
        <f t="shared" si="10"/>
      </c>
      <c r="C75" s="10">
        <v>70</v>
      </c>
      <c r="D75" s="13"/>
      <c r="E75" s="11">
        <f t="shared" si="11"/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</c>
      <c r="L75" s="7">
        <v>0</v>
      </c>
      <c r="M75" s="11">
        <f t="shared" si="13"/>
      </c>
      <c r="N75" s="11">
        <f t="shared" si="14"/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>
        <f>IFERROR(CalcRC27(F75,G75,K75,O75,P75,Q75,R75,S75,T75,U75,V75),"-")</f>
      </c>
      <c r="X75" s="13"/>
    </row>
    <row r="76" spans="2:24" ht="13.8" x14ac:dyDescent="0.2">
      <c r="B76" s="8">
        <f t="shared" si="10"/>
      </c>
      <c r="C76" s="10">
        <v>71</v>
      </c>
      <c r="D76" s="13"/>
      <c r="E76" s="11">
        <f t="shared" si="11"/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</c>
      <c r="L76" s="7">
        <v>0</v>
      </c>
      <c r="M76" s="11">
        <f t="shared" si="13"/>
      </c>
      <c r="N76" s="11">
        <f t="shared" si="14"/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>
        <f>IFERROR(CalcRC27(F76,G76,K76,O76,P76,Q76,R76,S76,T76,U76,V76),"-")</f>
      </c>
      <c r="X76" s="13"/>
    </row>
    <row r="77" spans="2:24" ht="13.8" x14ac:dyDescent="0.2">
      <c r="B77" s="8">
        <f t="shared" si="10"/>
      </c>
      <c r="C77" s="10">
        <v>72</v>
      </c>
      <c r="D77" s="13"/>
      <c r="E77" s="11">
        <f t="shared" si="11"/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</c>
      <c r="L77" s="7">
        <v>0</v>
      </c>
      <c r="M77" s="11">
        <f t="shared" si="13"/>
      </c>
      <c r="N77" s="11">
        <f t="shared" si="14"/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>
        <f>IFERROR(CalcRC27(F77,G77,K77,O77,P77,Q77,R77,S77,T77,U77,V77),"-")</f>
      </c>
      <c r="X77" s="13"/>
    </row>
    <row r="78" spans="2:24" ht="13.8" x14ac:dyDescent="0.2">
      <c r="B78" s="8">
        <f t="shared" si="10"/>
      </c>
      <c r="C78" s="10">
        <v>73</v>
      </c>
      <c r="D78" s="13"/>
      <c r="E78" s="11">
        <f t="shared" si="11"/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</c>
      <c r="L78" s="7">
        <v>0</v>
      </c>
      <c r="M78" s="11">
        <f t="shared" si="13"/>
      </c>
      <c r="N78" s="11">
        <f t="shared" si="14"/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>
        <f>IFERROR(CalcRC27(F78,G78,K78,O78,P78,Q78,R78,S78,T78,U78,V78),"-")</f>
      </c>
      <c r="X78" s="13"/>
    </row>
    <row r="79" spans="2:24" ht="13.8" x14ac:dyDescent="0.2">
      <c r="B79" s="8">
        <f t="shared" si="10"/>
      </c>
      <c r="C79" s="10">
        <v>74</v>
      </c>
      <c r="D79" s="13"/>
      <c r="E79" s="11">
        <f t="shared" si="11"/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</c>
      <c r="L79" s="7">
        <v>0</v>
      </c>
      <c r="M79" s="11">
        <f t="shared" si="13"/>
      </c>
      <c r="N79" s="11">
        <f t="shared" si="14"/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>
        <f>IFERROR(CalcRC27(F79,G79,K79,O79,P79,Q79,R79,S79,T79,U79,V79),"-")</f>
      </c>
      <c r="X79" s="13"/>
    </row>
    <row r="80" spans="2:24" ht="13.8" x14ac:dyDescent="0.2">
      <c r="B80" s="8">
        <f t="shared" si="10"/>
      </c>
      <c r="C80" s="10">
        <v>75</v>
      </c>
      <c r="D80" s="13"/>
      <c r="E80" s="11">
        <f t="shared" si="11"/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</c>
      <c r="L80" s="7">
        <v>0</v>
      </c>
      <c r="M80" s="11">
        <f t="shared" si="13"/>
      </c>
      <c r="N80" s="11">
        <f t="shared" si="14"/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>
        <f>IFERROR(CalcRC27(F80,G80,K80,O80,P80,Q80,R80,S80,T80,U80,V80),"-")</f>
      </c>
      <c r="X80" s="13"/>
    </row>
    <row r="81" spans="2:24" ht="13.8" x14ac:dyDescent="0.2">
      <c r="B81" s="8">
        <f t="shared" si="10"/>
      </c>
      <c r="C81" s="10">
        <v>76</v>
      </c>
      <c r="D81" s="13"/>
      <c r="E81" s="11">
        <f t="shared" si="11"/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</c>
      <c r="L81" s="7">
        <v>0</v>
      </c>
      <c r="M81" s="11">
        <f t="shared" si="13"/>
      </c>
      <c r="N81" s="11">
        <f t="shared" si="14"/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>
        <f>IFERROR(CalcRC27(F81,G81,K81,O81,P81,Q81,R81,S81,T81,U81,V81),"-")</f>
      </c>
      <c r="X81" s="13"/>
    </row>
    <row r="82" spans="2:24" ht="13.8" x14ac:dyDescent="0.2">
      <c r="B82" s="8">
        <f t="shared" si="10"/>
      </c>
      <c r="C82" s="10">
        <v>77</v>
      </c>
      <c r="D82" s="13"/>
      <c r="E82" s="11">
        <f t="shared" si="11"/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</c>
      <c r="L82" s="7">
        <v>0</v>
      </c>
      <c r="M82" s="11">
        <f t="shared" si="13"/>
      </c>
      <c r="N82" s="11">
        <f t="shared" si="14"/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>
        <f>IFERROR(CalcRC27(F82,G82,K82,O82,P82,Q82,R82,S82,T82,U82,V82),"-")</f>
      </c>
      <c r="X82" s="13"/>
    </row>
    <row r="83" spans="2:24" ht="13.8" x14ac:dyDescent="0.2">
      <c r="B83" s="8">
        <f t="shared" si="10"/>
      </c>
      <c r="C83" s="10">
        <v>78</v>
      </c>
      <c r="D83" s="13"/>
      <c r="E83" s="11">
        <f t="shared" si="11"/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</c>
      <c r="L83" s="7">
        <v>0</v>
      </c>
      <c r="M83" s="11">
        <f t="shared" si="13"/>
      </c>
      <c r="N83" s="11">
        <f t="shared" si="14"/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>
        <f>IFERROR(CalcRC27(F83,G83,K83,O83,P83,Q83,R83,S83,T83,U83,V83),"-")</f>
      </c>
      <c r="X83" s="13"/>
    </row>
    <row r="84" spans="2:24" ht="13.8" x14ac:dyDescent="0.2">
      <c r="B84" s="8">
        <f t="shared" si="10"/>
      </c>
      <c r="C84" s="10">
        <v>79</v>
      </c>
      <c r="D84" s="13"/>
      <c r="E84" s="11">
        <f t="shared" si="11"/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</c>
      <c r="L84" s="7">
        <v>0</v>
      </c>
      <c r="M84" s="11">
        <f t="shared" si="13"/>
      </c>
      <c r="N84" s="11">
        <f t="shared" si="14"/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>
        <f>IFERROR(CalcRC27(F84,G84,K84,O84,P84,Q84,R84,S84,T84,U84,V84),"-")</f>
      </c>
      <c r="X84" s="13"/>
    </row>
    <row r="85" spans="2:24" ht="13.8" x14ac:dyDescent="0.2">
      <c r="B85" s="8">
        <f t="shared" si="10"/>
      </c>
      <c r="C85" s="10">
        <v>80</v>
      </c>
      <c r="D85" s="13"/>
      <c r="E85" s="11">
        <f t="shared" si="11"/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</c>
      <c r="L85" s="7">
        <v>0</v>
      </c>
      <c r="M85" s="11">
        <f t="shared" si="13"/>
      </c>
      <c r="N85" s="11">
        <f t="shared" si="14"/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>
        <f>IFERROR(CalcRC27(F85,G85,K85,O85,P85,Q85,R85,S85,T85,U85,V85),"-")</f>
      </c>
      <c r="X85" s="13"/>
    </row>
    <row r="86" spans="2:24" ht="13.8" x14ac:dyDescent="0.2">
      <c r="B86" s="8">
        <f t="shared" si="10"/>
      </c>
      <c r="C86" s="10">
        <v>81</v>
      </c>
      <c r="D86" s="13"/>
      <c r="E86" s="11">
        <f t="shared" si="11"/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</c>
      <c r="L86" s="7">
        <v>0</v>
      </c>
      <c r="M86" s="11">
        <f t="shared" si="13"/>
      </c>
      <c r="N86" s="11">
        <f t="shared" si="14"/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>
        <f>IFERROR(CalcRC27(F86,G86,K86,O86,P86,Q86,R86,S86,T86,U86,V86),"-")</f>
      </c>
      <c r="X86" s="13"/>
    </row>
    <row r="87" spans="2:24" ht="13.8" x14ac:dyDescent="0.2">
      <c r="B87" s="8">
        <f t="shared" si="10"/>
      </c>
      <c r="C87" s="10">
        <v>82</v>
      </c>
      <c r="D87" s="13"/>
      <c r="E87" s="11">
        <f t="shared" si="11"/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</c>
      <c r="L87" s="7">
        <v>0</v>
      </c>
      <c r="M87" s="11">
        <f t="shared" si="13"/>
      </c>
      <c r="N87" s="11">
        <f t="shared" si="14"/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>
        <f>IFERROR(CalcRC27(F87,G87,K87,O87,P87,Q87,R87,S87,T87,U87,V87),"-")</f>
      </c>
      <c r="X87" s="13"/>
    </row>
    <row r="88" spans="2:24" ht="13.8" x14ac:dyDescent="0.2">
      <c r="B88" s="8">
        <f t="shared" si="10"/>
      </c>
      <c r="C88" s="10">
        <v>83</v>
      </c>
      <c r="D88" s="13"/>
      <c r="E88" s="11">
        <f t="shared" si="11"/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</c>
      <c r="L88" s="7">
        <v>0</v>
      </c>
      <c r="M88" s="11">
        <f t="shared" si="13"/>
      </c>
      <c r="N88" s="11">
        <f t="shared" si="14"/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>
        <f>IFERROR(CalcRC27(F88,G88,K88,O88,P88,Q88,R88,S88,T88,U88,V88),"-")</f>
      </c>
      <c r="X88" s="13"/>
    </row>
    <row r="89" spans="2:24" ht="13.8" x14ac:dyDescent="0.2">
      <c r="B89" s="8">
        <f t="shared" si="10"/>
      </c>
      <c r="C89" s="10">
        <v>84</v>
      </c>
      <c r="D89" s="13"/>
      <c r="E89" s="11">
        <f t="shared" si="11"/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</c>
      <c r="L89" s="7">
        <v>0</v>
      </c>
      <c r="M89" s="11">
        <f t="shared" si="13"/>
      </c>
      <c r="N89" s="11">
        <f t="shared" si="14"/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>
        <f>IFERROR(CalcRC27(F89,G89,K89,O89,P89,Q89,R89,S89,T89,U89,V89),"-")</f>
      </c>
      <c r="X89" s="13"/>
    </row>
    <row r="90" spans="2:24" ht="13.8" x14ac:dyDescent="0.2">
      <c r="B90" s="8">
        <f t="shared" si="10"/>
      </c>
      <c r="C90" s="10">
        <v>85</v>
      </c>
      <c r="D90" s="13"/>
      <c r="E90" s="11">
        <f t="shared" si="11"/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</c>
      <c r="L90" s="7">
        <v>0</v>
      </c>
      <c r="M90" s="11">
        <f t="shared" si="13"/>
      </c>
      <c r="N90" s="11">
        <f t="shared" si="14"/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>
        <f>IFERROR(CalcRC27(F90,G90,K90,O90,P90,Q90,R90,S90,T90,U90,V90),"-")</f>
      </c>
      <c r="X90" s="13"/>
    </row>
    <row r="91" spans="2:24" ht="13.8" x14ac:dyDescent="0.2">
      <c r="B91" s="8">
        <f t="shared" si="10"/>
      </c>
      <c r="C91" s="10">
        <v>86</v>
      </c>
      <c r="D91" s="13"/>
      <c r="E91" s="11">
        <f t="shared" si="11"/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</c>
      <c r="L91" s="7">
        <v>0</v>
      </c>
      <c r="M91" s="11">
        <f t="shared" si="13"/>
      </c>
      <c r="N91" s="11">
        <f t="shared" si="14"/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>
        <f>IFERROR(CalcRC27(F91,G91,K91,O91,P91,Q91,R91,S91,T91,U91,V91),"-")</f>
      </c>
      <c r="X91" s="13"/>
    </row>
    <row r="92" spans="2:24" ht="13.8" x14ac:dyDescent="0.2">
      <c r="B92" s="8">
        <f t="shared" si="10"/>
      </c>
      <c r="C92" s="10">
        <v>87</v>
      </c>
      <c r="D92" s="13"/>
      <c r="E92" s="11">
        <f t="shared" si="11"/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</c>
      <c r="L92" s="7">
        <v>0</v>
      </c>
      <c r="M92" s="11">
        <f t="shared" si="13"/>
      </c>
      <c r="N92" s="11">
        <f t="shared" si="14"/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>
        <f>IFERROR(CalcRC27(F92,G92,K92,O92,P92,Q92,R92,S92,T92,U92,V92),"-")</f>
      </c>
      <c r="X92" s="13"/>
    </row>
    <row r="93" spans="2:24" ht="13.8" x14ac:dyDescent="0.2">
      <c r="B93" s="8">
        <f t="shared" si="10"/>
      </c>
      <c r="C93" s="10">
        <v>88</v>
      </c>
      <c r="D93" s="13"/>
      <c r="E93" s="11">
        <f t="shared" si="11"/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</c>
      <c r="L93" s="7">
        <v>0</v>
      </c>
      <c r="M93" s="11">
        <f t="shared" si="13"/>
      </c>
      <c r="N93" s="11">
        <f t="shared" si="14"/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>
        <f>IFERROR(CalcRC27(F93,G93,K93,O93,P93,Q93,R93,S93,T93,U93,V93),"-")</f>
      </c>
      <c r="X93" s="13"/>
    </row>
    <row r="94" spans="2:24" ht="13.8" x14ac:dyDescent="0.2">
      <c r="B94" s="8">
        <f t="shared" si="10"/>
      </c>
      <c r="C94" s="10">
        <v>89</v>
      </c>
      <c r="D94" s="13"/>
      <c r="E94" s="11">
        <f t="shared" si="11"/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</c>
      <c r="L94" s="7">
        <v>0</v>
      </c>
      <c r="M94" s="11">
        <f t="shared" si="13"/>
      </c>
      <c r="N94" s="11">
        <f t="shared" si="14"/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>
        <f>IFERROR(CalcRC27(F94,G94,K94,O94,P94,Q94,R94,S94,T94,U94,V94),"-")</f>
      </c>
      <c r="X94" s="13"/>
    </row>
    <row r="95" spans="2:24" ht="13.8" x14ac:dyDescent="0.2">
      <c r="B95" s="8">
        <f t="shared" si="10"/>
      </c>
      <c r="C95" s="10">
        <v>90</v>
      </c>
      <c r="D95" s="13"/>
      <c r="E95" s="11">
        <f t="shared" si="11"/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</c>
      <c r="L95" s="7">
        <v>0</v>
      </c>
      <c r="M95" s="11">
        <f t="shared" si="13"/>
      </c>
      <c r="N95" s="11">
        <f t="shared" si="14"/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>
        <f>IFERROR(CalcRC27(F95,G95,K95,O95,P95,Q95,R95,S95,T95,U95,V95),"-")</f>
      </c>
      <c r="X95" s="13"/>
    </row>
    <row r="96" spans="2:24" ht="13.8" x14ac:dyDescent="0.2">
      <c r="B96" s="8">
        <f t="shared" si="10"/>
      </c>
      <c r="C96" s="10">
        <v>91</v>
      </c>
      <c r="D96" s="13"/>
      <c r="E96" s="11">
        <f t="shared" si="11"/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</c>
      <c r="L96" s="7">
        <v>0</v>
      </c>
      <c r="M96" s="11">
        <f t="shared" si="13"/>
      </c>
      <c r="N96" s="11">
        <f t="shared" si="14"/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>
        <f>IFERROR(CalcRC27(F96,G96,K96,O96,P96,Q96,R96,S96,T96,U96,V96),"-")</f>
      </c>
      <c r="X96" s="13"/>
    </row>
    <row r="97" spans="2:24" ht="13.8" x14ac:dyDescent="0.2">
      <c r="B97" s="8">
        <f t="shared" si="10"/>
      </c>
      <c r="C97" s="10">
        <v>92</v>
      </c>
      <c r="D97" s="13"/>
      <c r="E97" s="11">
        <f t="shared" si="11"/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</c>
      <c r="L97" s="7">
        <v>0</v>
      </c>
      <c r="M97" s="11">
        <f t="shared" si="13"/>
      </c>
      <c r="N97" s="11">
        <f t="shared" si="14"/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>
        <f>IFERROR(CalcRC27(F97,G97,K97,O97,P97,Q97,R97,S97,T97,U97,V97),"-")</f>
      </c>
      <c r="X97" s="13"/>
    </row>
    <row r="98" spans="2:24" ht="13.8" x14ac:dyDescent="0.2">
      <c r="B98" s="8">
        <f t="shared" si="10"/>
      </c>
      <c r="C98" s="10">
        <v>93</v>
      </c>
      <c r="D98" t="s" s="13">
        <v>1306</v>
      </c>
      <c r="E98" s="11">
        <f t="shared" si="11"/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</c>
      <c r="L98" s="7">
        <v>0</v>
      </c>
      <c r="M98" s="11">
        <f t="shared" si="13"/>
      </c>
      <c r="N98" s="11">
        <f t="shared" si="14"/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>
        <f>IFERROR(CalcRC27(F98,G98,K98,O98,P98,Q98,R98,S98,T98,U98,V98),"-")</f>
      </c>
      <c r="X98" t="s" s="13">
        <v>607</v>
      </c>
    </row>
    <row r="99" spans="2:24" ht="13.8" x14ac:dyDescent="0.2">
      <c r="B99" s="8">
        <f t="shared" si="10"/>
      </c>
      <c r="C99" s="10">
        <v>94</v>
      </c>
      <c r="D99" t="s" s="13">
        <v>266</v>
      </c>
      <c r="E99" s="11">
        <f t="shared" si="11"/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</c>
      <c r="L99" s="7">
        <v>0</v>
      </c>
      <c r="M99" s="11">
        <f t="shared" si="13"/>
      </c>
      <c r="N99" s="11">
        <f t="shared" si="14"/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>
        <f>IFERROR(CalcRC27(F99,G99,K99,O99,P99,Q99,R99,S99,T99,U99,V99),"-")</f>
      </c>
      <c r="X99" t="s" s="13">
        <v>603</v>
      </c>
    </row>
    <row r="100" spans="2:24" ht="13.8" x14ac:dyDescent="0.2">
      <c r="B100" s="8">
        <f t="shared" si="10"/>
      </c>
      <c r="C100" s="10">
        <v>95</v>
      </c>
      <c r="D100" t="s" s="13">
        <v>267</v>
      </c>
      <c r="E100" s="11">
        <f t="shared" si="11"/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</c>
      <c r="L100" s="7">
        <v>0</v>
      </c>
      <c r="M100" s="11">
        <f t="shared" si="13"/>
      </c>
      <c r="N100" s="11">
        <f t="shared" si="14"/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>
        <f>IFERROR(CalcRC27(F100,G100,K100,O100,P100,Q100,R100,S100,T100,U100,V100),"-")</f>
      </c>
      <c r="X100" t="s" s="13">
        <v>604</v>
      </c>
    </row>
    <row r="101" spans="2:24" ht="13.8" x14ac:dyDescent="0.2">
      <c r="B101" s="8">
        <f t="shared" si="10"/>
      </c>
      <c r="C101" s="10">
        <v>96</v>
      </c>
      <c r="D101" s="13"/>
      <c r="E101" s="11">
        <f t="shared" si="11"/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</c>
      <c r="L101" s="7">
        <v>0</v>
      </c>
      <c r="M101" s="11">
        <f t="shared" si="13"/>
      </c>
      <c r="N101" s="11">
        <f t="shared" si="14"/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>
        <f>IFERROR(CalcRC27(F101,G101,K101,O101,P101,Q101,R101,S101,T101,U101,V101),"-")</f>
      </c>
      <c r="X101" s="13"/>
    </row>
    <row r="102" spans="2:24" ht="13.8" x14ac:dyDescent="0.2">
      <c r="B102" s="8">
        <f t="shared" si="10"/>
      </c>
      <c r="C102" s="10">
        <v>97</v>
      </c>
      <c r="D102" t="s" s="13">
        <v>1405</v>
      </c>
      <c r="E102" s="11">
        <f t="shared" si="11"/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</c>
      <c r="L102" s="7">
        <v>0</v>
      </c>
      <c r="M102" s="11">
        <f t="shared" si="13"/>
      </c>
      <c r="N102" s="11">
        <f t="shared" si="14"/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>
        <f>IFERROR(CalcRC27(F102,G102,K102,O102,P102,Q102,R102,S102,T102,U102,V102),"-")</f>
      </c>
      <c r="X102" t="s" s="13">
        <v>1427</v>
      </c>
    </row>
    <row r="103" spans="2:24" ht="13.8" x14ac:dyDescent="0.2">
      <c r="B103" s="8">
        <f t="shared" si="10"/>
      </c>
      <c r="C103" s="10">
        <v>98</v>
      </c>
      <c r="D103" s="13"/>
      <c r="E103" s="11">
        <f t="shared" si="11"/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</c>
      <c r="L103" s="7">
        <v>0</v>
      </c>
      <c r="M103" s="11">
        <f t="shared" si="13"/>
      </c>
      <c r="N103" s="11">
        <f t="shared" si="14"/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</c>
      <c r="X103" s="13"/>
    </row>
    <row r="104" spans="2:24" ht="13.8" x14ac:dyDescent="0.2">
      <c r="B104" s="8">
        <f t="shared" si="10"/>
      </c>
      <c r="C104" s="10">
        <v>99</v>
      </c>
      <c r="D104" t="s" s="13">
        <v>1406</v>
      </c>
      <c r="E104" s="11">
        <f t="shared" si="11"/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</c>
      <c r="L104" s="7">
        <v>0</v>
      </c>
      <c r="M104" s="11">
        <f t="shared" si="13"/>
      </c>
      <c r="N104" s="11">
        <f t="shared" si="14"/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</c>
      <c r="X104" t="s" s="13">
        <v>1954</v>
      </c>
    </row>
    <row r="105" spans="2:24" ht="13.8" x14ac:dyDescent="0.2">
      <c r="B105" s="8">
        <f t="shared" si="10"/>
      </c>
      <c r="C105" s="10">
        <v>122</v>
      </c>
      <c r="D105" t="s" s="13">
        <v>1293</v>
      </c>
      <c r="E105" s="11">
        <f t="shared" si="11"/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</c>
      <c r="L105" s="7">
        <v>0</v>
      </c>
      <c r="M105" s="11">
        <f t="shared" si="13"/>
      </c>
      <c r="N105" s="11">
        <f t="shared" si="14"/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>
        <f>IFERROR(CalcRC27(F105,G105,K105,O105,P105,Q105,R105,S105,T105,U105,V105),"-")</f>
      </c>
      <c r="X105" t="s" s="13">
        <v>600</v>
      </c>
    </row>
    <row r="106" spans="2:24" ht="13.8" x14ac:dyDescent="0.2">
      <c r="B106" s="8">
        <f t="shared" si="10"/>
      </c>
      <c r="C106" s="10">
        <v>123</v>
      </c>
      <c r="D106" t="s" s="13">
        <v>1407</v>
      </c>
      <c r="E106" s="11">
        <f t="shared" si="11"/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</c>
      <c r="L106" s="7">
        <v>0</v>
      </c>
      <c r="M106" s="11">
        <f t="shared" si="13"/>
      </c>
      <c r="N106" s="11">
        <f t="shared" si="14"/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>
        <f>IFERROR(CalcRC27(F106,G106,K106,O106,P106,Q106,R106,S106,T106,U106,V106),"-")</f>
      </c>
      <c r="X106" t="s" s="13">
        <v>1428</v>
      </c>
    </row>
    <row r="107" spans="2:24" ht="13.8" x14ac:dyDescent="0.2">
      <c r="B107" s="8">
        <f t="shared" si="10"/>
      </c>
      <c r="C107" s="10">
        <v>125</v>
      </c>
      <c r="D107" t="s" s="13">
        <v>1408</v>
      </c>
      <c r="E107" s="11">
        <f t="shared" si="11"/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</c>
      <c r="L107" s="7">
        <v>0</v>
      </c>
      <c r="M107" s="11">
        <f t="shared" si="13"/>
      </c>
      <c r="N107" s="11">
        <f t="shared" si="14"/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>
        <f>IFERROR(CalcRC27(F107,G107,K107,O107,P107,Q107,R107,S107,T107,U107,V107),"-")</f>
      </c>
      <c r="X107" t="s" s="13">
        <v>663</v>
      </c>
    </row>
    <row r="108" spans="2:24" ht="13.8" x14ac:dyDescent="0.2">
      <c r="B108" s="8">
        <f t="shared" si="10"/>
      </c>
      <c r="C108" s="10">
        <v>126</v>
      </c>
      <c r="D108" t="s" s="13">
        <v>1409</v>
      </c>
      <c r="E108" s="11">
        <f t="shared" si="11"/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</c>
      <c r="L108" s="7">
        <v>0</v>
      </c>
      <c r="M108" s="11">
        <f t="shared" si="13"/>
      </c>
      <c r="N108" s="11">
        <f t="shared" si="14"/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>
        <f>IFERROR(CalcRC27(F108,G108,K108,O108,P108,Q108,R108,S108,T108,U108,V108),"-")</f>
      </c>
      <c r="X108" t="s" s="13">
        <v>1429</v>
      </c>
    </row>
    <row r="109" spans="2:24" ht="13.8" x14ac:dyDescent="0.2">
      <c r="B109" s="8">
        <f t="shared" si="10"/>
      </c>
      <c r="C109" s="10">
        <v>127</v>
      </c>
      <c r="D109" t="s" s="13">
        <v>1410</v>
      </c>
      <c r="E109" s="11">
        <f t="shared" si="11"/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</c>
      <c r="L109" s="7">
        <v>0</v>
      </c>
      <c r="M109" s="11">
        <f t="shared" si="13"/>
      </c>
      <c r="N109" s="11">
        <f t="shared" si="14"/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>
        <f>IFERROR(CalcRC27(F109,G109,K109,O109,P109,Q109,R109,S109,T109,U109,V109),"-")</f>
      </c>
      <c r="X109" t="s" s="13">
        <v>590</v>
      </c>
    </row>
    <row r="110" spans="2:24" ht="13.8" x14ac:dyDescent="0.2">
      <c r="B110" s="8">
        <f t="shared" si="10"/>
      </c>
      <c r="C110" s="10">
        <v>128</v>
      </c>
      <c r="D110" t="s" s="13">
        <v>1411</v>
      </c>
      <c r="E110" s="11">
        <f t="shared" si="11"/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</c>
      <c r="L110" s="7">
        <v>0</v>
      </c>
      <c r="M110" s="11">
        <f t="shared" si="13"/>
      </c>
      <c r="N110" s="11">
        <f t="shared" si="14"/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>
        <f>IFERROR(CalcRC27(F110,G110,K110,O110,P110,Q110,R110,S110,T110,U110,V110),"-")</f>
      </c>
      <c r="X110" t="s" s="13">
        <v>579</v>
      </c>
    </row>
    <row r="111" spans="2:24" ht="13.8" x14ac:dyDescent="0.2">
      <c r="B111" s="8">
        <f t="shared" si="10"/>
      </c>
      <c r="C111" s="10">
        <v>130</v>
      </c>
      <c r="D111" t="s" s="26">
        <v>1412</v>
      </c>
      <c r="E111" s="11">
        <f t="shared" si="11"/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</c>
      <c r="L111" s="7">
        <v>0</v>
      </c>
      <c r="M111" s="11">
        <f t="shared" si="13"/>
      </c>
      <c r="N111" s="11">
        <f t="shared" si="14"/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>
        <f>IFERROR(CalcRC27(F111,G111,K111,O111,P111,Q111,R111,S111,T111,U111,V111),"-")</f>
      </c>
      <c r="X111" t="s" s="13">
        <v>580</v>
      </c>
    </row>
    <row r="112" spans="2:24" ht="13.8" x14ac:dyDescent="0.2">
      <c r="B112" s="8">
        <f t="shared" si="10"/>
      </c>
      <c r="C112" s="10"/>
      <c r="D112" s="13"/>
      <c r="E112" s="11">
        <f t="shared" si="11"/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</c>
      <c r="L112" s="7">
        <v>0</v>
      </c>
      <c r="M112" s="11">
        <f t="shared" si="13"/>
      </c>
      <c r="N112" s="11">
        <f t="shared" si="14"/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>
        <f>IFERROR(CalcRC27(F112,G112,K112,O112,P112,Q112,R112,S112,T112,U112,V112),"-")</f>
      </c>
      <c r="X112" s="13"/>
    </row>
    <row r="113" spans="2:24" ht="13.8" x14ac:dyDescent="0.2">
      <c r="B113" s="8">
        <f t="shared" si="10"/>
      </c>
      <c r="C113" s="10"/>
      <c r="D113" s="13"/>
      <c r="E113" s="11">
        <f t="shared" si="11"/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</c>
      <c r="L113" s="7">
        <v>0</v>
      </c>
      <c r="M113" s="11">
        <f t="shared" si="13"/>
      </c>
      <c r="N113" s="11">
        <f t="shared" si="14"/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>
        <f>IFERROR(CalcRC27(F113,G113,K113,O113,P113,Q113,R113,S113,T113,U113,V113),"-")</f>
      </c>
      <c r="X113" s="13"/>
    </row>
    <row r="114" spans="2:24" ht="13.8" x14ac:dyDescent="0.2">
      <c r="B114" s="8">
        <f t="shared" si="10"/>
      </c>
      <c r="C114" s="10"/>
      <c r="D114" s="8"/>
      <c r="E114" s="11">
        <f t="shared" si="11"/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</c>
      <c r="L114" s="7">
        <v>0</v>
      </c>
      <c r="M114" s="11">
        <f t="shared" si="13"/>
      </c>
      <c r="N114" s="11">
        <f t="shared" si="14"/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>
        <f>IFERROR(CalcRC27(F114,G114,K114,O114,P114,Q114,R114,S114,T114,U114,V114),"-")</f>
      </c>
      <c r="X114" s="13"/>
    </row>
    <row r="115" spans="2:24" ht="13.8" x14ac:dyDescent="0.2">
      <c r="B115" s="8">
        <f t="shared" si="10"/>
      </c>
      <c r="C115" s="10"/>
      <c r="D115" s="26"/>
      <c r="E115" s="11">
        <f t="shared" si="11"/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</c>
      <c r="L115" s="7">
        <v>0</v>
      </c>
      <c r="M115" s="11">
        <f t="shared" si="13"/>
      </c>
      <c r="N115" s="11">
        <f t="shared" si="14"/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>
        <f>IFERROR(CalcRC27(F115,G115,K115,O115,P115,Q115,R115,S115,T115,U115,V115),"-")</f>
      </c>
      <c r="X115" s="13"/>
    </row>
    <row r="116" spans="2:24" ht="13.8" x14ac:dyDescent="0.2">
      <c r="B116" s="8">
        <f t="shared" si="10"/>
      </c>
      <c r="C116" s="10"/>
      <c r="D116" s="8"/>
      <c r="E116" s="11">
        <f t="shared" si="11"/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</c>
      <c r="L116" s="7">
        <v>0</v>
      </c>
      <c r="M116" s="11">
        <f t="shared" si="13"/>
      </c>
      <c r="N116" s="11">
        <f t="shared" si="14"/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>
        <f>IFERROR(CalcRC27(F116,G116,K116,O116,P116,Q116,R116,S116,T116,U116,V116),"-")</f>
      </c>
      <c r="X116" s="13"/>
    </row>
    <row r="117" spans="2:24" ht="13.8" x14ac:dyDescent="0.2">
      <c r="B117" s="8">
        <f t="shared" si="10"/>
      </c>
      <c r="C117" s="10"/>
      <c r="D117" s="8"/>
      <c r="E117" s="11">
        <f t="shared" si="11"/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</c>
      <c r="L117" s="7">
        <v>0</v>
      </c>
      <c r="M117" s="11">
        <f t="shared" si="13"/>
      </c>
      <c r="N117" s="11">
        <f t="shared" si="14"/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>
        <f>IFERROR(CalcRC27(F117,G117,K117,O117,P117,Q117,R117,S117,T117,U117,V117),"-")</f>
      </c>
      <c r="X117" s="13"/>
    </row>
    <row r="118" spans="2:24" ht="13.8" x14ac:dyDescent="0.2">
      <c r="B118" s="8">
        <f t="shared" si="10"/>
      </c>
      <c r="C118" s="10"/>
      <c r="D118" s="8"/>
      <c r="E118" s="11">
        <f t="shared" si="11"/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</c>
      <c r="L118" s="7">
        <v>0</v>
      </c>
      <c r="M118" s="11">
        <f t="shared" si="13"/>
      </c>
      <c r="N118" s="11">
        <f t="shared" si="14"/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>
        <f>IFERROR(CalcRC27(F118,G118,K118,O118,P118,Q118,R118,S118,T118,U118,V118),"-")</f>
      </c>
      <c r="X118" s="13"/>
    </row>
    <row r="119" spans="2:24" ht="13.8" x14ac:dyDescent="0.2">
      <c r="B119" s="8">
        <f t="shared" si="10"/>
      </c>
      <c r="C119" s="10"/>
      <c r="D119" s="8"/>
      <c r="E119" s="11">
        <f t="shared" si="11"/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</c>
      <c r="L119" s="7">
        <v>0</v>
      </c>
      <c r="M119" s="11">
        <f t="shared" si="13"/>
      </c>
      <c r="N119" s="11">
        <f t="shared" si="14"/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>
        <f>IFERROR(CalcRC27(F119,G119,K119,O119,P119,Q119,R119,S119,T119,U119,V119),"-")</f>
      </c>
      <c r="X119" s="13"/>
    </row>
    <row r="120" spans="2:24" ht="13.8" x14ac:dyDescent="0.2">
      <c r="B120" s="8">
        <f t="shared" si="10"/>
      </c>
      <c r="C120" s="10"/>
      <c r="D120" s="8"/>
      <c r="E120" s="11">
        <f t="shared" si="11"/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</c>
      <c r="L120" s="7">
        <v>0</v>
      </c>
      <c r="M120" s="11">
        <f t="shared" si="13"/>
      </c>
      <c r="N120" s="11">
        <f t="shared" si="14"/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>
        <f>IFERROR(CalcRC27(F120,G120,K120,O120,P120,Q120,R120,S120,T120,U120,V120),"-")</f>
      </c>
      <c r="X120" s="13"/>
    </row>
    <row r="121" spans="2:24" ht="13.8" x14ac:dyDescent="0.2">
      <c r="B121" s="8">
        <f t="shared" si="10"/>
      </c>
      <c r="C121" s="10"/>
      <c r="D121" s="8"/>
      <c r="E121" s="11">
        <f t="shared" si="11"/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</c>
      <c r="L121" s="7">
        <v>0</v>
      </c>
      <c r="M121" s="11">
        <f t="shared" si="13"/>
      </c>
      <c r="N121" s="11">
        <f t="shared" si="14"/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>
        <f>IFERROR(CalcRC27(F121,G121,K121,O121,P121,Q121,R121,S121,T121,U121,V121),"-")</f>
      </c>
      <c r="X121" s="13"/>
    </row>
    <row r="122" spans="2:24" ht="13.8" x14ac:dyDescent="0.2">
      <c r="B122" s="8">
        <f t="shared" si="10"/>
      </c>
      <c r="C122" s="10"/>
      <c r="D122" s="8"/>
      <c r="E122" s="11">
        <f t="shared" si="11"/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</c>
      <c r="L122" s="7">
        <v>0</v>
      </c>
      <c r="M122" s="11">
        <f t="shared" si="13"/>
      </c>
      <c r="N122" s="11">
        <f t="shared" si="14"/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>
        <f>IFERROR(CalcRC27(F122,G122,K122,O122,P122,Q122,R122,S122,T122,U122,V122),"-")</f>
      </c>
      <c r="X122" s="13"/>
    </row>
    <row r="123" spans="2:24" ht="13.8" x14ac:dyDescent="0.2">
      <c r="B123" s="8">
        <f t="shared" si="10"/>
      </c>
      <c r="C123" s="10"/>
      <c r="D123" s="8"/>
      <c r="E123" s="11">
        <f t="shared" si="11"/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</c>
      <c r="L123" s="7">
        <v>0</v>
      </c>
      <c r="M123" s="11">
        <f t="shared" si="13"/>
      </c>
      <c r="N123" s="11">
        <f t="shared" si="14"/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>
        <f>IFERROR(CalcRC27(F123,G123,K123,O123,P123,Q123,R123,S123,T123,U123,V123),"-")</f>
      </c>
      <c r="X123" s="13"/>
    </row>
    <row r="124" spans="2:24" ht="13.8" x14ac:dyDescent="0.2">
      <c r="B124" s="8">
        <f t="shared" si="10"/>
      </c>
      <c r="C124" s="10"/>
      <c r="D124" s="8"/>
      <c r="E124" s="11">
        <f t="shared" si="11"/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</c>
      <c r="L124" s="7">
        <v>0</v>
      </c>
      <c r="M124" s="11">
        <f t="shared" si="13"/>
      </c>
      <c r="N124" s="11">
        <f t="shared" si="14"/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>
        <f>IFERROR(CalcRC27(F124,G124,K124,O124,P124,Q124,R124,S124,T124,U124,V124),"-")</f>
      </c>
      <c r="X124" s="13"/>
    </row>
    <row r="125" spans="2:24" ht="13.8" x14ac:dyDescent="0.2">
      <c r="B125" s="8">
        <f t="shared" si="10"/>
      </c>
      <c r="C125" s="10"/>
      <c r="D125" s="8"/>
      <c r="E125" s="11">
        <f t="shared" si="11"/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</c>
      <c r="L125" s="7">
        <v>0</v>
      </c>
      <c r="M125" s="11">
        <f t="shared" si="13"/>
      </c>
      <c r="N125" s="11">
        <f t="shared" si="14"/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>
        <f>IFERROR(CalcRC27(F125,G125,K125,O125,P125,Q125,R125,S125,T125,U125,V125),"-")</f>
      </c>
      <c r="X125" s="13"/>
    </row>
    <row r="126" spans="2:24" ht="13.8" x14ac:dyDescent="0.2">
      <c r="B126" s="8">
        <f t="shared" si="10"/>
      </c>
      <c r="C126" s="10"/>
      <c r="D126" s="8"/>
      <c r="E126" s="11">
        <f t="shared" si="11"/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</c>
      <c r="L126" s="7">
        <v>0</v>
      </c>
      <c r="M126" s="11">
        <f t="shared" si="13"/>
      </c>
      <c r="N126" s="11">
        <f t="shared" si="14"/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>
        <f>IFERROR(CalcRC27(F126,G126,K126,O126,P126,Q126,R126,S126,T126,U126,V126),"-")</f>
      </c>
      <c r="X126" s="13"/>
    </row>
    <row r="127" spans="2:24" ht="13.8" x14ac:dyDescent="0.2">
      <c r="B127" s="8">
        <f t="shared" si="10"/>
      </c>
      <c r="C127" s="10"/>
      <c r="D127" s="8"/>
      <c r="E127" s="11">
        <f t="shared" si="11"/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</c>
      <c r="L127" s="7">
        <v>0</v>
      </c>
      <c r="M127" s="11">
        <f t="shared" si="13"/>
      </c>
      <c r="N127" s="11">
        <f t="shared" si="14"/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>
        <f>IFERROR(CalcRC27(F127,G127,K127,O127,P127,Q127,R127,S127,T127,U127,V127),"-")</f>
      </c>
      <c r="X127" s="13"/>
    </row>
    <row r="128" spans="2:24" ht="13.8" x14ac:dyDescent="0.2">
      <c r="B128" s="8">
        <f t="shared" si="10"/>
      </c>
      <c r="C128" s="10"/>
      <c r="D128" s="8"/>
      <c r="E128" s="11">
        <f t="shared" si="11"/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</c>
      <c r="L128" s="7">
        <v>0</v>
      </c>
      <c r="M128" s="11">
        <f t="shared" si="13"/>
      </c>
      <c r="N128" s="11">
        <f t="shared" si="14"/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>
        <f>IFERROR(CalcRC27(F128,G128,K128,O128,P128,Q128,R128,S128,T128,U128,V128),"-")</f>
      </c>
      <c r="X128" s="13"/>
    </row>
    <row r="129" spans="2:24" ht="13.8" x14ac:dyDescent="0.2">
      <c r="B129" s="8">
        <f t="shared" si="10"/>
      </c>
      <c r="C129" s="10"/>
      <c r="D129" s="8"/>
      <c r="E129" s="11">
        <f t="shared" si="11"/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</c>
      <c r="L129" s="7">
        <v>0</v>
      </c>
      <c r="M129" s="11">
        <f t="shared" si="13"/>
      </c>
      <c r="N129" s="11">
        <f t="shared" si="14"/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>
        <f>IFERROR(CalcRC27(F129,G129,K129,O129,P129,Q129,R129,S129,T129,U129,V129),"-")</f>
      </c>
      <c r="X129" s="13"/>
    </row>
    <row r="130" spans="2:24" ht="13.8" x14ac:dyDescent="0.2">
      <c r="B130" s="8">
        <f t="shared" si="10"/>
      </c>
      <c r="C130" s="10"/>
      <c r="D130" s="8"/>
      <c r="E130" s="11">
        <f t="shared" si="11"/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</c>
      <c r="L130" s="7">
        <v>0</v>
      </c>
      <c r="M130" s="11">
        <f t="shared" si="13"/>
      </c>
      <c r="N130" s="11">
        <f t="shared" si="14"/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>
        <f>IFERROR(CalcRC27(F130,G130,K130,O130,P130,Q130,R130,S130,T130,U130,V130),"-")</f>
      </c>
      <c r="X130" s="13"/>
    </row>
    <row r="131" spans="2:24" ht="13.8" x14ac:dyDescent="0.2">
      <c r="B131" s="8">
        <f t="shared" si="10"/>
      </c>
      <c r="C131" s="10"/>
      <c r="D131" s="8"/>
      <c r="E131" s="11">
        <f t="shared" si="11"/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</c>
      <c r="L131" s="7">
        <v>0</v>
      </c>
      <c r="M131" s="11">
        <f t="shared" si="13"/>
      </c>
      <c r="N131" s="11">
        <f t="shared" si="14"/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>
        <f>IFERROR(CalcRC27(F131,G131,K131,O131,P131,Q131,R131,S131,T131,U131,V131),"-")</f>
      </c>
      <c r="X131" s="13"/>
    </row>
    <row r="132" spans="2:24" ht="13.8" x14ac:dyDescent="0.2">
      <c r="B132" s="8">
        <f t="shared" si="10"/>
      </c>
      <c r="C132" s="10"/>
      <c r="D132" s="8"/>
      <c r="E132" s="11">
        <f t="shared" si="11"/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</c>
      <c r="L132" s="7">
        <v>0</v>
      </c>
      <c r="M132" s="11">
        <f t="shared" si="13"/>
      </c>
      <c r="N132" s="11">
        <f t="shared" si="14"/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>
        <f>IFERROR(CalcRC27(F132,G132,K132,O132,P132,Q132,R132,S132,T132,U132,V132),"-")</f>
      </c>
      <c r="X132" s="13"/>
    </row>
    <row r="133" spans="2:24" ht="13.8" x14ac:dyDescent="0.2">
      <c r="B133" s="8">
        <f t="shared" ref="B133:B134" si="15">IF(C133="","",C133)</f>
      </c>
      <c r="C133" s="10"/>
      <c r="D133" s="8"/>
      <c r="E133" s="11">
        <f t="shared" ref="E133:E134" si="16">IFERROR(IF(G133/F133=1,"1.00",G133/F133),"---")</f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</c>
      <c r="L133" s="7">
        <v>0</v>
      </c>
      <c r="M133" s="11">
        <f t="shared" ref="M133:M134" si="18">IFERROR(IF((G133+P133+Q133)/(F133+P133+Q133+S133)=1,"1.00",(G133+P133+Q133)/(F133+P133+Q133+S133)),0)</f>
      </c>
      <c r="N133" s="11">
        <f t="shared" ref="N133:N134" si="19">IFERROR(SUM(K133/F133,((G133+P133+Q133)/(F133+P133+Q133+S133))),M133)</f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>
        <f>IFERROR(CalcRC27(F133,G133,K133,O133,P133,Q133,R133,S133,T133,U133,V133),"-")</f>
      </c>
      <c r="X133" s="13"/>
    </row>
    <row r="134" spans="2:24" ht="13.8" x14ac:dyDescent="0.2">
      <c r="B134" s="8">
        <f t="shared" si="15"/>
      </c>
      <c r="C134" s="10"/>
      <c r="D134" s="8"/>
      <c r="E134" s="11">
        <f t="shared" si="16"/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</c>
      <c r="L134" s="7">
        <v>0</v>
      </c>
      <c r="M134" s="11">
        <f t="shared" si="18"/>
      </c>
      <c r="N134" s="11">
        <f t="shared" si="19"/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>
        <f>IFERROR(CalcRC27(F134,G134,K134,O134,P134,Q134,R134,S134,T134,U134,V134),"-")</f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A4619-1D9F-45E2-BE0F-8E4AF7E00A11}">
  <sheetPr codeName="Sheet7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2"/>
      <c r="C2" s="122"/>
      <c r="D2" s="122"/>
      <c r="E2" s="4">
        <f>IFERROR(G2/F2,0)</f>
      </c>
      <c r="F2" s="5">
        <f t="shared" ref="F2:L2" si="0">SUM(F4:F104)</f>
      </c>
      <c r="G2" s="5">
        <f t="shared" si="0"/>
      </c>
      <c r="H2" s="5">
        <f t="shared" si="0"/>
      </c>
      <c r="I2" s="5">
        <f t="shared" si="0"/>
      </c>
      <c r="J2" s="6">
        <f t="shared" si="0"/>
      </c>
      <c r="K2" s="12">
        <f t="shared" si="0"/>
      </c>
      <c r="L2" s="7">
        <f t="shared" si="0"/>
      </c>
      <c r="M2" s="11">
        <f>IFERROR(IF((G2+P2+Q2)/(F2+P2+Q2+R2)=1,"1.00",(G2+P2+Q2)/(F2+P2+Q2+R2)),0)</f>
      </c>
      <c r="N2" s="11">
        <f>IFERROR(SUM(SUM(((G2-H2-I2-J2)*1),H2*2,I2*3,J2*4)/F2,((G2+P2+Q2)/(F2+P2+Q2+R2))),M2)</f>
      </c>
      <c r="O2" s="5">
        <f>SUM(O4:O104)</f>
      </c>
      <c r="P2" s="5">
        <f>SUM(P4:P104)</f>
      </c>
      <c r="Q2" s="5">
        <f>SUM(Q4:Q104)</f>
      </c>
      <c r="R2" s="5">
        <f>SUM(R4:R104)</f>
      </c>
      <c r="S2" s="5">
        <f>SUM(S4:S104)</f>
      </c>
      <c r="T2" s="5">
        <f t="shared" ref="T2:V2" si="1">SUM(T4:T104)</f>
      </c>
      <c r="U2" s="5">
        <f t="shared" si="1"/>
      </c>
      <c r="V2" s="5">
        <f t="shared" si="1"/>
      </c>
      <c r="W2" s="20">
        <f>IFERROR(CalcRC27(F2,G2,K2,O2,P2,Q2,R2,S2,T2,U2,V2),"-")</f>
      </c>
      <c r="X2" t="s" s="121">
        <v>229</v>
      </c>
    </row>
    <row r="3" spans="2:24" x14ac:dyDescent="0.2">
      <c r="B3" t="s" s="55">
        <v>841</v>
      </c>
      <c r="C3" t="s" s="56">
        <v>1039</v>
      </c>
      <c r="D3" t="s" s="56">
        <v>1040</v>
      </c>
      <c r="E3" t="s" s="57">
        <v>56</v>
      </c>
      <c r="F3" t="s" s="58">
        <v>0</v>
      </c>
      <c r="G3" t="s" s="55">
        <v>1</v>
      </c>
      <c r="H3" t="s" s="55">
        <v>360</v>
      </c>
      <c r="I3" t="s" s="55">
        <v>361</v>
      </c>
      <c r="J3" t="s" s="59">
        <v>1041</v>
      </c>
      <c r="K3" t="s" s="55">
        <v>983</v>
      </c>
      <c r="L3" t="s" s="60">
        <v>2</v>
      </c>
      <c r="M3" t="s" s="61">
        <v>359</v>
      </c>
      <c r="N3" t="s" s="57">
        <v>362</v>
      </c>
      <c r="O3" t="s" s="62">
        <v>978</v>
      </c>
      <c r="P3" t="s" s="55">
        <v>234</v>
      </c>
      <c r="Q3" t="s" s="55">
        <v>235</v>
      </c>
      <c r="R3" t="s" s="55">
        <v>976</v>
      </c>
      <c r="S3" t="s" s="55">
        <v>977</v>
      </c>
      <c r="T3" t="s" s="55">
        <v>979</v>
      </c>
      <c r="U3" t="s" s="55">
        <v>980</v>
      </c>
      <c r="V3" t="s" s="55">
        <v>981</v>
      </c>
      <c r="W3" t="s" s="55">
        <v>982</v>
      </c>
      <c r="X3" s="121"/>
    </row>
    <row r="4" spans="2:24" ht="13.8" x14ac:dyDescent="0.2">
      <c r="B4" s="8">
        <f>IF(C4="","",C4)</f>
      </c>
      <c r="C4" t="s" s="10">
        <v>173</v>
      </c>
      <c r="D4" s="13"/>
      <c r="E4" s="11">
        <f t="shared" ref="E4:E68" si="2">IFERROR(IF(G4/F4=1,"1.00",G4/F4),"---")</f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</c>
      <c r="L4" s="7">
        <v>0</v>
      </c>
      <c r="M4" s="11">
        <f t="shared" ref="M4:M67" si="4">IFERROR(IF((G4+P4+Q4)/(F4+P4+Q4+S4)=1,"1.00",(G4+P4+Q4)/(F4+P4+Q4+S4)),0)</f>
      </c>
      <c r="N4" s="11">
        <f t="shared" ref="N4:N67" si="5">IFERROR(SUM(K4/F4,((G4+P4+Q4)/(F4+P4+Q4+S4))),M4)</f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>
        <f>IFERROR(CalcRC27(F4,G4,K4,O4,P4,Q4,R4,S4,T4,U4,V4),"-")</f>
      </c>
      <c r="X4" s="13"/>
    </row>
    <row r="5" spans="2:24" ht="13.8" x14ac:dyDescent="0.2">
      <c r="B5" s="8">
        <f t="shared" ref="B5:B68" si="6">IF(C5="","",C5)</f>
      </c>
      <c r="C5" s="10">
        <v>0</v>
      </c>
      <c r="D5" s="13"/>
      <c r="E5" s="11">
        <f t="shared" si="2"/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</c>
      <c r="L5" s="7">
        <v>0</v>
      </c>
      <c r="M5" s="11">
        <f t="shared" si="4"/>
      </c>
      <c r="N5" s="11">
        <f t="shared" si="5"/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>
        <f>IFERROR(CalcRC27(F5,G5,K5,O5,P5,Q5,R5,S5,T5,U5,V5),"-")</f>
      </c>
      <c r="X5" s="13"/>
    </row>
    <row r="6" spans="2:24" ht="13.8" x14ac:dyDescent="0.2">
      <c r="B6" s="8">
        <f t="shared" si="6"/>
      </c>
      <c r="C6" s="10">
        <v>1</v>
      </c>
      <c r="D6" t="s" s="13">
        <v>1430</v>
      </c>
      <c r="E6" s="11">
        <f t="shared" si="2"/>
      </c>
      <c r="F6" s="5">
        <v>1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</c>
      <c r="L6" s="7">
        <v>0</v>
      </c>
      <c r="M6" s="11">
        <f t="shared" si="4"/>
      </c>
      <c r="N6" s="11">
        <f t="shared" si="5"/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>
        <f>IFERROR(CalcRC27(F6,G6,K6,O6,P6,Q6,R6,S6,T6,U6,V6),"-")</f>
      </c>
      <c r="X6" t="s" s="13">
        <v>563</v>
      </c>
    </row>
    <row r="7" spans="2:24" ht="13.8" x14ac:dyDescent="0.2">
      <c r="B7" s="8">
        <f t="shared" si="6"/>
      </c>
      <c r="C7" s="10">
        <v>2</v>
      </c>
      <c r="D7" t="s" s="13">
        <v>1431</v>
      </c>
      <c r="E7" s="11">
        <f t="shared" si="2"/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</c>
      <c r="L7" s="7">
        <v>0</v>
      </c>
      <c r="M7" s="11">
        <f t="shared" si="4"/>
      </c>
      <c r="N7" s="11">
        <f t="shared" si="5"/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>
        <f>IFERROR(CalcRC27(F7,G7,K7,O7,P7,Q7,R7,S7,T7,U7,V7),"-")</f>
      </c>
      <c r="X7" t="s" s="13">
        <v>1478</v>
      </c>
    </row>
    <row r="8" spans="2:24" ht="13.8" x14ac:dyDescent="0.2">
      <c r="B8" s="8">
        <f t="shared" si="6"/>
      </c>
      <c r="C8" s="10">
        <v>3</v>
      </c>
      <c r="D8" t="s" s="13">
        <v>1199</v>
      </c>
      <c r="E8" s="11">
        <f t="shared" si="2"/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</c>
      <c r="L8" s="7">
        <v>0</v>
      </c>
      <c r="M8" s="11">
        <f t="shared" si="4"/>
      </c>
      <c r="N8" s="11">
        <f t="shared" si="5"/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>
        <f>IFERROR(CalcRC27(F8,G8,K8,O8,P8,Q8,R8,S8,T8,U8,V8),"-")</f>
      </c>
      <c r="X8" t="s" s="13">
        <v>539</v>
      </c>
    </row>
    <row r="9" spans="2:24" ht="13.8" x14ac:dyDescent="0.2">
      <c r="B9" s="8">
        <f t="shared" si="6"/>
      </c>
      <c r="C9" s="10">
        <v>4</v>
      </c>
      <c r="D9" t="s" s="13">
        <v>776</v>
      </c>
      <c r="E9" s="11">
        <f t="shared" si="2"/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</c>
      <c r="L9" s="7">
        <v>0</v>
      </c>
      <c r="M9" s="11">
        <f t="shared" si="4"/>
      </c>
      <c r="N9" s="11">
        <f t="shared" si="5"/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>
        <f>IFERROR(CalcRC27(F9,G9,K9,O9,P9,Q9,R9,S9,T9,U9,V9),"-")</f>
      </c>
      <c r="X9" t="s" s="13">
        <v>1479</v>
      </c>
    </row>
    <row r="10" spans="2:24" ht="13.8" x14ac:dyDescent="0.2">
      <c r="B10" s="8">
        <f t="shared" si="6"/>
      </c>
      <c r="C10" s="10">
        <v>5</v>
      </c>
      <c r="D10" t="s" s="13">
        <v>1432</v>
      </c>
      <c r="E10" s="11">
        <f t="shared" si="2"/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</c>
      <c r="L10" s="7">
        <v>0</v>
      </c>
      <c r="M10" s="11">
        <f t="shared" si="4"/>
      </c>
      <c r="N10" s="11">
        <f t="shared" si="5"/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>
        <f>IFERROR(CalcRC27(F10,G10,K10,O10,P10,Q10,R10,S10,T10,U10,V10),"-")</f>
      </c>
      <c r="X10" t="s" s="13">
        <v>1480</v>
      </c>
    </row>
    <row r="11" spans="2:24" ht="13.8" x14ac:dyDescent="0.2">
      <c r="B11" s="8">
        <f t="shared" si="6"/>
      </c>
      <c r="C11" s="10">
        <v>6</v>
      </c>
      <c r="D11" t="s" s="13">
        <v>1433</v>
      </c>
      <c r="E11" s="11">
        <f t="shared" si="2"/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</c>
      <c r="L11" s="7">
        <v>0</v>
      </c>
      <c r="M11" s="11">
        <f t="shared" si="4"/>
      </c>
      <c r="N11" s="11">
        <f t="shared" si="5"/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</c>
      <c r="X11" t="s" s="13">
        <v>1481</v>
      </c>
    </row>
    <row r="12" spans="2:24" ht="13.8" x14ac:dyDescent="0.2">
      <c r="B12" s="8">
        <f t="shared" si="6"/>
      </c>
      <c r="C12" s="10">
        <v>7</v>
      </c>
      <c r="D12" t="s" s="13">
        <v>35</v>
      </c>
      <c r="E12" s="11">
        <f t="shared" si="2"/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</c>
      <c r="L12" s="7">
        <v>0</v>
      </c>
      <c r="M12" s="11">
        <f t="shared" si="4"/>
      </c>
      <c r="N12" s="11">
        <f t="shared" si="5"/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>
        <f>IFERROR(CalcRC27(F12,G12,K12,O12,P12,Q12,R12,S12,T12,U12,V12),"-")</f>
      </c>
      <c r="X12" t="s" s="13">
        <v>541</v>
      </c>
    </row>
    <row r="13" spans="2:24" ht="13.8" x14ac:dyDescent="0.2">
      <c r="B13" s="8">
        <f t="shared" si="6"/>
      </c>
      <c r="C13" s="10">
        <v>8</v>
      </c>
      <c r="D13" t="s" s="13">
        <v>30</v>
      </c>
      <c r="E13" s="11">
        <f t="shared" si="2"/>
      </c>
      <c r="F13" s="5">
        <v>1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</c>
      <c r="L13" s="7">
        <v>0</v>
      </c>
      <c r="M13" s="11">
        <f t="shared" si="4"/>
      </c>
      <c r="N13" s="11">
        <f t="shared" si="5"/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</c>
      <c r="X13" t="s" s="13">
        <v>542</v>
      </c>
    </row>
    <row r="14" spans="2:24" ht="13.8" x14ac:dyDescent="0.2">
      <c r="B14" s="8">
        <f t="shared" si="6"/>
      </c>
      <c r="C14" s="10">
        <v>9</v>
      </c>
      <c r="D14" t="s" s="13">
        <v>1434</v>
      </c>
      <c r="E14" s="11">
        <f t="shared" si="2"/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</c>
      <c r="L14" s="7">
        <v>0</v>
      </c>
      <c r="M14" s="11">
        <f t="shared" si="4"/>
      </c>
      <c r="N14" s="11">
        <f t="shared" si="5"/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>
        <f>IFERROR(CalcRC27(F14,G14,K14,O14,P14,Q14,R14,S14,T14,U14,V14),"-")</f>
      </c>
      <c r="X14" t="s" s="13">
        <v>1482</v>
      </c>
    </row>
    <row r="15" spans="2:24" ht="13.8" x14ac:dyDescent="0.2">
      <c r="B15" s="8">
        <f t="shared" si="6"/>
      </c>
      <c r="C15" s="10">
        <v>10</v>
      </c>
      <c r="D15" s="13"/>
      <c r="E15" s="11">
        <f t="shared" si="2"/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</c>
      <c r="L15" s="7">
        <v>0</v>
      </c>
      <c r="M15" s="11">
        <f t="shared" si="4"/>
      </c>
      <c r="N15" s="11">
        <f t="shared" si="5"/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</c>
      <c r="X15" s="13"/>
    </row>
    <row r="16" spans="2:24" ht="13.8" x14ac:dyDescent="0.2">
      <c r="B16" s="8">
        <f t="shared" si="6"/>
      </c>
      <c r="C16" s="10">
        <v>11</v>
      </c>
      <c r="D16" t="s" s="13">
        <v>1348</v>
      </c>
      <c r="E16" s="11">
        <f t="shared" si="2"/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</c>
      <c r="L16" s="7">
        <v>0</v>
      </c>
      <c r="M16" s="11">
        <f t="shared" si="4"/>
      </c>
      <c r="N16" s="11">
        <f t="shared" si="5"/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</c>
      <c r="X16" t="s" s="13">
        <v>87</v>
      </c>
    </row>
    <row r="17" spans="2:24" ht="13.8" x14ac:dyDescent="0.2">
      <c r="B17" s="8">
        <f t="shared" si="6"/>
      </c>
      <c r="C17" s="10">
        <v>12</v>
      </c>
      <c r="D17" t="s" s="13">
        <v>8</v>
      </c>
      <c r="E17" s="11">
        <f t="shared" si="2"/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</c>
      <c r="L17" s="7">
        <v>0</v>
      </c>
      <c r="M17" s="11">
        <f t="shared" si="4"/>
      </c>
      <c r="N17" s="11">
        <f t="shared" si="5"/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>
        <f>IFERROR(CalcRC27(F17,G17,K17,O17,P17,Q17,R17,S17,T17,U17,V17),"-")</f>
      </c>
      <c r="X17" t="s" s="13">
        <v>543</v>
      </c>
    </row>
    <row r="18" spans="2:24" ht="13.8" x14ac:dyDescent="0.2">
      <c r="B18" s="8">
        <f t="shared" si="6"/>
      </c>
      <c r="C18" s="10">
        <v>13</v>
      </c>
      <c r="D18" t="s" s="13">
        <v>1304</v>
      </c>
      <c r="E18" s="11">
        <f t="shared" si="2"/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</c>
      <c r="L18" s="7">
        <v>0</v>
      </c>
      <c r="M18" s="11">
        <f t="shared" si="4"/>
      </c>
      <c r="N18" s="11">
        <f t="shared" si="5"/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>
        <f>IFERROR(CalcRC27(F18,G18,K18,O18,P18,Q18,R18,S18,T18,U18,V18),"-")</f>
      </c>
      <c r="X18" t="s" s="13">
        <v>544</v>
      </c>
    </row>
    <row r="19" spans="2:24" ht="13.8" x14ac:dyDescent="0.2">
      <c r="B19" s="8">
        <f t="shared" si="6"/>
      </c>
      <c r="C19" s="10">
        <v>14</v>
      </c>
      <c r="D19" t="s" s="13">
        <v>1435</v>
      </c>
      <c r="E19" s="11">
        <f t="shared" si="2"/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</c>
      <c r="L19" s="7">
        <v>0</v>
      </c>
      <c r="M19" s="11">
        <f t="shared" si="4"/>
      </c>
      <c r="N19" s="11">
        <f t="shared" si="5"/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>
        <f>IFERROR(CalcRC27(F19,G19,K19,O19,P19,Q19,R19,S19,T19,U19,V19),"-")</f>
      </c>
      <c r="X19" t="s" s="13">
        <v>1483</v>
      </c>
    </row>
    <row r="20" spans="2:24" ht="13.8" x14ac:dyDescent="0.2">
      <c r="B20" s="8">
        <f t="shared" si="6"/>
      </c>
      <c r="C20" s="10">
        <v>15</v>
      </c>
      <c r="D20" s="13"/>
      <c r="E20" s="11">
        <f t="shared" si="2"/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</c>
      <c r="L20" s="7">
        <v>0</v>
      </c>
      <c r="M20" s="11">
        <f t="shared" si="4"/>
      </c>
      <c r="N20" s="11">
        <f t="shared" si="5"/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>
        <f>IFERROR(CalcRC27(F20,G20,K20,O20,P20,Q20,R20,S20,T20,U20,V20),"-")</f>
      </c>
      <c r="X20" s="13"/>
    </row>
    <row r="21" spans="2:24" ht="13.8" x14ac:dyDescent="0.2">
      <c r="B21" s="8">
        <f t="shared" si="6"/>
      </c>
      <c r="C21" s="10">
        <v>16</v>
      </c>
      <c r="D21" s="13"/>
      <c r="E21" s="11">
        <f t="shared" si="2"/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</c>
      <c r="L21" s="7">
        <v>0</v>
      </c>
      <c r="M21" s="11">
        <f t="shared" si="4"/>
      </c>
      <c r="N21" s="11">
        <f t="shared" si="5"/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</c>
      <c r="X21" s="13"/>
    </row>
    <row r="22" spans="2:24" ht="13.8" x14ac:dyDescent="0.2">
      <c r="B22" s="8">
        <f t="shared" si="6"/>
      </c>
      <c r="C22" s="10">
        <v>17</v>
      </c>
      <c r="D22" t="s" s="13">
        <v>26</v>
      </c>
      <c r="E22" s="11">
        <f t="shared" si="2"/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</c>
      <c r="L22" s="7">
        <v>0</v>
      </c>
      <c r="M22" s="11">
        <f t="shared" si="4"/>
      </c>
      <c r="N22" s="11">
        <f t="shared" si="5"/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>
        <f>IFERROR(CalcRC27(F22,G22,K22,O22,P22,Q22,R22,S22,T22,U22,V22),"-")</f>
      </c>
      <c r="X22" t="s" s="13">
        <v>545</v>
      </c>
    </row>
    <row r="23" spans="2:24" ht="13.8" x14ac:dyDescent="0.2">
      <c r="B23" s="8">
        <f t="shared" si="6"/>
      </c>
      <c r="C23" s="10">
        <v>18</v>
      </c>
      <c r="D23" t="s" s="13">
        <v>192</v>
      </c>
      <c r="E23" s="11">
        <f t="shared" si="2"/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</c>
      <c r="L23" s="7">
        <v>0</v>
      </c>
      <c r="M23" s="11">
        <f t="shared" si="4"/>
      </c>
      <c r="N23" s="11">
        <f t="shared" si="5"/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</c>
      <c r="X23" t="s" s="13">
        <v>546</v>
      </c>
    </row>
    <row r="24" spans="2:24" ht="13.8" x14ac:dyDescent="0.2">
      <c r="B24" s="8">
        <f t="shared" si="6"/>
      </c>
      <c r="C24" s="10">
        <v>19</v>
      </c>
      <c r="D24" t="s" s="13">
        <v>1199</v>
      </c>
      <c r="E24" s="11">
        <f t="shared" si="2"/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</c>
      <c r="L24" s="7">
        <v>0</v>
      </c>
      <c r="M24" s="11">
        <f t="shared" si="4"/>
      </c>
      <c r="N24" s="11">
        <f t="shared" si="5"/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</c>
      <c r="X24" t="s" s="13">
        <v>547</v>
      </c>
    </row>
    <row r="25" spans="2:24" ht="13.8" x14ac:dyDescent="0.2">
      <c r="B25" s="8">
        <f t="shared" si="6"/>
      </c>
      <c r="C25" s="10">
        <v>20</v>
      </c>
      <c r="D25" t="s" s="13">
        <v>1436</v>
      </c>
      <c r="E25" s="11">
        <f t="shared" si="2"/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</c>
      <c r="L25" s="7">
        <v>0</v>
      </c>
      <c r="M25" s="11">
        <f t="shared" si="4"/>
      </c>
      <c r="N25" s="11">
        <f t="shared" si="5"/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>
        <f>IFERROR(CalcRC27(F25,G25,K25,O25,P25,Q25,R25,S25,T25,U25,V25),"-")</f>
      </c>
      <c r="X25" t="s" s="13">
        <v>371</v>
      </c>
    </row>
    <row r="26" spans="2:24" ht="13.8" x14ac:dyDescent="0.2">
      <c r="B26" s="8">
        <f t="shared" si="6"/>
      </c>
      <c r="C26" s="10">
        <v>21</v>
      </c>
      <c r="D26" s="13"/>
      <c r="E26" s="11">
        <f t="shared" si="2"/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</c>
      <c r="L26" s="7">
        <v>0</v>
      </c>
      <c r="M26" s="11">
        <f t="shared" si="4"/>
      </c>
      <c r="N26" s="11">
        <f t="shared" si="5"/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>
        <f>IFERROR(CalcRC27(F26,G26,K26,O26,P26,Q26,R26,S26,T26,U26,V26),"-")</f>
      </c>
      <c r="X26" s="13"/>
    </row>
    <row r="27" spans="2:24" ht="13.8" x14ac:dyDescent="0.2">
      <c r="B27" s="8">
        <f t="shared" si="6"/>
      </c>
      <c r="C27" s="10">
        <v>22</v>
      </c>
      <c r="D27" t="s" s="13">
        <v>52</v>
      </c>
      <c r="E27" s="11">
        <f t="shared" si="2"/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</c>
      <c r="L27" s="7">
        <v>0</v>
      </c>
      <c r="M27" s="11">
        <f t="shared" si="4"/>
      </c>
      <c r="N27" s="11">
        <f t="shared" si="5"/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>
        <f>IFERROR(CalcRC27(F27,G27,K27,O27,P27,Q27,R27,S27,T27,U27,V27),"-")</f>
      </c>
      <c r="X27" t="s" s="13">
        <v>1484</v>
      </c>
    </row>
    <row r="28" spans="2:24" ht="13.8" x14ac:dyDescent="0.2">
      <c r="B28" s="8">
        <f t="shared" si="6"/>
      </c>
      <c r="C28" s="10">
        <v>23</v>
      </c>
      <c r="D28" s="13"/>
      <c r="E28" s="11">
        <f t="shared" si="2"/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</c>
      <c r="L28" s="7">
        <v>0</v>
      </c>
      <c r="M28" s="11">
        <f t="shared" si="4"/>
      </c>
      <c r="N28" s="11">
        <f t="shared" si="5"/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>
        <f>IFERROR(CalcRC27(F28,G28,K28,O28,P28,Q28,R28,S28,T28,U28,V28),"-")</f>
      </c>
      <c r="X28" s="13"/>
    </row>
    <row r="29" spans="2:24" ht="13.8" x14ac:dyDescent="0.2">
      <c r="B29" s="8">
        <f t="shared" si="6"/>
      </c>
      <c r="C29" s="10">
        <v>24</v>
      </c>
      <c r="D29" t="s" s="13">
        <v>31</v>
      </c>
      <c r="E29" s="11">
        <f t="shared" si="2"/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</c>
      <c r="L29" s="7">
        <v>0</v>
      </c>
      <c r="M29" s="11">
        <f t="shared" si="4"/>
      </c>
      <c r="N29" s="11">
        <f t="shared" si="5"/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</c>
      <c r="X29" t="s" s="13">
        <v>549</v>
      </c>
    </row>
    <row r="30" spans="2:24" ht="13.8" x14ac:dyDescent="0.2">
      <c r="B30" s="8">
        <f t="shared" si="6"/>
      </c>
      <c r="C30" s="10">
        <v>25</v>
      </c>
      <c r="D30" t="s" s="13">
        <v>1437</v>
      </c>
      <c r="E30" s="11">
        <f t="shared" si="2"/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</c>
      <c r="L30" s="7">
        <v>0</v>
      </c>
      <c r="M30" s="11">
        <f t="shared" si="4"/>
      </c>
      <c r="N30" s="11">
        <f t="shared" si="5"/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</c>
      <c r="X30" t="s" s="13">
        <v>538</v>
      </c>
    </row>
    <row r="31" spans="2:24" ht="13.8" x14ac:dyDescent="0.2">
      <c r="B31" s="8">
        <f t="shared" si="6"/>
      </c>
      <c r="C31" s="10">
        <v>26</v>
      </c>
      <c r="D31" t="s" s="13">
        <v>777</v>
      </c>
      <c r="E31" s="11">
        <f t="shared" si="2"/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</c>
      <c r="L31" s="7">
        <v>0</v>
      </c>
      <c r="M31" s="11">
        <f t="shared" si="4"/>
      </c>
      <c r="N31" s="11">
        <f t="shared" si="5"/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>
        <f>IFERROR(CalcRC27(F31,G31,K31,O31,P31,Q31,R31,S31,T31,U31,V31),"-")</f>
      </c>
      <c r="X31" t="s" s="13">
        <v>1485</v>
      </c>
    </row>
    <row r="32" spans="2:24" ht="13.8" x14ac:dyDescent="0.2">
      <c r="B32" s="8">
        <f t="shared" si="6"/>
      </c>
      <c r="C32" s="10">
        <v>27</v>
      </c>
      <c r="D32" t="s" s="13">
        <v>1404</v>
      </c>
      <c r="E32" s="11">
        <f t="shared" si="2"/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</c>
      <c r="L32" s="7">
        <v>0</v>
      </c>
      <c r="M32" s="11">
        <f t="shared" si="4"/>
      </c>
      <c r="N32" s="11">
        <f t="shared" si="5"/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</c>
      <c r="X32" t="s" s="13">
        <v>1486</v>
      </c>
    </row>
    <row r="33" spans="2:24" ht="13.8" x14ac:dyDescent="0.2">
      <c r="B33" s="8">
        <f t="shared" si="6"/>
      </c>
      <c r="C33" s="10">
        <v>28</v>
      </c>
      <c r="D33" t="s" s="13">
        <v>1438</v>
      </c>
      <c r="E33" s="11">
        <f t="shared" si="2"/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</c>
      <c r="L33" s="7">
        <v>0</v>
      </c>
      <c r="M33" s="11">
        <f t="shared" si="4"/>
      </c>
      <c r="N33" s="11">
        <f t="shared" si="5"/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</c>
      <c r="X33" t="s" s="13">
        <v>550</v>
      </c>
    </row>
    <row r="34" spans="2:24" ht="13.8" x14ac:dyDescent="0.2">
      <c r="B34" s="8">
        <f t="shared" si="6"/>
      </c>
      <c r="C34" s="10">
        <v>29</v>
      </c>
      <c r="D34" t="s" s="13">
        <v>1439</v>
      </c>
      <c r="E34" s="11">
        <f t="shared" si="2"/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</c>
      <c r="L34" s="7">
        <v>0</v>
      </c>
      <c r="M34" s="11">
        <f t="shared" si="4"/>
      </c>
      <c r="N34" s="11">
        <f t="shared" si="5"/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>
        <f>IFERROR(CalcRC27(F34,G34,K34,O34,P34,Q34,R34,S34,T34,U34,V34),"-")</f>
      </c>
      <c r="X34" t="s" s="13">
        <v>1487</v>
      </c>
    </row>
    <row r="35" spans="2:24" ht="13.8" x14ac:dyDescent="0.2">
      <c r="B35" s="8">
        <f t="shared" si="6"/>
      </c>
      <c r="C35" s="10">
        <v>30</v>
      </c>
      <c r="D35" t="s" s="13">
        <v>3</v>
      </c>
      <c r="E35" s="11">
        <f t="shared" si="2"/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</c>
      <c r="L35" s="7">
        <v>0</v>
      </c>
      <c r="M35" s="11">
        <f t="shared" si="4"/>
      </c>
      <c r="N35" s="11">
        <f t="shared" si="5"/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>
        <f>IFERROR(CalcRC27(F35,G35,K35,O35,P35,Q35,R35,S35,T35,U35,V35),"-")</f>
      </c>
      <c r="X35" t="s" s="13">
        <v>551</v>
      </c>
    </row>
    <row r="36" spans="2:24" ht="13.8" x14ac:dyDescent="0.2">
      <c r="B36" s="8">
        <f t="shared" si="6"/>
      </c>
      <c r="C36" s="10">
        <v>31</v>
      </c>
      <c r="D36" t="s" s="13">
        <v>1440</v>
      </c>
      <c r="E36" s="11">
        <f t="shared" si="2"/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</c>
      <c r="L36" s="7">
        <v>0</v>
      </c>
      <c r="M36" s="11">
        <f t="shared" si="4"/>
      </c>
      <c r="N36" s="11">
        <f t="shared" si="5"/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>
        <f>IFERROR(CalcRC27(F36,G36,K36,O36,P36,Q36,R36,S36,T36,U36,V36),"-")</f>
      </c>
      <c r="X36" t="s" s="13">
        <v>1488</v>
      </c>
    </row>
    <row r="37" spans="2:24" ht="13.8" x14ac:dyDescent="0.2">
      <c r="B37" s="8">
        <f t="shared" si="6"/>
      </c>
      <c r="C37" s="10">
        <v>32</v>
      </c>
      <c r="D37" t="s" s="13">
        <v>32</v>
      </c>
      <c r="E37" s="11">
        <f t="shared" si="2"/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</c>
      <c r="L37" s="7">
        <v>0</v>
      </c>
      <c r="M37" s="11">
        <f t="shared" si="4"/>
      </c>
      <c r="N37" s="11">
        <f t="shared" si="5"/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>
        <f>IFERROR(CalcRC27(F37,G37,K37,O37,P37,Q37,R37,S37,T37,U37,V37),"-")</f>
      </c>
      <c r="X37" t="s" s="13">
        <v>552</v>
      </c>
    </row>
    <row r="38" spans="2:24" ht="13.8" x14ac:dyDescent="0.2">
      <c r="B38" s="8">
        <f t="shared" si="6"/>
      </c>
      <c r="C38" s="10">
        <v>33</v>
      </c>
      <c r="D38" t="s" s="13">
        <v>27</v>
      </c>
      <c r="E38" s="11">
        <f t="shared" si="2"/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</c>
      <c r="L38" s="7">
        <v>0</v>
      </c>
      <c r="M38" s="11">
        <f t="shared" si="4"/>
      </c>
      <c r="N38" s="11">
        <f t="shared" si="5"/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>
        <f>IFERROR(CalcRC27(F38,G38,K38,O38,P38,Q38,R38,S38,T38,U38,V38),"-")</f>
      </c>
      <c r="X38" t="s" s="13">
        <v>88</v>
      </c>
    </row>
    <row r="39" spans="2:24" ht="13.8" x14ac:dyDescent="0.2">
      <c r="B39" s="8">
        <f t="shared" si="6"/>
      </c>
      <c r="C39" s="10">
        <v>34</v>
      </c>
      <c r="D39" t="s" s="13">
        <v>34</v>
      </c>
      <c r="E39" s="11">
        <f t="shared" si="2"/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</c>
      <c r="L39" s="7">
        <v>0</v>
      </c>
      <c r="M39" s="11">
        <f t="shared" si="4"/>
      </c>
      <c r="N39" s="11">
        <f t="shared" si="5"/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>
        <f>IFERROR(CalcRC27(F39,G39,K39,O39,P39,Q39,R39,S39,T39,U39,V39),"-")</f>
      </c>
      <c r="X39" t="s" s="13">
        <v>553</v>
      </c>
    </row>
    <row r="40" spans="2:24" ht="13.8" x14ac:dyDescent="0.2">
      <c r="B40" s="8">
        <f t="shared" si="6"/>
      </c>
      <c r="C40" s="10">
        <v>35</v>
      </c>
      <c r="D40" t="s" s="13">
        <v>28</v>
      </c>
      <c r="E40" s="11">
        <f t="shared" si="2"/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</c>
      <c r="L40" s="7">
        <v>0</v>
      </c>
      <c r="M40" s="11">
        <f t="shared" si="4"/>
      </c>
      <c r="N40" s="11">
        <f t="shared" si="5"/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>
        <f>IFERROR(CalcRC27(F40,G40,K40,O40,P40,Q40,R40,S40,T40,U40,V40),"-")</f>
      </c>
      <c r="X40" t="s" s="13">
        <v>554</v>
      </c>
    </row>
    <row r="41" spans="2:24" ht="13.8" x14ac:dyDescent="0.2">
      <c r="B41" s="8">
        <f t="shared" si="6"/>
      </c>
      <c r="C41" s="10">
        <v>36</v>
      </c>
      <c r="D41" t="s" s="13">
        <v>1441</v>
      </c>
      <c r="E41" s="11">
        <f t="shared" si="2"/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</c>
      <c r="L41" s="7">
        <v>0</v>
      </c>
      <c r="M41" s="11">
        <f t="shared" si="4"/>
      </c>
      <c r="N41" s="11">
        <f t="shared" si="5"/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>
        <f>IFERROR(CalcRC27(F41,G41,K41,O41,P41,Q41,R41,S41,T41,U41,V41),"-")</f>
      </c>
      <c r="X41" t="s" s="13">
        <v>1489</v>
      </c>
    </row>
    <row r="42" spans="2:24" ht="13.8" x14ac:dyDescent="0.2">
      <c r="B42" s="8">
        <f t="shared" si="6"/>
      </c>
      <c r="C42" s="10">
        <v>37</v>
      </c>
      <c r="D42" t="s" s="13">
        <v>1442</v>
      </c>
      <c r="E42" s="11">
        <f t="shared" si="2"/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</c>
      <c r="L42" s="7">
        <v>0</v>
      </c>
      <c r="M42" s="11">
        <f t="shared" si="4"/>
      </c>
      <c r="N42" s="11">
        <f t="shared" si="5"/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>
        <f>IFERROR(CalcRC27(F42,G42,K42,O42,P42,Q42,R42,S42,T42,U42,V42),"-")</f>
      </c>
      <c r="X42" t="s" s="13">
        <v>1490</v>
      </c>
    </row>
    <row r="43" spans="2:24" ht="13.8" x14ac:dyDescent="0.2">
      <c r="B43" s="8">
        <f t="shared" si="6"/>
      </c>
      <c r="C43" s="10">
        <v>38</v>
      </c>
      <c r="D43" t="s" s="13">
        <v>53</v>
      </c>
      <c r="E43" s="11">
        <f t="shared" si="2"/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</c>
      <c r="L43" s="7">
        <v>0</v>
      </c>
      <c r="M43" s="11">
        <f t="shared" si="4"/>
      </c>
      <c r="N43" s="11">
        <f t="shared" si="5"/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>
        <f>IFERROR(CalcRC27(F43,G43,K43,O43,P43,Q43,R43,S43,T43,U43,V43),"-")</f>
      </c>
      <c r="X43" t="s" s="13">
        <v>555</v>
      </c>
    </row>
    <row r="44" spans="2:24" ht="13.8" x14ac:dyDescent="0.2">
      <c r="B44" s="8">
        <f t="shared" si="6"/>
      </c>
      <c r="C44" s="10">
        <v>39</v>
      </c>
      <c r="D44" t="s" s="13">
        <v>1443</v>
      </c>
      <c r="E44" s="11">
        <f t="shared" si="2"/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</c>
      <c r="L44" s="7">
        <v>0</v>
      </c>
      <c r="M44" s="11">
        <f t="shared" si="4"/>
      </c>
      <c r="N44" s="11">
        <f t="shared" si="5"/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>
        <f>IFERROR(CalcRC27(F44,G44,K44,O44,P44,Q44,R44,S44,T44,U44,V44),"-")</f>
      </c>
      <c r="X44" t="s" s="13">
        <v>1491</v>
      </c>
    </row>
    <row r="45" spans="2:24" ht="13.8" x14ac:dyDescent="0.2">
      <c r="B45" s="8">
        <f t="shared" si="6"/>
      </c>
      <c r="C45" s="10">
        <v>40</v>
      </c>
      <c r="D45" s="13"/>
      <c r="E45" s="11">
        <f t="shared" si="2"/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</c>
      <c r="L45" s="7">
        <v>0</v>
      </c>
      <c r="M45" s="11">
        <f t="shared" si="4"/>
      </c>
      <c r="N45" s="11">
        <f t="shared" si="5"/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>
        <f>IFERROR(CalcRC27(F45,G45,K45,O45,P45,Q45,R45,S45,T45,U45,V45),"-")</f>
      </c>
      <c r="X45" s="13"/>
    </row>
    <row r="46" spans="2:24" ht="13.8" x14ac:dyDescent="0.2">
      <c r="B46" s="8">
        <f t="shared" si="6"/>
      </c>
      <c r="C46" s="10">
        <v>41</v>
      </c>
      <c r="D46" t="s" s="13">
        <v>54</v>
      </c>
      <c r="E46" s="11">
        <f t="shared" si="2"/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</c>
      <c r="L46" s="7">
        <v>0</v>
      </c>
      <c r="M46" s="11">
        <f t="shared" si="4"/>
      </c>
      <c r="N46" s="11">
        <f t="shared" si="5"/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>
        <f>IFERROR(CalcRC27(F46,G46,K46,O46,P46,Q46,R46,S46,T46,U46,V46),"-")</f>
      </c>
      <c r="X46" t="s" s="13">
        <v>556</v>
      </c>
    </row>
    <row r="47" spans="2:24" ht="13.8" x14ac:dyDescent="0.2">
      <c r="B47" s="8">
        <f t="shared" si="6"/>
      </c>
      <c r="C47" s="10">
        <v>42</v>
      </c>
      <c r="D47" t="s" s="13">
        <v>1223</v>
      </c>
      <c r="E47" s="11">
        <f t="shared" si="2"/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</c>
      <c r="L47" s="7">
        <v>0</v>
      </c>
      <c r="M47" s="11">
        <f t="shared" si="4"/>
      </c>
      <c r="N47" s="11">
        <f t="shared" si="5"/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</c>
      <c r="X47" t="s" s="13">
        <v>1492</v>
      </c>
    </row>
    <row r="48" spans="2:24" ht="13.8" x14ac:dyDescent="0.2">
      <c r="B48" s="8">
        <f t="shared" si="6"/>
      </c>
      <c r="C48" s="10">
        <v>43</v>
      </c>
      <c r="D48" t="s" s="13">
        <v>778</v>
      </c>
      <c r="E48" s="11">
        <f t="shared" si="2"/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</c>
      <c r="L48" s="7">
        <v>0</v>
      </c>
      <c r="M48" s="11">
        <f t="shared" si="4"/>
      </c>
      <c r="N48" s="11">
        <f t="shared" si="5"/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>
        <f>IFERROR(CalcRC27(F48,G48,K48,O48,P48,Q48,R48,S48,T48,U48,V48),"-")</f>
      </c>
      <c r="X48" t="s" s="13">
        <v>1493</v>
      </c>
    </row>
    <row r="49" spans="2:24" ht="13.8" x14ac:dyDescent="0.2">
      <c r="B49" s="8">
        <f t="shared" si="6"/>
      </c>
      <c r="C49" s="10">
        <v>44</v>
      </c>
      <c r="D49" t="s" s="13">
        <v>1444</v>
      </c>
      <c r="E49" s="11">
        <f t="shared" si="2"/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</c>
      <c r="L49" s="7">
        <v>0</v>
      </c>
      <c r="M49" s="11">
        <f t="shared" si="4"/>
      </c>
      <c r="N49" s="11">
        <f t="shared" si="5"/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</c>
      <c r="X49" t="s" s="13">
        <v>497</v>
      </c>
    </row>
    <row r="50" spans="2:24" ht="13.8" x14ac:dyDescent="0.2">
      <c r="B50" s="8">
        <f t="shared" si="6"/>
      </c>
      <c r="C50" s="10">
        <v>45</v>
      </c>
      <c r="D50" t="s" s="13">
        <v>1445</v>
      </c>
      <c r="E50" s="11">
        <f t="shared" si="2"/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</c>
      <c r="L50" s="7">
        <v>0</v>
      </c>
      <c r="M50" s="11">
        <f t="shared" si="4"/>
      </c>
      <c r="N50" s="11">
        <f t="shared" si="5"/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>
        <f>IFERROR(CalcRC27(F50,G50,K50,O50,P50,Q50,R50,S50,T50,U50,V50),"-")</f>
      </c>
      <c r="X50" t="s" s="13">
        <v>1445</v>
      </c>
    </row>
    <row r="51" spans="2:24" ht="13.8" x14ac:dyDescent="0.2">
      <c r="B51" s="8">
        <f t="shared" si="6"/>
      </c>
      <c r="C51" s="10">
        <v>46</v>
      </c>
      <c r="D51" t="s" s="13">
        <v>1446</v>
      </c>
      <c r="E51" s="11">
        <f t="shared" si="2"/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</c>
      <c r="L51" s="7">
        <v>0</v>
      </c>
      <c r="M51" s="11">
        <f t="shared" si="4"/>
      </c>
      <c r="N51" s="11">
        <f t="shared" si="5"/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</c>
      <c r="X51" t="s" s="13">
        <v>1494</v>
      </c>
    </row>
    <row r="52" spans="2:24" ht="13.8" x14ac:dyDescent="0.2">
      <c r="B52" s="8">
        <f t="shared" si="6"/>
      </c>
      <c r="C52" s="10">
        <v>47</v>
      </c>
      <c r="D52" t="s" s="13">
        <v>1447</v>
      </c>
      <c r="E52" s="11">
        <f t="shared" si="2"/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</c>
      <c r="L52" s="7">
        <v>0</v>
      </c>
      <c r="M52" s="11">
        <f t="shared" si="4"/>
      </c>
      <c r="N52" s="11">
        <f t="shared" si="5"/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>
        <f>IFERROR(CalcRC27(F52,G52,K52,O52,P52,Q52,R52,S52,T52,U52,V52),"-")</f>
      </c>
      <c r="X52" t="s" s="13">
        <v>630</v>
      </c>
    </row>
    <row r="53" spans="2:24" ht="13.8" x14ac:dyDescent="0.2">
      <c r="B53" s="8">
        <f t="shared" si="6"/>
      </c>
      <c r="C53" s="10">
        <v>48</v>
      </c>
      <c r="D53" t="s" s="13">
        <v>1448</v>
      </c>
      <c r="E53" s="11">
        <f t="shared" si="2"/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</c>
      <c r="L53" s="7">
        <v>0</v>
      </c>
      <c r="M53" s="11">
        <f t="shared" si="4"/>
      </c>
      <c r="N53" s="11">
        <f t="shared" si="5"/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>
        <f>IFERROR(CalcRC27(F53,G53,K53,O53,P53,Q53,R53,S53,T53,U53,V53),"-")</f>
      </c>
      <c r="X53" t="s" s="13">
        <v>1495</v>
      </c>
    </row>
    <row r="54" spans="2:24" ht="13.8" x14ac:dyDescent="0.2">
      <c r="B54" s="8">
        <f t="shared" si="6"/>
      </c>
      <c r="C54" s="10">
        <v>49</v>
      </c>
      <c r="D54" t="s" s="13">
        <v>1449</v>
      </c>
      <c r="E54" s="11">
        <f t="shared" si="2"/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</c>
      <c r="L54" s="7">
        <v>0</v>
      </c>
      <c r="M54" s="11">
        <f t="shared" si="4"/>
      </c>
      <c r="N54" s="11">
        <f t="shared" si="5"/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</c>
      <c r="X54" t="s" s="13">
        <v>645</v>
      </c>
    </row>
    <row r="55" spans="2:24" ht="13.8" x14ac:dyDescent="0.2">
      <c r="B55" s="8">
        <f t="shared" si="6"/>
      </c>
      <c r="C55" s="10">
        <v>50</v>
      </c>
      <c r="D55" t="s" s="13">
        <v>1182</v>
      </c>
      <c r="E55" s="11">
        <f t="shared" si="2"/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</c>
      <c r="L55" s="7">
        <v>0</v>
      </c>
      <c r="M55" s="11">
        <f t="shared" si="4"/>
      </c>
      <c r="N55" s="11">
        <f t="shared" si="5"/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>
        <f>IFERROR(CalcRC27(F55,G55,K55,O55,P55,Q55,R55,S55,T55,U55,V55),"-")</f>
      </c>
      <c r="X55" t="s" s="13">
        <v>559</v>
      </c>
    </row>
    <row r="56" spans="2:24" ht="13.8" x14ac:dyDescent="0.2">
      <c r="B56" s="8">
        <f t="shared" si="6"/>
      </c>
      <c r="C56" s="10">
        <v>51</v>
      </c>
      <c r="D56" t="s" s="13">
        <v>1450</v>
      </c>
      <c r="E56" s="11">
        <f t="shared" si="2"/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</c>
      <c r="L56" s="7">
        <v>0</v>
      </c>
      <c r="M56" s="11">
        <f t="shared" si="4"/>
      </c>
      <c r="N56" s="11">
        <f t="shared" si="5"/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>
        <f>IFERROR(CalcRC27(F56,G56,K56,O56,P56,Q56,R56,S56,T56,U56,V56),"-")</f>
      </c>
      <c r="X56" t="s" s="13">
        <v>524</v>
      </c>
    </row>
    <row r="57" spans="2:24" ht="13.8" x14ac:dyDescent="0.2">
      <c r="B57" s="8">
        <f t="shared" si="6"/>
      </c>
      <c r="C57" s="10">
        <v>52</v>
      </c>
      <c r="D57" t="s" s="13">
        <v>641</v>
      </c>
      <c r="E57" s="11">
        <f t="shared" si="2"/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</c>
      <c r="L57" s="7">
        <v>0</v>
      </c>
      <c r="M57" s="11">
        <f t="shared" si="4"/>
      </c>
      <c r="N57" s="11">
        <f t="shared" si="5"/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>
        <f>IFERROR(CalcRC27(F57,G57,K57,O57,P57,Q57,R57,S57,T57,U57,V57),"-")</f>
      </c>
      <c r="X57" t="s" s="13">
        <v>1496</v>
      </c>
    </row>
    <row r="58" spans="2:24" ht="13.8" x14ac:dyDescent="0.2">
      <c r="B58" s="8">
        <f t="shared" si="6"/>
      </c>
      <c r="C58" s="10">
        <v>53</v>
      </c>
      <c r="D58" t="s" s="13">
        <v>1451</v>
      </c>
      <c r="E58" s="11">
        <f t="shared" si="2"/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</c>
      <c r="L58" s="7">
        <v>0</v>
      </c>
      <c r="M58" s="11">
        <f t="shared" si="4"/>
      </c>
      <c r="N58" s="11">
        <f t="shared" si="5"/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>
        <f>IFERROR(CalcRC27(F58,G58,K58,O58,P58,Q58,R58,S58,T58,U58,V58),"-")</f>
      </c>
      <c r="X58" t="s" s="13">
        <v>400</v>
      </c>
    </row>
    <row r="59" spans="2:24" ht="13.8" x14ac:dyDescent="0.2">
      <c r="B59" s="8">
        <f t="shared" si="6"/>
      </c>
      <c r="C59" s="10">
        <v>54</v>
      </c>
      <c r="D59" t="s" s="13">
        <v>33</v>
      </c>
      <c r="E59" s="11">
        <f t="shared" si="2"/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</c>
      <c r="L59" s="7">
        <v>0</v>
      </c>
      <c r="M59" s="11">
        <f t="shared" si="4"/>
      </c>
      <c r="N59" s="11">
        <f t="shared" si="5"/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>
        <f>IFERROR(CalcRC27(F59,G59,K59,O59,P59,Q59,R59,S59,T59,U59,V59),"-")</f>
      </c>
      <c r="X59" t="s" s="13">
        <v>560</v>
      </c>
    </row>
    <row r="60" spans="2:24" ht="13.8" x14ac:dyDescent="0.2">
      <c r="B60" s="8">
        <f t="shared" si="6"/>
      </c>
      <c r="C60" s="10">
        <v>55</v>
      </c>
      <c r="D60" t="s" s="13">
        <v>1477</v>
      </c>
      <c r="E60" s="11">
        <f t="shared" si="2"/>
      </c>
      <c r="F60" s="5">
        <v>1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</c>
      <c r="L60" s="7">
        <v>0</v>
      </c>
      <c r="M60" s="11">
        <f t="shared" si="4"/>
      </c>
      <c r="N60" s="11">
        <f t="shared" si="5"/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>
        <f>IFERROR(CalcRC27(F60,G60,K60,O60,P60,Q60,R60,S60,T60,U60,V60),"-")</f>
      </c>
      <c r="X60" t="s" s="13">
        <v>634</v>
      </c>
    </row>
    <row r="61" spans="2:24" ht="13.8" x14ac:dyDescent="0.2">
      <c r="B61" s="8">
        <f t="shared" si="6"/>
      </c>
      <c r="C61" s="10">
        <v>56</v>
      </c>
      <c r="D61" s="13"/>
      <c r="E61" s="11">
        <f t="shared" si="2"/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</c>
      <c r="L61" s="7">
        <v>0</v>
      </c>
      <c r="M61" s="11">
        <f t="shared" si="4"/>
      </c>
      <c r="N61" s="11">
        <f t="shared" si="5"/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>
        <f>IFERROR(CalcRC27(F61,G61,K61,O61,P61,Q61,R61,S61,T61,U61,V61),"-")</f>
      </c>
      <c r="X61" s="13"/>
    </row>
    <row r="62" spans="2:24" ht="13.8" x14ac:dyDescent="0.2">
      <c r="B62" s="8">
        <f t="shared" si="6"/>
      </c>
      <c r="C62" s="10">
        <v>57</v>
      </c>
      <c r="D62" t="s" s="13">
        <v>1452</v>
      </c>
      <c r="E62" s="11">
        <f t="shared" si="2"/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</c>
      <c r="L62" s="7">
        <v>0</v>
      </c>
      <c r="M62" s="11">
        <f t="shared" si="4"/>
      </c>
      <c r="N62" s="11">
        <f t="shared" si="5"/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>
        <f>IFERROR(CalcRC27(F62,G62,K62,O62,P62,Q62,R62,S62,T62,U62,V62),"-")</f>
      </c>
      <c r="X62" t="s" s="13">
        <v>1497</v>
      </c>
    </row>
    <row r="63" spans="2:24" ht="13.8" x14ac:dyDescent="0.2">
      <c r="B63" s="8">
        <f t="shared" si="6"/>
      </c>
      <c r="C63" s="10">
        <v>58</v>
      </c>
      <c r="D63" t="s" s="13">
        <v>55</v>
      </c>
      <c r="E63" s="11">
        <f t="shared" si="2"/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</c>
      <c r="L63" s="7">
        <v>0</v>
      </c>
      <c r="M63" s="11">
        <f t="shared" si="4"/>
      </c>
      <c r="N63" s="11">
        <f t="shared" si="5"/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>
        <f>IFERROR(CalcRC27(F63,G63,K63,O63,P63,Q63,R63,S63,T63,U63,V63),"-")</f>
      </c>
      <c r="X63" t="s" s="13">
        <v>561</v>
      </c>
    </row>
    <row r="64" spans="2:24" ht="13.8" x14ac:dyDescent="0.2">
      <c r="B64" s="8">
        <f t="shared" si="6"/>
      </c>
      <c r="C64" s="10">
        <v>59</v>
      </c>
      <c r="D64" t="s" s="13">
        <v>1453</v>
      </c>
      <c r="E64" s="11">
        <f t="shared" si="2"/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</c>
      <c r="L64" s="7">
        <v>0</v>
      </c>
      <c r="M64" s="11">
        <f t="shared" si="4"/>
      </c>
      <c r="N64" s="11">
        <f t="shared" si="5"/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>
        <f>IFERROR(CalcRC27(F64,G64,K64,O64,P64,Q64,R64,S64,T64,U64,V64),"-")</f>
      </c>
      <c r="X64" t="s" s="13">
        <v>421</v>
      </c>
    </row>
    <row r="65" spans="2:24" ht="13.8" x14ac:dyDescent="0.2">
      <c r="B65" s="8">
        <f t="shared" si="6"/>
      </c>
      <c r="C65" s="10">
        <v>60</v>
      </c>
      <c r="D65" t="s" s="13">
        <v>1295</v>
      </c>
      <c r="E65" s="11">
        <f t="shared" si="2"/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</c>
      <c r="L65" s="7">
        <v>0</v>
      </c>
      <c r="M65" s="11">
        <f t="shared" si="4"/>
      </c>
      <c r="N65" s="11">
        <f t="shared" si="5"/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>
        <f>IFERROR(CalcRC27(F65,G65,K65,O65,P65,Q65,R65,S65,T65,U65,V65),"-")</f>
      </c>
      <c r="X65" t="s" s="13">
        <v>565</v>
      </c>
    </row>
    <row r="66" spans="2:24" ht="13.8" x14ac:dyDescent="0.2">
      <c r="B66" s="8">
        <f t="shared" si="6"/>
      </c>
      <c r="C66" s="10">
        <v>61</v>
      </c>
      <c r="D66" s="13"/>
      <c r="E66" s="11">
        <f t="shared" si="2"/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</c>
      <c r="L66" s="7">
        <v>0</v>
      </c>
      <c r="M66" s="11">
        <f t="shared" si="4"/>
      </c>
      <c r="N66" s="11">
        <f t="shared" si="5"/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>
        <f>IFERROR(CalcRC27(F66,G66,K66,O66,P66,Q66,R66,S66,T66,U66,V66),"-")</f>
      </c>
      <c r="X66" s="13"/>
    </row>
    <row r="67" spans="2:24" ht="13.8" x14ac:dyDescent="0.2">
      <c r="B67" s="8">
        <f t="shared" si="6"/>
      </c>
      <c r="C67" s="10">
        <v>62</v>
      </c>
      <c r="D67" s="13"/>
      <c r="E67" s="11">
        <f t="shared" si="2"/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</c>
      <c r="L67" s="7">
        <v>0</v>
      </c>
      <c r="M67" s="11">
        <f t="shared" si="4"/>
      </c>
      <c r="N67" s="11">
        <f t="shared" si="5"/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>
        <f>IFERROR(CalcRC27(F67,G67,K67,O67,P67,Q67,R67,S67,T67,U67,V67),"-")</f>
      </c>
      <c r="X67" s="13"/>
    </row>
    <row r="68" spans="2:24" ht="13.8" x14ac:dyDescent="0.2">
      <c r="B68" s="8">
        <f t="shared" si="6"/>
      </c>
      <c r="C68" s="10">
        <v>63</v>
      </c>
      <c r="D68" s="13"/>
      <c r="E68" s="11">
        <f t="shared" si="2"/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</c>
      <c r="L68" s="7">
        <v>0</v>
      </c>
      <c r="M68" s="11">
        <f t="shared" ref="M68:M131" si="8">IFERROR(IF((G68+P68+Q68)/(F68+P68+Q68+S68)=1,"1.00",(G68+P68+Q68)/(F68+P68+Q68+S68)),0)</f>
      </c>
      <c r="N68" s="11">
        <f t="shared" ref="N68:N131" si="9">IFERROR(SUM(K68/F68,((G68+P68+Q68)/(F68+P68+Q68+S68))),M68)</f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>
        <f>IFERROR(CalcRC27(F68,G68,K68,O68,P68,Q68,R68,S68,T68,U68,V68),"-")</f>
      </c>
      <c r="X68" s="13"/>
    </row>
    <row r="69" spans="2:24" ht="13.8" x14ac:dyDescent="0.2">
      <c r="B69" s="8">
        <f t="shared" ref="B69:B132" si="10">IF(C69="","",C69)</f>
      </c>
      <c r="C69" s="10">
        <v>64</v>
      </c>
      <c r="D69" t="s" s="13">
        <v>1409</v>
      </c>
      <c r="E69" s="11">
        <f t="shared" ref="E69:E132" si="11">IFERROR(IF(G69/F69=1,"1.00",G69/F69),"---")</f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</c>
      <c r="L69" s="7">
        <v>0</v>
      </c>
      <c r="M69" s="11">
        <f t="shared" si="8"/>
      </c>
      <c r="N69" s="11">
        <f t="shared" si="9"/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>
        <f>IFERROR(CalcRC27(F69,G69,K69,O69,P69,Q69,R69,S69,T69,U69,V69),"-")</f>
      </c>
      <c r="X69" t="s" s="13">
        <v>1498</v>
      </c>
    </row>
    <row r="70" spans="2:24" ht="13.8" x14ac:dyDescent="0.2">
      <c r="B70" s="8">
        <f t="shared" si="10"/>
      </c>
      <c r="C70" s="10">
        <v>65</v>
      </c>
      <c r="D70" s="13"/>
      <c r="E70" s="11">
        <f t="shared" si="11"/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</c>
      <c r="L70" s="7">
        <v>0</v>
      </c>
      <c r="M70" s="11">
        <f t="shared" si="8"/>
      </c>
      <c r="N70" s="11">
        <f t="shared" si="9"/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>
        <f>IFERROR(CalcRC27(F70,G70,K70,O70,P70,Q70,R70,S70,T70,U70,V70),"-")</f>
      </c>
      <c r="X70" s="13"/>
    </row>
    <row r="71" spans="2:24" ht="13.8" x14ac:dyDescent="0.2">
      <c r="B71" s="8">
        <f t="shared" si="10"/>
      </c>
      <c r="C71" s="10">
        <v>66</v>
      </c>
      <c r="D71" t="s" s="13">
        <v>89</v>
      </c>
      <c r="E71" s="11">
        <f t="shared" si="11"/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</c>
      <c r="L71" s="7">
        <v>0</v>
      </c>
      <c r="M71" s="11">
        <f t="shared" si="8"/>
      </c>
      <c r="N71" s="11">
        <f t="shared" si="9"/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>
        <f>IFERROR(CalcRC27(F71,G71,K71,O71,P71,Q71,R71,S71,T71,U71,V71),"-")</f>
      </c>
      <c r="X71" t="s" s="13">
        <v>1955</v>
      </c>
    </row>
    <row r="72" spans="2:24" ht="13.8" x14ac:dyDescent="0.2">
      <c r="B72" s="8">
        <f t="shared" si="10"/>
      </c>
      <c r="C72" s="10">
        <v>67</v>
      </c>
      <c r="D72" t="s" s="13">
        <v>1454</v>
      </c>
      <c r="E72" s="11">
        <f t="shared" si="11"/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</c>
      <c r="L72" s="7">
        <v>0</v>
      </c>
      <c r="M72" s="11">
        <f t="shared" si="8"/>
      </c>
      <c r="N72" s="11">
        <f t="shared" si="9"/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>
        <f>IFERROR(CalcRC27(F72,G72,K72,O72,P72,Q72,R72,S72,T72,U72,V72),"-")</f>
      </c>
      <c r="X72" t="s" s="13">
        <v>1499</v>
      </c>
    </row>
    <row r="73" spans="2:24" ht="13.8" x14ac:dyDescent="0.2">
      <c r="B73" s="8">
        <f t="shared" si="10"/>
      </c>
      <c r="C73" s="10">
        <v>68</v>
      </c>
      <c r="D73" t="s" s="13">
        <v>1455</v>
      </c>
      <c r="E73" s="11">
        <f t="shared" si="11"/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</c>
      <c r="L73" s="7">
        <v>0</v>
      </c>
      <c r="M73" s="11">
        <f t="shared" si="8"/>
      </c>
      <c r="N73" s="11">
        <f t="shared" si="9"/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>
        <f>IFERROR(CalcRC27(F73,G73,K73,O73,P73,Q73,R73,S73,T73,U73,V73),"-")</f>
      </c>
      <c r="X73" t="s" s="13">
        <v>1500</v>
      </c>
    </row>
    <row r="74" spans="2:24" ht="13.8" x14ac:dyDescent="0.2">
      <c r="B74" s="8">
        <f t="shared" si="10"/>
      </c>
      <c r="C74" s="10">
        <v>69</v>
      </c>
      <c r="D74" s="13"/>
      <c r="E74" s="11">
        <f t="shared" si="11"/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</c>
      <c r="L74" s="7">
        <v>0</v>
      </c>
      <c r="M74" s="11">
        <f t="shared" si="8"/>
      </c>
      <c r="N74" s="11">
        <f t="shared" si="9"/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>
        <f>IFERROR(CalcRC27(F74,G74,K74,O74,P74,Q74,R74,S74,T74,U74,V74),"-")</f>
      </c>
      <c r="X74" s="13"/>
    </row>
    <row r="75" spans="2:24" ht="13.8" x14ac:dyDescent="0.2">
      <c r="B75" s="8">
        <f t="shared" si="10"/>
      </c>
      <c r="C75" s="10">
        <v>70</v>
      </c>
      <c r="D75" s="13"/>
      <c r="E75" s="11">
        <f t="shared" si="11"/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</c>
      <c r="L75" s="7">
        <v>0</v>
      </c>
      <c r="M75" s="11">
        <f t="shared" si="8"/>
      </c>
      <c r="N75" s="11">
        <f t="shared" si="9"/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>
        <f>IFERROR(CalcRC27(F75,G75,K75,O75,P75,Q75,R75,S75,T75,U75,V75),"-")</f>
      </c>
      <c r="X75" s="13"/>
    </row>
    <row r="76" spans="2:24" ht="13.8" x14ac:dyDescent="0.2">
      <c r="B76" s="8">
        <f t="shared" si="10"/>
      </c>
      <c r="C76" s="10">
        <v>71</v>
      </c>
      <c r="D76" s="13"/>
      <c r="E76" s="11">
        <f t="shared" si="11"/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</c>
      <c r="L76" s="7">
        <v>0</v>
      </c>
      <c r="M76" s="11">
        <f t="shared" si="8"/>
      </c>
      <c r="N76" s="11">
        <f t="shared" si="9"/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>
        <f>IFERROR(CalcRC27(F76,G76,K76,O76,P76,Q76,R76,S76,T76,U76,V76),"-")</f>
      </c>
      <c r="X76" s="13"/>
    </row>
    <row r="77" spans="2:24" ht="13.8" x14ac:dyDescent="0.2">
      <c r="B77" s="8">
        <f t="shared" si="10"/>
      </c>
      <c r="C77" s="10">
        <v>72</v>
      </c>
      <c r="D77" s="13"/>
      <c r="E77" s="11">
        <f t="shared" si="11"/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</c>
      <c r="L77" s="7">
        <v>0</v>
      </c>
      <c r="M77" s="11">
        <f t="shared" si="8"/>
      </c>
      <c r="N77" s="11">
        <f t="shared" si="9"/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>
        <f>IFERROR(CalcRC27(F77,G77,K77,O77,P77,Q77,R77,S77,T77,U77,V77),"-")</f>
      </c>
      <c r="X77" s="13"/>
    </row>
    <row r="78" spans="2:24" ht="13.8" x14ac:dyDescent="0.2">
      <c r="B78" s="8">
        <f t="shared" si="10"/>
      </c>
      <c r="C78" s="10">
        <v>73</v>
      </c>
      <c r="D78" s="13"/>
      <c r="E78" s="11">
        <f t="shared" si="11"/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</c>
      <c r="L78" s="7">
        <v>0</v>
      </c>
      <c r="M78" s="11">
        <f t="shared" si="8"/>
      </c>
      <c r="N78" s="11">
        <f t="shared" si="9"/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>
        <f>IFERROR(CalcRC27(F78,G78,K78,O78,P78,Q78,R78,S78,T78,U78,V78),"-")</f>
      </c>
      <c r="X78" s="13"/>
    </row>
    <row r="79" spans="2:24" ht="13.8" x14ac:dyDescent="0.2">
      <c r="B79" s="8">
        <f t="shared" si="10"/>
      </c>
      <c r="C79" s="10">
        <v>74</v>
      </c>
      <c r="D79" s="13"/>
      <c r="E79" s="11">
        <f t="shared" si="11"/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</c>
      <c r="L79" s="7">
        <v>0</v>
      </c>
      <c r="M79" s="11">
        <f t="shared" si="8"/>
      </c>
      <c r="N79" s="11">
        <f t="shared" si="9"/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>
        <f>IFERROR(CalcRC27(F79,G79,K79,O79,P79,Q79,R79,S79,T79,U79,V79),"-")</f>
      </c>
      <c r="X79" s="13"/>
    </row>
    <row r="80" spans="2:24" ht="13.8" x14ac:dyDescent="0.2">
      <c r="B80" s="8">
        <f t="shared" si="10"/>
      </c>
      <c r="C80" s="10">
        <v>75</v>
      </c>
      <c r="D80" s="13"/>
      <c r="E80" s="11">
        <f t="shared" si="11"/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</c>
      <c r="L80" s="7">
        <v>0</v>
      </c>
      <c r="M80" s="11">
        <f t="shared" si="8"/>
      </c>
      <c r="N80" s="11">
        <f t="shared" si="9"/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>
        <f>IFERROR(CalcRC27(F80,G80,K80,O80,P80,Q80,R80,S80,T80,U80,V80),"-")</f>
      </c>
      <c r="X80" s="13"/>
    </row>
    <row r="81" spans="2:24" ht="13.8" x14ac:dyDescent="0.2">
      <c r="B81" s="8">
        <f t="shared" si="10"/>
      </c>
      <c r="C81" s="10">
        <v>76</v>
      </c>
      <c r="D81" s="13"/>
      <c r="E81" s="11">
        <f t="shared" si="11"/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</c>
      <c r="L81" s="7">
        <v>0</v>
      </c>
      <c r="M81" s="11">
        <f t="shared" si="8"/>
      </c>
      <c r="N81" s="11">
        <f t="shared" si="9"/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>
        <f>IFERROR(CalcRC27(F81,G81,K81,O81,P81,Q81,R81,S81,T81,U81,V81),"-")</f>
      </c>
      <c r="X81" s="13"/>
    </row>
    <row r="82" spans="2:24" ht="13.8" x14ac:dyDescent="0.2">
      <c r="B82" s="8">
        <f t="shared" si="10"/>
      </c>
      <c r="C82" s="10">
        <v>77</v>
      </c>
      <c r="D82" s="13"/>
      <c r="E82" s="11">
        <f t="shared" si="11"/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</c>
      <c r="L82" s="7">
        <v>0</v>
      </c>
      <c r="M82" s="11">
        <f t="shared" si="8"/>
      </c>
      <c r="N82" s="11">
        <f t="shared" si="9"/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>
        <f>IFERROR(CalcRC27(F82,G82,K82,O82,P82,Q82,R82,S82,T82,U82,V82),"-")</f>
      </c>
      <c r="X82" s="13"/>
    </row>
    <row r="83" spans="2:24" ht="13.8" x14ac:dyDescent="0.2">
      <c r="B83" s="8">
        <f t="shared" si="10"/>
      </c>
      <c r="C83" s="10">
        <v>78</v>
      </c>
      <c r="D83" s="13"/>
      <c r="E83" s="11">
        <f t="shared" si="11"/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</c>
      <c r="L83" s="7">
        <v>0</v>
      </c>
      <c r="M83" s="11">
        <f t="shared" si="8"/>
      </c>
      <c r="N83" s="11">
        <f t="shared" si="9"/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>
        <f>IFERROR(CalcRC27(F83,G83,K83,O83,P83,Q83,R83,S83,T83,U83,V83),"-")</f>
      </c>
      <c r="X83" s="13"/>
    </row>
    <row r="84" spans="2:24" ht="13.8" x14ac:dyDescent="0.2">
      <c r="B84" s="8">
        <f t="shared" si="10"/>
      </c>
      <c r="C84" s="10">
        <v>79</v>
      </c>
      <c r="D84" s="13"/>
      <c r="E84" s="11">
        <f t="shared" si="11"/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</c>
      <c r="L84" s="7">
        <v>0</v>
      </c>
      <c r="M84" s="11">
        <f t="shared" si="8"/>
      </c>
      <c r="N84" s="11">
        <f t="shared" si="9"/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>
        <f>IFERROR(CalcRC27(F84,G84,K84,O84,P84,Q84,R84,S84,T84,U84,V84),"-")</f>
      </c>
      <c r="X84" s="13"/>
    </row>
    <row r="85" spans="2:24" ht="13.8" x14ac:dyDescent="0.2">
      <c r="B85" s="8">
        <f t="shared" si="10"/>
      </c>
      <c r="C85" s="10">
        <v>80</v>
      </c>
      <c r="D85" s="13"/>
      <c r="E85" s="11">
        <f t="shared" si="11"/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</c>
      <c r="L85" s="7">
        <v>0</v>
      </c>
      <c r="M85" s="11">
        <f t="shared" si="8"/>
      </c>
      <c r="N85" s="11">
        <f t="shared" si="9"/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>
        <f>IFERROR(CalcRC27(F85,G85,K85,O85,P85,Q85,R85,S85,T85,U85,V85),"-")</f>
      </c>
      <c r="X85" s="13"/>
    </row>
    <row r="86" spans="2:24" ht="13.8" x14ac:dyDescent="0.2">
      <c r="B86" s="8">
        <f t="shared" si="10"/>
      </c>
      <c r="C86" s="10">
        <v>81</v>
      </c>
      <c r="D86" s="13"/>
      <c r="E86" s="11">
        <f t="shared" si="11"/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</c>
      <c r="L86" s="7">
        <v>0</v>
      </c>
      <c r="M86" s="11">
        <f t="shared" si="8"/>
      </c>
      <c r="N86" s="11">
        <f t="shared" si="9"/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>
        <f>IFERROR(CalcRC27(F86,G86,K86,O86,P86,Q86,R86,S86,T86,U86,V86),"-")</f>
      </c>
      <c r="X86" s="13"/>
    </row>
    <row r="87" spans="2:24" ht="13.8" x14ac:dyDescent="0.2">
      <c r="B87" s="8">
        <f t="shared" si="10"/>
      </c>
      <c r="C87" s="10">
        <v>82</v>
      </c>
      <c r="D87" s="13"/>
      <c r="E87" s="11">
        <f t="shared" si="11"/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</c>
      <c r="L87" s="7">
        <v>0</v>
      </c>
      <c r="M87" s="11">
        <f t="shared" si="8"/>
      </c>
      <c r="N87" s="11">
        <f t="shared" si="9"/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>
        <f>IFERROR(CalcRC27(F87,G87,K87,O87,P87,Q87,R87,S87,T87,U87,V87),"-")</f>
      </c>
      <c r="X87" s="13"/>
    </row>
    <row r="88" spans="2:24" ht="13.8" x14ac:dyDescent="0.2">
      <c r="B88" s="8">
        <f t="shared" si="10"/>
      </c>
      <c r="C88" s="10">
        <v>83</v>
      </c>
      <c r="D88" s="13"/>
      <c r="E88" s="11">
        <f t="shared" si="11"/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</c>
      <c r="L88" s="7">
        <v>0</v>
      </c>
      <c r="M88" s="11">
        <f t="shared" si="8"/>
      </c>
      <c r="N88" s="11">
        <f t="shared" si="9"/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>
        <f>IFERROR(CalcRC27(F88,G88,K88,O88,P88,Q88,R88,S88,T88,U88,V88),"-")</f>
      </c>
      <c r="X88" s="13"/>
    </row>
    <row r="89" spans="2:24" ht="13.8" x14ac:dyDescent="0.2">
      <c r="B89" s="8">
        <f t="shared" si="10"/>
      </c>
      <c r="C89" s="10">
        <v>84</v>
      </c>
      <c r="D89" s="13"/>
      <c r="E89" s="11">
        <f t="shared" si="11"/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</c>
      <c r="L89" s="7">
        <v>0</v>
      </c>
      <c r="M89" s="11">
        <f t="shared" si="8"/>
      </c>
      <c r="N89" s="11">
        <f t="shared" si="9"/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>
        <f>IFERROR(CalcRC27(F89,G89,K89,O89,P89,Q89,R89,S89,T89,U89,V89),"-")</f>
      </c>
      <c r="X89" s="13"/>
    </row>
    <row r="90" spans="2:24" ht="13.8" x14ac:dyDescent="0.2">
      <c r="B90" s="8">
        <f t="shared" si="10"/>
      </c>
      <c r="C90" s="10">
        <v>85</v>
      </c>
      <c r="D90" s="13"/>
      <c r="E90" s="11">
        <f t="shared" si="11"/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</c>
      <c r="L90" s="7">
        <v>0</v>
      </c>
      <c r="M90" s="11">
        <f t="shared" si="8"/>
      </c>
      <c r="N90" s="11">
        <f t="shared" si="9"/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>
        <f>IFERROR(CalcRC27(F90,G90,K90,O90,P90,Q90,R90,S90,T90,U90,V90),"-")</f>
      </c>
      <c r="X90" s="13"/>
    </row>
    <row r="91" spans="2:24" ht="13.8" x14ac:dyDescent="0.2">
      <c r="B91" s="8">
        <f t="shared" si="10"/>
      </c>
      <c r="C91" s="10">
        <v>86</v>
      </c>
      <c r="D91" s="13"/>
      <c r="E91" s="11">
        <f t="shared" si="11"/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</c>
      <c r="L91" s="7">
        <v>0</v>
      </c>
      <c r="M91" s="11">
        <f t="shared" si="8"/>
      </c>
      <c r="N91" s="11">
        <f t="shared" si="9"/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>
        <f>IFERROR(CalcRC27(F91,G91,K91,O91,P91,Q91,R91,S91,T91,U91,V91),"-")</f>
      </c>
      <c r="X91" s="13"/>
    </row>
    <row r="92" spans="2:24" ht="13.8" x14ac:dyDescent="0.2">
      <c r="B92" s="8">
        <f t="shared" si="10"/>
      </c>
      <c r="C92" s="10">
        <v>87</v>
      </c>
      <c r="D92" s="13"/>
      <c r="E92" s="11">
        <f t="shared" si="11"/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</c>
      <c r="L92" s="7">
        <v>0</v>
      </c>
      <c r="M92" s="11">
        <f t="shared" si="8"/>
      </c>
      <c r="N92" s="11">
        <f t="shared" si="9"/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>
        <f>IFERROR(CalcRC27(F92,G92,K92,O92,P92,Q92,R92,S92,T92,U92,V92),"-")</f>
      </c>
      <c r="X92" s="13"/>
    </row>
    <row r="93" spans="2:24" ht="13.8" x14ac:dyDescent="0.2">
      <c r="B93" s="8">
        <f t="shared" si="10"/>
      </c>
      <c r="C93" s="10">
        <v>88</v>
      </c>
      <c r="D93" s="13"/>
      <c r="E93" s="11">
        <f t="shared" si="11"/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</c>
      <c r="L93" s="7">
        <v>0</v>
      </c>
      <c r="M93" s="11">
        <f t="shared" si="8"/>
      </c>
      <c r="N93" s="11">
        <f t="shared" si="9"/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>
        <f>IFERROR(CalcRC27(F93,G93,K93,O93,P93,Q93,R93,S93,T93,U93,V93),"-")</f>
      </c>
      <c r="X93" s="13"/>
    </row>
    <row r="94" spans="2:24" ht="13.8" x14ac:dyDescent="0.2">
      <c r="B94" s="8">
        <f t="shared" si="10"/>
      </c>
      <c r="C94" s="10">
        <v>89</v>
      </c>
      <c r="D94" s="13"/>
      <c r="E94" s="11">
        <f t="shared" si="11"/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</c>
      <c r="L94" s="7">
        <v>0</v>
      </c>
      <c r="M94" s="11">
        <f t="shared" si="8"/>
      </c>
      <c r="N94" s="11">
        <f t="shared" si="9"/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>
        <f>IFERROR(CalcRC27(F94,G94,K94,O94,P94,Q94,R94,S94,T94,U94,V94),"-")</f>
      </c>
      <c r="X94" s="13"/>
    </row>
    <row r="95" spans="2:24" ht="13.8" x14ac:dyDescent="0.2">
      <c r="B95" s="8">
        <f t="shared" si="10"/>
      </c>
      <c r="C95" s="10">
        <v>90</v>
      </c>
      <c r="D95" t="s" s="13">
        <v>1960</v>
      </c>
      <c r="E95" s="11">
        <f t="shared" si="11"/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</c>
      <c r="L95" s="7">
        <v>0</v>
      </c>
      <c r="M95" s="11">
        <f t="shared" si="8"/>
      </c>
      <c r="N95" s="11">
        <f t="shared" si="9"/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>
        <f>IFERROR(CalcRC27(F95,G95,K95,O95,P95,Q95,R95,S95,T95,U95,V95),"-")</f>
      </c>
      <c r="X95" t="s" s="13">
        <v>1501</v>
      </c>
    </row>
    <row r="96" spans="2:24" ht="13.8" x14ac:dyDescent="0.2">
      <c r="B96" s="8">
        <f t="shared" si="10"/>
      </c>
      <c r="C96" s="10">
        <v>91</v>
      </c>
      <c r="D96" t="s" s="13">
        <v>1961</v>
      </c>
      <c r="E96" s="11">
        <f t="shared" si="11"/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</c>
      <c r="L96" s="7">
        <v>0</v>
      </c>
      <c r="M96" s="11">
        <f t="shared" si="8"/>
      </c>
      <c r="N96" s="11">
        <f t="shared" si="9"/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>
        <f>IFERROR(CalcRC27(F96,G96,K96,O96,P96,Q96,R96,S96,T96,U96,V96),"-")</f>
      </c>
      <c r="X96" t="s" s="13">
        <v>1956</v>
      </c>
    </row>
    <row r="97" spans="2:24" ht="13.8" x14ac:dyDescent="0.2">
      <c r="B97" s="8">
        <f t="shared" si="10"/>
      </c>
      <c r="C97" s="10">
        <v>92</v>
      </c>
      <c r="D97" t="s" s="13">
        <v>1456</v>
      </c>
      <c r="E97" s="11">
        <f t="shared" si="11"/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</c>
      <c r="L97" s="7">
        <v>0</v>
      </c>
      <c r="M97" s="11">
        <f t="shared" si="8"/>
      </c>
      <c r="N97" s="11">
        <f t="shared" si="9"/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>
        <f>IFERROR(CalcRC27(F97,G97,K97,O97,P97,Q97,R97,S97,T97,U97,V97),"-")</f>
      </c>
      <c r="X97" t="s" s="13">
        <v>1957</v>
      </c>
    </row>
    <row r="98" spans="2:24" ht="13.8" x14ac:dyDescent="0.2">
      <c r="B98" s="8">
        <f t="shared" si="10"/>
      </c>
      <c r="C98" s="10">
        <v>93</v>
      </c>
      <c r="D98" t="s" s="13">
        <v>1962</v>
      </c>
      <c r="E98" s="11">
        <f t="shared" si="11"/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</c>
      <c r="L98" s="7">
        <v>0</v>
      </c>
      <c r="M98" s="11">
        <f t="shared" si="8"/>
      </c>
      <c r="N98" s="11">
        <f t="shared" si="9"/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>
        <f>IFERROR(CalcRC27(F98,G98,K98,O98,P98,Q98,R98,S98,T98,U98,V98),"-")</f>
      </c>
      <c r="X98" t="s" s="13">
        <v>1958</v>
      </c>
    </row>
    <row r="99" spans="2:24" ht="13.8" x14ac:dyDescent="0.2">
      <c r="B99" s="8">
        <f t="shared" si="10"/>
      </c>
      <c r="C99" s="10">
        <v>94</v>
      </c>
      <c r="D99" t="s" s="13">
        <v>1963</v>
      </c>
      <c r="E99" s="11">
        <f t="shared" si="11"/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</c>
      <c r="L99" s="7">
        <v>0</v>
      </c>
      <c r="M99" s="11">
        <f t="shared" si="8"/>
      </c>
      <c r="N99" s="11">
        <f t="shared" si="9"/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>
        <f>IFERROR(CalcRC27(F99,G99,K99,O99,P99,Q99,R99,S99,T99,U99,V99),"-")</f>
      </c>
      <c r="X99" t="s" s="13">
        <v>1959</v>
      </c>
    </row>
    <row r="100" spans="2:24" ht="13.8" x14ac:dyDescent="0.2">
      <c r="B100" s="8">
        <f t="shared" si="10"/>
      </c>
      <c r="C100" s="10">
        <v>95</v>
      </c>
      <c r="D100" s="13"/>
      <c r="E100" s="11">
        <f t="shared" si="11"/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</c>
      <c r="L100" s="7">
        <v>0</v>
      </c>
      <c r="M100" s="11">
        <f t="shared" si="8"/>
      </c>
      <c r="N100" s="11">
        <f t="shared" si="9"/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>
        <f>IFERROR(CalcRC27(F100,G100,K100,O100,P100,Q100,R100,S100,T100,U100,V100),"-")</f>
      </c>
      <c r="X100" s="13"/>
    </row>
    <row r="101" spans="2:24" ht="13.8" x14ac:dyDescent="0.2">
      <c r="B101" s="8">
        <f t="shared" si="10"/>
      </c>
      <c r="C101" s="10">
        <v>96</v>
      </c>
      <c r="D101" t="s" s="13">
        <v>1457</v>
      </c>
      <c r="E101" s="11">
        <f t="shared" si="11"/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</c>
      <c r="L101" s="7">
        <v>0</v>
      </c>
      <c r="M101" s="11">
        <f t="shared" si="8"/>
      </c>
      <c r="N101" s="11">
        <f t="shared" si="9"/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>
        <f>IFERROR(CalcRC27(F101,G101,K101,O101,P101,Q101,R101,S101,T101,U101,V101),"-")</f>
      </c>
      <c r="X101" t="s" s="13">
        <v>1502</v>
      </c>
    </row>
    <row r="102" spans="2:24" ht="13.8" x14ac:dyDescent="0.2">
      <c r="B102" s="8">
        <f t="shared" si="10"/>
      </c>
      <c r="C102" s="10">
        <v>97</v>
      </c>
      <c r="D102" t="s" s="13">
        <v>1458</v>
      </c>
      <c r="E102" s="11">
        <f t="shared" si="11"/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</c>
      <c r="L102" s="7">
        <v>0</v>
      </c>
      <c r="M102" s="11">
        <f t="shared" si="8"/>
      </c>
      <c r="N102" s="11">
        <f t="shared" si="9"/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>
        <f>IFERROR(CalcRC27(F102,G102,K102,O102,P102,Q102,R102,S102,T102,U102,V102),"-")</f>
      </c>
      <c r="X102" t="s" s="13">
        <v>1503</v>
      </c>
    </row>
    <row r="103" spans="2:24" ht="13.8" x14ac:dyDescent="0.2">
      <c r="B103" s="8">
        <f t="shared" si="10"/>
      </c>
      <c r="C103" s="10">
        <v>98</v>
      </c>
      <c r="D103" s="13"/>
      <c r="E103" s="11">
        <f t="shared" si="11"/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</c>
      <c r="L103" s="7">
        <v>0</v>
      </c>
      <c r="M103" s="11">
        <f t="shared" si="8"/>
      </c>
      <c r="N103" s="11">
        <f t="shared" si="9"/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</c>
      <c r="X103" s="13"/>
    </row>
    <row r="104" spans="2:24" ht="13.8" x14ac:dyDescent="0.2">
      <c r="B104" s="8">
        <f t="shared" si="10"/>
      </c>
      <c r="C104" s="10">
        <v>99</v>
      </c>
      <c r="D104" t="s" s="13">
        <v>1459</v>
      </c>
      <c r="E104" s="11">
        <f t="shared" si="11"/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</c>
      <c r="L104" s="7">
        <v>0</v>
      </c>
      <c r="M104" s="11">
        <f t="shared" si="8"/>
      </c>
      <c r="N104" s="11">
        <f t="shared" si="9"/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</c>
      <c r="X104" t="s" s="13">
        <v>1964</v>
      </c>
    </row>
    <row r="105" spans="2:24" ht="13.8" x14ac:dyDescent="0.2">
      <c r="B105" s="8">
        <f t="shared" si="10"/>
      </c>
      <c r="C105" s="10">
        <v>201</v>
      </c>
      <c r="D105" t="s" s="23">
        <v>1460</v>
      </c>
      <c r="E105" s="11">
        <f t="shared" si="11"/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</c>
      <c r="L105" s="7">
        <v>0</v>
      </c>
      <c r="M105" s="11">
        <f t="shared" si="8"/>
      </c>
      <c r="N105" s="11">
        <f t="shared" si="9"/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>
        <f>IFERROR(CalcRC27(F105,G105,K105,O105,P105,Q105,R105,S105,T105,U105,V105),"-")</f>
      </c>
      <c r="X105" t="s" s="13">
        <v>1504</v>
      </c>
    </row>
    <row r="106" spans="2:24" ht="13.8" x14ac:dyDescent="0.2">
      <c r="B106" s="8">
        <f t="shared" si="10"/>
      </c>
      <c r="C106" s="10">
        <v>202</v>
      </c>
      <c r="D106" t="s" s="13">
        <v>1224</v>
      </c>
      <c r="E106" s="11">
        <f t="shared" si="11"/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</c>
      <c r="L106" s="7">
        <v>0</v>
      </c>
      <c r="M106" s="11">
        <f t="shared" si="8"/>
      </c>
      <c r="N106" s="11">
        <f t="shared" si="9"/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>
        <f>IFERROR(CalcRC27(F106,G106,K106,O106,P106,Q106,R106,S106,T106,U106,V106),"-")</f>
      </c>
      <c r="X106" t="s" s="13">
        <v>1965</v>
      </c>
    </row>
    <row r="107" spans="2:24" ht="13.8" x14ac:dyDescent="0.2">
      <c r="B107" s="8">
        <f t="shared" si="10"/>
      </c>
      <c r="C107" s="10">
        <v>203</v>
      </c>
      <c r="D107" t="s" s="13">
        <v>1461</v>
      </c>
      <c r="E107" s="11">
        <f t="shared" si="11"/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</c>
      <c r="L107" s="7">
        <v>0</v>
      </c>
      <c r="M107" s="11">
        <f t="shared" si="8"/>
      </c>
      <c r="N107" s="11">
        <f t="shared" si="9"/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>
        <f>IFERROR(CalcRC27(F107,G107,K107,O107,P107,Q107,R107,S107,T107,U107,V107),"-")</f>
      </c>
      <c r="X107" t="s" s="13">
        <v>1505</v>
      </c>
    </row>
    <row r="108" spans="2:24" ht="13.8" x14ac:dyDescent="0.2">
      <c r="B108" s="8">
        <f t="shared" si="10"/>
      </c>
      <c r="C108" s="10">
        <v>204</v>
      </c>
      <c r="D108" t="s" s="13">
        <v>1462</v>
      </c>
      <c r="E108" s="11">
        <f t="shared" si="11"/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</c>
      <c r="L108" s="7">
        <v>0</v>
      </c>
      <c r="M108" s="11">
        <f t="shared" si="8"/>
      </c>
      <c r="N108" s="11">
        <f t="shared" si="9"/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>
        <f>IFERROR(CalcRC27(F108,G108,K108,O108,P108,Q108,R108,S108,T108,U108,V108),"-")</f>
      </c>
      <c r="X108" t="s" s="13">
        <v>564</v>
      </c>
    </row>
    <row r="109" spans="2:24" ht="13.8" x14ac:dyDescent="0.2">
      <c r="B109" s="8">
        <f t="shared" si="10"/>
      </c>
      <c r="C109" s="10">
        <v>205</v>
      </c>
      <c r="D109" t="s" s="13">
        <v>1463</v>
      </c>
      <c r="E109" s="11">
        <f t="shared" si="11"/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</c>
      <c r="L109" s="7">
        <v>0</v>
      </c>
      <c r="M109" s="11">
        <f t="shared" si="8"/>
      </c>
      <c r="N109" s="11">
        <f t="shared" si="9"/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>
        <f>IFERROR(CalcRC27(F109,G109,K109,O109,P109,Q109,R109,S109,T109,U109,V109),"-")</f>
      </c>
      <c r="X109" t="s" s="13">
        <v>1506</v>
      </c>
    </row>
    <row r="110" spans="2:24" ht="13.8" x14ac:dyDescent="0.2">
      <c r="B110" s="8">
        <f t="shared" si="10"/>
      </c>
      <c r="C110" s="10">
        <v>206</v>
      </c>
      <c r="D110" t="s" s="13">
        <v>1464</v>
      </c>
      <c r="E110" s="11">
        <f t="shared" si="11"/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</c>
      <c r="L110" s="7">
        <v>0</v>
      </c>
      <c r="M110" s="11">
        <f t="shared" si="8"/>
      </c>
      <c r="N110" s="11">
        <f t="shared" si="9"/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>
        <f>IFERROR(CalcRC27(F110,G110,K110,O110,P110,Q110,R110,S110,T110,U110,V110),"-")</f>
      </c>
      <c r="X110" t="s" s="13">
        <v>1507</v>
      </c>
    </row>
    <row r="111" spans="2:24" ht="13.8" x14ac:dyDescent="0.2">
      <c r="B111" s="8">
        <f t="shared" si="10"/>
      </c>
      <c r="C111" s="10">
        <v>207</v>
      </c>
      <c r="D111" t="s" s="13">
        <v>1465</v>
      </c>
      <c r="E111" s="11">
        <f t="shared" si="11"/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</c>
      <c r="L111" s="7">
        <v>0</v>
      </c>
      <c r="M111" s="11">
        <f t="shared" si="8"/>
      </c>
      <c r="N111" s="11">
        <f t="shared" si="9"/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>
        <f>IFERROR(CalcRC27(F111,G111,K111,O111,P111,Q111,R111,S111,T111,U111,V111),"-")</f>
      </c>
      <c r="X111" t="s" s="13">
        <v>1508</v>
      </c>
    </row>
    <row r="112" spans="2:24" ht="13.8" x14ac:dyDescent="0.2">
      <c r="B112" s="8">
        <f t="shared" si="10"/>
      </c>
      <c r="C112" s="10">
        <v>208</v>
      </c>
      <c r="D112" t="s" s="13">
        <v>1466</v>
      </c>
      <c r="E112" s="11">
        <f t="shared" si="11"/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</c>
      <c r="L112" s="7">
        <v>0</v>
      </c>
      <c r="M112" s="11">
        <f t="shared" si="8"/>
      </c>
      <c r="N112" s="11">
        <f t="shared" si="9"/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>
        <f>IFERROR(CalcRC27(F112,G112,K112,O112,P112,Q112,R112,S112,T112,U112,V112),"-")</f>
      </c>
      <c r="X112" t="s" s="13">
        <v>1509</v>
      </c>
    </row>
    <row r="113" spans="2:24" ht="13.8" x14ac:dyDescent="0.2">
      <c r="B113" s="8">
        <f t="shared" si="10"/>
      </c>
      <c r="C113" s="10">
        <v>209</v>
      </c>
      <c r="D113" t="s" s="13">
        <v>1467</v>
      </c>
      <c r="E113" s="11">
        <f t="shared" si="11"/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</c>
      <c r="L113" s="7">
        <v>0</v>
      </c>
      <c r="M113" s="11">
        <f t="shared" si="8"/>
      </c>
      <c r="N113" s="11">
        <f t="shared" si="9"/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>
        <f>IFERROR(CalcRC27(F113,G113,K113,O113,P113,Q113,R113,S113,T113,U113,V113),"-")</f>
      </c>
      <c r="X113" t="s" s="13">
        <v>1510</v>
      </c>
    </row>
    <row r="114" spans="2:24" ht="13.8" x14ac:dyDescent="0.2">
      <c r="B114" s="8">
        <f t="shared" si="10"/>
      </c>
      <c r="C114" s="10">
        <v>210</v>
      </c>
      <c r="D114" t="s" s="26">
        <v>1468</v>
      </c>
      <c r="E114" s="11">
        <f t="shared" si="11"/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</c>
      <c r="L114" s="7">
        <v>0</v>
      </c>
      <c r="M114" s="11">
        <f t="shared" si="8"/>
      </c>
      <c r="N114" s="11">
        <f t="shared" si="9"/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>
        <f>IFERROR(CalcRC27(F114,G114,K114,O114,P114,Q114,R114,S114,T114,U114,V114),"-")</f>
      </c>
      <c r="X114" t="s" s="13">
        <v>548</v>
      </c>
    </row>
    <row r="115" spans="2:24" ht="13.8" x14ac:dyDescent="0.2">
      <c r="B115" s="8">
        <f t="shared" si="10"/>
      </c>
      <c r="C115" s="10">
        <v>211</v>
      </c>
      <c r="D115" t="s" s="26">
        <v>1469</v>
      </c>
      <c r="E115" s="11">
        <f t="shared" si="11"/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</c>
      <c r="L115" s="7">
        <v>0</v>
      </c>
      <c r="M115" s="11">
        <f t="shared" si="8"/>
      </c>
      <c r="N115" s="11">
        <f t="shared" si="9"/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>
        <f>IFERROR(CalcRC27(F115,G115,K115,O115,P115,Q115,R115,S115,T115,U115,V115),"-")</f>
      </c>
      <c r="X115" t="s" s="13">
        <v>82</v>
      </c>
    </row>
    <row r="116" spans="2:24" ht="13.8" x14ac:dyDescent="0.2">
      <c r="B116" s="8">
        <f t="shared" si="10"/>
      </c>
      <c r="C116" s="10">
        <v>212</v>
      </c>
      <c r="D116" t="s" s="26">
        <v>1470</v>
      </c>
      <c r="E116" s="11">
        <f t="shared" si="11"/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</c>
      <c r="L116" s="7">
        <v>0</v>
      </c>
      <c r="M116" s="11">
        <f t="shared" si="8"/>
      </c>
      <c r="N116" s="11">
        <f t="shared" si="9"/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>
        <f>IFERROR(CalcRC27(F116,G116,K116,O116,P116,Q116,R116,S116,T116,U116,V116),"-")</f>
      </c>
      <c r="X116" t="s" s="13">
        <v>1511</v>
      </c>
    </row>
    <row r="117" spans="2:24" ht="13.8" x14ac:dyDescent="0.2">
      <c r="B117" s="8">
        <f t="shared" si="10"/>
      </c>
      <c r="C117" s="10">
        <v>213</v>
      </c>
      <c r="D117" t="s" s="26">
        <v>1471</v>
      </c>
      <c r="E117" s="11">
        <f t="shared" si="11"/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</c>
      <c r="L117" s="7">
        <v>0</v>
      </c>
      <c r="M117" s="11">
        <f t="shared" si="8"/>
      </c>
      <c r="N117" s="11">
        <f t="shared" si="9"/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>
        <f>IFERROR(CalcRC27(F117,G117,K117,O117,P117,Q117,R117,S117,T117,U117,V117),"-")</f>
      </c>
      <c r="X117" t="s" s="13">
        <v>1512</v>
      </c>
    </row>
    <row r="118" spans="2:24" ht="13.8" x14ac:dyDescent="0.2">
      <c r="B118" s="8">
        <f t="shared" si="10"/>
      </c>
      <c r="C118" s="10">
        <v>214</v>
      </c>
      <c r="D118" t="s" s="26">
        <v>1300</v>
      </c>
      <c r="E118" s="11">
        <f t="shared" si="11"/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</c>
      <c r="L118" s="7">
        <v>0</v>
      </c>
      <c r="M118" s="11">
        <f t="shared" si="8"/>
      </c>
      <c r="N118" s="11">
        <f t="shared" si="9"/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>
        <f>IFERROR(CalcRC27(F118,G118,K118,O118,P118,Q118,R118,S118,T118,U118,V118),"-")</f>
      </c>
      <c r="X118" t="s" s="13">
        <v>1513</v>
      </c>
    </row>
    <row r="119" spans="2:24" ht="13.8" x14ac:dyDescent="0.2">
      <c r="B119" s="8">
        <f t="shared" si="10"/>
      </c>
      <c r="C119" s="10">
        <v>215</v>
      </c>
      <c r="D119" t="s" s="26">
        <v>1472</v>
      </c>
      <c r="E119" s="11">
        <f t="shared" si="11"/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</c>
      <c r="L119" s="7">
        <v>0</v>
      </c>
      <c r="M119" s="11">
        <f t="shared" si="8"/>
      </c>
      <c r="N119" s="11">
        <f t="shared" si="9"/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>
        <f>IFERROR(CalcRC27(F119,G119,K119,O119,P119,Q119,R119,S119,T119,U119,V119),"-")</f>
      </c>
      <c r="X119" t="s" s="13">
        <v>1514</v>
      </c>
    </row>
    <row r="120" spans="2:24" ht="13.8" x14ac:dyDescent="0.2">
      <c r="B120" s="8">
        <f t="shared" si="10"/>
      </c>
      <c r="C120" s="10">
        <v>216</v>
      </c>
      <c r="D120" t="s" s="26">
        <v>1473</v>
      </c>
      <c r="E120" s="11">
        <f t="shared" si="11"/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</c>
      <c r="L120" s="7">
        <v>0</v>
      </c>
      <c r="M120" s="11">
        <f t="shared" si="8"/>
      </c>
      <c r="N120" s="11">
        <f t="shared" si="9"/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>
        <f>IFERROR(CalcRC27(F120,G120,K120,O120,P120,Q120,R120,S120,T120,U120,V120),"-")</f>
      </c>
      <c r="X120" t="s" s="13">
        <v>1515</v>
      </c>
    </row>
    <row r="121" spans="2:24" ht="13.8" x14ac:dyDescent="0.2">
      <c r="B121" s="8">
        <f t="shared" si="10"/>
      </c>
      <c r="C121" s="10">
        <v>217</v>
      </c>
      <c r="D121" t="s" s="26">
        <v>1474</v>
      </c>
      <c r="E121" s="11">
        <f t="shared" si="11"/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</c>
      <c r="L121" s="7">
        <v>0</v>
      </c>
      <c r="M121" s="11">
        <f t="shared" si="8"/>
      </c>
      <c r="N121" s="11">
        <f t="shared" si="9"/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>
        <f>IFERROR(CalcRC27(F121,G121,K121,O121,P121,Q121,R121,S121,T121,U121,V121),"-")</f>
      </c>
      <c r="X121" t="s" s="13">
        <v>1516</v>
      </c>
    </row>
    <row r="122" spans="2:24" ht="13.8" x14ac:dyDescent="0.2">
      <c r="B122" s="8">
        <f t="shared" si="10"/>
      </c>
      <c r="C122" s="10">
        <v>218</v>
      </c>
      <c r="D122" t="s" s="26">
        <v>1475</v>
      </c>
      <c r="E122" s="11">
        <f t="shared" si="11"/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</c>
      <c r="L122" s="7">
        <v>0</v>
      </c>
      <c r="M122" s="11">
        <f t="shared" si="8"/>
      </c>
      <c r="N122" s="11">
        <f t="shared" si="9"/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>
        <f>IFERROR(CalcRC27(F122,G122,K122,O122,P122,Q122,R122,S122,T122,U122,V122),"-")</f>
      </c>
      <c r="X122" t="s" s="13">
        <v>1517</v>
      </c>
    </row>
    <row r="123" spans="2:24" ht="13.8" x14ac:dyDescent="0.2">
      <c r="B123" s="8">
        <f t="shared" si="10"/>
      </c>
      <c r="C123" s="10">
        <v>219</v>
      </c>
      <c r="D123" t="s" s="8">
        <v>1222</v>
      </c>
      <c r="E123" s="11">
        <f t="shared" si="11"/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</c>
      <c r="L123" s="7">
        <v>0</v>
      </c>
      <c r="M123" s="11">
        <f t="shared" si="8"/>
      </c>
      <c r="N123" s="11">
        <f t="shared" si="9"/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>
        <f>IFERROR(CalcRC27(F123,G123,K123,O123,P123,Q123,R123,S123,T123,U123,V123),"-")</f>
      </c>
      <c r="X123" t="s" s="13">
        <v>1967</v>
      </c>
    </row>
    <row r="124" spans="2:24" ht="13.8" x14ac:dyDescent="0.2">
      <c r="B124" s="8">
        <f t="shared" si="10"/>
      </c>
      <c r="C124" s="10">
        <v>220</v>
      </c>
      <c r="D124" t="s" s="8">
        <v>1476</v>
      </c>
      <c r="E124" s="11">
        <f t="shared" si="11"/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</c>
      <c r="L124" s="7">
        <v>0</v>
      </c>
      <c r="M124" s="11">
        <f t="shared" si="8"/>
      </c>
      <c r="N124" s="11">
        <f t="shared" si="9"/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>
        <f>IFERROR(CalcRC27(F124,G124,K124,O124,P124,Q124,R124,S124,T124,U124,V124),"-")</f>
      </c>
      <c r="X124" t="s" s="13">
        <v>1966</v>
      </c>
    </row>
    <row r="125" spans="2:24" ht="13.8" x14ac:dyDescent="0.2">
      <c r="B125" s="8">
        <f t="shared" si="10"/>
      </c>
      <c r="C125" s="10"/>
      <c r="D125" s="8"/>
      <c r="E125" s="11">
        <f t="shared" si="11"/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</c>
      <c r="L125" s="7">
        <v>0</v>
      </c>
      <c r="M125" s="11">
        <f t="shared" si="8"/>
      </c>
      <c r="N125" s="11">
        <f t="shared" si="9"/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>
        <f>IFERROR(CalcRC27(F125,G125,K125,O125,P125,Q125,R125,S125,T125,U125,V125),"-")</f>
      </c>
      <c r="X125" s="13"/>
    </row>
    <row r="126" spans="2:24" ht="13.8" x14ac:dyDescent="0.2">
      <c r="B126" s="8">
        <f t="shared" si="10"/>
      </c>
      <c r="C126" s="10"/>
      <c r="D126" s="8"/>
      <c r="E126" s="11">
        <f t="shared" si="11"/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</c>
      <c r="L126" s="7">
        <v>0</v>
      </c>
      <c r="M126" s="11">
        <f t="shared" si="8"/>
      </c>
      <c r="N126" s="11">
        <f t="shared" si="9"/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>
        <f>IFERROR(CalcRC27(F126,G126,K126,O126,P126,Q126,R126,S126,T126,U126,V126),"-")</f>
      </c>
      <c r="X126" s="13"/>
    </row>
    <row r="127" spans="2:24" ht="13.8" x14ac:dyDescent="0.2">
      <c r="B127" s="8">
        <f t="shared" si="10"/>
      </c>
      <c r="C127" s="10"/>
      <c r="D127" s="8"/>
      <c r="E127" s="11">
        <f t="shared" si="11"/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</c>
      <c r="L127" s="7">
        <v>0</v>
      </c>
      <c r="M127" s="11">
        <f t="shared" si="8"/>
      </c>
      <c r="N127" s="11">
        <f t="shared" si="9"/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>
        <f>IFERROR(CalcRC27(F127,G127,K127,O127,P127,Q127,R127,S127,T127,U127,V127),"-")</f>
      </c>
      <c r="X127" s="13"/>
    </row>
    <row r="128" spans="2:24" ht="13.8" x14ac:dyDescent="0.2">
      <c r="B128" s="8">
        <f t="shared" si="10"/>
      </c>
      <c r="C128" s="10"/>
      <c r="D128" s="8"/>
      <c r="E128" s="11">
        <f t="shared" si="11"/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</c>
      <c r="L128" s="7">
        <v>0</v>
      </c>
      <c r="M128" s="11">
        <f t="shared" si="8"/>
      </c>
      <c r="N128" s="11">
        <f t="shared" si="9"/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>
        <f>IFERROR(CalcRC27(F128,G128,K128,O128,P128,Q128,R128,S128,T128,U128,V128),"-")</f>
      </c>
      <c r="X128" s="13"/>
    </row>
    <row r="129" spans="2:24" ht="13.8" x14ac:dyDescent="0.2">
      <c r="B129" s="8">
        <f t="shared" si="10"/>
      </c>
      <c r="C129" s="10"/>
      <c r="D129" s="8"/>
      <c r="E129" s="11">
        <f t="shared" si="11"/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</c>
      <c r="L129" s="7">
        <v>0</v>
      </c>
      <c r="M129" s="11">
        <f t="shared" si="8"/>
      </c>
      <c r="N129" s="11">
        <f t="shared" si="9"/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>
        <f>IFERROR(CalcRC27(F129,G129,K129,O129,P129,Q129,R129,S129,T129,U129,V129),"-")</f>
      </c>
      <c r="X129" s="13"/>
    </row>
    <row r="130" spans="2:24" ht="13.8" x14ac:dyDescent="0.2">
      <c r="B130" s="8">
        <f t="shared" si="10"/>
      </c>
      <c r="C130" s="10"/>
      <c r="D130" s="8"/>
      <c r="E130" s="11">
        <f t="shared" si="11"/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</c>
      <c r="L130" s="7">
        <v>0</v>
      </c>
      <c r="M130" s="11">
        <f t="shared" si="8"/>
      </c>
      <c r="N130" s="11">
        <f t="shared" si="9"/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>
        <f>IFERROR(CalcRC27(F130,G130,K130,O130,P130,Q130,R130,S130,T130,U130,V130),"-")</f>
      </c>
      <c r="X130" s="13"/>
    </row>
    <row r="131" spans="2:24" ht="13.8" x14ac:dyDescent="0.2">
      <c r="B131" s="8">
        <f t="shared" si="10"/>
      </c>
      <c r="C131" s="10"/>
      <c r="D131" s="8"/>
      <c r="E131" s="11">
        <f t="shared" si="11"/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</c>
      <c r="L131" s="7">
        <v>0</v>
      </c>
      <c r="M131" s="11">
        <f t="shared" si="8"/>
      </c>
      <c r="N131" s="11">
        <f t="shared" si="9"/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>
        <f>IFERROR(CalcRC27(F131,G131,K131,O131,P131,Q131,R131,S131,T131,U131,V131),"-")</f>
      </c>
      <c r="X131" s="13"/>
    </row>
    <row r="132" spans="2:24" ht="13.8" x14ac:dyDescent="0.2">
      <c r="B132" s="8">
        <f t="shared" si="10"/>
      </c>
      <c r="C132" s="10"/>
      <c r="D132" s="8"/>
      <c r="E132" s="11">
        <f t="shared" si="11"/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</c>
      <c r="L132" s="7">
        <v>0</v>
      </c>
      <c r="M132" s="11">
        <f t="shared" ref="M132:M134" si="13">IFERROR(IF((G132+P132+Q132)/(F132+P132+Q132+S132)=1,"1.00",(G132+P132+Q132)/(F132+P132+Q132+S132)),0)</f>
      </c>
      <c r="N132" s="11">
        <f t="shared" ref="N132:N134" si="14">IFERROR(SUM(K132/F132,((G132+P132+Q132)/(F132+P132+Q132+S132))),M132)</f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>
        <f>IFERROR(CalcRC27(F132,G132,K132,O132,P132,Q132,R132,S132,T132,U132,V132),"-")</f>
      </c>
      <c r="X132" s="13"/>
    </row>
    <row r="133" spans="2:24" ht="13.8" x14ac:dyDescent="0.2">
      <c r="B133" s="8">
        <f t="shared" ref="B133:B134" si="15">IF(C133="","",C133)</f>
      </c>
      <c r="C133" s="10"/>
      <c r="D133" s="8"/>
      <c r="E133" s="11">
        <f t="shared" ref="E133:E134" si="16">IFERROR(IF(G133/F133=1,"1.00",G133/F133),"---")</f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</c>
      <c r="L133" s="7">
        <v>0</v>
      </c>
      <c r="M133" s="11">
        <f t="shared" si="13"/>
      </c>
      <c r="N133" s="11">
        <f t="shared" si="14"/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>
        <f>IFERROR(CalcRC27(F133,G133,K133,O133,P133,Q133,R133,S133,T133,U133,V133),"-")</f>
      </c>
      <c r="X133" s="13"/>
    </row>
    <row r="134" spans="2:24" ht="13.8" x14ac:dyDescent="0.2">
      <c r="B134" s="8">
        <f t="shared" si="15"/>
      </c>
      <c r="C134" s="10"/>
      <c r="D134" s="8"/>
      <c r="E134" s="11">
        <f t="shared" si="16"/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</c>
      <c r="L134" s="7">
        <v>0</v>
      </c>
      <c r="M134" s="11">
        <f t="shared" si="13"/>
      </c>
      <c r="N134" s="11">
        <f t="shared" si="14"/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>
        <f>IFERROR(CalcRC27(F134,G134,K134,O134,P134,Q134,R134,S134,T134,U134,V134),"-")</f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1734-5871-4FC9-B7FB-4177FD67A075}">
  <sheetPr codeName="Sheet8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2"/>
      <c r="C2" s="122"/>
      <c r="D2" s="122"/>
      <c r="E2" s="4">
        <f>IFERROR(G2/F2,0)</f>
      </c>
      <c r="F2" s="5">
        <f t="shared" ref="F2:L2" si="0">SUM(F4:F104)</f>
      </c>
      <c r="G2" s="5">
        <f t="shared" si="0"/>
      </c>
      <c r="H2" s="5">
        <f t="shared" si="0"/>
      </c>
      <c r="I2" s="5">
        <f t="shared" si="0"/>
      </c>
      <c r="J2" s="6">
        <f t="shared" si="0"/>
      </c>
      <c r="K2" s="12">
        <f t="shared" si="0"/>
      </c>
      <c r="L2" s="7">
        <f t="shared" si="0"/>
      </c>
      <c r="M2" s="11">
        <f>IFERROR(IF((G2+P2+Q2)/(F2+P2+Q2+R2)=1,"1.00",(G2+P2+Q2)/(F2+P2+Q2+R2)),0)</f>
      </c>
      <c r="N2" s="11">
        <f>IFERROR(SUM(SUM(((G2-H2-I2-J2)*1),H2*2,I2*3,J2*4)/F2,((G2+P2+Q2)/(F2+P2+Q2+R2))),M2)</f>
      </c>
      <c r="O2" s="5">
        <f>SUM(O4:O104)</f>
      </c>
      <c r="P2" s="5">
        <f>SUM(P4:P104)</f>
      </c>
      <c r="Q2" s="5">
        <f>SUM(Q4:Q104)</f>
      </c>
      <c r="R2" s="5">
        <f>SUM(R4:R104)</f>
      </c>
      <c r="S2" s="5">
        <f>SUM(S4:S104)</f>
      </c>
      <c r="T2" s="5">
        <f t="shared" ref="T2:V2" si="1">SUM(T4:T104)</f>
      </c>
      <c r="U2" s="5">
        <f t="shared" si="1"/>
      </c>
      <c r="V2" s="5">
        <f t="shared" si="1"/>
      </c>
      <c r="W2" s="20">
        <f>IFERROR(CalcRC27(F2,G2,K2,O2,P2,Q2,R2,S2,T2,U2,V2),"-")</f>
      </c>
      <c r="X2" t="s" s="121">
        <v>229</v>
      </c>
    </row>
    <row r="3" spans="2:24" x14ac:dyDescent="0.2">
      <c r="B3" t="s" s="55">
        <v>841</v>
      </c>
      <c r="C3" t="s" s="56">
        <v>1039</v>
      </c>
      <c r="D3" t="s" s="56">
        <v>1040</v>
      </c>
      <c r="E3" t="s" s="57">
        <v>56</v>
      </c>
      <c r="F3" t="s" s="58">
        <v>0</v>
      </c>
      <c r="G3" t="s" s="55">
        <v>1</v>
      </c>
      <c r="H3" t="s" s="55">
        <v>360</v>
      </c>
      <c r="I3" t="s" s="55">
        <v>361</v>
      </c>
      <c r="J3" t="s" s="59">
        <v>1041</v>
      </c>
      <c r="K3" t="s" s="55">
        <v>983</v>
      </c>
      <c r="L3" t="s" s="60">
        <v>2</v>
      </c>
      <c r="M3" t="s" s="61">
        <v>359</v>
      </c>
      <c r="N3" t="s" s="57">
        <v>362</v>
      </c>
      <c r="O3" t="s" s="62">
        <v>978</v>
      </c>
      <c r="P3" t="s" s="55">
        <v>234</v>
      </c>
      <c r="Q3" t="s" s="55">
        <v>235</v>
      </c>
      <c r="R3" t="s" s="55">
        <v>976</v>
      </c>
      <c r="S3" t="s" s="55">
        <v>977</v>
      </c>
      <c r="T3" t="s" s="55">
        <v>979</v>
      </c>
      <c r="U3" t="s" s="55">
        <v>980</v>
      </c>
      <c r="V3" t="s" s="55">
        <v>981</v>
      </c>
      <c r="W3" t="s" s="55">
        <v>982</v>
      </c>
      <c r="X3" s="121"/>
    </row>
    <row r="4" spans="2:24" ht="13.8" x14ac:dyDescent="0.2">
      <c r="B4" s="8">
        <f>IF(C4="","",C4)</f>
      </c>
      <c r="C4" t="s" s="10">
        <v>173</v>
      </c>
      <c r="D4" t="s" s="13">
        <v>1518</v>
      </c>
      <c r="E4" s="11">
        <f t="shared" ref="E4:E68" si="2">IFERROR(IF(G4/F4=1,"1.00",G4/F4),"---")</f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</c>
      <c r="L4" s="7">
        <v>0</v>
      </c>
      <c r="M4" s="11">
        <f t="shared" ref="M4:M67" si="4">IFERROR(IF((G4+P4+Q4)/(F4+P4+Q4+S4)=1,"1.00",(G4+P4+Q4)/(F4+P4+Q4+S4)),0)</f>
      </c>
      <c r="N4" s="11">
        <f t="shared" ref="N4:N67" si="5">IFERROR(SUM(K4/F4,((G4+P4+Q4)/(F4+P4+Q4+S4))),M4)</f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>
        <f>IFERROR(CalcRC27(F4,G4,K4,O4,P4,Q4,R4,S4,T4,U4,V4),"-")</f>
      </c>
      <c r="X4" t="s" s="2">
        <v>500</v>
      </c>
    </row>
    <row r="5" spans="2:24" ht="13.8" x14ac:dyDescent="0.2">
      <c r="B5" s="8">
        <f t="shared" ref="B5:B68" si="6">IF(C5="","",C5)</f>
      </c>
      <c r="C5" s="10">
        <v>0</v>
      </c>
      <c r="D5" s="13"/>
      <c r="E5" s="11">
        <f t="shared" si="2"/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</c>
      <c r="L5" s="7">
        <v>0</v>
      </c>
      <c r="M5" s="11">
        <f t="shared" si="4"/>
      </c>
      <c r="N5" s="11">
        <f t="shared" si="5"/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>
        <f>IFERROR(CalcRC27(F5,G5,K5,O5,P5,Q5,R5,S5,T5,U5,V5),"-")</f>
      </c>
      <c r="X5" s="2"/>
    </row>
    <row r="6" spans="2:24" ht="13.8" x14ac:dyDescent="0.2">
      <c r="B6" s="8">
        <f t="shared" si="6"/>
      </c>
      <c r="C6" s="10">
        <v>1</v>
      </c>
      <c r="D6" t="s" s="13">
        <v>786</v>
      </c>
      <c r="E6" s="11">
        <f t="shared" si="2"/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</c>
      <c r="L6" s="7">
        <v>0</v>
      </c>
      <c r="M6" s="11">
        <f t="shared" si="4"/>
      </c>
      <c r="N6" s="11">
        <f t="shared" si="5"/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>
        <f>IFERROR(CalcRC27(F6,G6,K6,O6,P6,Q6,R6,S6,T6,U6,V6),"-")</f>
      </c>
      <c r="X6" t="s" s="2">
        <v>1588</v>
      </c>
    </row>
    <row r="7" spans="2:24" ht="13.8" x14ac:dyDescent="0.2">
      <c r="B7" s="8">
        <f t="shared" si="6"/>
      </c>
      <c r="C7" s="10">
        <v>2</v>
      </c>
      <c r="D7" t="s" s="13">
        <v>1652</v>
      </c>
      <c r="E7" s="11">
        <f t="shared" si="2"/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</c>
      <c r="L7" s="7">
        <v>0</v>
      </c>
      <c r="M7" s="11">
        <f t="shared" si="4"/>
      </c>
      <c r="N7" s="11">
        <f t="shared" si="5"/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>
        <f>IFERROR(CalcRC27(F7,G7,K7,O7,P7,Q7,R7,S7,T7,U7,V7),"-")</f>
      </c>
      <c r="X7" t="s" s="2">
        <v>1968</v>
      </c>
    </row>
    <row r="8" spans="2:24" ht="13.8" x14ac:dyDescent="0.2">
      <c r="B8" s="8">
        <f t="shared" si="6"/>
      </c>
      <c r="C8" s="10">
        <v>3</v>
      </c>
      <c r="D8" t="s" s="13">
        <v>1300</v>
      </c>
      <c r="E8" s="11">
        <f t="shared" si="2"/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</c>
      <c r="L8" s="7">
        <v>0</v>
      </c>
      <c r="M8" s="11">
        <f t="shared" si="4"/>
      </c>
      <c r="N8" s="11">
        <f t="shared" si="5"/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>
        <f>IFERROR(CalcRC27(F8,G8,K8,O8,P8,Q8,R8,S8,T8,U8,V8),"-")</f>
      </c>
      <c r="X8" t="s" s="2">
        <v>329</v>
      </c>
    </row>
    <row r="9" spans="2:24" ht="13.8" x14ac:dyDescent="0.2">
      <c r="B9" s="8">
        <f t="shared" si="6"/>
      </c>
      <c r="C9" s="10">
        <v>4</v>
      </c>
      <c r="D9" s="13"/>
      <c r="E9" s="11">
        <f t="shared" si="2"/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</c>
      <c r="L9" s="7">
        <v>0</v>
      </c>
      <c r="M9" s="11">
        <f t="shared" si="4"/>
      </c>
      <c r="N9" s="11">
        <f t="shared" si="5"/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>
        <f>IFERROR(CalcRC27(F9,G9,K9,O9,P9,Q9,R9,S9,T9,U9,V9),"-")</f>
      </c>
      <c r="X9" s="2"/>
    </row>
    <row r="10" spans="2:24" ht="13.8" x14ac:dyDescent="0.2">
      <c r="B10" s="8">
        <f t="shared" si="6"/>
      </c>
      <c r="C10" s="10">
        <v>5</v>
      </c>
      <c r="D10" s="13"/>
      <c r="E10" s="11">
        <f t="shared" si="2"/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</c>
      <c r="L10" s="7">
        <v>0</v>
      </c>
      <c r="M10" s="11">
        <f t="shared" si="4"/>
      </c>
      <c r="N10" s="11">
        <f t="shared" si="5"/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>
        <f>IFERROR(CalcRC27(F10,G10,K10,O10,P10,Q10,R10,S10,T10,U10,V10),"-")</f>
      </c>
      <c r="X10" s="2"/>
    </row>
    <row r="11" spans="2:24" ht="13.8" x14ac:dyDescent="0.2">
      <c r="B11" s="8">
        <f t="shared" si="6"/>
      </c>
      <c r="C11" s="10">
        <v>6</v>
      </c>
      <c r="D11" t="s" s="13">
        <v>68</v>
      </c>
      <c r="E11" s="11">
        <f t="shared" si="2"/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</c>
      <c r="L11" s="7">
        <v>0</v>
      </c>
      <c r="M11" s="11">
        <f t="shared" si="4"/>
      </c>
      <c r="N11" s="11">
        <f t="shared" si="5"/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</c>
      <c r="X11" t="s" s="2">
        <v>502</v>
      </c>
    </row>
    <row r="12" spans="2:24" ht="13.8" x14ac:dyDescent="0.2">
      <c r="B12" s="8">
        <f t="shared" si="6"/>
      </c>
      <c r="C12" s="10">
        <v>7</v>
      </c>
      <c r="D12" t="s" s="13">
        <v>57</v>
      </c>
      <c r="E12" s="11">
        <f t="shared" si="2"/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</c>
      <c r="L12" s="7">
        <v>0</v>
      </c>
      <c r="M12" s="11">
        <f t="shared" si="4"/>
      </c>
      <c r="N12" s="11">
        <f t="shared" si="5"/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>
        <f>IFERROR(CalcRC27(F12,G12,K12,O12,P12,Q12,R12,S12,T12,U12,V12),"-")</f>
      </c>
      <c r="X12" t="s" s="2">
        <v>503</v>
      </c>
    </row>
    <row r="13" spans="2:24" ht="13.8" x14ac:dyDescent="0.2">
      <c r="B13" s="8">
        <f t="shared" si="6"/>
      </c>
      <c r="C13" s="10">
        <v>8</v>
      </c>
      <c r="D13" t="s" s="13">
        <v>1519</v>
      </c>
      <c r="E13" s="11">
        <f t="shared" si="2"/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</c>
      <c r="L13" s="7">
        <v>0</v>
      </c>
      <c r="M13" s="11">
        <f t="shared" si="4"/>
      </c>
      <c r="N13" s="11">
        <f t="shared" si="5"/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</c>
      <c r="X13" t="s" s="2">
        <v>517</v>
      </c>
    </row>
    <row r="14" spans="2:24" ht="13.8" x14ac:dyDescent="0.2">
      <c r="B14" s="8">
        <f t="shared" si="6"/>
      </c>
      <c r="C14" s="10">
        <v>9</v>
      </c>
      <c r="D14" t="s" s="13">
        <v>69</v>
      </c>
      <c r="E14" s="11">
        <f t="shared" si="2"/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</c>
      <c r="L14" s="7">
        <v>0</v>
      </c>
      <c r="M14" s="11">
        <f t="shared" si="4"/>
      </c>
      <c r="N14" s="11">
        <f t="shared" si="5"/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>
        <f>IFERROR(CalcRC27(F14,G14,K14,O14,P14,Q14,R14,S14,T14,U14,V14),"-")</f>
      </c>
      <c r="X14" t="s" s="2">
        <v>504</v>
      </c>
    </row>
    <row r="15" spans="2:24" ht="13.8" x14ac:dyDescent="0.2">
      <c r="B15" s="8">
        <f t="shared" si="6"/>
      </c>
      <c r="C15" s="10">
        <v>10</v>
      </c>
      <c r="D15" s="13"/>
      <c r="E15" s="11">
        <f t="shared" si="2"/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</c>
      <c r="L15" s="7">
        <v>0</v>
      </c>
      <c r="M15" s="11">
        <f t="shared" si="4"/>
      </c>
      <c r="N15" s="11">
        <f t="shared" si="5"/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</c>
      <c r="X15" s="2"/>
    </row>
    <row r="16" spans="2:24" ht="13.8" x14ac:dyDescent="0.2">
      <c r="B16" s="8">
        <f t="shared" si="6"/>
      </c>
      <c r="C16" s="10">
        <v>11</v>
      </c>
      <c r="D16" t="s" s="13">
        <v>92</v>
      </c>
      <c r="E16" s="11">
        <f t="shared" si="2"/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</c>
      <c r="L16" s="7">
        <v>0</v>
      </c>
      <c r="M16" s="11">
        <f t="shared" si="4"/>
      </c>
      <c r="N16" s="11">
        <f t="shared" si="5"/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</c>
      <c r="X16" t="s" s="2">
        <v>505</v>
      </c>
    </row>
    <row r="17" spans="2:24" ht="13.8" x14ac:dyDescent="0.2">
      <c r="B17" s="8">
        <f t="shared" si="6"/>
      </c>
      <c r="C17" s="10">
        <v>12</v>
      </c>
      <c r="D17" t="s" s="13">
        <v>1520</v>
      </c>
      <c r="E17" s="11">
        <f t="shared" si="2"/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</c>
      <c r="L17" s="7">
        <v>0</v>
      </c>
      <c r="M17" s="11">
        <f t="shared" si="4"/>
      </c>
      <c r="N17" s="11">
        <f t="shared" si="5"/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>
        <f>IFERROR(CalcRC27(F17,G17,K17,O17,P17,Q17,R17,S17,T17,U17,V17),"-")</f>
      </c>
      <c r="X17" t="s" s="2">
        <v>628</v>
      </c>
    </row>
    <row r="18" spans="2:24" ht="13.8" x14ac:dyDescent="0.2">
      <c r="B18" s="8">
        <f t="shared" si="6"/>
      </c>
      <c r="C18" s="10">
        <v>13</v>
      </c>
      <c r="D18" t="s" s="13">
        <v>1521</v>
      </c>
      <c r="E18" s="11">
        <f t="shared" si="2"/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</c>
      <c r="L18" s="7">
        <v>0</v>
      </c>
      <c r="M18" s="11">
        <f t="shared" si="4"/>
      </c>
      <c r="N18" s="11">
        <f t="shared" si="5"/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>
        <f>IFERROR(CalcRC27(F18,G18,K18,O18,P18,Q18,R18,S18,T18,U18,V18),"-")</f>
      </c>
      <c r="X18" t="s" s="2">
        <v>533</v>
      </c>
    </row>
    <row r="19" spans="2:24" ht="13.8" x14ac:dyDescent="0.2">
      <c r="B19" s="8">
        <f t="shared" si="6"/>
      </c>
      <c r="C19" s="10">
        <v>14</v>
      </c>
      <c r="D19" t="s" s="13">
        <v>787</v>
      </c>
      <c r="E19" s="11">
        <f t="shared" si="2"/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</c>
      <c r="L19" s="7">
        <v>0</v>
      </c>
      <c r="M19" s="11">
        <f t="shared" si="4"/>
      </c>
      <c r="N19" s="11">
        <f t="shared" si="5"/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>
        <f>IFERROR(CalcRC27(F19,G19,K19,O19,P19,Q19,R19,S19,T19,U19,V19),"-")</f>
      </c>
      <c r="X19" t="s" s="2">
        <v>781</v>
      </c>
    </row>
    <row r="20" spans="2:24" ht="13.8" x14ac:dyDescent="0.2">
      <c r="B20" s="8">
        <f t="shared" si="6"/>
      </c>
      <c r="C20" s="10">
        <v>15</v>
      </c>
      <c r="D20" s="8"/>
      <c r="E20" s="11">
        <f t="shared" si="2"/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</c>
      <c r="L20" s="7">
        <v>0</v>
      </c>
      <c r="M20" s="11">
        <f t="shared" si="4"/>
      </c>
      <c r="N20" s="11">
        <f t="shared" si="5"/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>
        <f>IFERROR(CalcRC27(F20,G20,K20,O20,P20,Q20,R20,S20,T20,U20,V20),"-")</f>
      </c>
      <c r="X20" s="2"/>
    </row>
    <row r="21" spans="2:24" ht="13.8" x14ac:dyDescent="0.2">
      <c r="B21" s="8">
        <f t="shared" si="6"/>
      </c>
      <c r="C21" s="10">
        <v>16</v>
      </c>
      <c r="D21" t="s" s="13">
        <v>70</v>
      </c>
      <c r="E21" s="11">
        <f t="shared" si="2"/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</c>
      <c r="L21" s="7">
        <v>0</v>
      </c>
      <c r="M21" s="11">
        <f t="shared" si="4"/>
      </c>
      <c r="N21" s="11">
        <f t="shared" si="5"/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</c>
      <c r="X21" t="s" s="2">
        <v>507</v>
      </c>
    </row>
    <row r="22" spans="2:24" ht="13.8" x14ac:dyDescent="0.2">
      <c r="B22" s="8">
        <f t="shared" si="6"/>
      </c>
      <c r="C22" s="10">
        <v>17</v>
      </c>
      <c r="D22" t="s" s="13">
        <v>1522</v>
      </c>
      <c r="E22" s="11">
        <f t="shared" si="2"/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</c>
      <c r="L22" s="7">
        <v>0</v>
      </c>
      <c r="M22" s="11">
        <f t="shared" si="4"/>
      </c>
      <c r="N22" s="11">
        <f t="shared" si="5"/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>
        <f>IFERROR(CalcRC27(F22,G22,K22,O22,P22,Q22,R22,S22,T22,U22,V22),"-")</f>
      </c>
      <c r="X22" t="s" s="2">
        <v>1589</v>
      </c>
    </row>
    <row r="23" spans="2:24" ht="13.8" x14ac:dyDescent="0.2">
      <c r="B23" s="8">
        <f t="shared" si="6"/>
      </c>
      <c r="C23" s="10">
        <v>18</v>
      </c>
      <c r="D23" t="s" s="13">
        <v>1318</v>
      </c>
      <c r="E23" s="11">
        <f t="shared" si="2"/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</c>
      <c r="L23" s="7">
        <v>0</v>
      </c>
      <c r="M23" s="11">
        <f t="shared" si="4"/>
      </c>
      <c r="N23" s="11">
        <f t="shared" si="5"/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</c>
      <c r="X23" t="s" s="2">
        <v>508</v>
      </c>
    </row>
    <row r="24" spans="2:24" ht="13.8" x14ac:dyDescent="0.2">
      <c r="B24" s="8">
        <f t="shared" si="6"/>
      </c>
      <c r="C24" s="10">
        <v>19</v>
      </c>
      <c r="D24" t="s" s="13">
        <v>93</v>
      </c>
      <c r="E24" s="11">
        <f t="shared" si="2"/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</c>
      <c r="L24" s="7">
        <v>0</v>
      </c>
      <c r="M24" s="11">
        <f t="shared" si="4"/>
      </c>
      <c r="N24" s="11">
        <f t="shared" si="5"/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</c>
      <c r="X24" t="s" s="2">
        <v>509</v>
      </c>
    </row>
    <row r="25" spans="2:24" ht="13.8" x14ac:dyDescent="0.2">
      <c r="B25" s="8">
        <f t="shared" si="6"/>
      </c>
      <c r="C25" s="10">
        <v>20</v>
      </c>
      <c r="D25" s="13"/>
      <c r="E25" s="11">
        <f t="shared" si="2"/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</c>
      <c r="L25" s="7">
        <v>0</v>
      </c>
      <c r="M25" s="11">
        <f t="shared" si="4"/>
      </c>
      <c r="N25" s="11">
        <f t="shared" si="5"/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>
        <f>IFERROR(CalcRC27(F25,G25,K25,O25,P25,Q25,R25,S25,T25,U25,V25),"-")</f>
      </c>
      <c r="X25" s="2"/>
    </row>
    <row r="26" spans="2:24" ht="13.8" x14ac:dyDescent="0.2">
      <c r="B26" s="8">
        <f t="shared" si="6"/>
      </c>
      <c r="C26" s="10">
        <v>21</v>
      </c>
      <c r="D26" t="s" s="13">
        <v>209</v>
      </c>
      <c r="E26" s="11">
        <f t="shared" si="2"/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</c>
      <c r="L26" s="7">
        <v>0</v>
      </c>
      <c r="M26" s="11">
        <f t="shared" si="4"/>
      </c>
      <c r="N26" s="11">
        <f t="shared" si="5"/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>
        <f>IFERROR(CalcRC27(F26,G26,K26,O26,P26,Q26,R26,S26,T26,U26,V26),"-")</f>
      </c>
      <c r="X26" t="s" s="2">
        <v>511</v>
      </c>
    </row>
    <row r="27" spans="2:24" ht="13.8" x14ac:dyDescent="0.2">
      <c r="B27" s="8">
        <f t="shared" si="6"/>
      </c>
      <c r="C27" s="10">
        <v>22</v>
      </c>
      <c r="D27" t="s" s="13">
        <v>193</v>
      </c>
      <c r="E27" s="11">
        <f t="shared" si="2"/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</c>
      <c r="L27" s="7">
        <v>0</v>
      </c>
      <c r="M27" s="11">
        <f t="shared" si="4"/>
      </c>
      <c r="N27" s="11">
        <f t="shared" si="5"/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>
        <f>IFERROR(CalcRC27(F27,G27,K27,O27,P27,Q27,R27,S27,T27,U27,V27),"-")</f>
      </c>
      <c r="X27" t="s" s="2">
        <v>512</v>
      </c>
    </row>
    <row r="28" spans="2:24" ht="13.8" x14ac:dyDescent="0.2">
      <c r="B28" s="8">
        <f t="shared" si="6"/>
      </c>
      <c r="C28" s="10">
        <v>23</v>
      </c>
      <c r="D28" t="s" s="13">
        <v>71</v>
      </c>
      <c r="E28" s="11">
        <f t="shared" si="2"/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</c>
      <c r="L28" s="7">
        <v>0</v>
      </c>
      <c r="M28" s="11">
        <f t="shared" si="4"/>
      </c>
      <c r="N28" s="11">
        <f t="shared" si="5"/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>
        <f>IFERROR(CalcRC27(F28,G28,K28,O28,P28,Q28,R28,S28,T28,U28,V28),"-")</f>
      </c>
      <c r="X28" t="s" s="2">
        <v>513</v>
      </c>
    </row>
    <row r="29" spans="2:24" ht="13.8" x14ac:dyDescent="0.2">
      <c r="B29" s="8">
        <f t="shared" si="6"/>
      </c>
      <c r="C29" s="10">
        <v>24</v>
      </c>
      <c r="D29" t="s" s="13">
        <v>788</v>
      </c>
      <c r="E29" s="11">
        <f t="shared" si="2"/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</c>
      <c r="L29" s="7">
        <v>0</v>
      </c>
      <c r="M29" s="11">
        <f t="shared" si="4"/>
      </c>
      <c r="N29" s="11">
        <f t="shared" si="5"/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</c>
      <c r="X29" t="s" s="2">
        <v>782</v>
      </c>
    </row>
    <row r="30" spans="2:24" ht="13.8" x14ac:dyDescent="0.2">
      <c r="B30" s="8">
        <f t="shared" si="6"/>
      </c>
      <c r="C30" s="10">
        <v>25</v>
      </c>
      <c r="D30" t="s" s="13">
        <v>1523</v>
      </c>
      <c r="E30" s="11">
        <f t="shared" si="2"/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</c>
      <c r="L30" s="7">
        <v>0</v>
      </c>
      <c r="M30" s="11">
        <f t="shared" si="4"/>
      </c>
      <c r="N30" s="11">
        <f t="shared" si="5"/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</c>
      <c r="X30" t="s" s="2">
        <v>467</v>
      </c>
    </row>
    <row r="31" spans="2:24" ht="13.8" x14ac:dyDescent="0.2">
      <c r="B31" s="8">
        <f t="shared" si="6"/>
      </c>
      <c r="C31" s="10">
        <v>26</v>
      </c>
      <c r="D31" t="s" s="13">
        <v>708</v>
      </c>
      <c r="E31" s="11">
        <f t="shared" si="2"/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</c>
      <c r="L31" s="7">
        <v>0</v>
      </c>
      <c r="M31" s="11">
        <f t="shared" si="4"/>
      </c>
      <c r="N31" s="11">
        <f t="shared" si="5"/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>
        <f>IFERROR(CalcRC27(F31,G31,K31,O31,P31,Q31,R31,S31,T31,U31,V31),"-")</f>
      </c>
      <c r="X31" t="s" s="2">
        <v>1590</v>
      </c>
    </row>
    <row r="32" spans="2:24" ht="13.8" x14ac:dyDescent="0.2">
      <c r="B32" s="8">
        <f t="shared" si="6"/>
      </c>
      <c r="C32" s="10">
        <v>27</v>
      </c>
      <c r="D32" t="s" s="13">
        <v>1524</v>
      </c>
      <c r="E32" s="11">
        <f t="shared" si="2"/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</c>
      <c r="L32" s="7">
        <v>0</v>
      </c>
      <c r="M32" s="11">
        <f t="shared" si="4"/>
      </c>
      <c r="N32" s="11">
        <f t="shared" si="5"/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</c>
      <c r="X32" t="s" s="2">
        <v>1591</v>
      </c>
    </row>
    <row r="33" spans="2:24" ht="13.8" x14ac:dyDescent="0.2">
      <c r="B33" s="8">
        <f t="shared" si="6"/>
      </c>
      <c r="C33" s="10">
        <v>28</v>
      </c>
      <c r="D33" t="s" s="13">
        <v>1525</v>
      </c>
      <c r="E33" s="11">
        <f t="shared" si="2"/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</c>
      <c r="L33" s="7">
        <v>0</v>
      </c>
      <c r="M33" s="11">
        <f t="shared" si="4"/>
      </c>
      <c r="N33" s="11">
        <f t="shared" si="5"/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</c>
      <c r="X33" t="s" s="2">
        <v>1969</v>
      </c>
    </row>
    <row r="34" spans="2:24" ht="13.8" x14ac:dyDescent="0.2">
      <c r="B34" s="8">
        <f t="shared" si="6"/>
      </c>
      <c r="C34" s="10">
        <v>29</v>
      </c>
      <c r="D34" t="s" s="13">
        <v>1292</v>
      </c>
      <c r="E34" s="11">
        <f t="shared" si="2"/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</c>
      <c r="L34" s="7">
        <v>0</v>
      </c>
      <c r="M34" s="11">
        <f t="shared" si="4"/>
      </c>
      <c r="N34" s="11">
        <f t="shared" si="5"/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>
        <f>IFERROR(CalcRC27(F34,G34,K34,O34,P34,Q34,R34,S34,T34,U34,V34),"-")</f>
      </c>
      <c r="X34" t="s" s="2">
        <v>514</v>
      </c>
    </row>
    <row r="35" spans="2:24" ht="13.8" x14ac:dyDescent="0.2">
      <c r="B35" s="8">
        <f t="shared" si="6"/>
      </c>
      <c r="C35" s="10">
        <v>30</v>
      </c>
      <c r="D35" s="13"/>
      <c r="E35" s="11">
        <f t="shared" si="2"/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</c>
      <c r="L35" s="7">
        <v>0</v>
      </c>
      <c r="M35" s="11">
        <f t="shared" si="4"/>
      </c>
      <c r="N35" s="11">
        <f t="shared" si="5"/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>
        <f>IFERROR(CalcRC27(F35,G35,K35,O35,P35,Q35,R35,S35,T35,U35,V35),"-")</f>
      </c>
      <c r="X35" s="2"/>
    </row>
    <row r="36" spans="2:24" ht="13.8" x14ac:dyDescent="0.2">
      <c r="B36" s="8">
        <f t="shared" si="6"/>
      </c>
      <c r="C36" s="10">
        <v>31</v>
      </c>
      <c r="D36" t="s" s="13">
        <v>789</v>
      </c>
      <c r="E36" s="11">
        <f t="shared" si="2"/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</c>
      <c r="L36" s="7">
        <v>0</v>
      </c>
      <c r="M36" s="11">
        <f t="shared" si="4"/>
      </c>
      <c r="N36" s="11">
        <f t="shared" si="5"/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>
        <f>IFERROR(CalcRC27(F36,G36,K36,O36,P36,Q36,R36,S36,T36,U36,V36),"-")</f>
      </c>
      <c r="X36" t="s" s="2">
        <v>783</v>
      </c>
    </row>
    <row r="37" spans="2:24" ht="13.8" x14ac:dyDescent="0.2">
      <c r="B37" s="8">
        <f t="shared" si="6"/>
      </c>
      <c r="C37" s="10">
        <v>32</v>
      </c>
      <c r="D37" t="s" s="13">
        <v>94</v>
      </c>
      <c r="E37" s="11">
        <f t="shared" si="2"/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</c>
      <c r="L37" s="7">
        <v>0</v>
      </c>
      <c r="M37" s="11">
        <f t="shared" si="4"/>
      </c>
      <c r="N37" s="11">
        <f t="shared" si="5"/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>
        <f>IFERROR(CalcRC27(F37,G37,K37,O37,P37,Q37,R37,S37,T37,U37,V37),"-")</f>
      </c>
      <c r="X37" t="s" s="2">
        <v>516</v>
      </c>
    </row>
    <row r="38" spans="2:24" ht="13.8" x14ac:dyDescent="0.2">
      <c r="B38" s="8">
        <f t="shared" si="6"/>
      </c>
      <c r="C38" s="10">
        <v>33</v>
      </c>
      <c r="D38" t="s" s="13">
        <v>1526</v>
      </c>
      <c r="E38" s="11">
        <f t="shared" si="2"/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</c>
      <c r="L38" s="7">
        <v>0</v>
      </c>
      <c r="M38" s="11">
        <f t="shared" si="4"/>
      </c>
      <c r="N38" s="11">
        <f t="shared" si="5"/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>
        <f>IFERROR(CalcRC27(F38,G38,K38,O38,P38,Q38,R38,S38,T38,U38,V38),"-")</f>
      </c>
      <c r="X38" t="s" s="2">
        <v>1592</v>
      </c>
    </row>
    <row r="39" spans="2:24" ht="13.8" x14ac:dyDescent="0.2">
      <c r="B39" s="8">
        <f t="shared" si="6"/>
      </c>
      <c r="C39" s="10">
        <v>34</v>
      </c>
      <c r="D39" t="s" s="13">
        <v>1527</v>
      </c>
      <c r="E39" s="11">
        <f t="shared" si="2"/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</c>
      <c r="L39" s="7">
        <v>0</v>
      </c>
      <c r="M39" s="11">
        <f t="shared" si="4"/>
      </c>
      <c r="N39" s="11">
        <f t="shared" si="5"/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>
        <f>IFERROR(CalcRC27(F39,G39,K39,O39,P39,Q39,R39,S39,T39,U39,V39),"-")</f>
      </c>
      <c r="X39" t="s" s="2">
        <v>1593</v>
      </c>
    </row>
    <row r="40" spans="2:24" ht="13.8" x14ac:dyDescent="0.2">
      <c r="B40" s="8">
        <f t="shared" si="6"/>
      </c>
      <c r="C40" s="10">
        <v>35</v>
      </c>
      <c r="D40" t="s" s="13">
        <v>194</v>
      </c>
      <c r="E40" s="11">
        <f t="shared" si="2"/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</c>
      <c r="L40" s="7">
        <v>0</v>
      </c>
      <c r="M40" s="11">
        <f t="shared" si="4"/>
      </c>
      <c r="N40" s="11">
        <f t="shared" si="5"/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>
        <f>IFERROR(CalcRC27(F40,G40,K40,O40,P40,Q40,R40,S40,T40,U40,V40),"-")</f>
      </c>
      <c r="X40" t="s" s="2">
        <v>1970</v>
      </c>
    </row>
    <row r="41" spans="2:24" ht="13.8" x14ac:dyDescent="0.2">
      <c r="B41" s="8">
        <f t="shared" si="6"/>
      </c>
      <c r="C41" s="10">
        <v>36</v>
      </c>
      <c r="D41" t="s" s="13">
        <v>1528</v>
      </c>
      <c r="E41" s="11">
        <f t="shared" si="2"/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</c>
      <c r="L41" s="7">
        <v>0</v>
      </c>
      <c r="M41" s="11">
        <f t="shared" si="4"/>
      </c>
      <c r="N41" s="11">
        <f t="shared" si="5"/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>
        <f>IFERROR(CalcRC27(F41,G41,K41,O41,P41,Q41,R41,S41,T41,U41,V41),"-")</f>
      </c>
      <c r="X41" t="s" s="2">
        <v>1594</v>
      </c>
    </row>
    <row r="42" spans="2:24" ht="13.8" x14ac:dyDescent="0.2">
      <c r="B42" s="8">
        <f t="shared" si="6"/>
      </c>
      <c r="C42" s="10">
        <v>37</v>
      </c>
      <c r="D42" t="s" s="13">
        <v>1529</v>
      </c>
      <c r="E42" s="11">
        <f t="shared" si="2"/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</c>
      <c r="L42" s="7">
        <v>0</v>
      </c>
      <c r="M42" s="11">
        <f t="shared" si="4"/>
      </c>
      <c r="N42" s="11">
        <f t="shared" si="5"/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>
        <f>IFERROR(CalcRC27(F42,G42,K42,O42,P42,Q42,R42,S42,T42,U42,V42),"-")</f>
      </c>
      <c r="X42" t="s" s="2">
        <v>1529</v>
      </c>
    </row>
    <row r="43" spans="2:24" ht="13.8" x14ac:dyDescent="0.2">
      <c r="B43" s="8">
        <f t="shared" si="6"/>
      </c>
      <c r="C43" s="10">
        <v>38</v>
      </c>
      <c r="D43" t="s" s="13">
        <v>1530</v>
      </c>
      <c r="E43" s="11">
        <f t="shared" si="2"/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</c>
      <c r="L43" s="7">
        <v>0</v>
      </c>
      <c r="M43" s="11">
        <f t="shared" si="4"/>
      </c>
      <c r="N43" s="11">
        <f t="shared" si="5"/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>
        <f>IFERROR(CalcRC27(F43,G43,K43,O43,P43,Q43,R43,S43,T43,U43,V43),"-")</f>
      </c>
      <c r="X43" t="s" s="2">
        <v>1595</v>
      </c>
    </row>
    <row r="44" spans="2:24" ht="13.8" x14ac:dyDescent="0.2">
      <c r="B44" s="8">
        <f t="shared" si="6"/>
      </c>
      <c r="C44" s="10">
        <v>39</v>
      </c>
      <c r="D44" t="s" s="13">
        <v>195</v>
      </c>
      <c r="E44" s="11">
        <f t="shared" si="2"/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</c>
      <c r="L44" s="7">
        <v>0</v>
      </c>
      <c r="M44" s="11">
        <f t="shared" si="4"/>
      </c>
      <c r="N44" s="11">
        <f t="shared" si="5"/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>
        <f>IFERROR(CalcRC27(F44,G44,K44,O44,P44,Q44,R44,S44,T44,U44,V44),"-")</f>
      </c>
      <c r="X44" t="s" s="2">
        <v>519</v>
      </c>
    </row>
    <row r="45" spans="2:24" ht="13.8" x14ac:dyDescent="0.2">
      <c r="B45" s="8">
        <f t="shared" si="6"/>
      </c>
      <c r="C45" s="10">
        <v>40</v>
      </c>
      <c r="D45" t="s" s="13">
        <v>1670</v>
      </c>
      <c r="E45" s="11">
        <f t="shared" si="2"/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</c>
      <c r="L45" s="7">
        <v>0</v>
      </c>
      <c r="M45" s="11">
        <f t="shared" si="4"/>
      </c>
      <c r="N45" s="11">
        <f t="shared" si="5"/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>
        <f>IFERROR(CalcRC27(F45,G45,K45,O45,P45,Q45,R45,S45,T45,U45,V45),"-")</f>
      </c>
      <c r="X45" t="s" s="2">
        <v>520</v>
      </c>
    </row>
    <row r="46" spans="2:24" ht="13.8" x14ac:dyDescent="0.2">
      <c r="B46" s="8">
        <f t="shared" si="6"/>
      </c>
      <c r="C46" s="10">
        <v>41</v>
      </c>
      <c r="D46" t="s" s="13">
        <v>1531</v>
      </c>
      <c r="E46" s="11">
        <f t="shared" si="2"/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</c>
      <c r="L46" s="7">
        <v>0</v>
      </c>
      <c r="M46" s="11">
        <f t="shared" si="4"/>
      </c>
      <c r="N46" s="11">
        <f t="shared" si="5"/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>
        <f>IFERROR(CalcRC27(F46,G46,K46,O46,P46,Q46,R46,S46,T46,U46,V46),"-")</f>
      </c>
      <c r="X46" t="s" s="2">
        <v>1596</v>
      </c>
    </row>
    <row r="47" spans="2:24" ht="13.8" x14ac:dyDescent="0.2">
      <c r="B47" s="8">
        <f t="shared" si="6"/>
      </c>
      <c r="C47" s="10">
        <v>42</v>
      </c>
      <c r="D47" s="13"/>
      <c r="E47" s="11">
        <f t="shared" si="2"/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</c>
      <c r="L47" s="7">
        <v>0</v>
      </c>
      <c r="M47" s="11">
        <f t="shared" si="4"/>
      </c>
      <c r="N47" s="11">
        <f t="shared" si="5"/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</c>
      <c r="X47" s="2"/>
    </row>
    <row r="48" spans="2:24" ht="13.8" x14ac:dyDescent="0.2">
      <c r="B48" s="8">
        <f t="shared" si="6"/>
      </c>
      <c r="C48" s="10">
        <v>43</v>
      </c>
      <c r="D48" t="s" s="13">
        <v>1330</v>
      </c>
      <c r="E48" s="11">
        <f t="shared" si="2"/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</c>
      <c r="L48" s="7">
        <v>0</v>
      </c>
      <c r="M48" s="11">
        <f t="shared" si="4"/>
      </c>
      <c r="N48" s="11">
        <f t="shared" si="5"/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>
        <f>IFERROR(CalcRC27(F48,G48,K48,O48,P48,Q48,R48,S48,T48,U48,V48),"-")</f>
      </c>
      <c r="X48" t="s" s="2">
        <v>521</v>
      </c>
    </row>
    <row r="49" spans="2:24" ht="13.8" x14ac:dyDescent="0.2">
      <c r="B49" s="8">
        <f t="shared" si="6"/>
      </c>
      <c r="C49" s="10">
        <v>44</v>
      </c>
      <c r="D49" t="s" s="13">
        <v>196</v>
      </c>
      <c r="E49" s="11">
        <f t="shared" si="2"/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</c>
      <c r="L49" s="7">
        <v>0</v>
      </c>
      <c r="M49" s="11">
        <f t="shared" si="4"/>
      </c>
      <c r="N49" s="11">
        <f t="shared" si="5"/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</c>
      <c r="X49" t="s" s="2">
        <v>522</v>
      </c>
    </row>
    <row r="50" spans="2:24" ht="13.8" x14ac:dyDescent="0.2">
      <c r="B50" s="8">
        <f t="shared" si="6"/>
      </c>
      <c r="C50" s="10">
        <v>45</v>
      </c>
      <c r="D50" t="s" s="13">
        <v>58</v>
      </c>
      <c r="E50" s="11">
        <f t="shared" si="2"/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</c>
      <c r="L50" s="7">
        <v>0</v>
      </c>
      <c r="M50" s="11">
        <f t="shared" si="4"/>
      </c>
      <c r="N50" s="11">
        <f t="shared" si="5"/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>
        <f>IFERROR(CalcRC27(F50,G50,K50,O50,P50,Q50,R50,S50,T50,U50,V50),"-")</f>
      </c>
      <c r="X50" t="s" s="2">
        <v>67</v>
      </c>
    </row>
    <row r="51" spans="2:24" ht="13.8" x14ac:dyDescent="0.2">
      <c r="B51" s="8">
        <f t="shared" si="6"/>
      </c>
      <c r="C51" s="10">
        <v>46</v>
      </c>
      <c r="D51" t="s" s="13">
        <v>197</v>
      </c>
      <c r="E51" s="11">
        <f t="shared" si="2"/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</c>
      <c r="L51" s="7">
        <v>0</v>
      </c>
      <c r="M51" s="11">
        <f t="shared" si="4"/>
      </c>
      <c r="N51" s="11">
        <f t="shared" si="5"/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</c>
      <c r="X51" t="s" s="2">
        <v>198</v>
      </c>
    </row>
    <row r="52" spans="2:24" ht="13.8" x14ac:dyDescent="0.2">
      <c r="B52" s="8">
        <f t="shared" si="6"/>
      </c>
      <c r="C52" s="10">
        <v>47</v>
      </c>
      <c r="D52" t="s" s="13">
        <v>1532</v>
      </c>
      <c r="E52" s="11">
        <f t="shared" si="2"/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</c>
      <c r="L52" s="7">
        <v>0</v>
      </c>
      <c r="M52" s="11">
        <f t="shared" si="4"/>
      </c>
      <c r="N52" s="11">
        <f t="shared" si="5"/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>
        <f>IFERROR(CalcRC27(F52,G52,K52,O52,P52,Q52,R52,S52,T52,U52,V52),"-")</f>
      </c>
      <c r="X52" t="s" s="2">
        <v>1597</v>
      </c>
    </row>
    <row r="53" spans="2:24" ht="13.8" x14ac:dyDescent="0.2">
      <c r="B53" s="8">
        <f t="shared" si="6"/>
      </c>
      <c r="C53" s="10">
        <v>48</v>
      </c>
      <c r="D53" t="s" s="13">
        <v>1533</v>
      </c>
      <c r="E53" s="11">
        <f t="shared" si="2"/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</c>
      <c r="L53" s="7">
        <v>0</v>
      </c>
      <c r="M53" s="11">
        <f t="shared" si="4"/>
      </c>
      <c r="N53" s="11">
        <f t="shared" si="5"/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>
        <f>IFERROR(CalcRC27(F53,G53,K53,O53,P53,Q53,R53,S53,T53,U53,V53),"-")</f>
      </c>
      <c r="X53" t="s" s="2">
        <v>784</v>
      </c>
    </row>
    <row r="54" spans="2:24" ht="13.8" x14ac:dyDescent="0.2">
      <c r="B54" s="8">
        <f t="shared" si="6"/>
      </c>
      <c r="C54" s="10">
        <v>49</v>
      </c>
      <c r="D54" t="s" s="13">
        <v>1534</v>
      </c>
      <c r="E54" s="11">
        <f t="shared" si="2"/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</c>
      <c r="L54" s="7">
        <v>0</v>
      </c>
      <c r="M54" s="11">
        <f t="shared" si="4"/>
      </c>
      <c r="N54" s="11">
        <f t="shared" si="5"/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</c>
      <c r="X54" t="s" s="2">
        <v>1598</v>
      </c>
    </row>
    <row r="55" spans="2:24" ht="13.8" x14ac:dyDescent="0.2">
      <c r="B55" s="8">
        <f t="shared" si="6"/>
      </c>
      <c r="C55" s="10">
        <v>50</v>
      </c>
      <c r="D55" t="s" s="13">
        <v>72</v>
      </c>
      <c r="E55" s="11">
        <f t="shared" si="2"/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</c>
      <c r="L55" s="7">
        <v>0</v>
      </c>
      <c r="M55" s="11">
        <f t="shared" si="4"/>
      </c>
      <c r="N55" s="11">
        <f t="shared" si="5"/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>
        <f>IFERROR(CalcRC27(F55,G55,K55,O55,P55,Q55,R55,S55,T55,U55,V55),"-")</f>
      </c>
      <c r="X55" t="s" s="2">
        <v>523</v>
      </c>
    </row>
    <row r="56" spans="2:24" ht="13.8" x14ac:dyDescent="0.2">
      <c r="B56" s="8">
        <f t="shared" si="6"/>
      </c>
      <c r="C56" s="10">
        <v>51</v>
      </c>
      <c r="D56" t="s" s="13">
        <v>1450</v>
      </c>
      <c r="E56" s="11">
        <f t="shared" si="2"/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</c>
      <c r="L56" s="7">
        <v>0</v>
      </c>
      <c r="M56" s="11">
        <f t="shared" si="4"/>
      </c>
      <c r="N56" s="11">
        <f t="shared" si="5"/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>
        <f>IFERROR(CalcRC27(F56,G56,K56,O56,P56,Q56,R56,S56,T56,U56,V56),"-")</f>
      </c>
      <c r="X56" t="s" s="2">
        <v>524</v>
      </c>
    </row>
    <row r="57" spans="2:24" ht="13.8" x14ac:dyDescent="0.2">
      <c r="B57" s="8">
        <f t="shared" si="6"/>
      </c>
      <c r="C57" s="10">
        <v>52</v>
      </c>
      <c r="D57" t="s" s="13">
        <v>96</v>
      </c>
      <c r="E57" s="11">
        <f t="shared" si="2"/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</c>
      <c r="L57" s="7">
        <v>0</v>
      </c>
      <c r="M57" s="11">
        <f t="shared" si="4"/>
      </c>
      <c r="N57" s="11">
        <f t="shared" si="5"/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>
        <f>IFERROR(CalcRC27(F57,G57,K57,O57,P57,Q57,R57,S57,T57,U57,V57),"-")</f>
      </c>
      <c r="X57" t="s" s="2">
        <v>96</v>
      </c>
    </row>
    <row r="58" spans="2:24" ht="13.8" x14ac:dyDescent="0.2">
      <c r="B58" s="8">
        <f t="shared" si="6"/>
      </c>
      <c r="C58" s="10">
        <v>53</v>
      </c>
      <c r="D58" t="s" s="13">
        <v>1535</v>
      </c>
      <c r="E58" s="11">
        <f t="shared" si="2"/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</c>
      <c r="L58" s="7">
        <v>0</v>
      </c>
      <c r="M58" s="11">
        <f t="shared" si="4"/>
      </c>
      <c r="N58" s="11">
        <f t="shared" si="5"/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>
        <f>IFERROR(CalcRC27(F58,G58,K58,O58,P58,Q58,R58,S58,T58,U58,V58),"-")</f>
      </c>
      <c r="X58" t="s" s="2">
        <v>1599</v>
      </c>
    </row>
    <row r="59" spans="2:24" ht="13.8" x14ac:dyDescent="0.2">
      <c r="B59" s="8">
        <f t="shared" si="6"/>
      </c>
      <c r="C59" s="10">
        <v>54</v>
      </c>
      <c r="D59" t="s" s="13">
        <v>1179</v>
      </c>
      <c r="E59" s="11">
        <f t="shared" si="2"/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</c>
      <c r="L59" s="7">
        <v>0</v>
      </c>
      <c r="M59" s="11">
        <f t="shared" si="4"/>
      </c>
      <c r="N59" s="11">
        <f t="shared" si="5"/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>
        <f>IFERROR(CalcRC27(F59,G59,K59,O59,P59,Q59,R59,S59,T59,U59,V59),"-")</f>
      </c>
      <c r="X59" t="s" s="2">
        <v>1971</v>
      </c>
    </row>
    <row r="60" spans="2:24" ht="13.8" x14ac:dyDescent="0.2">
      <c r="B60" s="8">
        <f t="shared" si="6"/>
      </c>
      <c r="C60" s="10">
        <v>55</v>
      </c>
      <c r="D60" t="s" s="13">
        <v>1685</v>
      </c>
      <c r="E60" s="11">
        <f t="shared" si="2"/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</c>
      <c r="L60" s="7">
        <v>0</v>
      </c>
      <c r="M60" s="11">
        <f t="shared" si="4"/>
      </c>
      <c r="N60" s="11">
        <f t="shared" si="5"/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>
        <f>IFERROR(CalcRC27(F60,G60,K60,O60,P60,Q60,R60,S60,T60,U60,V60),"-")</f>
      </c>
      <c r="X60" t="s" s="2">
        <v>526</v>
      </c>
    </row>
    <row r="61" spans="2:24" ht="13.8" x14ac:dyDescent="0.2">
      <c r="B61" s="8">
        <f t="shared" si="6"/>
      </c>
      <c r="C61" s="10">
        <v>56</v>
      </c>
      <c r="D61" t="s" s="13">
        <v>74</v>
      </c>
      <c r="E61" s="11">
        <f t="shared" si="2"/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</c>
      <c r="L61" s="7">
        <v>0</v>
      </c>
      <c r="M61" s="11">
        <f t="shared" si="4"/>
      </c>
      <c r="N61" s="11">
        <f t="shared" si="5"/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>
        <f>IFERROR(CalcRC27(F61,G61,K61,O61,P61,Q61,R61,S61,T61,U61,V61),"-")</f>
      </c>
      <c r="X61" t="s" s="2">
        <v>527</v>
      </c>
    </row>
    <row r="62" spans="2:24" ht="13.8" x14ac:dyDescent="0.2">
      <c r="B62" s="8">
        <f t="shared" si="6"/>
      </c>
      <c r="C62" s="10">
        <v>57</v>
      </c>
      <c r="D62" s="13"/>
      <c r="E62" s="11">
        <f t="shared" si="2"/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</c>
      <c r="L62" s="7">
        <v>0</v>
      </c>
      <c r="M62" s="11">
        <f t="shared" si="4"/>
      </c>
      <c r="N62" s="11">
        <f t="shared" si="5"/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>
        <f>IFERROR(CalcRC27(F62,G62,K62,O62,P62,Q62,R62,S62,T62,U62,V62),"-")</f>
      </c>
      <c r="X62" s="2"/>
    </row>
    <row r="63" spans="2:24" ht="13.8" x14ac:dyDescent="0.2">
      <c r="B63" s="8">
        <f t="shared" si="6"/>
      </c>
      <c r="C63" s="10">
        <v>58</v>
      </c>
      <c r="D63" t="s" s="13">
        <v>1541</v>
      </c>
      <c r="E63" s="11">
        <f t="shared" si="2"/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</c>
      <c r="L63" s="7">
        <v>0</v>
      </c>
      <c r="M63" s="11">
        <f t="shared" si="4"/>
      </c>
      <c r="N63" s="11">
        <f t="shared" si="5"/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>
        <f>IFERROR(CalcRC27(F63,G63,K63,O63,P63,Q63,R63,S63,T63,U63,V63),"-")</f>
      </c>
      <c r="X63" t="s" s="2">
        <v>785</v>
      </c>
    </row>
    <row r="64" spans="2:24" ht="13.8" x14ac:dyDescent="0.2">
      <c r="B64" s="8">
        <f t="shared" si="6"/>
      </c>
      <c r="C64" s="10">
        <v>59</v>
      </c>
      <c r="D64" t="s" s="13">
        <v>1536</v>
      </c>
      <c r="E64" s="11">
        <f t="shared" si="2"/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</c>
      <c r="L64" s="7">
        <v>0</v>
      </c>
      <c r="M64" s="11">
        <f t="shared" si="4"/>
      </c>
      <c r="N64" s="11">
        <f t="shared" si="5"/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>
        <f>IFERROR(CalcRC27(F64,G64,K64,O64,P64,Q64,R64,S64,T64,U64,V64),"-")</f>
      </c>
      <c r="X64" t="s" s="2">
        <v>1600</v>
      </c>
    </row>
    <row r="65" spans="2:24" ht="13.8" x14ac:dyDescent="0.2">
      <c r="B65" s="8">
        <f t="shared" si="6"/>
      </c>
      <c r="C65" s="10">
        <v>60</v>
      </c>
      <c r="D65" t="s" s="13">
        <v>1537</v>
      </c>
      <c r="E65" s="11">
        <f t="shared" si="2"/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</c>
      <c r="L65" s="7">
        <v>0</v>
      </c>
      <c r="M65" s="11">
        <f t="shared" si="4"/>
      </c>
      <c r="N65" s="11">
        <f t="shared" si="5"/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>
        <f>IFERROR(CalcRC27(F65,G65,K65,O65,P65,Q65,R65,S65,T65,U65,V65),"-")</f>
      </c>
      <c r="X65" t="s" s="2">
        <v>1601</v>
      </c>
    </row>
    <row r="66" spans="2:24" ht="13.8" x14ac:dyDescent="0.2">
      <c r="B66" s="8">
        <f t="shared" si="6"/>
      </c>
      <c r="C66" s="10">
        <v>61</v>
      </c>
      <c r="D66" t="s" s="13">
        <v>1695</v>
      </c>
      <c r="E66" s="11">
        <f t="shared" si="2"/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</c>
      <c r="L66" s="7">
        <v>0</v>
      </c>
      <c r="M66" s="11">
        <f t="shared" si="4"/>
      </c>
      <c r="N66" s="11">
        <f t="shared" si="5"/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>
        <f>IFERROR(CalcRC27(F66,G66,K66,O66,P66,Q66,R66,S66,T66,U66,V66),"-")</f>
      </c>
      <c r="X66" t="s" s="2">
        <v>528</v>
      </c>
    </row>
    <row r="67" spans="2:24" ht="13.8" x14ac:dyDescent="0.2">
      <c r="B67" s="8">
        <f t="shared" si="6"/>
      </c>
      <c r="C67" s="10">
        <v>62</v>
      </c>
      <c r="D67" t="s" s="13">
        <v>95</v>
      </c>
      <c r="E67" s="11">
        <f t="shared" si="2"/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</c>
      <c r="L67" s="7">
        <v>0</v>
      </c>
      <c r="M67" s="11">
        <f t="shared" si="4"/>
      </c>
      <c r="N67" s="11">
        <f t="shared" si="5"/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>
        <f>IFERROR(CalcRC27(F67,G67,K67,O67,P67,Q67,R67,S67,T67,U67,V67),"-")</f>
      </c>
      <c r="X67" t="s" s="2">
        <v>529</v>
      </c>
    </row>
    <row r="68" spans="2:24" ht="13.8" x14ac:dyDescent="0.2">
      <c r="B68" s="8">
        <f t="shared" si="6"/>
      </c>
      <c r="C68" s="10">
        <v>63</v>
      </c>
      <c r="D68" t="s" s="9">
        <v>1538</v>
      </c>
      <c r="E68" s="11">
        <f t="shared" si="2"/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</c>
      <c r="L68" s="7">
        <v>0</v>
      </c>
      <c r="M68" s="11">
        <f t="shared" ref="M68:M131" si="8">IFERROR(IF((G68+P68+Q68)/(F68+P68+Q68+S68)=1,"1.00",(G68+P68+Q68)/(F68+P68+Q68+S68)),0)</f>
      </c>
      <c r="N68" s="11">
        <f t="shared" ref="N68:N131" si="9">IFERROR(SUM(K68/F68,((G68+P68+Q68)/(F68+P68+Q68+S68))),M68)</f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>
        <f>IFERROR(CalcRC27(F68,G68,K68,O68,P68,Q68,R68,S68,T68,U68,V68),"-")</f>
      </c>
      <c r="X68" t="s" s="2">
        <v>1972</v>
      </c>
    </row>
    <row r="69" spans="2:24" ht="13.8" x14ac:dyDescent="0.2">
      <c r="B69" s="8">
        <f t="shared" ref="B69:B132" si="10">IF(C69="","",C69)</f>
      </c>
      <c r="C69" s="10">
        <v>64</v>
      </c>
      <c r="D69" t="s" s="13">
        <v>1539</v>
      </c>
      <c r="E69" s="11">
        <f t="shared" ref="E69:E132" si="11">IFERROR(IF(G69/F69=1,"1.00",G69/F69),"---")</f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</c>
      <c r="L69" s="7">
        <v>0</v>
      </c>
      <c r="M69" s="11">
        <f t="shared" si="8"/>
      </c>
      <c r="N69" s="11">
        <f t="shared" si="9"/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>
        <f>IFERROR(CalcRC27(F69,G69,K69,O69,P69,Q69,R69,S69,T69,U69,V69),"-")</f>
      </c>
      <c r="X69" t="s" s="2">
        <v>1602</v>
      </c>
    </row>
    <row r="70" spans="2:24" ht="13.8" x14ac:dyDescent="0.2">
      <c r="B70" s="8">
        <f t="shared" si="10"/>
      </c>
      <c r="C70" s="10">
        <v>65</v>
      </c>
      <c r="D70" t="s" s="9">
        <v>1540</v>
      </c>
      <c r="E70" s="11">
        <f t="shared" si="11"/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</c>
      <c r="L70" s="7">
        <v>0</v>
      </c>
      <c r="M70" s="11">
        <f t="shared" si="8"/>
      </c>
      <c r="N70" s="11">
        <f t="shared" si="9"/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>
        <f>IFERROR(CalcRC27(F70,G70,K70,O70,P70,Q70,R70,S70,T70,U70,V70),"-")</f>
      </c>
      <c r="X70" t="s" s="2">
        <v>1603</v>
      </c>
    </row>
    <row r="71" spans="2:24" ht="13.8" x14ac:dyDescent="0.2">
      <c r="B71" s="8">
        <f t="shared" si="10"/>
      </c>
      <c r="C71" s="10">
        <v>66</v>
      </c>
      <c r="D71" t="s" s="13">
        <v>60</v>
      </c>
      <c r="E71" s="11">
        <f t="shared" si="11"/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</c>
      <c r="L71" s="7">
        <v>0</v>
      </c>
      <c r="M71" s="11">
        <f t="shared" si="8"/>
      </c>
      <c r="N71" s="11">
        <f t="shared" si="9"/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>
        <f>IFERROR(CalcRC27(F71,G71,K71,O71,P71,Q71,R71,S71,T71,U71,V71),"-")</f>
      </c>
      <c r="X71" t="s" s="2">
        <v>531</v>
      </c>
    </row>
    <row r="72" spans="2:24" ht="13.8" x14ac:dyDescent="0.2">
      <c r="B72" s="8">
        <f t="shared" si="10"/>
      </c>
      <c r="C72" s="10">
        <v>67</v>
      </c>
      <c r="D72" t="s" s="13">
        <v>75</v>
      </c>
      <c r="E72" s="11">
        <f t="shared" si="11"/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</c>
      <c r="L72" s="7">
        <v>0</v>
      </c>
      <c r="M72" s="11">
        <f t="shared" si="8"/>
      </c>
      <c r="N72" s="11">
        <f t="shared" si="9"/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>
        <f>IFERROR(CalcRC27(F72,G72,K72,O72,P72,Q72,R72,S72,T72,U72,V72),"-")</f>
      </c>
      <c r="X72" t="s" s="2">
        <v>532</v>
      </c>
    </row>
    <row r="73" spans="2:24" ht="13.8" x14ac:dyDescent="0.2">
      <c r="B73" s="8">
        <f t="shared" si="10"/>
      </c>
      <c r="C73" s="10">
        <v>68</v>
      </c>
      <c r="D73" t="s" s="13">
        <v>1541</v>
      </c>
      <c r="E73" s="11">
        <f t="shared" si="11"/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</c>
      <c r="L73" s="7">
        <v>0</v>
      </c>
      <c r="M73" s="11">
        <f t="shared" si="8"/>
      </c>
      <c r="N73" s="11">
        <f t="shared" si="9"/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>
        <f>IFERROR(CalcRC27(F73,G73,K73,O73,P73,Q73,R73,S73,T73,U73,V73),"-")</f>
      </c>
      <c r="X73" t="s" s="2">
        <v>1604</v>
      </c>
    </row>
    <row r="74" spans="2:24" ht="13.8" x14ac:dyDescent="0.2">
      <c r="B74" s="8">
        <f t="shared" si="10"/>
      </c>
      <c r="C74" s="10">
        <v>69</v>
      </c>
      <c r="D74" s="13"/>
      <c r="E74" s="11">
        <f t="shared" si="11"/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</c>
      <c r="L74" s="7">
        <v>0</v>
      </c>
      <c r="M74" s="11">
        <f t="shared" si="8"/>
      </c>
      <c r="N74" s="11">
        <f t="shared" si="9"/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>
        <f>IFERROR(CalcRC27(F74,G74,K74,O74,P74,Q74,R74,S74,T74,U74,V74),"-")</f>
      </c>
      <c r="X74" s="2"/>
    </row>
    <row r="75" spans="2:24" ht="13.8" x14ac:dyDescent="0.2">
      <c r="B75" s="8">
        <f t="shared" si="10"/>
      </c>
      <c r="C75" s="10">
        <v>70</v>
      </c>
      <c r="D75" t="s" s="8">
        <v>1127</v>
      </c>
      <c r="E75" s="11">
        <f t="shared" si="11"/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</c>
      <c r="L75" s="7">
        <v>0</v>
      </c>
      <c r="M75" s="11">
        <f t="shared" si="8"/>
      </c>
      <c r="N75" s="11">
        <f t="shared" si="9"/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>
        <f>IFERROR(CalcRC27(F75,G75,K75,O75,P75,Q75,R75,S75,T75,U75,V75),"-")</f>
      </c>
      <c r="X75" t="s" s="2">
        <v>535</v>
      </c>
    </row>
    <row r="76" spans="2:24" ht="13.8" x14ac:dyDescent="0.2">
      <c r="B76" s="8">
        <f t="shared" si="10"/>
      </c>
      <c r="C76" s="10">
        <v>71</v>
      </c>
      <c r="D76" s="8"/>
      <c r="E76" s="11">
        <f t="shared" si="11"/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</c>
      <c r="L76" s="7">
        <v>0</v>
      </c>
      <c r="M76" s="11">
        <f t="shared" si="8"/>
      </c>
      <c r="N76" s="11">
        <f t="shared" si="9"/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>
        <f>IFERROR(CalcRC27(F76,G76,K76,O76,P76,Q76,R76,S76,T76,U76,V76),"-")</f>
      </c>
      <c r="X76" s="2"/>
    </row>
    <row r="77" spans="2:24" ht="13.8" x14ac:dyDescent="0.2">
      <c r="B77" s="8">
        <f t="shared" si="10"/>
      </c>
      <c r="C77" s="10">
        <v>72</v>
      </c>
      <c r="D77" s="8"/>
      <c r="E77" s="11">
        <f t="shared" si="11"/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</c>
      <c r="L77" s="7">
        <v>0</v>
      </c>
      <c r="M77" s="11">
        <f t="shared" si="8"/>
      </c>
      <c r="N77" s="11">
        <f t="shared" si="9"/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>
        <f>IFERROR(CalcRC27(F77,G77,K77,O77,P77,Q77,R77,S77,T77,U77,V77),"-")</f>
      </c>
      <c r="X77" s="2"/>
    </row>
    <row r="78" spans="2:24" ht="13.8" x14ac:dyDescent="0.2">
      <c r="B78" s="8">
        <f t="shared" si="10"/>
      </c>
      <c r="C78" s="10">
        <v>73</v>
      </c>
      <c r="D78" s="8"/>
      <c r="E78" s="11">
        <f t="shared" si="11"/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</c>
      <c r="L78" s="7">
        <v>0</v>
      </c>
      <c r="M78" s="11">
        <f t="shared" si="8"/>
      </c>
      <c r="N78" s="11">
        <f t="shared" si="9"/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>
        <f>IFERROR(CalcRC27(F78,G78,K78,O78,P78,Q78,R78,S78,T78,U78,V78),"-")</f>
      </c>
      <c r="X78" s="2"/>
    </row>
    <row r="79" spans="2:24" ht="13.8" x14ac:dyDescent="0.2">
      <c r="B79" s="8">
        <f t="shared" si="10"/>
      </c>
      <c r="C79" s="10">
        <v>74</v>
      </c>
      <c r="D79" s="8"/>
      <c r="E79" s="11">
        <f t="shared" si="11"/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</c>
      <c r="L79" s="7">
        <v>0</v>
      </c>
      <c r="M79" s="11">
        <f t="shared" si="8"/>
      </c>
      <c r="N79" s="11">
        <f t="shared" si="9"/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>
        <f>IFERROR(CalcRC27(F79,G79,K79,O79,P79,Q79,R79,S79,T79,U79,V79),"-")</f>
      </c>
      <c r="X79" s="2"/>
    </row>
    <row r="80" spans="2:24" ht="13.8" x14ac:dyDescent="0.2">
      <c r="B80" s="8">
        <f t="shared" si="10"/>
      </c>
      <c r="C80" s="10">
        <v>75</v>
      </c>
      <c r="D80" s="8"/>
      <c r="E80" s="11">
        <f t="shared" si="11"/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</c>
      <c r="L80" s="7">
        <v>0</v>
      </c>
      <c r="M80" s="11">
        <f t="shared" si="8"/>
      </c>
      <c r="N80" s="11">
        <f t="shared" si="9"/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>
        <f>IFERROR(CalcRC27(F80,G80,K80,O80,P80,Q80,R80,S80,T80,U80,V80),"-")</f>
      </c>
      <c r="X80" s="2"/>
    </row>
    <row r="81" spans="2:24" ht="13.8" x14ac:dyDescent="0.2">
      <c r="B81" s="8">
        <f t="shared" si="10"/>
      </c>
      <c r="C81" s="10">
        <v>76</v>
      </c>
      <c r="D81" s="8"/>
      <c r="E81" s="11">
        <f t="shared" si="11"/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</c>
      <c r="L81" s="7">
        <v>0</v>
      </c>
      <c r="M81" s="11">
        <f t="shared" si="8"/>
      </c>
      <c r="N81" s="11">
        <f t="shared" si="9"/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>
        <f>IFERROR(CalcRC27(F81,G81,K81,O81,P81,Q81,R81,S81,T81,U81,V81),"-")</f>
      </c>
      <c r="X81" s="2"/>
    </row>
    <row r="82" spans="2:24" ht="13.8" x14ac:dyDescent="0.2">
      <c r="B82" s="8">
        <f t="shared" si="10"/>
      </c>
      <c r="C82" s="10">
        <v>77</v>
      </c>
      <c r="D82" s="13"/>
      <c r="E82" s="11">
        <f t="shared" si="11"/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</c>
      <c r="L82" s="7">
        <v>0</v>
      </c>
      <c r="M82" s="11">
        <f t="shared" si="8"/>
      </c>
      <c r="N82" s="11">
        <f t="shared" si="9"/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>
        <f>IFERROR(CalcRC27(F82,G82,K82,O82,P82,Q82,R82,S82,T82,U82,V82),"-")</f>
      </c>
      <c r="X82" s="2"/>
    </row>
    <row r="83" spans="2:24" ht="13.8" x14ac:dyDescent="0.2">
      <c r="B83" s="8">
        <f t="shared" si="10"/>
      </c>
      <c r="C83" s="10">
        <v>78</v>
      </c>
      <c r="D83" s="8"/>
      <c r="E83" s="11">
        <f t="shared" si="11"/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</c>
      <c r="L83" s="7">
        <v>0</v>
      </c>
      <c r="M83" s="11">
        <f t="shared" si="8"/>
      </c>
      <c r="N83" s="11">
        <f t="shared" si="9"/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>
        <f>IFERROR(CalcRC27(F83,G83,K83,O83,P83,Q83,R83,S83,T83,U83,V83),"-")</f>
      </c>
      <c r="X83" s="2"/>
    </row>
    <row r="84" spans="2:24" ht="13.8" x14ac:dyDescent="0.2">
      <c r="B84" s="8">
        <f t="shared" si="10"/>
      </c>
      <c r="C84" s="10">
        <v>79</v>
      </c>
      <c r="D84" t="s" s="9">
        <v>1389</v>
      </c>
      <c r="E84" s="11">
        <f t="shared" si="11"/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</c>
      <c r="L84" s="7">
        <v>0</v>
      </c>
      <c r="M84" s="11">
        <f t="shared" si="8"/>
      </c>
      <c r="N84" s="11">
        <f t="shared" si="9"/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>
        <f>IFERROR(CalcRC27(F84,G84,K84,O84,P84,Q84,R84,S84,T84,U84,V84),"-")</f>
      </c>
      <c r="X84" t="s" s="2">
        <v>780</v>
      </c>
    </row>
    <row r="85" spans="2:24" ht="13.8" x14ac:dyDescent="0.2">
      <c r="B85" s="8">
        <f t="shared" si="10"/>
      </c>
      <c r="C85" s="10">
        <v>80</v>
      </c>
      <c r="D85" s="8"/>
      <c r="E85" s="11">
        <f t="shared" si="11"/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</c>
      <c r="L85" s="7">
        <v>0</v>
      </c>
      <c r="M85" s="11">
        <f t="shared" si="8"/>
      </c>
      <c r="N85" s="11">
        <f t="shared" si="9"/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>
        <f>IFERROR(CalcRC27(F85,G85,K85,O85,P85,Q85,R85,S85,T85,U85,V85),"-")</f>
      </c>
      <c r="X85" s="2"/>
    </row>
    <row r="86" spans="2:24" ht="13.8" x14ac:dyDescent="0.2">
      <c r="B86" s="8">
        <f t="shared" si="10"/>
      </c>
      <c r="C86" s="10">
        <v>81</v>
      </c>
      <c r="D86" s="8"/>
      <c r="E86" s="11">
        <f t="shared" si="11"/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</c>
      <c r="L86" s="7">
        <v>0</v>
      </c>
      <c r="M86" s="11">
        <f t="shared" si="8"/>
      </c>
      <c r="N86" s="11">
        <f t="shared" si="9"/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>
        <f>IFERROR(CalcRC27(F86,G86,K86,O86,P86,Q86,R86,S86,T86,U86,V86),"-")</f>
      </c>
      <c r="X86" s="2"/>
    </row>
    <row r="87" spans="2:24" ht="13.8" x14ac:dyDescent="0.2">
      <c r="B87" s="8">
        <f t="shared" si="10"/>
      </c>
      <c r="C87" s="10">
        <v>82</v>
      </c>
      <c r="D87" s="8"/>
      <c r="E87" s="11">
        <f t="shared" si="11"/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</c>
      <c r="L87" s="7">
        <v>0</v>
      </c>
      <c r="M87" s="11">
        <f t="shared" si="8"/>
      </c>
      <c r="N87" s="11">
        <f t="shared" si="9"/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>
        <f>IFERROR(CalcRC27(F87,G87,K87,O87,P87,Q87,R87,S87,T87,U87,V87),"-")</f>
      </c>
      <c r="X87" s="2"/>
    </row>
    <row r="88" spans="2:24" ht="13.8" x14ac:dyDescent="0.2">
      <c r="B88" s="8">
        <f t="shared" si="10"/>
      </c>
      <c r="C88" s="10">
        <v>83</v>
      </c>
      <c r="D88" s="8"/>
      <c r="E88" s="11">
        <f t="shared" si="11"/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</c>
      <c r="L88" s="7">
        <v>0</v>
      </c>
      <c r="M88" s="11">
        <f t="shared" si="8"/>
      </c>
      <c r="N88" s="11">
        <f t="shared" si="9"/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>
        <f>IFERROR(CalcRC27(F88,G88,K88,O88,P88,Q88,R88,S88,T88,U88,V88),"-")</f>
      </c>
      <c r="X88" s="2"/>
    </row>
    <row r="89" spans="2:24" ht="13.8" x14ac:dyDescent="0.2">
      <c r="B89" s="8">
        <f t="shared" si="10"/>
      </c>
      <c r="C89" s="10">
        <v>84</v>
      </c>
      <c r="D89" s="8"/>
      <c r="E89" s="11">
        <f t="shared" si="11"/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</c>
      <c r="L89" s="7">
        <v>0</v>
      </c>
      <c r="M89" s="11">
        <f t="shared" si="8"/>
      </c>
      <c r="N89" s="11">
        <f t="shared" si="9"/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>
        <f>IFERROR(CalcRC27(F89,G89,K89,O89,P89,Q89,R89,S89,T89,U89,V89),"-")</f>
      </c>
      <c r="X89" s="2"/>
    </row>
    <row r="90" spans="2:24" ht="13.8" x14ac:dyDescent="0.2">
      <c r="B90" s="8">
        <f t="shared" si="10"/>
      </c>
      <c r="C90" s="10">
        <v>85</v>
      </c>
      <c r="D90" s="8"/>
      <c r="E90" s="11">
        <f t="shared" si="11"/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</c>
      <c r="L90" s="7">
        <v>0</v>
      </c>
      <c r="M90" s="11">
        <f t="shared" si="8"/>
      </c>
      <c r="N90" s="11">
        <f t="shared" si="9"/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>
        <f>IFERROR(CalcRC27(F90,G90,K90,O90,P90,Q90,R90,S90,T90,U90,V90),"-")</f>
      </c>
      <c r="X90" s="2"/>
    </row>
    <row r="91" spans="2:24" ht="13.8" x14ac:dyDescent="0.2">
      <c r="B91" s="8">
        <f t="shared" si="10"/>
      </c>
      <c r="C91" s="10">
        <v>86</v>
      </c>
      <c r="D91" s="8"/>
      <c r="E91" s="11">
        <f t="shared" si="11"/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</c>
      <c r="L91" s="7">
        <v>0</v>
      </c>
      <c r="M91" s="11">
        <f t="shared" si="8"/>
      </c>
      <c r="N91" s="11">
        <f t="shared" si="9"/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>
        <f>IFERROR(CalcRC27(F91,G91,K91,O91,P91,Q91,R91,S91,T91,U91,V91),"-")</f>
      </c>
      <c r="X91" s="2"/>
    </row>
    <row r="92" spans="2:24" ht="13.8" x14ac:dyDescent="0.2">
      <c r="B92" s="8">
        <f t="shared" si="10"/>
      </c>
      <c r="C92" s="10">
        <v>87</v>
      </c>
      <c r="D92" s="8"/>
      <c r="E92" s="11">
        <f t="shared" si="11"/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</c>
      <c r="L92" s="7">
        <v>0</v>
      </c>
      <c r="M92" s="11">
        <f t="shared" si="8"/>
      </c>
      <c r="N92" s="11">
        <f t="shared" si="9"/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>
        <f>IFERROR(CalcRC27(F92,G92,K92,O92,P92,Q92,R92,S92,T92,U92,V92),"-")</f>
      </c>
      <c r="X92" s="2"/>
    </row>
    <row r="93" spans="2:24" ht="13.8" x14ac:dyDescent="0.2">
      <c r="B93" s="8">
        <f t="shared" si="10"/>
      </c>
      <c r="C93" s="10">
        <v>88</v>
      </c>
      <c r="D93" s="8"/>
      <c r="E93" s="11">
        <f t="shared" si="11"/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</c>
      <c r="L93" s="7">
        <v>0</v>
      </c>
      <c r="M93" s="11">
        <f t="shared" si="8"/>
      </c>
      <c r="N93" s="11">
        <f t="shared" si="9"/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>
        <f>IFERROR(CalcRC27(F93,G93,K93,O93,P93,Q93,R93,S93,T93,U93,V93),"-")</f>
      </c>
      <c r="X93" s="2"/>
    </row>
    <row r="94" spans="2:24" ht="13.8" x14ac:dyDescent="0.2">
      <c r="B94" s="8">
        <f t="shared" si="10"/>
      </c>
      <c r="C94" s="10">
        <v>89</v>
      </c>
      <c r="D94" s="8"/>
      <c r="E94" s="11">
        <f t="shared" si="11"/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</c>
      <c r="L94" s="7">
        <v>0</v>
      </c>
      <c r="M94" s="11">
        <f t="shared" si="8"/>
      </c>
      <c r="N94" s="11">
        <f t="shared" si="9"/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>
        <f>IFERROR(CalcRC27(F94,G94,K94,O94,P94,Q94,R94,S94,T94,U94,V94),"-")</f>
      </c>
      <c r="X94" s="2"/>
    </row>
    <row r="95" spans="2:24" ht="13.8" x14ac:dyDescent="0.2">
      <c r="B95" s="8">
        <f t="shared" si="10"/>
      </c>
      <c r="C95" s="10">
        <v>90</v>
      </c>
      <c r="D95" s="13"/>
      <c r="E95" s="11">
        <f t="shared" si="11"/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</c>
      <c r="L95" s="7">
        <v>0</v>
      </c>
      <c r="M95" s="11">
        <f t="shared" si="8"/>
      </c>
      <c r="N95" s="11">
        <f t="shared" si="9"/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>
        <f>IFERROR(CalcRC27(F95,G95,K95,O95,P95,Q95,R95,S95,T95,U95,V95),"-")</f>
      </c>
      <c r="X95" s="2"/>
    </row>
    <row r="96" spans="2:24" ht="13.8" x14ac:dyDescent="0.2">
      <c r="B96" s="8">
        <f t="shared" si="10"/>
      </c>
      <c r="C96" s="10">
        <v>91</v>
      </c>
      <c r="D96" s="8"/>
      <c r="E96" s="11">
        <f t="shared" si="11"/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</c>
      <c r="L96" s="7">
        <v>0</v>
      </c>
      <c r="M96" s="11">
        <f t="shared" si="8"/>
      </c>
      <c r="N96" s="11">
        <f t="shared" si="9"/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>
        <f>IFERROR(CalcRC27(F96,G96,K96,O96,P96,Q96,R96,S96,T96,U96,V96),"-")</f>
      </c>
      <c r="X96" s="2"/>
    </row>
    <row r="97" spans="2:24" ht="13.8" x14ac:dyDescent="0.2">
      <c r="B97" s="8">
        <f t="shared" si="10"/>
      </c>
      <c r="C97" s="10">
        <v>92</v>
      </c>
      <c r="D97" s="8"/>
      <c r="E97" s="11">
        <f t="shared" si="11"/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</c>
      <c r="L97" s="7">
        <v>0</v>
      </c>
      <c r="M97" s="11">
        <f t="shared" si="8"/>
      </c>
      <c r="N97" s="11">
        <f t="shared" si="9"/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>
        <f>IFERROR(CalcRC27(F97,G97,K97,O97,P97,Q97,R97,S97,T97,U97,V97),"-")</f>
      </c>
      <c r="X97" s="2"/>
    </row>
    <row r="98" spans="2:24" ht="13.8" x14ac:dyDescent="0.2">
      <c r="B98" s="8">
        <f t="shared" si="10"/>
      </c>
      <c r="C98" s="10">
        <v>93</v>
      </c>
      <c r="D98" s="8"/>
      <c r="E98" s="11">
        <f t="shared" si="11"/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</c>
      <c r="L98" s="7">
        <v>0</v>
      </c>
      <c r="M98" s="11">
        <f t="shared" si="8"/>
      </c>
      <c r="N98" s="11">
        <f t="shared" si="9"/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>
        <f>IFERROR(CalcRC27(F98,G98,K98,O98,P98,Q98,R98,S98,T98,U98,V98),"-")</f>
      </c>
      <c r="X98" s="2"/>
    </row>
    <row r="99" spans="2:24" ht="13.8" x14ac:dyDescent="0.2">
      <c r="B99" s="8">
        <f t="shared" si="10"/>
      </c>
      <c r="C99" s="10">
        <v>94</v>
      </c>
      <c r="D99" s="8"/>
      <c r="E99" s="11">
        <f t="shared" si="11"/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</c>
      <c r="L99" s="7">
        <v>0</v>
      </c>
      <c r="M99" s="11">
        <f t="shared" si="8"/>
      </c>
      <c r="N99" s="11">
        <f t="shared" si="9"/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>
        <f>IFERROR(CalcRC27(F99,G99,K99,O99,P99,Q99,R99,S99,T99,U99,V99),"-")</f>
      </c>
      <c r="X99" s="2"/>
    </row>
    <row r="100" spans="2:24" ht="13.8" x14ac:dyDescent="0.2">
      <c r="B100" s="8">
        <f t="shared" si="10"/>
      </c>
      <c r="C100" s="10">
        <v>95</v>
      </c>
      <c r="D100" s="13"/>
      <c r="E100" s="11">
        <f t="shared" si="11"/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</c>
      <c r="L100" s="7">
        <v>0</v>
      </c>
      <c r="M100" s="11">
        <f t="shared" si="8"/>
      </c>
      <c r="N100" s="11">
        <f t="shared" si="9"/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>
        <f>IFERROR(CalcRC27(F100,G100,K100,O100,P100,Q100,R100,S100,T100,U100,V100),"-")</f>
      </c>
      <c r="X100" s="2"/>
    </row>
    <row r="101" spans="2:24" ht="13.8" x14ac:dyDescent="0.2">
      <c r="B101" s="8">
        <f t="shared" si="10"/>
      </c>
      <c r="C101" s="10">
        <v>96</v>
      </c>
      <c r="D101" s="8"/>
      <c r="E101" s="11">
        <f t="shared" si="11"/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</c>
      <c r="L101" s="7">
        <v>0</v>
      </c>
      <c r="M101" s="11">
        <f t="shared" si="8"/>
      </c>
      <c r="N101" s="11">
        <f t="shared" si="9"/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>
        <f>IFERROR(CalcRC27(F101,G101,K101,O101,P101,Q101,R101,S101,T101,U101,V101),"-")</f>
      </c>
      <c r="X101" s="2"/>
    </row>
    <row r="102" spans="2:24" ht="13.8" x14ac:dyDescent="0.2">
      <c r="B102" s="8">
        <f t="shared" si="10"/>
      </c>
      <c r="C102" s="10">
        <v>97</v>
      </c>
      <c r="D102" s="8"/>
      <c r="E102" s="11">
        <f t="shared" si="11"/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</c>
      <c r="L102" s="7">
        <v>0</v>
      </c>
      <c r="M102" s="11">
        <f t="shared" si="8"/>
      </c>
      <c r="N102" s="11">
        <f t="shared" si="9"/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>
        <f>IFERROR(CalcRC27(F102,G102,K102,O102,P102,Q102,R102,S102,T102,U102,V102),"-")</f>
      </c>
      <c r="X102" s="2"/>
    </row>
    <row r="103" spans="2:24" ht="13.8" x14ac:dyDescent="0.2">
      <c r="B103" s="8">
        <f t="shared" si="10"/>
      </c>
      <c r="C103" s="10">
        <v>98</v>
      </c>
      <c r="D103" s="8"/>
      <c r="E103" s="11">
        <f t="shared" si="11"/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</c>
      <c r="L103" s="7">
        <v>0</v>
      </c>
      <c r="M103" s="11">
        <f t="shared" si="8"/>
      </c>
      <c r="N103" s="11">
        <f t="shared" si="9"/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</c>
      <c r="X103" s="2"/>
    </row>
    <row r="104" spans="2:24" ht="13.8" x14ac:dyDescent="0.2">
      <c r="B104" s="8">
        <f t="shared" si="10"/>
      </c>
      <c r="C104" s="10">
        <v>99</v>
      </c>
      <c r="D104" t="s" s="9">
        <v>1973</v>
      </c>
      <c r="E104" s="11">
        <f t="shared" si="11"/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</c>
      <c r="L104" s="7">
        <v>0</v>
      </c>
      <c r="M104" s="11">
        <f t="shared" si="8"/>
      </c>
      <c r="N104" s="11">
        <f t="shared" si="9"/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</c>
      <c r="X104" t="s" s="2">
        <v>1542</v>
      </c>
    </row>
    <row r="105" spans="2:24" ht="13.8" x14ac:dyDescent="0.2">
      <c r="B105" s="8">
        <f t="shared" si="10"/>
      </c>
      <c r="C105" s="10">
        <v>120</v>
      </c>
      <c r="D105" t="s" s="14">
        <v>1543</v>
      </c>
      <c r="E105" s="11">
        <f t="shared" si="11"/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</c>
      <c r="L105" s="7">
        <v>0</v>
      </c>
      <c r="M105" s="11">
        <f t="shared" si="8"/>
      </c>
      <c r="N105" s="11">
        <f t="shared" si="9"/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>
        <f>IFERROR(CalcRC27(F105,G105,K105,O105,P105,Q105,R105,S105,T105,U105,V105),"-")</f>
      </c>
      <c r="X105" t="s" s="2">
        <v>1605</v>
      </c>
    </row>
    <row r="106" spans="2:24" ht="13.8" x14ac:dyDescent="0.2">
      <c r="B106" s="8">
        <f t="shared" si="10"/>
      </c>
      <c r="C106" s="10">
        <v>121</v>
      </c>
      <c r="D106" t="s" s="9">
        <v>1544</v>
      </c>
      <c r="E106" s="11">
        <f t="shared" si="11"/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</c>
      <c r="L106" s="7">
        <v>0</v>
      </c>
      <c r="M106" s="11">
        <f t="shared" si="8"/>
      </c>
      <c r="N106" s="11">
        <f t="shared" si="9"/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>
        <f>IFERROR(CalcRC27(F106,G106,K106,O106,P106,Q106,R106,S106,T106,U106,V106),"-")</f>
      </c>
      <c r="X106" t="s" s="2">
        <v>1606</v>
      </c>
    </row>
    <row r="107" spans="2:24" ht="13.8" x14ac:dyDescent="0.2">
      <c r="B107" s="8">
        <f t="shared" si="10"/>
      </c>
      <c r="C107" s="10">
        <v>122</v>
      </c>
      <c r="D107" t="s" s="9">
        <v>1545</v>
      </c>
      <c r="E107" s="11">
        <f t="shared" si="11"/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</c>
      <c r="L107" s="7">
        <v>0</v>
      </c>
      <c r="M107" s="11">
        <f t="shared" si="8"/>
      </c>
      <c r="N107" s="11">
        <f t="shared" si="9"/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>
        <f>IFERROR(CalcRC27(F107,G107,K107,O107,P107,Q107,R107,S107,T107,U107,V107),"-")</f>
      </c>
      <c r="X107" t="s" s="2">
        <v>1607</v>
      </c>
    </row>
    <row r="108" spans="2:24" ht="13.8" x14ac:dyDescent="0.2">
      <c r="B108" s="8">
        <f t="shared" si="10"/>
      </c>
      <c r="C108" s="10">
        <v>123</v>
      </c>
      <c r="D108" t="s" s="9">
        <v>1546</v>
      </c>
      <c r="E108" s="11">
        <f t="shared" si="11"/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</c>
      <c r="L108" s="7">
        <v>0</v>
      </c>
      <c r="M108" s="11">
        <f t="shared" si="8"/>
      </c>
      <c r="N108" s="11">
        <f t="shared" si="9"/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>
        <f>IFERROR(CalcRC27(F108,G108,K108,O108,P108,Q108,R108,S108,T108,U108,V108),"-")</f>
      </c>
      <c r="X108" t="s" s="2">
        <v>1608</v>
      </c>
    </row>
    <row r="109" spans="2:24" ht="13.8" x14ac:dyDescent="0.2">
      <c r="B109" s="8">
        <f t="shared" si="10"/>
      </c>
      <c r="C109" s="10">
        <v>124</v>
      </c>
      <c r="D109" t="s" s="9">
        <v>1547</v>
      </c>
      <c r="E109" s="11">
        <f t="shared" si="11"/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</c>
      <c r="L109" s="7">
        <v>0</v>
      </c>
      <c r="M109" s="11">
        <f t="shared" si="8"/>
      </c>
      <c r="N109" s="11">
        <f t="shared" si="9"/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>
        <f>IFERROR(CalcRC27(F109,G109,K109,O109,P109,Q109,R109,S109,T109,U109,V109),"-")</f>
      </c>
      <c r="X109" t="s" s="2">
        <v>1609</v>
      </c>
    </row>
    <row r="110" spans="2:24" ht="13.8" x14ac:dyDescent="0.2">
      <c r="B110" s="8">
        <f t="shared" si="10"/>
      </c>
      <c r="C110" s="10">
        <v>125</v>
      </c>
      <c r="D110" t="s" s="9">
        <v>1548</v>
      </c>
      <c r="E110" s="11">
        <f t="shared" si="11"/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</c>
      <c r="L110" s="7">
        <v>0</v>
      </c>
      <c r="M110" s="11">
        <f t="shared" si="8"/>
      </c>
      <c r="N110" s="11">
        <f t="shared" si="9"/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>
        <f>IFERROR(CalcRC27(F110,G110,K110,O110,P110,Q110,R110,S110,T110,U110,V110),"-")</f>
      </c>
      <c r="X110" t="s" s="2">
        <v>1610</v>
      </c>
    </row>
    <row r="111" spans="2:24" ht="13.8" x14ac:dyDescent="0.2">
      <c r="B111" s="8">
        <f t="shared" si="10"/>
      </c>
      <c r="C111" s="10">
        <v>126</v>
      </c>
      <c r="D111" t="s" s="9">
        <v>1549</v>
      </c>
      <c r="E111" s="11">
        <f t="shared" si="11"/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</c>
      <c r="L111" s="7">
        <v>0</v>
      </c>
      <c r="M111" s="11">
        <f t="shared" si="8"/>
      </c>
      <c r="N111" s="11">
        <f t="shared" si="9"/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>
        <f>IFERROR(CalcRC27(F111,G111,K111,O111,P111,Q111,R111,S111,T111,U111,V111),"-")</f>
      </c>
      <c r="X111" t="s" s="2">
        <v>1611</v>
      </c>
    </row>
    <row r="112" spans="2:24" ht="13.8" x14ac:dyDescent="0.2">
      <c r="B112" s="8">
        <f t="shared" si="10"/>
      </c>
      <c r="C112" s="10">
        <v>127</v>
      </c>
      <c r="D112" t="s" s="9">
        <v>1550</v>
      </c>
      <c r="E112" s="11">
        <f t="shared" si="11"/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</c>
      <c r="L112" s="7">
        <v>0</v>
      </c>
      <c r="M112" s="11">
        <f t="shared" si="8"/>
      </c>
      <c r="N112" s="11">
        <f t="shared" si="9"/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>
        <f>IFERROR(CalcRC27(F112,G112,K112,O112,P112,Q112,R112,S112,T112,U112,V112),"-")</f>
      </c>
      <c r="X112" t="s" s="2">
        <v>1612</v>
      </c>
    </row>
    <row r="113" spans="2:24" ht="13.8" x14ac:dyDescent="0.2">
      <c r="B113" s="8">
        <f t="shared" si="10"/>
      </c>
      <c r="C113" s="10">
        <v>128</v>
      </c>
      <c r="D113" t="s" s="9">
        <v>1551</v>
      </c>
      <c r="E113" s="11">
        <f t="shared" si="11"/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</c>
      <c r="L113" s="7">
        <v>0</v>
      </c>
      <c r="M113" s="11">
        <f t="shared" si="8"/>
      </c>
      <c r="N113" s="11">
        <f t="shared" si="9"/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>
        <f>IFERROR(CalcRC27(F113,G113,K113,O113,P113,Q113,R113,S113,T113,U113,V113),"-")</f>
      </c>
      <c r="X113" t="s" s="2">
        <v>1613</v>
      </c>
    </row>
    <row r="114" spans="2:24" ht="13.8" x14ac:dyDescent="0.2">
      <c r="B114" s="8">
        <f t="shared" si="10"/>
      </c>
      <c r="C114" s="10">
        <v>129</v>
      </c>
      <c r="D114" t="s" s="9">
        <v>1552</v>
      </c>
      <c r="E114" s="11">
        <f t="shared" si="11"/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</c>
      <c r="L114" s="7">
        <v>0</v>
      </c>
      <c r="M114" s="11">
        <f t="shared" si="8"/>
      </c>
      <c r="N114" s="11">
        <f t="shared" si="9"/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>
        <f>IFERROR(CalcRC27(F114,G114,K114,O114,P114,Q114,R114,S114,T114,U114,V114),"-")</f>
      </c>
      <c r="X114" t="s" s="2">
        <v>1614</v>
      </c>
    </row>
    <row r="115" spans="2:24" ht="13.8" x14ac:dyDescent="0.2">
      <c r="B115" s="8">
        <f t="shared" si="10"/>
      </c>
      <c r="C115" s="10">
        <v>130</v>
      </c>
      <c r="D115" t="s" s="9">
        <v>1553</v>
      </c>
      <c r="E115" s="11">
        <f t="shared" si="11"/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</c>
      <c r="L115" s="7">
        <v>0</v>
      </c>
      <c r="M115" s="11">
        <f t="shared" si="8"/>
      </c>
      <c r="N115" s="11">
        <f t="shared" si="9"/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>
        <f>IFERROR(CalcRC27(F115,G115,K115,O115,P115,Q115,R115,S115,T115,U115,V115),"-")</f>
      </c>
      <c r="X115" t="s" s="2">
        <v>1615</v>
      </c>
    </row>
    <row r="116" spans="2:24" ht="13.8" x14ac:dyDescent="0.2">
      <c r="B116" s="8">
        <f t="shared" si="10"/>
      </c>
      <c r="C116" s="10">
        <v>131</v>
      </c>
      <c r="D116" t="s" s="9">
        <v>1554</v>
      </c>
      <c r="E116" s="11">
        <f t="shared" si="11"/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</c>
      <c r="L116" s="7">
        <v>0</v>
      </c>
      <c r="M116" s="11">
        <f t="shared" si="8"/>
      </c>
      <c r="N116" s="11">
        <f t="shared" si="9"/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>
        <f>IFERROR(CalcRC27(F116,G116,K116,O116,P116,Q116,R116,S116,T116,U116,V116),"-")</f>
      </c>
      <c r="X116" t="s" s="2">
        <v>1616</v>
      </c>
    </row>
    <row r="117" spans="2:24" ht="13.8" x14ac:dyDescent="0.2">
      <c r="B117" s="8">
        <f t="shared" si="10"/>
      </c>
      <c r="C117" s="10">
        <v>132</v>
      </c>
      <c r="D117" t="s" s="9">
        <v>1555</v>
      </c>
      <c r="E117" s="11">
        <f t="shared" si="11"/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</c>
      <c r="L117" s="7">
        <v>0</v>
      </c>
      <c r="M117" s="11">
        <f t="shared" si="8"/>
      </c>
      <c r="N117" s="11">
        <f t="shared" si="9"/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>
        <f>IFERROR(CalcRC27(F117,G117,K117,O117,P117,Q117,R117,S117,T117,U117,V117),"-")</f>
      </c>
      <c r="X117" t="s" s="2">
        <v>1617</v>
      </c>
    </row>
    <row r="118" spans="2:24" ht="13.8" x14ac:dyDescent="0.2">
      <c r="B118" s="8">
        <f t="shared" si="10"/>
      </c>
      <c r="C118" s="10">
        <v>133</v>
      </c>
      <c r="D118" t="s" s="9">
        <v>1465</v>
      </c>
      <c r="E118" s="11">
        <f t="shared" si="11"/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</c>
      <c r="L118" s="7">
        <v>0</v>
      </c>
      <c r="M118" s="11">
        <f t="shared" si="8"/>
      </c>
      <c r="N118" s="11">
        <f t="shared" si="9"/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>
        <f>IFERROR(CalcRC27(F118,G118,K118,O118,P118,Q118,R118,S118,T118,U118,V118),"-")</f>
      </c>
      <c r="X118" t="s" s="2">
        <v>1618</v>
      </c>
    </row>
    <row r="119" spans="2:24" ht="13.8" x14ac:dyDescent="0.2">
      <c r="B119" s="8">
        <f t="shared" si="10"/>
      </c>
      <c r="C119" s="10">
        <v>134</v>
      </c>
      <c r="D119" t="s" s="9">
        <v>1556</v>
      </c>
      <c r="E119" s="11">
        <f t="shared" si="11"/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</c>
      <c r="L119" s="7">
        <v>0</v>
      </c>
      <c r="M119" s="11">
        <f t="shared" si="8"/>
      </c>
      <c r="N119" s="11">
        <f t="shared" si="9"/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>
        <f>IFERROR(CalcRC27(F119,G119,K119,O119,P119,Q119,R119,S119,T119,U119,V119),"-")</f>
      </c>
      <c r="X119" t="s" s="2">
        <v>1619</v>
      </c>
    </row>
    <row r="120" spans="2:24" ht="13.8" x14ac:dyDescent="0.2">
      <c r="B120" s="8">
        <f t="shared" si="10"/>
      </c>
      <c r="C120" s="10">
        <v>135</v>
      </c>
      <c r="D120" t="s" s="9">
        <v>790</v>
      </c>
      <c r="E120" s="11">
        <f t="shared" si="11"/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</c>
      <c r="L120" s="7">
        <v>0</v>
      </c>
      <c r="M120" s="11">
        <f t="shared" si="8"/>
      </c>
      <c r="N120" s="11">
        <f t="shared" si="9"/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>
        <f>IFERROR(CalcRC27(F120,G120,K120,O120,P120,Q120,R120,S120,T120,U120,V120),"-")</f>
      </c>
      <c r="X120" t="s" s="2">
        <v>1974</v>
      </c>
    </row>
    <row r="121" spans="2:24" ht="13.8" x14ac:dyDescent="0.2">
      <c r="B121" s="8">
        <f t="shared" si="10"/>
      </c>
      <c r="C121" s="10">
        <v>136</v>
      </c>
      <c r="D121" t="s" s="9">
        <v>1399</v>
      </c>
      <c r="E121" s="11">
        <f t="shared" si="11"/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</c>
      <c r="L121" s="7">
        <v>0</v>
      </c>
      <c r="M121" s="11">
        <f t="shared" si="8"/>
      </c>
      <c r="N121" s="11">
        <f t="shared" si="9"/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>
        <f>IFERROR(CalcRC27(F121,G121,K121,O121,P121,Q121,R121,S121,T121,U121,V121),"-")</f>
      </c>
      <c r="X121" t="s" s="2">
        <v>1620</v>
      </c>
    </row>
    <row r="122" spans="2:24" ht="13.8" x14ac:dyDescent="0.2">
      <c r="B122" s="8">
        <f t="shared" si="10"/>
      </c>
      <c r="C122" s="10">
        <v>137</v>
      </c>
      <c r="D122" t="s" s="9">
        <v>1557</v>
      </c>
      <c r="E122" s="11">
        <f t="shared" si="11"/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</c>
      <c r="L122" s="7">
        <v>0</v>
      </c>
      <c r="M122" s="11">
        <f t="shared" si="8"/>
      </c>
      <c r="N122" s="11">
        <f t="shared" si="9"/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>
        <f>IFERROR(CalcRC27(F122,G122,K122,O122,P122,Q122,R122,S122,T122,U122,V122),"-")</f>
      </c>
      <c r="X122" t="s" s="2">
        <v>1621</v>
      </c>
    </row>
    <row r="123" spans="2:24" ht="13.8" x14ac:dyDescent="0.2">
      <c r="B123" s="8">
        <f t="shared" si="10"/>
      </c>
      <c r="C123" s="10">
        <v>138</v>
      </c>
      <c r="D123" t="s" s="9">
        <v>1558</v>
      </c>
      <c r="E123" s="11">
        <f t="shared" si="11"/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</c>
      <c r="L123" s="7">
        <v>0</v>
      </c>
      <c r="M123" s="11">
        <f t="shared" si="8"/>
      </c>
      <c r="N123" s="11">
        <f t="shared" si="9"/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>
        <f>IFERROR(CalcRC27(F123,G123,K123,O123,P123,Q123,R123,S123,T123,U123,V123),"-")</f>
      </c>
      <c r="X123" t="s" s="2">
        <v>515</v>
      </c>
    </row>
    <row r="124" spans="2:24" ht="13.8" x14ac:dyDescent="0.2">
      <c r="B124" s="8">
        <f t="shared" si="10"/>
      </c>
      <c r="C124" s="10">
        <v>139</v>
      </c>
      <c r="D124" t="s" s="9">
        <v>1559</v>
      </c>
      <c r="E124" s="11">
        <f t="shared" si="11"/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</c>
      <c r="L124" s="7">
        <v>0</v>
      </c>
      <c r="M124" s="11">
        <f t="shared" si="8"/>
      </c>
      <c r="N124" s="11">
        <f t="shared" si="9"/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>
        <f>IFERROR(CalcRC27(F124,G124,K124,O124,P124,Q124,R124,S124,T124,U124,V124),"-")</f>
      </c>
      <c r="X124" t="s" s="2">
        <v>1622</v>
      </c>
    </row>
    <row r="125" spans="2:24" ht="13.8" x14ac:dyDescent="0.2">
      <c r="B125" s="8">
        <f t="shared" si="10"/>
      </c>
      <c r="C125" s="10">
        <v>140</v>
      </c>
      <c r="D125" t="s" s="9">
        <v>1136</v>
      </c>
      <c r="E125" s="11">
        <f t="shared" si="11"/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</c>
      <c r="L125" s="7">
        <v>0</v>
      </c>
      <c r="M125" s="11">
        <f t="shared" si="8"/>
      </c>
      <c r="N125" s="11">
        <f t="shared" si="9"/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>
        <f>IFERROR(CalcRC27(F125,G125,K125,O125,P125,Q125,R125,S125,T125,U125,V125),"-")</f>
      </c>
      <c r="X125" t="s" s="2">
        <v>1623</v>
      </c>
    </row>
    <row r="126" spans="2:24" ht="13.8" x14ac:dyDescent="0.2">
      <c r="B126" s="8">
        <f t="shared" si="10"/>
      </c>
      <c r="C126" s="10">
        <v>141</v>
      </c>
      <c r="D126" t="s" s="9">
        <v>1560</v>
      </c>
      <c r="E126" s="11">
        <f t="shared" si="11"/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</c>
      <c r="L126" s="7">
        <v>0</v>
      </c>
      <c r="M126" s="11">
        <f t="shared" si="8"/>
      </c>
      <c r="N126" s="11">
        <f t="shared" si="9"/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>
        <f>IFERROR(CalcRC27(F126,G126,K126,O126,P126,Q126,R126,S126,T126,U126,V126),"-")</f>
      </c>
      <c r="X126" t="s" s="2">
        <v>1975</v>
      </c>
    </row>
    <row r="127" spans="2:24" ht="13.8" x14ac:dyDescent="0.2">
      <c r="B127" s="8">
        <f t="shared" si="10"/>
      </c>
      <c r="C127" s="10">
        <v>142</v>
      </c>
      <c r="D127" t="s" s="9">
        <v>1561</v>
      </c>
      <c r="E127" s="11">
        <f t="shared" si="11"/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</c>
      <c r="L127" s="7">
        <v>0</v>
      </c>
      <c r="M127" s="11">
        <f t="shared" si="8"/>
      </c>
      <c r="N127" s="11">
        <f t="shared" si="9"/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>
        <f>IFERROR(CalcRC27(F127,G127,K127,O127,P127,Q127,R127,S127,T127,U127,V127),"-")</f>
      </c>
      <c r="X127" t="s" s="2">
        <v>1624</v>
      </c>
    </row>
    <row r="128" spans="2:24" ht="13.8" x14ac:dyDescent="0.2">
      <c r="B128" s="8">
        <f t="shared" si="10"/>
      </c>
      <c r="C128" s="10">
        <v>143</v>
      </c>
      <c r="D128" t="s" s="9">
        <v>1296</v>
      </c>
      <c r="E128" s="11">
        <f t="shared" si="11"/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</c>
      <c r="L128" s="7">
        <v>0</v>
      </c>
      <c r="M128" s="11">
        <f t="shared" si="8"/>
      </c>
      <c r="N128" s="11">
        <f t="shared" si="9"/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>
        <f>IFERROR(CalcRC27(F128,G128,K128,O128,P128,Q128,R128,S128,T128,U128,V128),"-")</f>
      </c>
      <c r="X128" t="s" s="2">
        <v>1625</v>
      </c>
    </row>
    <row r="129" spans="2:24" ht="13.8" x14ac:dyDescent="0.2">
      <c r="B129" s="8">
        <f t="shared" si="10"/>
      </c>
      <c r="C129" s="10">
        <v>144</v>
      </c>
      <c r="D129" t="s" s="9">
        <v>1562</v>
      </c>
      <c r="E129" s="11">
        <f t="shared" si="11"/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</c>
      <c r="L129" s="7">
        <v>0</v>
      </c>
      <c r="M129" s="11">
        <f t="shared" si="8"/>
      </c>
      <c r="N129" s="11">
        <f t="shared" si="9"/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>
        <f>IFERROR(CalcRC27(F129,G129,K129,O129,P129,Q129,R129,S129,T129,U129,V129),"-")</f>
      </c>
      <c r="X129" t="s" s="2">
        <v>1976</v>
      </c>
    </row>
    <row r="130" spans="2:24" ht="13.8" x14ac:dyDescent="0.2">
      <c r="B130" s="8">
        <f t="shared" si="10"/>
      </c>
      <c r="C130" s="10">
        <v>145</v>
      </c>
      <c r="D130" t="s" s="9">
        <v>1563</v>
      </c>
      <c r="E130" s="11">
        <f t="shared" si="11"/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</c>
      <c r="L130" s="7">
        <v>0</v>
      </c>
      <c r="M130" s="11">
        <f t="shared" si="8"/>
      </c>
      <c r="N130" s="11">
        <f t="shared" si="9"/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>
        <f>IFERROR(CalcRC27(F130,G130,K130,O130,P130,Q130,R130,S130,T130,U130,V130),"-")</f>
      </c>
      <c r="X130" t="s" s="2">
        <v>1563</v>
      </c>
    </row>
    <row r="131" spans="2:24" ht="13.8" x14ac:dyDescent="0.2">
      <c r="B131" s="8">
        <f t="shared" si="10"/>
      </c>
      <c r="C131" s="10">
        <v>146</v>
      </c>
      <c r="D131" t="s" s="9">
        <v>1540</v>
      </c>
      <c r="E131" s="11">
        <f t="shared" si="11"/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</c>
      <c r="L131" s="7">
        <v>0</v>
      </c>
      <c r="M131" s="11">
        <f t="shared" si="8"/>
      </c>
      <c r="N131" s="11">
        <f t="shared" si="9"/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>
        <f>IFERROR(CalcRC27(F131,G131,K131,O131,P131,Q131,R131,S131,T131,U131,V131),"-")</f>
      </c>
      <c r="X131" t="s" s="2">
        <v>1626</v>
      </c>
    </row>
    <row r="132" spans="2:24" ht="13.8" x14ac:dyDescent="0.2">
      <c r="B132" s="8">
        <f t="shared" si="10"/>
      </c>
      <c r="C132" s="10">
        <v>147</v>
      </c>
      <c r="D132" t="s" s="9">
        <v>791</v>
      </c>
      <c r="E132" s="11">
        <f t="shared" si="11"/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</c>
      <c r="L132" s="7">
        <v>0</v>
      </c>
      <c r="M132" s="11">
        <f t="shared" ref="M132:M134" si="13">IFERROR(IF((G132+P132+Q132)/(F132+P132+Q132+S132)=1,"1.00",(G132+P132+Q132)/(F132+P132+Q132+S132)),0)</f>
      </c>
      <c r="N132" s="11">
        <f t="shared" ref="N132:N134" si="14">IFERROR(SUM(K132/F132,((G132+P132+Q132)/(F132+P132+Q132+S132))),M132)</f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>
        <f>IFERROR(CalcRC27(F132,G132,K132,O132,P132,Q132,R132,S132,T132,U132,V132),"-")</f>
      </c>
      <c r="X132" t="s" s="2">
        <v>1627</v>
      </c>
    </row>
    <row r="133" spans="2:24" ht="13.8" x14ac:dyDescent="0.2">
      <c r="B133" s="8">
        <f t="shared" ref="B133:B165" si="15">IF(C133="","",C133)</f>
      </c>
      <c r="C133" s="10">
        <v>148</v>
      </c>
      <c r="D133" t="s" s="9">
        <v>1564</v>
      </c>
      <c r="E133" s="11">
        <f t="shared" ref="E133:E134" si="16">IFERROR(IF(G133/F133=1,"1.00",G133/F133),"---")</f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</c>
      <c r="L133" s="7">
        <v>0</v>
      </c>
      <c r="M133" s="11">
        <f t="shared" si="13"/>
      </c>
      <c r="N133" s="11">
        <f t="shared" si="14"/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>
        <f>IFERROR(CalcRC27(F133,G133,K133,O133,P133,Q133,R133,S133,T133,U133,V133),"-")</f>
      </c>
      <c r="X133" t="s" s="2">
        <v>1628</v>
      </c>
    </row>
    <row r="134" spans="2:24" ht="13.8" x14ac:dyDescent="0.2">
      <c r="B134" s="8">
        <f t="shared" si="15"/>
      </c>
      <c r="C134" s="10">
        <v>149</v>
      </c>
      <c r="D134" t="s" s="9">
        <v>1565</v>
      </c>
      <c r="E134" s="11">
        <f t="shared" si="16"/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</c>
      <c r="L134" s="7">
        <v>0</v>
      </c>
      <c r="M134" s="11">
        <f t="shared" si="13"/>
      </c>
      <c r="N134" s="11">
        <f t="shared" si="14"/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>
        <f>IFERROR(CalcRC27(F134,G134,K134,O134,P134,Q134,R134,S134,T134,U134,V134),"-")</f>
      </c>
      <c r="X134" t="s" s="2">
        <v>1629</v>
      </c>
    </row>
    <row r="135" spans="2:24" ht="13.8" x14ac:dyDescent="0.2">
      <c r="B135" s="8">
        <f t="shared" si="15"/>
      </c>
      <c r="C135" s="10">
        <v>150</v>
      </c>
      <c r="D135" t="s" s="9">
        <v>1566</v>
      </c>
      <c r="E135" s="11">
        <f t="shared" ref="E135:E140" si="17">IFERROR(IF(G135/F135=1,"1.00",G135/F135),"---")</f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ref="K135:K140" si="18">((G135-H135-I135-J135)+(H135*2)+(I135*3)+(J135*4))</f>
      </c>
      <c r="L135" s="7">
        <v>1</v>
      </c>
      <c r="M135" s="11">
        <f t="shared" ref="M135:M140" si="19">IFERROR(IF((G135+P135+Q135)/(F135+P135+Q135+S135)=1,"1.00",(G135+P135+Q135)/(F135+P135+Q135+S135)),0)</f>
      </c>
      <c r="N135" s="11">
        <f t="shared" ref="N135:N140" si="20">IFERROR(SUM(K135/F135,((G135+P135+Q135)/(F135+P135+Q135+S135))),M135)</f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3">
        <f>IFERROR(CalcRC27(F135,G135,K135,O135,P135,Q135,R135,S135,T135,U135,V135),"-")</f>
      </c>
      <c r="X135" t="s" s="2">
        <v>1630</v>
      </c>
    </row>
    <row r="136" spans="2:24" ht="13.8" x14ac:dyDescent="0.2">
      <c r="B136" s="8">
        <f t="shared" si="15"/>
      </c>
      <c r="C136" s="10">
        <v>151</v>
      </c>
      <c r="D136" t="s" s="9">
        <v>792</v>
      </c>
      <c r="E136" s="11">
        <f t="shared" si="17"/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8"/>
      </c>
      <c r="L136" s="7">
        <v>2</v>
      </c>
      <c r="M136" s="11">
        <f t="shared" si="19"/>
      </c>
      <c r="N136" s="11">
        <f t="shared" si="20"/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3">
        <f>IFERROR(CalcRC27(F136,G136,K136,O136,P136,Q136,R136,S136,T136,U136,V136),"-")</f>
      </c>
      <c r="X136" t="s" s="2">
        <v>1631</v>
      </c>
    </row>
    <row r="137" spans="2:24" ht="13.8" x14ac:dyDescent="0.2">
      <c r="B137" s="8">
        <f t="shared" si="15"/>
      </c>
      <c r="C137" s="10">
        <v>152</v>
      </c>
      <c r="D137" t="s" s="9">
        <v>1567</v>
      </c>
      <c r="E137" s="11">
        <f t="shared" si="17"/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8"/>
      </c>
      <c r="L137" s="7">
        <v>3</v>
      </c>
      <c r="M137" s="11">
        <f t="shared" si="19"/>
      </c>
      <c r="N137" s="11">
        <f t="shared" si="20"/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3">
        <f>IFERROR(CalcRC27(F137,G137,K137,O137,P137,Q137,R137,S137,T137,U137,V137),"-")</f>
      </c>
      <c r="X137" t="s" s="2">
        <v>1632</v>
      </c>
    </row>
    <row r="138" spans="2:24" ht="13.8" x14ac:dyDescent="0.2">
      <c r="B138" s="8">
        <f t="shared" si="15"/>
      </c>
      <c r="C138" s="10">
        <v>153</v>
      </c>
      <c r="D138" t="s" s="9">
        <v>1568</v>
      </c>
      <c r="E138" s="11">
        <f t="shared" si="17"/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8"/>
      </c>
      <c r="L138" s="7">
        <v>4</v>
      </c>
      <c r="M138" s="11">
        <f t="shared" si="19"/>
      </c>
      <c r="N138" s="11">
        <f t="shared" si="20"/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3">
        <f>IFERROR(CalcRC27(F138,G138,K138,O138,P138,Q138,R138,S138,T138,U138,V138),"-")</f>
      </c>
      <c r="X138" t="s" s="2">
        <v>1633</v>
      </c>
    </row>
    <row r="139" spans="2:24" ht="13.8" x14ac:dyDescent="0.2">
      <c r="B139" s="8">
        <f t="shared" si="15"/>
      </c>
      <c r="C139" s="10">
        <v>154</v>
      </c>
      <c r="D139" t="s" s="9">
        <v>1569</v>
      </c>
      <c r="E139" s="11">
        <f t="shared" si="17"/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8"/>
      </c>
      <c r="L139" s="7">
        <v>5</v>
      </c>
      <c r="M139" s="11">
        <f t="shared" si="19"/>
      </c>
      <c r="N139" s="11">
        <f t="shared" si="20"/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3">
        <f>IFERROR(CalcRC27(F139,G139,K139,O139,P139,Q139,R139,S139,T139,U139,V139),"-")</f>
      </c>
      <c r="X139" t="s" s="2">
        <v>1634</v>
      </c>
    </row>
    <row r="140" spans="2:24" ht="13.8" x14ac:dyDescent="0.2">
      <c r="B140" s="8">
        <f t="shared" si="15"/>
      </c>
      <c r="C140" s="10">
        <v>155</v>
      </c>
      <c r="D140" t="s" s="9">
        <v>1570</v>
      </c>
      <c r="E140" s="11">
        <f t="shared" si="17"/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8"/>
      </c>
      <c r="L140" s="7">
        <v>6</v>
      </c>
      <c r="M140" s="11">
        <f t="shared" si="19"/>
      </c>
      <c r="N140" s="11">
        <f t="shared" si="20"/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3">
        <f>IFERROR(CalcRC27(F140,G140,K140,O140,P140,Q140,R140,S140,T140,U140,V140),"-")</f>
      </c>
      <c r="X140" t="s" s="2">
        <v>1635</v>
      </c>
    </row>
    <row r="141" spans="2:24" ht="13.8" x14ac:dyDescent="0.2">
      <c r="B141" s="8">
        <f t="shared" si="15"/>
      </c>
      <c r="C141" s="10">
        <v>156</v>
      </c>
      <c r="D141" t="s" s="9">
        <v>1222</v>
      </c>
      <c r="E141" s="11">
        <f t="shared" ref="E141:E165" si="21">IFERROR(IF(G141/F141=1,"1.00",G141/F141),"---")</f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ref="K141:K165" si="22">((G141-H141-I141-J141)+(H141*2)+(I141*3)+(J141*4))</f>
      </c>
      <c r="L141" s="7">
        <v>7</v>
      </c>
      <c r="M141" s="11">
        <f t="shared" ref="M141:M165" si="23">IFERROR(IF((G141+P141+Q141)/(F141+P141+Q141+S141)=1,"1.00",(G141+P141+Q141)/(F141+P141+Q141+S141)),0)</f>
      </c>
      <c r="N141" s="11">
        <f t="shared" ref="N141:N165" si="24">IFERROR(SUM(K141/F141,((G141+P141+Q141)/(F141+P141+Q141+S141))),M141)</f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3">
        <f>IFERROR(CalcRC27(F141,G141,K141,O141,P141,Q141,R141,S141,T141,U141,V141),"-")</f>
      </c>
      <c r="X141" t="s" s="2">
        <v>1977</v>
      </c>
    </row>
    <row r="142" spans="2:24" ht="13.8" x14ac:dyDescent="0.2">
      <c r="B142" s="8">
        <f t="shared" si="15"/>
      </c>
      <c r="C142" s="10">
        <v>157</v>
      </c>
      <c r="D142" t="s" s="9">
        <v>1571</v>
      </c>
      <c r="E142" s="11">
        <f t="shared" si="21"/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22"/>
      </c>
      <c r="L142" s="7">
        <v>8</v>
      </c>
      <c r="M142" s="11">
        <f t="shared" si="23"/>
      </c>
      <c r="N142" s="11">
        <f t="shared" si="24"/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3">
        <f>IFERROR(CalcRC27(F142,G142,K142,O142,P142,Q142,R142,S142,T142,U142,V142),"-")</f>
      </c>
      <c r="X142" t="s" s="2">
        <v>534</v>
      </c>
    </row>
    <row r="143" spans="2:24" ht="13.8" x14ac:dyDescent="0.2">
      <c r="B143" s="8">
        <f t="shared" si="15"/>
      </c>
      <c r="C143" s="10">
        <v>158</v>
      </c>
      <c r="D143" t="s" s="9">
        <v>1288</v>
      </c>
      <c r="E143" s="11">
        <f t="shared" si="21"/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22"/>
      </c>
      <c r="L143" s="7">
        <v>9</v>
      </c>
      <c r="M143" s="11">
        <f t="shared" si="23"/>
      </c>
      <c r="N143" s="11">
        <f t="shared" si="24"/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3">
        <f>IFERROR(CalcRC27(F143,G143,K143,O143,P143,Q143,R143,S143,T143,U143,V143),"-")</f>
      </c>
      <c r="X143" t="s" s="2">
        <v>1636</v>
      </c>
    </row>
    <row r="144" spans="2:24" ht="13.8" x14ac:dyDescent="0.2">
      <c r="B144" s="8">
        <f t="shared" si="15"/>
      </c>
      <c r="C144" s="10">
        <v>159</v>
      </c>
      <c r="D144" t="s" s="9">
        <v>1291</v>
      </c>
      <c r="E144" s="11">
        <f t="shared" si="21"/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22"/>
      </c>
      <c r="L144" s="7">
        <v>10</v>
      </c>
      <c r="M144" s="11">
        <f t="shared" si="23"/>
      </c>
      <c r="N144" s="11">
        <f t="shared" si="24"/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3">
        <f>IFERROR(CalcRC27(F144,G144,K144,O144,P144,Q144,R144,S144,T144,U144,V144),"-")</f>
      </c>
      <c r="X144" t="s" s="2">
        <v>1637</v>
      </c>
    </row>
    <row r="145" spans="2:24" ht="13.8" x14ac:dyDescent="0.2">
      <c r="B145" s="8">
        <f t="shared" si="15"/>
      </c>
      <c r="C145" s="10">
        <v>160</v>
      </c>
      <c r="D145" t="s" s="9">
        <v>1572</v>
      </c>
      <c r="E145" s="11">
        <f t="shared" si="21"/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22"/>
      </c>
      <c r="L145" s="7">
        <v>11</v>
      </c>
      <c r="M145" s="11">
        <f t="shared" si="23"/>
      </c>
      <c r="N145" s="11">
        <f t="shared" si="24"/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3">
        <f>IFERROR(CalcRC27(F145,G145,K145,O145,P145,Q145,R145,S145,T145,U145,V145),"-")</f>
      </c>
      <c r="X145" t="s" s="2">
        <v>1638</v>
      </c>
    </row>
    <row r="146" spans="2:24" ht="13.8" x14ac:dyDescent="0.2">
      <c r="B146" s="8">
        <f t="shared" si="15"/>
      </c>
      <c r="C146" s="10">
        <v>161</v>
      </c>
      <c r="D146" t="s" s="9">
        <v>1573</v>
      </c>
      <c r="E146" s="11">
        <f t="shared" si="21"/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22"/>
      </c>
      <c r="L146" s="7">
        <v>12</v>
      </c>
      <c r="M146" s="11">
        <f t="shared" si="23"/>
      </c>
      <c r="N146" s="11">
        <f t="shared" si="24"/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3">
        <f>IFERROR(CalcRC27(F146,G146,K146,O146,P146,Q146,R146,S146,T146,U146,V146),"-")</f>
      </c>
      <c r="X146" t="s" s="2">
        <v>1639</v>
      </c>
    </row>
    <row r="147" spans="2:24" ht="13.8" x14ac:dyDescent="0.2">
      <c r="B147" s="8">
        <f t="shared" si="15"/>
      </c>
      <c r="C147" s="10">
        <v>162</v>
      </c>
      <c r="D147" t="s" s="9">
        <v>1574</v>
      </c>
      <c r="E147" s="11">
        <f t="shared" si="21"/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22"/>
      </c>
      <c r="L147" s="7">
        <v>13</v>
      </c>
      <c r="M147" s="11">
        <f t="shared" si="23"/>
      </c>
      <c r="N147" s="11">
        <f t="shared" si="24"/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3">
        <f>IFERROR(CalcRC27(F147,G147,K147,O147,P147,Q147,R147,S147,T147,U147,V147),"-")</f>
      </c>
      <c r="X147" t="s" s="2">
        <v>1640</v>
      </c>
    </row>
    <row r="148" spans="2:24" ht="13.8" x14ac:dyDescent="0.2">
      <c r="B148" s="8">
        <f t="shared" si="15"/>
      </c>
      <c r="C148" s="10">
        <v>163</v>
      </c>
      <c r="D148" t="s" s="9">
        <v>1323</v>
      </c>
      <c r="E148" s="11">
        <f t="shared" si="21"/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22"/>
      </c>
      <c r="L148" s="7">
        <v>14</v>
      </c>
      <c r="M148" s="11">
        <f t="shared" si="23"/>
      </c>
      <c r="N148" s="11">
        <f t="shared" si="24"/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3">
        <f>IFERROR(CalcRC27(F148,G148,K148,O148,P148,Q148,R148,S148,T148,U148,V148),"-")</f>
      </c>
      <c r="X148" t="s" s="2">
        <v>1641</v>
      </c>
    </row>
    <row r="149" spans="2:24" ht="13.8" x14ac:dyDescent="0.2">
      <c r="B149" s="8">
        <f t="shared" si="15"/>
      </c>
      <c r="C149" s="10">
        <v>164</v>
      </c>
      <c r="D149" t="s" s="9">
        <v>1575</v>
      </c>
      <c r="E149" s="11">
        <f t="shared" si="21"/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22"/>
      </c>
      <c r="L149" s="7">
        <v>15</v>
      </c>
      <c r="M149" s="11">
        <f t="shared" si="23"/>
      </c>
      <c r="N149" s="11">
        <f t="shared" si="24"/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3">
        <f>IFERROR(CalcRC27(F149,G149,K149,O149,P149,Q149,R149,S149,T149,U149,V149),"-")</f>
      </c>
      <c r="X149" t="s" s="2">
        <v>1642</v>
      </c>
    </row>
    <row r="150" spans="2:24" ht="13.8" x14ac:dyDescent="0.2">
      <c r="B150" s="8">
        <f t="shared" si="15"/>
      </c>
      <c r="C150" s="10">
        <v>165</v>
      </c>
      <c r="D150" t="s" s="9">
        <v>1576</v>
      </c>
      <c r="E150" s="11">
        <f t="shared" si="21"/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22"/>
      </c>
      <c r="L150" s="7">
        <v>16</v>
      </c>
      <c r="M150" s="11">
        <f t="shared" si="23"/>
      </c>
      <c r="N150" s="11">
        <f t="shared" si="24"/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3">
        <f>IFERROR(CalcRC27(F150,G150,K150,O150,P150,Q150,R150,S150,T150,U150,V150),"-")</f>
      </c>
      <c r="X150" t="s" s="2">
        <v>1643</v>
      </c>
    </row>
    <row r="151" spans="2:24" ht="13.8" x14ac:dyDescent="0.2">
      <c r="B151" s="8">
        <f t="shared" si="15"/>
      </c>
      <c r="C151" s="10">
        <v>166</v>
      </c>
      <c r="D151" t="s" s="9">
        <v>1577</v>
      </c>
      <c r="E151" s="11">
        <f t="shared" si="21"/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12">
        <f t="shared" si="22"/>
      </c>
      <c r="L151" s="7">
        <v>17</v>
      </c>
      <c r="M151" s="11">
        <f t="shared" si="23"/>
      </c>
      <c r="N151" s="11">
        <f t="shared" si="24"/>
      </c>
      <c r="O151" s="20">
        <v>0</v>
      </c>
      <c r="P151" s="21">
        <v>0</v>
      </c>
      <c r="Q151" s="21">
        <v>0</v>
      </c>
      <c r="R151" s="22">
        <v>0</v>
      </c>
      <c r="S151" s="22">
        <v>0</v>
      </c>
      <c r="T151" s="20">
        <v>0</v>
      </c>
      <c r="U151" s="20">
        <v>0</v>
      </c>
      <c r="V151" s="20">
        <v>0</v>
      </c>
      <c r="W151" s="63">
        <f>IFERROR(CalcRC27(F151,G151,K151,O151,P151,Q151,R151,S151,T151,U151,V151),"-")</f>
      </c>
      <c r="X151" t="s" s="2">
        <v>1644</v>
      </c>
    </row>
    <row r="152" spans="2:24" ht="13.8" x14ac:dyDescent="0.2">
      <c r="B152" s="8">
        <f t="shared" si="15"/>
      </c>
      <c r="C152" s="10">
        <v>167</v>
      </c>
      <c r="D152" t="s" s="9">
        <v>1578</v>
      </c>
      <c r="E152" s="11">
        <f t="shared" si="21"/>
      </c>
      <c r="F152" s="5">
        <v>0</v>
      </c>
      <c r="G152" s="5">
        <v>0</v>
      </c>
      <c r="H152" s="5">
        <v>0</v>
      </c>
      <c r="I152" s="5">
        <v>0</v>
      </c>
      <c r="J152" s="6">
        <v>0</v>
      </c>
      <c r="K152" s="12">
        <f t="shared" si="22"/>
      </c>
      <c r="L152" s="7">
        <v>18</v>
      </c>
      <c r="M152" s="11">
        <f t="shared" si="23"/>
      </c>
      <c r="N152" s="11">
        <f t="shared" si="24"/>
      </c>
      <c r="O152" s="20">
        <v>0</v>
      </c>
      <c r="P152" s="21">
        <v>0</v>
      </c>
      <c r="Q152" s="21">
        <v>0</v>
      </c>
      <c r="R152" s="22">
        <v>0</v>
      </c>
      <c r="S152" s="22">
        <v>0</v>
      </c>
      <c r="T152" s="20">
        <v>0</v>
      </c>
      <c r="U152" s="20">
        <v>0</v>
      </c>
      <c r="V152" s="20">
        <v>0</v>
      </c>
      <c r="W152" s="63">
        <f>IFERROR(CalcRC27(F152,G152,K152,O152,P152,Q152,R152,S152,T152,U152,V152),"-")</f>
      </c>
      <c r="X152" t="s" s="2">
        <v>1645</v>
      </c>
    </row>
    <row r="153" spans="2:24" ht="13.8" x14ac:dyDescent="0.2">
      <c r="B153" s="8">
        <f t="shared" si="15"/>
      </c>
      <c r="C153" s="10">
        <v>168</v>
      </c>
      <c r="D153" t="s" s="9">
        <v>1579</v>
      </c>
      <c r="E153" s="11">
        <f t="shared" si="21"/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12">
        <f t="shared" si="22"/>
      </c>
      <c r="L153" s="7">
        <v>19</v>
      </c>
      <c r="M153" s="11">
        <f t="shared" si="23"/>
      </c>
      <c r="N153" s="11">
        <f t="shared" si="24"/>
      </c>
      <c r="O153" s="20">
        <v>0</v>
      </c>
      <c r="P153" s="21">
        <v>0</v>
      </c>
      <c r="Q153" s="21">
        <v>0</v>
      </c>
      <c r="R153" s="22">
        <v>0</v>
      </c>
      <c r="S153" s="22">
        <v>0</v>
      </c>
      <c r="T153" s="20">
        <v>0</v>
      </c>
      <c r="U153" s="20">
        <v>0</v>
      </c>
      <c r="V153" s="20">
        <v>0</v>
      </c>
      <c r="W153" s="63">
        <f>IFERROR(CalcRC27(F153,G153,K153,O153,P153,Q153,R153,S153,T153,U153,V153),"-")</f>
      </c>
      <c r="X153" t="s" s="2">
        <v>1646</v>
      </c>
    </row>
    <row r="154" spans="2:24" ht="13.8" x14ac:dyDescent="0.2">
      <c r="B154" s="8">
        <f t="shared" si="15"/>
      </c>
      <c r="C154" s="10">
        <v>169</v>
      </c>
      <c r="D154" t="s" s="9">
        <v>1580</v>
      </c>
      <c r="E154" s="11">
        <f t="shared" si="21"/>
      </c>
      <c r="F154" s="5">
        <v>0</v>
      </c>
      <c r="G154" s="5">
        <v>0</v>
      </c>
      <c r="H154" s="5">
        <v>0</v>
      </c>
      <c r="I154" s="5">
        <v>0</v>
      </c>
      <c r="J154" s="6">
        <v>0</v>
      </c>
      <c r="K154" s="12">
        <f t="shared" si="22"/>
      </c>
      <c r="L154" s="7">
        <v>20</v>
      </c>
      <c r="M154" s="11">
        <f t="shared" si="23"/>
      </c>
      <c r="N154" s="11">
        <f t="shared" si="24"/>
      </c>
      <c r="O154" s="20">
        <v>0</v>
      </c>
      <c r="P154" s="21">
        <v>0</v>
      </c>
      <c r="Q154" s="21">
        <v>0</v>
      </c>
      <c r="R154" s="22">
        <v>0</v>
      </c>
      <c r="S154" s="22">
        <v>0</v>
      </c>
      <c r="T154" s="20">
        <v>0</v>
      </c>
      <c r="U154" s="20">
        <v>0</v>
      </c>
      <c r="V154" s="20">
        <v>0</v>
      </c>
      <c r="W154" s="63">
        <f>IFERROR(CalcRC27(F154,G154,K154,O154,P154,Q154,R154,S154,T154,U154,V154),"-")</f>
      </c>
      <c r="X154" t="s" s="2">
        <v>1647</v>
      </c>
    </row>
    <row r="155" spans="2:24" ht="13.8" x14ac:dyDescent="0.2">
      <c r="B155" s="8">
        <f t="shared" si="15"/>
      </c>
      <c r="C155" s="10">
        <v>170</v>
      </c>
      <c r="D155" t="s" s="9">
        <v>1581</v>
      </c>
      <c r="E155" s="11">
        <f t="shared" si="21"/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12">
        <f t="shared" si="22"/>
      </c>
      <c r="L155" s="7">
        <v>21</v>
      </c>
      <c r="M155" s="11">
        <f t="shared" si="23"/>
      </c>
      <c r="N155" s="11">
        <f t="shared" si="24"/>
      </c>
      <c r="O155" s="20">
        <v>0</v>
      </c>
      <c r="P155" s="21">
        <v>0</v>
      </c>
      <c r="Q155" s="21">
        <v>0</v>
      </c>
      <c r="R155" s="22">
        <v>0</v>
      </c>
      <c r="S155" s="22">
        <v>0</v>
      </c>
      <c r="T155" s="20">
        <v>0</v>
      </c>
      <c r="U155" s="20">
        <v>0</v>
      </c>
      <c r="V155" s="20">
        <v>0</v>
      </c>
      <c r="W155" s="63">
        <f>IFERROR(CalcRC27(F155,G155,K155,O155,P155,Q155,R155,S155,T155,U155,V155),"-")</f>
      </c>
      <c r="X155" t="s" s="2">
        <v>1648</v>
      </c>
    </row>
    <row r="156" spans="2:24" ht="13.8" x14ac:dyDescent="0.2">
      <c r="B156" s="8">
        <f t="shared" si="15"/>
      </c>
      <c r="C156" s="10">
        <v>171</v>
      </c>
      <c r="D156" t="s" s="9">
        <v>1582</v>
      </c>
      <c r="E156" s="11">
        <f t="shared" si="21"/>
      </c>
      <c r="F156" s="5">
        <v>0</v>
      </c>
      <c r="G156" s="5">
        <v>0</v>
      </c>
      <c r="H156" s="5">
        <v>0</v>
      </c>
      <c r="I156" s="5">
        <v>0</v>
      </c>
      <c r="J156" s="6">
        <v>0</v>
      </c>
      <c r="K156" s="12">
        <f t="shared" si="22"/>
      </c>
      <c r="L156" s="7">
        <v>22</v>
      </c>
      <c r="M156" s="11">
        <f t="shared" si="23"/>
      </c>
      <c r="N156" s="11">
        <f t="shared" si="24"/>
      </c>
      <c r="O156" s="20">
        <v>0</v>
      </c>
      <c r="P156" s="21">
        <v>0</v>
      </c>
      <c r="Q156" s="21">
        <v>0</v>
      </c>
      <c r="R156" s="22">
        <v>0</v>
      </c>
      <c r="S156" s="22">
        <v>0</v>
      </c>
      <c r="T156" s="20">
        <v>0</v>
      </c>
      <c r="U156" s="20">
        <v>0</v>
      </c>
      <c r="V156" s="20">
        <v>0</v>
      </c>
      <c r="W156" s="63">
        <f>IFERROR(CalcRC27(F156,G156,K156,O156,P156,Q156,R156,S156,T156,U156,V156),"-")</f>
      </c>
      <c r="X156" t="s" s="2">
        <v>1649</v>
      </c>
    </row>
    <row r="157" spans="2:24" ht="13.8" x14ac:dyDescent="0.2">
      <c r="B157" s="8">
        <f t="shared" si="15"/>
      </c>
      <c r="C157" s="10">
        <v>172</v>
      </c>
      <c r="D157" t="s" s="9">
        <v>1583</v>
      </c>
      <c r="E157" s="11">
        <f t="shared" si="21"/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12">
        <f t="shared" si="22"/>
      </c>
      <c r="L157" s="7">
        <v>23</v>
      </c>
      <c r="M157" s="11">
        <f t="shared" si="23"/>
      </c>
      <c r="N157" s="11">
        <f t="shared" si="24"/>
      </c>
      <c r="O157" s="20">
        <v>0</v>
      </c>
      <c r="P157" s="21">
        <v>0</v>
      </c>
      <c r="Q157" s="21">
        <v>0</v>
      </c>
      <c r="R157" s="22">
        <v>0</v>
      </c>
      <c r="S157" s="22">
        <v>0</v>
      </c>
      <c r="T157" s="20">
        <v>0</v>
      </c>
      <c r="U157" s="20">
        <v>0</v>
      </c>
      <c r="V157" s="20">
        <v>0</v>
      </c>
      <c r="W157" s="63">
        <f>IFERROR(CalcRC27(F157,G157,K157,O157,P157,Q157,R157,S157,T157,U157,V157),"-")</f>
      </c>
      <c r="X157" t="s" s="2">
        <v>1650</v>
      </c>
    </row>
    <row r="158" spans="2:24" ht="13.8" x14ac:dyDescent="0.2">
      <c r="B158" s="8">
        <f t="shared" si="15"/>
      </c>
      <c r="C158" s="10">
        <v>173</v>
      </c>
      <c r="D158" t="s" s="9">
        <v>1584</v>
      </c>
      <c r="E158" s="11">
        <f t="shared" si="21"/>
      </c>
      <c r="F158" s="5">
        <v>0</v>
      </c>
      <c r="G158" s="5">
        <v>0</v>
      </c>
      <c r="H158" s="5">
        <v>0</v>
      </c>
      <c r="I158" s="5">
        <v>0</v>
      </c>
      <c r="J158" s="6">
        <v>0</v>
      </c>
      <c r="K158" s="12">
        <f t="shared" si="22"/>
      </c>
      <c r="L158" s="7">
        <v>24</v>
      </c>
      <c r="M158" s="11">
        <f t="shared" si="23"/>
      </c>
      <c r="N158" s="11">
        <f t="shared" si="24"/>
      </c>
      <c r="O158" s="20">
        <v>0</v>
      </c>
      <c r="P158" s="21">
        <v>0</v>
      </c>
      <c r="Q158" s="21">
        <v>0</v>
      </c>
      <c r="R158" s="22">
        <v>0</v>
      </c>
      <c r="S158" s="22">
        <v>0</v>
      </c>
      <c r="T158" s="20">
        <v>0</v>
      </c>
      <c r="U158" s="20">
        <v>0</v>
      </c>
      <c r="V158" s="20">
        <v>0</v>
      </c>
      <c r="W158" s="63">
        <f>IFERROR(CalcRC27(F158,G158,K158,O158,P158,Q158,R158,S158,T158,U158,V158),"-")</f>
      </c>
      <c r="X158" t="s" s="2">
        <v>1978</v>
      </c>
    </row>
    <row r="159" spans="2:24" ht="13.8" x14ac:dyDescent="0.2">
      <c r="B159" s="8">
        <f t="shared" si="15"/>
      </c>
      <c r="C159" s="10">
        <v>174</v>
      </c>
      <c r="D159" t="s" s="9">
        <v>1585</v>
      </c>
      <c r="E159" s="11">
        <f t="shared" si="21"/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12">
        <f t="shared" si="22"/>
      </c>
      <c r="L159" s="7">
        <v>25</v>
      </c>
      <c r="M159" s="11">
        <f t="shared" si="23"/>
      </c>
      <c r="N159" s="11">
        <f t="shared" si="24"/>
      </c>
      <c r="O159" s="20">
        <v>0</v>
      </c>
      <c r="P159" s="21">
        <v>0</v>
      </c>
      <c r="Q159" s="21">
        <v>0</v>
      </c>
      <c r="R159" s="22">
        <v>0</v>
      </c>
      <c r="S159" s="22">
        <v>0</v>
      </c>
      <c r="T159" s="20">
        <v>0</v>
      </c>
      <c r="U159" s="20">
        <v>0</v>
      </c>
      <c r="V159" s="20">
        <v>0</v>
      </c>
      <c r="W159" s="63">
        <f>IFERROR(CalcRC27(F159,G159,K159,O159,P159,Q159,R159,S159,T159,U159,V159),"-")</f>
      </c>
      <c r="X159" t="s" s="2">
        <v>1651</v>
      </c>
    </row>
    <row r="160" spans="2:24" ht="13.8" x14ac:dyDescent="0.2">
      <c r="B160" s="8">
        <f t="shared" si="15"/>
      </c>
      <c r="C160" s="10">
        <v>175</v>
      </c>
      <c r="D160" t="s" s="9">
        <v>1586</v>
      </c>
      <c r="E160" s="11">
        <f t="shared" si="21"/>
      </c>
      <c r="F160" s="5">
        <v>0</v>
      </c>
      <c r="G160" s="5">
        <v>0</v>
      </c>
      <c r="H160" s="5">
        <v>0</v>
      </c>
      <c r="I160" s="5">
        <v>0</v>
      </c>
      <c r="J160" s="6">
        <v>0</v>
      </c>
      <c r="K160" s="12">
        <f t="shared" si="22"/>
      </c>
      <c r="L160" s="7">
        <v>26</v>
      </c>
      <c r="M160" s="11">
        <f t="shared" si="23"/>
      </c>
      <c r="N160" s="11">
        <f t="shared" si="24"/>
      </c>
      <c r="O160" s="20">
        <v>0</v>
      </c>
      <c r="P160" s="21">
        <v>0</v>
      </c>
      <c r="Q160" s="21">
        <v>0</v>
      </c>
      <c r="R160" s="22">
        <v>0</v>
      </c>
      <c r="S160" s="22">
        <v>0</v>
      </c>
      <c r="T160" s="20">
        <v>0</v>
      </c>
      <c r="U160" s="20">
        <v>0</v>
      </c>
      <c r="V160" s="20">
        <v>0</v>
      </c>
      <c r="W160" s="63">
        <f>IFERROR(CalcRC27(F160,G160,K160,O160,P160,Q160,R160,S160,T160,U160,V160),"-")</f>
      </c>
      <c r="X160" t="s" s="2">
        <v>1979</v>
      </c>
    </row>
    <row r="161" spans="2:24" ht="13.8" x14ac:dyDescent="0.2">
      <c r="B161" s="8">
        <f t="shared" si="15"/>
      </c>
      <c r="C161" s="10">
        <v>176</v>
      </c>
      <c r="D161" t="s" s="9">
        <v>1587</v>
      </c>
      <c r="E161" s="11">
        <f t="shared" si="21"/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12">
        <f t="shared" si="22"/>
      </c>
      <c r="L161" s="7">
        <v>27</v>
      </c>
      <c r="M161" s="11">
        <f t="shared" si="23"/>
      </c>
      <c r="N161" s="11">
        <f t="shared" si="24"/>
      </c>
      <c r="O161" s="20">
        <v>0</v>
      </c>
      <c r="P161" s="21">
        <v>0</v>
      </c>
      <c r="Q161" s="21">
        <v>0</v>
      </c>
      <c r="R161" s="22">
        <v>0</v>
      </c>
      <c r="S161" s="22">
        <v>0</v>
      </c>
      <c r="T161" s="20">
        <v>0</v>
      </c>
      <c r="U161" s="20">
        <v>0</v>
      </c>
      <c r="V161" s="20">
        <v>0</v>
      </c>
      <c r="W161" s="63">
        <f>IFERROR(CalcRC27(F161,G161,K161,O161,P161,Q161,R161,S161,T161,U161,V161),"-")</f>
      </c>
      <c r="X161" t="s" s="2">
        <v>1980</v>
      </c>
    </row>
    <row r="162" spans="2:24" ht="13.8" x14ac:dyDescent="0.2">
      <c r="B162" s="8">
        <f t="shared" si="15"/>
      </c>
      <c r="C162" s="10"/>
      <c r="D162" s="9"/>
      <c r="E162" s="11">
        <f t="shared" si="21"/>
      </c>
      <c r="F162" s="5">
        <v>0</v>
      </c>
      <c r="G162" s="5">
        <v>0</v>
      </c>
      <c r="H162" s="5">
        <v>0</v>
      </c>
      <c r="I162" s="5">
        <v>0</v>
      </c>
      <c r="J162" s="6">
        <v>0</v>
      </c>
      <c r="K162" s="12">
        <f t="shared" si="22"/>
      </c>
      <c r="L162" s="7">
        <v>28</v>
      </c>
      <c r="M162" s="11">
        <f t="shared" si="23"/>
      </c>
      <c r="N162" s="11">
        <f t="shared" si="24"/>
      </c>
      <c r="O162" s="20">
        <v>0</v>
      </c>
      <c r="P162" s="21">
        <v>0</v>
      </c>
      <c r="Q162" s="21">
        <v>0</v>
      </c>
      <c r="R162" s="22">
        <v>0</v>
      </c>
      <c r="S162" s="22">
        <v>0</v>
      </c>
      <c r="T162" s="20">
        <v>0</v>
      </c>
      <c r="U162" s="20">
        <v>0</v>
      </c>
      <c r="V162" s="20">
        <v>0</v>
      </c>
      <c r="W162" s="63">
        <f>IFERROR(CalcRC27(F162,G162,K162,O162,P162,Q162,R162,S162,T162,U162,V162),"-")</f>
      </c>
      <c r="X162" s="2"/>
    </row>
    <row r="163" spans="2:24" ht="13.8" x14ac:dyDescent="0.2">
      <c r="B163" s="8">
        <f t="shared" si="15"/>
      </c>
      <c r="C163" s="10"/>
      <c r="D163" s="9"/>
      <c r="E163" s="11">
        <f t="shared" si="21"/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12">
        <f t="shared" si="22"/>
      </c>
      <c r="L163" s="7">
        <v>29</v>
      </c>
      <c r="M163" s="11">
        <f t="shared" si="23"/>
      </c>
      <c r="N163" s="11">
        <f t="shared" si="24"/>
      </c>
      <c r="O163" s="20">
        <v>0</v>
      </c>
      <c r="P163" s="21">
        <v>0</v>
      </c>
      <c r="Q163" s="21">
        <v>0</v>
      </c>
      <c r="R163" s="22">
        <v>0</v>
      </c>
      <c r="S163" s="22">
        <v>0</v>
      </c>
      <c r="T163" s="20">
        <v>0</v>
      </c>
      <c r="U163" s="20">
        <v>0</v>
      </c>
      <c r="V163" s="20">
        <v>0</v>
      </c>
      <c r="W163" s="63">
        <f>IFERROR(CalcRC27(F163,G163,K163,O163,P163,Q163,R163,S163,T163,U163,V163),"-")</f>
      </c>
      <c r="X163" s="2"/>
    </row>
    <row r="164" spans="2:24" ht="13.8" x14ac:dyDescent="0.2">
      <c r="B164" s="8">
        <f t="shared" si="15"/>
      </c>
      <c r="C164" s="10"/>
      <c r="D164" s="9"/>
      <c r="E164" s="11">
        <f t="shared" si="21"/>
      </c>
      <c r="F164" s="5">
        <v>0</v>
      </c>
      <c r="G164" s="5">
        <v>0</v>
      </c>
      <c r="H164" s="5">
        <v>0</v>
      </c>
      <c r="I164" s="5">
        <v>0</v>
      </c>
      <c r="J164" s="6">
        <v>0</v>
      </c>
      <c r="K164" s="12">
        <f t="shared" si="22"/>
      </c>
      <c r="L164" s="7">
        <v>30</v>
      </c>
      <c r="M164" s="11">
        <f t="shared" si="23"/>
      </c>
      <c r="N164" s="11">
        <f t="shared" si="24"/>
      </c>
      <c r="O164" s="20">
        <v>0</v>
      </c>
      <c r="P164" s="21">
        <v>0</v>
      </c>
      <c r="Q164" s="21">
        <v>0</v>
      </c>
      <c r="R164" s="22">
        <v>0</v>
      </c>
      <c r="S164" s="22">
        <v>0</v>
      </c>
      <c r="T164" s="20">
        <v>0</v>
      </c>
      <c r="U164" s="20">
        <v>0</v>
      </c>
      <c r="V164" s="20">
        <v>0</v>
      </c>
      <c r="W164" s="63">
        <f>IFERROR(CalcRC27(F164,G164,K164,O164,P164,Q164,R164,S164,T164,U164,V164),"-")</f>
      </c>
      <c r="X164" s="2"/>
    </row>
    <row r="165" spans="2:24" ht="13.8" x14ac:dyDescent="0.2">
      <c r="B165" s="8">
        <f t="shared" si="15"/>
      </c>
      <c r="C165" s="10"/>
      <c r="D165" s="9"/>
      <c r="E165" s="11">
        <f t="shared" si="21"/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12">
        <f t="shared" si="22"/>
      </c>
      <c r="L165" s="7">
        <v>31</v>
      </c>
      <c r="M165" s="11">
        <f t="shared" si="23"/>
      </c>
      <c r="N165" s="11">
        <f t="shared" si="24"/>
      </c>
      <c r="O165" s="20">
        <v>0</v>
      </c>
      <c r="P165" s="21">
        <v>0</v>
      </c>
      <c r="Q165" s="21">
        <v>0</v>
      </c>
      <c r="R165" s="22">
        <v>0</v>
      </c>
      <c r="S165" s="22">
        <v>0</v>
      </c>
      <c r="T165" s="20">
        <v>0</v>
      </c>
      <c r="U165" s="20">
        <v>0</v>
      </c>
      <c r="V165" s="20">
        <v>0</v>
      </c>
      <c r="W165" s="63">
        <f>IFERROR(CalcRC27(F165,G165,K165,O165,P165,Q165,R165,S165,T165,U165,V165),"-")</f>
      </c>
      <c r="X165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E61FB-4B01-4B82-AA83-26A45C40565E}">
  <sheetPr codeName="Sheet9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2"/>
      <c r="C2" s="122"/>
      <c r="D2" s="122"/>
      <c r="E2" s="4">
        <f>IFERROR(G2/F2,0)</f>
      </c>
      <c r="F2" s="5">
        <f t="shared" ref="F2:L2" si="0">SUM(F4:F104)</f>
      </c>
      <c r="G2" s="5">
        <f t="shared" si="0"/>
      </c>
      <c r="H2" s="5">
        <f t="shared" si="0"/>
      </c>
      <c r="I2" s="5">
        <f t="shared" si="0"/>
      </c>
      <c r="J2" s="6">
        <f t="shared" si="0"/>
      </c>
      <c r="K2" s="12">
        <f t="shared" si="0"/>
      </c>
      <c r="L2" s="7">
        <f t="shared" si="0"/>
      </c>
      <c r="M2" s="11">
        <f>IFERROR(IF((G2+P2+Q2)/(F2+P2+Q2+R2)=1,"1.00",(G2+P2+Q2)/(F2+P2+Q2+R2)),0)</f>
      </c>
      <c r="N2" s="11">
        <f>IFERROR(SUM(SUM(((G2-H2-I2-J2)*1),H2*2,I2*3,J2*4)/F2,((G2+P2+Q2)/(F2+P2+Q2+R2))),M2)</f>
      </c>
      <c r="O2" s="5">
        <f>SUM(O4:O104)</f>
      </c>
      <c r="P2" s="5">
        <f>SUM(P4:P104)</f>
      </c>
      <c r="Q2" s="5">
        <f>SUM(Q4:Q104)</f>
      </c>
      <c r="R2" s="5">
        <f>SUM(R4:R104)</f>
      </c>
      <c r="S2" s="5">
        <f>SUM(S4:S104)</f>
      </c>
      <c r="T2" s="5">
        <f t="shared" ref="T2:V2" si="1">SUM(T4:T104)</f>
      </c>
      <c r="U2" s="5">
        <f t="shared" si="1"/>
      </c>
      <c r="V2" s="5">
        <f t="shared" si="1"/>
      </c>
      <c r="W2" s="20">
        <f>IFERROR(CalcRC27(F2,G2,K2,O2,P2,Q2,R2,S2,T2,U2,V2),"-")</f>
      </c>
      <c r="X2" t="s" s="121">
        <v>229</v>
      </c>
    </row>
    <row r="3" spans="2:24" x14ac:dyDescent="0.2">
      <c r="B3" t="s" s="55">
        <v>841</v>
      </c>
      <c r="C3" t="s" s="56">
        <v>1039</v>
      </c>
      <c r="D3" t="s" s="56">
        <v>1040</v>
      </c>
      <c r="E3" t="s" s="57">
        <v>56</v>
      </c>
      <c r="F3" t="s" s="58">
        <v>0</v>
      </c>
      <c r="G3" t="s" s="55">
        <v>1</v>
      </c>
      <c r="H3" t="s" s="55">
        <v>360</v>
      </c>
      <c r="I3" t="s" s="55">
        <v>361</v>
      </c>
      <c r="J3" t="s" s="59">
        <v>1041</v>
      </c>
      <c r="K3" t="s" s="55">
        <v>983</v>
      </c>
      <c r="L3" t="s" s="60">
        <v>2</v>
      </c>
      <c r="M3" t="s" s="61">
        <v>359</v>
      </c>
      <c r="N3" t="s" s="57">
        <v>362</v>
      </c>
      <c r="O3" t="s" s="62">
        <v>978</v>
      </c>
      <c r="P3" t="s" s="55">
        <v>234</v>
      </c>
      <c r="Q3" t="s" s="55">
        <v>235</v>
      </c>
      <c r="R3" t="s" s="55">
        <v>976</v>
      </c>
      <c r="S3" t="s" s="55">
        <v>977</v>
      </c>
      <c r="T3" t="s" s="55">
        <v>979</v>
      </c>
      <c r="U3" t="s" s="55">
        <v>980</v>
      </c>
      <c r="V3" t="s" s="55">
        <v>981</v>
      </c>
      <c r="W3" t="s" s="55">
        <v>982</v>
      </c>
      <c r="X3" s="121"/>
    </row>
    <row r="4" spans="2:24" ht="13.8" x14ac:dyDescent="0.2">
      <c r="B4" s="8">
        <f>IF(C4="","",C4)</f>
      </c>
      <c r="C4" t="s" s="10">
        <v>173</v>
      </c>
      <c r="D4" t="s" s="13">
        <v>1734</v>
      </c>
      <c r="E4" s="11">
        <f t="shared" ref="E4:E68" si="2">IFERROR(IF(G4/F4=1,"1.00",G4/F4),"---")</f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</c>
      <c r="L4" s="7">
        <v>0</v>
      </c>
      <c r="M4" s="11">
        <f t="shared" ref="M4:M67" si="4">IFERROR(IF((G4+P4+Q4)/(F4+P4+Q4+S4)=1,"1.00",(G4+P4+Q4)/(F4+P4+Q4+S4)),0)</f>
      </c>
      <c r="N4" s="11">
        <f t="shared" ref="N4:N67" si="5">IFERROR(SUM(K4/F4,((G4+P4+Q4)/(F4+P4+Q4+S4))),M4)</f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>
        <f>IFERROR(CalcRC27(F4,G4,K4,O4,P4,Q4,R4,S4,T4,U4,V4),"-")</f>
      </c>
      <c r="X4" t="s" s="2">
        <v>1981</v>
      </c>
    </row>
    <row r="5" spans="2:24" ht="13.8" x14ac:dyDescent="0.2">
      <c r="B5" s="8">
        <f t="shared" ref="B5:B68" si="6">IF(C5="","",C5)</f>
      </c>
      <c r="C5" s="10">
        <v>0</v>
      </c>
      <c r="D5" t="s" s="13">
        <v>1735</v>
      </c>
      <c r="E5" s="11">
        <f t="shared" si="2"/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</c>
      <c r="L5" s="7">
        <v>0</v>
      </c>
      <c r="M5" s="11">
        <f t="shared" si="4"/>
      </c>
      <c r="N5" s="11">
        <f t="shared" si="5"/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>
        <f>IFERROR(CalcRC27(F5,G5,K5,O5,P5,Q5,R5,S5,T5,U5,V5),"-")</f>
      </c>
      <c r="X5" t="s" s="2">
        <v>1699</v>
      </c>
    </row>
    <row r="6" spans="2:24" ht="13.8" x14ac:dyDescent="0.2">
      <c r="B6" s="8">
        <f t="shared" si="6"/>
      </c>
      <c r="C6" s="10">
        <v>1</v>
      </c>
      <c r="D6" t="s" s="13">
        <v>77</v>
      </c>
      <c r="E6" s="11">
        <f t="shared" si="2"/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</c>
      <c r="L6" s="7">
        <v>0</v>
      </c>
      <c r="M6" s="11">
        <f t="shared" si="4"/>
      </c>
      <c r="N6" s="11">
        <f t="shared" si="5"/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>
        <f>IFERROR(CalcRC27(F6,G6,K6,O6,P6,Q6,R6,S6,T6,U6,V6),"-")</f>
      </c>
      <c r="X6" t="s" s="2">
        <v>465</v>
      </c>
    </row>
    <row r="7" spans="2:24" ht="13.8" x14ac:dyDescent="0.2">
      <c r="B7" s="8">
        <f t="shared" si="6"/>
      </c>
      <c r="C7" s="10">
        <v>2</v>
      </c>
      <c r="D7" t="s" s="13">
        <v>1468</v>
      </c>
      <c r="E7" s="11">
        <f t="shared" si="2"/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</c>
      <c r="L7" s="7">
        <v>0</v>
      </c>
      <c r="M7" s="11">
        <f t="shared" si="4"/>
      </c>
      <c r="N7" s="11">
        <f t="shared" si="5"/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>
        <f>IFERROR(CalcRC27(F7,G7,K7,O7,P7,Q7,R7,S7,T7,U7,V7),"-")</f>
      </c>
      <c r="X7" t="s" s="2">
        <v>466</v>
      </c>
    </row>
    <row r="8" spans="2:24" ht="13.8" x14ac:dyDescent="0.2">
      <c r="B8" s="8">
        <f t="shared" si="6"/>
      </c>
      <c r="C8" s="10">
        <v>3</v>
      </c>
      <c r="D8" s="13"/>
      <c r="E8" s="11">
        <f t="shared" si="2"/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</c>
      <c r="L8" s="7">
        <v>0</v>
      </c>
      <c r="M8" s="11">
        <f t="shared" si="4"/>
      </c>
      <c r="N8" s="11">
        <f t="shared" si="5"/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>
        <f>IFERROR(CalcRC27(F8,G8,K8,O8,P8,Q8,R8,S8,T8,U8,V8),"-")</f>
      </c>
      <c r="X8" s="2"/>
    </row>
    <row r="9" spans="2:24" ht="13.8" x14ac:dyDescent="0.2">
      <c r="B9" s="8">
        <f t="shared" si="6"/>
      </c>
      <c r="C9" s="10">
        <v>4</v>
      </c>
      <c r="D9" t="s" s="13">
        <v>121</v>
      </c>
      <c r="E9" s="11">
        <f t="shared" si="2"/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</c>
      <c r="L9" s="7">
        <v>0</v>
      </c>
      <c r="M9" s="11">
        <f t="shared" si="4"/>
      </c>
      <c r="N9" s="11">
        <f t="shared" si="5"/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>
        <f>IFERROR(CalcRC27(F9,G9,K9,O9,P9,Q9,R9,S9,T9,U9,V9),"-")</f>
      </c>
      <c r="X9" t="s" s="2">
        <v>468</v>
      </c>
    </row>
    <row r="10" spans="2:24" ht="13.8" x14ac:dyDescent="0.2">
      <c r="B10" s="8">
        <f t="shared" si="6"/>
      </c>
      <c r="C10" s="10">
        <v>5</v>
      </c>
      <c r="D10" t="s" s="13">
        <v>78</v>
      </c>
      <c r="E10" s="11">
        <f t="shared" si="2"/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</c>
      <c r="L10" s="7">
        <v>0</v>
      </c>
      <c r="M10" s="11">
        <f t="shared" si="4"/>
      </c>
      <c r="N10" s="11">
        <f t="shared" si="5"/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>
        <f>IFERROR(CalcRC27(F10,G10,K10,O10,P10,Q10,R10,S10,T10,U10,V10),"-")</f>
      </c>
      <c r="X10" t="s" s="2">
        <v>469</v>
      </c>
    </row>
    <row r="11" spans="2:24" ht="13.8" x14ac:dyDescent="0.2">
      <c r="B11" s="8">
        <f t="shared" si="6"/>
      </c>
      <c r="C11" s="10">
        <v>6</v>
      </c>
      <c r="D11" t="s" s="13">
        <v>76</v>
      </c>
      <c r="E11" s="11">
        <f t="shared" si="2"/>
      </c>
      <c r="F11" s="5">
        <v>1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</c>
      <c r="L11" s="7">
        <v>0</v>
      </c>
      <c r="M11" s="11">
        <f t="shared" si="4"/>
      </c>
      <c r="N11" s="11">
        <f t="shared" si="5"/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</c>
      <c r="X11" t="s" s="2">
        <v>470</v>
      </c>
    </row>
    <row r="12" spans="2:24" ht="13.8" x14ac:dyDescent="0.2">
      <c r="B12" s="8">
        <f t="shared" si="6"/>
      </c>
      <c r="C12" s="10">
        <v>7</v>
      </c>
      <c r="D12" t="s" s="13">
        <v>61</v>
      </c>
      <c r="E12" s="11">
        <f t="shared" si="2"/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</c>
      <c r="L12" s="7">
        <v>0</v>
      </c>
      <c r="M12" s="11">
        <f t="shared" si="4"/>
      </c>
      <c r="N12" s="11">
        <f t="shared" si="5"/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>
        <f>IFERROR(CalcRC27(F12,G12,K12,O12,P12,Q12,R12,S12,T12,U12,V12),"-")</f>
      </c>
      <c r="X12" t="s" s="2">
        <v>471</v>
      </c>
    </row>
    <row r="13" spans="2:24" ht="13.8" x14ac:dyDescent="0.2">
      <c r="B13" s="8">
        <f t="shared" si="6"/>
      </c>
      <c r="C13" s="10">
        <v>8</v>
      </c>
      <c r="D13" t="s" s="13">
        <v>840</v>
      </c>
      <c r="E13" s="11">
        <f t="shared" si="2"/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</c>
      <c r="L13" s="7">
        <v>0</v>
      </c>
      <c r="M13" s="11">
        <f t="shared" si="4"/>
      </c>
      <c r="N13" s="11">
        <f t="shared" si="5"/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</c>
      <c r="X13" t="s" s="2">
        <v>472</v>
      </c>
    </row>
    <row r="14" spans="2:24" ht="13.8" x14ac:dyDescent="0.2">
      <c r="B14" s="8">
        <f t="shared" si="6"/>
      </c>
      <c r="C14" s="10">
        <v>9</v>
      </c>
      <c r="D14" t="s" s="13">
        <v>1653</v>
      </c>
      <c r="E14" s="11">
        <f t="shared" si="2"/>
      </c>
      <c r="F14" s="5">
        <v>1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</c>
      <c r="L14" s="7">
        <v>0</v>
      </c>
      <c r="M14" s="11">
        <f t="shared" si="4"/>
      </c>
      <c r="N14" s="11">
        <f t="shared" si="5"/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>
        <f>IFERROR(CalcRC27(F14,G14,K14,O14,P14,Q14,R14,S14,T14,U14,V14),"-")</f>
      </c>
      <c r="X14" t="s" s="2">
        <v>1700</v>
      </c>
    </row>
    <row r="15" spans="2:24" ht="13.8" x14ac:dyDescent="0.2">
      <c r="B15" s="8">
        <f t="shared" si="6"/>
      </c>
      <c r="C15" s="10">
        <v>10</v>
      </c>
      <c r="D15" t="s" s="13">
        <v>1654</v>
      </c>
      <c r="E15" s="11">
        <f t="shared" si="2"/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</c>
      <c r="L15" s="7">
        <v>0</v>
      </c>
      <c r="M15" s="11">
        <f t="shared" si="4"/>
      </c>
      <c r="N15" s="11">
        <f t="shared" si="5"/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</c>
      <c r="X15" t="s" s="2">
        <v>1701</v>
      </c>
    </row>
    <row r="16" spans="2:24" ht="13.8" x14ac:dyDescent="0.2">
      <c r="B16" s="8">
        <f t="shared" si="6"/>
      </c>
      <c r="C16" s="10">
        <v>11</v>
      </c>
      <c r="D16" t="s" s="13">
        <v>1454</v>
      </c>
      <c r="E16" s="11">
        <f t="shared" si="2"/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</c>
      <c r="L16" s="7">
        <v>0</v>
      </c>
      <c r="M16" s="11">
        <f t="shared" si="4"/>
      </c>
      <c r="N16" s="11">
        <f t="shared" si="5"/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</c>
      <c r="X16" t="s" s="2">
        <v>1702</v>
      </c>
    </row>
    <row r="17" spans="2:24" ht="13.8" x14ac:dyDescent="0.2">
      <c r="B17" s="8">
        <f t="shared" si="6"/>
      </c>
      <c r="C17" s="10">
        <v>12</v>
      </c>
      <c r="D17" t="s" s="13">
        <v>1389</v>
      </c>
      <c r="E17" s="11">
        <f t="shared" si="2"/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</c>
      <c r="L17" s="7">
        <v>0</v>
      </c>
      <c r="M17" s="11">
        <f t="shared" si="4"/>
      </c>
      <c r="N17" s="11">
        <f t="shared" si="5"/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>
        <f>IFERROR(CalcRC27(F17,G17,K17,O17,P17,Q17,R17,S17,T17,U17,V17),"-")</f>
      </c>
      <c r="X17" t="s" s="2">
        <v>119</v>
      </c>
    </row>
    <row r="18" spans="2:24" ht="13.8" x14ac:dyDescent="0.2">
      <c r="B18" s="8">
        <f t="shared" si="6"/>
      </c>
      <c r="C18" s="10">
        <v>13</v>
      </c>
      <c r="D18" t="s" s="13">
        <v>793</v>
      </c>
      <c r="E18" s="11">
        <f t="shared" si="2"/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</c>
      <c r="L18" s="7">
        <v>0</v>
      </c>
      <c r="M18" s="11">
        <f t="shared" si="4"/>
      </c>
      <c r="N18" s="11">
        <f t="shared" si="5"/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>
        <f>IFERROR(CalcRC27(F18,G18,K18,O18,P18,Q18,R18,S18,T18,U18,V18),"-")</f>
      </c>
      <c r="X18" t="s" s="13">
        <v>475</v>
      </c>
    </row>
    <row r="19" spans="2:24" ht="13.8" x14ac:dyDescent="0.2">
      <c r="B19" s="8">
        <f t="shared" si="6"/>
      </c>
      <c r="C19" s="10">
        <v>14</v>
      </c>
      <c r="D19" t="s" s="13">
        <v>1210</v>
      </c>
      <c r="E19" s="11">
        <f t="shared" si="2"/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</c>
      <c r="L19" s="7">
        <v>0</v>
      </c>
      <c r="M19" s="11">
        <f t="shared" si="4"/>
      </c>
      <c r="N19" s="11">
        <f t="shared" si="5"/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>
        <f>IFERROR(CalcRC27(F19,G19,K19,O19,P19,Q19,R19,S19,T19,U19,V19),"-")</f>
      </c>
      <c r="X19" t="s" s="2">
        <v>476</v>
      </c>
    </row>
    <row r="20" spans="2:24" ht="13.8" x14ac:dyDescent="0.2">
      <c r="B20" s="8">
        <f t="shared" si="6"/>
      </c>
      <c r="C20" s="10">
        <v>15</v>
      </c>
      <c r="D20" t="s" s="26">
        <v>1655</v>
      </c>
      <c r="E20" s="11">
        <f t="shared" si="2"/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</c>
      <c r="L20" s="7">
        <v>0</v>
      </c>
      <c r="M20" s="11">
        <f t="shared" si="4"/>
      </c>
      <c r="N20" s="11">
        <f t="shared" si="5"/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>
        <f>IFERROR(CalcRC27(F20,G20,K20,O20,P20,Q20,R20,S20,T20,U20,V20),"-")</f>
      </c>
      <c r="X20" t="s" s="2">
        <v>487</v>
      </c>
    </row>
    <row r="21" spans="2:24" ht="13.8" x14ac:dyDescent="0.2">
      <c r="B21" s="8">
        <f t="shared" si="6"/>
      </c>
      <c r="C21" s="10">
        <v>16</v>
      </c>
      <c r="D21" t="s" s="13">
        <v>800</v>
      </c>
      <c r="E21" s="11">
        <f t="shared" si="2"/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</c>
      <c r="L21" s="7">
        <v>0</v>
      </c>
      <c r="M21" s="11">
        <f t="shared" si="4"/>
      </c>
      <c r="N21" s="11">
        <f t="shared" si="5"/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</c>
      <c r="X21" t="s" s="2">
        <v>794</v>
      </c>
    </row>
    <row r="22" spans="2:24" ht="13.8" x14ac:dyDescent="0.2">
      <c r="B22" s="8">
        <f t="shared" si="6"/>
      </c>
      <c r="C22" s="10">
        <v>17</v>
      </c>
      <c r="D22" t="s" s="13">
        <v>1319</v>
      </c>
      <c r="E22" s="11">
        <f t="shared" si="2"/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</c>
      <c r="L22" s="7">
        <v>0</v>
      </c>
      <c r="M22" s="11">
        <f t="shared" si="4"/>
      </c>
      <c r="N22" s="11">
        <f t="shared" si="5"/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>
        <f>IFERROR(CalcRC27(F22,G22,K22,O22,P22,Q22,R22,S22,T22,U22,V22),"-")</f>
      </c>
      <c r="X22" t="s" s="2">
        <v>477</v>
      </c>
    </row>
    <row r="23" spans="2:24" ht="13.8" x14ac:dyDescent="0.2">
      <c r="B23" s="8">
        <f t="shared" si="6"/>
      </c>
      <c r="C23" s="10">
        <v>18</v>
      </c>
      <c r="D23" s="13"/>
      <c r="E23" s="11">
        <f t="shared" si="2"/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</c>
      <c r="L23" s="7">
        <v>0</v>
      </c>
      <c r="M23" s="11">
        <f t="shared" si="4"/>
      </c>
      <c r="N23" s="11">
        <f t="shared" si="5"/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</c>
      <c r="X23" s="2"/>
    </row>
    <row r="24" spans="2:24" ht="13.8" x14ac:dyDescent="0.2">
      <c r="B24" s="8">
        <f t="shared" si="6"/>
      </c>
      <c r="C24" s="10">
        <v>19</v>
      </c>
      <c r="D24" t="s" s="13">
        <v>1656</v>
      </c>
      <c r="E24" s="11">
        <f t="shared" si="2"/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</c>
      <c r="L24" s="7">
        <v>0</v>
      </c>
      <c r="M24" s="11">
        <f t="shared" si="4"/>
      </c>
      <c r="N24" s="11">
        <f t="shared" si="5"/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</c>
      <c r="X24" t="s" s="2">
        <v>795</v>
      </c>
    </row>
    <row r="25" spans="2:24" ht="13.8" x14ac:dyDescent="0.2">
      <c r="B25" s="8">
        <f t="shared" si="6"/>
      </c>
      <c r="C25" s="10">
        <v>20</v>
      </c>
      <c r="D25" t="s" s="13">
        <v>1657</v>
      </c>
      <c r="E25" s="11">
        <f t="shared" si="2"/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</c>
      <c r="L25" s="7">
        <v>0</v>
      </c>
      <c r="M25" s="11">
        <f t="shared" si="4"/>
      </c>
      <c r="N25" s="11">
        <f t="shared" si="5"/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>
        <f>IFERROR(CalcRC27(F25,G25,K25,O25,P25,Q25,R25,S25,T25,U25,V25),"-")</f>
      </c>
      <c r="X25" t="s" s="2">
        <v>120</v>
      </c>
    </row>
    <row r="26" spans="2:24" ht="13.8" x14ac:dyDescent="0.2">
      <c r="B26" s="8">
        <f t="shared" si="6"/>
      </c>
      <c r="C26" s="10">
        <v>21</v>
      </c>
      <c r="D26" t="s" s="13">
        <v>1658</v>
      </c>
      <c r="E26" s="11">
        <f t="shared" si="2"/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</c>
      <c r="L26" s="7">
        <v>0</v>
      </c>
      <c r="M26" s="11">
        <f t="shared" si="4"/>
      </c>
      <c r="N26" s="11">
        <f t="shared" si="5"/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>
        <f>IFERROR(CalcRC27(F26,G26,K26,O26,P26,Q26,R26,S26,T26,U26,V26),"-")</f>
      </c>
      <c r="X26" t="s" s="2">
        <v>1703</v>
      </c>
    </row>
    <row r="27" spans="2:24" ht="13.8" x14ac:dyDescent="0.2">
      <c r="B27" s="8">
        <f t="shared" si="6"/>
      </c>
      <c r="C27" s="10">
        <v>22</v>
      </c>
      <c r="D27" t="s" s="13">
        <v>1894</v>
      </c>
      <c r="E27" s="11">
        <f t="shared" si="2"/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</c>
      <c r="L27" s="7">
        <v>0</v>
      </c>
      <c r="M27" s="11">
        <f t="shared" si="4"/>
      </c>
      <c r="N27" s="11">
        <f t="shared" si="5"/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>
        <f>IFERROR(CalcRC27(F27,G27,K27,O27,P27,Q27,R27,S27,T27,U27,V27),"-")</f>
      </c>
      <c r="X27" t="s" s="2">
        <v>796</v>
      </c>
    </row>
    <row r="28" spans="2:24" ht="13.8" x14ac:dyDescent="0.2">
      <c r="B28" s="8">
        <f t="shared" si="6"/>
      </c>
      <c r="C28" s="10">
        <v>23</v>
      </c>
      <c r="D28" t="s" s="13">
        <v>1659</v>
      </c>
      <c r="E28" s="11">
        <f t="shared" si="2"/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</c>
      <c r="L28" s="7">
        <v>0</v>
      </c>
      <c r="M28" s="11">
        <f t="shared" si="4"/>
      </c>
      <c r="N28" s="11">
        <f t="shared" si="5"/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>
        <f>IFERROR(CalcRC27(F28,G28,K28,O28,P28,Q28,R28,S28,T28,U28,V28),"-")</f>
      </c>
      <c r="X28" t="s" s="2">
        <v>1704</v>
      </c>
    </row>
    <row r="29" spans="2:24" ht="13.8" x14ac:dyDescent="0.2">
      <c r="B29" s="8">
        <f t="shared" si="6"/>
      </c>
      <c r="C29" s="10">
        <v>24</v>
      </c>
      <c r="D29" s="13"/>
      <c r="E29" s="11">
        <f t="shared" si="2"/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</c>
      <c r="L29" s="7">
        <v>0</v>
      </c>
      <c r="M29" s="11">
        <f t="shared" si="4"/>
      </c>
      <c r="N29" s="11">
        <f t="shared" si="5"/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</c>
      <c r="X29" s="2"/>
    </row>
    <row r="30" spans="2:24" ht="13.8" x14ac:dyDescent="0.2">
      <c r="B30" s="8">
        <f t="shared" si="6"/>
      </c>
      <c r="C30" s="10">
        <v>25</v>
      </c>
      <c r="D30" t="s" s="13">
        <v>16</v>
      </c>
      <c r="E30" s="11">
        <f t="shared" si="2"/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</c>
      <c r="L30" s="7">
        <v>0</v>
      </c>
      <c r="M30" s="11">
        <f t="shared" si="4"/>
      </c>
      <c r="N30" s="11">
        <f t="shared" si="5"/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</c>
      <c r="X30" t="s" s="2">
        <v>479</v>
      </c>
    </row>
    <row r="31" spans="2:24" ht="13.8" x14ac:dyDescent="0.2">
      <c r="B31" s="8">
        <f t="shared" si="6"/>
      </c>
      <c r="C31" s="10">
        <v>26</v>
      </c>
      <c r="D31" s="13"/>
      <c r="E31" s="11">
        <f t="shared" si="2"/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</c>
      <c r="L31" s="7">
        <v>0</v>
      </c>
      <c r="M31" s="11">
        <f t="shared" si="4"/>
      </c>
      <c r="N31" s="11">
        <f t="shared" si="5"/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>
        <f>IFERROR(CalcRC27(F31,G31,K31,O31,P31,Q31,R31,S31,T31,U31,V31),"-")</f>
      </c>
      <c r="X31" s="2"/>
    </row>
    <row r="32" spans="2:24" ht="13.8" x14ac:dyDescent="0.2">
      <c r="B32" s="8">
        <f t="shared" si="6"/>
      </c>
      <c r="C32" s="10">
        <v>27</v>
      </c>
      <c r="D32" t="s" s="13">
        <v>1660</v>
      </c>
      <c r="E32" s="11">
        <f t="shared" si="2"/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</c>
      <c r="L32" s="7">
        <v>0</v>
      </c>
      <c r="M32" s="11">
        <f t="shared" si="4"/>
      </c>
      <c r="N32" s="11">
        <f t="shared" si="5"/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</c>
      <c r="X32" t="s" s="2">
        <v>1705</v>
      </c>
    </row>
    <row r="33" spans="2:24" ht="13.8" x14ac:dyDescent="0.2">
      <c r="B33" s="8">
        <f t="shared" si="6"/>
      </c>
      <c r="C33" s="10">
        <v>28</v>
      </c>
      <c r="D33" s="13"/>
      <c r="E33" s="11">
        <f t="shared" si="2"/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</c>
      <c r="L33" s="7">
        <v>0</v>
      </c>
      <c r="M33" s="11">
        <f t="shared" si="4"/>
      </c>
      <c r="N33" s="11">
        <f t="shared" si="5"/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</c>
      <c r="X33" s="2"/>
    </row>
    <row r="34" spans="2:24" ht="13.8" x14ac:dyDescent="0.2">
      <c r="B34" s="8">
        <f t="shared" si="6"/>
      </c>
      <c r="C34" s="10">
        <v>29</v>
      </c>
      <c r="D34" t="s" s="13">
        <v>1661</v>
      </c>
      <c r="E34" s="11">
        <f t="shared" si="2"/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</c>
      <c r="L34" s="7">
        <v>0</v>
      </c>
      <c r="M34" s="11">
        <f t="shared" si="4"/>
      </c>
      <c r="N34" s="11">
        <f t="shared" si="5"/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>
        <f>IFERROR(CalcRC27(F34,G34,K34,O34,P34,Q34,R34,S34,T34,U34,V34),"-")</f>
      </c>
      <c r="X34" t="s" s="2">
        <v>1706</v>
      </c>
    </row>
    <row r="35" spans="2:24" ht="13.8" x14ac:dyDescent="0.2">
      <c r="B35" s="8">
        <f t="shared" si="6"/>
      </c>
      <c r="C35" s="10">
        <v>30</v>
      </c>
      <c r="D35" t="s" s="13">
        <v>1662</v>
      </c>
      <c r="E35" s="11">
        <f t="shared" si="2"/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</c>
      <c r="L35" s="7">
        <v>0</v>
      </c>
      <c r="M35" s="11">
        <f t="shared" si="4"/>
      </c>
      <c r="N35" s="11">
        <f t="shared" si="5"/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>
        <f>IFERROR(CalcRC27(F35,G35,K35,O35,P35,Q35,R35,S35,T35,U35,V35),"-")</f>
      </c>
      <c r="X35" t="s" s="2">
        <v>1707</v>
      </c>
    </row>
    <row r="36" spans="2:24" ht="13.8" x14ac:dyDescent="0.2">
      <c r="B36" s="8">
        <f t="shared" si="6"/>
      </c>
      <c r="C36" s="10">
        <v>31</v>
      </c>
      <c r="D36" t="s" s="13">
        <v>801</v>
      </c>
      <c r="E36" s="11">
        <f t="shared" si="2"/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</c>
      <c r="L36" s="7">
        <v>0</v>
      </c>
      <c r="M36" s="11">
        <f t="shared" si="4"/>
      </c>
      <c r="N36" s="11">
        <f t="shared" si="5"/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>
        <f>IFERROR(CalcRC27(F36,G36,K36,O36,P36,Q36,R36,S36,T36,U36,V36),"-")</f>
      </c>
      <c r="X36" t="s" s="2">
        <v>797</v>
      </c>
    </row>
    <row r="37" spans="2:24" ht="13.8" x14ac:dyDescent="0.2">
      <c r="B37" s="8">
        <f t="shared" si="6"/>
      </c>
      <c r="C37" s="10">
        <v>32</v>
      </c>
      <c r="D37" t="s" s="13">
        <v>199</v>
      </c>
      <c r="E37" s="11">
        <f t="shared" si="2"/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</c>
      <c r="L37" s="7">
        <v>0</v>
      </c>
      <c r="M37" s="11">
        <f t="shared" si="4"/>
      </c>
      <c r="N37" s="11">
        <f t="shared" si="5"/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>
        <f>IFERROR(CalcRC27(F37,G37,K37,O37,P37,Q37,R37,S37,T37,U37,V37),"-")</f>
      </c>
      <c r="X37" t="s" s="2">
        <v>481</v>
      </c>
    </row>
    <row r="38" spans="2:24" ht="13.8" x14ac:dyDescent="0.2">
      <c r="B38" s="8">
        <f t="shared" si="6"/>
      </c>
      <c r="C38" s="10">
        <v>33</v>
      </c>
      <c r="D38" t="s" s="13">
        <v>1548</v>
      </c>
      <c r="E38" s="11">
        <f t="shared" si="2"/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</c>
      <c r="L38" s="7">
        <v>0</v>
      </c>
      <c r="M38" s="11">
        <f t="shared" si="4"/>
      </c>
      <c r="N38" s="11">
        <f t="shared" si="5"/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>
        <f>IFERROR(CalcRC27(F38,G38,K38,O38,P38,Q38,R38,S38,T38,U38,V38),"-")</f>
      </c>
      <c r="X38" t="s" s="2">
        <v>1708</v>
      </c>
    </row>
    <row r="39" spans="2:24" ht="13.8" x14ac:dyDescent="0.2">
      <c r="B39" s="8">
        <f t="shared" si="6"/>
      </c>
      <c r="C39" s="10">
        <v>34</v>
      </c>
      <c r="D39" t="s" s="13">
        <v>1663</v>
      </c>
      <c r="E39" s="11">
        <f t="shared" si="2"/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</c>
      <c r="L39" s="7">
        <v>0</v>
      </c>
      <c r="M39" s="11">
        <f t="shared" si="4"/>
      </c>
      <c r="N39" s="11">
        <f t="shared" si="5"/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>
        <f>IFERROR(CalcRC27(F39,G39,K39,O39,P39,Q39,R39,S39,T39,U39,V39),"-")</f>
      </c>
      <c r="X39" t="s" s="2">
        <v>510</v>
      </c>
    </row>
    <row r="40" spans="2:24" ht="13.8" x14ac:dyDescent="0.2">
      <c r="B40" s="8">
        <f t="shared" si="6"/>
      </c>
      <c r="C40" s="10">
        <v>35</v>
      </c>
      <c r="D40" t="s" s="13">
        <v>1077</v>
      </c>
      <c r="E40" s="11">
        <f t="shared" si="2"/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</c>
      <c r="L40" s="7">
        <v>0</v>
      </c>
      <c r="M40" s="11">
        <f t="shared" si="4"/>
      </c>
      <c r="N40" s="11">
        <f t="shared" si="5"/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>
        <f>IFERROR(CalcRC27(F40,G40,K40,O40,P40,Q40,R40,S40,T40,U40,V40),"-")</f>
      </c>
      <c r="X40" t="s" s="2">
        <v>482</v>
      </c>
    </row>
    <row r="41" spans="2:24" ht="13.8" x14ac:dyDescent="0.2">
      <c r="B41" s="8">
        <f t="shared" si="6"/>
      </c>
      <c r="C41" s="10">
        <v>36</v>
      </c>
      <c r="D41" t="s" s="13">
        <v>1664</v>
      </c>
      <c r="E41" s="11">
        <f t="shared" si="2"/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</c>
      <c r="L41" s="7">
        <v>0</v>
      </c>
      <c r="M41" s="11">
        <f t="shared" si="4"/>
      </c>
      <c r="N41" s="11">
        <f t="shared" si="5"/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>
        <f>IFERROR(CalcRC27(F41,G41,K41,O41,P41,Q41,R41,S41,T41,U41,V41),"-")</f>
      </c>
      <c r="X41" t="s" s="2">
        <v>1709</v>
      </c>
    </row>
    <row r="42" spans="2:24" ht="13.8" x14ac:dyDescent="0.2">
      <c r="B42" s="8">
        <f t="shared" si="6"/>
      </c>
      <c r="C42" s="10">
        <v>37</v>
      </c>
      <c r="D42" t="s" s="13">
        <v>123</v>
      </c>
      <c r="E42" s="11">
        <f t="shared" si="2"/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</c>
      <c r="L42" s="7">
        <v>0</v>
      </c>
      <c r="M42" s="11">
        <f t="shared" si="4"/>
      </c>
      <c r="N42" s="11">
        <f t="shared" si="5"/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>
        <f>IFERROR(CalcRC27(F42,G42,K42,O42,P42,Q42,R42,S42,T42,U42,V42),"-")</f>
      </c>
      <c r="X42" t="s" s="2">
        <v>483</v>
      </c>
    </row>
    <row r="43" spans="2:24" ht="13.8" x14ac:dyDescent="0.2">
      <c r="B43" s="8">
        <f t="shared" si="6"/>
      </c>
      <c r="C43" s="10">
        <v>38</v>
      </c>
      <c r="D43" t="s" s="13">
        <v>1665</v>
      </c>
      <c r="E43" s="11">
        <f t="shared" si="2"/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</c>
      <c r="L43" s="7">
        <v>0</v>
      </c>
      <c r="M43" s="11">
        <f t="shared" si="4"/>
      </c>
      <c r="N43" s="11">
        <f t="shared" si="5"/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>
        <f>IFERROR(CalcRC27(F43,G43,K43,O43,P43,Q43,R43,S43,T43,U43,V43),"-")</f>
      </c>
      <c r="X43" t="s" s="2">
        <v>1710</v>
      </c>
    </row>
    <row r="44" spans="2:24" ht="13.8" x14ac:dyDescent="0.2">
      <c r="B44" s="8">
        <f t="shared" si="6"/>
      </c>
      <c r="C44" s="10">
        <v>39</v>
      </c>
      <c r="D44" t="s" s="13">
        <v>62</v>
      </c>
      <c r="E44" s="11">
        <f t="shared" si="2"/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</c>
      <c r="L44" s="7">
        <v>0</v>
      </c>
      <c r="M44" s="11">
        <f t="shared" si="4"/>
      </c>
      <c r="N44" s="11">
        <f t="shared" si="5"/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>
        <f>IFERROR(CalcRC27(F44,G44,K44,O44,P44,Q44,R44,S44,T44,U44,V44),"-")</f>
      </c>
      <c r="X44" t="s" s="2">
        <v>485</v>
      </c>
    </row>
    <row r="45" spans="2:24" ht="13.8" x14ac:dyDescent="0.2">
      <c r="B45" s="8">
        <f t="shared" si="6"/>
      </c>
      <c r="C45" s="10">
        <v>40</v>
      </c>
      <c r="D45" t="s" s="13">
        <v>1666</v>
      </c>
      <c r="E45" s="11">
        <f t="shared" si="2"/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</c>
      <c r="L45" s="7">
        <v>0</v>
      </c>
      <c r="M45" s="11">
        <f t="shared" si="4"/>
      </c>
      <c r="N45" s="11">
        <f t="shared" si="5"/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>
        <f>IFERROR(CalcRC27(F45,G45,K45,O45,P45,Q45,R45,S45,T45,U45,V45),"-")</f>
      </c>
      <c r="X45" t="s" s="2">
        <v>478</v>
      </c>
    </row>
    <row r="46" spans="2:24" ht="13.8" x14ac:dyDescent="0.2">
      <c r="B46" s="8">
        <f t="shared" si="6"/>
      </c>
      <c r="C46" s="10">
        <v>41</v>
      </c>
      <c r="D46" t="s" s="13">
        <v>1667</v>
      </c>
      <c r="E46" s="11">
        <f t="shared" si="2"/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</c>
      <c r="L46" s="7">
        <v>0</v>
      </c>
      <c r="M46" s="11">
        <f t="shared" si="4"/>
      </c>
      <c r="N46" s="11">
        <f t="shared" si="5"/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>
        <f>IFERROR(CalcRC27(F46,G46,K46,O46,P46,Q46,R46,S46,T46,U46,V46),"-")</f>
      </c>
      <c r="X46" t="s" s="2">
        <v>1711</v>
      </c>
    </row>
    <row r="47" spans="2:24" ht="13.8" x14ac:dyDescent="0.2">
      <c r="B47" s="8">
        <f t="shared" si="6"/>
      </c>
      <c r="C47" s="10">
        <v>42</v>
      </c>
      <c r="D47" t="s" s="13">
        <v>1668</v>
      </c>
      <c r="E47" s="11">
        <f t="shared" si="2"/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</c>
      <c r="L47" s="7">
        <v>0</v>
      </c>
      <c r="M47" s="11">
        <f t="shared" si="4"/>
      </c>
      <c r="N47" s="11">
        <f t="shared" si="5"/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</c>
      <c r="X47" t="s" s="2">
        <v>1712</v>
      </c>
    </row>
    <row r="48" spans="2:24" ht="13.8" x14ac:dyDescent="0.2">
      <c r="B48" s="8">
        <f t="shared" si="6"/>
      </c>
      <c r="C48" s="10">
        <v>43</v>
      </c>
      <c r="D48" t="s" s="13">
        <v>802</v>
      </c>
      <c r="E48" s="11">
        <f t="shared" si="2"/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</c>
      <c r="L48" s="7">
        <v>0</v>
      </c>
      <c r="M48" s="11">
        <f t="shared" si="4"/>
      </c>
      <c r="N48" s="11">
        <f t="shared" si="5"/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>
        <f>IFERROR(CalcRC27(F48,G48,K48,O48,P48,Q48,R48,S48,T48,U48,V48),"-")</f>
      </c>
      <c r="X48" t="s" s="2">
        <v>798</v>
      </c>
    </row>
    <row r="49" spans="2:24" ht="13.8" x14ac:dyDescent="0.2">
      <c r="B49" s="8">
        <f t="shared" si="6"/>
      </c>
      <c r="C49" s="10">
        <v>44</v>
      </c>
      <c r="D49" t="s" s="13">
        <v>1669</v>
      </c>
      <c r="E49" s="11">
        <f t="shared" si="2"/>
      </c>
      <c r="F49" s="5">
        <v>1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</c>
      <c r="L49" s="7">
        <v>0</v>
      </c>
      <c r="M49" s="11">
        <f t="shared" si="4"/>
      </c>
      <c r="N49" s="11">
        <f t="shared" si="5"/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</c>
      <c r="X49" t="s" s="2">
        <v>1982</v>
      </c>
    </row>
    <row r="50" spans="2:24" ht="13.8" x14ac:dyDescent="0.2">
      <c r="B50" s="8">
        <f t="shared" si="6"/>
      </c>
      <c r="C50" s="10">
        <v>45</v>
      </c>
      <c r="D50" t="s" s="13">
        <v>118</v>
      </c>
      <c r="E50" s="11">
        <f t="shared" si="2"/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</c>
      <c r="L50" s="7">
        <v>0</v>
      </c>
      <c r="M50" s="11">
        <f t="shared" si="4"/>
      </c>
      <c r="N50" s="11">
        <f t="shared" si="5"/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>
        <f>IFERROR(CalcRC27(F50,G50,K50,O50,P50,Q50,R50,S50,T50,U50,V50),"-")</f>
      </c>
      <c r="X50" t="s" s="2">
        <v>488</v>
      </c>
    </row>
    <row r="51" spans="2:24" ht="13.8" x14ac:dyDescent="0.2">
      <c r="B51" s="8">
        <f t="shared" si="6"/>
      </c>
      <c r="C51" s="10">
        <v>46</v>
      </c>
      <c r="D51" t="s" s="13">
        <v>1297</v>
      </c>
      <c r="E51" s="11">
        <f t="shared" si="2"/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</c>
      <c r="L51" s="7">
        <v>0</v>
      </c>
      <c r="M51" s="11">
        <f t="shared" si="4"/>
      </c>
      <c r="N51" s="11">
        <f t="shared" si="5"/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</c>
      <c r="X51" t="s" s="2">
        <v>489</v>
      </c>
    </row>
    <row r="52" spans="2:24" ht="13.8" x14ac:dyDescent="0.2">
      <c r="B52" s="8">
        <f t="shared" si="6"/>
      </c>
      <c r="C52" s="10">
        <v>47</v>
      </c>
      <c r="D52" t="s" s="13">
        <v>1670</v>
      </c>
      <c r="E52" s="11">
        <f t="shared" si="2"/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</c>
      <c r="L52" s="7">
        <v>0</v>
      </c>
      <c r="M52" s="11">
        <f t="shared" si="4"/>
      </c>
      <c r="N52" s="11">
        <f t="shared" si="5"/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>
        <f>IFERROR(CalcRC27(F52,G52,K52,O52,P52,Q52,R52,S52,T52,U52,V52),"-")</f>
      </c>
      <c r="X52" t="s" s="2">
        <v>1713</v>
      </c>
    </row>
    <row r="53" spans="2:24" ht="13.8" x14ac:dyDescent="0.2">
      <c r="B53" s="8">
        <f t="shared" si="6"/>
      </c>
      <c r="C53" s="10">
        <v>48</v>
      </c>
      <c r="D53" t="s" s="13">
        <v>1671</v>
      </c>
      <c r="E53" s="11">
        <f t="shared" si="2"/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</c>
      <c r="L53" s="7">
        <v>0</v>
      </c>
      <c r="M53" s="11">
        <f t="shared" si="4"/>
      </c>
      <c r="N53" s="11">
        <f t="shared" si="5"/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>
        <f>IFERROR(CalcRC27(F53,G53,K53,O53,P53,Q53,R53,S53,T53,U53,V53),"-")</f>
      </c>
      <c r="X53" t="s" s="2">
        <v>474</v>
      </c>
    </row>
    <row r="54" spans="2:24" ht="13.8" x14ac:dyDescent="0.2">
      <c r="B54" s="8">
        <f t="shared" si="6"/>
      </c>
      <c r="C54" s="10">
        <v>49</v>
      </c>
      <c r="D54" s="13"/>
      <c r="E54" s="11">
        <f t="shared" si="2"/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</c>
      <c r="L54" s="7">
        <v>0</v>
      </c>
      <c r="M54" s="11">
        <f t="shared" si="4"/>
      </c>
      <c r="N54" s="11">
        <f t="shared" si="5"/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</c>
      <c r="X54" s="2"/>
    </row>
    <row r="55" spans="2:24" ht="13.8" x14ac:dyDescent="0.2">
      <c r="B55" s="8">
        <f t="shared" si="6"/>
      </c>
      <c r="C55" s="10">
        <v>50</v>
      </c>
      <c r="D55" t="s" s="13">
        <v>1672</v>
      </c>
      <c r="E55" s="11">
        <f t="shared" si="2"/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</c>
      <c r="L55" s="7">
        <v>0</v>
      </c>
      <c r="M55" s="11">
        <f t="shared" si="4"/>
      </c>
      <c r="N55" s="11">
        <f t="shared" si="5"/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>
        <f>IFERROR(CalcRC27(F55,G55,K55,O55,P55,Q55,R55,S55,T55,U55,V55),"-")</f>
      </c>
      <c r="X55" t="s" s="2">
        <v>536</v>
      </c>
    </row>
    <row r="56" spans="2:24" ht="13.8" x14ac:dyDescent="0.2">
      <c r="B56" s="8">
        <f t="shared" si="6"/>
      </c>
      <c r="C56" s="10">
        <v>51</v>
      </c>
      <c r="D56" t="s" s="13">
        <v>1290</v>
      </c>
      <c r="E56" s="11">
        <f t="shared" si="2"/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</c>
      <c r="L56" s="7">
        <v>0</v>
      </c>
      <c r="M56" s="11">
        <f t="shared" si="4"/>
      </c>
      <c r="N56" s="11">
        <f t="shared" si="5"/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>
        <f>IFERROR(CalcRC27(F56,G56,K56,O56,P56,Q56,R56,S56,T56,U56,V56),"-")</f>
      </c>
      <c r="X56" t="s" s="2">
        <v>490</v>
      </c>
    </row>
    <row r="57" spans="2:24" ht="13.8" x14ac:dyDescent="0.2">
      <c r="B57" s="8">
        <f t="shared" si="6"/>
      </c>
      <c r="C57" s="10">
        <v>52</v>
      </c>
      <c r="D57" t="s" s="13">
        <v>1673</v>
      </c>
      <c r="E57" s="11">
        <f t="shared" si="2"/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</c>
      <c r="L57" s="7">
        <v>0</v>
      </c>
      <c r="M57" s="11">
        <f t="shared" si="4"/>
      </c>
      <c r="N57" s="11">
        <f t="shared" si="5"/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>
        <f>IFERROR(CalcRC27(F57,G57,K57,O57,P57,Q57,R57,S57,T57,U57,V57),"-")</f>
      </c>
      <c r="X57" t="s" s="2">
        <v>595</v>
      </c>
    </row>
    <row r="58" spans="2:24" ht="13.8" x14ac:dyDescent="0.2">
      <c r="B58" s="8">
        <f t="shared" si="6"/>
      </c>
      <c r="C58" s="10">
        <v>53</v>
      </c>
      <c r="D58" s="13"/>
      <c r="E58" s="11">
        <f t="shared" si="2"/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</c>
      <c r="L58" s="7">
        <v>0</v>
      </c>
      <c r="M58" s="11">
        <f t="shared" si="4"/>
      </c>
      <c r="N58" s="11">
        <f t="shared" si="5"/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>
        <f>IFERROR(CalcRC27(F58,G58,K58,O58,P58,Q58,R58,S58,T58,U58,V58),"-")</f>
      </c>
      <c r="X58" s="2"/>
    </row>
    <row r="59" spans="2:24" ht="13.8" x14ac:dyDescent="0.2">
      <c r="B59" s="8">
        <f t="shared" si="6"/>
      </c>
      <c r="C59" s="10">
        <v>54</v>
      </c>
      <c r="D59" t="s" s="13">
        <v>1674</v>
      </c>
      <c r="E59" s="11">
        <f t="shared" si="2"/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</c>
      <c r="L59" s="7">
        <v>0</v>
      </c>
      <c r="M59" s="11">
        <f t="shared" si="4"/>
      </c>
      <c r="N59" s="11">
        <f t="shared" si="5"/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>
        <f>IFERROR(CalcRC27(F59,G59,K59,O59,P59,Q59,R59,S59,T59,U59,V59),"-")</f>
      </c>
      <c r="X59" t="s" s="2">
        <v>1983</v>
      </c>
    </row>
    <row r="60" spans="2:24" ht="13.8" x14ac:dyDescent="0.2">
      <c r="B60" s="8">
        <f t="shared" si="6"/>
      </c>
      <c r="C60" s="10">
        <v>55</v>
      </c>
      <c r="D60" t="s" s="13">
        <v>1675</v>
      </c>
      <c r="E60" s="11">
        <f t="shared" si="2"/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</c>
      <c r="L60" s="7">
        <v>0</v>
      </c>
      <c r="M60" s="11">
        <f t="shared" si="4"/>
      </c>
      <c r="N60" s="11">
        <f t="shared" si="5"/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>
        <f>IFERROR(CalcRC27(F60,G60,K60,O60,P60,Q60,R60,S60,T60,U60,V60),"-")</f>
      </c>
      <c r="X60" t="s" s="2">
        <v>1984</v>
      </c>
    </row>
    <row r="61" spans="2:24" ht="13.8" x14ac:dyDescent="0.2">
      <c r="B61" s="8">
        <f t="shared" si="6"/>
      </c>
      <c r="C61" s="10">
        <v>56</v>
      </c>
      <c r="D61" t="s" s="13">
        <v>1676</v>
      </c>
      <c r="E61" s="11">
        <f t="shared" si="2"/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</c>
      <c r="L61" s="7">
        <v>0</v>
      </c>
      <c r="M61" s="11">
        <f t="shared" si="4"/>
      </c>
      <c r="N61" s="11">
        <f t="shared" si="5"/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>
        <f>IFERROR(CalcRC27(F61,G61,K61,O61,P61,Q61,R61,S61,T61,U61,V61),"-")</f>
      </c>
      <c r="X61" t="s" s="2">
        <v>1714</v>
      </c>
    </row>
    <row r="62" spans="2:24" ht="13.8" x14ac:dyDescent="0.2">
      <c r="B62" s="8">
        <f t="shared" si="6"/>
      </c>
      <c r="C62" s="10">
        <v>57</v>
      </c>
      <c r="D62" t="s" s="13">
        <v>803</v>
      </c>
      <c r="E62" s="11">
        <f t="shared" si="2"/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</c>
      <c r="L62" s="7">
        <v>0</v>
      </c>
      <c r="M62" s="11">
        <f t="shared" si="4"/>
      </c>
      <c r="N62" s="11">
        <f t="shared" si="5"/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>
        <f>IFERROR(CalcRC27(F62,G62,K62,O62,P62,Q62,R62,S62,T62,U62,V62),"-")</f>
      </c>
      <c r="X62" t="s" s="2">
        <v>799</v>
      </c>
    </row>
    <row r="63" spans="2:24" ht="13.8" x14ac:dyDescent="0.2">
      <c r="B63" s="8">
        <f t="shared" si="6"/>
      </c>
      <c r="C63" s="10">
        <v>58</v>
      </c>
      <c r="D63" t="s" s="13">
        <v>1677</v>
      </c>
      <c r="E63" s="11">
        <f t="shared" si="2"/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</c>
      <c r="L63" s="7">
        <v>0</v>
      </c>
      <c r="M63" s="11">
        <f t="shared" si="4"/>
      </c>
      <c r="N63" s="11">
        <f t="shared" si="5"/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>
        <f>IFERROR(CalcRC27(F63,G63,K63,O63,P63,Q63,R63,S63,T63,U63,V63),"-")</f>
      </c>
      <c r="X63" t="s" s="2">
        <v>1220</v>
      </c>
    </row>
    <row r="64" spans="2:24" ht="13.8" x14ac:dyDescent="0.2">
      <c r="B64" s="8">
        <f t="shared" si="6"/>
      </c>
      <c r="C64" s="10">
        <v>59</v>
      </c>
      <c r="D64" t="s" s="13">
        <v>201</v>
      </c>
      <c r="E64" s="11">
        <f t="shared" si="2"/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</c>
      <c r="L64" s="7">
        <v>0</v>
      </c>
      <c r="M64" s="11">
        <f t="shared" si="4"/>
      </c>
      <c r="N64" s="11">
        <f t="shared" si="5"/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>
        <f>IFERROR(CalcRC27(F64,G64,K64,O64,P64,Q64,R64,S64,T64,U64,V64),"-")</f>
      </c>
      <c r="X64" t="s" s="2">
        <v>493</v>
      </c>
    </row>
    <row r="65" spans="2:24" ht="13.8" x14ac:dyDescent="0.2">
      <c r="B65" s="8">
        <f t="shared" si="6"/>
      </c>
      <c r="C65" s="10">
        <v>60</v>
      </c>
      <c r="D65" t="s" s="13">
        <v>1677</v>
      </c>
      <c r="E65" s="11">
        <f t="shared" si="2"/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</c>
      <c r="L65" s="7">
        <v>0</v>
      </c>
      <c r="M65" s="11">
        <f t="shared" si="4"/>
      </c>
      <c r="N65" s="11">
        <f t="shared" si="5"/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>
        <f>IFERROR(CalcRC27(F65,G65,K65,O65,P65,Q65,R65,S65,T65,U65,V65),"-")</f>
      </c>
      <c r="X65" t="s" s="2">
        <v>494</v>
      </c>
    </row>
    <row r="66" spans="2:24" ht="13.8" x14ac:dyDescent="0.2">
      <c r="B66" s="8">
        <f t="shared" si="6"/>
      </c>
      <c r="C66" s="10">
        <v>61</v>
      </c>
      <c r="D66" t="s" s="13">
        <v>1331</v>
      </c>
      <c r="E66" s="11">
        <f t="shared" si="2"/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</c>
      <c r="L66" s="7">
        <v>0</v>
      </c>
      <c r="M66" s="11">
        <f t="shared" si="4"/>
      </c>
      <c r="N66" s="11">
        <f t="shared" si="5"/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>
        <f>IFERROR(CalcRC27(F66,G66,K66,O66,P66,Q66,R66,S66,T66,U66,V66),"-")</f>
      </c>
      <c r="X66" t="s" s="2">
        <v>495</v>
      </c>
    </row>
    <row r="67" spans="2:24" ht="13.8" x14ac:dyDescent="0.2">
      <c r="B67" s="8">
        <f t="shared" si="6"/>
      </c>
      <c r="C67" s="10">
        <v>62</v>
      </c>
      <c r="D67" t="s" s="13">
        <v>1678</v>
      </c>
      <c r="E67" s="11">
        <f t="shared" si="2"/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</c>
      <c r="L67" s="7">
        <v>0</v>
      </c>
      <c r="M67" s="11">
        <f t="shared" si="4"/>
      </c>
      <c r="N67" s="11">
        <f t="shared" si="5"/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>
        <f>IFERROR(CalcRC27(F67,G67,K67,O67,P67,Q67,R67,S67,T67,U67,V67),"-")</f>
      </c>
      <c r="X67" t="s" s="2">
        <v>1715</v>
      </c>
    </row>
    <row r="68" spans="2:24" ht="13.8" x14ac:dyDescent="0.2">
      <c r="B68" s="8">
        <f t="shared" si="6"/>
      </c>
      <c r="C68" s="10">
        <v>63</v>
      </c>
      <c r="D68" t="s" s="9">
        <v>1536</v>
      </c>
      <c r="E68" s="11">
        <f t="shared" si="2"/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26" si="7">((G68-H68-I68-J68)+(H68*2)+(I68*3)+(J68*4))</f>
      </c>
      <c r="L68" s="7">
        <v>0</v>
      </c>
      <c r="M68" s="11">
        <f t="shared" ref="M68:M126" si="8">IFERROR(IF((G68+P68+Q68)/(F68+P68+Q68+S68)=1,"1.00",(G68+P68+Q68)/(F68+P68+Q68+S68)),0)</f>
      </c>
      <c r="N68" s="11">
        <f t="shared" ref="N68:N126" si="9">IFERROR(SUM(K68/F68,((G68+P68+Q68)/(F68+P68+Q68+S68))),M68)</f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>
        <f>IFERROR(CalcRC27(F68,G68,K68,O68,P68,Q68,R68,S68,T68,U68,V68),"-")</f>
      </c>
      <c r="X68" t="s" s="2">
        <v>1716</v>
      </c>
    </row>
    <row r="69" spans="2:24" ht="13.8" x14ac:dyDescent="0.2">
      <c r="B69" s="8">
        <f t="shared" ref="B69:B132" si="10">IF(C69="","",C69)</f>
      </c>
      <c r="C69" s="10">
        <v>64</v>
      </c>
      <c r="D69" s="13"/>
      <c r="E69" s="11">
        <f t="shared" ref="E69:E127" si="11">IFERROR(IF(G69/F69=1,"1.00",G69/F69),"---")</f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</c>
      <c r="L69" s="7">
        <v>0</v>
      </c>
      <c r="M69" s="11">
        <f t="shared" si="8"/>
      </c>
      <c r="N69" s="11">
        <f t="shared" si="9"/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>
        <f>IFERROR(CalcRC27(F69,G69,K69,O69,P69,Q69,R69,S69,T69,U69,V69),"-")</f>
      </c>
      <c r="X69" s="2"/>
    </row>
    <row r="70" spans="2:24" ht="13.8" x14ac:dyDescent="0.2">
      <c r="B70" s="8">
        <f t="shared" si="10"/>
      </c>
      <c r="C70" s="10">
        <v>65</v>
      </c>
      <c r="D70" t="s" s="9">
        <v>1679</v>
      </c>
      <c r="E70" s="11">
        <f t="shared" si="11"/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</c>
      <c r="L70" s="7">
        <v>0</v>
      </c>
      <c r="M70" s="11">
        <f t="shared" si="8"/>
      </c>
      <c r="N70" s="11">
        <f t="shared" si="9"/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>
        <f>IFERROR(CalcRC27(F70,G70,K70,O70,P70,Q70,R70,S70,T70,U70,V70),"-")</f>
      </c>
      <c r="X70" t="s" s="2">
        <v>1717</v>
      </c>
    </row>
    <row r="71" spans="2:24" ht="13.8" x14ac:dyDescent="0.2">
      <c r="B71" s="8">
        <f t="shared" si="10"/>
      </c>
      <c r="C71" s="10">
        <v>66</v>
      </c>
      <c r="D71" s="13"/>
      <c r="E71" s="11">
        <f t="shared" si="11"/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</c>
      <c r="L71" s="7">
        <v>0</v>
      </c>
      <c r="M71" s="11">
        <f t="shared" si="8"/>
      </c>
      <c r="N71" s="11">
        <f t="shared" si="9"/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>
        <f>IFERROR(CalcRC27(F71,G71,K71,O71,P71,Q71,R71,S71,T71,U71,V71),"-")</f>
      </c>
      <c r="X71" s="2"/>
    </row>
    <row r="72" spans="2:24" ht="13.8" x14ac:dyDescent="0.2">
      <c r="B72" s="8">
        <f t="shared" si="10"/>
      </c>
      <c r="C72" s="10">
        <v>67</v>
      </c>
      <c r="D72" s="13"/>
      <c r="E72" s="11">
        <f t="shared" si="11"/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</c>
      <c r="L72" s="7">
        <v>0</v>
      </c>
      <c r="M72" s="11">
        <f t="shared" si="8"/>
      </c>
      <c r="N72" s="11">
        <f t="shared" si="9"/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>
        <f>IFERROR(CalcRC27(F72,G72,K72,O72,P72,Q72,R72,S72,T72,U72,V72),"-")</f>
      </c>
      <c r="X72" s="2"/>
    </row>
    <row r="73" spans="2:24" ht="13.8" x14ac:dyDescent="0.2">
      <c r="B73" s="8">
        <f t="shared" si="10"/>
      </c>
      <c r="C73" s="10">
        <v>68</v>
      </c>
      <c r="D73" t="s" s="13">
        <v>124</v>
      </c>
      <c r="E73" s="11">
        <f t="shared" si="11"/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</c>
      <c r="L73" s="7">
        <v>0</v>
      </c>
      <c r="M73" s="11">
        <f t="shared" si="8"/>
      </c>
      <c r="N73" s="11">
        <f t="shared" si="9"/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>
        <f>IFERROR(CalcRC27(F73,G73,K73,O73,P73,Q73,R73,S73,T73,U73,V73),"-")</f>
      </c>
      <c r="X73" t="s" s="2">
        <v>496</v>
      </c>
    </row>
    <row r="74" spans="2:24" ht="13.8" x14ac:dyDescent="0.2">
      <c r="B74" s="8">
        <f t="shared" si="10"/>
      </c>
      <c r="C74" s="10">
        <v>69</v>
      </c>
      <c r="D74" t="s" s="13">
        <v>1891</v>
      </c>
      <c r="E74" s="11">
        <f t="shared" si="11"/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</c>
      <c r="L74" s="7">
        <v>0</v>
      </c>
      <c r="M74" s="11">
        <f t="shared" si="8"/>
      </c>
      <c r="N74" s="11">
        <f t="shared" si="9"/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>
        <f>IFERROR(CalcRC27(F74,G74,K74,O74,P74,Q74,R74,S74,T74,U74,V74),"-")</f>
      </c>
      <c r="X74" t="s" s="2">
        <v>643</v>
      </c>
    </row>
    <row r="75" spans="2:24" ht="13.8" x14ac:dyDescent="0.2">
      <c r="B75" s="8">
        <f t="shared" si="10"/>
      </c>
      <c r="C75" s="10">
        <v>70</v>
      </c>
      <c r="D75" t="s" s="26">
        <v>1680</v>
      </c>
      <c r="E75" s="11">
        <f t="shared" si="11"/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</c>
      <c r="L75" s="7">
        <v>0</v>
      </c>
      <c r="M75" s="11">
        <f t="shared" si="8"/>
      </c>
      <c r="N75" s="11">
        <f t="shared" si="9"/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>
        <f>IFERROR(CalcRC27(F75,G75,K75,O75,P75,Q75,R75,S75,T75,U75,V75),"-")</f>
      </c>
      <c r="X75" t="s" s="2">
        <v>1718</v>
      </c>
    </row>
    <row r="76" spans="2:24" ht="13.8" x14ac:dyDescent="0.2">
      <c r="B76" s="8">
        <f t="shared" si="10"/>
      </c>
      <c r="C76" s="10">
        <v>71</v>
      </c>
      <c r="D76" s="8"/>
      <c r="E76" s="11">
        <f t="shared" si="11"/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</c>
      <c r="L76" s="7">
        <v>0</v>
      </c>
      <c r="M76" s="11">
        <f t="shared" si="8"/>
      </c>
      <c r="N76" s="11">
        <f t="shared" si="9"/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>
        <f>IFERROR(CalcRC27(F76,G76,K76,O76,P76,Q76,R76,S76,T76,U76,V76),"-")</f>
      </c>
      <c r="X76" s="2"/>
    </row>
    <row r="77" spans="2:24" ht="13.8" x14ac:dyDescent="0.2">
      <c r="B77" s="8">
        <f t="shared" si="10"/>
      </c>
      <c r="C77" s="10">
        <v>72</v>
      </c>
      <c r="D77" s="8"/>
      <c r="E77" s="11">
        <f t="shared" si="11"/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</c>
      <c r="L77" s="7">
        <v>0</v>
      </c>
      <c r="M77" s="11">
        <f t="shared" si="8"/>
      </c>
      <c r="N77" s="11">
        <f t="shared" si="9"/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>
        <f>IFERROR(CalcRC27(F77,G77,K77,O77,P77,Q77,R77,S77,T77,U77,V77),"-")</f>
      </c>
      <c r="X77" s="2"/>
    </row>
    <row r="78" spans="2:24" ht="13.8" x14ac:dyDescent="0.2">
      <c r="B78" s="8">
        <f t="shared" si="10"/>
      </c>
      <c r="C78" s="10">
        <v>73</v>
      </c>
      <c r="D78" t="s" s="8">
        <v>38</v>
      </c>
      <c r="E78" s="11">
        <f t="shared" si="11"/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</c>
      <c r="L78" s="7">
        <v>0</v>
      </c>
      <c r="M78" s="11">
        <f t="shared" si="8"/>
      </c>
      <c r="N78" s="11">
        <f t="shared" si="9"/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>
        <f>IFERROR(CalcRC27(F78,G78,K78,O78,P78,Q78,R78,S78,T78,U78,V78),"-")</f>
      </c>
      <c r="X78" t="s" s="2">
        <v>498</v>
      </c>
    </row>
    <row r="79" spans="2:24" ht="13.8" x14ac:dyDescent="0.2">
      <c r="B79" s="8">
        <f t="shared" si="10"/>
      </c>
      <c r="C79" s="10">
        <v>74</v>
      </c>
      <c r="D79" s="8"/>
      <c r="E79" s="11">
        <f t="shared" si="11"/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</c>
      <c r="L79" s="7">
        <v>0</v>
      </c>
      <c r="M79" s="11">
        <f t="shared" si="8"/>
      </c>
      <c r="N79" s="11">
        <f t="shared" si="9"/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>
        <f>IFERROR(CalcRC27(F79,G79,K79,O79,P79,Q79,R79,S79,T79,U79,V79),"-")</f>
      </c>
      <c r="X79" s="2"/>
    </row>
    <row r="80" spans="2:24" ht="13.8" x14ac:dyDescent="0.2">
      <c r="B80" s="8">
        <f t="shared" si="10"/>
      </c>
      <c r="C80" s="10">
        <v>75</v>
      </c>
      <c r="D80" s="8"/>
      <c r="E80" s="11">
        <f t="shared" si="11"/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</c>
      <c r="L80" s="7">
        <v>0</v>
      </c>
      <c r="M80" s="11">
        <f t="shared" si="8"/>
      </c>
      <c r="N80" s="11">
        <f t="shared" si="9"/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>
        <f>IFERROR(CalcRC27(F80,G80,K80,O80,P80,Q80,R80,S80,T80,U80,V80),"-")</f>
      </c>
      <c r="X80" s="2"/>
    </row>
    <row r="81" spans="2:24" ht="13.8" x14ac:dyDescent="0.2">
      <c r="B81" s="8">
        <f t="shared" si="10"/>
      </c>
      <c r="C81" s="10">
        <v>76</v>
      </c>
      <c r="D81" s="8"/>
      <c r="E81" s="11">
        <f t="shared" si="11"/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</c>
      <c r="L81" s="7">
        <v>0</v>
      </c>
      <c r="M81" s="11">
        <f t="shared" si="8"/>
      </c>
      <c r="N81" s="11">
        <f t="shared" si="9"/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>
        <f>IFERROR(CalcRC27(F81,G81,K81,O81,P81,Q81,R81,S81,T81,U81,V81),"-")</f>
      </c>
      <c r="X81" s="2"/>
    </row>
    <row r="82" spans="2:24" ht="13.8" x14ac:dyDescent="0.2">
      <c r="B82" s="8">
        <f t="shared" si="10"/>
      </c>
      <c r="C82" s="10">
        <v>77</v>
      </c>
      <c r="D82" s="13"/>
      <c r="E82" s="11">
        <f t="shared" si="11"/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</c>
      <c r="L82" s="7">
        <v>0</v>
      </c>
      <c r="M82" s="11">
        <f t="shared" si="8"/>
      </c>
      <c r="N82" s="11">
        <f t="shared" si="9"/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>
        <f>IFERROR(CalcRC27(F82,G82,K82,O82,P82,Q82,R82,S82,T82,U82,V82),"-")</f>
      </c>
      <c r="X82" s="2"/>
    </row>
    <row r="83" spans="2:24" ht="13.8" x14ac:dyDescent="0.2">
      <c r="B83" s="8">
        <f t="shared" si="10"/>
      </c>
      <c r="C83" s="10">
        <v>78</v>
      </c>
      <c r="D83" t="s" s="8">
        <v>203</v>
      </c>
      <c r="E83" s="11">
        <f t="shared" si="11"/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</c>
      <c r="L83" s="7">
        <v>0</v>
      </c>
      <c r="M83" s="11">
        <f t="shared" si="8"/>
      </c>
      <c r="N83" s="11">
        <f t="shared" si="9"/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>
        <f>IFERROR(CalcRC27(F83,G83,K83,O83,P83,Q83,R83,S83,T83,U83,V83),"-")</f>
      </c>
      <c r="X83" t="s" s="2">
        <v>499</v>
      </c>
    </row>
    <row r="84" spans="2:24" ht="13.8" x14ac:dyDescent="0.2">
      <c r="B84" s="8">
        <f t="shared" si="10"/>
      </c>
      <c r="C84" s="10">
        <v>79</v>
      </c>
      <c r="D84" s="9"/>
      <c r="E84" s="11">
        <f t="shared" si="11"/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</c>
      <c r="L84" s="7">
        <v>0</v>
      </c>
      <c r="M84" s="11">
        <f t="shared" si="8"/>
      </c>
      <c r="N84" s="11">
        <f t="shared" si="9"/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>
        <f>IFERROR(CalcRC27(F84,G84,K84,O84,P84,Q84,R84,S84,T84,U84,V84),"-")</f>
      </c>
      <c r="X84" s="2"/>
    </row>
    <row r="85" spans="2:24" ht="13.8" x14ac:dyDescent="0.2">
      <c r="B85" s="8">
        <f t="shared" si="10"/>
      </c>
      <c r="C85" s="10">
        <v>80</v>
      </c>
      <c r="D85" s="8"/>
      <c r="E85" s="11">
        <f t="shared" si="11"/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</c>
      <c r="L85" s="7">
        <v>0</v>
      </c>
      <c r="M85" s="11">
        <f t="shared" si="8"/>
      </c>
      <c r="N85" s="11">
        <f t="shared" si="9"/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>
        <f>IFERROR(CalcRC27(F85,G85,K85,O85,P85,Q85,R85,S85,T85,U85,V85),"-")</f>
      </c>
      <c r="X85" s="2"/>
    </row>
    <row r="86" spans="2:24" ht="13.8" x14ac:dyDescent="0.2">
      <c r="B86" s="8">
        <f t="shared" si="10"/>
      </c>
      <c r="C86" s="10">
        <v>81</v>
      </c>
      <c r="D86" s="8"/>
      <c r="E86" s="11">
        <f t="shared" si="11"/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</c>
      <c r="L86" s="7">
        <v>0</v>
      </c>
      <c r="M86" s="11">
        <f t="shared" si="8"/>
      </c>
      <c r="N86" s="11">
        <f t="shared" si="9"/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>
        <f>IFERROR(CalcRC27(F86,G86,K86,O86,P86,Q86,R86,S86,T86,U86,V86),"-")</f>
      </c>
      <c r="X86" s="2"/>
    </row>
    <row r="87" spans="2:24" ht="13.8" x14ac:dyDescent="0.2">
      <c r="B87" s="8">
        <f t="shared" si="10"/>
      </c>
      <c r="C87" s="10">
        <v>82</v>
      </c>
      <c r="D87" s="8"/>
      <c r="E87" s="11">
        <f t="shared" si="11"/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</c>
      <c r="L87" s="7">
        <v>0</v>
      </c>
      <c r="M87" s="11">
        <f t="shared" si="8"/>
      </c>
      <c r="N87" s="11">
        <f t="shared" si="9"/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>
        <f>IFERROR(CalcRC27(F87,G87,K87,O87,P87,Q87,R87,S87,T87,U87,V87),"-")</f>
      </c>
      <c r="X87" s="2"/>
    </row>
    <row r="88" spans="2:24" ht="13.8" x14ac:dyDescent="0.2">
      <c r="B88" s="8">
        <f t="shared" si="10"/>
      </c>
      <c r="C88" s="10">
        <v>83</v>
      </c>
      <c r="D88" s="8"/>
      <c r="E88" s="11">
        <f t="shared" si="11"/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</c>
      <c r="L88" s="7">
        <v>0</v>
      </c>
      <c r="M88" s="11">
        <f t="shared" si="8"/>
      </c>
      <c r="N88" s="11">
        <f t="shared" si="9"/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>
        <f>IFERROR(CalcRC27(F88,G88,K88,O88,P88,Q88,R88,S88,T88,U88,V88),"-")</f>
      </c>
      <c r="X88" s="2"/>
    </row>
    <row r="89" spans="2:24" ht="13.8" x14ac:dyDescent="0.2">
      <c r="B89" s="8">
        <f t="shared" si="10"/>
      </c>
      <c r="C89" s="10">
        <v>84</v>
      </c>
      <c r="D89" s="8"/>
      <c r="E89" s="11">
        <f t="shared" si="11"/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</c>
      <c r="L89" s="7">
        <v>0</v>
      </c>
      <c r="M89" s="11">
        <f t="shared" si="8"/>
      </c>
      <c r="N89" s="11">
        <f t="shared" si="9"/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>
        <f>IFERROR(CalcRC27(F89,G89,K89,O89,P89,Q89,R89,S89,T89,U89,V89),"-")</f>
      </c>
      <c r="X89" s="2"/>
    </row>
    <row r="90" spans="2:24" ht="13.8" x14ac:dyDescent="0.2">
      <c r="B90" s="8">
        <f t="shared" si="10"/>
      </c>
      <c r="C90" s="10">
        <v>85</v>
      </c>
      <c r="D90" s="8"/>
      <c r="E90" s="11">
        <f t="shared" si="11"/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</c>
      <c r="L90" s="7">
        <v>0</v>
      </c>
      <c r="M90" s="11">
        <f t="shared" si="8"/>
      </c>
      <c r="N90" s="11">
        <f t="shared" si="9"/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>
        <f>IFERROR(CalcRC27(F90,G90,K90,O90,P90,Q90,R90,S90,T90,U90,V90),"-")</f>
      </c>
      <c r="X90" s="2"/>
    </row>
    <row r="91" spans="2:24" ht="13.8" x14ac:dyDescent="0.2">
      <c r="B91" s="8">
        <f t="shared" si="10"/>
      </c>
      <c r="C91" s="10">
        <v>86</v>
      </c>
      <c r="D91" s="8"/>
      <c r="E91" s="11">
        <f t="shared" si="11"/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</c>
      <c r="L91" s="7">
        <v>0</v>
      </c>
      <c r="M91" s="11">
        <f t="shared" si="8"/>
      </c>
      <c r="N91" s="11">
        <f t="shared" si="9"/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>
        <f>IFERROR(CalcRC27(F91,G91,K91,O91,P91,Q91,R91,S91,T91,U91,V91),"-")</f>
      </c>
      <c r="X91" s="2"/>
    </row>
    <row r="92" spans="2:24" ht="13.8" x14ac:dyDescent="0.2">
      <c r="B92" s="8">
        <f t="shared" si="10"/>
      </c>
      <c r="C92" s="10">
        <v>87</v>
      </c>
      <c r="D92" s="8"/>
      <c r="E92" s="11">
        <f t="shared" si="11"/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</c>
      <c r="L92" s="7">
        <v>0</v>
      </c>
      <c r="M92" s="11">
        <f t="shared" si="8"/>
      </c>
      <c r="N92" s="11">
        <f t="shared" si="9"/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>
        <f>IFERROR(CalcRC27(F92,G92,K92,O92,P92,Q92,R92,S92,T92,U92,V92),"-")</f>
      </c>
      <c r="X92" s="2"/>
    </row>
    <row r="93" spans="2:24" ht="13.8" x14ac:dyDescent="0.2">
      <c r="B93" s="8">
        <f t="shared" si="10"/>
      </c>
      <c r="C93" s="10">
        <v>88</v>
      </c>
      <c r="D93" s="8"/>
      <c r="E93" s="11">
        <f t="shared" si="11"/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</c>
      <c r="L93" s="7">
        <v>0</v>
      </c>
      <c r="M93" s="11">
        <f t="shared" si="8"/>
      </c>
      <c r="N93" s="11">
        <f t="shared" si="9"/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>
        <f>IFERROR(CalcRC27(F93,G93,K93,O93,P93,Q93,R93,S93,T93,U93,V93),"-")</f>
      </c>
      <c r="X93" s="2"/>
    </row>
    <row r="94" spans="2:24" ht="13.8" x14ac:dyDescent="0.2">
      <c r="B94" s="8">
        <f t="shared" si="10"/>
      </c>
      <c r="C94" s="10">
        <v>89</v>
      </c>
      <c r="D94" s="8"/>
      <c r="E94" s="11">
        <f t="shared" si="11"/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</c>
      <c r="L94" s="7">
        <v>0</v>
      </c>
      <c r="M94" s="11">
        <f t="shared" si="8"/>
      </c>
      <c r="N94" s="11">
        <f t="shared" si="9"/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>
        <f>IFERROR(CalcRC27(F94,G94,K94,O94,P94,Q94,R94,S94,T94,U94,V94),"-")</f>
      </c>
      <c r="X94" s="2"/>
    </row>
    <row r="95" spans="2:24" ht="13.8" x14ac:dyDescent="0.2">
      <c r="B95" s="8">
        <f t="shared" si="10"/>
      </c>
      <c r="C95" s="10">
        <v>90</v>
      </c>
      <c r="D95" s="13"/>
      <c r="E95" s="11">
        <f t="shared" si="11"/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</c>
      <c r="L95" s="7">
        <v>0</v>
      </c>
      <c r="M95" s="11">
        <f t="shared" si="8"/>
      </c>
      <c r="N95" s="11">
        <f t="shared" si="9"/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>
        <f>IFERROR(CalcRC27(F95,G95,K95,O95,P95,Q95,R95,S95,T95,U95,V95),"-")</f>
      </c>
      <c r="X95" s="2"/>
    </row>
    <row r="96" spans="2:24" ht="13.8" x14ac:dyDescent="0.2">
      <c r="B96" s="8">
        <f t="shared" si="10"/>
      </c>
      <c r="C96" s="10">
        <v>91</v>
      </c>
      <c r="D96" s="8"/>
      <c r="E96" s="11">
        <f t="shared" si="11"/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</c>
      <c r="L96" s="7">
        <v>0</v>
      </c>
      <c r="M96" s="11">
        <f t="shared" si="8"/>
      </c>
      <c r="N96" s="11">
        <f t="shared" si="9"/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>
        <f>IFERROR(CalcRC27(F96,G96,K96,O96,P96,Q96,R96,S96,T96,U96,V96),"-")</f>
      </c>
      <c r="X96" s="2"/>
    </row>
    <row r="97" spans="2:24" ht="13.8" x14ac:dyDescent="0.2">
      <c r="B97" s="8">
        <f t="shared" si="10"/>
      </c>
      <c r="C97" s="10">
        <v>92</v>
      </c>
      <c r="D97" s="8"/>
      <c r="E97" s="11">
        <f t="shared" si="11"/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</c>
      <c r="L97" s="7">
        <v>0</v>
      </c>
      <c r="M97" s="11">
        <f t="shared" si="8"/>
      </c>
      <c r="N97" s="11">
        <f t="shared" si="9"/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>
        <f>IFERROR(CalcRC27(F97,G97,K97,O97,P97,Q97,R97,S97,T97,U97,V97),"-")</f>
      </c>
      <c r="X97" s="2"/>
    </row>
    <row r="98" spans="2:24" ht="13.8" x14ac:dyDescent="0.2">
      <c r="B98" s="8">
        <f t="shared" si="10"/>
      </c>
      <c r="C98" s="10">
        <v>93</v>
      </c>
      <c r="D98" s="8"/>
      <c r="E98" s="11">
        <f t="shared" si="11"/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</c>
      <c r="L98" s="7">
        <v>0</v>
      </c>
      <c r="M98" s="11">
        <f t="shared" si="8"/>
      </c>
      <c r="N98" s="11">
        <f t="shared" si="9"/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>
        <f>IFERROR(CalcRC27(F98,G98,K98,O98,P98,Q98,R98,S98,T98,U98,V98),"-")</f>
      </c>
      <c r="X98" s="2"/>
    </row>
    <row r="99" spans="2:24" ht="13.8" x14ac:dyDescent="0.2">
      <c r="B99" s="8">
        <f t="shared" si="10"/>
      </c>
      <c r="C99" s="10">
        <v>94</v>
      </c>
      <c r="D99" s="8"/>
      <c r="E99" s="11">
        <f t="shared" si="11"/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</c>
      <c r="L99" s="7">
        <v>0</v>
      </c>
      <c r="M99" s="11">
        <f t="shared" si="8"/>
      </c>
      <c r="N99" s="11">
        <f t="shared" si="9"/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>
        <f>IFERROR(CalcRC27(F99,G99,K99,O99,P99,Q99,R99,S99,T99,U99,V99),"-")</f>
      </c>
      <c r="X99" s="2"/>
    </row>
    <row r="100" spans="2:24" ht="13.8" x14ac:dyDescent="0.2">
      <c r="B100" s="8">
        <f t="shared" si="10"/>
      </c>
      <c r="C100" s="10">
        <v>95</v>
      </c>
      <c r="D100" s="13"/>
      <c r="E100" s="11">
        <f t="shared" si="11"/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</c>
      <c r="L100" s="7">
        <v>0</v>
      </c>
      <c r="M100" s="11">
        <f t="shared" si="8"/>
      </c>
      <c r="N100" s="11">
        <f t="shared" si="9"/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>
        <f>IFERROR(CalcRC27(F100,G100,K100,O100,P100,Q100,R100,S100,T100,U100,V100),"-")</f>
      </c>
      <c r="X100" s="2"/>
    </row>
    <row r="101" spans="2:24" ht="13.8" x14ac:dyDescent="0.2">
      <c r="B101" s="8">
        <f t="shared" si="10"/>
      </c>
      <c r="C101" s="10">
        <v>96</v>
      </c>
      <c r="D101" s="8"/>
      <c r="E101" s="11">
        <f t="shared" si="11"/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</c>
      <c r="L101" s="7">
        <v>0</v>
      </c>
      <c r="M101" s="11">
        <f t="shared" si="8"/>
      </c>
      <c r="N101" s="11">
        <f t="shared" si="9"/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>
        <f>IFERROR(CalcRC27(F101,G101,K101,O101,P101,Q101,R101,S101,T101,U101,V101),"-")</f>
      </c>
      <c r="X101" s="2"/>
    </row>
    <row r="102" spans="2:24" ht="13.8" x14ac:dyDescent="0.2">
      <c r="B102" s="8">
        <f t="shared" si="10"/>
      </c>
      <c r="C102" s="10">
        <v>97</v>
      </c>
      <c r="D102" s="8"/>
      <c r="E102" s="11">
        <f t="shared" si="11"/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</c>
      <c r="L102" s="7">
        <v>0</v>
      </c>
      <c r="M102" s="11">
        <f t="shared" si="8"/>
      </c>
      <c r="N102" s="11">
        <f t="shared" si="9"/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>
        <f>IFERROR(CalcRC27(F102,G102,K102,O102,P102,Q102,R102,S102,T102,U102,V102),"-")</f>
      </c>
      <c r="X102" s="2"/>
    </row>
    <row r="103" spans="2:24" ht="13.8" x14ac:dyDescent="0.2">
      <c r="B103" s="8">
        <f t="shared" si="10"/>
      </c>
      <c r="C103" s="10">
        <v>98</v>
      </c>
      <c r="D103" s="8"/>
      <c r="E103" s="11">
        <f t="shared" si="11"/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</c>
      <c r="L103" s="7">
        <v>0</v>
      </c>
      <c r="M103" s="11">
        <f t="shared" si="8"/>
      </c>
      <c r="N103" s="11">
        <f t="shared" si="9"/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</c>
      <c r="X103" s="2"/>
    </row>
    <row r="104" spans="2:24" ht="13.8" x14ac:dyDescent="0.2">
      <c r="B104" s="8">
        <f t="shared" si="10"/>
      </c>
      <c r="C104" s="10">
        <v>99</v>
      </c>
      <c r="D104" t="s" s="9">
        <v>1527</v>
      </c>
      <c r="E104" s="11">
        <f t="shared" si="11"/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</c>
      <c r="L104" s="7">
        <v>0</v>
      </c>
      <c r="M104" s="11">
        <f t="shared" si="8"/>
      </c>
      <c r="N104" s="11">
        <f t="shared" si="9"/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</c>
      <c r="X104" t="s" s="2">
        <v>1719</v>
      </c>
    </row>
    <row r="105" spans="2:24" ht="13.8" x14ac:dyDescent="0.2">
      <c r="B105" s="8">
        <f t="shared" si="10"/>
      </c>
      <c r="C105" s="10">
        <v>111</v>
      </c>
      <c r="D105" t="s" s="14">
        <v>1681</v>
      </c>
      <c r="E105" s="11">
        <f t="shared" si="11"/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</c>
      <c r="L105" s="7">
        <v>0</v>
      </c>
      <c r="M105" s="11">
        <f t="shared" si="8"/>
      </c>
      <c r="N105" s="11">
        <f t="shared" si="9"/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>
        <f>IFERROR(CalcRC27(F105,G105,K105,O105,P105,Q105,R105,S105,T105,U105,V105),"-")</f>
      </c>
      <c r="X105" t="s" s="2">
        <v>1720</v>
      </c>
    </row>
    <row r="106" spans="2:24" ht="13.8" x14ac:dyDescent="0.2">
      <c r="B106" s="8">
        <f t="shared" si="10"/>
      </c>
      <c r="C106" s="10">
        <v>112</v>
      </c>
      <c r="D106" t="s" s="9">
        <v>1682</v>
      </c>
      <c r="E106" s="11">
        <f t="shared" si="11"/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</c>
      <c r="L106" s="7">
        <v>0</v>
      </c>
      <c r="M106" s="11">
        <f t="shared" si="8"/>
      </c>
      <c r="N106" s="11">
        <f t="shared" si="9"/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>
        <f>IFERROR(CalcRC27(F106,G106,K106,O106,P106,Q106,R106,S106,T106,U106,V106),"-")</f>
      </c>
      <c r="X106" t="s" s="2">
        <v>1721</v>
      </c>
    </row>
    <row r="107" spans="2:24" ht="13.8" x14ac:dyDescent="0.2">
      <c r="B107" s="8">
        <f t="shared" si="10"/>
      </c>
      <c r="C107" s="10">
        <v>113</v>
      </c>
      <c r="D107" t="s" s="9">
        <v>1551</v>
      </c>
      <c r="E107" s="11">
        <f t="shared" si="11"/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</c>
      <c r="L107" s="7">
        <v>0</v>
      </c>
      <c r="M107" s="11">
        <f t="shared" si="8"/>
      </c>
      <c r="N107" s="11">
        <f t="shared" si="9"/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>
        <f>IFERROR(CalcRC27(F107,G107,K107,O107,P107,Q107,R107,S107,T107,U107,V107),"-")</f>
      </c>
      <c r="X107" t="s" s="2">
        <v>1722</v>
      </c>
    </row>
    <row r="108" spans="2:24" ht="13.8" x14ac:dyDescent="0.2">
      <c r="B108" s="8">
        <f t="shared" si="10"/>
      </c>
      <c r="C108" s="10">
        <v>114</v>
      </c>
      <c r="D108" t="s" s="9">
        <v>1683</v>
      </c>
      <c r="E108" s="11">
        <f t="shared" si="11"/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</c>
      <c r="L108" s="7">
        <v>0</v>
      </c>
      <c r="M108" s="11">
        <f t="shared" si="8"/>
      </c>
      <c r="N108" s="11">
        <f t="shared" si="9"/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>
        <f>IFERROR(CalcRC27(F108,G108,K108,O108,P108,Q108,R108,S108,T108,U108,V108),"-")</f>
      </c>
      <c r="X108" t="s" s="2">
        <v>1723</v>
      </c>
    </row>
    <row r="109" spans="2:24" ht="13.8" x14ac:dyDescent="0.2">
      <c r="B109" s="8">
        <f t="shared" si="10"/>
      </c>
      <c r="C109" s="10">
        <v>115</v>
      </c>
      <c r="D109" t="s" s="9">
        <v>1323</v>
      </c>
      <c r="E109" s="11">
        <f t="shared" si="11"/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</c>
      <c r="L109" s="7">
        <v>0</v>
      </c>
      <c r="M109" s="11">
        <f t="shared" si="8"/>
      </c>
      <c r="N109" s="11">
        <f t="shared" si="9"/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>
        <f>IFERROR(CalcRC27(F109,G109,K109,O109,P109,Q109,R109,S109,T109,U109,V109),"-")</f>
      </c>
      <c r="X109" t="s" s="2">
        <v>328</v>
      </c>
    </row>
    <row r="110" spans="2:24" ht="13.8" x14ac:dyDescent="0.2">
      <c r="B110" s="8">
        <f t="shared" si="10"/>
      </c>
      <c r="C110" s="10">
        <v>116</v>
      </c>
      <c r="D110" t="s" s="9">
        <v>1124</v>
      </c>
      <c r="E110" s="11">
        <f t="shared" si="11"/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</c>
      <c r="L110" s="7">
        <v>0</v>
      </c>
      <c r="M110" s="11">
        <f t="shared" si="8"/>
      </c>
      <c r="N110" s="11">
        <f t="shared" si="9"/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>
        <f>IFERROR(CalcRC27(F110,G110,K110,O110,P110,Q110,R110,S110,T110,U110,V110),"-")</f>
      </c>
      <c r="X110" t="s" s="2">
        <v>1985</v>
      </c>
    </row>
    <row r="111" spans="2:24" ht="13.8" x14ac:dyDescent="0.2">
      <c r="B111" s="8">
        <f t="shared" si="10"/>
      </c>
      <c r="C111" s="10">
        <v>117</v>
      </c>
      <c r="D111" t="s" s="9">
        <v>1684</v>
      </c>
      <c r="E111" s="11">
        <f t="shared" si="11"/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</c>
      <c r="L111" s="7">
        <v>0</v>
      </c>
      <c r="M111" s="11">
        <f t="shared" si="8"/>
      </c>
      <c r="N111" s="11">
        <f t="shared" si="9"/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>
        <f>IFERROR(CalcRC27(F111,G111,K111,O111,P111,Q111,R111,S111,T111,U111,V111),"-")</f>
      </c>
      <c r="X111" t="s" s="2">
        <v>484</v>
      </c>
    </row>
    <row r="112" spans="2:24" ht="13.8" x14ac:dyDescent="0.2">
      <c r="B112" s="8">
        <f t="shared" si="10"/>
      </c>
      <c r="C112" s="10">
        <v>118</v>
      </c>
      <c r="D112" t="s" s="9">
        <v>1685</v>
      </c>
      <c r="E112" s="11">
        <f t="shared" si="11"/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</c>
      <c r="L112" s="7">
        <v>0</v>
      </c>
      <c r="M112" s="11">
        <f t="shared" si="8"/>
      </c>
      <c r="N112" s="11">
        <f t="shared" si="9"/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>
        <f>IFERROR(CalcRC27(F112,G112,K112,O112,P112,Q112,R112,S112,T112,U112,V112),"-")</f>
      </c>
      <c r="X112" t="s" s="2">
        <v>1724</v>
      </c>
    </row>
    <row r="113" spans="2:24" ht="13.8" x14ac:dyDescent="0.2">
      <c r="B113" s="8">
        <f t="shared" si="10"/>
      </c>
      <c r="C113" s="10">
        <v>119</v>
      </c>
      <c r="D113" t="s" s="9">
        <v>1986</v>
      </c>
      <c r="E113" s="11">
        <f t="shared" si="11"/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</c>
      <c r="L113" s="7">
        <v>0</v>
      </c>
      <c r="M113" s="11">
        <f t="shared" si="8"/>
      </c>
      <c r="N113" s="11">
        <f t="shared" si="9"/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>
        <f>IFERROR(CalcRC27(F113,G113,K113,O113,P113,Q113,R113,S113,T113,U113,V113),"-")</f>
      </c>
      <c r="X113" t="s" s="2">
        <v>1986</v>
      </c>
    </row>
    <row r="114" spans="2:24" ht="13.8" x14ac:dyDescent="0.2">
      <c r="B114" s="8">
        <f t="shared" si="10"/>
      </c>
      <c r="C114" s="10">
        <v>120</v>
      </c>
      <c r="D114" t="s" s="9">
        <v>1330</v>
      </c>
      <c r="E114" s="11">
        <f t="shared" si="11"/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</c>
      <c r="L114" s="7">
        <v>0</v>
      </c>
      <c r="M114" s="11">
        <f t="shared" si="8"/>
      </c>
      <c r="N114" s="11">
        <f t="shared" si="9"/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>
        <f>IFERROR(CalcRC27(F114,G114,K114,O114,P114,Q114,R114,S114,T114,U114,V114),"-")</f>
      </c>
      <c r="X114" t="s" s="2">
        <v>486</v>
      </c>
    </row>
    <row r="115" spans="2:24" ht="13.8" x14ac:dyDescent="0.2">
      <c r="B115" s="8">
        <f t="shared" si="10"/>
      </c>
      <c r="C115" s="10">
        <v>121</v>
      </c>
      <c r="D115" t="s" s="9">
        <v>1686</v>
      </c>
      <c r="E115" s="11">
        <f t="shared" si="11"/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</c>
      <c r="L115" s="7">
        <v>0</v>
      </c>
      <c r="M115" s="11">
        <f t="shared" si="8"/>
      </c>
      <c r="N115" s="11">
        <f t="shared" si="9"/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>
        <f>IFERROR(CalcRC27(F115,G115,K115,O115,P115,Q115,R115,S115,T115,U115,V115),"-")</f>
      </c>
      <c r="X115" t="s" s="2">
        <v>1725</v>
      </c>
    </row>
    <row r="116" spans="2:24" ht="13.8" x14ac:dyDescent="0.2">
      <c r="B116" s="8">
        <f t="shared" si="10"/>
      </c>
      <c r="C116" s="10">
        <v>122</v>
      </c>
      <c r="D116" t="s" s="9">
        <v>1687</v>
      </c>
      <c r="E116" s="11">
        <f t="shared" si="11"/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</c>
      <c r="L116" s="7">
        <v>0</v>
      </c>
      <c r="M116" s="11">
        <f t="shared" si="8"/>
      </c>
      <c r="N116" s="11">
        <f t="shared" si="9"/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>
        <f>IFERROR(CalcRC27(F116,G116,K116,O116,P116,Q116,R116,S116,T116,U116,V116),"-")</f>
      </c>
      <c r="X116" t="s" s="2">
        <v>1726</v>
      </c>
    </row>
    <row r="117" spans="2:24" ht="13.8" x14ac:dyDescent="0.2">
      <c r="B117" s="8">
        <f t="shared" si="10"/>
      </c>
      <c r="C117" s="10">
        <v>123</v>
      </c>
      <c r="D117" t="s" s="9">
        <v>1987</v>
      </c>
      <c r="E117" s="11">
        <f t="shared" si="11"/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</c>
      <c r="L117" s="7">
        <v>0</v>
      </c>
      <c r="M117" s="11">
        <f t="shared" si="8"/>
      </c>
      <c r="N117" s="11">
        <f t="shared" si="9"/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>
        <f>IFERROR(CalcRC27(F117,G117,K117,O117,P117,Q117,R117,S117,T117,U117,V117),"-")</f>
      </c>
      <c r="X117" t="s" s="2">
        <v>1987</v>
      </c>
    </row>
    <row r="118" spans="2:24" ht="13.8" x14ac:dyDescent="0.2">
      <c r="B118" s="8">
        <f t="shared" si="10"/>
      </c>
      <c r="C118" s="10">
        <v>124</v>
      </c>
      <c r="D118" t="s" s="9">
        <v>1225</v>
      </c>
      <c r="E118" s="11">
        <f t="shared" si="11"/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</c>
      <c r="L118" s="7">
        <v>0</v>
      </c>
      <c r="M118" s="11">
        <f t="shared" si="8"/>
      </c>
      <c r="N118" s="11">
        <f t="shared" si="9"/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>
        <f>IFERROR(CalcRC27(F118,G118,K118,O118,P118,Q118,R118,S118,T118,U118,V118),"-")</f>
      </c>
      <c r="X118" t="s" s="2">
        <v>1988</v>
      </c>
    </row>
    <row r="119" spans="2:24" ht="13.8" x14ac:dyDescent="0.2">
      <c r="B119" s="8">
        <f t="shared" si="10"/>
      </c>
      <c r="C119" s="10">
        <v>125</v>
      </c>
      <c r="D119" t="s" s="9">
        <v>1688</v>
      </c>
      <c r="E119" s="11">
        <f t="shared" si="11"/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</c>
      <c r="L119" s="7">
        <v>0</v>
      </c>
      <c r="M119" s="11">
        <f t="shared" si="8"/>
      </c>
      <c r="N119" s="11">
        <f t="shared" si="9"/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>
        <f>IFERROR(CalcRC27(F119,G119,K119,O119,P119,Q119,R119,S119,T119,U119,V119),"-")</f>
      </c>
      <c r="X119" t="s" s="2">
        <v>1688</v>
      </c>
    </row>
    <row r="120" spans="2:24" ht="13.8" x14ac:dyDescent="0.2">
      <c r="B120" s="8">
        <f t="shared" si="10"/>
      </c>
      <c r="C120" s="10">
        <v>126</v>
      </c>
      <c r="D120" t="s" s="9">
        <v>1689</v>
      </c>
      <c r="E120" s="11">
        <f t="shared" si="11"/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</c>
      <c r="L120" s="7">
        <v>0</v>
      </c>
      <c r="M120" s="11">
        <f t="shared" si="8"/>
      </c>
      <c r="N120" s="11">
        <f t="shared" si="9"/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>
        <f>IFERROR(CalcRC27(F120,G120,K120,O120,P120,Q120,R120,S120,T120,U120,V120),"-")</f>
      </c>
      <c r="X120" t="s" s="2">
        <v>1727</v>
      </c>
    </row>
    <row r="121" spans="2:24" ht="13.8" x14ac:dyDescent="0.2">
      <c r="B121" s="8">
        <f t="shared" si="10"/>
      </c>
      <c r="C121" s="10">
        <v>127</v>
      </c>
      <c r="D121" t="s" s="9">
        <v>1690</v>
      </c>
      <c r="E121" s="11">
        <f t="shared" si="11"/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</c>
      <c r="L121" s="7">
        <v>0</v>
      </c>
      <c r="M121" s="11">
        <f t="shared" si="8"/>
      </c>
      <c r="N121" s="11">
        <f t="shared" si="9"/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>
        <f>IFERROR(CalcRC27(F121,G121,K121,O121,P121,Q121,R121,S121,T121,U121,V121),"-")</f>
      </c>
      <c r="X121" t="s" s="2">
        <v>480</v>
      </c>
    </row>
    <row r="122" spans="2:24" ht="13.8" x14ac:dyDescent="0.2">
      <c r="B122" s="8">
        <f t="shared" si="10"/>
      </c>
      <c r="C122" s="10">
        <v>128</v>
      </c>
      <c r="D122" t="s" s="9">
        <v>1691</v>
      </c>
      <c r="E122" s="11">
        <f t="shared" si="11"/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</c>
      <c r="L122" s="7">
        <v>0</v>
      </c>
      <c r="M122" s="11">
        <f t="shared" si="8"/>
      </c>
      <c r="N122" s="11">
        <f t="shared" si="9"/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>
        <f>IFERROR(CalcRC27(F122,G122,K122,O122,P122,Q122,R122,S122,T122,U122,V122),"-")</f>
      </c>
      <c r="X122" t="s" s="2">
        <v>1728</v>
      </c>
    </row>
    <row r="123" spans="2:24" ht="13.8" x14ac:dyDescent="0.2">
      <c r="B123" s="8">
        <f t="shared" si="10"/>
      </c>
      <c r="C123" s="10">
        <v>129</v>
      </c>
      <c r="D123" t="s" s="9">
        <v>1692</v>
      </c>
      <c r="E123" s="11">
        <f t="shared" si="11"/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</c>
      <c r="L123" s="7">
        <v>0</v>
      </c>
      <c r="M123" s="11">
        <f t="shared" si="8"/>
      </c>
      <c r="N123" s="11">
        <f t="shared" si="9"/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>
        <f>IFERROR(CalcRC27(F123,G123,K123,O123,P123,Q123,R123,S123,T123,U123,V123),"-")</f>
      </c>
      <c r="X123" t="s" s="2">
        <v>1729</v>
      </c>
    </row>
    <row r="124" spans="2:24" ht="13.8" x14ac:dyDescent="0.2">
      <c r="B124" s="8">
        <f t="shared" si="10"/>
      </c>
      <c r="C124" s="10">
        <v>130</v>
      </c>
      <c r="D124" t="s" s="9">
        <v>1693</v>
      </c>
      <c r="E124" s="11">
        <f t="shared" si="11"/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</c>
      <c r="L124" s="7">
        <v>0</v>
      </c>
      <c r="M124" s="11">
        <f t="shared" si="8"/>
      </c>
      <c r="N124" s="11">
        <f t="shared" si="9"/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>
        <f>IFERROR(CalcRC27(F124,G124,K124,O124,P124,Q124,R124,S124,T124,U124,V124),"-")</f>
      </c>
      <c r="X124" t="s" s="2">
        <v>1730</v>
      </c>
    </row>
    <row r="125" spans="2:24" ht="13.8" x14ac:dyDescent="0.2">
      <c r="B125" s="8">
        <f t="shared" si="10"/>
      </c>
      <c r="C125" s="10">
        <v>131</v>
      </c>
      <c r="D125" t="s" s="9">
        <v>1694</v>
      </c>
      <c r="E125" s="11">
        <f t="shared" si="11"/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</c>
      <c r="L125" s="7">
        <v>0</v>
      </c>
      <c r="M125" s="11">
        <f t="shared" si="8"/>
      </c>
      <c r="N125" s="11">
        <f t="shared" si="9"/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>
        <f>IFERROR(CalcRC27(F125,G125,K125,O125,P125,Q125,R125,S125,T125,U125,V125),"-")</f>
      </c>
      <c r="X125" t="s" s="2">
        <v>1731</v>
      </c>
    </row>
    <row r="126" spans="2:24" ht="13.8" x14ac:dyDescent="0.2">
      <c r="B126" s="8">
        <f t="shared" si="10"/>
      </c>
      <c r="C126" s="10">
        <v>132</v>
      </c>
      <c r="D126" t="s" s="9">
        <v>1695</v>
      </c>
      <c r="E126" s="11">
        <f t="shared" si="11"/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</c>
      <c r="L126" s="7">
        <v>0</v>
      </c>
      <c r="M126" s="11">
        <f t="shared" si="8"/>
      </c>
      <c r="N126" s="11">
        <f t="shared" si="9"/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>
        <f>IFERROR(CalcRC27(F126,G126,K126,O126,P126,Q126,R126,S126,T126,U126,V126),"-")</f>
      </c>
      <c r="X126" t="s" s="2">
        <v>1732</v>
      </c>
    </row>
    <row r="127" spans="2:24" ht="13.8" x14ac:dyDescent="0.2">
      <c r="B127" s="8">
        <f t="shared" si="10"/>
      </c>
      <c r="C127" s="10">
        <v>133</v>
      </c>
      <c r="D127" t="s" s="9">
        <v>200</v>
      </c>
      <c r="E127" s="11">
        <f t="shared" si="11"/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ref="K127:K134" si="12">((G127-H127-I127-J127)+(H127*2)+(I127*3)+(J127*4))</f>
      </c>
      <c r="L127" s="7">
        <v>0</v>
      </c>
      <c r="M127" s="11">
        <f t="shared" ref="M127:M134" si="13">IFERROR(IF((G127+P127+Q127)/(F127+P127+Q127+S127)=1,"1.00",(G127+P127+Q127)/(F127+P127+Q127+S127)),0)</f>
      </c>
      <c r="N127" s="11">
        <f t="shared" ref="N127:N134" si="14">IFERROR(SUM(K127/F127,((G127+P127+Q127)/(F127+P127+Q127+S127))),M127)</f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>
        <f>IFERROR(CalcRC27(F127,G127,K127,O127,P127,Q127,R127,S127,T127,U127,V127),"-")</f>
      </c>
      <c r="X127" t="s" s="2">
        <v>200</v>
      </c>
    </row>
    <row r="128" spans="2:24" ht="13.8" x14ac:dyDescent="0.2">
      <c r="B128" s="8">
        <f t="shared" si="10"/>
      </c>
      <c r="C128" s="10">
        <v>134</v>
      </c>
      <c r="D128" t="s" s="9">
        <v>1696</v>
      </c>
      <c r="E128" s="11">
        <f t="shared" ref="E128:E134" si="15">IFERROR(IF(G128/F128=1,"1.00",G128/F128),"---")</f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</c>
      <c r="L128" s="7">
        <v>0</v>
      </c>
      <c r="M128" s="11">
        <f t="shared" si="13"/>
      </c>
      <c r="N128" s="11">
        <f t="shared" si="14"/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>
        <f>IFERROR(CalcRC27(F128,G128,K128,O128,P128,Q128,R128,S128,T128,U128,V128),"-")</f>
      </c>
      <c r="X128" t="s" s="2">
        <v>492</v>
      </c>
    </row>
    <row r="129" spans="2:24" ht="13.8" x14ac:dyDescent="0.2">
      <c r="B129" s="8">
        <f t="shared" si="10"/>
      </c>
      <c r="C129" s="10">
        <v>135</v>
      </c>
      <c r="D129" t="s" s="9">
        <v>1697</v>
      </c>
      <c r="E129" s="11">
        <f t="shared" si="15"/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</c>
      <c r="L129" s="7">
        <v>0</v>
      </c>
      <c r="M129" s="11">
        <f t="shared" si="13"/>
      </c>
      <c r="N129" s="11">
        <f t="shared" si="14"/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>
        <f>IFERROR(CalcRC27(F129,G129,K129,O129,P129,Q129,R129,S129,T129,U129,V129),"-")</f>
      </c>
      <c r="X129" t="s" s="2">
        <v>202</v>
      </c>
    </row>
    <row r="130" spans="2:24" ht="13.8" x14ac:dyDescent="0.2">
      <c r="B130" s="8">
        <f t="shared" si="10"/>
      </c>
      <c r="C130" s="10">
        <v>136</v>
      </c>
      <c r="D130" t="s" s="9">
        <v>1698</v>
      </c>
      <c r="E130" s="11">
        <f t="shared" si="15"/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</c>
      <c r="L130" s="7">
        <v>1</v>
      </c>
      <c r="M130" s="11">
        <f t="shared" si="13"/>
      </c>
      <c r="N130" s="11">
        <f t="shared" si="14"/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>
        <f>IFERROR(CalcRC27(F130,G130,K130,O130,P130,Q130,R130,S130,T130,U130,V130),"-")</f>
      </c>
      <c r="X130" t="s" s="2">
        <v>1733</v>
      </c>
    </row>
    <row r="131" spans="2:24" ht="13.8" x14ac:dyDescent="0.2">
      <c r="B131" s="8">
        <f t="shared" si="10"/>
      </c>
      <c r="C131" s="10"/>
      <c r="D131" s="9"/>
      <c r="E131" s="11">
        <f t="shared" si="15"/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</c>
      <c r="L131" s="7">
        <v>2</v>
      </c>
      <c r="M131" s="11">
        <f t="shared" si="13"/>
      </c>
      <c r="N131" s="11">
        <f t="shared" si="14"/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>
        <f>IFERROR(CalcRC27(F131,G131,K131,O131,P131,Q131,R131,S131,T131,U131,V131),"-")</f>
      </c>
      <c r="X131" s="2"/>
    </row>
    <row r="132" spans="2:24" ht="13.8" x14ac:dyDescent="0.2">
      <c r="B132" s="8">
        <f t="shared" si="10"/>
      </c>
      <c r="C132" s="10"/>
      <c r="D132" s="9"/>
      <c r="E132" s="11">
        <f t="shared" si="15"/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</c>
      <c r="L132" s="7">
        <v>3</v>
      </c>
      <c r="M132" s="11">
        <f t="shared" si="13"/>
      </c>
      <c r="N132" s="11">
        <f t="shared" si="14"/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>
        <f>IFERROR(CalcRC27(F132,G132,K132,O132,P132,Q132,R132,S132,T132,U132,V132),"-")</f>
      </c>
      <c r="X132" s="2"/>
    </row>
    <row r="133" spans="2:24" ht="13.8" x14ac:dyDescent="0.2">
      <c r="B133" s="8">
        <f t="shared" ref="B133:B134" si="16">IF(C133="","",C133)</f>
      </c>
      <c r="C133" s="10"/>
      <c r="D133" s="9"/>
      <c r="E133" s="11">
        <f t="shared" si="15"/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</c>
      <c r="L133" s="7">
        <v>4</v>
      </c>
      <c r="M133" s="11">
        <f t="shared" si="13"/>
      </c>
      <c r="N133" s="11">
        <f t="shared" si="14"/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>
        <f>IFERROR(CalcRC27(F133,G133,K133,O133,P133,Q133,R133,S133,T133,U133,V133),"-")</f>
      </c>
      <c r="X133" s="2"/>
    </row>
    <row r="134" spans="2:24" ht="13.8" x14ac:dyDescent="0.2">
      <c r="B134" s="8">
        <f t="shared" si="16"/>
      </c>
      <c r="C134" s="10"/>
      <c r="D134" s="9"/>
      <c r="E134" s="11">
        <f t="shared" si="15"/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</c>
      <c r="L134" s="7">
        <v>5</v>
      </c>
      <c r="M134" s="11">
        <f t="shared" si="13"/>
      </c>
      <c r="N134" s="11">
        <f t="shared" si="14"/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>
        <f>IFERROR(CalcRC27(F134,G134,K134,O134,P134,Q134,R134,S134,T134,U134,V134),"-")</f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7DCE3-1E37-4497-8CD7-5B2CF915FC06}">
  <sheetPr codeName="Sheet17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2"/>
      <c r="C2" s="122"/>
      <c r="D2" s="122"/>
      <c r="E2" s="4">
        <f>IFERROR(G2/F2,0)</f>
      </c>
      <c r="F2" s="5">
        <f t="shared" ref="F2:L2" si="0">SUM(F4:F104)</f>
      </c>
      <c r="G2" s="5">
        <f t="shared" si="0"/>
      </c>
      <c r="H2" s="5">
        <f t="shared" si="0"/>
      </c>
      <c r="I2" s="5">
        <f t="shared" si="0"/>
      </c>
      <c r="J2" s="6">
        <f t="shared" si="0"/>
      </c>
      <c r="K2" s="12">
        <f t="shared" si="0"/>
      </c>
      <c r="L2" s="7">
        <f t="shared" si="0"/>
      </c>
      <c r="M2" s="11">
        <f>IFERROR(IF((G2+P2+Q2)/(F2+P2+Q2+R2)=1,"1.00",(G2+P2+Q2)/(F2+P2+Q2+R2)),0)</f>
      </c>
      <c r="N2" s="11">
        <f>IFERROR(SUM(SUM(((G2-H2-I2-J2)*1),H2*2,I2*3,J2*4)/F2,((G2+P2+Q2)/(F2+P2+Q2+R2))),M2)</f>
      </c>
      <c r="O2" s="5">
        <f>SUM(O4:O104)</f>
      </c>
      <c r="P2" s="5">
        <f>SUM(P4:P104)</f>
      </c>
      <c r="Q2" s="5">
        <f>SUM(Q4:Q104)</f>
      </c>
      <c r="R2" s="5">
        <f>SUM(R4:R104)</f>
      </c>
      <c r="S2" s="5">
        <f>SUM(S4:S104)</f>
      </c>
      <c r="T2" s="5">
        <f t="shared" ref="T2:V2" si="1">SUM(T4:T104)</f>
      </c>
      <c r="U2" s="5">
        <f t="shared" si="1"/>
      </c>
      <c r="V2" s="5">
        <f t="shared" si="1"/>
      </c>
      <c r="W2" s="20">
        <f>IFERROR(CalcRC27(F2,G2,K2,O2,P2,Q2,R2,S2,T2,U2,V2),"-")</f>
      </c>
      <c r="X2" t="s" s="121">
        <v>229</v>
      </c>
    </row>
    <row r="3" spans="2:24" x14ac:dyDescent="0.2">
      <c r="B3" t="s" s="55">
        <v>841</v>
      </c>
      <c r="C3" t="s" s="56">
        <v>1039</v>
      </c>
      <c r="D3" t="s" s="56">
        <v>1040</v>
      </c>
      <c r="E3" t="s" s="57">
        <v>56</v>
      </c>
      <c r="F3" t="s" s="58">
        <v>0</v>
      </c>
      <c r="G3" t="s" s="55">
        <v>1</v>
      </c>
      <c r="H3" t="s" s="55">
        <v>360</v>
      </c>
      <c r="I3" t="s" s="55">
        <v>361</v>
      </c>
      <c r="J3" t="s" s="59">
        <v>1041</v>
      </c>
      <c r="K3" t="s" s="55">
        <v>983</v>
      </c>
      <c r="L3" t="s" s="60">
        <v>2</v>
      </c>
      <c r="M3" t="s" s="61">
        <v>359</v>
      </c>
      <c r="N3" t="s" s="57">
        <v>362</v>
      </c>
      <c r="O3" t="s" s="62">
        <v>978</v>
      </c>
      <c r="P3" t="s" s="55">
        <v>234</v>
      </c>
      <c r="Q3" t="s" s="55">
        <v>235</v>
      </c>
      <c r="R3" t="s" s="55">
        <v>976</v>
      </c>
      <c r="S3" t="s" s="55">
        <v>977</v>
      </c>
      <c r="T3" t="s" s="55">
        <v>979</v>
      </c>
      <c r="U3" t="s" s="55">
        <v>980</v>
      </c>
      <c r="V3" t="s" s="55">
        <v>981</v>
      </c>
      <c r="W3" t="s" s="55">
        <v>982</v>
      </c>
      <c r="X3" s="121"/>
    </row>
    <row r="4" spans="2:24" ht="13.8" x14ac:dyDescent="0.2">
      <c r="B4" s="8">
        <f>IF(C4="","",C4)</f>
      </c>
      <c r="C4" t="s" s="10">
        <v>173</v>
      </c>
      <c r="D4" s="13"/>
      <c r="E4" s="11">
        <f>IFERROR(IF(G4/F4=1,"1.00",G4/F4),"---")</f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</c>
      <c r="L4" s="7">
        <v>0</v>
      </c>
      <c r="M4" s="11">
        <f t="shared" ref="M4:M67" si="2">IFERROR(IF((G4+P4+Q4)/(F4+P4+Q4+S4)=1,"1.00",(G4+P4+Q4)/(F4+P4+Q4+S4)),0)</f>
      </c>
      <c r="N4" s="11">
        <f t="shared" ref="N4:N67" si="3">IFERROR(SUM(K4/F4,((G4+P4+Q4)/(F4+P4+Q4+S4))),M4)</f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>
        <f>IFERROR(CalcRC27(F4,G4,K4,O4,P4,Q4,R4,S4,T4,U4,V4),"-")</f>
      </c>
      <c r="X4" s="2"/>
    </row>
    <row r="5" spans="2:24" ht="13.8" x14ac:dyDescent="0.2">
      <c r="B5" s="8">
        <f t="shared" ref="B5:B68" si="4">IF(C5="","",C5)</f>
      </c>
      <c r="C5" s="10">
        <v>0</v>
      </c>
      <c r="D5" s="13"/>
      <c r="E5" s="11">
        <f t="shared" ref="E5:E68" si="5">IFERROR(IF(G5/F5=1,"1.00",G5/F5),"---")</f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6">((G5-H5-I5-J5)+(H5*2)+(I5*3)+(J5*4))</f>
      </c>
      <c r="L5" s="7">
        <v>0</v>
      </c>
      <c r="M5" s="11">
        <f t="shared" si="2"/>
      </c>
      <c r="N5" s="11">
        <f t="shared" si="3"/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>
        <f>IFERROR(CalcRC27(F5,G5,K5,O5,P5,Q5,R5,S5,T5,U5,V5),"-")</f>
      </c>
      <c r="X5" s="2"/>
    </row>
    <row r="6" spans="2:24" ht="13.8" x14ac:dyDescent="0.2">
      <c r="B6" s="8">
        <f t="shared" si="4"/>
      </c>
      <c r="C6" s="10">
        <v>1</v>
      </c>
      <c r="D6" s="13"/>
      <c r="E6" s="11">
        <f t="shared" si="5"/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</c>
      <c r="L6" s="7">
        <v>0</v>
      </c>
      <c r="M6" s="11">
        <f t="shared" si="2"/>
      </c>
      <c r="N6" s="11">
        <f t="shared" si="3"/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>
        <f>IFERROR(CalcRC27(F6,G6,K6,O6,P6,Q6,R6,S6,T6,U6,V6),"-")</f>
      </c>
      <c r="X6" s="2"/>
    </row>
    <row r="7" spans="2:24" ht="13.8" x14ac:dyDescent="0.2">
      <c r="B7" s="8">
        <f t="shared" si="4"/>
      </c>
      <c r="C7" s="10">
        <v>2</v>
      </c>
      <c r="D7" t="s" s="13">
        <v>925</v>
      </c>
      <c r="E7" s="11">
        <f t="shared" si="5"/>
      </c>
      <c r="F7" s="5">
        <v>297</v>
      </c>
      <c r="G7" s="5">
        <v>77</v>
      </c>
      <c r="H7" s="5">
        <v>19</v>
      </c>
      <c r="I7" s="5">
        <v>0</v>
      </c>
      <c r="J7" s="6">
        <v>14</v>
      </c>
      <c r="K7" s="12">
        <f t="shared" si="6"/>
      </c>
      <c r="L7" s="7">
        <v>57</v>
      </c>
      <c r="M7" s="11">
        <f t="shared" si="2"/>
      </c>
      <c r="N7" s="11">
        <f t="shared" si="3"/>
      </c>
      <c r="O7" s="20">
        <v>80</v>
      </c>
      <c r="P7" s="21">
        <v>38</v>
      </c>
      <c r="Q7" s="21">
        <v>10</v>
      </c>
      <c r="R7" s="22">
        <v>0</v>
      </c>
      <c r="S7" s="22">
        <v>3</v>
      </c>
      <c r="T7" s="20">
        <v>0</v>
      </c>
      <c r="U7" s="20">
        <v>4</v>
      </c>
      <c r="V7" s="20">
        <v>13</v>
      </c>
      <c r="W7" s="63">
        <f>IFERROR(CalcRC27(F7,G7,K7,O7,P7,Q7,R7,S7,T7,U7,V7),"-")</f>
      </c>
      <c r="X7" t="s" s="2">
        <v>972</v>
      </c>
    </row>
    <row r="8" spans="2:24" ht="13.8" x14ac:dyDescent="0.2">
      <c r="B8" s="8">
        <f t="shared" si="4"/>
      </c>
      <c r="C8" s="10">
        <v>3</v>
      </c>
      <c r="D8" t="s" s="13">
        <v>926</v>
      </c>
      <c r="E8" s="11">
        <f t="shared" si="5"/>
      </c>
      <c r="F8" s="5">
        <v>169</v>
      </c>
      <c r="G8" s="5">
        <v>38</v>
      </c>
      <c r="H8" s="5">
        <v>6</v>
      </c>
      <c r="I8" s="5">
        <v>0</v>
      </c>
      <c r="J8" s="6">
        <v>5</v>
      </c>
      <c r="K8" s="12">
        <f t="shared" si="6"/>
      </c>
      <c r="L8" s="7">
        <v>14</v>
      </c>
      <c r="M8" s="11">
        <f t="shared" si="2"/>
      </c>
      <c r="N8" s="11">
        <f t="shared" si="3"/>
      </c>
      <c r="O8" s="20">
        <v>27</v>
      </c>
      <c r="P8" s="21">
        <v>17</v>
      </c>
      <c r="Q8" s="21">
        <v>1</v>
      </c>
      <c r="R8" s="22">
        <v>0</v>
      </c>
      <c r="S8" s="22">
        <v>1</v>
      </c>
      <c r="T8" s="20">
        <v>3</v>
      </c>
      <c r="U8" s="20">
        <v>1</v>
      </c>
      <c r="V8" s="20">
        <v>1</v>
      </c>
      <c r="W8" s="63">
        <f>IFERROR(CalcRC27(F8,G8,K8,O8,P8,Q8,R8,S8,T8,U8,V8),"-")</f>
      </c>
      <c r="X8" t="s" s="2">
        <v>947</v>
      </c>
    </row>
    <row r="9" spans="2:24" ht="13.8" x14ac:dyDescent="0.2">
      <c r="B9" s="8">
        <f t="shared" si="4"/>
      </c>
      <c r="C9" s="10">
        <v>4</v>
      </c>
      <c r="D9" t="s" s="9">
        <v>927</v>
      </c>
      <c r="E9" s="11">
        <f t="shared" si="5"/>
      </c>
      <c r="F9" s="5">
        <v>267</v>
      </c>
      <c r="G9" s="5">
        <v>58</v>
      </c>
      <c r="H9" s="5">
        <v>5</v>
      </c>
      <c r="I9" s="5">
        <v>1</v>
      </c>
      <c r="J9" s="6">
        <v>0</v>
      </c>
      <c r="K9" s="12">
        <f t="shared" si="6"/>
      </c>
      <c r="L9" s="7">
        <v>17</v>
      </c>
      <c r="M9" s="11">
        <f t="shared" si="2"/>
      </c>
      <c r="N9" s="11">
        <f t="shared" si="3"/>
      </c>
      <c r="O9" s="20">
        <v>46</v>
      </c>
      <c r="P9" s="21">
        <v>30</v>
      </c>
      <c r="Q9" s="21">
        <v>5</v>
      </c>
      <c r="R9" s="22">
        <v>9</v>
      </c>
      <c r="S9" s="22">
        <v>1</v>
      </c>
      <c r="T9" s="20">
        <v>2</v>
      </c>
      <c r="U9" s="20">
        <v>3</v>
      </c>
      <c r="V9" s="20">
        <v>5</v>
      </c>
      <c r="W9" s="63">
        <f>IFERROR(CalcRC27(F9,G9,K9,O9,P9,Q9,R9,S9,T9,U9,V9),"-")</f>
      </c>
      <c r="X9" t="s" s="2">
        <v>948</v>
      </c>
    </row>
    <row r="10" spans="2:24" ht="13.8" x14ac:dyDescent="0.2">
      <c r="B10" s="8">
        <f t="shared" si="4"/>
      </c>
      <c r="C10" s="10">
        <v>5</v>
      </c>
      <c r="D10" t="s" s="13">
        <v>1685</v>
      </c>
      <c r="E10" s="11">
        <f t="shared" si="5"/>
      </c>
      <c r="F10" s="5">
        <v>351</v>
      </c>
      <c r="G10" s="5">
        <v>86</v>
      </c>
      <c r="H10" s="5">
        <v>17</v>
      </c>
      <c r="I10" s="5">
        <v>1</v>
      </c>
      <c r="J10" s="6">
        <v>12</v>
      </c>
      <c r="K10" s="12">
        <f t="shared" si="6"/>
      </c>
      <c r="L10" s="7">
        <v>39</v>
      </c>
      <c r="M10" s="11">
        <f t="shared" si="2"/>
      </c>
      <c r="N10" s="11">
        <f t="shared" si="3"/>
      </c>
      <c r="O10" s="20">
        <v>94</v>
      </c>
      <c r="P10" s="21">
        <v>29</v>
      </c>
      <c r="Q10" s="21">
        <v>4</v>
      </c>
      <c r="R10" s="22">
        <v>0</v>
      </c>
      <c r="S10" s="22">
        <v>4</v>
      </c>
      <c r="T10" s="20">
        <v>3</v>
      </c>
      <c r="U10" s="20">
        <v>1</v>
      </c>
      <c r="V10" s="20">
        <v>3</v>
      </c>
      <c r="W10" s="63">
        <f>IFERROR(CalcRC27(F10,G10,K10,O10,P10,Q10,R10,S10,T10,U10,V10),"-")</f>
      </c>
      <c r="X10" t="s" s="2">
        <v>338</v>
      </c>
    </row>
    <row r="11" spans="2:24" ht="13.8" x14ac:dyDescent="0.2">
      <c r="B11" s="8">
        <f t="shared" si="4"/>
      </c>
      <c r="C11" s="10">
        <v>6</v>
      </c>
      <c r="D11" t="s" s="13">
        <v>1037</v>
      </c>
      <c r="E11" s="11">
        <f t="shared" ref="E11" si="7">IFERROR(IF(G11/F11=1,"1.00",G11/F11),"---")</f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</c>
      <c r="L11" s="7">
        <v>0</v>
      </c>
      <c r="M11" s="11">
        <f t="shared" si="2"/>
      </c>
      <c r="N11" s="11">
        <f t="shared" si="3"/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</c>
      <c r="X11" t="s" s="2">
        <v>1038</v>
      </c>
    </row>
    <row r="12" spans="2:24" ht="13.8" x14ac:dyDescent="0.2">
      <c r="B12" s="8">
        <f t="shared" si="4"/>
      </c>
      <c r="C12" s="10">
        <v>7</v>
      </c>
      <c r="D12" t="s" s="13">
        <v>928</v>
      </c>
      <c r="E12" s="11">
        <f t="shared" si="5"/>
      </c>
      <c r="F12" s="5">
        <v>417</v>
      </c>
      <c r="G12" s="5">
        <v>110</v>
      </c>
      <c r="H12" s="5">
        <v>15</v>
      </c>
      <c r="I12" s="5">
        <v>2</v>
      </c>
      <c r="J12" s="6">
        <v>3</v>
      </c>
      <c r="K12" s="12">
        <f t="shared" si="6"/>
      </c>
      <c r="L12" s="7">
        <v>25</v>
      </c>
      <c r="M12" s="11">
        <f t="shared" si="2"/>
      </c>
      <c r="N12" s="11">
        <f t="shared" si="3"/>
      </c>
      <c r="O12" s="20">
        <v>47</v>
      </c>
      <c r="P12" s="21">
        <v>31</v>
      </c>
      <c r="Q12" s="21">
        <v>6</v>
      </c>
      <c r="R12" s="22">
        <v>6</v>
      </c>
      <c r="S12" s="22">
        <v>3</v>
      </c>
      <c r="T12" s="20">
        <v>10</v>
      </c>
      <c r="U12" s="20">
        <v>11</v>
      </c>
      <c r="V12" s="20">
        <v>7</v>
      </c>
      <c r="W12" s="63">
        <f>IFERROR(CalcRC27(F12,G12,K12,O12,P12,Q12,R12,S12,T12,U12,V12),"-")</f>
      </c>
      <c r="X12" t="s" s="2">
        <v>332</v>
      </c>
    </row>
    <row r="13" spans="2:24" ht="13.8" x14ac:dyDescent="0.2">
      <c r="B13" s="8">
        <f t="shared" si="4"/>
      </c>
      <c r="C13" s="10">
        <v>8</v>
      </c>
      <c r="D13" t="s" s="13">
        <v>929</v>
      </c>
      <c r="E13" s="11">
        <f t="shared" si="5"/>
      </c>
      <c r="F13" s="5">
        <v>38</v>
      </c>
      <c r="G13" s="5">
        <v>9</v>
      </c>
      <c r="H13" s="5">
        <v>3</v>
      </c>
      <c r="I13" s="5">
        <v>1</v>
      </c>
      <c r="J13" s="6">
        <v>1</v>
      </c>
      <c r="K13" s="12">
        <f t="shared" si="6"/>
      </c>
      <c r="L13" s="7">
        <v>6</v>
      </c>
      <c r="M13" s="11">
        <f t="shared" si="2"/>
      </c>
      <c r="N13" s="11">
        <f t="shared" si="3"/>
      </c>
      <c r="O13" s="20">
        <v>10</v>
      </c>
      <c r="P13" s="21">
        <v>1</v>
      </c>
      <c r="Q13" s="21">
        <v>0</v>
      </c>
      <c r="R13" s="22">
        <v>1</v>
      </c>
      <c r="S13" s="22">
        <v>0</v>
      </c>
      <c r="T13" s="20">
        <v>0</v>
      </c>
      <c r="U13" s="20">
        <v>0</v>
      </c>
      <c r="V13" s="20">
        <v>1</v>
      </c>
      <c r="W13" s="63">
        <f>IFERROR(CalcRC27(F13,G13,K13,O13,P13,Q13,R13,S13,T13,U13,V13),"-")</f>
      </c>
      <c r="X13" t="s" s="2">
        <v>340</v>
      </c>
    </row>
    <row r="14" spans="2:24" ht="13.8" x14ac:dyDescent="0.2">
      <c r="B14" s="8">
        <f t="shared" si="4"/>
      </c>
      <c r="C14" s="10">
        <v>9</v>
      </c>
      <c r="D14" t="s" s="13">
        <v>126</v>
      </c>
      <c r="E14" s="11">
        <f t="shared" si="5"/>
      </c>
      <c r="F14" s="5">
        <v>14</v>
      </c>
      <c r="G14" s="5">
        <v>2</v>
      </c>
      <c r="H14" s="5">
        <v>0</v>
      </c>
      <c r="I14" s="5">
        <v>0</v>
      </c>
      <c r="J14" s="6">
        <v>0</v>
      </c>
      <c r="K14" s="12">
        <f t="shared" si="6"/>
      </c>
      <c r="L14" s="7">
        <v>1</v>
      </c>
      <c r="M14" s="11">
        <f t="shared" si="2"/>
      </c>
      <c r="N14" s="11">
        <f t="shared" si="3"/>
      </c>
      <c r="O14" s="20">
        <v>3</v>
      </c>
      <c r="P14" s="21">
        <v>2</v>
      </c>
      <c r="Q14" s="21">
        <v>0</v>
      </c>
      <c r="R14" s="22">
        <v>0</v>
      </c>
      <c r="S14" s="22">
        <v>0</v>
      </c>
      <c r="T14" s="20">
        <v>1</v>
      </c>
      <c r="U14" s="20">
        <v>1</v>
      </c>
      <c r="V14" s="20">
        <v>0</v>
      </c>
      <c r="W14" s="63">
        <f>IFERROR(CalcRC27(F14,G14,K14,O14,P14,Q14,R14,S14,T14,U14,V14),"-")</f>
      </c>
      <c r="X14" t="s" s="2">
        <v>330</v>
      </c>
    </row>
    <row r="15" spans="2:24" ht="13.8" x14ac:dyDescent="0.2">
      <c r="B15" s="8">
        <f t="shared" si="4"/>
      </c>
      <c r="C15" s="10">
        <v>10</v>
      </c>
      <c r="D15" t="s" s="13">
        <v>1182</v>
      </c>
      <c r="E15" s="11">
        <f t="shared" si="5"/>
      </c>
      <c r="F15" s="5">
        <v>36</v>
      </c>
      <c r="G15" s="5">
        <v>9</v>
      </c>
      <c r="H15" s="5">
        <v>0</v>
      </c>
      <c r="I15" s="5">
        <v>0</v>
      </c>
      <c r="J15" s="6">
        <v>0</v>
      </c>
      <c r="K15" s="12">
        <f t="shared" si="6"/>
      </c>
      <c r="L15" s="7">
        <v>3</v>
      </c>
      <c r="M15" s="11">
        <f t="shared" si="2"/>
      </c>
      <c r="N15" s="11">
        <f t="shared" si="3"/>
      </c>
      <c r="O15" s="20">
        <v>10</v>
      </c>
      <c r="P15" s="21">
        <v>4</v>
      </c>
      <c r="Q15" s="21">
        <v>0</v>
      </c>
      <c r="R15" s="22">
        <v>5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</c>
      <c r="X15" t="s" s="2">
        <v>331</v>
      </c>
    </row>
    <row r="16" spans="2:24" ht="13.8" x14ac:dyDescent="0.2">
      <c r="B16" s="8">
        <f t="shared" si="4"/>
      </c>
      <c r="C16" s="10">
        <v>11</v>
      </c>
      <c r="D16" s="13"/>
      <c r="E16" s="11">
        <f t="shared" si="5"/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6"/>
      </c>
      <c r="L16" s="7">
        <v>0</v>
      </c>
      <c r="M16" s="11">
        <f t="shared" si="2"/>
      </c>
      <c r="N16" s="11">
        <f t="shared" si="3"/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</c>
      <c r="X16" s="2"/>
    </row>
    <row r="17" spans="2:24" ht="13.8" x14ac:dyDescent="0.2">
      <c r="B17" s="8">
        <f t="shared" si="4"/>
      </c>
      <c r="C17" s="10">
        <v>12</v>
      </c>
      <c r="D17" t="s" s="13">
        <v>930</v>
      </c>
      <c r="E17" s="11">
        <f t="shared" si="5"/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</c>
      <c r="L17" s="7">
        <v>0</v>
      </c>
      <c r="M17" s="11">
        <f t="shared" si="2"/>
      </c>
      <c r="N17" s="11">
        <f t="shared" si="3"/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>
        <f>IFERROR(CalcRC27(F17,G17,K17,O17,P17,Q17,R17,S17,T17,U17,V17),"-")</f>
      </c>
      <c r="X17" t="s" s="2">
        <v>949</v>
      </c>
    </row>
    <row r="18" spans="2:24" ht="13.8" x14ac:dyDescent="0.2">
      <c r="B18" s="8">
        <f t="shared" si="4"/>
      </c>
      <c r="C18" s="10">
        <v>13</v>
      </c>
      <c r="D18" t="s" s="9">
        <v>127</v>
      </c>
      <c r="E18" s="11">
        <f t="shared" si="5"/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</c>
      <c r="L18" s="7">
        <v>0</v>
      </c>
      <c r="M18" s="11">
        <f t="shared" si="2"/>
      </c>
      <c r="N18" s="11">
        <f t="shared" si="3"/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>
        <f>IFERROR(CalcRC27(F18,G18,K18,O18,P18,Q18,R18,S18,T18,U18,V18),"-")</f>
      </c>
      <c r="X18" t="s" s="2">
        <v>333</v>
      </c>
    </row>
    <row r="19" spans="2:24" ht="13.8" x14ac:dyDescent="0.2">
      <c r="B19" s="8">
        <f t="shared" si="4"/>
      </c>
      <c r="C19" s="10">
        <v>14</v>
      </c>
      <c r="D19" t="s" s="13">
        <v>1449</v>
      </c>
      <c r="E19" s="11">
        <f t="shared" si="5"/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</c>
      <c r="L19" s="7">
        <v>0</v>
      </c>
      <c r="M19" s="11">
        <f t="shared" si="2"/>
      </c>
      <c r="N19" s="11">
        <f t="shared" si="3"/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>
        <f>IFERROR(CalcRC27(F19,G19,K19,O19,P19,Q19,R19,S19,T19,U19,V19),"-")</f>
      </c>
      <c r="X19" t="s" s="2">
        <v>334</v>
      </c>
    </row>
    <row r="20" spans="2:24" ht="13.8" x14ac:dyDescent="0.2">
      <c r="B20" s="8">
        <f t="shared" si="4"/>
      </c>
      <c r="C20" s="10">
        <v>15</v>
      </c>
      <c r="D20" s="13"/>
      <c r="E20" s="11">
        <f t="shared" si="5"/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</c>
      <c r="L20" s="7">
        <v>0</v>
      </c>
      <c r="M20" s="11">
        <f t="shared" si="2"/>
      </c>
      <c r="N20" s="11">
        <f t="shared" si="3"/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>
        <f>IFERROR(CalcRC27(F20,G20,K20,O20,P20,Q20,R20,S20,T20,U20,V20),"-")</f>
      </c>
      <c r="X20" s="2"/>
    </row>
    <row r="21" spans="2:24" ht="13.8" x14ac:dyDescent="0.2">
      <c r="B21" s="8">
        <f t="shared" si="4"/>
      </c>
      <c r="C21" s="10">
        <v>16</v>
      </c>
      <c r="D21" t="s" s="13">
        <v>931</v>
      </c>
      <c r="E21" s="11">
        <f t="shared" si="5"/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6"/>
      </c>
      <c r="L21" s="7">
        <v>0</v>
      </c>
      <c r="M21" s="11">
        <f t="shared" si="2"/>
      </c>
      <c r="N21" s="11">
        <f t="shared" si="3"/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</c>
      <c r="X21" t="s" s="2">
        <v>950</v>
      </c>
    </row>
    <row r="22" spans="2:24" ht="13.8" x14ac:dyDescent="0.2">
      <c r="B22" s="8">
        <f t="shared" si="4"/>
      </c>
      <c r="C22" s="10">
        <v>17</v>
      </c>
      <c r="D22" t="s" s="13">
        <v>1551</v>
      </c>
      <c r="E22" s="11">
        <f t="shared" si="5"/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</c>
      <c r="L22" s="7">
        <v>0</v>
      </c>
      <c r="M22" s="11">
        <f t="shared" si="2"/>
      </c>
      <c r="N22" s="11">
        <f t="shared" si="3"/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>
        <f>IFERROR(CalcRC27(F22,G22,K22,O22,P22,Q22,R22,S22,T22,U22,V22),"-")</f>
      </c>
      <c r="X22" t="s" s="2">
        <v>336</v>
      </c>
    </row>
    <row r="23" spans="2:24" ht="13.8" x14ac:dyDescent="0.2">
      <c r="B23" s="8">
        <f t="shared" si="4"/>
      </c>
      <c r="C23" s="10">
        <v>18</v>
      </c>
      <c r="D23" t="s" s="13">
        <v>103</v>
      </c>
      <c r="E23" s="11">
        <f t="shared" si="5"/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6"/>
      </c>
      <c r="L23" s="7">
        <v>0</v>
      </c>
      <c r="M23" s="11">
        <f t="shared" si="2"/>
      </c>
      <c r="N23" s="11">
        <f t="shared" si="3"/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</c>
      <c r="X23" t="s" s="2">
        <v>1263</v>
      </c>
    </row>
    <row r="24" spans="2:24" ht="13.8" x14ac:dyDescent="0.2">
      <c r="B24" s="8">
        <f t="shared" si="4"/>
      </c>
      <c r="C24" s="10">
        <v>19</v>
      </c>
      <c r="D24" t="s" s="13">
        <v>932</v>
      </c>
      <c r="E24" s="11">
        <f t="shared" si="5"/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6"/>
      </c>
      <c r="L24" s="7">
        <v>0</v>
      </c>
      <c r="M24" s="11">
        <f t="shared" si="2"/>
      </c>
      <c r="N24" s="11">
        <f t="shared" si="3"/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</c>
      <c r="X24" t="s" s="2">
        <v>351</v>
      </c>
    </row>
    <row r="25" spans="2:24" ht="13.8" x14ac:dyDescent="0.2">
      <c r="B25" s="8">
        <f t="shared" si="4"/>
      </c>
      <c r="C25" s="10">
        <v>20</v>
      </c>
      <c r="D25" t="s" s="13">
        <v>129</v>
      </c>
      <c r="E25" s="11">
        <f t="shared" si="5"/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</c>
      <c r="L25" s="7">
        <v>0</v>
      </c>
      <c r="M25" s="11">
        <f t="shared" si="2"/>
      </c>
      <c r="N25" s="11">
        <f t="shared" si="3"/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>
        <f>IFERROR(CalcRC27(F25,G25,K25,O25,P25,Q25,R25,S25,T25,U25,V25),"-")</f>
      </c>
      <c r="X25" t="s" s="2">
        <v>337</v>
      </c>
    </row>
    <row r="26" spans="2:24" ht="13.8" x14ac:dyDescent="0.2">
      <c r="B26" s="8">
        <f t="shared" si="4"/>
      </c>
      <c r="C26" s="10">
        <v>21</v>
      </c>
      <c r="D26" t="s" s="13">
        <v>1896</v>
      </c>
      <c r="E26" s="11">
        <f t="shared" si="5"/>
      </c>
      <c r="F26" s="5">
        <v>258</v>
      </c>
      <c r="G26" s="5">
        <v>68</v>
      </c>
      <c r="H26" s="5">
        <v>15</v>
      </c>
      <c r="I26" s="5">
        <v>1</v>
      </c>
      <c r="J26" s="6">
        <v>9</v>
      </c>
      <c r="K26" s="12">
        <f t="shared" si="6"/>
      </c>
      <c r="L26" s="7">
        <v>35</v>
      </c>
      <c r="M26" s="11">
        <f t="shared" si="2"/>
      </c>
      <c r="N26" s="11">
        <f t="shared" si="3"/>
      </c>
      <c r="O26" s="20">
        <v>50</v>
      </c>
      <c r="P26" s="21">
        <v>36</v>
      </c>
      <c r="Q26" s="21">
        <v>3</v>
      </c>
      <c r="R26" s="22">
        <v>0</v>
      </c>
      <c r="S26" s="22">
        <v>3</v>
      </c>
      <c r="T26" s="20">
        <v>2</v>
      </c>
      <c r="U26" s="20">
        <v>1</v>
      </c>
      <c r="V26" s="20">
        <v>3</v>
      </c>
      <c r="W26" s="63">
        <f>IFERROR(CalcRC27(F26,G26,K26,O26,P26,Q26,R26,S26,T26,U26,V26),"-")</f>
      </c>
      <c r="X26" t="s" s="2">
        <v>125</v>
      </c>
    </row>
    <row r="27" spans="2:24" ht="13.8" x14ac:dyDescent="0.2">
      <c r="B27" s="8">
        <f t="shared" si="4"/>
      </c>
      <c r="C27" s="10">
        <v>22</v>
      </c>
      <c r="D27" t="s" s="13">
        <v>933</v>
      </c>
      <c r="E27" s="11">
        <f t="shared" si="5"/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</c>
      <c r="L27" s="7">
        <v>0</v>
      </c>
      <c r="M27" s="11">
        <f t="shared" si="2"/>
      </c>
      <c r="N27" s="11">
        <f t="shared" si="3"/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>
        <f>IFERROR(CalcRC27(F27,G27,K27,O27,P27,Q27,R27,S27,T27,U27,V27),"-")</f>
      </c>
      <c r="X27" t="s" s="2">
        <v>951</v>
      </c>
    </row>
    <row r="28" spans="2:24" ht="13.8" x14ac:dyDescent="0.2">
      <c r="B28" s="8">
        <f t="shared" si="4"/>
      </c>
      <c r="C28" s="10">
        <v>23</v>
      </c>
      <c r="D28" t="s" s="13">
        <v>106</v>
      </c>
      <c r="E28" s="11">
        <f t="shared" si="5"/>
      </c>
      <c r="F28" s="5">
        <v>198</v>
      </c>
      <c r="G28" s="5">
        <v>39</v>
      </c>
      <c r="H28" s="5">
        <v>5</v>
      </c>
      <c r="I28" s="5">
        <v>0</v>
      </c>
      <c r="J28" s="6">
        <v>2</v>
      </c>
      <c r="K28" s="12">
        <f t="shared" si="6"/>
      </c>
      <c r="L28" s="7">
        <v>11</v>
      </c>
      <c r="M28" s="11">
        <f t="shared" si="2"/>
      </c>
      <c r="N28" s="11">
        <f t="shared" si="3"/>
      </c>
      <c r="O28" s="20">
        <v>37</v>
      </c>
      <c r="P28" s="21">
        <v>8</v>
      </c>
      <c r="Q28" s="21">
        <v>4</v>
      </c>
      <c r="R28" s="22">
        <v>10</v>
      </c>
      <c r="S28" s="22">
        <v>0</v>
      </c>
      <c r="T28" s="20">
        <v>0</v>
      </c>
      <c r="U28" s="20">
        <v>0</v>
      </c>
      <c r="V28" s="20">
        <v>3</v>
      </c>
      <c r="W28" s="63">
        <f>IFERROR(CalcRC27(F28,G28,K28,O28,P28,Q28,R28,S28,T28,U28,V28),"-")</f>
      </c>
      <c r="X28" t="s" s="2">
        <v>406</v>
      </c>
    </row>
    <row r="29" spans="2:24" ht="13.8" x14ac:dyDescent="0.2">
      <c r="B29" s="8">
        <f t="shared" si="4"/>
      </c>
      <c r="C29" s="10">
        <v>24</v>
      </c>
      <c r="D29" t="s" s="2">
        <v>934</v>
      </c>
      <c r="E29" s="11">
        <f t="shared" si="5"/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</c>
      <c r="L29" s="7">
        <v>0</v>
      </c>
      <c r="M29" s="11">
        <f t="shared" si="2"/>
      </c>
      <c r="N29" s="11">
        <f t="shared" si="3"/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</c>
      <c r="X29" t="s" s="2">
        <v>952</v>
      </c>
    </row>
    <row r="30" spans="2:24" ht="13.8" x14ac:dyDescent="0.2">
      <c r="B30" s="8">
        <f t="shared" si="4"/>
      </c>
      <c r="C30" s="10">
        <v>25</v>
      </c>
      <c r="D30" t="s" s="13">
        <v>130</v>
      </c>
      <c r="E30" s="11">
        <f t="shared" si="5"/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</c>
      <c r="L30" s="7">
        <v>0</v>
      </c>
      <c r="M30" s="11">
        <f t="shared" si="2"/>
      </c>
      <c r="N30" s="11">
        <f t="shared" si="3"/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</c>
      <c r="X30" t="s" s="2">
        <v>339</v>
      </c>
    </row>
    <row r="31" spans="2:24" ht="13.8" x14ac:dyDescent="0.2">
      <c r="B31" s="8">
        <f t="shared" si="4"/>
      </c>
      <c r="C31" s="10">
        <v>26</v>
      </c>
      <c r="D31" t="s" s="13">
        <v>935</v>
      </c>
      <c r="E31" s="11">
        <f t="shared" si="5"/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</c>
      <c r="L31" s="7">
        <v>0</v>
      </c>
      <c r="M31" s="11">
        <f t="shared" si="2"/>
      </c>
      <c r="N31" s="11">
        <f t="shared" si="3"/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>
        <f>IFERROR(CalcRC27(F31,G31,K31,O31,P31,Q31,R31,S31,T31,U31,V31),"-")</f>
      </c>
      <c r="X31" t="s" s="2">
        <v>953</v>
      </c>
    </row>
    <row r="32" spans="2:24" ht="13.8" x14ac:dyDescent="0.2">
      <c r="B32" s="8">
        <f t="shared" si="4"/>
      </c>
      <c r="C32" s="10">
        <v>27</v>
      </c>
      <c r="D32" t="s" s="13">
        <v>936</v>
      </c>
      <c r="E32" s="11">
        <f t="shared" si="5"/>
      </c>
      <c r="F32" s="5">
        <v>22</v>
      </c>
      <c r="G32" s="5">
        <v>6</v>
      </c>
      <c r="H32" s="5">
        <v>3</v>
      </c>
      <c r="I32" s="5">
        <v>0</v>
      </c>
      <c r="J32" s="6">
        <v>0</v>
      </c>
      <c r="K32" s="12">
        <f t="shared" si="6"/>
      </c>
      <c r="L32" s="7">
        <v>4</v>
      </c>
      <c r="M32" s="11">
        <f t="shared" si="2"/>
      </c>
      <c r="N32" s="11">
        <f t="shared" si="3"/>
      </c>
      <c r="O32" s="20">
        <v>7</v>
      </c>
      <c r="P32" s="21">
        <v>1</v>
      </c>
      <c r="Q32" s="21">
        <v>0</v>
      </c>
      <c r="R32" s="22">
        <v>0</v>
      </c>
      <c r="S32" s="22">
        <v>2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</c>
      <c r="X32" t="s" s="2">
        <v>341</v>
      </c>
    </row>
    <row r="33" spans="2:24" ht="13.8" x14ac:dyDescent="0.2">
      <c r="B33" s="8">
        <f t="shared" si="4"/>
      </c>
      <c r="C33" s="10">
        <v>28</v>
      </c>
      <c r="D33" t="s" s="13">
        <v>1840</v>
      </c>
      <c r="E33" s="11">
        <f t="shared" si="5"/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6"/>
      </c>
      <c r="L33" s="7">
        <v>0</v>
      </c>
      <c r="M33" s="11">
        <f t="shared" si="2"/>
      </c>
      <c r="N33" s="11">
        <f t="shared" si="3"/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</c>
      <c r="X33" t="s" s="2">
        <v>342</v>
      </c>
    </row>
    <row r="34" spans="2:24" ht="13.8" x14ac:dyDescent="0.2">
      <c r="B34" s="8">
        <f t="shared" si="4"/>
      </c>
      <c r="C34" s="10">
        <v>29</v>
      </c>
      <c r="D34" t="s" s="13">
        <v>1274</v>
      </c>
      <c r="E34" s="11">
        <f t="shared" si="5"/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</c>
      <c r="L34" s="7">
        <v>0</v>
      </c>
      <c r="M34" s="11">
        <f t="shared" si="2"/>
      </c>
      <c r="N34" s="11">
        <f t="shared" si="3"/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>
        <f>IFERROR(CalcRC27(F34,G34,K34,O34,P34,Q34,R34,S34,T34,U34,V34),"-")</f>
      </c>
      <c r="X34" t="s" s="2">
        <v>1275</v>
      </c>
    </row>
    <row r="35" spans="2:24" ht="13.8" x14ac:dyDescent="0.2">
      <c r="B35" s="8">
        <f t="shared" si="4"/>
      </c>
      <c r="C35" s="10">
        <v>30</v>
      </c>
      <c r="D35" t="s" s="13">
        <v>91</v>
      </c>
      <c r="E35" s="11">
        <f t="shared" si="5"/>
      </c>
      <c r="F35" s="5">
        <v>100</v>
      </c>
      <c r="G35" s="5">
        <v>31</v>
      </c>
      <c r="H35" s="5">
        <v>4</v>
      </c>
      <c r="I35" s="5">
        <v>0</v>
      </c>
      <c r="J35" s="6">
        <v>3</v>
      </c>
      <c r="K35" s="12">
        <f t="shared" si="6"/>
      </c>
      <c r="L35" s="7">
        <v>17</v>
      </c>
      <c r="M35" s="11">
        <f t="shared" si="2"/>
      </c>
      <c r="N35" s="11">
        <f t="shared" si="3"/>
      </c>
      <c r="O35" s="20">
        <v>14</v>
      </c>
      <c r="P35" s="21">
        <v>8</v>
      </c>
      <c r="Q35" s="21">
        <v>0</v>
      </c>
      <c r="R35" s="22">
        <v>2</v>
      </c>
      <c r="S35" s="22">
        <v>0</v>
      </c>
      <c r="T35" s="20">
        <v>1</v>
      </c>
      <c r="U35" s="20">
        <v>1</v>
      </c>
      <c r="V35" s="20">
        <v>2</v>
      </c>
      <c r="W35" s="63">
        <f>IFERROR(CalcRC27(F35,G35,K35,O35,P35,Q35,R35,S35,T35,U35,V35),"-")</f>
      </c>
      <c r="X35" t="s" s="2">
        <v>557</v>
      </c>
    </row>
    <row r="36" spans="2:24" ht="13.8" x14ac:dyDescent="0.2">
      <c r="B36" s="8">
        <f t="shared" si="4"/>
      </c>
      <c r="C36" s="10">
        <v>31</v>
      </c>
      <c r="D36" t="s" s="13">
        <v>1264</v>
      </c>
      <c r="E36" s="11">
        <f t="shared" si="5"/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6"/>
      </c>
      <c r="L36" s="7">
        <v>0</v>
      </c>
      <c r="M36" s="11">
        <f t="shared" si="2"/>
      </c>
      <c r="N36" s="11">
        <f t="shared" si="3"/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>
        <f>IFERROR(CalcRC27(F36,G36,K36,O36,P36,Q36,R36,S36,T36,U36,V36),"-")</f>
      </c>
      <c r="X36" t="s" s="2">
        <v>1265</v>
      </c>
    </row>
    <row r="37" spans="2:24" ht="13.8" x14ac:dyDescent="0.2">
      <c r="B37" s="8">
        <f t="shared" si="4"/>
      </c>
      <c r="C37" s="10">
        <v>32</v>
      </c>
      <c r="D37" t="s" s="13">
        <v>1266</v>
      </c>
      <c r="E37" s="11">
        <f t="shared" si="5"/>
      </c>
      <c r="F37" s="5">
        <v>74</v>
      </c>
      <c r="G37" s="5">
        <v>14</v>
      </c>
      <c r="H37" s="5">
        <v>0</v>
      </c>
      <c r="I37" s="5">
        <v>0</v>
      </c>
      <c r="J37" s="6">
        <v>0</v>
      </c>
      <c r="K37" s="12">
        <f t="shared" si="6"/>
      </c>
      <c r="L37" s="7">
        <v>4</v>
      </c>
      <c r="M37" s="11">
        <f t="shared" si="2"/>
      </c>
      <c r="N37" s="11">
        <f t="shared" si="3"/>
      </c>
      <c r="O37" s="20">
        <v>9</v>
      </c>
      <c r="P37" s="21">
        <v>8</v>
      </c>
      <c r="Q37" s="21">
        <v>0</v>
      </c>
      <c r="R37" s="22">
        <v>4</v>
      </c>
      <c r="S37" s="22">
        <v>0</v>
      </c>
      <c r="T37" s="20">
        <v>0</v>
      </c>
      <c r="U37" s="20">
        <v>0</v>
      </c>
      <c r="V37" s="20">
        <v>1</v>
      </c>
      <c r="W37" s="63">
        <f>IFERROR(CalcRC27(F37,G37,K37,O37,P37,Q37,R37,S37,T37,U37,V37),"-")</f>
      </c>
      <c r="X37" t="s" s="2">
        <v>1267</v>
      </c>
    </row>
    <row r="38" spans="2:24" ht="13.8" x14ac:dyDescent="0.2">
      <c r="B38" s="8">
        <f t="shared" si="4"/>
      </c>
      <c r="C38" s="10">
        <v>33</v>
      </c>
      <c r="D38" t="s" s="13">
        <v>1272</v>
      </c>
      <c r="E38" s="11">
        <f t="shared" si="5"/>
      </c>
      <c r="F38" s="5">
        <v>2</v>
      </c>
      <c r="G38" s="5">
        <v>0</v>
      </c>
      <c r="H38" s="5">
        <v>0</v>
      </c>
      <c r="I38" s="5">
        <v>0</v>
      </c>
      <c r="J38" s="6">
        <v>0</v>
      </c>
      <c r="K38" s="12">
        <f t="shared" si="6"/>
      </c>
      <c r="L38" s="7">
        <v>0</v>
      </c>
      <c r="M38" s="11">
        <f t="shared" si="2"/>
      </c>
      <c r="N38" s="11">
        <f t="shared" si="3"/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>
        <f>IFERROR(CalcRC27(F38,G38,K38,O38,P38,Q38,R38,S38,T38,U38,V38),"-")</f>
      </c>
      <c r="X38" t="s" s="2">
        <v>1273</v>
      </c>
    </row>
    <row r="39" spans="2:24" ht="13.8" x14ac:dyDescent="0.2">
      <c r="B39" s="8">
        <f t="shared" si="4"/>
      </c>
      <c r="C39" s="10">
        <v>34</v>
      </c>
      <c r="D39" t="s" s="13">
        <v>1820</v>
      </c>
      <c r="E39" s="11">
        <f t="shared" si="5"/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</c>
      <c r="L39" s="7">
        <v>0</v>
      </c>
      <c r="M39" s="11">
        <f t="shared" si="2"/>
      </c>
      <c r="N39" s="11">
        <f t="shared" si="3"/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>
        <f>IFERROR(CalcRC27(F39,G39,K39,O39,P39,Q39,R39,S39,T39,U39,V39),"-")</f>
      </c>
      <c r="X39" t="s" s="2">
        <v>343</v>
      </c>
    </row>
    <row r="40" spans="2:24" ht="13.8" x14ac:dyDescent="0.2">
      <c r="B40" s="8">
        <f t="shared" si="4"/>
      </c>
      <c r="C40" s="10">
        <v>35</v>
      </c>
      <c r="D40" t="s" s="13">
        <v>937</v>
      </c>
      <c r="E40" s="11">
        <f t="shared" si="5"/>
      </c>
      <c r="F40" s="5">
        <v>57</v>
      </c>
      <c r="G40" s="5">
        <v>10</v>
      </c>
      <c r="H40" s="5">
        <v>3</v>
      </c>
      <c r="I40" s="5">
        <v>0</v>
      </c>
      <c r="J40" s="6">
        <v>2</v>
      </c>
      <c r="K40" s="12">
        <f t="shared" si="6"/>
      </c>
      <c r="L40" s="7">
        <v>7</v>
      </c>
      <c r="M40" s="11">
        <f t="shared" si="2"/>
      </c>
      <c r="N40" s="11">
        <f t="shared" si="3"/>
      </c>
      <c r="O40" s="20">
        <v>19</v>
      </c>
      <c r="P40" s="21">
        <v>4</v>
      </c>
      <c r="Q40" s="21">
        <v>1</v>
      </c>
      <c r="R40" s="22">
        <v>1</v>
      </c>
      <c r="S40" s="22">
        <v>0</v>
      </c>
      <c r="T40" s="20">
        <v>0</v>
      </c>
      <c r="U40" s="20">
        <v>0</v>
      </c>
      <c r="V40" s="20">
        <v>1</v>
      </c>
      <c r="W40" s="63">
        <f>IFERROR(CalcRC27(F40,G40,K40,O40,P40,Q40,R40,S40,T40,U40,V40),"-")</f>
      </c>
      <c r="X40" t="s" s="2">
        <v>954</v>
      </c>
    </row>
    <row r="41" spans="2:24" ht="13.8" x14ac:dyDescent="0.2">
      <c r="B41" s="8">
        <f t="shared" si="4"/>
      </c>
      <c r="C41" s="10">
        <v>36</v>
      </c>
      <c r="D41" t="s" s="13">
        <v>1278</v>
      </c>
      <c r="E41" s="11">
        <f t="shared" si="5"/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</c>
      <c r="L41" s="7">
        <v>0</v>
      </c>
      <c r="M41" s="11">
        <f t="shared" si="2"/>
      </c>
      <c r="N41" s="11">
        <f t="shared" si="3"/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>
        <f>IFERROR(CalcRC27(F41,G41,K41,O41,P41,Q41,R41,S41,T41,U41,V41),"-")</f>
      </c>
      <c r="X41" t="s" s="2">
        <v>1279</v>
      </c>
    </row>
    <row r="42" spans="2:24" ht="13.8" x14ac:dyDescent="0.2">
      <c r="B42" s="8">
        <f t="shared" si="4"/>
      </c>
      <c r="C42" s="10">
        <v>37</v>
      </c>
      <c r="D42" t="s" s="13">
        <v>938</v>
      </c>
      <c r="E42" s="11">
        <f t="shared" si="5"/>
      </c>
      <c r="F42" s="5">
        <v>141</v>
      </c>
      <c r="G42" s="5">
        <v>27</v>
      </c>
      <c r="H42" s="5">
        <v>4</v>
      </c>
      <c r="I42" s="5">
        <v>2</v>
      </c>
      <c r="J42" s="6">
        <v>5</v>
      </c>
      <c r="K42" s="12">
        <f t="shared" si="6"/>
      </c>
      <c r="L42" s="7">
        <v>13</v>
      </c>
      <c r="M42" s="11">
        <f t="shared" si="2"/>
      </c>
      <c r="N42" s="11">
        <f t="shared" si="3"/>
      </c>
      <c r="O42" s="20">
        <v>72</v>
      </c>
      <c r="P42" s="21">
        <v>9</v>
      </c>
      <c r="Q42" s="21">
        <v>2</v>
      </c>
      <c r="R42" s="22">
        <v>12</v>
      </c>
      <c r="S42" s="22">
        <v>1</v>
      </c>
      <c r="T42" s="20">
        <v>8</v>
      </c>
      <c r="U42" s="20">
        <v>8</v>
      </c>
      <c r="V42" s="20">
        <v>0</v>
      </c>
      <c r="W42" s="63">
        <f>IFERROR(CalcRC27(F42,G42,K42,O42,P42,Q42,R42,S42,T42,U42,V42),"-")</f>
      </c>
      <c r="X42" t="s" s="2">
        <v>576</v>
      </c>
    </row>
    <row r="43" spans="2:24" ht="13.8" x14ac:dyDescent="0.2">
      <c r="B43" s="8">
        <f t="shared" si="4"/>
      </c>
      <c r="C43" s="10">
        <v>38</v>
      </c>
      <c r="D43" t="s" s="13">
        <v>804</v>
      </c>
      <c r="E43" s="11">
        <f t="shared" si="5"/>
      </c>
      <c r="F43" s="5">
        <v>83</v>
      </c>
      <c r="G43" s="5">
        <v>14</v>
      </c>
      <c r="H43" s="5">
        <v>3</v>
      </c>
      <c r="I43" s="5">
        <v>2</v>
      </c>
      <c r="J43" s="6">
        <v>0</v>
      </c>
      <c r="K43" s="12">
        <f t="shared" si="6"/>
      </c>
      <c r="L43" s="7">
        <v>4</v>
      </c>
      <c r="M43" s="11">
        <f t="shared" si="2"/>
      </c>
      <c r="N43" s="11">
        <f t="shared" si="3"/>
      </c>
      <c r="O43" s="20">
        <v>27</v>
      </c>
      <c r="P43" s="21">
        <v>14</v>
      </c>
      <c r="Q43" s="21">
        <v>0</v>
      </c>
      <c r="R43" s="22">
        <v>3</v>
      </c>
      <c r="S43" s="22">
        <v>0</v>
      </c>
      <c r="T43" s="20">
        <v>3</v>
      </c>
      <c r="U43" s="20">
        <v>0</v>
      </c>
      <c r="V43" s="20">
        <v>0</v>
      </c>
      <c r="W43" s="63">
        <f>IFERROR(CalcRC27(F43,G43,K43,O43,P43,Q43,R43,S43,T43,U43,V43),"-")</f>
      </c>
      <c r="X43" t="s" s="2">
        <v>345</v>
      </c>
    </row>
    <row r="44" spans="2:24" ht="13.8" x14ac:dyDescent="0.2">
      <c r="B44" s="8">
        <f t="shared" si="4"/>
      </c>
      <c r="C44" s="10">
        <v>39</v>
      </c>
      <c r="D44" t="s" s="13">
        <v>939</v>
      </c>
      <c r="E44" s="11">
        <f t="shared" si="5"/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</c>
      <c r="L44" s="7">
        <v>0</v>
      </c>
      <c r="M44" s="11">
        <f t="shared" si="2"/>
      </c>
      <c r="N44" s="11">
        <f t="shared" si="3"/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>
        <f>IFERROR(CalcRC27(F44,G44,K44,O44,P44,Q44,R44,S44,T44,U44,V44),"-")</f>
      </c>
      <c r="X44" t="s" s="2">
        <v>955</v>
      </c>
    </row>
    <row r="45" spans="2:24" ht="13.8" x14ac:dyDescent="0.2">
      <c r="B45" s="8">
        <f t="shared" si="4"/>
      </c>
      <c r="C45" s="10">
        <v>40</v>
      </c>
      <c r="D45" t="s" s="13">
        <v>1441</v>
      </c>
      <c r="E45" s="11">
        <f t="shared" si="5"/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6"/>
      </c>
      <c r="L45" s="7">
        <v>0</v>
      </c>
      <c r="M45" s="11">
        <f t="shared" si="2"/>
      </c>
      <c r="N45" s="11">
        <f t="shared" si="3"/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>
        <f>IFERROR(CalcRC27(F45,G45,K45,O45,P45,Q45,R45,S45,T45,U45,V45),"-")</f>
      </c>
      <c r="X45" t="s" s="2">
        <v>346</v>
      </c>
    </row>
    <row r="46" spans="2:24" ht="13.8" x14ac:dyDescent="0.2">
      <c r="B46" s="8">
        <f t="shared" si="4"/>
      </c>
      <c r="C46" s="10">
        <v>41</v>
      </c>
      <c r="D46" t="s" s="13">
        <v>974</v>
      </c>
      <c r="E46" s="11">
        <f t="shared" si="5"/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</c>
      <c r="L46" s="7">
        <v>0</v>
      </c>
      <c r="M46" s="11">
        <f t="shared" si="2"/>
      </c>
      <c r="N46" s="11">
        <f t="shared" si="3"/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>
        <f>IFERROR(CalcRC27(F46,G46,K46,O46,P46,Q46,R46,S46,T46,U46,V46),"-")</f>
      </c>
      <c r="X46" t="s" s="2">
        <v>973</v>
      </c>
    </row>
    <row r="47" spans="2:24" ht="13.8" x14ac:dyDescent="0.2">
      <c r="B47" s="8">
        <f t="shared" si="4"/>
      </c>
      <c r="C47" s="10">
        <v>42</v>
      </c>
      <c r="D47" t="s" s="9">
        <v>1270</v>
      </c>
      <c r="E47" s="11">
        <f t="shared" si="5"/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6"/>
      </c>
      <c r="L47" s="7">
        <v>0</v>
      </c>
      <c r="M47" s="11">
        <f t="shared" si="2"/>
      </c>
      <c r="N47" s="11">
        <f t="shared" si="3"/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</c>
      <c r="X47" t="s" s="2">
        <v>1271</v>
      </c>
    </row>
    <row r="48" spans="2:24" ht="13.8" x14ac:dyDescent="0.2">
      <c r="B48" s="8">
        <f t="shared" si="4"/>
      </c>
      <c r="C48" s="10">
        <v>43</v>
      </c>
      <c r="D48" t="s" s="13">
        <v>940</v>
      </c>
      <c r="E48" s="11">
        <f t="shared" si="5"/>
      </c>
      <c r="F48" s="5">
        <v>50</v>
      </c>
      <c r="G48" s="5">
        <v>9</v>
      </c>
      <c r="H48" s="5">
        <v>4</v>
      </c>
      <c r="I48" s="5">
        <v>1</v>
      </c>
      <c r="J48" s="6">
        <v>0</v>
      </c>
      <c r="K48" s="12">
        <f t="shared" si="6"/>
      </c>
      <c r="L48" s="7">
        <v>6</v>
      </c>
      <c r="M48" s="11">
        <f t="shared" si="2"/>
      </c>
      <c r="N48" s="11">
        <f t="shared" si="3"/>
      </c>
      <c r="O48" s="20">
        <v>18</v>
      </c>
      <c r="P48" s="21">
        <v>4</v>
      </c>
      <c r="Q48" s="21">
        <v>0</v>
      </c>
      <c r="R48" s="22">
        <v>1</v>
      </c>
      <c r="S48" s="22">
        <v>1</v>
      </c>
      <c r="T48" s="20">
        <v>1</v>
      </c>
      <c r="U48" s="20">
        <v>1</v>
      </c>
      <c r="V48" s="20">
        <v>0</v>
      </c>
      <c r="W48" s="63">
        <f>IFERROR(CalcRC27(F48,G48,K48,O48,P48,Q48,R48,S48,T48,U48,V48),"-")</f>
      </c>
      <c r="X48" t="s" s="2">
        <v>956</v>
      </c>
    </row>
    <row r="49" spans="2:24" ht="13.8" x14ac:dyDescent="0.2">
      <c r="B49" s="8">
        <f t="shared" si="4"/>
      </c>
      <c r="C49" s="10">
        <v>44</v>
      </c>
      <c r="D49" t="s" s="13">
        <v>1207</v>
      </c>
      <c r="E49" s="11">
        <f t="shared" si="5"/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6"/>
      </c>
      <c r="L49" s="7">
        <v>0</v>
      </c>
      <c r="M49" s="11">
        <f t="shared" si="2"/>
      </c>
      <c r="N49" s="11">
        <f t="shared" si="3"/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</c>
      <c r="X49" t="s" s="2">
        <v>957</v>
      </c>
    </row>
    <row r="50" spans="2:24" ht="13.8" x14ac:dyDescent="0.2">
      <c r="B50" s="8">
        <f t="shared" si="4"/>
      </c>
      <c r="C50" s="10">
        <v>45</v>
      </c>
      <c r="D50" t="s" s="13">
        <v>1268</v>
      </c>
      <c r="E50" s="11">
        <f t="shared" si="5"/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</c>
      <c r="L50" s="7">
        <v>0</v>
      </c>
      <c r="M50" s="11">
        <f t="shared" si="2"/>
      </c>
      <c r="N50" s="11">
        <f t="shared" si="3"/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>
        <f>IFERROR(CalcRC27(F50,G50,K50,O50,P50,Q50,R50,S50,T50,U50,V50),"-")</f>
      </c>
      <c r="X50" t="s" s="2">
        <v>1269</v>
      </c>
    </row>
    <row r="51" spans="2:24" ht="13.8" x14ac:dyDescent="0.2">
      <c r="B51" s="8">
        <f t="shared" si="4"/>
      </c>
      <c r="C51" s="10">
        <v>46</v>
      </c>
      <c r="D51" t="s" s="13">
        <v>941</v>
      </c>
      <c r="E51" s="11">
        <f t="shared" si="5"/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</c>
      <c r="L51" s="7">
        <v>0</v>
      </c>
      <c r="M51" s="11">
        <f t="shared" si="2"/>
      </c>
      <c r="N51" s="11">
        <f t="shared" si="3"/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</c>
      <c r="X51" t="s" s="2">
        <v>958</v>
      </c>
    </row>
    <row r="52" spans="2:24" ht="13.8" x14ac:dyDescent="0.2">
      <c r="B52" s="8">
        <f t="shared" si="4"/>
      </c>
      <c r="C52" s="10">
        <v>47</v>
      </c>
      <c r="D52" t="s" s="13">
        <v>131</v>
      </c>
      <c r="E52" s="11">
        <f t="shared" si="5"/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</c>
      <c r="L52" s="7">
        <v>0</v>
      </c>
      <c r="M52" s="11">
        <f t="shared" si="2"/>
      </c>
      <c r="N52" s="11">
        <f t="shared" si="3"/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>
        <f>IFERROR(CalcRC27(F52,G52,K52,O52,P52,Q52,R52,S52,T52,U52,V52),"-")</f>
      </c>
      <c r="X52" t="s" s="2">
        <v>348</v>
      </c>
    </row>
    <row r="53" spans="2:24" ht="13.8" x14ac:dyDescent="0.2">
      <c r="B53" s="8">
        <f t="shared" si="4"/>
      </c>
      <c r="C53" s="10">
        <v>48</v>
      </c>
      <c r="D53" t="s" s="13">
        <v>51</v>
      </c>
      <c r="E53" s="11">
        <f t="shared" si="5"/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</c>
      <c r="L53" s="7">
        <v>0</v>
      </c>
      <c r="M53" s="11">
        <f t="shared" si="2"/>
      </c>
      <c r="N53" s="11">
        <f t="shared" si="3"/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>
        <f>IFERROR(CalcRC27(F53,G53,K53,O53,P53,Q53,R53,S53,T53,U53,V53),"-")</f>
      </c>
      <c r="X53" t="s" s="2">
        <v>273</v>
      </c>
    </row>
    <row r="54" spans="2:24" ht="13.8" x14ac:dyDescent="0.2">
      <c r="B54" s="8">
        <f t="shared" si="4"/>
      </c>
      <c r="C54" s="10">
        <v>49</v>
      </c>
      <c r="D54" s="13"/>
      <c r="E54" s="11">
        <f t="shared" si="5"/>
      </c>
      <c r="F54" s="5">
        <v>28</v>
      </c>
      <c r="G54" s="5">
        <v>8</v>
      </c>
      <c r="H54" s="5">
        <v>1</v>
      </c>
      <c r="I54" s="5">
        <v>0</v>
      </c>
      <c r="J54" s="6">
        <v>0</v>
      </c>
      <c r="K54" s="12">
        <f t="shared" si="6"/>
      </c>
      <c r="L54" s="7">
        <v>0</v>
      </c>
      <c r="M54" s="11">
        <f t="shared" si="2"/>
      </c>
      <c r="N54" s="11">
        <f t="shared" si="3"/>
      </c>
      <c r="O54" s="20">
        <v>5</v>
      </c>
      <c r="P54" s="21">
        <v>4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</c>
      <c r="X54" s="2"/>
    </row>
    <row r="55" spans="2:24" ht="13.8" x14ac:dyDescent="0.2">
      <c r="B55" s="8">
        <f t="shared" si="4"/>
      </c>
      <c r="C55" s="10">
        <v>50</v>
      </c>
      <c r="D55" t="s" s="13">
        <v>204</v>
      </c>
      <c r="E55" s="11">
        <f t="shared" si="5"/>
      </c>
      <c r="F55" s="5">
        <v>167</v>
      </c>
      <c r="G55" s="5">
        <v>40</v>
      </c>
      <c r="H55" s="5">
        <v>2</v>
      </c>
      <c r="I55" s="5">
        <v>3</v>
      </c>
      <c r="J55" s="6">
        <v>0</v>
      </c>
      <c r="K55" s="12">
        <f t="shared" si="6"/>
      </c>
      <c r="L55" s="7">
        <v>5</v>
      </c>
      <c r="M55" s="11">
        <f t="shared" si="2"/>
      </c>
      <c r="N55" s="11">
        <f t="shared" si="3"/>
      </c>
      <c r="O55" s="20">
        <v>45</v>
      </c>
      <c r="P55" s="21">
        <v>3</v>
      </c>
      <c r="Q55" s="21">
        <v>1</v>
      </c>
      <c r="R55" s="22">
        <v>5</v>
      </c>
      <c r="S55" s="22">
        <v>0</v>
      </c>
      <c r="T55" s="20">
        <v>16</v>
      </c>
      <c r="U55" s="20">
        <v>6</v>
      </c>
      <c r="V55" s="20">
        <v>0</v>
      </c>
      <c r="W55" s="63">
        <f>IFERROR(CalcRC27(F55,G55,K55,O55,P55,Q55,R55,S55,T55,U55,V55),"-")</f>
      </c>
      <c r="X55" t="s" s="2">
        <v>205</v>
      </c>
    </row>
    <row r="56" spans="2:24" ht="13.8" x14ac:dyDescent="0.2">
      <c r="B56" s="8">
        <f t="shared" si="4"/>
      </c>
      <c r="C56" s="10">
        <v>51</v>
      </c>
      <c r="D56" t="s" s="13">
        <v>132</v>
      </c>
      <c r="E56" s="11">
        <f t="shared" si="5"/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6"/>
      </c>
      <c r="L56" s="7">
        <v>0</v>
      </c>
      <c r="M56" s="11">
        <f t="shared" si="2"/>
      </c>
      <c r="N56" s="11">
        <f t="shared" si="3"/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>
        <f>IFERROR(CalcRC27(F56,G56,K56,O56,P56,Q56,R56,S56,T56,U56,V56),"-")</f>
      </c>
      <c r="X56" t="s" s="2">
        <v>349</v>
      </c>
    </row>
    <row r="57" spans="2:24" ht="13.8" x14ac:dyDescent="0.2">
      <c r="B57" s="8">
        <f t="shared" si="4"/>
      </c>
      <c r="C57" s="10">
        <v>52</v>
      </c>
      <c r="D57" t="s" s="13">
        <v>838</v>
      </c>
      <c r="E57" s="11">
        <f t="shared" si="5"/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6"/>
      </c>
      <c r="L57" s="7">
        <v>0</v>
      </c>
      <c r="M57" s="11">
        <f t="shared" si="2"/>
      </c>
      <c r="N57" s="11">
        <f t="shared" si="3"/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>
        <f>IFERROR(CalcRC27(F57,G57,K57,O57,P57,Q57,R57,S57,T57,U57,V57),"-")</f>
      </c>
      <c r="X57" t="s" s="2">
        <v>350</v>
      </c>
    </row>
    <row r="58" spans="2:24" ht="13.8" x14ac:dyDescent="0.2">
      <c r="B58" s="8">
        <f t="shared" si="4"/>
      </c>
      <c r="C58" s="10">
        <v>53</v>
      </c>
      <c r="D58" t="s" s="13">
        <v>1280</v>
      </c>
      <c r="E58" s="11">
        <f t="shared" si="5"/>
      </c>
      <c r="F58" s="5">
        <v>2</v>
      </c>
      <c r="G58" s="5">
        <v>2</v>
      </c>
      <c r="H58" s="5">
        <v>0</v>
      </c>
      <c r="I58" s="5">
        <v>0</v>
      </c>
      <c r="J58" s="6">
        <v>1</v>
      </c>
      <c r="K58" s="12">
        <f t="shared" si="6"/>
      </c>
      <c r="L58" s="7">
        <v>2</v>
      </c>
      <c r="M58" s="11">
        <f t="shared" si="2"/>
      </c>
      <c r="N58" s="11">
        <f t="shared" si="3"/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>
        <f>IFERROR(CalcRC27(F58,G58,K58,O58,P58,Q58,R58,S58,T58,U58,V58),"-")</f>
      </c>
      <c r="X58" t="s" s="2">
        <v>1281</v>
      </c>
    </row>
    <row r="59" spans="2:24" ht="13.8" x14ac:dyDescent="0.2">
      <c r="B59" s="8">
        <f t="shared" si="4"/>
      </c>
      <c r="C59" s="10">
        <v>54</v>
      </c>
      <c r="D59" t="s" s="13">
        <v>975</v>
      </c>
      <c r="E59" s="11">
        <f t="shared" si="5"/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6"/>
      </c>
      <c r="L59" s="7">
        <v>0</v>
      </c>
      <c r="M59" s="11">
        <f t="shared" si="2"/>
      </c>
      <c r="N59" s="11">
        <f t="shared" si="3"/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>
        <f>IFERROR(CalcRC27(F59,G59,K59,O59,P59,Q59,R59,S59,T59,U59,V59),"-")</f>
      </c>
      <c r="X59" t="s" s="2">
        <v>959</v>
      </c>
    </row>
    <row r="60" spans="2:24" ht="13.8" x14ac:dyDescent="0.2">
      <c r="B60" s="8">
        <f t="shared" si="4"/>
      </c>
      <c r="C60" s="10">
        <v>55</v>
      </c>
      <c r="D60" t="s" s="13">
        <v>942</v>
      </c>
      <c r="E60" s="11">
        <f t="shared" si="5"/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6"/>
      </c>
      <c r="L60" s="7">
        <v>0</v>
      </c>
      <c r="M60" s="11">
        <f t="shared" si="2"/>
      </c>
      <c r="N60" s="11">
        <f t="shared" si="3"/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>
        <f>IFERROR(CalcRC27(F60,G60,K60,O60,P60,Q60,R60,S60,T60,U60,V60),"-")</f>
      </c>
      <c r="X60" t="s" s="2">
        <v>960</v>
      </c>
    </row>
    <row r="61" spans="2:24" ht="13.8" x14ac:dyDescent="0.2">
      <c r="B61" s="8">
        <f t="shared" si="4"/>
      </c>
      <c r="C61" s="10">
        <v>56</v>
      </c>
      <c r="D61" t="s" s="13">
        <v>1477</v>
      </c>
      <c r="E61" s="11">
        <f t="shared" si="5"/>
      </c>
      <c r="F61" s="5">
        <v>64</v>
      </c>
      <c r="G61" s="5">
        <v>12</v>
      </c>
      <c r="H61" s="5">
        <v>2</v>
      </c>
      <c r="I61" s="5">
        <v>1</v>
      </c>
      <c r="J61" s="6">
        <v>0</v>
      </c>
      <c r="K61" s="12">
        <f t="shared" si="6"/>
      </c>
      <c r="L61" s="7">
        <v>5</v>
      </c>
      <c r="M61" s="11">
        <f t="shared" si="2"/>
      </c>
      <c r="N61" s="11">
        <f t="shared" si="3"/>
      </c>
      <c r="O61" s="20">
        <v>18</v>
      </c>
      <c r="P61" s="21">
        <v>2</v>
      </c>
      <c r="Q61" s="21">
        <v>0</v>
      </c>
      <c r="R61" s="22">
        <v>7</v>
      </c>
      <c r="S61" s="22">
        <v>0</v>
      </c>
      <c r="T61" s="20">
        <v>0</v>
      </c>
      <c r="U61" s="20">
        <v>1</v>
      </c>
      <c r="V61" s="20">
        <v>0</v>
      </c>
      <c r="W61" s="63">
        <f>IFERROR(CalcRC27(F61,G61,K61,O61,P61,Q61,R61,S61,T61,U61,V61),"-")</f>
      </c>
      <c r="X61" t="s" s="2">
        <v>352</v>
      </c>
    </row>
    <row r="62" spans="2:24" ht="13.8" x14ac:dyDescent="0.2">
      <c r="B62" s="8">
        <f t="shared" si="4"/>
      </c>
      <c r="C62" s="10">
        <v>57</v>
      </c>
      <c r="D62" t="s" s="13">
        <v>943</v>
      </c>
      <c r="E62" s="11">
        <f t="shared" si="5"/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</c>
      <c r="L62" s="7">
        <v>0</v>
      </c>
      <c r="M62" s="11">
        <f t="shared" si="2"/>
      </c>
      <c r="N62" s="11">
        <f t="shared" si="3"/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>
        <f>IFERROR(CalcRC27(F62,G62,K62,O62,P62,Q62,R62,S62,T62,U62,V62),"-")</f>
      </c>
      <c r="X62" t="s" s="2">
        <v>961</v>
      </c>
    </row>
    <row r="63" spans="2:24" ht="13.8" x14ac:dyDescent="0.2">
      <c r="B63" s="8">
        <f t="shared" si="4"/>
      </c>
      <c r="C63" s="10">
        <v>58</v>
      </c>
      <c r="D63" t="s" s="13">
        <v>944</v>
      </c>
      <c r="E63" s="11">
        <f t="shared" si="5"/>
      </c>
      <c r="F63" s="5">
        <v>119</v>
      </c>
      <c r="G63" s="5">
        <v>31</v>
      </c>
      <c r="H63" s="5">
        <v>10</v>
      </c>
      <c r="I63" s="5">
        <v>2</v>
      </c>
      <c r="J63" s="6">
        <v>2</v>
      </c>
      <c r="K63" s="12">
        <f t="shared" si="6"/>
      </c>
      <c r="L63" s="7">
        <v>13</v>
      </c>
      <c r="M63" s="11">
        <f t="shared" si="2"/>
      </c>
      <c r="N63" s="11">
        <f t="shared" si="3"/>
      </c>
      <c r="O63" s="20">
        <v>34</v>
      </c>
      <c r="P63" s="21">
        <v>5</v>
      </c>
      <c r="Q63" s="21">
        <v>0</v>
      </c>
      <c r="R63" s="22">
        <v>0</v>
      </c>
      <c r="S63" s="22">
        <v>1</v>
      </c>
      <c r="T63" s="20">
        <v>1</v>
      </c>
      <c r="U63" s="20">
        <v>2</v>
      </c>
      <c r="V63" s="20">
        <v>2</v>
      </c>
      <c r="W63" s="63">
        <f>IFERROR(CalcRC27(F63,G63,K63,O63,P63,Q63,R63,S63,T63,U63,V63),"-")</f>
      </c>
      <c r="X63" t="s" s="2">
        <v>962</v>
      </c>
    </row>
    <row r="64" spans="2:24" ht="13.8" x14ac:dyDescent="0.2">
      <c r="B64" s="8">
        <f t="shared" si="4"/>
      </c>
      <c r="C64" s="10">
        <v>59</v>
      </c>
      <c r="D64" t="s" s="13">
        <v>115</v>
      </c>
      <c r="E64" s="11">
        <f t="shared" si="5"/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6"/>
      </c>
      <c r="L64" s="7">
        <v>0</v>
      </c>
      <c r="M64" s="11">
        <f t="shared" si="2"/>
      </c>
      <c r="N64" s="11">
        <f t="shared" si="3"/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>
        <f>IFERROR(CalcRC27(F64,G64,K64,O64,P64,Q64,R64,S64,T64,U64,V64),"-")</f>
      </c>
      <c r="X64" t="s" s="2">
        <v>353</v>
      </c>
    </row>
    <row r="65" spans="2:24" ht="13.8" x14ac:dyDescent="0.2">
      <c r="B65" s="8">
        <f t="shared" si="4"/>
      </c>
      <c r="C65" s="10">
        <v>60</v>
      </c>
      <c r="D65" t="s" s="13">
        <v>133</v>
      </c>
      <c r="E65" s="11">
        <f t="shared" si="5"/>
      </c>
      <c r="F65" s="5">
        <v>15</v>
      </c>
      <c r="G65" s="5">
        <v>4</v>
      </c>
      <c r="H65" s="5">
        <v>1</v>
      </c>
      <c r="I65" s="5">
        <v>0</v>
      </c>
      <c r="J65" s="6">
        <v>0</v>
      </c>
      <c r="K65" s="12">
        <f t="shared" si="6"/>
      </c>
      <c r="L65" s="7">
        <v>0</v>
      </c>
      <c r="M65" s="11">
        <f t="shared" si="2"/>
      </c>
      <c r="N65" s="11">
        <f t="shared" si="3"/>
      </c>
      <c r="O65" s="20">
        <v>1</v>
      </c>
      <c r="P65" s="21">
        <v>0</v>
      </c>
      <c r="Q65" s="21">
        <v>0</v>
      </c>
      <c r="R65" s="22">
        <v>0</v>
      </c>
      <c r="S65" s="22">
        <v>0</v>
      </c>
      <c r="T65" s="20">
        <v>1</v>
      </c>
      <c r="U65" s="20">
        <v>0</v>
      </c>
      <c r="V65" s="20">
        <v>0</v>
      </c>
      <c r="W65" s="63">
        <f>IFERROR(CalcRC27(F65,G65,K65,O65,P65,Q65,R65,S65,T65,U65,V65),"-")</f>
      </c>
      <c r="X65" t="s" s="2">
        <v>354</v>
      </c>
    </row>
    <row r="66" spans="2:24" ht="13.8" x14ac:dyDescent="0.2">
      <c r="B66" s="8">
        <f t="shared" si="4"/>
      </c>
      <c r="C66" s="10">
        <v>61</v>
      </c>
      <c r="D66" t="s" s="13">
        <v>206</v>
      </c>
      <c r="E66" s="11">
        <f t="shared" si="5"/>
      </c>
      <c r="F66" s="5">
        <v>53</v>
      </c>
      <c r="G66" s="5">
        <v>12</v>
      </c>
      <c r="H66" s="5">
        <v>1</v>
      </c>
      <c r="I66" s="5">
        <v>0</v>
      </c>
      <c r="J66" s="6">
        <v>0</v>
      </c>
      <c r="K66" s="12">
        <f t="shared" si="6"/>
      </c>
      <c r="L66" s="7">
        <v>1</v>
      </c>
      <c r="M66" s="11">
        <f t="shared" si="2"/>
      </c>
      <c r="N66" s="11">
        <f t="shared" si="3"/>
      </c>
      <c r="O66" s="20">
        <v>15</v>
      </c>
      <c r="P66" s="21">
        <v>6</v>
      </c>
      <c r="Q66" s="21">
        <v>2</v>
      </c>
      <c r="R66" s="22">
        <v>0</v>
      </c>
      <c r="S66" s="22">
        <v>0</v>
      </c>
      <c r="T66" s="20">
        <v>3</v>
      </c>
      <c r="U66" s="20">
        <v>0</v>
      </c>
      <c r="V66" s="20">
        <v>0</v>
      </c>
      <c r="W66" s="63">
        <f>IFERROR(CalcRC27(F66,G66,K66,O66,P66,Q66,R66,S66,T66,U66,V66),"-")</f>
      </c>
      <c r="X66" t="s" s="2">
        <v>355</v>
      </c>
    </row>
    <row r="67" spans="2:24" ht="13.8" x14ac:dyDescent="0.2">
      <c r="B67" s="8">
        <f t="shared" si="4"/>
      </c>
      <c r="C67" s="10">
        <v>62</v>
      </c>
      <c r="D67" t="s" s="13">
        <v>2031</v>
      </c>
      <c r="E67" s="11">
        <f t="shared" si="5"/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</c>
      <c r="L67" s="7">
        <v>0</v>
      </c>
      <c r="M67" s="11">
        <f t="shared" si="2"/>
      </c>
      <c r="N67" s="11">
        <f t="shared" si="3"/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>
        <f>IFERROR(CalcRC27(F67,G67,K67,O67,P67,Q67,R67,S67,T67,U67,V67),"-")</f>
      </c>
      <c r="X67" t="s" s="2">
        <v>2039</v>
      </c>
    </row>
    <row r="68" spans="2:24" ht="13.8" x14ac:dyDescent="0.2">
      <c r="B68" s="8">
        <f t="shared" si="4"/>
      </c>
      <c r="C68" s="10">
        <v>63</v>
      </c>
      <c r="D68" t="s" s="9">
        <v>134</v>
      </c>
      <c r="E68" s="11">
        <f t="shared" si="5"/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</c>
      <c r="L68" s="7">
        <v>0</v>
      </c>
      <c r="M68" s="11">
        <f t="shared" ref="M68:M131" si="8">IFERROR(IF((G68+P68+Q68)/(F68+P68+Q68+S68)=1,"1.00",(G68+P68+Q68)/(F68+P68+Q68+S68)),0)</f>
      </c>
      <c r="N68" s="11">
        <f t="shared" ref="N68:N131" si="9">IFERROR(SUM(K68/F68,((G68+P68+Q68)/(F68+P68+Q68+S68))),M68)</f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>
        <f>IFERROR(CalcRC27(F68,G68,K68,O68,P68,Q68,R68,S68,T68,U68,V68),"-")</f>
      </c>
      <c r="X68" t="s" s="2">
        <v>356</v>
      </c>
    </row>
    <row r="69" spans="2:24" ht="13.8" x14ac:dyDescent="0.2">
      <c r="B69" s="8">
        <f t="shared" ref="B69:B132" si="10">IF(C69="","",C69)</f>
      </c>
      <c r="C69" s="10">
        <v>64</v>
      </c>
      <c r="D69" t="s" s="13">
        <v>135</v>
      </c>
      <c r="E69" s="11">
        <f t="shared" ref="E69:E132" si="11">IFERROR(IF(G69/F69=1,"1.00",G69/F69),"---")</f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</c>
      <c r="L69" s="7">
        <v>0</v>
      </c>
      <c r="M69" s="11">
        <f t="shared" si="8"/>
      </c>
      <c r="N69" s="11">
        <f t="shared" si="9"/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>
        <f>IFERROR(CalcRC27(F69,G69,K69,O69,P69,Q69,R69,S69,T69,U69,V69),"-")</f>
      </c>
      <c r="X69" t="s" s="2">
        <v>357</v>
      </c>
    </row>
    <row r="70" spans="2:24" ht="13.8" x14ac:dyDescent="0.2">
      <c r="B70" s="8">
        <f t="shared" si="10"/>
      </c>
      <c r="C70" s="10">
        <v>65</v>
      </c>
      <c r="D70" t="s" s="9">
        <v>1276</v>
      </c>
      <c r="E70" s="11">
        <f t="shared" si="11"/>
      </c>
      <c r="F70" s="5">
        <v>6</v>
      </c>
      <c r="G70" s="5">
        <v>3</v>
      </c>
      <c r="H70" s="5">
        <v>0</v>
      </c>
      <c r="I70" s="5">
        <v>0</v>
      </c>
      <c r="J70" s="6">
        <v>0</v>
      </c>
      <c r="K70" s="12">
        <f t="shared" si="12"/>
      </c>
      <c r="L70" s="7">
        <v>0</v>
      </c>
      <c r="M70" s="11">
        <f t="shared" si="8"/>
      </c>
      <c r="N70" s="11">
        <f t="shared" si="9"/>
      </c>
      <c r="O70" s="20">
        <v>1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1</v>
      </c>
      <c r="W70" s="63">
        <f>IFERROR(CalcRC27(F70,G70,K70,O70,P70,Q70,R70,S70,T70,U70,V70),"-")</f>
      </c>
      <c r="X70" t="s" s="2">
        <v>1277</v>
      </c>
    </row>
    <row r="71" spans="2:24" ht="13.8" x14ac:dyDescent="0.2">
      <c r="B71" s="8">
        <f t="shared" si="10"/>
      </c>
      <c r="C71" s="10">
        <v>66</v>
      </c>
      <c r="D71" t="s" s="13">
        <v>136</v>
      </c>
      <c r="E71" s="11">
        <f t="shared" si="11"/>
      </c>
      <c r="F71" s="5">
        <v>424</v>
      </c>
      <c r="G71" s="5">
        <v>116</v>
      </c>
      <c r="H71" s="5">
        <v>26</v>
      </c>
      <c r="I71" s="5">
        <v>0</v>
      </c>
      <c r="J71" s="6">
        <v>20</v>
      </c>
      <c r="K71" s="12">
        <f t="shared" si="12"/>
      </c>
      <c r="L71" s="7">
        <v>59</v>
      </c>
      <c r="M71" s="11">
        <f t="shared" si="8"/>
      </c>
      <c r="N71" s="11">
        <f t="shared" si="9"/>
      </c>
      <c r="O71" s="20">
        <v>100</v>
      </c>
      <c r="P71" s="21">
        <v>27</v>
      </c>
      <c r="Q71" s="21">
        <v>4</v>
      </c>
      <c r="R71" s="22">
        <v>2</v>
      </c>
      <c r="S71" s="22">
        <v>2</v>
      </c>
      <c r="T71" s="20">
        <v>2</v>
      </c>
      <c r="U71" s="20">
        <v>1</v>
      </c>
      <c r="V71" s="20">
        <v>10</v>
      </c>
      <c r="W71" s="63">
        <f>IFERROR(CalcRC27(F71,G71,K71,O71,P71,Q71,R71,S71,T71,U71,V71),"-")</f>
      </c>
      <c r="X71" t="s" s="2">
        <v>358</v>
      </c>
    </row>
    <row r="72" spans="2:24" ht="13.8" x14ac:dyDescent="0.2">
      <c r="B72" s="8">
        <f t="shared" si="10"/>
      </c>
      <c r="C72" s="10">
        <v>67</v>
      </c>
      <c r="D72" t="s" s="13">
        <v>945</v>
      </c>
      <c r="E72" s="11">
        <f t="shared" si="11"/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</c>
      <c r="L72" s="7">
        <v>0</v>
      </c>
      <c r="M72" s="11">
        <f t="shared" si="8"/>
      </c>
      <c r="N72" s="11">
        <f t="shared" si="9"/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>
        <f>IFERROR(CalcRC27(F72,G72,K72,O72,P72,Q72,R72,S72,T72,U72,V72),"-")</f>
      </c>
      <c r="X72" t="s" s="2">
        <v>562</v>
      </c>
    </row>
    <row r="73" spans="2:24" ht="13.8" x14ac:dyDescent="0.2">
      <c r="B73" s="8">
        <f t="shared" si="10"/>
      </c>
      <c r="C73" s="10">
        <v>68</v>
      </c>
      <c r="D73" t="s" s="13">
        <v>1465</v>
      </c>
      <c r="E73" s="11">
        <f t="shared" si="11"/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</c>
      <c r="L73" s="7">
        <v>0</v>
      </c>
      <c r="M73" s="11">
        <f t="shared" si="8"/>
      </c>
      <c r="N73" s="11">
        <f t="shared" si="9"/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>
        <f>IFERROR(CalcRC27(F73,G73,K73,O73,P73,Q73,R73,S73,T73,U73,V73),"-")</f>
      </c>
      <c r="X73" t="s" s="2">
        <v>1282</v>
      </c>
    </row>
    <row r="74" spans="2:24" ht="13.8" x14ac:dyDescent="0.2">
      <c r="B74" s="8">
        <f t="shared" si="10"/>
      </c>
      <c r="C74" s="10">
        <v>69</v>
      </c>
      <c r="D74" s="13"/>
      <c r="E74" s="11">
        <f t="shared" si="11"/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</c>
      <c r="L74" s="7">
        <v>0</v>
      </c>
      <c r="M74" s="11">
        <f t="shared" si="8"/>
      </c>
      <c r="N74" s="11">
        <f t="shared" si="9"/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>
        <f>IFERROR(CalcRC27(F74,G74,K74,O74,P74,Q74,R74,S74,T74,U74,V74),"-")</f>
      </c>
      <c r="X74" s="2"/>
    </row>
    <row r="75" spans="2:24" ht="13.8" x14ac:dyDescent="0.2">
      <c r="B75" s="8">
        <f t="shared" si="10"/>
      </c>
      <c r="C75" s="10">
        <v>70</v>
      </c>
      <c r="D75" s="9"/>
      <c r="E75" s="11">
        <f t="shared" si="11"/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</c>
      <c r="L75" s="7">
        <v>0</v>
      </c>
      <c r="M75" s="11">
        <f t="shared" si="8"/>
      </c>
      <c r="N75" s="11">
        <f t="shared" si="9"/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>
        <f>IFERROR(CalcRC27(F75,G75,K75,O75,P75,Q75,R75,S75,T75,U75,V75),"-")</f>
      </c>
      <c r="X75" s="2"/>
    </row>
    <row r="76" spans="2:24" ht="13.8" x14ac:dyDescent="0.2">
      <c r="B76" s="8">
        <f t="shared" si="10"/>
      </c>
      <c r="C76" s="10">
        <v>71</v>
      </c>
      <c r="D76" s="13"/>
      <c r="E76" s="11">
        <f t="shared" si="11"/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</c>
      <c r="L76" s="7">
        <v>0</v>
      </c>
      <c r="M76" s="11">
        <f t="shared" si="8"/>
      </c>
      <c r="N76" s="11">
        <f t="shared" si="9"/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>
        <f>IFERROR(CalcRC27(F76,G76,K76,O76,P76,Q76,R76,S76,T76,U76,V76),"-")</f>
      </c>
      <c r="X76" s="2"/>
    </row>
    <row r="77" spans="2:24" ht="13.8" x14ac:dyDescent="0.2">
      <c r="B77" s="8">
        <f t="shared" si="10"/>
      </c>
      <c r="C77" s="10">
        <v>72</v>
      </c>
      <c r="D77" s="8"/>
      <c r="E77" s="11">
        <f t="shared" si="11"/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</c>
      <c r="L77" s="7">
        <v>0</v>
      </c>
      <c r="M77" s="11">
        <f t="shared" si="8"/>
      </c>
      <c r="N77" s="11">
        <f t="shared" si="9"/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>
        <f>IFERROR(CalcRC27(F77,G77,K77,O77,P77,Q77,R77,S77,T77,U77,V77),"-")</f>
      </c>
      <c r="X77" s="2"/>
    </row>
    <row r="78" spans="2:24" ht="13.8" x14ac:dyDescent="0.2">
      <c r="B78" s="8">
        <f t="shared" si="10"/>
      </c>
      <c r="C78" s="10">
        <v>73</v>
      </c>
      <c r="D78" s="8"/>
      <c r="E78" s="11">
        <f t="shared" si="11"/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</c>
      <c r="L78" s="7">
        <v>0</v>
      </c>
      <c r="M78" s="11">
        <f t="shared" si="8"/>
      </c>
      <c r="N78" s="11">
        <f t="shared" si="9"/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>
        <f>IFERROR(CalcRC27(F78,G78,K78,O78,P78,Q78,R78,S78,T78,U78,V78),"-")</f>
      </c>
      <c r="X78" s="2"/>
    </row>
    <row r="79" spans="2:24" ht="13.8" x14ac:dyDescent="0.2">
      <c r="B79" s="8">
        <f t="shared" si="10"/>
      </c>
      <c r="C79" s="10">
        <v>74</v>
      </c>
      <c r="D79" s="8"/>
      <c r="E79" s="11">
        <f t="shared" si="11"/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</c>
      <c r="L79" s="7">
        <v>0</v>
      </c>
      <c r="M79" s="11">
        <f t="shared" si="8"/>
      </c>
      <c r="N79" s="11">
        <f t="shared" si="9"/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>
        <f>IFERROR(CalcRC27(F79,G79,K79,O79,P79,Q79,R79,S79,T79,U79,V79),"-")</f>
      </c>
      <c r="X79" s="2"/>
    </row>
    <row r="80" spans="2:24" ht="13.8" x14ac:dyDescent="0.2">
      <c r="B80" s="8">
        <f t="shared" si="10"/>
      </c>
      <c r="C80" s="10">
        <v>75</v>
      </c>
      <c r="D80" s="8"/>
      <c r="E80" s="11">
        <f t="shared" si="11"/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</c>
      <c r="L80" s="7">
        <v>0</v>
      </c>
      <c r="M80" s="11">
        <f t="shared" si="8"/>
      </c>
      <c r="N80" s="11">
        <f t="shared" si="9"/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>
        <f>IFERROR(CalcRC27(F80,G80,K80,O80,P80,Q80,R80,S80,T80,U80,V80),"-")</f>
      </c>
      <c r="X80" s="2"/>
    </row>
    <row r="81" spans="2:24" ht="13.8" x14ac:dyDescent="0.2">
      <c r="B81" s="8">
        <f t="shared" si="10"/>
      </c>
      <c r="C81" s="10">
        <v>76</v>
      </c>
      <c r="D81" s="8"/>
      <c r="E81" s="11">
        <f t="shared" si="11"/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</c>
      <c r="L81" s="7">
        <v>0</v>
      </c>
      <c r="M81" s="11">
        <f t="shared" si="8"/>
      </c>
      <c r="N81" s="11">
        <f t="shared" si="9"/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>
        <f>IFERROR(CalcRC27(F81,G81,K81,O81,P81,Q81,R81,S81,T81,U81,V81),"-")</f>
      </c>
      <c r="X81" s="2"/>
    </row>
    <row r="82" spans="2:24" ht="13.8" x14ac:dyDescent="0.2">
      <c r="B82" s="8">
        <f t="shared" si="10"/>
      </c>
      <c r="C82" s="10">
        <v>77</v>
      </c>
      <c r="D82" s="8"/>
      <c r="E82" s="11">
        <f t="shared" si="11"/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</c>
      <c r="L82" s="7">
        <v>0</v>
      </c>
      <c r="M82" s="11">
        <f t="shared" si="8"/>
      </c>
      <c r="N82" s="11">
        <f t="shared" si="9"/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>
        <f>IFERROR(CalcRC27(F82,G82,K82,O82,P82,Q82,R82,S82,T82,U82,V82),"-")</f>
      </c>
      <c r="X82" s="2"/>
    </row>
    <row r="83" spans="2:24" ht="13.8" x14ac:dyDescent="0.2">
      <c r="B83" s="8">
        <f t="shared" si="10"/>
      </c>
      <c r="C83" s="10">
        <v>78</v>
      </c>
      <c r="D83" s="13"/>
      <c r="E83" s="11">
        <f t="shared" si="11"/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</c>
      <c r="L83" s="7">
        <v>0</v>
      </c>
      <c r="M83" s="11">
        <f t="shared" si="8"/>
      </c>
      <c r="N83" s="11">
        <f t="shared" si="9"/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>
        <f>IFERROR(CalcRC27(F83,G83,K83,O83,P83,Q83,R83,S83,T83,U83,V83),"-")</f>
      </c>
      <c r="X83" s="2"/>
    </row>
    <row r="84" spans="2:24" ht="13.8" x14ac:dyDescent="0.2">
      <c r="B84" s="8">
        <f t="shared" si="10"/>
      </c>
      <c r="C84" s="10">
        <v>79</v>
      </c>
      <c r="D84" s="8"/>
      <c r="E84" s="11">
        <f t="shared" si="11"/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</c>
      <c r="L84" s="7">
        <v>0</v>
      </c>
      <c r="M84" s="11">
        <f t="shared" si="8"/>
      </c>
      <c r="N84" s="11">
        <f t="shared" si="9"/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>
        <f>IFERROR(CalcRC27(F84,G84,K84,O84,P84,Q84,R84,S84,T84,U84,V84),"-")</f>
      </c>
      <c r="X84" s="2"/>
    </row>
    <row r="85" spans="2:24" ht="13.8" x14ac:dyDescent="0.2">
      <c r="B85" s="8">
        <f t="shared" si="10"/>
      </c>
      <c r="C85" s="10">
        <v>80</v>
      </c>
      <c r="D85" s="8"/>
      <c r="E85" s="11">
        <f t="shared" si="11"/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</c>
      <c r="L85" s="7">
        <v>0</v>
      </c>
      <c r="M85" s="11">
        <f t="shared" si="8"/>
      </c>
      <c r="N85" s="11">
        <f t="shared" si="9"/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>
        <f>IFERROR(CalcRC27(F85,G85,K85,O85,P85,Q85,R85,S85,T85,U85,V85),"-")</f>
      </c>
      <c r="X85" s="2"/>
    </row>
    <row r="86" spans="2:24" ht="13.8" x14ac:dyDescent="0.2">
      <c r="B86" s="8">
        <f t="shared" si="10"/>
      </c>
      <c r="C86" s="10">
        <v>81</v>
      </c>
      <c r="D86" s="8"/>
      <c r="E86" s="11">
        <f t="shared" si="11"/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</c>
      <c r="L86" s="7">
        <v>0</v>
      </c>
      <c r="M86" s="11">
        <f t="shared" si="8"/>
      </c>
      <c r="N86" s="11">
        <f t="shared" si="9"/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>
        <f>IFERROR(CalcRC27(F86,G86,K86,O86,P86,Q86,R86,S86,T86,U86,V86),"-")</f>
      </c>
      <c r="X86" s="2"/>
    </row>
    <row r="87" spans="2:24" ht="13.8" x14ac:dyDescent="0.2">
      <c r="B87" s="8">
        <f t="shared" si="10"/>
      </c>
      <c r="C87" s="10">
        <v>82</v>
      </c>
      <c r="D87" s="8"/>
      <c r="E87" s="11">
        <f t="shared" si="11"/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</c>
      <c r="L87" s="7">
        <v>0</v>
      </c>
      <c r="M87" s="11">
        <f t="shared" si="8"/>
      </c>
      <c r="N87" s="11">
        <f t="shared" si="9"/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>
        <f>IFERROR(CalcRC27(F87,G87,K87,O87,P87,Q87,R87,S87,T87,U87,V87),"-")</f>
      </c>
      <c r="X87" s="2"/>
    </row>
    <row r="88" spans="2:24" ht="13.8" x14ac:dyDescent="0.2">
      <c r="B88" s="8">
        <f t="shared" si="10"/>
      </c>
      <c r="C88" s="10">
        <v>83</v>
      </c>
      <c r="D88" s="8"/>
      <c r="E88" s="11">
        <f t="shared" si="11"/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</c>
      <c r="L88" s="7">
        <v>0</v>
      </c>
      <c r="M88" s="11">
        <f t="shared" si="8"/>
      </c>
      <c r="N88" s="11">
        <f t="shared" si="9"/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>
        <f>IFERROR(CalcRC27(F88,G88,K88,O88,P88,Q88,R88,S88,T88,U88,V88),"-")</f>
      </c>
      <c r="X88" s="2"/>
    </row>
    <row r="89" spans="2:24" ht="13.8" x14ac:dyDescent="0.2">
      <c r="B89" s="8">
        <f t="shared" si="10"/>
      </c>
      <c r="C89" s="10">
        <v>84</v>
      </c>
      <c r="D89" s="8"/>
      <c r="E89" s="11">
        <f t="shared" si="11"/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</c>
      <c r="L89" s="7">
        <v>0</v>
      </c>
      <c r="M89" s="11">
        <f t="shared" si="8"/>
      </c>
      <c r="N89" s="11">
        <f t="shared" si="9"/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>
        <f>IFERROR(CalcRC27(F89,G89,K89,O89,P89,Q89,R89,S89,T89,U89,V89),"-")</f>
      </c>
      <c r="X89" s="2"/>
    </row>
    <row r="90" spans="2:24" ht="13.8" x14ac:dyDescent="0.2">
      <c r="B90" s="8">
        <f t="shared" si="10"/>
      </c>
      <c r="C90" s="10">
        <v>85</v>
      </c>
      <c r="D90" s="8"/>
      <c r="E90" s="11">
        <f t="shared" si="11"/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</c>
      <c r="L90" s="7">
        <v>0</v>
      </c>
      <c r="M90" s="11">
        <f t="shared" si="8"/>
      </c>
      <c r="N90" s="11">
        <f t="shared" si="9"/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>
        <f>IFERROR(CalcRC27(F90,G90,K90,O90,P90,Q90,R90,S90,T90,U90,V90),"-")</f>
      </c>
      <c r="X90" s="2"/>
    </row>
    <row r="91" spans="2:24" ht="13.8" x14ac:dyDescent="0.2">
      <c r="B91" s="8">
        <f t="shared" si="10"/>
      </c>
      <c r="C91" s="10">
        <v>86</v>
      </c>
      <c r="D91" s="8"/>
      <c r="E91" s="11">
        <f t="shared" si="11"/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</c>
      <c r="L91" s="7">
        <v>0</v>
      </c>
      <c r="M91" s="11">
        <f t="shared" si="8"/>
      </c>
      <c r="N91" s="11">
        <f t="shared" si="9"/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>
        <f>IFERROR(CalcRC27(F91,G91,K91,O91,P91,Q91,R91,S91,T91,U91,V91),"-")</f>
      </c>
      <c r="X91" s="2"/>
    </row>
    <row r="92" spans="2:24" ht="13.8" x14ac:dyDescent="0.2">
      <c r="B92" s="8">
        <f t="shared" si="10"/>
      </c>
      <c r="C92" s="10">
        <v>87</v>
      </c>
      <c r="D92" s="8"/>
      <c r="E92" s="11">
        <f t="shared" si="11"/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</c>
      <c r="L92" s="7">
        <v>0</v>
      </c>
      <c r="M92" s="11">
        <f t="shared" si="8"/>
      </c>
      <c r="N92" s="11">
        <f t="shared" si="9"/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>
        <f>IFERROR(CalcRC27(F92,G92,K92,O92,P92,Q92,R92,S92,T92,U92,V92),"-")</f>
      </c>
      <c r="X92" s="2"/>
    </row>
    <row r="93" spans="2:24" ht="13.8" x14ac:dyDescent="0.2">
      <c r="B93" s="8">
        <f t="shared" si="10"/>
      </c>
      <c r="C93" s="10">
        <v>88</v>
      </c>
      <c r="D93" s="13"/>
      <c r="E93" s="11">
        <f t="shared" si="11"/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</c>
      <c r="L93" s="7">
        <v>0</v>
      </c>
      <c r="M93" s="11">
        <f t="shared" si="8"/>
      </c>
      <c r="N93" s="11">
        <f t="shared" si="9"/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>
        <f>IFERROR(CalcRC27(F93,G93,K93,O93,P93,Q93,R93,S93,T93,U93,V93),"-")</f>
      </c>
      <c r="X93" s="2"/>
    </row>
    <row r="94" spans="2:24" ht="13.8" x14ac:dyDescent="0.2">
      <c r="B94" s="8">
        <f t="shared" si="10"/>
      </c>
      <c r="C94" s="10">
        <v>89</v>
      </c>
      <c r="D94" s="8"/>
      <c r="E94" s="11">
        <f t="shared" si="11"/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</c>
      <c r="L94" s="7">
        <v>0</v>
      </c>
      <c r="M94" s="11">
        <f t="shared" si="8"/>
      </c>
      <c r="N94" s="11">
        <f t="shared" si="9"/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>
        <f>IFERROR(CalcRC27(F94,G94,K94,O94,P94,Q94,R94,S94,T94,U94,V94),"-")</f>
      </c>
      <c r="X94" s="2"/>
    </row>
    <row r="95" spans="2:24" ht="13.8" x14ac:dyDescent="0.2">
      <c r="B95" s="8">
        <f t="shared" si="10"/>
      </c>
      <c r="C95" s="10">
        <v>90</v>
      </c>
      <c r="D95" s="8"/>
      <c r="E95" s="11">
        <f t="shared" si="11"/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</c>
      <c r="L95" s="7">
        <v>0</v>
      </c>
      <c r="M95" s="11">
        <f t="shared" si="8"/>
      </c>
      <c r="N95" s="11">
        <f t="shared" si="9"/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>
        <f>IFERROR(CalcRC27(F95,G95,K95,O95,P95,Q95,R95,S95,T95,U95,V95),"-")</f>
      </c>
      <c r="X95" s="2"/>
    </row>
    <row r="96" spans="2:24" ht="13.8" x14ac:dyDescent="0.2">
      <c r="B96" s="8">
        <f t="shared" si="10"/>
      </c>
      <c r="C96" s="10">
        <v>91</v>
      </c>
      <c r="D96" s="26"/>
      <c r="E96" s="11">
        <f t="shared" si="11"/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</c>
      <c r="L96" s="7">
        <v>0</v>
      </c>
      <c r="M96" s="11">
        <f t="shared" si="8"/>
      </c>
      <c r="N96" s="11">
        <f t="shared" si="9"/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>
        <f>IFERROR(CalcRC27(F96,G96,K96,O96,P96,Q96,R96,S96,T96,U96,V96),"-")</f>
      </c>
      <c r="X96" s="2"/>
    </row>
    <row r="97" spans="2:24" ht="13.8" x14ac:dyDescent="0.2">
      <c r="B97" s="8">
        <f t="shared" si="10"/>
      </c>
      <c r="C97" s="10">
        <v>92</v>
      </c>
      <c r="D97" s="8"/>
      <c r="E97" s="11">
        <f t="shared" si="11"/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</c>
      <c r="L97" s="7">
        <v>0</v>
      </c>
      <c r="M97" s="11">
        <f t="shared" si="8"/>
      </c>
      <c r="N97" s="11">
        <f t="shared" si="9"/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>
        <f>IFERROR(CalcRC27(F97,G97,K97,O97,P97,Q97,R97,S97,T97,U97,V97),"-")</f>
      </c>
      <c r="X97" s="2"/>
    </row>
    <row r="98" spans="2:24" ht="13.8" x14ac:dyDescent="0.2">
      <c r="B98" s="8">
        <f t="shared" si="10"/>
      </c>
      <c r="C98" s="10">
        <v>93</v>
      </c>
      <c r="D98" t="s" s="8">
        <v>946</v>
      </c>
      <c r="E98" s="11">
        <f t="shared" si="11"/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</c>
      <c r="L98" s="7">
        <v>0</v>
      </c>
      <c r="M98" s="11">
        <f t="shared" si="8"/>
      </c>
      <c r="N98" s="11">
        <f t="shared" si="9"/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>
        <f>IFERROR(CalcRC27(F98,G98,K98,O98,P98,Q98,R98,S98,T98,U98,V98),"-")</f>
      </c>
      <c r="X98" t="s" s="2">
        <v>347</v>
      </c>
    </row>
    <row r="99" spans="2:24" ht="13.8" x14ac:dyDescent="0.2">
      <c r="B99" s="8">
        <f t="shared" si="10"/>
      </c>
      <c r="C99" s="10">
        <v>94</v>
      </c>
      <c r="D99" s="8"/>
      <c r="E99" s="11">
        <f t="shared" si="11"/>
      </c>
      <c r="F99" s="5">
        <v>88</v>
      </c>
      <c r="G99" s="5">
        <v>13</v>
      </c>
      <c r="H99" s="5">
        <v>3</v>
      </c>
      <c r="I99" s="5">
        <v>0</v>
      </c>
      <c r="J99" s="6">
        <v>4</v>
      </c>
      <c r="K99" s="12">
        <f t="shared" si="12"/>
      </c>
      <c r="L99" s="7">
        <v>9</v>
      </c>
      <c r="M99" s="11">
        <f t="shared" si="8"/>
      </c>
      <c r="N99" s="11">
        <f t="shared" si="9"/>
      </c>
      <c r="O99" s="20">
        <v>11</v>
      </c>
      <c r="P99" s="21">
        <v>4</v>
      </c>
      <c r="Q99" s="21">
        <v>0</v>
      </c>
      <c r="R99" s="22">
        <v>0</v>
      </c>
      <c r="S99" s="22">
        <v>1</v>
      </c>
      <c r="T99" s="20">
        <v>2</v>
      </c>
      <c r="U99" s="20">
        <v>0</v>
      </c>
      <c r="V99" s="20">
        <v>3</v>
      </c>
      <c r="W99" s="63">
        <f>IFERROR(CalcRC27(F99,G99,K99,O99,P99,Q99,R99,S99,T99,U99,V99),"-")</f>
      </c>
      <c r="X99" s="2"/>
    </row>
    <row r="100" spans="2:24" ht="13.8" x14ac:dyDescent="0.2">
      <c r="B100" s="8">
        <f t="shared" si="10"/>
      </c>
      <c r="C100" s="10">
        <v>95</v>
      </c>
      <c r="D100" s="8"/>
      <c r="E100" s="11">
        <f t="shared" si="11"/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</c>
      <c r="L100" s="7">
        <v>0</v>
      </c>
      <c r="M100" s="11">
        <f t="shared" si="8"/>
      </c>
      <c r="N100" s="11">
        <f t="shared" si="9"/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>
        <f>IFERROR(CalcRC27(F100,G100,K100,O100,P100,Q100,R100,S100,T100,U100,V100),"-")</f>
      </c>
      <c r="X100" s="2"/>
    </row>
    <row r="101" spans="2:24" ht="13.8" x14ac:dyDescent="0.2">
      <c r="B101" s="8">
        <f t="shared" si="10"/>
      </c>
      <c r="C101" s="10">
        <v>96</v>
      </c>
      <c r="D101" s="8"/>
      <c r="E101" s="11">
        <f t="shared" si="11"/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</c>
      <c r="L101" s="7">
        <v>0</v>
      </c>
      <c r="M101" s="11">
        <f t="shared" si="8"/>
      </c>
      <c r="N101" s="11">
        <f t="shared" si="9"/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>
        <f>IFERROR(CalcRC27(F101,G101,K101,O101,P101,Q101,R101,S101,T101,U101,V101),"-")</f>
      </c>
      <c r="X101" s="2"/>
    </row>
    <row r="102" spans="2:24" ht="13.8" x14ac:dyDescent="0.2">
      <c r="B102" s="8">
        <f t="shared" si="10"/>
      </c>
      <c r="C102" s="10">
        <v>97</v>
      </c>
      <c r="D102" s="8"/>
      <c r="E102" s="11">
        <f t="shared" si="11"/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</c>
      <c r="L102" s="7">
        <v>0</v>
      </c>
      <c r="M102" s="11">
        <f t="shared" si="8"/>
      </c>
      <c r="N102" s="11">
        <f t="shared" si="9"/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>
        <f>IFERROR(CalcRC27(F102,G102,K102,O102,P102,Q102,R102,S102,T102,U102,V102),"-")</f>
      </c>
      <c r="X102" s="2"/>
    </row>
    <row r="103" spans="2:24" ht="13.8" x14ac:dyDescent="0.2">
      <c r="B103" s="8">
        <f t="shared" si="10"/>
      </c>
      <c r="C103" s="10">
        <v>98</v>
      </c>
      <c r="D103" s="8"/>
      <c r="E103" s="11">
        <f t="shared" si="11"/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</c>
      <c r="L103" s="7">
        <v>0</v>
      </c>
      <c r="M103" s="11">
        <f t="shared" si="8"/>
      </c>
      <c r="N103" s="11">
        <f t="shared" si="9"/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</c>
      <c r="X103" s="2"/>
    </row>
    <row r="104" spans="2:24" ht="13.8" x14ac:dyDescent="0.2">
      <c r="B104" s="8">
        <f t="shared" si="10"/>
      </c>
      <c r="C104" s="10">
        <v>99</v>
      </c>
      <c r="D104" t="s" s="13">
        <v>1283</v>
      </c>
      <c r="E104" s="11">
        <f>IFERROR(IF(G104/F104=1,"1.00",G104/F104),"---")</f>
      </c>
      <c r="F104" s="5">
        <v>21</v>
      </c>
      <c r="G104" s="5">
        <v>7</v>
      </c>
      <c r="H104" s="5">
        <v>0</v>
      </c>
      <c r="I104" s="5">
        <v>1</v>
      </c>
      <c r="J104" s="6">
        <v>2</v>
      </c>
      <c r="K104" s="12">
        <f t="shared" si="12"/>
      </c>
      <c r="L104" s="7">
        <v>7</v>
      </c>
      <c r="M104" s="11">
        <f t="shared" si="8"/>
      </c>
      <c r="N104" s="11">
        <f t="shared" si="9"/>
      </c>
      <c r="O104" s="20">
        <v>9</v>
      </c>
      <c r="P104" s="21">
        <v>1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</c>
      <c r="X104" t="s" s="2">
        <v>1284</v>
      </c>
    </row>
    <row r="105" spans="2:24" ht="13.8" x14ac:dyDescent="0.2">
      <c r="B105" s="8">
        <f t="shared" si="10"/>
      </c>
      <c r="C105" s="10">
        <v>111</v>
      </c>
      <c r="D105" t="s" s="14">
        <v>2021</v>
      </c>
      <c r="E105" s="11">
        <f t="shared" si="11"/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</c>
      <c r="L105" s="7">
        <v>0</v>
      </c>
      <c r="M105" s="11">
        <f t="shared" si="8"/>
      </c>
      <c r="N105" s="11">
        <f t="shared" si="9"/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>
        <f>IFERROR(CalcRC27(F105,G105,K105,O105,P105,Q105,R105,S105,T105,U105,V105),"-")</f>
      </c>
      <c r="X105" t="s" s="2">
        <v>2035</v>
      </c>
    </row>
    <row r="106" spans="2:24" ht="13.8" x14ac:dyDescent="0.2">
      <c r="B106" s="8">
        <f t="shared" si="10"/>
      </c>
      <c r="C106" s="10">
        <v>112</v>
      </c>
      <c r="D106" t="s" s="9">
        <v>2022</v>
      </c>
      <c r="E106" s="11">
        <f t="shared" si="11"/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</c>
      <c r="L106" s="7">
        <v>0</v>
      </c>
      <c r="M106" s="11">
        <f t="shared" si="8"/>
      </c>
      <c r="N106" s="11">
        <f t="shared" si="9"/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>
        <f>IFERROR(CalcRC27(F106,G106,K106,O106,P106,Q106,R106,S106,T106,U106,V106),"-")</f>
      </c>
      <c r="X106" t="s" s="2">
        <v>2036</v>
      </c>
    </row>
    <row r="107" spans="2:24" ht="13.8" x14ac:dyDescent="0.2">
      <c r="B107" s="8">
        <f t="shared" si="10"/>
      </c>
      <c r="C107" s="10">
        <v>113</v>
      </c>
      <c r="D107" t="s" s="9">
        <v>2023</v>
      </c>
      <c r="E107" s="11">
        <f t="shared" si="11"/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</c>
      <c r="L107" s="7">
        <v>0</v>
      </c>
      <c r="M107" s="11">
        <f t="shared" si="8"/>
      </c>
      <c r="N107" s="11">
        <f t="shared" si="9"/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>
        <f>IFERROR(CalcRC27(F107,G107,K107,O107,P107,Q107,R107,S107,T107,U107,V107),"-")</f>
      </c>
      <c r="X107" t="s" s="2">
        <v>2037</v>
      </c>
    </row>
    <row r="108" spans="2:24" ht="13.8" x14ac:dyDescent="0.2">
      <c r="B108" s="8">
        <f t="shared" si="10"/>
      </c>
      <c r="C108" s="10">
        <v>114</v>
      </c>
      <c r="D108" t="s" s="9">
        <v>2024</v>
      </c>
      <c r="E108" s="11">
        <f t="shared" si="11"/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</c>
      <c r="L108" s="7">
        <v>0</v>
      </c>
      <c r="M108" s="11">
        <f t="shared" si="8"/>
      </c>
      <c r="N108" s="11">
        <f t="shared" si="9"/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>
        <f>IFERROR(CalcRC27(F108,G108,K108,O108,P108,Q108,R108,S108,T108,U108,V108),"-")</f>
      </c>
      <c r="X108" t="s" s="2">
        <v>963</v>
      </c>
    </row>
    <row r="109" spans="2:24" ht="13.8" x14ac:dyDescent="0.2">
      <c r="B109" s="8">
        <f t="shared" si="10"/>
      </c>
      <c r="C109" s="10">
        <v>115</v>
      </c>
      <c r="D109" t="s" s="9">
        <v>2025</v>
      </c>
      <c r="E109" s="11">
        <f t="shared" si="11"/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</c>
      <c r="L109" s="7">
        <v>0</v>
      </c>
      <c r="M109" s="11">
        <f t="shared" si="8"/>
      </c>
      <c r="N109" s="11">
        <f t="shared" si="9"/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>
        <f>IFERROR(CalcRC27(F109,G109,K109,O109,P109,Q109,R109,S109,T109,U109,V109),"-")</f>
      </c>
      <c r="X109" t="s" s="2">
        <v>964</v>
      </c>
    </row>
    <row r="110" spans="2:24" ht="13.8" x14ac:dyDescent="0.2">
      <c r="B110" s="8">
        <f t="shared" ref="B110:B122" si="13">IF(C110="","",C110)</f>
      </c>
      <c r="C110" s="10">
        <v>121</v>
      </c>
      <c r="D110" t="s" s="9">
        <v>1409</v>
      </c>
      <c r="E110" s="11">
        <f t="shared" si="11"/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</c>
      <c r="L110" s="7">
        <v>0</v>
      </c>
      <c r="M110" s="11">
        <f t="shared" si="8"/>
      </c>
      <c r="N110" s="11">
        <f t="shared" si="9"/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>
        <f>IFERROR(CalcRC27(F110,G110,K110,O110,P110,Q110,R110,S110,T110,U110,V110),"-")</f>
      </c>
      <c r="X110" t="s" s="2">
        <v>965</v>
      </c>
    </row>
    <row r="111" spans="2:24" ht="13.8" x14ac:dyDescent="0.2">
      <c r="B111" s="8">
        <f t="shared" si="13"/>
      </c>
      <c r="C111" s="10">
        <v>123</v>
      </c>
      <c r="D111" t="s" s="9">
        <v>2026</v>
      </c>
      <c r="E111" s="11">
        <f t="shared" si="11"/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</c>
      <c r="L111" s="7">
        <v>0</v>
      </c>
      <c r="M111" s="11">
        <f t="shared" si="8"/>
      </c>
      <c r="N111" s="11">
        <f t="shared" si="9"/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>
        <f>IFERROR(CalcRC27(F111,G111,K111,O111,P111,Q111,R111,S111,T111,U111,V111),"-")</f>
      </c>
      <c r="X111" t="s" s="2">
        <v>966</v>
      </c>
    </row>
    <row r="112" spans="2:24" ht="13.8" x14ac:dyDescent="0.2">
      <c r="B112" s="8">
        <f t="shared" si="13"/>
      </c>
      <c r="C112" s="10">
        <v>124</v>
      </c>
      <c r="D112" t="s" s="9">
        <v>1808</v>
      </c>
      <c r="E112" s="11">
        <f t="shared" si="11"/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</c>
      <c r="L112" s="7">
        <v>0</v>
      </c>
      <c r="M112" s="11">
        <f t="shared" si="8"/>
      </c>
      <c r="N112" s="11">
        <f t="shared" si="9"/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>
        <f>IFERROR(CalcRC27(F112,G112,K112,O112,P112,Q112,R112,S112,T112,U112,V112),"-")</f>
      </c>
      <c r="X112" t="s" s="2">
        <v>967</v>
      </c>
    </row>
    <row r="113" spans="2:24" ht="13.8" x14ac:dyDescent="0.2">
      <c r="B113" s="8">
        <f t="shared" si="13"/>
      </c>
      <c r="C113" s="10">
        <v>125</v>
      </c>
      <c r="D113" t="s" s="9">
        <v>1540</v>
      </c>
      <c r="E113" s="11">
        <f t="shared" si="11"/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</c>
      <c r="L113" s="7">
        <v>0</v>
      </c>
      <c r="M113" s="11">
        <f t="shared" si="8"/>
      </c>
      <c r="N113" s="11">
        <f t="shared" si="9"/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>
        <f>IFERROR(CalcRC27(F113,G113,K113,O113,P113,Q113,R113,S113,T113,U113,V113),"-")</f>
      </c>
      <c r="X113" t="s" s="2">
        <v>968</v>
      </c>
    </row>
    <row r="114" spans="2:24" ht="13.8" x14ac:dyDescent="0.2">
      <c r="B114" s="8">
        <f t="shared" si="13"/>
      </c>
      <c r="C114" s="10">
        <v>126</v>
      </c>
      <c r="D114" t="s" s="9">
        <v>2027</v>
      </c>
      <c r="E114" s="11">
        <f t="shared" si="11"/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</c>
      <c r="L114" s="7">
        <v>0</v>
      </c>
      <c r="M114" s="11">
        <f t="shared" si="8"/>
      </c>
      <c r="N114" s="11">
        <f t="shared" si="9"/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>
        <f>IFERROR(CalcRC27(F114,G114,K114,O114,P114,Q114,R114,S114,T114,U114,V114),"-")</f>
      </c>
      <c r="X114" t="s" s="2">
        <v>969</v>
      </c>
    </row>
    <row r="115" spans="2:24" ht="13.8" x14ac:dyDescent="0.2">
      <c r="B115" s="8">
        <f t="shared" si="13"/>
      </c>
      <c r="C115" s="10">
        <v>127</v>
      </c>
      <c r="D115" t="s" s="9">
        <v>1754</v>
      </c>
      <c r="E115" s="11">
        <f t="shared" si="11"/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</c>
      <c r="L115" s="7">
        <v>0</v>
      </c>
      <c r="M115" s="11">
        <f t="shared" si="8"/>
      </c>
      <c r="N115" s="11">
        <f t="shared" si="9"/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>
        <f>IFERROR(CalcRC27(F115,G115,K115,O115,P115,Q115,R115,S115,T115,U115,V115),"-")</f>
      </c>
      <c r="X115" t="s" s="2">
        <v>970</v>
      </c>
    </row>
    <row r="116" spans="2:24" ht="13.8" x14ac:dyDescent="0.2">
      <c r="B116" s="8">
        <f t="shared" si="13"/>
      </c>
      <c r="C116" s="10">
        <v>128</v>
      </c>
      <c r="D116" t="s" s="9">
        <v>2028</v>
      </c>
      <c r="E116" s="11">
        <f t="shared" si="11"/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</c>
      <c r="L116" s="7">
        <v>0</v>
      </c>
      <c r="M116" s="11">
        <f t="shared" si="8"/>
      </c>
      <c r="N116" s="11">
        <f t="shared" si="9"/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>
        <f>IFERROR(CalcRC27(F116,G116,K116,O116,P116,Q116,R116,S116,T116,U116,V116),"-")</f>
      </c>
      <c r="X116" t="s" s="2">
        <v>971</v>
      </c>
    </row>
    <row r="117" spans="2:24" ht="13.8" x14ac:dyDescent="0.2">
      <c r="B117" s="8">
        <f t="shared" si="13"/>
      </c>
      <c r="C117" s="10">
        <v>130</v>
      </c>
      <c r="D117" t="s" s="9">
        <v>2029</v>
      </c>
      <c r="E117" s="11">
        <f t="shared" si="11"/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</c>
      <c r="L117" s="7">
        <v>0</v>
      </c>
      <c r="M117" s="11">
        <f t="shared" si="8"/>
      </c>
      <c r="N117" s="11">
        <f t="shared" si="9"/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>
        <f>IFERROR(CalcRC27(F117,G117,K117,O117,P117,Q117,R117,S117,T117,U117,V117),"-")</f>
      </c>
      <c r="X117" t="s" s="2">
        <v>2038</v>
      </c>
    </row>
    <row r="118" spans="2:24" ht="13.8" x14ac:dyDescent="0.2">
      <c r="B118" s="8">
        <f t="shared" si="13"/>
      </c>
      <c r="C118" s="10">
        <v>137</v>
      </c>
      <c r="D118" t="s" s="9">
        <v>2030</v>
      </c>
      <c r="E118" s="11">
        <f t="shared" si="11"/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</c>
      <c r="L118" s="7">
        <v>0</v>
      </c>
      <c r="M118" s="11">
        <f t="shared" si="8"/>
      </c>
      <c r="N118" s="11">
        <f t="shared" si="9"/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>
        <f>IFERROR(CalcRC27(F118,G118,K118,O118,P118,Q118,R118,S118,T118,U118,V118),"-")</f>
      </c>
      <c r="X118" t="s" s="2">
        <v>344</v>
      </c>
    </row>
    <row r="119" spans="2:24" ht="13.8" x14ac:dyDescent="0.2">
      <c r="B119" s="8">
        <f t="shared" si="13"/>
      </c>
      <c r="C119" s="10">
        <v>162</v>
      </c>
      <c r="D119" t="s" s="9">
        <v>2031</v>
      </c>
      <c r="E119" s="11">
        <f t="shared" si="11"/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</c>
      <c r="L119" s="7">
        <v>0</v>
      </c>
      <c r="M119" s="11">
        <f t="shared" si="8"/>
      </c>
      <c r="N119" s="11">
        <f t="shared" si="9"/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>
        <f>IFERROR(CalcRC27(F119,G119,K119,O119,P119,Q119,R119,S119,T119,U119,V119),"-")</f>
      </c>
      <c r="X119" t="s" s="2">
        <v>2039</v>
      </c>
    </row>
    <row r="120" spans="2:24" ht="13.8" x14ac:dyDescent="0.2">
      <c r="B120" s="8">
        <f t="shared" si="13"/>
      </c>
      <c r="C120" s="10">
        <v>165</v>
      </c>
      <c r="D120" t="s" s="9">
        <v>2032</v>
      </c>
      <c r="E120" s="11">
        <f t="shared" si="11"/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</c>
      <c r="L120" s="7">
        <v>0</v>
      </c>
      <c r="M120" s="11">
        <f t="shared" si="8"/>
      </c>
      <c r="N120" s="11">
        <f t="shared" si="9"/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>
        <f>IFERROR(CalcRC27(F120,G120,K120,O120,P120,Q120,R120,S120,T120,U120,V120),"-")</f>
      </c>
      <c r="X120" t="s" s="2">
        <v>2040</v>
      </c>
    </row>
    <row r="121" spans="2:24" ht="13.8" x14ac:dyDescent="0.2">
      <c r="B121" s="8">
        <f t="shared" si="13"/>
      </c>
      <c r="C121" s="10">
        <v>168</v>
      </c>
      <c r="D121" t="s" s="9">
        <v>2033</v>
      </c>
      <c r="E121" s="11">
        <f t="shared" si="11"/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</c>
      <c r="L121" s="7">
        <v>0</v>
      </c>
      <c r="M121" s="11">
        <f t="shared" si="8"/>
      </c>
      <c r="N121" s="11">
        <f t="shared" si="9"/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>
        <f>IFERROR(CalcRC27(F121,G121,K121,O121,P121,Q121,R121,S121,T121,U121,V121),"-")</f>
      </c>
      <c r="X121" t="s" s="2">
        <v>2041</v>
      </c>
    </row>
    <row r="122" spans="2:24" ht="13.8" x14ac:dyDescent="0.2">
      <c r="B122" s="8">
        <f t="shared" si="13"/>
      </c>
      <c r="C122" s="10">
        <v>196</v>
      </c>
      <c r="D122" t="s" s="9">
        <v>2034</v>
      </c>
      <c r="E122" s="11">
        <f t="shared" si="11"/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</c>
      <c r="L122" s="7">
        <v>0</v>
      </c>
      <c r="M122" s="11">
        <f t="shared" si="8"/>
      </c>
      <c r="N122" s="11">
        <f t="shared" si="9"/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>
        <f>IFERROR(CalcRC27(F122,G122,K122,O122,P122,Q122,R122,S122,T122,U122,V122),"-")</f>
      </c>
      <c r="X122" t="s" s="2">
        <v>2042</v>
      </c>
    </row>
    <row r="123" spans="2:24" ht="13.8" x14ac:dyDescent="0.2">
      <c r="B123" s="8">
        <f t="shared" si="10"/>
      </c>
      <c r="C123" s="10"/>
      <c r="D123" s="9"/>
      <c r="E123" s="11">
        <f t="shared" si="11"/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</c>
      <c r="L123" s="7">
        <v>0</v>
      </c>
      <c r="M123" s="11">
        <f t="shared" si="8"/>
      </c>
      <c r="N123" s="11">
        <f t="shared" si="9"/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>
        <f>IFERROR(CalcRC27(F123,G123,K123,O123,P123,Q123,R123,S123,T123,U123,V123),"-")</f>
      </c>
      <c r="X123" s="2"/>
    </row>
    <row r="124" spans="2:24" ht="13.8" x14ac:dyDescent="0.2">
      <c r="B124" s="8">
        <f t="shared" si="10"/>
      </c>
      <c r="C124" s="10"/>
      <c r="D124" s="9"/>
      <c r="E124" s="11">
        <f t="shared" si="11"/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</c>
      <c r="L124" s="7">
        <v>0</v>
      </c>
      <c r="M124" s="11">
        <f t="shared" si="8"/>
      </c>
      <c r="N124" s="11">
        <f t="shared" si="9"/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>
        <f>IFERROR(CalcRC27(F124,G124,K124,O124,P124,Q124,R124,S124,T124,U124,V124),"-")</f>
      </c>
      <c r="X124" s="2"/>
    </row>
    <row r="125" spans="2:24" ht="13.8" x14ac:dyDescent="0.2">
      <c r="B125" s="8">
        <f t="shared" si="10"/>
      </c>
      <c r="C125" s="10"/>
      <c r="D125" s="9"/>
      <c r="E125" s="11">
        <f t="shared" si="11"/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</c>
      <c r="L125" s="7">
        <v>0</v>
      </c>
      <c r="M125" s="11">
        <f t="shared" si="8"/>
      </c>
      <c r="N125" s="11">
        <f t="shared" si="9"/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>
        <f>IFERROR(CalcRC27(F125,G125,K125,O125,P125,Q125,R125,S125,T125,U125,V125),"-")</f>
      </c>
      <c r="X125" s="2"/>
    </row>
    <row r="126" spans="2:24" ht="13.8" x14ac:dyDescent="0.2">
      <c r="B126" s="8">
        <f t="shared" si="10"/>
      </c>
      <c r="C126" s="10"/>
      <c r="D126" s="9"/>
      <c r="E126" s="11">
        <f t="shared" si="11"/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</c>
      <c r="L126" s="7">
        <v>0</v>
      </c>
      <c r="M126" s="11">
        <f t="shared" si="8"/>
      </c>
      <c r="N126" s="11">
        <f t="shared" si="9"/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>
        <f>IFERROR(CalcRC27(F126,G126,K126,O126,P126,Q126,R126,S126,T126,U126,V126),"-")</f>
      </c>
      <c r="X126" s="2"/>
    </row>
    <row r="127" spans="2:24" ht="13.8" x14ac:dyDescent="0.2">
      <c r="B127" s="8">
        <f t="shared" si="10"/>
      </c>
      <c r="C127" s="10"/>
      <c r="D127" s="9"/>
      <c r="E127" s="11">
        <f t="shared" si="11"/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</c>
      <c r="L127" s="7">
        <v>0</v>
      </c>
      <c r="M127" s="11">
        <f t="shared" si="8"/>
      </c>
      <c r="N127" s="11">
        <f t="shared" si="9"/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>
        <f>IFERROR(CalcRC27(F127,G127,K127,O127,P127,Q127,R127,S127,T127,U127,V127),"-")</f>
      </c>
      <c r="X127" s="2"/>
    </row>
    <row r="128" spans="2:24" ht="13.8" x14ac:dyDescent="0.2">
      <c r="B128" s="8">
        <f t="shared" si="10"/>
      </c>
      <c r="C128" s="10"/>
      <c r="D128" s="9"/>
      <c r="E128" s="11">
        <f t="shared" si="11"/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</c>
      <c r="L128" s="7">
        <v>0</v>
      </c>
      <c r="M128" s="11">
        <f t="shared" si="8"/>
      </c>
      <c r="N128" s="11">
        <f t="shared" si="9"/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>
        <f>IFERROR(CalcRC27(F128,G128,K128,O128,P128,Q128,R128,S128,T128,U128,V128),"-")</f>
      </c>
      <c r="X128" s="2"/>
    </row>
    <row r="129" spans="2:24" ht="13.8" x14ac:dyDescent="0.2">
      <c r="B129" s="8">
        <f t="shared" si="10"/>
      </c>
      <c r="C129" s="10"/>
      <c r="D129" s="9"/>
      <c r="E129" s="11">
        <f t="shared" si="11"/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</c>
      <c r="L129" s="7">
        <v>0</v>
      </c>
      <c r="M129" s="11">
        <f t="shared" si="8"/>
      </c>
      <c r="N129" s="11">
        <f t="shared" si="9"/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>
        <f>IFERROR(CalcRC27(F129,G129,K129,O129,P129,Q129,R129,S129,T129,U129,V129),"-")</f>
      </c>
      <c r="X129" s="2"/>
    </row>
    <row r="130" spans="2:24" ht="13.8" x14ac:dyDescent="0.2">
      <c r="B130" s="8">
        <f t="shared" si="10"/>
      </c>
      <c r="C130" s="10"/>
      <c r="D130" s="9"/>
      <c r="E130" s="11">
        <f t="shared" si="11"/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</c>
      <c r="L130" s="7">
        <v>0</v>
      </c>
      <c r="M130" s="11">
        <f t="shared" si="8"/>
      </c>
      <c r="N130" s="11">
        <f t="shared" si="9"/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>
        <f>IFERROR(CalcRC27(F130,G130,K130,O130,P130,Q130,R130,S130,T130,U130,V130),"-")</f>
      </c>
      <c r="X130" s="2"/>
    </row>
    <row r="131" spans="2:24" ht="13.8" x14ac:dyDescent="0.2">
      <c r="B131" s="8">
        <f t="shared" si="10"/>
      </c>
      <c r="C131" s="10"/>
      <c r="D131" s="9"/>
      <c r="E131" s="11">
        <f t="shared" si="11"/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</c>
      <c r="L131" s="7">
        <v>0</v>
      </c>
      <c r="M131" s="11">
        <f t="shared" si="8"/>
      </c>
      <c r="N131" s="11">
        <f t="shared" si="9"/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>
        <f>IFERROR(CalcRC27(F131,G131,K131,O131,P131,Q131,R131,S131,T131,U131,V131),"-")</f>
      </c>
      <c r="X131" s="2"/>
    </row>
    <row r="132" spans="2:24" ht="13.8" x14ac:dyDescent="0.2">
      <c r="B132" s="8">
        <f t="shared" si="10"/>
      </c>
      <c r="C132" s="10"/>
      <c r="D132" s="9"/>
      <c r="E132" s="11">
        <f t="shared" si="11"/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</c>
      <c r="L132" s="7">
        <v>0</v>
      </c>
      <c r="M132" s="11">
        <f t="shared" ref="M132:M134" si="14">IFERROR(IF((G132+P132+Q132)/(F132+P132+Q132+S132)=1,"1.00",(G132+P132+Q132)/(F132+P132+Q132+S132)),0)</f>
      </c>
      <c r="N132" s="11">
        <f t="shared" ref="N132:N134" si="15">IFERROR(SUM(K132/F132,((G132+P132+Q132)/(F132+P132+Q132+S132))),M132)</f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>
        <f>IFERROR(CalcRC27(F132,G132,K132,O132,P132,Q132,R132,S132,T132,U132,V132),"-")</f>
      </c>
      <c r="X132" s="2"/>
    </row>
    <row r="133" spans="2:24" ht="13.8" x14ac:dyDescent="0.2">
      <c r="B133" s="8">
        <f t="shared" ref="B133:B134" si="16">IF(C133="","",C133)</f>
      </c>
      <c r="C133" s="10"/>
      <c r="D133" s="9"/>
      <c r="E133" s="11">
        <f t="shared" ref="E133:E134" si="17">IFERROR(IF(G133/F133=1,"1.00",G133/F133),"---")</f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8">((G133-H133-I133-J133)+(H133*2)+(I133*3)+(J133*4))</f>
      </c>
      <c r="L133" s="7">
        <v>0</v>
      </c>
      <c r="M133" s="11">
        <f t="shared" si="14"/>
      </c>
      <c r="N133" s="11">
        <f t="shared" si="15"/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>
        <f>IFERROR(CalcRC27(F133,G133,K133,O133,P133,Q133,R133,S133,T133,U133,V133),"-")</f>
      </c>
      <c r="X133" s="2"/>
    </row>
    <row r="134" spans="2:24" ht="13.8" x14ac:dyDescent="0.2">
      <c r="B134" s="8">
        <f t="shared" si="16"/>
      </c>
      <c r="C134" s="10"/>
      <c r="D134" s="9"/>
      <c r="E134" s="11">
        <f t="shared" si="17"/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8"/>
      </c>
      <c r="L134" s="7">
        <v>0</v>
      </c>
      <c r="M134" s="11">
        <f t="shared" si="14"/>
      </c>
      <c r="N134" s="11">
        <f t="shared" si="15"/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>
        <f>IFERROR(CalcRC27(F134,G134,K134,O134,P134,Q134,R134,S134,T134,U134,V134),"-")</f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F71D2-8C5A-46D8-8CFC-9971874F8E12}">
  <sheetPr codeName="Sheet10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G25" sqref="G25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2"/>
      <c r="C2" s="122"/>
      <c r="D2" s="122"/>
      <c r="E2" s="4">
        <f>IFERROR(G2/F2,0)</f>
      </c>
      <c r="F2" s="5">
        <f t="shared" ref="F2:L2" si="0">SUM(F4:F104)</f>
      </c>
      <c r="G2" s="5">
        <f t="shared" si="0"/>
      </c>
      <c r="H2" s="5">
        <f t="shared" si="0"/>
      </c>
      <c r="I2" s="5">
        <f t="shared" si="0"/>
      </c>
      <c r="J2" s="6">
        <f t="shared" si="0"/>
      </c>
      <c r="K2" s="12">
        <f t="shared" si="0"/>
      </c>
      <c r="L2" s="7">
        <f t="shared" si="0"/>
      </c>
      <c r="M2" s="11">
        <f>IFERROR(IF((G2+P2+Q2)/(F2+P2+Q2+R2)=1,"1.00",(G2+P2+Q2)/(F2+P2+Q2+R2)),0)</f>
      </c>
      <c r="N2" s="11">
        <f>IFERROR(SUM(SUM(((G2-H2-I2-J2)*1),H2*2,I2*3,J2*4)/F2,((G2+P2+Q2)/(F2+P2+Q2+R2))),M2)</f>
      </c>
      <c r="O2" s="5">
        <f>SUM(O4:O104)</f>
      </c>
      <c r="P2" s="5">
        <f>SUM(P4:P104)</f>
      </c>
      <c r="Q2" s="5">
        <f>SUM(Q4:Q104)</f>
      </c>
      <c r="R2" s="5">
        <f>SUM(R4:R104)</f>
      </c>
      <c r="S2" s="5">
        <f>SUM(S4:S104)</f>
      </c>
      <c r="T2" s="5">
        <f t="shared" ref="T2:V2" si="1">SUM(T4:T104)</f>
      </c>
      <c r="U2" s="5">
        <f t="shared" si="1"/>
      </c>
      <c r="V2" s="5">
        <f t="shared" si="1"/>
      </c>
      <c r="W2" s="20">
        <f>IFERROR(CalcRC27(F2,G2,K2,O2,P2,Q2,R2,S2,T2,U2,V2),"-")</f>
      </c>
      <c r="X2" t="s" s="121">
        <v>229</v>
      </c>
    </row>
    <row r="3" spans="2:24" x14ac:dyDescent="0.2">
      <c r="B3" t="s" s="55">
        <v>841</v>
      </c>
      <c r="C3" t="s" s="56">
        <v>1039</v>
      </c>
      <c r="D3" t="s" s="56">
        <v>1040</v>
      </c>
      <c r="E3" t="s" s="57">
        <v>56</v>
      </c>
      <c r="F3" t="s" s="58">
        <v>0</v>
      </c>
      <c r="G3" t="s" s="55">
        <v>1</v>
      </c>
      <c r="H3" t="s" s="55">
        <v>360</v>
      </c>
      <c r="I3" t="s" s="55">
        <v>361</v>
      </c>
      <c r="J3" t="s" s="59">
        <v>1041</v>
      </c>
      <c r="K3" t="s" s="55">
        <v>983</v>
      </c>
      <c r="L3" t="s" s="60">
        <v>2</v>
      </c>
      <c r="M3" t="s" s="61">
        <v>359</v>
      </c>
      <c r="N3" t="s" s="57">
        <v>362</v>
      </c>
      <c r="O3" t="s" s="62">
        <v>978</v>
      </c>
      <c r="P3" t="s" s="55">
        <v>234</v>
      </c>
      <c r="Q3" t="s" s="55">
        <v>235</v>
      </c>
      <c r="R3" t="s" s="55">
        <v>976</v>
      </c>
      <c r="S3" t="s" s="55">
        <v>977</v>
      </c>
      <c r="T3" t="s" s="55">
        <v>979</v>
      </c>
      <c r="U3" t="s" s="55">
        <v>980</v>
      </c>
      <c r="V3" t="s" s="55">
        <v>981</v>
      </c>
      <c r="W3" t="s" s="55">
        <v>982</v>
      </c>
      <c r="X3" s="121"/>
    </row>
    <row r="4" spans="2:24" ht="13.8" x14ac:dyDescent="0.2">
      <c r="B4" s="8">
        <f>IF(C4="","",C4)</f>
      </c>
      <c r="C4" t="s" s="10">
        <v>173</v>
      </c>
      <c r="D4" t="s" s="13">
        <v>838</v>
      </c>
      <c r="E4" s="11">
        <f t="shared" ref="E4:E68" si="2">IFERROR(IF(G4/F4=1,"1.00",G4/F4),"---")</f>
      </c>
      <c r="F4" s="5">
        <v>3</v>
      </c>
      <c r="G4" s="5">
        <v>1</v>
      </c>
      <c r="H4" s="5">
        <v>1</v>
      </c>
      <c r="I4" s="5">
        <v>0</v>
      </c>
      <c r="J4" s="6">
        <v>0</v>
      </c>
      <c r="K4" s="12">
        <f t="shared" ref="K4" si="3">((G4-H4-I4-J4)+(H4*2)+(I4*3)+(J4*4))</f>
      </c>
      <c r="L4" s="7">
        <v>0</v>
      </c>
      <c r="M4" s="11">
        <f t="shared" ref="M4" si="4">IFERROR(IF((G4+P4+Q4)/(F4+P4+Q4+S4)=1,"1.00",(G4+P4+Q4)/(F4+P4+Q4+S4)),0)</f>
      </c>
      <c r="N4" s="11">
        <f t="shared" ref="N4" si="5">IFERROR(SUM(K4/F4,((G4+P4+Q4)/(F4+P4+Q4+S4))),M4)</f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>
        <f>IFERROR(CalcRC27(F4,G4,K4,O4,P4,Q4,R4,S4,T4,U4,V4),"-")</f>
      </c>
      <c r="X4" t="s" s="2">
        <v>805</v>
      </c>
    </row>
    <row r="5" spans="2:24" ht="13.8" x14ac:dyDescent="0.2">
      <c r="B5" s="8">
        <f t="shared" ref="B5:B68" si="6">IF(C5="","",C5)</f>
      </c>
      <c r="C5" s="10">
        <v>0</v>
      </c>
      <c r="D5" t="s" s="13">
        <v>157</v>
      </c>
      <c r="E5" s="11">
        <f t="shared" si="2"/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7">((G5-H5-I5-J5)+(H5*2)+(I5*3)+(J5*4))</f>
      </c>
      <c r="L5" s="7">
        <v>0</v>
      </c>
      <c r="M5" s="11">
        <f t="shared" ref="M5:M68" si="8">IFERROR(IF((G5+P5+Q5)/(F5+P5+Q5+S5)=1,"1.00",(G5+P5+Q5)/(F5+P5+Q5+S5)),0)</f>
      </c>
      <c r="N5" s="11">
        <f t="shared" ref="N5:N68" si="9">IFERROR(SUM(K5/F5,((G5+P5+Q5)/(F5+P5+Q5+S5))),M5)</f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>
        <f>IFERROR(CalcRC27(F5,G5,K5,O5,P5,Q5,R5,S5,T5,U5,V5),"-")</f>
      </c>
      <c r="X5" t="s" s="2">
        <v>431</v>
      </c>
    </row>
    <row r="6" spans="2:24" ht="13.8" x14ac:dyDescent="0.2">
      <c r="B6" s="8">
        <f t="shared" si="6"/>
      </c>
      <c r="C6" s="10">
        <v>1</v>
      </c>
      <c r="D6" t="s" s="13">
        <v>1561</v>
      </c>
      <c r="E6" s="11">
        <f t="shared" si="2"/>
      </c>
      <c r="F6" s="5">
        <v>6</v>
      </c>
      <c r="G6" s="5">
        <v>3</v>
      </c>
      <c r="H6" s="5">
        <v>1</v>
      </c>
      <c r="I6" s="5">
        <v>0</v>
      </c>
      <c r="J6" s="6">
        <v>0</v>
      </c>
      <c r="K6" s="12">
        <f t="shared" si="7"/>
      </c>
      <c r="L6" s="7">
        <v>1</v>
      </c>
      <c r="M6" s="11">
        <f t="shared" si="8"/>
      </c>
      <c r="N6" s="11">
        <f t="shared" si="9"/>
      </c>
      <c r="O6" s="20">
        <v>1</v>
      </c>
      <c r="P6" s="21">
        <v>1</v>
      </c>
      <c r="Q6" s="21">
        <v>0</v>
      </c>
      <c r="R6" s="22">
        <v>0</v>
      </c>
      <c r="S6" s="22">
        <v>0</v>
      </c>
      <c r="T6" s="20">
        <v>1</v>
      </c>
      <c r="U6" s="20">
        <v>0</v>
      </c>
      <c r="V6" s="20">
        <v>0</v>
      </c>
      <c r="W6" s="63">
        <f>IFERROR(CalcRC27(F6,G6,K6,O6,P6,Q6,R6,S6,T6,U6,V6),"-")</f>
      </c>
      <c r="X6" t="s" s="2">
        <v>806</v>
      </c>
    </row>
    <row r="7" spans="2:24" ht="13.8" x14ac:dyDescent="0.2">
      <c r="B7" s="8">
        <f t="shared" si="6"/>
      </c>
      <c r="C7" s="10">
        <v>2</v>
      </c>
      <c r="D7" t="s" s="13">
        <v>814</v>
      </c>
      <c r="E7" s="11">
        <f t="shared" si="2"/>
      </c>
      <c r="F7" s="5">
        <v>4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</c>
      <c r="L7" s="7">
        <v>0</v>
      </c>
      <c r="M7" s="11">
        <f t="shared" si="8"/>
      </c>
      <c r="N7" s="11">
        <f t="shared" si="9"/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1</v>
      </c>
      <c r="U7" s="20">
        <v>0</v>
      </c>
      <c r="V7" s="20">
        <v>0</v>
      </c>
      <c r="W7" s="63">
        <f>IFERROR(CalcRC27(F7,G7,K7,O7,P7,Q7,R7,S7,T7,U7,V7),"-")</f>
      </c>
      <c r="X7" t="s" s="2">
        <v>807</v>
      </c>
    </row>
    <row r="8" spans="2:24" ht="13.8" x14ac:dyDescent="0.2">
      <c r="B8" s="8">
        <f t="shared" si="6"/>
      </c>
      <c r="C8" s="10">
        <v>3</v>
      </c>
      <c r="D8" t="s" s="13">
        <v>158</v>
      </c>
      <c r="E8" s="11">
        <f t="shared" si="2"/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</c>
      <c r="L8" s="7">
        <v>0</v>
      </c>
      <c r="M8" s="11">
        <f t="shared" si="8"/>
      </c>
      <c r="N8" s="11">
        <f t="shared" si="9"/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>
        <f>IFERROR(CalcRC27(F8,G8,K8,O8,P8,Q8,R8,S8,T8,U8,V8),"-")</f>
      </c>
      <c r="X8" t="s" s="2">
        <v>432</v>
      </c>
    </row>
    <row r="9" spans="2:24" ht="13.8" x14ac:dyDescent="0.2">
      <c r="B9" s="8">
        <f t="shared" si="6"/>
      </c>
      <c r="C9" s="10">
        <v>4</v>
      </c>
      <c r="D9" t="s" s="13">
        <v>1736</v>
      </c>
      <c r="E9" s="11">
        <f t="shared" si="2"/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</c>
      <c r="L9" s="7">
        <v>0</v>
      </c>
      <c r="M9" s="11">
        <f t="shared" si="8"/>
      </c>
      <c r="N9" s="11">
        <f t="shared" si="9"/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>
        <f>IFERROR(CalcRC27(F9,G9,K9,O9,P9,Q9,R9,S9,T9,U9,V9),"-")</f>
      </c>
      <c r="X9" t="s" s="2">
        <v>1777</v>
      </c>
    </row>
    <row r="10" spans="2:24" ht="13.8" x14ac:dyDescent="0.2">
      <c r="B10" s="8">
        <f t="shared" si="6"/>
      </c>
      <c r="C10" s="10">
        <v>5</v>
      </c>
      <c r="D10" t="s" s="13">
        <v>833</v>
      </c>
      <c r="E10" s="11">
        <f t="shared" si="2"/>
      </c>
      <c r="F10" s="5">
        <v>2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</c>
      <c r="L10" s="7">
        <v>0</v>
      </c>
      <c r="M10" s="11">
        <f t="shared" si="8"/>
      </c>
      <c r="N10" s="11">
        <f t="shared" si="9"/>
      </c>
      <c r="O10" s="20">
        <v>0</v>
      </c>
      <c r="P10" s="21">
        <v>1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>
        <f>IFERROR(CalcRC27(F10,G10,K10,O10,P10,Q10,R10,S10,T10,U10,V10),"-")</f>
      </c>
      <c r="X10" t="s" s="2">
        <v>434</v>
      </c>
    </row>
    <row r="11" spans="2:24" ht="13.8" x14ac:dyDescent="0.2">
      <c r="B11" s="8">
        <f t="shared" si="6"/>
      </c>
      <c r="C11" s="10">
        <v>6</v>
      </c>
      <c r="D11" s="13"/>
      <c r="E11" s="11">
        <f t="shared" si="2"/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</c>
      <c r="L11" s="7">
        <v>0</v>
      </c>
      <c r="M11" s="11">
        <f t="shared" si="8"/>
      </c>
      <c r="N11" s="11">
        <f t="shared" si="9"/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</c>
      <c r="X11" s="2"/>
    </row>
    <row r="12" spans="2:24" ht="13.8" x14ac:dyDescent="0.2">
      <c r="B12" s="8">
        <f t="shared" si="6"/>
      </c>
      <c r="C12" s="10">
        <v>7</v>
      </c>
      <c r="D12" t="s" s="13">
        <v>1737</v>
      </c>
      <c r="E12" s="11">
        <f t="shared" si="2"/>
      </c>
      <c r="F12" s="5">
        <v>3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</c>
      <c r="L12" s="7">
        <v>0</v>
      </c>
      <c r="M12" s="11">
        <f t="shared" si="8"/>
      </c>
      <c r="N12" s="11">
        <f t="shared" si="9"/>
      </c>
      <c r="O12" s="20">
        <v>0</v>
      </c>
      <c r="P12" s="21">
        <v>0</v>
      </c>
      <c r="Q12" s="21">
        <v>0</v>
      </c>
      <c r="R12" s="22">
        <v>1</v>
      </c>
      <c r="S12" s="22">
        <v>0</v>
      </c>
      <c r="T12" s="20">
        <v>1</v>
      </c>
      <c r="U12" s="20">
        <v>0</v>
      </c>
      <c r="V12" s="20">
        <v>0</v>
      </c>
      <c r="W12" s="63">
        <f>IFERROR(CalcRC27(F12,G12,K12,O12,P12,Q12,R12,S12,T12,U12,V12),"-")</f>
      </c>
      <c r="X12" t="s" s="2">
        <v>433</v>
      </c>
    </row>
    <row r="13" spans="2:24" ht="13.8" x14ac:dyDescent="0.2">
      <c r="B13" s="8">
        <f t="shared" si="6"/>
      </c>
      <c r="C13" s="10">
        <v>8</v>
      </c>
      <c r="D13" t="s" s="13">
        <v>1677</v>
      </c>
      <c r="E13" s="11">
        <f t="shared" si="2"/>
      </c>
      <c r="F13" s="5">
        <v>3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</c>
      <c r="L13" s="7">
        <v>0</v>
      </c>
      <c r="M13" s="11">
        <f t="shared" si="8"/>
      </c>
      <c r="N13" s="11">
        <f t="shared" si="9"/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</c>
      <c r="X13" t="s" s="2">
        <v>435</v>
      </c>
    </row>
    <row r="14" spans="2:24" ht="13.8" x14ac:dyDescent="0.2">
      <c r="B14" s="8">
        <f t="shared" si="6"/>
      </c>
      <c r="C14" s="10">
        <v>9</v>
      </c>
      <c r="D14" s="13"/>
      <c r="E14" s="11">
        <f t="shared" si="2"/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</c>
      <c r="L14" s="7">
        <v>0</v>
      </c>
      <c r="M14" s="11">
        <f t="shared" si="8"/>
      </c>
      <c r="N14" s="11">
        <f t="shared" si="9"/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>
        <f>IFERROR(CalcRC27(F14,G14,K14,O14,P14,Q14,R14,S14,T14,U14,V14),"-")</f>
      </c>
      <c r="X14" s="2"/>
    </row>
    <row r="15" spans="2:24" ht="13.8" x14ac:dyDescent="0.2">
      <c r="B15" s="8">
        <f t="shared" si="6"/>
      </c>
      <c r="C15" s="10">
        <v>10</v>
      </c>
      <c r="D15" t="s" s="13">
        <v>1454</v>
      </c>
      <c r="E15" s="11">
        <f t="shared" si="2"/>
      </c>
      <c r="F15" s="5">
        <v>4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</c>
      <c r="L15" s="7">
        <v>0</v>
      </c>
      <c r="M15" s="11">
        <f t="shared" si="8"/>
      </c>
      <c r="N15" s="11">
        <f t="shared" si="9"/>
      </c>
      <c r="O15" s="20">
        <v>1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</c>
      <c r="X15" t="s" s="2">
        <v>1778</v>
      </c>
    </row>
    <row r="16" spans="2:24" ht="13.8" x14ac:dyDescent="0.2">
      <c r="B16" s="8">
        <f t="shared" si="6"/>
      </c>
      <c r="C16" s="10">
        <v>11</v>
      </c>
      <c r="D16" t="s" s="13">
        <v>1738</v>
      </c>
      <c r="E16" s="11">
        <f t="shared" si="2"/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</c>
      <c r="L16" s="7">
        <v>0</v>
      </c>
      <c r="M16" s="11">
        <f t="shared" si="8"/>
      </c>
      <c r="N16" s="11">
        <f t="shared" si="9"/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</c>
      <c r="X16" t="s" s="2">
        <v>1779</v>
      </c>
    </row>
    <row r="17" spans="2:24" ht="13.8" x14ac:dyDescent="0.2">
      <c r="B17" s="8">
        <f t="shared" si="6"/>
      </c>
      <c r="C17" s="10">
        <v>12</v>
      </c>
      <c r="D17" s="13"/>
      <c r="E17" s="11">
        <f t="shared" si="2"/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</c>
      <c r="L17" s="7">
        <v>0</v>
      </c>
      <c r="M17" s="11">
        <f t="shared" si="8"/>
      </c>
      <c r="N17" s="11">
        <f t="shared" si="9"/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>
        <f>IFERROR(CalcRC27(F17,G17,K17,O17,P17,Q17,R17,S17,T17,U17,V17),"-")</f>
      </c>
      <c r="X17" s="2"/>
    </row>
    <row r="18" spans="2:24" ht="13.8" x14ac:dyDescent="0.2">
      <c r="B18" s="8">
        <f t="shared" si="6"/>
      </c>
      <c r="C18" s="10">
        <v>13</v>
      </c>
      <c r="D18" t="s" s="13">
        <v>159</v>
      </c>
      <c r="E18" s="11">
        <f t="shared" si="2"/>
      </c>
      <c r="F18" s="5">
        <v>5</v>
      </c>
      <c r="G18" s="5">
        <v>1</v>
      </c>
      <c r="H18" s="5">
        <v>0</v>
      </c>
      <c r="I18" s="5">
        <v>0</v>
      </c>
      <c r="J18" s="6">
        <v>0</v>
      </c>
      <c r="K18" s="12">
        <f t="shared" si="7"/>
      </c>
      <c r="L18" s="7">
        <v>3</v>
      </c>
      <c r="M18" s="11">
        <f t="shared" si="8"/>
      </c>
      <c r="N18" s="11">
        <f t="shared" si="9"/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>
        <f>IFERROR(CalcRC27(F18,G18,K18,O18,P18,Q18,R18,S18,T18,U18,V18),"-")</f>
      </c>
      <c r="X18" t="s" s="2">
        <v>437</v>
      </c>
    </row>
    <row r="19" spans="2:24" ht="13.8" x14ac:dyDescent="0.2">
      <c r="B19" s="8">
        <f t="shared" si="6"/>
      </c>
      <c r="C19" s="10">
        <v>14</v>
      </c>
      <c r="D19" t="s" s="13">
        <v>815</v>
      </c>
      <c r="E19" s="11">
        <f t="shared" si="2"/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</c>
      <c r="L19" s="7">
        <v>0</v>
      </c>
      <c r="M19" s="11">
        <f t="shared" si="8"/>
      </c>
      <c r="N19" s="11">
        <f t="shared" si="9"/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>
        <f>IFERROR(CalcRC27(F19,G19,K19,O19,P19,Q19,R19,S19,T19,U19,V19),"-")</f>
      </c>
      <c r="X19" t="s" s="2">
        <v>808</v>
      </c>
    </row>
    <row r="20" spans="2:24" ht="13.8" x14ac:dyDescent="0.2">
      <c r="B20" s="8">
        <f t="shared" si="6"/>
      </c>
      <c r="C20" s="10">
        <v>15</v>
      </c>
      <c r="D20" t="s" s="8">
        <v>160</v>
      </c>
      <c r="E20" s="11">
        <f t="shared" si="2"/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</c>
      <c r="L20" s="7">
        <v>0</v>
      </c>
      <c r="M20" s="11">
        <f t="shared" si="8"/>
      </c>
      <c r="N20" s="11">
        <f t="shared" si="9"/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>
        <f>IFERROR(CalcRC27(F20,G20,K20,O20,P20,Q20,R20,S20,T20,U20,V20),"-")</f>
      </c>
      <c r="X20" t="s" s="2">
        <v>438</v>
      </c>
    </row>
    <row r="21" spans="2:24" ht="13.8" x14ac:dyDescent="0.2">
      <c r="B21" s="8">
        <f t="shared" si="6"/>
      </c>
      <c r="C21" s="10">
        <v>16</v>
      </c>
      <c r="D21" t="s" s="13">
        <v>161</v>
      </c>
      <c r="E21" s="11">
        <f t="shared" si="2"/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</c>
      <c r="L21" s="7">
        <v>0</v>
      </c>
      <c r="M21" s="11">
        <f t="shared" si="8"/>
      </c>
      <c r="N21" s="11">
        <f t="shared" si="9"/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</c>
      <c r="X21" t="s" s="2">
        <v>439</v>
      </c>
    </row>
    <row r="22" spans="2:24" ht="13.8" x14ac:dyDescent="0.2">
      <c r="B22" s="8">
        <f t="shared" si="6"/>
      </c>
      <c r="C22" s="10">
        <v>17</v>
      </c>
      <c r="D22" t="s" s="13">
        <v>162</v>
      </c>
      <c r="E22" s="11">
        <f t="shared" si="2"/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</c>
      <c r="L22" s="7">
        <v>0</v>
      </c>
      <c r="M22" s="11">
        <f t="shared" si="8"/>
      </c>
      <c r="N22" s="11">
        <f t="shared" si="9"/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>
        <f>IFERROR(CalcRC27(F22,G22,K22,O22,P22,Q22,R22,S22,T22,U22,V22),"-")</f>
      </c>
      <c r="X22" t="s" s="2">
        <v>155</v>
      </c>
    </row>
    <row r="23" spans="2:24" ht="13.8" x14ac:dyDescent="0.2">
      <c r="B23" s="8">
        <f t="shared" si="6"/>
      </c>
      <c r="C23" s="10">
        <v>18</v>
      </c>
      <c r="D23" t="s" s="13">
        <v>163</v>
      </c>
      <c r="E23" s="11">
        <f t="shared" si="2"/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</c>
      <c r="L23" s="7">
        <v>0</v>
      </c>
      <c r="M23" s="11">
        <f t="shared" si="8"/>
      </c>
      <c r="N23" s="11">
        <f t="shared" si="9"/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</c>
      <c r="X23" t="s" s="2">
        <v>440</v>
      </c>
    </row>
    <row r="24" spans="2:24" ht="13.8" x14ac:dyDescent="0.2">
      <c r="B24" s="8">
        <f t="shared" si="6"/>
      </c>
      <c r="C24" s="10">
        <v>19</v>
      </c>
      <c r="D24" t="s" s="13">
        <v>164</v>
      </c>
      <c r="E24" s="11">
        <f t="shared" si="2"/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</c>
      <c r="L24" s="7">
        <v>0</v>
      </c>
      <c r="M24" s="11">
        <f t="shared" si="8"/>
      </c>
      <c r="N24" s="11">
        <f t="shared" si="9"/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</c>
      <c r="X24" t="s" s="2">
        <v>441</v>
      </c>
    </row>
    <row r="25" spans="2:24" ht="13.8" x14ac:dyDescent="0.2">
      <c r="B25" s="8">
        <f t="shared" si="6"/>
      </c>
      <c r="C25" s="10">
        <v>20</v>
      </c>
      <c r="D25" t="s" s="13">
        <v>165</v>
      </c>
      <c r="E25" s="11">
        <f t="shared" si="2"/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</c>
      <c r="L25" s="7">
        <v>0</v>
      </c>
      <c r="M25" s="11">
        <f t="shared" si="8"/>
      </c>
      <c r="N25" s="11">
        <f t="shared" si="9"/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>
        <f>IFERROR(CalcRC27(F25,G25,K25,O25,P25,Q25,R25,S25,T25,U25,V25),"-")</f>
      </c>
      <c r="X25" t="s" s="2">
        <v>442</v>
      </c>
    </row>
    <row r="26" spans="2:24" ht="13.8" x14ac:dyDescent="0.2">
      <c r="B26" s="8">
        <f t="shared" si="6"/>
      </c>
      <c r="C26" s="10">
        <v>21</v>
      </c>
      <c r="D26" s="13"/>
      <c r="E26" s="11">
        <f t="shared" si="2"/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</c>
      <c r="L26" s="7">
        <v>0</v>
      </c>
      <c r="M26" s="11">
        <f t="shared" si="8"/>
      </c>
      <c r="N26" s="11">
        <f t="shared" si="9"/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>
        <f>IFERROR(CalcRC27(F26,G26,K26,O26,P26,Q26,R26,S26,T26,U26,V26),"-")</f>
      </c>
      <c r="X26" s="2"/>
    </row>
    <row r="27" spans="2:24" ht="13.8" x14ac:dyDescent="0.2">
      <c r="B27" s="8">
        <f t="shared" si="6"/>
      </c>
      <c r="C27" s="10">
        <v>22</v>
      </c>
      <c r="D27" t="s" s="13">
        <v>1739</v>
      </c>
      <c r="E27" s="11">
        <f t="shared" si="2"/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</c>
      <c r="L27" s="7">
        <v>0</v>
      </c>
      <c r="M27" s="11">
        <f t="shared" si="8"/>
      </c>
      <c r="N27" s="11">
        <f t="shared" si="9"/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>
        <f>IFERROR(CalcRC27(F27,G27,K27,O27,P27,Q27,R27,S27,T27,U27,V27),"-")</f>
      </c>
      <c r="X27" t="s" s="2">
        <v>1989</v>
      </c>
    </row>
    <row r="28" spans="2:24" ht="13.8" x14ac:dyDescent="0.2">
      <c r="B28" s="8">
        <f t="shared" si="6"/>
      </c>
      <c r="C28" s="10">
        <v>23</v>
      </c>
      <c r="D28" t="s" s="13">
        <v>1740</v>
      </c>
      <c r="E28" s="11">
        <f t="shared" si="2"/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</c>
      <c r="L28" s="7">
        <v>0</v>
      </c>
      <c r="M28" s="11">
        <f t="shared" si="8"/>
      </c>
      <c r="N28" s="11">
        <f t="shared" si="9"/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>
        <f>IFERROR(CalcRC27(F28,G28,K28,O28,P28,Q28,R28,S28,T28,U28,V28),"-")</f>
      </c>
      <c r="X28" t="s" s="2">
        <v>1780</v>
      </c>
    </row>
    <row r="29" spans="2:24" ht="13.8" x14ac:dyDescent="0.2">
      <c r="B29" s="8">
        <f t="shared" si="6"/>
      </c>
      <c r="C29" s="10">
        <v>24</v>
      </c>
      <c r="D29" t="s" s="13">
        <v>166</v>
      </c>
      <c r="E29" s="11">
        <f t="shared" si="2"/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</c>
      <c r="L29" s="7">
        <v>0</v>
      </c>
      <c r="M29" s="11">
        <f t="shared" si="8"/>
      </c>
      <c r="N29" s="11">
        <f t="shared" si="9"/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</c>
      <c r="X29" t="s" s="2">
        <v>444</v>
      </c>
    </row>
    <row r="30" spans="2:24" ht="13.8" x14ac:dyDescent="0.2">
      <c r="B30" s="8">
        <f t="shared" si="6"/>
      </c>
      <c r="C30" s="10">
        <v>25</v>
      </c>
      <c r="D30" t="s" s="13">
        <v>167</v>
      </c>
      <c r="E30" s="11">
        <f t="shared" si="2"/>
      </c>
      <c r="F30" s="5">
        <v>2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</c>
      <c r="L30" s="7">
        <v>0</v>
      </c>
      <c r="M30" s="11">
        <f t="shared" si="8"/>
      </c>
      <c r="N30" s="11">
        <f t="shared" si="9"/>
      </c>
      <c r="O30" s="20">
        <v>0</v>
      </c>
      <c r="P30" s="21">
        <v>0</v>
      </c>
      <c r="Q30" s="21">
        <v>1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</c>
      <c r="X30" t="s" s="2">
        <v>445</v>
      </c>
    </row>
    <row r="31" spans="2:24" ht="13.8" x14ac:dyDescent="0.2">
      <c r="B31" s="8">
        <f t="shared" si="6"/>
      </c>
      <c r="C31" s="10">
        <v>26</v>
      </c>
      <c r="D31" s="13"/>
      <c r="E31" s="11">
        <f t="shared" si="2"/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</c>
      <c r="L31" s="7">
        <v>0</v>
      </c>
      <c r="M31" s="11">
        <f t="shared" si="8"/>
      </c>
      <c r="N31" s="11">
        <f t="shared" si="9"/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>
        <f>IFERROR(CalcRC27(F31,G31,K31,O31,P31,Q31,R31,S31,T31,U31,V31),"-")</f>
      </c>
      <c r="X31" s="2"/>
    </row>
    <row r="32" spans="2:24" ht="13.8" x14ac:dyDescent="0.2">
      <c r="B32" s="8">
        <f t="shared" si="6"/>
      </c>
      <c r="C32" s="10">
        <v>27</v>
      </c>
      <c r="D32" t="s" s="13">
        <v>1657</v>
      </c>
      <c r="E32" s="11">
        <f t="shared" si="2"/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</c>
      <c r="L32" s="7">
        <v>0</v>
      </c>
      <c r="M32" s="11">
        <f t="shared" si="8"/>
      </c>
      <c r="N32" s="11">
        <f t="shared" si="9"/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</c>
      <c r="X32" t="s" s="2">
        <v>443</v>
      </c>
    </row>
    <row r="33" spans="2:24" ht="13.8" x14ac:dyDescent="0.2">
      <c r="B33" s="8">
        <f t="shared" si="6"/>
      </c>
      <c r="C33" s="10">
        <v>28</v>
      </c>
      <c r="D33" t="s" s="13">
        <v>1741</v>
      </c>
      <c r="E33" s="11">
        <f t="shared" si="2"/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</c>
      <c r="L33" s="7">
        <v>0</v>
      </c>
      <c r="M33" s="11">
        <f t="shared" si="8"/>
      </c>
      <c r="N33" s="11">
        <f t="shared" si="9"/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</c>
      <c r="X33" t="s" s="2">
        <v>1781</v>
      </c>
    </row>
    <row r="34" spans="2:24" ht="13.8" x14ac:dyDescent="0.2">
      <c r="B34" s="8">
        <f t="shared" si="6"/>
      </c>
      <c r="C34" s="10">
        <v>29</v>
      </c>
      <c r="D34" t="s" s="13">
        <v>101</v>
      </c>
      <c r="E34" s="11">
        <f t="shared" si="2"/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</c>
      <c r="L34" s="7">
        <v>0</v>
      </c>
      <c r="M34" s="11">
        <f t="shared" si="8"/>
      </c>
      <c r="N34" s="11">
        <f t="shared" si="9"/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>
        <f>IFERROR(CalcRC27(F34,G34,K34,O34,P34,Q34,R34,S34,T34,U34,V34),"-")</f>
      </c>
      <c r="X34" t="s" s="2">
        <v>446</v>
      </c>
    </row>
    <row r="35" spans="2:24" ht="13.8" x14ac:dyDescent="0.2">
      <c r="B35" s="8">
        <f t="shared" si="6"/>
      </c>
      <c r="C35" s="10">
        <v>30</v>
      </c>
      <c r="D35" t="s" s="13">
        <v>816</v>
      </c>
      <c r="E35" s="11">
        <f t="shared" si="2"/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</c>
      <c r="L35" s="7">
        <v>0</v>
      </c>
      <c r="M35" s="11">
        <f t="shared" si="8"/>
      </c>
      <c r="N35" s="11">
        <f t="shared" si="9"/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>
        <f>IFERROR(CalcRC27(F35,G35,K35,O35,P35,Q35,R35,S35,T35,U35,V35),"-")</f>
      </c>
      <c r="X35" t="s" s="2">
        <v>809</v>
      </c>
    </row>
    <row r="36" spans="2:24" ht="13.8" x14ac:dyDescent="0.2">
      <c r="B36" s="8">
        <f t="shared" si="6"/>
      </c>
      <c r="C36" s="10">
        <v>31</v>
      </c>
      <c r="D36" t="s" s="13">
        <v>1742</v>
      </c>
      <c r="E36" s="11">
        <f t="shared" si="2"/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</c>
      <c r="L36" s="7">
        <v>0</v>
      </c>
      <c r="M36" s="11">
        <f t="shared" si="8"/>
      </c>
      <c r="N36" s="11">
        <f t="shared" si="9"/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>
        <f>IFERROR(CalcRC27(F36,G36,K36,O36,P36,Q36,R36,S36,T36,U36,V36),"-")</f>
      </c>
      <c r="X36" t="s" s="2">
        <v>1782</v>
      </c>
    </row>
    <row r="37" spans="2:24" ht="13.8" x14ac:dyDescent="0.2">
      <c r="B37" s="8">
        <f t="shared" si="6"/>
      </c>
      <c r="C37" s="10">
        <v>32</v>
      </c>
      <c r="D37" t="s" s="13">
        <v>1020</v>
      </c>
      <c r="E37" s="11">
        <f t="shared" si="2"/>
      </c>
      <c r="F37" s="5">
        <v>4</v>
      </c>
      <c r="G37" s="5">
        <v>1</v>
      </c>
      <c r="H37" s="5">
        <v>0</v>
      </c>
      <c r="I37" s="5">
        <v>0</v>
      </c>
      <c r="J37" s="6">
        <v>0</v>
      </c>
      <c r="K37" s="12">
        <f t="shared" si="7"/>
      </c>
      <c r="L37" s="7">
        <v>2</v>
      </c>
      <c r="M37" s="11">
        <f t="shared" si="8"/>
      </c>
      <c r="N37" s="11">
        <f t="shared" si="9"/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>
        <f>IFERROR(CalcRC27(F37,G37,K37,O37,P37,Q37,R37,S37,T37,U37,V37),"-")</f>
      </c>
      <c r="X37" t="s" s="2">
        <v>156</v>
      </c>
    </row>
    <row r="38" spans="2:24" ht="13.8" x14ac:dyDescent="0.2">
      <c r="B38" s="8">
        <f t="shared" si="6"/>
      </c>
      <c r="C38" s="10">
        <v>33</v>
      </c>
      <c r="D38" t="s" s="13">
        <v>817</v>
      </c>
      <c r="E38" s="11">
        <f t="shared" si="2"/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</c>
      <c r="L38" s="7">
        <v>0</v>
      </c>
      <c r="M38" s="11">
        <f t="shared" si="8"/>
      </c>
      <c r="N38" s="11">
        <f t="shared" si="9"/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>
        <f>IFERROR(CalcRC27(F38,G38,K38,O38,P38,Q38,R38,S38,T38,U38,V38),"-")</f>
      </c>
      <c r="X38" t="s" s="2">
        <v>810</v>
      </c>
    </row>
    <row r="39" spans="2:24" ht="13.8" x14ac:dyDescent="0.2">
      <c r="B39" s="8">
        <f t="shared" si="6"/>
      </c>
      <c r="C39" s="10">
        <v>34</v>
      </c>
      <c r="D39" t="s" s="13">
        <v>1743</v>
      </c>
      <c r="E39" s="11">
        <f t="shared" si="2"/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</c>
      <c r="L39" s="7">
        <v>0</v>
      </c>
      <c r="M39" s="11">
        <f t="shared" si="8"/>
      </c>
      <c r="N39" s="11">
        <f t="shared" si="9"/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>
        <f>IFERROR(CalcRC27(F39,G39,K39,O39,P39,Q39,R39,S39,T39,U39,V39),"-")</f>
      </c>
      <c r="X39" t="s" s="2">
        <v>1783</v>
      </c>
    </row>
    <row r="40" spans="2:24" ht="13.8" x14ac:dyDescent="0.2">
      <c r="B40" s="8">
        <f t="shared" si="6"/>
      </c>
      <c r="C40" s="10">
        <v>35</v>
      </c>
      <c r="D40" t="s" s="13">
        <v>1744</v>
      </c>
      <c r="E40" s="11">
        <f t="shared" si="2"/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</c>
      <c r="L40" s="7">
        <v>0</v>
      </c>
      <c r="M40" s="11">
        <f t="shared" si="8"/>
      </c>
      <c r="N40" s="11">
        <f t="shared" si="9"/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>
        <f>IFERROR(CalcRC27(F40,G40,K40,O40,P40,Q40,R40,S40,T40,U40,V40),"-")</f>
      </c>
      <c r="X40" t="s" s="2">
        <v>1784</v>
      </c>
    </row>
    <row r="41" spans="2:24" ht="13.8" x14ac:dyDescent="0.2">
      <c r="B41" s="8">
        <f t="shared" si="6"/>
      </c>
      <c r="C41" s="10">
        <v>36</v>
      </c>
      <c r="D41" t="s" s="13">
        <v>1745</v>
      </c>
      <c r="E41" s="11">
        <f t="shared" si="2"/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</c>
      <c r="L41" s="7">
        <v>0</v>
      </c>
      <c r="M41" s="11">
        <f t="shared" si="8"/>
      </c>
      <c r="N41" s="11">
        <f t="shared" si="9"/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>
        <f>IFERROR(CalcRC27(F41,G41,K41,O41,P41,Q41,R41,S41,T41,U41,V41),"-")</f>
      </c>
      <c r="X41" t="s" s="2">
        <v>1785</v>
      </c>
    </row>
    <row r="42" spans="2:24" ht="13.8" x14ac:dyDescent="0.2">
      <c r="B42" s="8">
        <f t="shared" si="6"/>
      </c>
      <c r="C42" s="10">
        <v>37</v>
      </c>
      <c r="D42" t="s" s="13">
        <v>1746</v>
      </c>
      <c r="E42" s="11">
        <f t="shared" si="2"/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</c>
      <c r="L42" s="7">
        <v>0</v>
      </c>
      <c r="M42" s="11">
        <f t="shared" si="8"/>
      </c>
      <c r="N42" s="11">
        <f t="shared" si="9"/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>
        <f>IFERROR(CalcRC27(F42,G42,K42,O42,P42,Q42,R42,S42,T42,U42,V42),"-")</f>
      </c>
      <c r="X42" t="s" s="2">
        <v>450</v>
      </c>
    </row>
    <row r="43" spans="2:24" ht="13.8" x14ac:dyDescent="0.2">
      <c r="B43" s="8">
        <f t="shared" si="6"/>
      </c>
      <c r="C43" s="10">
        <v>38</v>
      </c>
      <c r="D43" t="s" s="13">
        <v>642</v>
      </c>
      <c r="E43" s="11">
        <f t="shared" si="2"/>
      </c>
      <c r="F43" s="5">
        <v>2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</c>
      <c r="L43" s="7">
        <v>0</v>
      </c>
      <c r="M43" s="11">
        <f t="shared" si="8"/>
      </c>
      <c r="N43" s="11">
        <f t="shared" si="9"/>
      </c>
      <c r="O43" s="20">
        <v>1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>
        <f>IFERROR(CalcRC27(F43,G43,K43,O43,P43,Q43,R43,S43,T43,U43,V43),"-")</f>
      </c>
      <c r="X43" t="s" s="2">
        <v>646</v>
      </c>
    </row>
    <row r="44" spans="2:24" ht="13.8" x14ac:dyDescent="0.2">
      <c r="B44" s="8">
        <f t="shared" si="6"/>
      </c>
      <c r="C44" s="10">
        <v>39</v>
      </c>
      <c r="D44" t="s" s="13">
        <v>1747</v>
      </c>
      <c r="E44" s="11">
        <f t="shared" si="2"/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</c>
      <c r="L44" s="7">
        <v>0</v>
      </c>
      <c r="M44" s="11">
        <f t="shared" si="8"/>
      </c>
      <c r="N44" s="11">
        <f t="shared" si="9"/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>
        <f>IFERROR(CalcRC27(F44,G44,K44,O44,P44,Q44,R44,S44,T44,U44,V44),"-")</f>
      </c>
      <c r="X44" t="s" s="2">
        <v>217</v>
      </c>
    </row>
    <row r="45" spans="2:24" ht="13.8" x14ac:dyDescent="0.2">
      <c r="B45" s="8">
        <f t="shared" si="6"/>
      </c>
      <c r="C45" s="10">
        <v>40</v>
      </c>
      <c r="D45" t="s" s="13">
        <v>1748</v>
      </c>
      <c r="E45" s="11">
        <f t="shared" si="2"/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</c>
      <c r="L45" s="7">
        <v>0</v>
      </c>
      <c r="M45" s="11">
        <f t="shared" si="8"/>
      </c>
      <c r="N45" s="11">
        <f t="shared" si="9"/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>
        <f>IFERROR(CalcRC27(F45,G45,K45,O45,P45,Q45,R45,S45,T45,U45,V45),"-")</f>
      </c>
      <c r="X45" t="s" s="2">
        <v>1786</v>
      </c>
    </row>
    <row r="46" spans="2:24" ht="13.8" x14ac:dyDescent="0.2">
      <c r="B46" s="8">
        <f t="shared" si="6"/>
      </c>
      <c r="C46" s="10">
        <v>41</v>
      </c>
      <c r="D46" t="s" s="13">
        <v>1749</v>
      </c>
      <c r="E46" s="11">
        <f t="shared" si="2"/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</c>
      <c r="L46" s="7">
        <v>0</v>
      </c>
      <c r="M46" s="11">
        <f t="shared" si="8"/>
      </c>
      <c r="N46" s="11">
        <f t="shared" si="9"/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>
        <f>IFERROR(CalcRC27(F46,G46,K46,O46,P46,Q46,R46,S46,T46,U46,V46),"-")</f>
      </c>
      <c r="X46" t="s" s="2">
        <v>1990</v>
      </c>
    </row>
    <row r="47" spans="2:24" ht="13.8" x14ac:dyDescent="0.2">
      <c r="B47" s="8">
        <f t="shared" si="6"/>
      </c>
      <c r="C47" s="10">
        <v>42</v>
      </c>
      <c r="D47" t="s" s="13">
        <v>1750</v>
      </c>
      <c r="E47" s="11">
        <f t="shared" si="2"/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</c>
      <c r="L47" s="7">
        <v>0</v>
      </c>
      <c r="M47" s="11">
        <f t="shared" si="8"/>
      </c>
      <c r="N47" s="11">
        <f t="shared" si="9"/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</c>
      <c r="X47" t="s" s="2">
        <v>1991</v>
      </c>
    </row>
    <row r="48" spans="2:24" ht="13.8" x14ac:dyDescent="0.2">
      <c r="B48" s="8">
        <f t="shared" si="6"/>
      </c>
      <c r="C48" s="10">
        <v>43</v>
      </c>
      <c r="D48" t="s" s="13">
        <v>818</v>
      </c>
      <c r="E48" s="11">
        <f t="shared" si="2"/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</c>
      <c r="L48" s="7">
        <v>0</v>
      </c>
      <c r="M48" s="11">
        <f t="shared" si="8"/>
      </c>
      <c r="N48" s="11">
        <f t="shared" si="9"/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>
        <f>IFERROR(CalcRC27(F48,G48,K48,O48,P48,Q48,R48,S48,T48,U48,V48),"-")</f>
      </c>
      <c r="X48" t="s" s="2">
        <v>811</v>
      </c>
    </row>
    <row r="49" spans="2:24" ht="13.8" x14ac:dyDescent="0.2">
      <c r="B49" s="8">
        <f t="shared" si="6"/>
      </c>
      <c r="C49" s="10">
        <v>44</v>
      </c>
      <c r="D49" t="s" s="13">
        <v>1330</v>
      </c>
      <c r="E49" s="11">
        <f t="shared" si="2"/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</c>
      <c r="L49" s="7">
        <v>0</v>
      </c>
      <c r="M49" s="11">
        <f t="shared" si="8"/>
      </c>
      <c r="N49" s="11">
        <f t="shared" si="9"/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</c>
      <c r="X49" t="s" s="2">
        <v>451</v>
      </c>
    </row>
    <row r="50" spans="2:24" ht="13.8" x14ac:dyDescent="0.2">
      <c r="B50" s="8">
        <f t="shared" si="6"/>
      </c>
      <c r="C50" s="10">
        <v>45</v>
      </c>
      <c r="D50" t="s" s="13">
        <v>1751</v>
      </c>
      <c r="E50" s="11">
        <f t="shared" si="2"/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</c>
      <c r="L50" s="7">
        <v>0</v>
      </c>
      <c r="M50" s="11">
        <f t="shared" si="8"/>
      </c>
      <c r="N50" s="11">
        <f t="shared" si="9"/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>
        <f>IFERROR(CalcRC27(F50,G50,K50,O50,P50,Q50,R50,S50,T50,U50,V50),"-")</f>
      </c>
      <c r="X50" t="s" s="2">
        <v>464</v>
      </c>
    </row>
    <row r="51" spans="2:24" ht="13.8" x14ac:dyDescent="0.2">
      <c r="B51" s="8">
        <f t="shared" si="6"/>
      </c>
      <c r="C51" s="10">
        <v>46</v>
      </c>
      <c r="D51" t="s" s="13">
        <v>168</v>
      </c>
      <c r="E51" s="11">
        <f t="shared" si="2"/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</c>
      <c r="L51" s="7">
        <v>0</v>
      </c>
      <c r="M51" s="11">
        <f t="shared" si="8"/>
      </c>
      <c r="N51" s="11">
        <f t="shared" si="9"/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</c>
      <c r="X51" t="s" s="2">
        <v>452</v>
      </c>
    </row>
    <row r="52" spans="2:24" ht="13.8" x14ac:dyDescent="0.2">
      <c r="B52" s="8">
        <f t="shared" si="6"/>
      </c>
      <c r="C52" s="10">
        <v>47</v>
      </c>
      <c r="D52" t="s" s="13">
        <v>1752</v>
      </c>
      <c r="E52" s="11">
        <f t="shared" si="2"/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</c>
      <c r="L52" s="7">
        <v>0</v>
      </c>
      <c r="M52" s="11">
        <f t="shared" si="8"/>
      </c>
      <c r="N52" s="11">
        <f t="shared" si="9"/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>
        <f>IFERROR(CalcRC27(F52,G52,K52,O52,P52,Q52,R52,S52,T52,U52,V52),"-")</f>
      </c>
      <c r="X52" t="s" s="2">
        <v>449</v>
      </c>
    </row>
    <row r="53" spans="2:24" ht="13.8" x14ac:dyDescent="0.2">
      <c r="B53" s="8">
        <f t="shared" si="6"/>
      </c>
      <c r="C53" s="10">
        <v>48</v>
      </c>
      <c r="D53" t="s" s="13">
        <v>169</v>
      </c>
      <c r="E53" s="11">
        <f t="shared" si="2"/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</c>
      <c r="L53" s="7">
        <v>0</v>
      </c>
      <c r="M53" s="11">
        <f t="shared" si="8"/>
      </c>
      <c r="N53" s="11">
        <f t="shared" si="9"/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>
        <f>IFERROR(CalcRC27(F53,G53,K53,O53,P53,Q53,R53,S53,T53,U53,V53),"-")</f>
      </c>
      <c r="X53" t="s" s="2">
        <v>453</v>
      </c>
    </row>
    <row r="54" spans="2:24" ht="13.8" x14ac:dyDescent="0.2">
      <c r="B54" s="8">
        <f t="shared" si="6"/>
      </c>
      <c r="C54" s="10">
        <v>49</v>
      </c>
      <c r="D54" t="s" s="13">
        <v>648</v>
      </c>
      <c r="E54" s="11">
        <f t="shared" si="2"/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</c>
      <c r="L54" s="7">
        <v>0</v>
      </c>
      <c r="M54" s="11">
        <f t="shared" si="8"/>
      </c>
      <c r="N54" s="11">
        <f t="shared" si="9"/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</c>
      <c r="X54" t="s" s="2">
        <v>649</v>
      </c>
    </row>
    <row r="55" spans="2:24" ht="13.8" x14ac:dyDescent="0.2">
      <c r="B55" s="8">
        <f t="shared" si="6"/>
      </c>
      <c r="C55" s="10">
        <v>50</v>
      </c>
      <c r="D55" t="s" s="13">
        <v>1753</v>
      </c>
      <c r="E55" s="11">
        <f t="shared" si="2"/>
      </c>
      <c r="F55" s="5">
        <v>1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</c>
      <c r="L55" s="7">
        <v>0</v>
      </c>
      <c r="M55" s="11">
        <f t="shared" si="8"/>
      </c>
      <c r="N55" s="11">
        <f t="shared" si="9"/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>
        <f>IFERROR(CalcRC27(F55,G55,K55,O55,P55,Q55,R55,S55,T55,U55,V55),"-")</f>
      </c>
      <c r="X55" t="s" s="2">
        <v>1753</v>
      </c>
    </row>
    <row r="56" spans="2:24" ht="13.8" x14ac:dyDescent="0.2">
      <c r="B56" s="8">
        <f t="shared" si="6"/>
      </c>
      <c r="C56" s="10">
        <v>51</v>
      </c>
      <c r="D56" t="s" s="13">
        <v>1754</v>
      </c>
      <c r="E56" s="11">
        <f t="shared" si="2"/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</c>
      <c r="L56" s="7">
        <v>0</v>
      </c>
      <c r="M56" s="11">
        <f t="shared" si="8"/>
      </c>
      <c r="N56" s="11">
        <f t="shared" si="9"/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>
        <f>IFERROR(CalcRC27(F56,G56,K56,O56,P56,Q56,R56,S56,T56,U56,V56),"-")</f>
      </c>
      <c r="X56" t="s" s="2">
        <v>454</v>
      </c>
    </row>
    <row r="57" spans="2:24" ht="13.8" x14ac:dyDescent="0.2">
      <c r="B57" s="8">
        <f t="shared" si="6"/>
      </c>
      <c r="C57" s="10">
        <v>52</v>
      </c>
      <c r="D57" t="s" s="13">
        <v>905</v>
      </c>
      <c r="E57" s="11">
        <f t="shared" si="2"/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</c>
      <c r="L57" s="7">
        <v>0</v>
      </c>
      <c r="M57" s="11">
        <f t="shared" si="8"/>
      </c>
      <c r="N57" s="11">
        <f t="shared" si="9"/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>
        <f>IFERROR(CalcRC27(F57,G57,K57,O57,P57,Q57,R57,S57,T57,U57,V57),"-")</f>
      </c>
      <c r="X57" t="s" s="2">
        <v>455</v>
      </c>
    </row>
    <row r="58" spans="2:24" ht="13.8" x14ac:dyDescent="0.2">
      <c r="B58" s="8">
        <f t="shared" si="6"/>
      </c>
      <c r="C58" s="10">
        <v>53</v>
      </c>
      <c r="D58" t="s" s="13">
        <v>1541</v>
      </c>
      <c r="E58" s="11">
        <f t="shared" si="2"/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</c>
      <c r="L58" s="7">
        <v>0</v>
      </c>
      <c r="M58" s="11">
        <f t="shared" si="8"/>
      </c>
      <c r="N58" s="11">
        <f t="shared" si="9"/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>
        <f>IFERROR(CalcRC27(F58,G58,K58,O58,P58,Q58,R58,S58,T58,U58,V58),"-")</f>
      </c>
      <c r="X58" t="s" s="2">
        <v>1787</v>
      </c>
    </row>
    <row r="59" spans="2:24" ht="13.8" x14ac:dyDescent="0.2">
      <c r="B59" s="8">
        <f t="shared" si="6"/>
      </c>
      <c r="C59" s="10">
        <v>54</v>
      </c>
      <c r="D59" s="13"/>
      <c r="E59" s="11">
        <f t="shared" si="2"/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</c>
      <c r="L59" s="7">
        <v>0</v>
      </c>
      <c r="M59" s="11">
        <f t="shared" si="8"/>
      </c>
      <c r="N59" s="11">
        <f t="shared" si="9"/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>
        <f>IFERROR(CalcRC27(F59,G59,K59,O59,P59,Q59,R59,S59,T59,U59,V59),"-")</f>
      </c>
      <c r="X59" s="2"/>
    </row>
    <row r="60" spans="2:24" ht="13.8" x14ac:dyDescent="0.2">
      <c r="B60" s="8">
        <f t="shared" si="6"/>
      </c>
      <c r="C60" s="10">
        <v>55</v>
      </c>
      <c r="D60" t="s" s="13">
        <v>1755</v>
      </c>
      <c r="E60" s="11">
        <f t="shared" si="2"/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</c>
      <c r="L60" s="7">
        <v>0</v>
      </c>
      <c r="M60" s="11">
        <f t="shared" si="8"/>
      </c>
      <c r="N60" s="11">
        <f t="shared" si="9"/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>
        <f>IFERROR(CalcRC27(F60,G60,K60,O60,P60,Q60,R60,S60,T60,U60,V60),"-")</f>
      </c>
      <c r="X60" t="s" s="2">
        <v>463</v>
      </c>
    </row>
    <row r="61" spans="2:24" ht="13.8" x14ac:dyDescent="0.2">
      <c r="B61" s="8">
        <f t="shared" si="6"/>
      </c>
      <c r="C61" s="10">
        <v>56</v>
      </c>
      <c r="D61" t="s" s="13">
        <v>208</v>
      </c>
      <c r="E61" s="11">
        <f t="shared" si="2"/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</c>
      <c r="L61" s="7">
        <v>0</v>
      </c>
      <c r="M61" s="11">
        <f t="shared" si="8"/>
      </c>
      <c r="N61" s="11">
        <f t="shared" si="9"/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>
        <f>IFERROR(CalcRC27(F61,G61,K61,O61,P61,Q61,R61,S61,T61,U61,V61),"-")</f>
      </c>
      <c r="X61" t="s" s="2">
        <v>456</v>
      </c>
    </row>
    <row r="62" spans="2:24" ht="13.8" x14ac:dyDescent="0.2">
      <c r="B62" s="8">
        <f t="shared" si="6"/>
      </c>
      <c r="C62" s="10">
        <v>57</v>
      </c>
      <c r="D62" t="s" s="13">
        <v>1293</v>
      </c>
      <c r="E62" s="11">
        <f t="shared" si="2"/>
      </c>
      <c r="F62" s="5">
        <v>2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</c>
      <c r="L62" s="7">
        <v>0</v>
      </c>
      <c r="M62" s="11">
        <f t="shared" si="8"/>
      </c>
      <c r="N62" s="11">
        <f t="shared" si="9"/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>
        <f>IFERROR(CalcRC27(F62,G62,K62,O62,P62,Q62,R62,S62,T62,U62,V62),"-")</f>
      </c>
      <c r="X62" t="s" s="2">
        <v>457</v>
      </c>
    </row>
    <row r="63" spans="2:24" ht="13.8" x14ac:dyDescent="0.2">
      <c r="B63" s="8">
        <f t="shared" si="6"/>
      </c>
      <c r="C63" s="10">
        <v>58</v>
      </c>
      <c r="D63" s="13"/>
      <c r="E63" s="11">
        <f t="shared" si="2"/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</c>
      <c r="L63" s="7">
        <v>0</v>
      </c>
      <c r="M63" s="11">
        <f t="shared" si="8"/>
      </c>
      <c r="N63" s="11">
        <f t="shared" si="9"/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>
        <f>IFERROR(CalcRC27(F63,G63,K63,O63,P63,Q63,R63,S63,T63,U63,V63),"-")</f>
      </c>
      <c r="X63" s="2"/>
    </row>
    <row r="64" spans="2:24" ht="13.8" x14ac:dyDescent="0.2">
      <c r="B64" s="8">
        <f t="shared" si="6"/>
      </c>
      <c r="C64" s="10">
        <v>59</v>
      </c>
      <c r="D64" t="s" s="13">
        <v>1756</v>
      </c>
      <c r="E64" s="11">
        <f t="shared" si="2"/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</c>
      <c r="L64" s="7">
        <v>0</v>
      </c>
      <c r="M64" s="11">
        <f t="shared" si="8"/>
      </c>
      <c r="N64" s="11">
        <f t="shared" si="9"/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>
        <f>IFERROR(CalcRC27(F64,G64,K64,O64,P64,Q64,R64,S64,T64,U64,V64),"-")</f>
      </c>
      <c r="X64" t="s" s="2">
        <v>1788</v>
      </c>
    </row>
    <row r="65" spans="2:24" ht="13.8" x14ac:dyDescent="0.2">
      <c r="B65" s="8">
        <f t="shared" si="6"/>
      </c>
      <c r="C65" s="10">
        <v>60</v>
      </c>
      <c r="D65" t="s" s="13">
        <v>1757</v>
      </c>
      <c r="E65" s="11">
        <f t="shared" si="2"/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</c>
      <c r="L65" s="7">
        <v>0</v>
      </c>
      <c r="M65" s="11">
        <f t="shared" si="8"/>
      </c>
      <c r="N65" s="11">
        <f t="shared" si="9"/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>
        <f>IFERROR(CalcRC27(F65,G65,K65,O65,P65,Q65,R65,S65,T65,U65,V65),"-")</f>
      </c>
      <c r="X65" t="s" s="2">
        <v>459</v>
      </c>
    </row>
    <row r="66" spans="2:24" ht="13.8" x14ac:dyDescent="0.2">
      <c r="B66" s="8">
        <f t="shared" si="6"/>
      </c>
      <c r="C66" s="10">
        <v>61</v>
      </c>
      <c r="D66" t="s" s="13">
        <v>1295</v>
      </c>
      <c r="E66" s="11">
        <f t="shared" si="2"/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</c>
      <c r="L66" s="7">
        <v>0</v>
      </c>
      <c r="M66" s="11">
        <f t="shared" si="8"/>
      </c>
      <c r="N66" s="11">
        <f t="shared" si="9"/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>
        <f>IFERROR(CalcRC27(F66,G66,K66,O66,P66,Q66,R66,S66,T66,U66,V66),"-")</f>
      </c>
      <c r="X66" t="s" s="2">
        <v>1789</v>
      </c>
    </row>
    <row r="67" spans="2:24" ht="13.8" x14ac:dyDescent="0.2">
      <c r="B67" s="8">
        <f t="shared" si="6"/>
      </c>
      <c r="C67" s="10">
        <v>62</v>
      </c>
      <c r="D67" t="s" s="13">
        <v>1438</v>
      </c>
      <c r="E67" s="11">
        <f t="shared" si="2"/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</c>
      <c r="L67" s="7">
        <v>0</v>
      </c>
      <c r="M67" s="11">
        <f t="shared" si="8"/>
      </c>
      <c r="N67" s="11">
        <f t="shared" si="9"/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>
        <f>IFERROR(CalcRC27(F67,G67,K67,O67,P67,Q67,R67,S67,T67,U67,V67),"-")</f>
      </c>
      <c r="X67" t="s" s="2">
        <v>813</v>
      </c>
    </row>
    <row r="68" spans="2:24" ht="13.8" x14ac:dyDescent="0.2">
      <c r="B68" s="8">
        <f t="shared" si="6"/>
      </c>
      <c r="C68" s="10">
        <v>63</v>
      </c>
      <c r="D68" t="s" s="9">
        <v>209</v>
      </c>
      <c r="E68" s="11">
        <f t="shared" si="2"/>
      </c>
      <c r="F68" s="5">
        <v>2</v>
      </c>
      <c r="G68" s="5">
        <v>1</v>
      </c>
      <c r="H68" s="5">
        <v>0</v>
      </c>
      <c r="I68" s="5">
        <v>0</v>
      </c>
      <c r="J68" s="6">
        <v>0</v>
      </c>
      <c r="K68" s="12">
        <f t="shared" si="7"/>
      </c>
      <c r="L68" s="7">
        <v>1</v>
      </c>
      <c r="M68" s="11">
        <f t="shared" si="8"/>
      </c>
      <c r="N68" s="11">
        <f t="shared" si="9"/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1</v>
      </c>
      <c r="U68" s="20">
        <v>1</v>
      </c>
      <c r="V68" s="20">
        <v>0</v>
      </c>
      <c r="W68" s="63">
        <f>IFERROR(CalcRC27(F68,G68,K68,O68,P68,Q68,R68,S68,T68,U68,V68),"-")</f>
      </c>
      <c r="X68" t="s" s="2">
        <v>210</v>
      </c>
    </row>
    <row r="69" spans="2:24" ht="13.8" x14ac:dyDescent="0.2">
      <c r="B69" s="8">
        <f t="shared" ref="B69:B132" si="10">IF(C69="","",C69)</f>
      </c>
      <c r="C69" s="10">
        <v>64</v>
      </c>
      <c r="D69" t="s" s="13">
        <v>1758</v>
      </c>
      <c r="E69" s="11">
        <f t="shared" ref="E69:E132" si="11">IFERROR(IF(G69/F69=1,"1.00",G69/F69),"---")</f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</c>
      <c r="L69" s="7">
        <v>0</v>
      </c>
      <c r="M69" s="11">
        <f t="shared" ref="M69:M132" si="13">IFERROR(IF((G69+P69+Q69)/(F69+P69+Q69+S69)=1,"1.00",(G69+P69+Q69)/(F69+P69+Q69+S69)),0)</f>
      </c>
      <c r="N69" s="11">
        <f t="shared" ref="N69:N132" si="14">IFERROR(SUM(K69/F69,((G69+P69+Q69)/(F69+P69+Q69+S69))),M69)</f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>
        <f>IFERROR(CalcRC27(F69,G69,K69,O69,P69,Q69,R69,S69,T69,U69,V69),"-")</f>
      </c>
      <c r="X69" t="s" s="2">
        <v>1992</v>
      </c>
    </row>
    <row r="70" spans="2:24" ht="13.8" x14ac:dyDescent="0.2">
      <c r="B70" s="8">
        <f t="shared" si="10"/>
      </c>
      <c r="C70" s="10">
        <v>65</v>
      </c>
      <c r="D70" t="s" s="9">
        <v>1759</v>
      </c>
      <c r="E70" s="11">
        <f t="shared" si="11"/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</c>
      <c r="L70" s="7">
        <v>0</v>
      </c>
      <c r="M70" s="11">
        <f t="shared" si="13"/>
      </c>
      <c r="N70" s="11">
        <f t="shared" si="14"/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>
        <f>IFERROR(CalcRC27(F70,G70,K70,O70,P70,Q70,R70,S70,T70,U70,V70),"-")</f>
      </c>
      <c r="X70" t="s" s="2">
        <v>1790</v>
      </c>
    </row>
    <row r="71" spans="2:24" ht="13.8" x14ac:dyDescent="0.2">
      <c r="B71" s="8">
        <f t="shared" si="10"/>
      </c>
      <c r="C71" s="10">
        <v>66</v>
      </c>
      <c r="D71" t="s" s="13">
        <v>1760</v>
      </c>
      <c r="E71" s="11">
        <f t="shared" si="11"/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</c>
      <c r="L71" s="7">
        <v>0</v>
      </c>
      <c r="M71" s="11">
        <f t="shared" si="13"/>
      </c>
      <c r="N71" s="11">
        <f t="shared" si="14"/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>
        <f>IFERROR(CalcRC27(F71,G71,K71,O71,P71,Q71,R71,S71,T71,U71,V71),"-")</f>
      </c>
      <c r="X71" t="s" s="2">
        <v>422</v>
      </c>
    </row>
    <row r="72" spans="2:24" ht="13.8" x14ac:dyDescent="0.2">
      <c r="B72" s="8">
        <f t="shared" si="10"/>
      </c>
      <c r="C72" s="10">
        <v>67</v>
      </c>
      <c r="D72" t="s" s="13">
        <v>170</v>
      </c>
      <c r="E72" s="11">
        <f t="shared" si="11"/>
      </c>
      <c r="F72" s="5">
        <v>3</v>
      </c>
      <c r="G72" s="5">
        <v>1</v>
      </c>
      <c r="H72" s="5">
        <v>0</v>
      </c>
      <c r="I72" s="5">
        <v>0</v>
      </c>
      <c r="J72" s="6">
        <v>0</v>
      </c>
      <c r="K72" s="12">
        <f t="shared" si="12"/>
      </c>
      <c r="L72" s="7">
        <v>0</v>
      </c>
      <c r="M72" s="11">
        <f t="shared" si="13"/>
      </c>
      <c r="N72" s="11">
        <f t="shared" si="14"/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>
        <f>IFERROR(CalcRC27(F72,G72,K72,O72,P72,Q72,R72,S72,T72,U72,V72),"-")</f>
      </c>
      <c r="X72" t="s" s="2">
        <v>461</v>
      </c>
    </row>
    <row r="73" spans="2:24" ht="13.8" x14ac:dyDescent="0.2">
      <c r="B73" s="8">
        <f t="shared" si="10"/>
      </c>
      <c r="C73" s="10">
        <v>68</v>
      </c>
      <c r="D73" t="s" s="13">
        <v>1761</v>
      </c>
      <c r="E73" s="11">
        <f t="shared" si="11"/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</c>
      <c r="L73" s="7">
        <v>0</v>
      </c>
      <c r="M73" s="11">
        <f t="shared" si="13"/>
      </c>
      <c r="N73" s="11">
        <f t="shared" si="14"/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>
        <f>IFERROR(CalcRC27(F73,G73,K73,O73,P73,Q73,R73,S73,T73,U73,V73),"-")</f>
      </c>
      <c r="X73" t="s" s="2">
        <v>1791</v>
      </c>
    </row>
    <row r="74" spans="2:24" ht="13.8" x14ac:dyDescent="0.2">
      <c r="B74" s="8">
        <f t="shared" si="10"/>
      </c>
      <c r="C74" s="10">
        <v>69</v>
      </c>
      <c r="D74" t="s" s="13">
        <v>1675</v>
      </c>
      <c r="E74" s="11">
        <f t="shared" si="11"/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</c>
      <c r="L74" s="7">
        <v>0</v>
      </c>
      <c r="M74" s="11">
        <f t="shared" si="13"/>
      </c>
      <c r="N74" s="11">
        <f t="shared" si="14"/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>
        <f>IFERROR(CalcRC27(F74,G74,K74,O74,P74,Q74,R74,S74,T74,U74,V74),"-")</f>
      </c>
      <c r="X74" t="s" s="2">
        <v>1993</v>
      </c>
    </row>
    <row r="75" spans="2:24" ht="13.8" x14ac:dyDescent="0.2">
      <c r="B75" s="8">
        <f t="shared" si="10"/>
      </c>
      <c r="C75" s="10">
        <v>70</v>
      </c>
      <c r="D75" s="8"/>
      <c r="E75" s="11">
        <f t="shared" si="11"/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</c>
      <c r="L75" s="7">
        <v>0</v>
      </c>
      <c r="M75" s="11">
        <f t="shared" si="13"/>
      </c>
      <c r="N75" s="11">
        <f t="shared" si="14"/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>
        <f>IFERROR(CalcRC27(F75,G75,K75,O75,P75,Q75,R75,S75,T75,U75,V75),"-")</f>
      </c>
      <c r="X75" s="2"/>
    </row>
    <row r="76" spans="2:24" ht="13.8" x14ac:dyDescent="0.2">
      <c r="B76" s="8">
        <f t="shared" si="10"/>
      </c>
      <c r="C76" s="10">
        <v>71</v>
      </c>
      <c r="D76" s="8"/>
      <c r="E76" s="11">
        <f t="shared" si="11"/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</c>
      <c r="L76" s="7">
        <v>0</v>
      </c>
      <c r="M76" s="11">
        <f t="shared" si="13"/>
      </c>
      <c r="N76" s="11">
        <f t="shared" si="14"/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>
        <f>IFERROR(CalcRC27(F76,G76,K76,O76,P76,Q76,R76,S76,T76,U76,V76),"-")</f>
      </c>
      <c r="X76" s="2"/>
    </row>
    <row r="77" spans="2:24" ht="13.8" x14ac:dyDescent="0.2">
      <c r="B77" s="8">
        <f t="shared" si="10"/>
      </c>
      <c r="C77" s="10">
        <v>72</v>
      </c>
      <c r="D77" s="8"/>
      <c r="E77" s="11">
        <f t="shared" si="11"/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</c>
      <c r="L77" s="7">
        <v>0</v>
      </c>
      <c r="M77" s="11">
        <f t="shared" si="13"/>
      </c>
      <c r="N77" s="11">
        <f t="shared" si="14"/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>
        <f>IFERROR(CalcRC27(F77,G77,K77,O77,P77,Q77,R77,S77,T77,U77,V77),"-")</f>
      </c>
      <c r="X77" s="2"/>
    </row>
    <row r="78" spans="2:24" ht="13.8" x14ac:dyDescent="0.2">
      <c r="B78" s="8">
        <f t="shared" si="10"/>
      </c>
      <c r="C78" s="10">
        <v>73</v>
      </c>
      <c r="D78" s="8"/>
      <c r="E78" s="11">
        <f t="shared" si="11"/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</c>
      <c r="L78" s="7">
        <v>0</v>
      </c>
      <c r="M78" s="11">
        <f t="shared" si="13"/>
      </c>
      <c r="N78" s="11">
        <f t="shared" si="14"/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>
        <f>IFERROR(CalcRC27(F78,G78,K78,O78,P78,Q78,R78,S78,T78,U78,V78),"-")</f>
      </c>
      <c r="X78" s="2"/>
    </row>
    <row r="79" spans="2:24" ht="13.8" x14ac:dyDescent="0.2">
      <c r="B79" s="8">
        <f t="shared" si="10"/>
      </c>
      <c r="C79" s="10">
        <v>74</v>
      </c>
      <c r="D79" s="8"/>
      <c r="E79" s="11">
        <f t="shared" si="11"/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</c>
      <c r="L79" s="7">
        <v>0</v>
      </c>
      <c r="M79" s="11">
        <f t="shared" si="13"/>
      </c>
      <c r="N79" s="11">
        <f t="shared" si="14"/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>
        <f>IFERROR(CalcRC27(F79,G79,K79,O79,P79,Q79,R79,S79,T79,U79,V79),"-")</f>
      </c>
      <c r="X79" s="2"/>
    </row>
    <row r="80" spans="2:24" ht="13.8" x14ac:dyDescent="0.2">
      <c r="B80" s="8">
        <f t="shared" si="10"/>
      </c>
      <c r="C80" s="10">
        <v>75</v>
      </c>
      <c r="D80" s="8"/>
      <c r="E80" s="11">
        <f t="shared" si="11"/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</c>
      <c r="L80" s="7">
        <v>0</v>
      </c>
      <c r="M80" s="11">
        <f t="shared" si="13"/>
      </c>
      <c r="N80" s="11">
        <f t="shared" si="14"/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>
        <f>IFERROR(CalcRC27(F80,G80,K80,O80,P80,Q80,R80,S80,T80,U80,V80),"-")</f>
      </c>
      <c r="X80" s="2"/>
    </row>
    <row r="81" spans="2:24" ht="13.8" x14ac:dyDescent="0.2">
      <c r="B81" s="8">
        <f t="shared" si="10"/>
      </c>
      <c r="C81" s="10">
        <v>76</v>
      </c>
      <c r="D81" s="8"/>
      <c r="E81" s="11">
        <f t="shared" si="11"/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</c>
      <c r="L81" s="7">
        <v>0</v>
      </c>
      <c r="M81" s="11">
        <f t="shared" si="13"/>
      </c>
      <c r="N81" s="11">
        <f t="shared" si="14"/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>
        <f>IFERROR(CalcRC27(F81,G81,K81,O81,P81,Q81,R81,S81,T81,U81,V81),"-")</f>
      </c>
      <c r="X81" s="2"/>
    </row>
    <row r="82" spans="2:24" ht="13.8" x14ac:dyDescent="0.2">
      <c r="B82" s="8">
        <f t="shared" si="10"/>
      </c>
      <c r="C82" s="10">
        <v>77</v>
      </c>
      <c r="D82" s="13"/>
      <c r="E82" s="11">
        <f t="shared" si="11"/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</c>
      <c r="L82" s="7">
        <v>0</v>
      </c>
      <c r="M82" s="11">
        <f t="shared" si="13"/>
      </c>
      <c r="N82" s="11">
        <f t="shared" si="14"/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>
        <f>IFERROR(CalcRC27(F82,G82,K82,O82,P82,Q82,R82,S82,T82,U82,V82),"-")</f>
      </c>
      <c r="X82" s="2"/>
    </row>
    <row r="83" spans="2:24" ht="13.8" x14ac:dyDescent="0.2">
      <c r="B83" s="8">
        <f t="shared" si="10"/>
      </c>
      <c r="C83" s="10">
        <v>78</v>
      </c>
      <c r="D83" s="8"/>
      <c r="E83" s="11">
        <f t="shared" si="11"/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</c>
      <c r="L83" s="7">
        <v>0</v>
      </c>
      <c r="M83" s="11">
        <f t="shared" si="13"/>
      </c>
      <c r="N83" s="11">
        <f t="shared" si="14"/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>
        <f>IFERROR(CalcRC27(F83,G83,K83,O83,P83,Q83,R83,S83,T83,U83,V83),"-")</f>
      </c>
      <c r="X83" s="2"/>
    </row>
    <row r="84" spans="2:24" ht="13.8" x14ac:dyDescent="0.2">
      <c r="B84" s="8">
        <f t="shared" si="10"/>
      </c>
      <c r="C84" s="10">
        <v>79</v>
      </c>
      <c r="D84" s="9"/>
      <c r="E84" s="11">
        <f t="shared" si="11"/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</c>
      <c r="L84" s="7">
        <v>0</v>
      </c>
      <c r="M84" s="11">
        <f t="shared" si="13"/>
      </c>
      <c r="N84" s="11">
        <f t="shared" si="14"/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>
        <f>IFERROR(CalcRC27(F84,G84,K84,O84,P84,Q84,R84,S84,T84,U84,V84),"-")</f>
      </c>
      <c r="X84" s="2"/>
    </row>
    <row r="85" spans="2:24" ht="13.8" x14ac:dyDescent="0.2">
      <c r="B85" s="8">
        <f t="shared" si="10"/>
      </c>
      <c r="C85" s="10">
        <v>80</v>
      </c>
      <c r="D85" s="8"/>
      <c r="E85" s="11">
        <f t="shared" si="11"/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</c>
      <c r="L85" s="7">
        <v>0</v>
      </c>
      <c r="M85" s="11">
        <f t="shared" si="13"/>
      </c>
      <c r="N85" s="11">
        <f t="shared" si="14"/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>
        <f>IFERROR(CalcRC27(F85,G85,K85,O85,P85,Q85,R85,S85,T85,U85,V85),"-")</f>
      </c>
      <c r="X85" s="2"/>
    </row>
    <row r="86" spans="2:24" ht="13.8" x14ac:dyDescent="0.2">
      <c r="B86" s="8">
        <f t="shared" si="10"/>
      </c>
      <c r="C86" s="10">
        <v>81</v>
      </c>
      <c r="D86" s="8"/>
      <c r="E86" s="11">
        <f t="shared" si="11"/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</c>
      <c r="L86" s="7">
        <v>0</v>
      </c>
      <c r="M86" s="11">
        <f t="shared" si="13"/>
      </c>
      <c r="N86" s="11">
        <f t="shared" si="14"/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>
        <f>IFERROR(CalcRC27(F86,G86,K86,O86,P86,Q86,R86,S86,T86,U86,V86),"-")</f>
      </c>
      <c r="X86" s="2"/>
    </row>
    <row r="87" spans="2:24" ht="13.8" x14ac:dyDescent="0.2">
      <c r="B87" s="8">
        <f t="shared" si="10"/>
      </c>
      <c r="C87" s="10">
        <v>82</v>
      </c>
      <c r="D87" s="8"/>
      <c r="E87" s="11">
        <f t="shared" si="11"/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</c>
      <c r="L87" s="7">
        <v>0</v>
      </c>
      <c r="M87" s="11">
        <f t="shared" si="13"/>
      </c>
      <c r="N87" s="11">
        <f t="shared" si="14"/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>
        <f>IFERROR(CalcRC27(F87,G87,K87,O87,P87,Q87,R87,S87,T87,U87,V87),"-")</f>
      </c>
      <c r="X87" s="2"/>
    </row>
    <row r="88" spans="2:24" ht="13.8" x14ac:dyDescent="0.2">
      <c r="B88" s="8">
        <f t="shared" si="10"/>
      </c>
      <c r="C88" s="10">
        <v>83</v>
      </c>
      <c r="D88" s="8"/>
      <c r="E88" s="11">
        <f t="shared" si="11"/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</c>
      <c r="L88" s="7">
        <v>0</v>
      </c>
      <c r="M88" s="11">
        <f t="shared" si="13"/>
      </c>
      <c r="N88" s="11">
        <f t="shared" si="14"/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>
        <f>IFERROR(CalcRC27(F88,G88,K88,O88,P88,Q88,R88,S88,T88,U88,V88),"-")</f>
      </c>
      <c r="X88" s="2"/>
    </row>
    <row r="89" spans="2:24" ht="13.8" x14ac:dyDescent="0.2">
      <c r="B89" s="8">
        <f t="shared" si="10"/>
      </c>
      <c r="C89" s="10">
        <v>84</v>
      </c>
      <c r="D89" s="8"/>
      <c r="E89" s="11">
        <f t="shared" si="11"/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</c>
      <c r="L89" s="7">
        <v>0</v>
      </c>
      <c r="M89" s="11">
        <f t="shared" si="13"/>
      </c>
      <c r="N89" s="11">
        <f t="shared" si="14"/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>
        <f>IFERROR(CalcRC27(F89,G89,K89,O89,P89,Q89,R89,S89,T89,U89,V89),"-")</f>
      </c>
      <c r="X89" s="2"/>
    </row>
    <row r="90" spans="2:24" ht="13.8" x14ac:dyDescent="0.2">
      <c r="B90" s="8">
        <f t="shared" si="10"/>
      </c>
      <c r="C90" s="10">
        <v>85</v>
      </c>
      <c r="D90" s="8"/>
      <c r="E90" s="11">
        <f t="shared" si="11"/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</c>
      <c r="L90" s="7">
        <v>0</v>
      </c>
      <c r="M90" s="11">
        <f t="shared" si="13"/>
      </c>
      <c r="N90" s="11">
        <f t="shared" si="14"/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>
        <f>IFERROR(CalcRC27(F90,G90,K90,O90,P90,Q90,R90,S90,T90,U90,V90),"-")</f>
      </c>
      <c r="X90" s="2"/>
    </row>
    <row r="91" spans="2:24" ht="13.8" x14ac:dyDescent="0.2">
      <c r="B91" s="8">
        <f t="shared" si="10"/>
      </c>
      <c r="C91" s="10">
        <v>86</v>
      </c>
      <c r="D91" s="8"/>
      <c r="E91" s="11">
        <f t="shared" si="11"/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</c>
      <c r="L91" s="7">
        <v>0</v>
      </c>
      <c r="M91" s="11">
        <f t="shared" si="13"/>
      </c>
      <c r="N91" s="11">
        <f t="shared" si="14"/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>
        <f>IFERROR(CalcRC27(F91,G91,K91,O91,P91,Q91,R91,S91,T91,U91,V91),"-")</f>
      </c>
      <c r="X91" s="2"/>
    </row>
    <row r="92" spans="2:24" ht="13.8" x14ac:dyDescent="0.2">
      <c r="B92" s="8">
        <f t="shared" si="10"/>
      </c>
      <c r="C92" s="10">
        <v>87</v>
      </c>
      <c r="D92" s="8"/>
      <c r="E92" s="11">
        <f t="shared" si="11"/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</c>
      <c r="L92" s="7">
        <v>0</v>
      </c>
      <c r="M92" s="11">
        <f t="shared" si="13"/>
      </c>
      <c r="N92" s="11">
        <f t="shared" si="14"/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>
        <f>IFERROR(CalcRC27(F92,G92,K92,O92,P92,Q92,R92,S92,T92,U92,V92),"-")</f>
      </c>
      <c r="X92" s="2"/>
    </row>
    <row r="93" spans="2:24" ht="13.8" x14ac:dyDescent="0.2">
      <c r="B93" s="8">
        <f t="shared" si="10"/>
      </c>
      <c r="C93" s="10">
        <v>88</v>
      </c>
      <c r="D93" s="8"/>
      <c r="E93" s="11">
        <f t="shared" si="11"/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</c>
      <c r="L93" s="7">
        <v>0</v>
      </c>
      <c r="M93" s="11">
        <f t="shared" si="13"/>
      </c>
      <c r="N93" s="11">
        <f t="shared" si="14"/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>
        <f>IFERROR(CalcRC27(F93,G93,K93,O93,P93,Q93,R93,S93,T93,U93,V93),"-")</f>
      </c>
      <c r="X93" s="2"/>
    </row>
    <row r="94" spans="2:24" ht="13.8" x14ac:dyDescent="0.2">
      <c r="B94" s="8">
        <f t="shared" si="10"/>
      </c>
      <c r="C94" s="10">
        <v>89</v>
      </c>
      <c r="D94" s="8"/>
      <c r="E94" s="11">
        <f t="shared" si="11"/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</c>
      <c r="L94" s="7">
        <v>0</v>
      </c>
      <c r="M94" s="11">
        <f t="shared" si="13"/>
      </c>
      <c r="N94" s="11">
        <f t="shared" si="14"/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>
        <f>IFERROR(CalcRC27(F94,G94,K94,O94,P94,Q94,R94,S94,T94,U94,V94),"-")</f>
      </c>
      <c r="X94" s="2"/>
    </row>
    <row r="95" spans="2:24" ht="13.8" x14ac:dyDescent="0.2">
      <c r="B95" s="8">
        <f t="shared" si="10"/>
      </c>
      <c r="C95" s="10">
        <v>90</v>
      </c>
      <c r="D95" s="13"/>
      <c r="E95" s="11">
        <f t="shared" si="11"/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</c>
      <c r="L95" s="7">
        <v>0</v>
      </c>
      <c r="M95" s="11">
        <f t="shared" si="13"/>
      </c>
      <c r="N95" s="11">
        <f t="shared" si="14"/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>
        <f>IFERROR(CalcRC27(F95,G95,K95,O95,P95,Q95,R95,S95,T95,U95,V95),"-")</f>
      </c>
      <c r="X95" s="2"/>
    </row>
    <row r="96" spans="2:24" ht="13.8" x14ac:dyDescent="0.2">
      <c r="B96" s="8">
        <f t="shared" si="10"/>
      </c>
      <c r="C96" s="10">
        <v>91</v>
      </c>
      <c r="D96" s="8"/>
      <c r="E96" s="11">
        <f t="shared" si="11"/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</c>
      <c r="L96" s="7">
        <v>0</v>
      </c>
      <c r="M96" s="11">
        <f t="shared" si="13"/>
      </c>
      <c r="N96" s="11">
        <f t="shared" si="14"/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>
        <f>IFERROR(CalcRC27(F96,G96,K96,O96,P96,Q96,R96,S96,T96,U96,V96),"-")</f>
      </c>
      <c r="X96" s="2"/>
    </row>
    <row r="97" spans="2:24" ht="13.8" x14ac:dyDescent="0.2">
      <c r="B97" s="8">
        <f t="shared" si="10"/>
      </c>
      <c r="C97" s="10">
        <v>92</v>
      </c>
      <c r="D97" t="s" s="8">
        <v>647</v>
      </c>
      <c r="E97" s="11">
        <f t="shared" si="11"/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</c>
      <c r="L97" s="7">
        <v>0</v>
      </c>
      <c r="M97" s="11">
        <f t="shared" si="13"/>
      </c>
      <c r="N97" s="11">
        <f t="shared" si="14"/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>
        <f>IFERROR(CalcRC27(F97,G97,K97,O97,P97,Q97,R97,S97,T97,U97,V97),"-")</f>
      </c>
      <c r="X97" t="s" s="2">
        <v>640</v>
      </c>
    </row>
    <row r="98" spans="2:24" ht="13.8" x14ac:dyDescent="0.2">
      <c r="B98" s="8">
        <f t="shared" si="10"/>
      </c>
      <c r="C98" s="10">
        <v>93</v>
      </c>
      <c r="D98" s="8"/>
      <c r="E98" s="11">
        <f t="shared" si="11"/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</c>
      <c r="L98" s="7">
        <v>0</v>
      </c>
      <c r="M98" s="11">
        <f t="shared" si="13"/>
      </c>
      <c r="N98" s="11">
        <f t="shared" si="14"/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>
        <f>IFERROR(CalcRC27(F98,G98,K98,O98,P98,Q98,R98,S98,T98,U98,V98),"-")</f>
      </c>
      <c r="X98" s="2"/>
    </row>
    <row r="99" spans="2:24" ht="13.8" x14ac:dyDescent="0.2">
      <c r="B99" s="8">
        <f t="shared" si="10"/>
      </c>
      <c r="C99" s="10">
        <v>94</v>
      </c>
      <c r="D99" s="8"/>
      <c r="E99" s="11">
        <f t="shared" si="11"/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</c>
      <c r="L99" s="7">
        <v>0</v>
      </c>
      <c r="M99" s="11">
        <f t="shared" si="13"/>
      </c>
      <c r="N99" s="11">
        <f t="shared" si="14"/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>
        <f>IFERROR(CalcRC27(F99,G99,K99,O99,P99,Q99,R99,S99,T99,U99,V99),"-")</f>
      </c>
      <c r="X99" s="2"/>
    </row>
    <row r="100" spans="2:24" ht="13.8" x14ac:dyDescent="0.2">
      <c r="B100" s="8">
        <f t="shared" si="10"/>
      </c>
      <c r="C100" s="10">
        <v>95</v>
      </c>
      <c r="D100" t="s" s="13">
        <v>1751</v>
      </c>
      <c r="E100" s="11">
        <f t="shared" si="11"/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</c>
      <c r="L100" s="7">
        <v>0</v>
      </c>
      <c r="M100" s="11">
        <f t="shared" si="13"/>
      </c>
      <c r="N100" s="11">
        <f t="shared" si="14"/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>
        <f>IFERROR(CalcRC27(F100,G100,K100,O100,P100,Q100,R100,S100,T100,U100,V100),"-")</f>
      </c>
      <c r="X100" t="s" s="2">
        <v>464</v>
      </c>
    </row>
    <row r="101" spans="2:24" ht="13.8" x14ac:dyDescent="0.2">
      <c r="B101" s="8">
        <f t="shared" si="10"/>
      </c>
      <c r="C101" s="10">
        <v>96</v>
      </c>
      <c r="D101" s="8"/>
      <c r="E101" s="11">
        <f t="shared" si="11"/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</c>
      <c r="L101" s="7">
        <v>0</v>
      </c>
      <c r="M101" s="11">
        <f t="shared" si="13"/>
      </c>
      <c r="N101" s="11">
        <f t="shared" si="14"/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>
        <f>IFERROR(CalcRC27(F101,G101,K101,O101,P101,Q101,R101,S101,T101,U101,V101),"-")</f>
      </c>
      <c r="X101" s="2"/>
    </row>
    <row r="102" spans="2:24" ht="13.8" x14ac:dyDescent="0.2">
      <c r="B102" s="8">
        <f t="shared" si="10"/>
      </c>
      <c r="C102" s="10">
        <v>97</v>
      </c>
      <c r="D102" s="8"/>
      <c r="E102" s="11">
        <f t="shared" si="11"/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</c>
      <c r="L102" s="7">
        <v>0</v>
      </c>
      <c r="M102" s="11">
        <f t="shared" si="13"/>
      </c>
      <c r="N102" s="11">
        <f t="shared" si="14"/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>
        <f>IFERROR(CalcRC27(F102,G102,K102,O102,P102,Q102,R102,S102,T102,U102,V102),"-")</f>
      </c>
      <c r="X102" s="2"/>
    </row>
    <row r="103" spans="2:24" ht="13.8" x14ac:dyDescent="0.2">
      <c r="B103" s="8">
        <f t="shared" si="10"/>
      </c>
      <c r="C103" s="10">
        <v>98</v>
      </c>
      <c r="D103" s="8"/>
      <c r="E103" s="11">
        <f t="shared" si="11"/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</c>
      <c r="L103" s="7">
        <v>0</v>
      </c>
      <c r="M103" s="11">
        <f t="shared" si="13"/>
      </c>
      <c r="N103" s="11">
        <f t="shared" si="14"/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</c>
      <c r="X103" s="2"/>
    </row>
    <row r="104" spans="2:24" ht="13.8" x14ac:dyDescent="0.2">
      <c r="B104" s="8">
        <f t="shared" si="10"/>
      </c>
      <c r="C104" s="10">
        <v>99</v>
      </c>
      <c r="D104" t="s" s="9">
        <v>185</v>
      </c>
      <c r="E104" s="11">
        <f t="shared" si="11"/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</c>
      <c r="L104" s="7">
        <v>0</v>
      </c>
      <c r="M104" s="11">
        <f t="shared" si="13"/>
      </c>
      <c r="N104" s="11">
        <f t="shared" si="14"/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</c>
      <c r="X104" t="s" s="2">
        <v>1994</v>
      </c>
    </row>
    <row r="105" spans="2:24" ht="13.8" x14ac:dyDescent="0.2">
      <c r="B105" s="8">
        <f t="shared" si="10"/>
      </c>
      <c r="C105" s="10">
        <v>120</v>
      </c>
      <c r="D105" t="s" s="14">
        <v>1762</v>
      </c>
      <c r="E105" s="11">
        <f t="shared" si="11"/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</c>
      <c r="L105" s="7">
        <v>0</v>
      </c>
      <c r="M105" s="11">
        <f t="shared" si="13"/>
      </c>
      <c r="N105" s="11">
        <f t="shared" si="14"/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>
        <f>IFERROR(CalcRC27(F105,G105,K105,O105,P105,Q105,R105,S105,T105,U105,V105),"-")</f>
      </c>
      <c r="X105" t="s" s="2">
        <v>1792</v>
      </c>
    </row>
    <row r="106" spans="2:24" ht="13.8" x14ac:dyDescent="0.2">
      <c r="B106" s="8">
        <f t="shared" si="10"/>
      </c>
      <c r="C106" s="10">
        <v>121</v>
      </c>
      <c r="D106" t="s" s="9">
        <v>1763</v>
      </c>
      <c r="E106" s="11">
        <f t="shared" si="11"/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</c>
      <c r="L106" s="7">
        <v>0</v>
      </c>
      <c r="M106" s="11">
        <f t="shared" si="13"/>
      </c>
      <c r="N106" s="11">
        <f t="shared" si="14"/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>
        <f>IFERROR(CalcRC27(F106,G106,K106,O106,P106,Q106,R106,S106,T106,U106,V106),"-")</f>
      </c>
      <c r="X106" t="s" s="2">
        <v>448</v>
      </c>
    </row>
    <row r="107" spans="2:24" ht="13.8" x14ac:dyDescent="0.2">
      <c r="B107" s="8">
        <f t="shared" si="10"/>
      </c>
      <c r="C107" s="10">
        <v>122</v>
      </c>
      <c r="D107" t="s" s="9">
        <v>1764</v>
      </c>
      <c r="E107" s="11">
        <f t="shared" si="11"/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</c>
      <c r="L107" s="7">
        <v>0</v>
      </c>
      <c r="M107" s="11">
        <f t="shared" si="13"/>
      </c>
      <c r="N107" s="11">
        <f t="shared" si="14"/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>
        <f>IFERROR(CalcRC27(F107,G107,K107,O107,P107,Q107,R107,S107,T107,U107,V107),"-")</f>
      </c>
      <c r="X107" t="s" s="2">
        <v>436</v>
      </c>
    </row>
    <row r="108" spans="2:24" ht="13.8" x14ac:dyDescent="0.2">
      <c r="B108" s="8">
        <f t="shared" si="10"/>
      </c>
      <c r="C108" s="10">
        <v>123</v>
      </c>
      <c r="D108" t="s" s="9">
        <v>1765</v>
      </c>
      <c r="E108" s="11">
        <f t="shared" si="11"/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</c>
      <c r="L108" s="7">
        <v>0</v>
      </c>
      <c r="M108" s="11">
        <f t="shared" si="13"/>
      </c>
      <c r="N108" s="11">
        <f t="shared" si="14"/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>
        <f>IFERROR(CalcRC27(F108,G108,K108,O108,P108,Q108,R108,S108,T108,U108,V108),"-")</f>
      </c>
      <c r="X108" t="s" s="2">
        <v>458</v>
      </c>
    </row>
    <row r="109" spans="2:24" ht="13.8" x14ac:dyDescent="0.2">
      <c r="B109" s="8">
        <f t="shared" si="10"/>
      </c>
      <c r="C109" s="10">
        <v>124</v>
      </c>
      <c r="D109" t="s" s="9">
        <v>1766</v>
      </c>
      <c r="E109" s="11">
        <f t="shared" si="11"/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</c>
      <c r="L109" s="7">
        <v>0</v>
      </c>
      <c r="M109" s="11">
        <f t="shared" si="13"/>
      </c>
      <c r="N109" s="11">
        <f t="shared" si="14"/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>
        <f>IFERROR(CalcRC27(F109,G109,K109,O109,P109,Q109,R109,S109,T109,U109,V109),"-")</f>
      </c>
      <c r="X109" t="s" s="2">
        <v>460</v>
      </c>
    </row>
    <row r="110" spans="2:24" ht="13.8" x14ac:dyDescent="0.2">
      <c r="B110" s="8">
        <f t="shared" si="10"/>
      </c>
      <c r="C110" s="10">
        <v>125</v>
      </c>
      <c r="D110" t="s" s="9">
        <v>1767</v>
      </c>
      <c r="E110" s="11">
        <f t="shared" si="11"/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</c>
      <c r="L110" s="7">
        <v>0</v>
      </c>
      <c r="M110" s="11">
        <f t="shared" si="13"/>
      </c>
      <c r="N110" s="11">
        <f t="shared" si="14"/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>
        <f>IFERROR(CalcRC27(F110,G110,K110,O110,P110,Q110,R110,S110,T110,U110,V110),"-")</f>
      </c>
      <c r="X110" t="s" s="2">
        <v>1793</v>
      </c>
    </row>
    <row r="111" spans="2:24" ht="13.8" x14ac:dyDescent="0.2">
      <c r="B111" s="8">
        <f t="shared" si="10"/>
      </c>
      <c r="C111" s="10">
        <v>126</v>
      </c>
      <c r="D111" t="s" s="9">
        <v>1768</v>
      </c>
      <c r="E111" s="11">
        <f t="shared" si="11"/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</c>
      <c r="L111" s="7">
        <v>0</v>
      </c>
      <c r="M111" s="11">
        <f t="shared" si="13"/>
      </c>
      <c r="N111" s="11">
        <f t="shared" si="14"/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>
        <f>IFERROR(CalcRC27(F111,G111,K111,O111,P111,Q111,R111,S111,T111,U111,V111),"-")</f>
      </c>
      <c r="X111" t="s" s="2">
        <v>1794</v>
      </c>
    </row>
    <row r="112" spans="2:24" ht="13.8" x14ac:dyDescent="0.2">
      <c r="B112" s="8">
        <f t="shared" si="10"/>
      </c>
      <c r="C112" s="10">
        <v>127</v>
      </c>
      <c r="D112" t="s" s="9">
        <v>1769</v>
      </c>
      <c r="E112" s="11">
        <f t="shared" si="11"/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</c>
      <c r="L112" s="7">
        <v>0</v>
      </c>
      <c r="M112" s="11">
        <f t="shared" si="13"/>
      </c>
      <c r="N112" s="11">
        <f t="shared" si="14"/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>
        <f>IFERROR(CalcRC27(F112,G112,K112,O112,P112,Q112,R112,S112,T112,U112,V112),"-")</f>
      </c>
      <c r="X112" t="s" s="2">
        <v>1795</v>
      </c>
    </row>
    <row r="113" spans="2:24" ht="13.8" x14ac:dyDescent="0.2">
      <c r="B113" s="8">
        <f t="shared" si="10"/>
      </c>
      <c r="C113" s="10">
        <v>128</v>
      </c>
      <c r="D113" t="s" s="9">
        <v>1770</v>
      </c>
      <c r="E113" s="11">
        <f t="shared" si="11"/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</c>
      <c r="L113" s="7">
        <v>0</v>
      </c>
      <c r="M113" s="11">
        <f t="shared" si="13"/>
      </c>
      <c r="N113" s="11">
        <f t="shared" si="14"/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>
        <f>IFERROR(CalcRC27(F113,G113,K113,O113,P113,Q113,R113,S113,T113,U113,V113),"-")</f>
      </c>
      <c r="X113" t="s" s="2">
        <v>1796</v>
      </c>
    </row>
    <row r="114" spans="2:24" ht="13.8" x14ac:dyDescent="0.2">
      <c r="B114" s="8">
        <f t="shared" si="10"/>
      </c>
      <c r="C114" s="10">
        <v>129</v>
      </c>
      <c r="D114" t="s" s="9">
        <v>770</v>
      </c>
      <c r="E114" s="11">
        <f t="shared" si="11"/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</c>
      <c r="L114" s="7">
        <v>0</v>
      </c>
      <c r="M114" s="11">
        <f t="shared" si="13"/>
      </c>
      <c r="N114" s="11">
        <f t="shared" si="14"/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>
        <f>IFERROR(CalcRC27(F114,G114,K114,O114,P114,Q114,R114,S114,T114,U114,V114),"-")</f>
      </c>
      <c r="X114" t="s" s="2">
        <v>1797</v>
      </c>
    </row>
    <row r="115" spans="2:24" ht="13.8" x14ac:dyDescent="0.2">
      <c r="B115" s="8">
        <f t="shared" si="10"/>
      </c>
      <c r="C115" s="10">
        <v>130</v>
      </c>
      <c r="D115" t="s" s="9">
        <v>1771</v>
      </c>
      <c r="E115" s="11">
        <f t="shared" si="11"/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</c>
      <c r="L115" s="7">
        <v>0</v>
      </c>
      <c r="M115" s="11">
        <f t="shared" si="13"/>
      </c>
      <c r="N115" s="11">
        <f t="shared" si="14"/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>
        <f>IFERROR(CalcRC27(F115,G115,K115,O115,P115,Q115,R115,S115,T115,U115,V115),"-")</f>
      </c>
      <c r="X115" t="s" s="2">
        <v>1798</v>
      </c>
    </row>
    <row r="116" spans="2:24" ht="13.8" x14ac:dyDescent="0.2">
      <c r="B116" s="8">
        <f t="shared" si="10"/>
      </c>
      <c r="C116" s="10">
        <v>131</v>
      </c>
      <c r="D116" t="s" s="9">
        <v>1772</v>
      </c>
      <c r="E116" s="11">
        <f t="shared" si="11"/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</c>
      <c r="L116" s="7">
        <v>0</v>
      </c>
      <c r="M116" s="11">
        <f t="shared" si="13"/>
      </c>
      <c r="N116" s="11">
        <f t="shared" si="14"/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>
        <f>IFERROR(CalcRC27(F116,G116,K116,O116,P116,Q116,R116,S116,T116,U116,V116),"-")</f>
      </c>
      <c r="X116" t="s" s="2">
        <v>447</v>
      </c>
    </row>
    <row r="117" spans="2:24" ht="13.8" x14ac:dyDescent="0.2">
      <c r="B117" s="8">
        <f t="shared" si="10"/>
      </c>
      <c r="C117" s="10">
        <v>132</v>
      </c>
      <c r="D117" t="s" s="9">
        <v>1773</v>
      </c>
      <c r="E117" s="11">
        <f t="shared" si="11"/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</c>
      <c r="L117" s="7">
        <v>0</v>
      </c>
      <c r="M117" s="11">
        <f t="shared" si="13"/>
      </c>
      <c r="N117" s="11">
        <f t="shared" si="14"/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>
        <f>IFERROR(CalcRC27(F117,G117,K117,O117,P117,Q117,R117,S117,T117,U117,V117),"-")</f>
      </c>
      <c r="X117" t="s" s="2">
        <v>506</v>
      </c>
    </row>
    <row r="118" spans="2:24" ht="13.8" x14ac:dyDescent="0.2">
      <c r="B118" s="8">
        <f t="shared" si="10"/>
      </c>
      <c r="C118" s="10">
        <v>133</v>
      </c>
      <c r="D118" t="s" s="9">
        <v>1658</v>
      </c>
      <c r="E118" s="11">
        <f t="shared" si="11"/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</c>
      <c r="L118" s="7">
        <v>0</v>
      </c>
      <c r="M118" s="11">
        <f t="shared" si="13"/>
      </c>
      <c r="N118" s="11">
        <f t="shared" si="14"/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>
        <f>IFERROR(CalcRC27(F118,G118,K118,O118,P118,Q118,R118,S118,T118,U118,V118),"-")</f>
      </c>
      <c r="X118" t="s" s="2">
        <v>1799</v>
      </c>
    </row>
    <row r="119" spans="2:24" ht="13.8" x14ac:dyDescent="0.2">
      <c r="B119" s="8">
        <f t="shared" si="10"/>
      </c>
      <c r="C119" s="10">
        <v>134</v>
      </c>
      <c r="D119" t="s" s="9">
        <v>1774</v>
      </c>
      <c r="E119" s="11">
        <f t="shared" si="11"/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</c>
      <c r="L119" s="7">
        <v>0</v>
      </c>
      <c r="M119" s="11">
        <f t="shared" si="13"/>
      </c>
      <c r="N119" s="11">
        <f t="shared" si="14"/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>
        <f>IFERROR(CalcRC27(F119,G119,K119,O119,P119,Q119,R119,S119,T119,U119,V119),"-")</f>
      </c>
      <c r="X119" t="s" s="2">
        <v>1800</v>
      </c>
    </row>
    <row r="120" spans="2:24" ht="13.8" x14ac:dyDescent="0.2">
      <c r="B120" s="8">
        <f t="shared" si="10"/>
      </c>
      <c r="C120" s="10">
        <v>135</v>
      </c>
      <c r="D120" t="s" s="9">
        <v>1775</v>
      </c>
      <c r="E120" s="11">
        <f t="shared" si="11"/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</c>
      <c r="L120" s="7">
        <v>0</v>
      </c>
      <c r="M120" s="11">
        <f t="shared" si="13"/>
      </c>
      <c r="N120" s="11">
        <f t="shared" si="14"/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>
        <f>IFERROR(CalcRC27(F120,G120,K120,O120,P120,Q120,R120,S120,T120,U120,V120),"-")</f>
      </c>
      <c r="X120" t="s" s="2">
        <v>1801</v>
      </c>
    </row>
    <row r="121" spans="2:24" ht="13.8" x14ac:dyDescent="0.2">
      <c r="B121" s="8">
        <f t="shared" si="10"/>
      </c>
      <c r="C121" s="10">
        <v>136</v>
      </c>
      <c r="D121" t="s" s="9">
        <v>1540</v>
      </c>
      <c r="E121" s="11">
        <f t="shared" si="11"/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</c>
      <c r="L121" s="7">
        <v>0</v>
      </c>
      <c r="M121" s="11">
        <f t="shared" si="13"/>
      </c>
      <c r="N121" s="11">
        <f t="shared" si="14"/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>
        <f>IFERROR(CalcRC27(F121,G121,K121,O121,P121,Q121,R121,S121,T121,U121,V121),"-")</f>
      </c>
      <c r="X121" t="s" s="2">
        <v>1802</v>
      </c>
    </row>
    <row r="122" spans="2:24" ht="13.8" x14ac:dyDescent="0.2">
      <c r="B122" s="8">
        <f t="shared" si="10"/>
      </c>
      <c r="C122" s="10">
        <v>137</v>
      </c>
      <c r="D122" t="s" s="9">
        <v>1776</v>
      </c>
      <c r="E122" s="11">
        <f t="shared" si="11"/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</c>
      <c r="L122" s="7">
        <v>0</v>
      </c>
      <c r="M122" s="11">
        <f t="shared" si="13"/>
      </c>
      <c r="N122" s="11">
        <f t="shared" si="14"/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>
        <f>IFERROR(CalcRC27(F122,G122,K122,O122,P122,Q122,R122,S122,T122,U122,V122),"-")</f>
      </c>
      <c r="X122" t="s" s="2">
        <v>1803</v>
      </c>
    </row>
    <row r="123" spans="2:24" ht="13.8" x14ac:dyDescent="0.2">
      <c r="B123" s="8">
        <f t="shared" si="10"/>
      </c>
      <c r="C123" s="10">
        <v>138</v>
      </c>
      <c r="D123" t="s" s="9">
        <v>1539</v>
      </c>
      <c r="E123" s="11">
        <f t="shared" si="11"/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</c>
      <c r="L123" s="7">
        <v>0</v>
      </c>
      <c r="M123" s="11">
        <f t="shared" si="13"/>
      </c>
      <c r="N123" s="11">
        <f t="shared" si="14"/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>
        <f>IFERROR(CalcRC27(F123,G123,K123,O123,P123,Q123,R123,S123,T123,U123,V123),"-")</f>
      </c>
      <c r="X123" t="s" s="2">
        <v>427</v>
      </c>
    </row>
    <row r="124" spans="2:24" ht="13.8" x14ac:dyDescent="0.2">
      <c r="B124" s="8">
        <f t="shared" si="10"/>
      </c>
      <c r="C124" s="10"/>
      <c r="D124" s="9"/>
      <c r="E124" s="11">
        <f t="shared" si="11"/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</c>
      <c r="L124" s="7">
        <v>0</v>
      </c>
      <c r="M124" s="11">
        <f t="shared" si="13"/>
      </c>
      <c r="N124" s="11">
        <f t="shared" si="14"/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>
        <f>IFERROR(CalcRC27(F124,G124,K124,O124,P124,Q124,R124,S124,T124,U124,V124),"-")</f>
      </c>
      <c r="X124" s="2"/>
    </row>
    <row r="125" spans="2:24" ht="13.8" x14ac:dyDescent="0.2">
      <c r="B125" s="8">
        <f t="shared" si="10"/>
      </c>
      <c r="C125" s="10"/>
      <c r="D125" s="9"/>
      <c r="E125" s="11">
        <f t="shared" si="11"/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</c>
      <c r="L125" s="7">
        <v>0</v>
      </c>
      <c r="M125" s="11">
        <f t="shared" si="13"/>
      </c>
      <c r="N125" s="11">
        <f t="shared" si="14"/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>
        <f>IFERROR(CalcRC27(F125,G125,K125,O125,P125,Q125,R125,S125,T125,U125,V125),"-")</f>
      </c>
      <c r="X125" s="2"/>
    </row>
    <row r="126" spans="2:24" ht="13.8" x14ac:dyDescent="0.2">
      <c r="B126" s="8">
        <f t="shared" si="10"/>
      </c>
      <c r="C126" s="10"/>
      <c r="D126" s="9"/>
      <c r="E126" s="11">
        <f t="shared" si="11"/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</c>
      <c r="L126" s="7">
        <v>0</v>
      </c>
      <c r="M126" s="11">
        <f t="shared" si="13"/>
      </c>
      <c r="N126" s="11">
        <f t="shared" si="14"/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>
        <f>IFERROR(CalcRC27(F126,G126,K126,O126,P126,Q126,R126,S126,T126,U126,V126),"-")</f>
      </c>
      <c r="X126" s="2"/>
    </row>
    <row r="127" spans="2:24" ht="13.8" x14ac:dyDescent="0.2">
      <c r="B127" s="8">
        <f t="shared" si="10"/>
      </c>
      <c r="C127" s="10"/>
      <c r="D127" s="9"/>
      <c r="E127" s="11">
        <f t="shared" si="11"/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</c>
      <c r="L127" s="7">
        <v>0</v>
      </c>
      <c r="M127" s="11">
        <f t="shared" si="13"/>
      </c>
      <c r="N127" s="11">
        <f t="shared" si="14"/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>
        <f>IFERROR(CalcRC27(F127,G127,K127,O127,P127,Q127,R127,S127,T127,U127,V127),"-")</f>
      </c>
      <c r="X127" s="2"/>
    </row>
    <row r="128" spans="2:24" ht="13.8" x14ac:dyDescent="0.2">
      <c r="B128" s="8">
        <f t="shared" si="10"/>
      </c>
      <c r="C128" s="10"/>
      <c r="D128" s="9"/>
      <c r="E128" s="11">
        <f t="shared" si="11"/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</c>
      <c r="L128" s="7">
        <v>0</v>
      </c>
      <c r="M128" s="11">
        <f t="shared" si="13"/>
      </c>
      <c r="N128" s="11">
        <f t="shared" si="14"/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>
        <f>IFERROR(CalcRC27(F128,G128,K128,O128,P128,Q128,R128,S128,T128,U128,V128),"-")</f>
      </c>
      <c r="X128" s="2"/>
    </row>
    <row r="129" spans="2:24" ht="13.8" x14ac:dyDescent="0.2">
      <c r="B129" s="8">
        <f t="shared" si="10"/>
      </c>
      <c r="C129" s="10"/>
      <c r="D129" s="9"/>
      <c r="E129" s="11">
        <f t="shared" si="11"/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</c>
      <c r="L129" s="7">
        <v>0</v>
      </c>
      <c r="M129" s="11">
        <f t="shared" si="13"/>
      </c>
      <c r="N129" s="11">
        <f t="shared" si="14"/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>
        <f>IFERROR(CalcRC27(F129,G129,K129,O129,P129,Q129,R129,S129,T129,U129,V129),"-")</f>
      </c>
      <c r="X129" s="2"/>
    </row>
    <row r="130" spans="2:24" ht="13.8" x14ac:dyDescent="0.2">
      <c r="B130" s="8">
        <f t="shared" si="10"/>
      </c>
      <c r="C130" s="10"/>
      <c r="D130" s="9"/>
      <c r="E130" s="11">
        <f t="shared" si="11"/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</c>
      <c r="L130" s="7">
        <v>0</v>
      </c>
      <c r="M130" s="11">
        <f t="shared" si="13"/>
      </c>
      <c r="N130" s="11">
        <f t="shared" si="14"/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>
        <f>IFERROR(CalcRC27(F130,G130,K130,O130,P130,Q130,R130,S130,T130,U130,V130),"-")</f>
      </c>
      <c r="X130" s="2"/>
    </row>
    <row r="131" spans="2:24" ht="13.8" x14ac:dyDescent="0.2">
      <c r="B131" s="8">
        <f t="shared" si="10"/>
      </c>
      <c r="C131" s="10"/>
      <c r="D131" s="9"/>
      <c r="E131" s="11">
        <f t="shared" si="11"/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</c>
      <c r="L131" s="7">
        <v>0</v>
      </c>
      <c r="M131" s="11">
        <f t="shared" si="13"/>
      </c>
      <c r="N131" s="11">
        <f t="shared" si="14"/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>
        <f>IFERROR(CalcRC27(F131,G131,K131,O131,P131,Q131,R131,S131,T131,U131,V131),"-")</f>
      </c>
      <c r="X131" s="2"/>
    </row>
    <row r="132" spans="2:24" ht="13.8" x14ac:dyDescent="0.2">
      <c r="B132" s="8">
        <f t="shared" si="10"/>
      </c>
      <c r="C132" s="10"/>
      <c r="D132" s="9"/>
      <c r="E132" s="11">
        <f t="shared" si="11"/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</c>
      <c r="L132" s="7">
        <v>0</v>
      </c>
      <c r="M132" s="11">
        <f t="shared" si="13"/>
      </c>
      <c r="N132" s="11">
        <f t="shared" si="14"/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>
        <f>IFERROR(CalcRC27(F132,G132,K132,O132,P132,Q132,R132,S132,T132,U132,V132),"-")</f>
      </c>
      <c r="X132" s="2"/>
    </row>
    <row r="133" spans="2:24" ht="13.8" x14ac:dyDescent="0.2">
      <c r="B133" s="8">
        <f t="shared" ref="B133:B134" si="15">IF(C133="","",C133)</f>
      </c>
      <c r="C133" s="10"/>
      <c r="D133" s="9"/>
      <c r="E133" s="11">
        <f t="shared" ref="E133:E134" si="16">IFERROR(IF(G133/F133=1,"1.00",G133/F133),"---")</f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</c>
      <c r="L133" s="7">
        <v>0</v>
      </c>
      <c r="M133" s="11">
        <f t="shared" ref="M133:M134" si="18">IFERROR(IF((G133+P133+Q133)/(F133+P133+Q133+S133)=1,"1.00",(G133+P133+Q133)/(F133+P133+Q133+S133)),0)</f>
      </c>
      <c r="N133" s="11">
        <f t="shared" ref="N133:N134" si="19">IFERROR(SUM(K133/F133,((G133+P133+Q133)/(F133+P133+Q133+S133))),M133)</f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>
        <f>IFERROR(CalcRC27(F133,G133,K133,O133,P133,Q133,R133,S133,T133,U133,V133),"-")</f>
      </c>
      <c r="X133" s="2"/>
    </row>
    <row r="134" spans="2:24" ht="13.8" x14ac:dyDescent="0.2">
      <c r="B134" s="8">
        <f t="shared" si="15"/>
      </c>
      <c r="C134" s="10"/>
      <c r="D134" s="9"/>
      <c r="E134" s="11">
        <f t="shared" si="16"/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</c>
      <c r="L134" s="7">
        <v>0</v>
      </c>
      <c r="M134" s="11">
        <f t="shared" si="18"/>
      </c>
      <c r="N134" s="11">
        <f t="shared" si="19"/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>
        <f>IFERROR(CalcRC27(F134,G134,K134,O134,P134,Q134,R134,S134,T134,U134,V134),"-")</f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01D1-F757-4F09-A7CA-63AFC267D7DD}">
  <sheetPr codeName="Sheet12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2"/>
      <c r="C2" s="122"/>
      <c r="D2" s="122"/>
      <c r="E2" s="4">
        <f>IFERROR(G2/F2,0)</f>
      </c>
      <c r="F2" s="5">
        <f t="shared" ref="F2:L2" si="0">SUM(F4:F104)</f>
      </c>
      <c r="G2" s="5">
        <f t="shared" si="0"/>
      </c>
      <c r="H2" s="5">
        <f t="shared" si="0"/>
      </c>
      <c r="I2" s="5">
        <f t="shared" si="0"/>
      </c>
      <c r="J2" s="6">
        <f t="shared" si="0"/>
      </c>
      <c r="K2" s="12">
        <f t="shared" si="0"/>
      </c>
      <c r="L2" s="7">
        <f t="shared" si="0"/>
      </c>
      <c r="M2" s="11">
        <f>IFERROR(IF((G2+P2+Q2)/(F2+P2+Q2+R2)=1,"1.00",(G2+P2+Q2)/(F2+P2+Q2+R2)),0)</f>
      </c>
      <c r="N2" s="11">
        <f>IFERROR(SUM(SUM(((G2-H2-I2-J2)*1),H2*2,I2*3,J2*4)/F2,((G2+P2+Q2)/(F2+P2+Q2+R2))),M2)</f>
      </c>
      <c r="O2" s="5">
        <f>SUM(O4:O104)</f>
      </c>
      <c r="P2" s="5">
        <f>SUM(P4:P104)</f>
      </c>
      <c r="Q2" s="5">
        <f>SUM(Q4:Q104)</f>
      </c>
      <c r="R2" s="5">
        <f>SUM(R4:R104)</f>
      </c>
      <c r="S2" s="5">
        <f>SUM(S4:S104)</f>
      </c>
      <c r="T2" s="5">
        <f t="shared" ref="T2:V2" si="1">SUM(T4:T104)</f>
      </c>
      <c r="U2" s="5">
        <f t="shared" si="1"/>
      </c>
      <c r="V2" s="5">
        <f t="shared" si="1"/>
      </c>
      <c r="W2" s="20">
        <f>IFERROR(CalcRC27(F2,G2,K2,O2,P2,Q2,R2,S2,T2,U2,V2),"-")</f>
      </c>
      <c r="X2" t="s" s="121">
        <v>229</v>
      </c>
    </row>
    <row r="3" spans="2:24" x14ac:dyDescent="0.2">
      <c r="B3" t="s" s="55">
        <v>841</v>
      </c>
      <c r="C3" t="s" s="56">
        <v>1039</v>
      </c>
      <c r="D3" t="s" s="56">
        <v>1040</v>
      </c>
      <c r="E3" t="s" s="57">
        <v>56</v>
      </c>
      <c r="F3" t="s" s="58">
        <v>0</v>
      </c>
      <c r="G3" t="s" s="55">
        <v>1</v>
      </c>
      <c r="H3" t="s" s="55">
        <v>360</v>
      </c>
      <c r="I3" t="s" s="55">
        <v>361</v>
      </c>
      <c r="J3" t="s" s="59">
        <v>1041</v>
      </c>
      <c r="K3" t="s" s="55">
        <v>983</v>
      </c>
      <c r="L3" t="s" s="60">
        <v>2</v>
      </c>
      <c r="M3" t="s" s="61">
        <v>359</v>
      </c>
      <c r="N3" t="s" s="57">
        <v>362</v>
      </c>
      <c r="O3" t="s" s="62">
        <v>978</v>
      </c>
      <c r="P3" t="s" s="55">
        <v>234</v>
      </c>
      <c r="Q3" t="s" s="55">
        <v>235</v>
      </c>
      <c r="R3" t="s" s="55">
        <v>976</v>
      </c>
      <c r="S3" t="s" s="55">
        <v>977</v>
      </c>
      <c r="T3" t="s" s="55">
        <v>979</v>
      </c>
      <c r="U3" t="s" s="55">
        <v>980</v>
      </c>
      <c r="V3" t="s" s="55">
        <v>981</v>
      </c>
      <c r="W3" t="s" s="55">
        <v>982</v>
      </c>
      <c r="X3" s="121"/>
    </row>
    <row r="4" spans="2:24" ht="13.8" x14ac:dyDescent="0.2">
      <c r="B4" s="8">
        <f>IF(C4="","",C4)</f>
      </c>
      <c r="C4" t="s" s="10">
        <v>173</v>
      </c>
      <c r="D4" t="s" s="13">
        <v>1804</v>
      </c>
      <c r="E4" s="11">
        <f t="shared" ref="E4:E68" si="2">IFERROR(IF(G4/F4=1,"1.00",G4/F4),"---")</f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</c>
      <c r="L4" s="7">
        <v>0</v>
      </c>
      <c r="M4" s="11">
        <f t="shared" ref="M4:M67" si="4">IFERROR(IF((G4+P4+Q4)/(F4+P4+Q4+S4)=1,"1.00",(G4+P4+Q4)/(F4+P4+Q4+S4)),0)</f>
      </c>
      <c r="N4" s="11">
        <f t="shared" ref="N4:N67" si="5">IFERROR(SUM(K4/F4,((G4+P4+Q4)/(F4+P4+Q4+S4))),M4)</f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>
        <f>IFERROR(CalcRC27(F4,G4,K4,O4,P4,Q4,R4,S4,T4,U4,V4),"-")</f>
      </c>
      <c r="X4" t="s" s="2">
        <v>1995</v>
      </c>
    </row>
    <row r="5" spans="2:24" ht="13.8" x14ac:dyDescent="0.2">
      <c r="B5" s="8">
        <f t="shared" ref="B5:B68" si="6">IF(C5="","",C5)</f>
      </c>
      <c r="C5" s="10">
        <v>0</v>
      </c>
      <c r="D5" t="s" s="13">
        <v>840</v>
      </c>
      <c r="E5" s="11">
        <f t="shared" si="2"/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</c>
      <c r="L5" s="7">
        <v>0</v>
      </c>
      <c r="M5" s="11">
        <f t="shared" si="4"/>
      </c>
      <c r="N5" s="11">
        <f t="shared" si="5"/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>
        <f>IFERROR(CalcRC27(F5,G5,K5,O5,P5,Q5,R5,S5,T5,U5,V5),"-")</f>
      </c>
      <c r="X5" t="s" s="2">
        <v>1242</v>
      </c>
    </row>
    <row r="6" spans="2:24" ht="13.8" x14ac:dyDescent="0.2">
      <c r="B6" s="8">
        <f t="shared" si="6"/>
      </c>
      <c r="C6" s="10">
        <v>1</v>
      </c>
      <c r="D6" t="s" s="13">
        <v>1441</v>
      </c>
      <c r="E6" s="11">
        <f t="shared" si="2"/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</c>
      <c r="L6" s="7">
        <v>0</v>
      </c>
      <c r="M6" s="11">
        <f t="shared" si="4"/>
      </c>
      <c r="N6" s="11">
        <f t="shared" si="5"/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>
        <f>IFERROR(CalcRC27(F6,G6,K6,O6,P6,Q6,R6,S6,T6,U6,V6),"-")</f>
      </c>
      <c r="X6" t="s" s="2">
        <v>1243</v>
      </c>
    </row>
    <row r="7" spans="2:24" ht="13.8" x14ac:dyDescent="0.2">
      <c r="B7" s="8">
        <f t="shared" si="6"/>
      </c>
      <c r="C7" s="10">
        <v>2</v>
      </c>
      <c r="D7" t="s" s="13">
        <v>212</v>
      </c>
      <c r="E7" s="11">
        <f t="shared" si="2"/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</c>
      <c r="L7" s="7">
        <v>0</v>
      </c>
      <c r="M7" s="11">
        <f t="shared" si="4"/>
      </c>
      <c r="N7" s="11">
        <f t="shared" si="5"/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>
        <f>IFERROR(CalcRC27(F7,G7,K7,O7,P7,Q7,R7,S7,T7,U7,V7),"-")</f>
      </c>
      <c r="X7" t="s" s="2">
        <v>396</v>
      </c>
    </row>
    <row r="8" spans="2:24" ht="13.8" x14ac:dyDescent="0.2">
      <c r="B8" s="8">
        <f t="shared" si="6"/>
      </c>
      <c r="C8" s="10">
        <v>3</v>
      </c>
      <c r="D8" t="s" s="13">
        <v>100</v>
      </c>
      <c r="E8" s="11">
        <f t="shared" si="2"/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</c>
      <c r="L8" s="7">
        <v>0</v>
      </c>
      <c r="M8" s="11">
        <f t="shared" si="4"/>
      </c>
      <c r="N8" s="11">
        <f t="shared" si="5"/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>
        <f>IFERROR(CalcRC27(F8,G8,K8,O8,P8,Q8,R8,S8,T8,U8,V8),"-")</f>
      </c>
      <c r="X8" t="s" s="2">
        <v>397</v>
      </c>
    </row>
    <row r="9" spans="2:24" ht="13.8" x14ac:dyDescent="0.2">
      <c r="B9" s="8">
        <f t="shared" si="6"/>
      </c>
      <c r="C9" s="10">
        <v>4</v>
      </c>
      <c r="D9" t="s" s="13">
        <v>1438</v>
      </c>
      <c r="E9" s="11">
        <f t="shared" si="2"/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</c>
      <c r="L9" s="7">
        <v>0</v>
      </c>
      <c r="M9" s="11">
        <f t="shared" si="4"/>
      </c>
      <c r="N9" s="11">
        <f t="shared" si="5"/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>
        <f>IFERROR(CalcRC27(F9,G9,K9,O9,P9,Q9,R9,S9,T9,U9,V9),"-")</f>
      </c>
      <c r="X9" t="s" s="2">
        <v>473</v>
      </c>
    </row>
    <row r="10" spans="2:24" ht="13.8" x14ac:dyDescent="0.2">
      <c r="B10" s="8">
        <f t="shared" si="6"/>
      </c>
      <c r="C10" s="10">
        <v>5</v>
      </c>
      <c r="D10" t="s" s="13">
        <v>101</v>
      </c>
      <c r="E10" s="11">
        <f t="shared" si="2"/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</c>
      <c r="L10" s="7">
        <v>0</v>
      </c>
      <c r="M10" s="11">
        <f t="shared" si="4"/>
      </c>
      <c r="N10" s="11">
        <f t="shared" si="5"/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>
        <f>IFERROR(CalcRC27(F10,G10,K10,O10,P10,Q10,R10,S10,T10,U10,V10),"-")</f>
      </c>
      <c r="X10" t="s" s="2">
        <v>398</v>
      </c>
    </row>
    <row r="11" spans="2:24" ht="13.8" x14ac:dyDescent="0.2">
      <c r="B11" s="8">
        <f t="shared" si="6"/>
      </c>
      <c r="C11" s="10">
        <v>6</v>
      </c>
      <c r="D11" t="s" s="13">
        <v>102</v>
      </c>
      <c r="E11" s="11">
        <f t="shared" si="2"/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</c>
      <c r="L11" s="7">
        <v>0</v>
      </c>
      <c r="M11" s="11">
        <f t="shared" si="4"/>
      </c>
      <c r="N11" s="11">
        <f t="shared" si="5"/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</c>
      <c r="X11" t="s" s="2">
        <v>399</v>
      </c>
    </row>
    <row r="12" spans="2:24" ht="13.8" x14ac:dyDescent="0.2">
      <c r="B12" s="8">
        <f t="shared" si="6"/>
      </c>
      <c r="C12" s="10">
        <v>7</v>
      </c>
      <c r="D12" t="s" s="13">
        <v>1290</v>
      </c>
      <c r="E12" s="11">
        <f t="shared" si="2"/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</c>
      <c r="L12" s="7">
        <v>0</v>
      </c>
      <c r="M12" s="11">
        <f t="shared" si="4"/>
      </c>
      <c r="N12" s="11">
        <f t="shared" si="5"/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>
        <f>IFERROR(CalcRC27(F12,G12,K12,O12,P12,Q12,R12,S12,T12,U12,V12),"-")</f>
      </c>
      <c r="X12" t="s" s="2">
        <v>1845</v>
      </c>
    </row>
    <row r="13" spans="2:24" ht="13.8" x14ac:dyDescent="0.2">
      <c r="B13" s="8">
        <f t="shared" si="6"/>
      </c>
      <c r="C13" s="10">
        <v>8</v>
      </c>
      <c r="D13" t="s" s="13">
        <v>1805</v>
      </c>
      <c r="E13" s="11">
        <f t="shared" si="2"/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</c>
      <c r="L13" s="7">
        <v>0</v>
      </c>
      <c r="M13" s="11">
        <f t="shared" si="4"/>
      </c>
      <c r="N13" s="11">
        <f t="shared" si="5"/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</c>
      <c r="X13" t="s" s="2">
        <v>1996</v>
      </c>
    </row>
    <row r="14" spans="2:24" ht="13.8" x14ac:dyDescent="0.2">
      <c r="B14" s="8">
        <f t="shared" si="6"/>
      </c>
      <c r="C14" s="10">
        <v>9</v>
      </c>
      <c r="D14" t="s" s="13">
        <v>1405</v>
      </c>
      <c r="E14" s="11">
        <f t="shared" si="2"/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</c>
      <c r="L14" s="7">
        <v>0</v>
      </c>
      <c r="M14" s="11">
        <f t="shared" si="4"/>
      </c>
      <c r="N14" s="11">
        <f t="shared" si="5"/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>
        <f>IFERROR(CalcRC27(F14,G14,K14,O14,P14,Q14,R14,S14,T14,U14,V14),"-")</f>
      </c>
      <c r="X14" t="s" s="2">
        <v>1245</v>
      </c>
    </row>
    <row r="15" spans="2:24" ht="13.8" x14ac:dyDescent="0.2">
      <c r="B15" s="8">
        <f t="shared" si="6"/>
      </c>
      <c r="C15" s="10">
        <v>10</v>
      </c>
      <c r="D15" t="s" s="13">
        <v>1556</v>
      </c>
      <c r="E15" s="11">
        <f t="shared" si="2"/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</c>
      <c r="L15" s="7">
        <v>0</v>
      </c>
      <c r="M15" s="11">
        <f t="shared" si="4"/>
      </c>
      <c r="N15" s="11">
        <f t="shared" si="5"/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</c>
      <c r="X15" t="s" s="2">
        <v>1246</v>
      </c>
    </row>
    <row r="16" spans="2:24" ht="13.8" x14ac:dyDescent="0.2">
      <c r="B16" s="8">
        <f t="shared" si="6"/>
      </c>
      <c r="C16" s="10">
        <v>11</v>
      </c>
      <c r="D16" t="s" s="13">
        <v>1291</v>
      </c>
      <c r="E16" s="11">
        <f t="shared" si="2"/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</c>
      <c r="L16" s="7">
        <v>0</v>
      </c>
      <c r="M16" s="11">
        <f t="shared" si="4"/>
      </c>
      <c r="N16" s="11">
        <f t="shared" si="5"/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</c>
      <c r="X16" t="s" s="2">
        <v>213</v>
      </c>
    </row>
    <row r="17" spans="2:24" ht="13.8" x14ac:dyDescent="0.2">
      <c r="B17" s="8">
        <f t="shared" si="6"/>
      </c>
      <c r="C17" s="10">
        <v>12</v>
      </c>
      <c r="D17" t="s" s="13">
        <v>1315</v>
      </c>
      <c r="E17" s="11">
        <f t="shared" si="2"/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</c>
      <c r="L17" s="7">
        <v>0</v>
      </c>
      <c r="M17" s="11">
        <f t="shared" si="4"/>
      </c>
      <c r="N17" s="11">
        <f t="shared" si="5"/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>
        <f>IFERROR(CalcRC27(F17,G17,K17,O17,P17,Q17,R17,S17,T17,U17,V17),"-")</f>
      </c>
      <c r="X17" t="s" s="2">
        <v>1259</v>
      </c>
    </row>
    <row r="18" spans="2:24" ht="13.8" x14ac:dyDescent="0.2">
      <c r="B18" s="8">
        <f t="shared" si="6"/>
      </c>
      <c r="C18" s="10">
        <v>13</v>
      </c>
      <c r="D18" t="s" s="13">
        <v>1227</v>
      </c>
      <c r="E18" s="11">
        <f t="shared" si="2"/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</c>
      <c r="L18" s="7">
        <v>0</v>
      </c>
      <c r="M18" s="11">
        <f t="shared" si="4"/>
      </c>
      <c r="N18" s="11">
        <f t="shared" si="5"/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>
        <f>IFERROR(CalcRC27(F18,G18,K18,O18,P18,Q18,R18,S18,T18,U18,V18),"-")</f>
      </c>
      <c r="X18" t="s" s="2">
        <v>401</v>
      </c>
    </row>
    <row r="19" spans="2:24" ht="13.8" x14ac:dyDescent="0.2">
      <c r="B19" s="8">
        <f t="shared" si="6"/>
      </c>
      <c r="C19" s="10">
        <v>14</v>
      </c>
      <c r="D19" t="s" s="13">
        <v>1806</v>
      </c>
      <c r="E19" s="11">
        <f t="shared" si="2"/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</c>
      <c r="L19" s="7">
        <v>0</v>
      </c>
      <c r="M19" s="11">
        <f t="shared" si="4"/>
      </c>
      <c r="N19" s="11">
        <f t="shared" si="5"/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>
        <f>IFERROR(CalcRC27(F19,G19,K19,O19,P19,Q19,R19,S19,T19,U19,V19),"-")</f>
      </c>
      <c r="X19" t="s" s="2">
        <v>1255</v>
      </c>
    </row>
    <row r="20" spans="2:24" ht="13.8" x14ac:dyDescent="0.2">
      <c r="B20" s="8">
        <f t="shared" si="6"/>
      </c>
      <c r="C20" s="10">
        <v>15</v>
      </c>
      <c r="D20" s="8"/>
      <c r="E20" s="11">
        <f t="shared" si="2"/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</c>
      <c r="L20" s="7">
        <v>0</v>
      </c>
      <c r="M20" s="11">
        <f t="shared" si="4"/>
      </c>
      <c r="N20" s="11">
        <f t="shared" si="5"/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>
        <f>IFERROR(CalcRC27(F20,G20,K20,O20,P20,Q20,R20,S20,T20,U20,V20),"-")</f>
      </c>
      <c r="X20" s="2"/>
    </row>
    <row r="21" spans="2:24" ht="13.8" x14ac:dyDescent="0.2">
      <c r="B21" s="8">
        <f t="shared" si="6"/>
      </c>
      <c r="C21" s="10">
        <v>16</v>
      </c>
      <c r="D21" t="s" s="13">
        <v>214</v>
      </c>
      <c r="E21" s="11">
        <f t="shared" si="2"/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</c>
      <c r="L21" s="7">
        <v>0</v>
      </c>
      <c r="M21" s="11">
        <f t="shared" si="4"/>
      </c>
      <c r="N21" s="11">
        <f t="shared" si="5"/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</c>
      <c r="X21" t="s" s="2">
        <v>402</v>
      </c>
    </row>
    <row r="22" spans="2:24" ht="13.8" x14ac:dyDescent="0.2">
      <c r="B22" s="8">
        <f t="shared" si="6"/>
      </c>
      <c r="C22" s="10">
        <v>17</v>
      </c>
      <c r="D22" t="s" s="13">
        <v>1807</v>
      </c>
      <c r="E22" s="11">
        <f t="shared" si="2"/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</c>
      <c r="L22" s="7">
        <v>0</v>
      </c>
      <c r="M22" s="11">
        <f t="shared" si="4"/>
      </c>
      <c r="N22" s="11">
        <f t="shared" si="5"/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>
        <f>IFERROR(CalcRC27(F22,G22,K22,O22,P22,Q22,R22,S22,T22,U22,V22),"-")</f>
      </c>
      <c r="X22" t="s" s="2">
        <v>1846</v>
      </c>
    </row>
    <row r="23" spans="2:24" ht="13.8" x14ac:dyDescent="0.2">
      <c r="B23" s="8">
        <f t="shared" si="6"/>
      </c>
      <c r="C23" s="10">
        <v>18</v>
      </c>
      <c r="D23" s="13"/>
      <c r="E23" s="11">
        <f t="shared" si="2"/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</c>
      <c r="L23" s="7">
        <v>0</v>
      </c>
      <c r="M23" s="11">
        <f t="shared" si="4"/>
      </c>
      <c r="N23" s="11">
        <f t="shared" si="5"/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</c>
      <c r="X23" s="2"/>
    </row>
    <row r="24" spans="2:24" ht="13.8" x14ac:dyDescent="0.2">
      <c r="B24" s="8">
        <f t="shared" si="6"/>
      </c>
      <c r="C24" s="10">
        <v>19</v>
      </c>
      <c r="D24" t="s" s="13">
        <v>104</v>
      </c>
      <c r="E24" s="11">
        <f t="shared" si="2"/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</c>
      <c r="L24" s="7">
        <v>0</v>
      </c>
      <c r="M24" s="11">
        <f t="shared" si="4"/>
      </c>
      <c r="N24" s="11">
        <f t="shared" si="5"/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</c>
      <c r="X24" t="s" s="2">
        <v>404</v>
      </c>
    </row>
    <row r="25" spans="2:24" ht="13.8" x14ac:dyDescent="0.2">
      <c r="B25" s="8">
        <f t="shared" si="6"/>
      </c>
      <c r="C25" s="10">
        <v>20</v>
      </c>
      <c r="D25" t="s" s="13">
        <v>1808</v>
      </c>
      <c r="E25" s="11">
        <f t="shared" si="2"/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</c>
      <c r="L25" s="7">
        <v>0</v>
      </c>
      <c r="M25" s="11">
        <f t="shared" si="4"/>
      </c>
      <c r="N25" s="11">
        <f t="shared" si="5"/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>
        <f>IFERROR(CalcRC27(F25,G25,K25,O25,P25,Q25,R25,S25,T25,U25,V25),"-")</f>
      </c>
      <c r="X25" t="s" s="2">
        <v>418</v>
      </c>
    </row>
    <row r="26" spans="2:24" ht="13.8" x14ac:dyDescent="0.2">
      <c r="B26" s="8">
        <f t="shared" si="6"/>
      </c>
      <c r="C26" s="10">
        <v>21</v>
      </c>
      <c r="D26" t="s" s="13">
        <v>1809</v>
      </c>
      <c r="E26" s="11">
        <f t="shared" si="2"/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</c>
      <c r="L26" s="7">
        <v>0</v>
      </c>
      <c r="M26" s="11">
        <f t="shared" si="4"/>
      </c>
      <c r="N26" s="11">
        <f t="shared" si="5"/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>
        <f>IFERROR(CalcRC27(F26,G26,K26,O26,P26,Q26,R26,S26,T26,U26,V26),"-")</f>
      </c>
      <c r="X26" t="s" s="2">
        <v>218</v>
      </c>
    </row>
    <row r="27" spans="2:24" ht="13.8" x14ac:dyDescent="0.2">
      <c r="B27" s="8">
        <f t="shared" si="6"/>
      </c>
      <c r="C27" s="10">
        <v>22</v>
      </c>
      <c r="D27" t="s" s="13">
        <v>105</v>
      </c>
      <c r="E27" s="11">
        <f t="shared" si="2"/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</c>
      <c r="L27" s="7">
        <v>0</v>
      </c>
      <c r="M27" s="11">
        <f t="shared" si="4"/>
      </c>
      <c r="N27" s="11">
        <f t="shared" si="5"/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>
        <f>IFERROR(CalcRC27(F27,G27,K27,O27,P27,Q27,R27,S27,T27,U27,V27),"-")</f>
      </c>
      <c r="X27" t="s" s="2">
        <v>405</v>
      </c>
    </row>
    <row r="28" spans="2:24" ht="13.8" x14ac:dyDescent="0.2">
      <c r="B28" s="8">
        <f t="shared" si="6"/>
      </c>
      <c r="C28" s="10">
        <v>23</v>
      </c>
      <c r="D28" t="s" s="13">
        <v>1539</v>
      </c>
      <c r="E28" s="11">
        <f t="shared" si="2"/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</c>
      <c r="L28" s="7">
        <v>0</v>
      </c>
      <c r="M28" s="11">
        <f t="shared" si="4"/>
      </c>
      <c r="N28" s="11">
        <f t="shared" si="5"/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>
        <f>IFERROR(CalcRC27(F28,G28,K28,O28,P28,Q28,R28,S28,T28,U28,V28),"-")</f>
      </c>
      <c r="X28" t="s" s="2">
        <v>1847</v>
      </c>
    </row>
    <row r="29" spans="2:24" ht="13.8" x14ac:dyDescent="0.2">
      <c r="B29" s="8">
        <f t="shared" si="6"/>
      </c>
      <c r="C29" s="10">
        <v>24</v>
      </c>
      <c r="D29" t="s" s="13">
        <v>107</v>
      </c>
      <c r="E29" s="11">
        <f t="shared" si="2"/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</c>
      <c r="L29" s="7">
        <v>0</v>
      </c>
      <c r="M29" s="11">
        <f t="shared" si="4"/>
      </c>
      <c r="N29" s="11">
        <f t="shared" si="5"/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</c>
      <c r="X29" t="s" s="2">
        <v>98</v>
      </c>
    </row>
    <row r="30" spans="2:24" ht="13.8" x14ac:dyDescent="0.2">
      <c r="B30" s="8">
        <f t="shared" si="6"/>
      </c>
      <c r="C30" s="10">
        <v>25</v>
      </c>
      <c r="D30" t="s" s="13">
        <v>1810</v>
      </c>
      <c r="E30" s="11">
        <f t="shared" si="2"/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</c>
      <c r="L30" s="7">
        <v>0</v>
      </c>
      <c r="M30" s="11">
        <f t="shared" si="4"/>
      </c>
      <c r="N30" s="11">
        <f t="shared" si="5"/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</c>
      <c r="X30" t="s" s="2">
        <v>1848</v>
      </c>
    </row>
    <row r="31" spans="2:24" ht="13.8" x14ac:dyDescent="0.2">
      <c r="B31" s="8">
        <f t="shared" si="6"/>
      </c>
      <c r="C31" s="10">
        <v>26</v>
      </c>
      <c r="D31" t="s" s="13">
        <v>1811</v>
      </c>
      <c r="E31" s="11">
        <f t="shared" si="2"/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</c>
      <c r="L31" s="7">
        <v>0</v>
      </c>
      <c r="M31" s="11">
        <f t="shared" si="4"/>
      </c>
      <c r="N31" s="11">
        <f t="shared" si="5"/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>
        <f>IFERROR(CalcRC27(F31,G31,K31,O31,P31,Q31,R31,S31,T31,U31,V31),"-")</f>
      </c>
      <c r="X31" t="s" s="2">
        <v>1849</v>
      </c>
    </row>
    <row r="32" spans="2:24" ht="13.8" x14ac:dyDescent="0.2">
      <c r="B32" s="8">
        <f t="shared" si="6"/>
      </c>
      <c r="C32" s="10">
        <v>27</v>
      </c>
      <c r="D32" t="s" s="13">
        <v>215</v>
      </c>
      <c r="E32" s="11">
        <f t="shared" si="2"/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</c>
      <c r="L32" s="7">
        <v>0</v>
      </c>
      <c r="M32" s="11">
        <f t="shared" si="4"/>
      </c>
      <c r="N32" s="11">
        <f t="shared" si="5"/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</c>
      <c r="X32" t="s" s="2">
        <v>407</v>
      </c>
    </row>
    <row r="33" spans="2:24" ht="13.8" x14ac:dyDescent="0.2">
      <c r="B33" s="8">
        <f t="shared" si="6"/>
      </c>
      <c r="C33" s="10">
        <v>28</v>
      </c>
      <c r="D33" s="13"/>
      <c r="E33" s="11">
        <f t="shared" si="2"/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</c>
      <c r="L33" s="7">
        <v>0</v>
      </c>
      <c r="M33" s="11">
        <f t="shared" si="4"/>
      </c>
      <c r="N33" s="11">
        <f t="shared" si="5"/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</c>
      <c r="X33" s="2"/>
    </row>
    <row r="34" spans="2:24" ht="13.8" x14ac:dyDescent="0.2">
      <c r="B34" s="8">
        <f t="shared" si="6"/>
      </c>
      <c r="C34" s="10">
        <v>29</v>
      </c>
      <c r="D34" t="s" s="13">
        <v>108</v>
      </c>
      <c r="E34" s="11">
        <f t="shared" si="2"/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</c>
      <c r="L34" s="7">
        <v>0</v>
      </c>
      <c r="M34" s="11">
        <f t="shared" si="4"/>
      </c>
      <c r="N34" s="11">
        <f t="shared" si="5"/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>
        <f>IFERROR(CalcRC27(F34,G34,K34,O34,P34,Q34,R34,S34,T34,U34,V34),"-")</f>
      </c>
      <c r="X34" t="s" s="2">
        <v>409</v>
      </c>
    </row>
    <row r="35" spans="2:24" ht="13.8" x14ac:dyDescent="0.2">
      <c r="B35" s="8">
        <f t="shared" si="6"/>
      </c>
      <c r="C35" s="10">
        <v>30</v>
      </c>
      <c r="D35" t="s" s="13">
        <v>1812</v>
      </c>
      <c r="E35" s="11">
        <f t="shared" si="2"/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</c>
      <c r="L35" s="7">
        <v>0</v>
      </c>
      <c r="M35" s="11">
        <f t="shared" si="4"/>
      </c>
      <c r="N35" s="11">
        <f t="shared" si="5"/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>
        <f>IFERROR(CalcRC27(F35,G35,K35,O35,P35,Q35,R35,S35,T35,U35,V35),"-")</f>
      </c>
      <c r="X35" t="s" s="2">
        <v>1850</v>
      </c>
    </row>
    <row r="36" spans="2:24" ht="13.8" x14ac:dyDescent="0.2">
      <c r="B36" s="8">
        <f t="shared" si="6"/>
      </c>
      <c r="C36" s="10">
        <v>31</v>
      </c>
      <c r="D36" t="s" s="13">
        <v>44</v>
      </c>
      <c r="E36" s="11">
        <f t="shared" si="2"/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</c>
      <c r="L36" s="7">
        <v>0</v>
      </c>
      <c r="M36" s="11">
        <f t="shared" si="4"/>
      </c>
      <c r="N36" s="11">
        <f t="shared" si="5"/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>
        <f>IFERROR(CalcRC27(F36,G36,K36,O36,P36,Q36,R36,S36,T36,U36,V36),"-")</f>
      </c>
      <c r="X36" t="s" s="2">
        <v>410</v>
      </c>
    </row>
    <row r="37" spans="2:24" ht="13.8" x14ac:dyDescent="0.2">
      <c r="B37" s="8">
        <f t="shared" si="6"/>
      </c>
      <c r="C37" s="10">
        <v>32</v>
      </c>
      <c r="D37" t="s" s="13">
        <v>1455</v>
      </c>
      <c r="E37" s="11">
        <f t="shared" si="2"/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</c>
      <c r="L37" s="7">
        <v>0</v>
      </c>
      <c r="M37" s="11">
        <f t="shared" si="4"/>
      </c>
      <c r="N37" s="11">
        <f t="shared" si="5"/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>
        <f>IFERROR(CalcRC27(F37,G37,K37,O37,P37,Q37,R37,S37,T37,U37,V37),"-")</f>
      </c>
      <c r="X37" t="s" s="2">
        <v>1248</v>
      </c>
    </row>
    <row r="38" spans="2:24" ht="13.8" x14ac:dyDescent="0.2">
      <c r="B38" s="8">
        <f t="shared" si="6"/>
      </c>
      <c r="C38" s="10">
        <v>33</v>
      </c>
      <c r="D38" t="s" s="13">
        <v>1813</v>
      </c>
      <c r="E38" s="11">
        <f t="shared" si="2"/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</c>
      <c r="L38" s="7">
        <v>0</v>
      </c>
      <c r="M38" s="11">
        <f t="shared" si="4"/>
      </c>
      <c r="N38" s="11">
        <f t="shared" si="5"/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>
        <f>IFERROR(CalcRC27(F38,G38,K38,O38,P38,Q38,R38,S38,T38,U38,V38),"-")</f>
      </c>
      <c r="X38" t="s" s="2">
        <v>1851</v>
      </c>
    </row>
    <row r="39" spans="2:24" ht="13.8" x14ac:dyDescent="0.2">
      <c r="B39" s="8">
        <f t="shared" si="6"/>
      </c>
      <c r="C39" s="10">
        <v>34</v>
      </c>
      <c r="D39" t="s" s="13">
        <v>1757</v>
      </c>
      <c r="E39" s="11">
        <f t="shared" si="2"/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</c>
      <c r="L39" s="7">
        <v>0</v>
      </c>
      <c r="M39" s="11">
        <f t="shared" si="4"/>
      </c>
      <c r="N39" s="11">
        <f t="shared" si="5"/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>
        <f>IFERROR(CalcRC27(F39,G39,K39,O39,P39,Q39,R39,S39,T39,U39,V39),"-")</f>
      </c>
      <c r="X39" t="s" s="2">
        <v>1852</v>
      </c>
    </row>
    <row r="40" spans="2:24" ht="13.8" x14ac:dyDescent="0.2">
      <c r="B40" s="8">
        <f t="shared" si="6"/>
      </c>
      <c r="C40" s="10">
        <v>35</v>
      </c>
      <c r="D40" t="s" s="13">
        <v>42</v>
      </c>
      <c r="E40" s="11">
        <f t="shared" si="2"/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</c>
      <c r="L40" s="7">
        <v>0</v>
      </c>
      <c r="M40" s="11">
        <f t="shared" si="4"/>
      </c>
      <c r="N40" s="11">
        <f t="shared" si="5"/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>
        <f>IFERROR(CalcRC27(F40,G40,K40,O40,P40,Q40,R40,S40,T40,U40,V40),"-")</f>
      </c>
      <c r="X40" t="s" s="2">
        <v>411</v>
      </c>
    </row>
    <row r="41" spans="2:24" ht="13.8" x14ac:dyDescent="0.2">
      <c r="B41" s="8">
        <f t="shared" si="6"/>
      </c>
      <c r="C41" s="10">
        <v>36</v>
      </c>
      <c r="D41" t="s" s="13">
        <v>109</v>
      </c>
      <c r="E41" s="11">
        <f t="shared" si="2"/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</c>
      <c r="L41" s="7">
        <v>0</v>
      </c>
      <c r="M41" s="11">
        <f t="shared" si="4"/>
      </c>
      <c r="N41" s="11">
        <f t="shared" si="5"/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>
        <f>IFERROR(CalcRC27(F41,G41,K41,O41,P41,Q41,R41,S41,T41,U41,V41),"-")</f>
      </c>
      <c r="X41" t="s" s="2">
        <v>412</v>
      </c>
    </row>
    <row r="42" spans="2:24" ht="13.8" x14ac:dyDescent="0.2">
      <c r="B42" s="8">
        <f t="shared" si="6"/>
      </c>
      <c r="C42" s="10">
        <v>37</v>
      </c>
      <c r="D42" t="s" s="13">
        <v>1292</v>
      </c>
      <c r="E42" s="11">
        <f t="shared" si="2"/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</c>
      <c r="L42" s="7">
        <v>0</v>
      </c>
      <c r="M42" s="11">
        <f t="shared" si="4"/>
      </c>
      <c r="N42" s="11">
        <f t="shared" si="5"/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>
        <f>IFERROR(CalcRC27(F42,G42,K42,O42,P42,Q42,R42,S42,T42,U42,V42),"-")</f>
      </c>
      <c r="X42" t="s" s="2">
        <v>1853</v>
      </c>
    </row>
    <row r="43" spans="2:24" ht="13.8" x14ac:dyDescent="0.2">
      <c r="B43" s="8">
        <f t="shared" si="6"/>
      </c>
      <c r="C43" s="10">
        <v>38</v>
      </c>
      <c r="D43" t="s" s="13">
        <v>216</v>
      </c>
      <c r="E43" s="11">
        <f t="shared" si="2"/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</c>
      <c r="L43" s="7">
        <v>0</v>
      </c>
      <c r="M43" s="11">
        <f t="shared" si="4"/>
      </c>
      <c r="N43" s="11">
        <f t="shared" si="5"/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>
        <f>IFERROR(CalcRC27(F43,G43,K43,O43,P43,Q43,R43,S43,T43,U43,V43),"-")</f>
      </c>
      <c r="X43" t="s" s="2">
        <v>414</v>
      </c>
    </row>
    <row r="44" spans="2:24" ht="13.8" x14ac:dyDescent="0.2">
      <c r="B44" s="8">
        <f t="shared" si="6"/>
      </c>
      <c r="C44" s="10">
        <v>39</v>
      </c>
      <c r="D44" t="s" s="13">
        <v>838</v>
      </c>
      <c r="E44" s="11">
        <f t="shared" si="2"/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</c>
      <c r="L44" s="7">
        <v>0</v>
      </c>
      <c r="M44" s="11">
        <f t="shared" si="4"/>
      </c>
      <c r="N44" s="11">
        <f t="shared" si="5"/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>
        <f>IFERROR(CalcRC27(F44,G44,K44,O44,P44,Q44,R44,S44,T44,U44,V44),"-")</f>
      </c>
      <c r="X44" t="s" s="2">
        <v>1249</v>
      </c>
    </row>
    <row r="45" spans="2:24" ht="13.8" x14ac:dyDescent="0.2">
      <c r="B45" s="8">
        <f t="shared" si="6"/>
      </c>
      <c r="C45" s="10">
        <v>40</v>
      </c>
      <c r="D45" t="s" s="13">
        <v>1814</v>
      </c>
      <c r="E45" s="11">
        <f t="shared" si="2"/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</c>
      <c r="L45" s="7">
        <v>0</v>
      </c>
      <c r="M45" s="11">
        <f t="shared" si="4"/>
      </c>
      <c r="N45" s="11">
        <f t="shared" si="5"/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>
        <f>IFERROR(CalcRC27(F45,G45,K45,O45,P45,Q45,R45,S45,T45,U45,V45),"-")</f>
      </c>
      <c r="X45" t="s" s="2">
        <v>1997</v>
      </c>
    </row>
    <row r="46" spans="2:24" ht="13.8" x14ac:dyDescent="0.2">
      <c r="B46" s="8">
        <f t="shared" si="6"/>
      </c>
      <c r="C46" s="10">
        <v>41</v>
      </c>
      <c r="D46" t="s" s="13">
        <v>837</v>
      </c>
      <c r="E46" s="11">
        <f t="shared" si="2"/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</c>
      <c r="L46" s="7">
        <v>0</v>
      </c>
      <c r="M46" s="11">
        <f t="shared" si="4"/>
      </c>
      <c r="N46" s="11">
        <f t="shared" si="5"/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>
        <f>IFERROR(CalcRC27(F46,G46,K46,O46,P46,Q46,R46,S46,T46,U46,V46),"-")</f>
      </c>
      <c r="X46" t="s" s="2">
        <v>415</v>
      </c>
    </row>
    <row r="47" spans="2:24" ht="13.8" x14ac:dyDescent="0.2">
      <c r="B47" s="8">
        <f t="shared" si="6"/>
      </c>
      <c r="C47" s="10">
        <v>42</v>
      </c>
      <c r="D47" t="s" s="13">
        <v>1815</v>
      </c>
      <c r="E47" s="11">
        <f t="shared" si="2"/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</c>
      <c r="L47" s="7">
        <v>0</v>
      </c>
      <c r="M47" s="11">
        <f t="shared" si="4"/>
      </c>
      <c r="N47" s="11">
        <f t="shared" si="5"/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</c>
      <c r="X47" t="s" s="2">
        <v>1998</v>
      </c>
    </row>
    <row r="48" spans="2:24" ht="13.8" x14ac:dyDescent="0.2">
      <c r="B48" s="8">
        <f t="shared" si="6"/>
      </c>
      <c r="C48" s="10">
        <v>43</v>
      </c>
      <c r="D48" t="s" s="13">
        <v>110</v>
      </c>
      <c r="E48" s="11">
        <f t="shared" si="2"/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</c>
      <c r="L48" s="7">
        <v>0</v>
      </c>
      <c r="M48" s="11">
        <f t="shared" si="4"/>
      </c>
      <c r="N48" s="11">
        <f t="shared" si="5"/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>
        <f>IFERROR(CalcRC27(F48,G48,K48,O48,P48,Q48,R48,S48,T48,U48,V48),"-")</f>
      </c>
      <c r="X48" t="s" s="2">
        <v>416</v>
      </c>
    </row>
    <row r="49" spans="2:24" ht="13.8" x14ac:dyDescent="0.2">
      <c r="B49" s="8">
        <f t="shared" si="6"/>
      </c>
      <c r="C49" s="10">
        <v>44</v>
      </c>
      <c r="D49" t="s" s="13">
        <v>111</v>
      </c>
      <c r="E49" s="11">
        <f t="shared" si="2"/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</c>
      <c r="L49" s="7">
        <v>0</v>
      </c>
      <c r="M49" s="11">
        <f t="shared" si="4"/>
      </c>
      <c r="N49" s="11">
        <f t="shared" si="5"/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</c>
      <c r="X49" t="s" s="2">
        <v>417</v>
      </c>
    </row>
    <row r="50" spans="2:24" ht="13.8" x14ac:dyDescent="0.2">
      <c r="B50" s="8">
        <f t="shared" si="6"/>
      </c>
      <c r="C50" s="10">
        <v>45</v>
      </c>
      <c r="D50" t="s" s="13">
        <v>1816</v>
      </c>
      <c r="E50" s="11">
        <f t="shared" si="2"/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</c>
      <c r="L50" s="7">
        <v>0</v>
      </c>
      <c r="M50" s="11">
        <f t="shared" si="4"/>
      </c>
      <c r="N50" s="11">
        <f t="shared" si="5"/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>
        <f>IFERROR(CalcRC27(F50,G50,K50,O50,P50,Q50,R50,S50,T50,U50,V50),"-")</f>
      </c>
      <c r="X50" t="s" s="2">
        <v>1999</v>
      </c>
    </row>
    <row r="51" spans="2:24" ht="13.8" x14ac:dyDescent="0.2">
      <c r="B51" s="8">
        <f t="shared" si="6"/>
      </c>
      <c r="C51" s="10">
        <v>46</v>
      </c>
      <c r="D51" t="s" s="13">
        <v>118</v>
      </c>
      <c r="E51" s="11">
        <f t="shared" si="2"/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</c>
      <c r="L51" s="7">
        <v>0</v>
      </c>
      <c r="M51" s="11">
        <f t="shared" si="4"/>
      </c>
      <c r="N51" s="11">
        <f t="shared" si="5"/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</c>
      <c r="X51" t="s" s="2">
        <v>419</v>
      </c>
    </row>
    <row r="52" spans="2:24" ht="13.8" x14ac:dyDescent="0.2">
      <c r="B52" s="8">
        <f t="shared" si="6"/>
      </c>
      <c r="C52" s="10">
        <v>47</v>
      </c>
      <c r="D52" t="s" s="13">
        <v>112</v>
      </c>
      <c r="E52" s="11">
        <f t="shared" si="2"/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</c>
      <c r="L52" s="7">
        <v>0</v>
      </c>
      <c r="M52" s="11">
        <f t="shared" si="4"/>
      </c>
      <c r="N52" s="11">
        <f t="shared" si="5"/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>
        <f>IFERROR(CalcRC27(F52,G52,K52,O52,P52,Q52,R52,S52,T52,U52,V52),"-")</f>
      </c>
      <c r="X52" t="s" s="2">
        <v>420</v>
      </c>
    </row>
    <row r="53" spans="2:24" ht="13.8" x14ac:dyDescent="0.2">
      <c r="B53" s="8">
        <f t="shared" si="6"/>
      </c>
      <c r="C53" s="10">
        <v>48</v>
      </c>
      <c r="D53" t="s" s="13">
        <v>1817</v>
      </c>
      <c r="E53" s="11">
        <f t="shared" si="2"/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</c>
      <c r="L53" s="7">
        <v>0</v>
      </c>
      <c r="M53" s="11">
        <f t="shared" si="4"/>
      </c>
      <c r="N53" s="11">
        <f t="shared" si="5"/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>
        <f>IFERROR(CalcRC27(F53,G53,K53,O53,P53,Q53,R53,S53,T53,U53,V53),"-")</f>
      </c>
      <c r="X53" t="s" s="2">
        <v>1854</v>
      </c>
    </row>
    <row r="54" spans="2:24" ht="13.8" x14ac:dyDescent="0.2">
      <c r="B54" s="8">
        <f t="shared" si="6"/>
      </c>
      <c r="C54" s="10">
        <v>49</v>
      </c>
      <c r="D54" s="13"/>
      <c r="E54" s="11">
        <f t="shared" si="2"/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</c>
      <c r="L54" s="7">
        <v>0</v>
      </c>
      <c r="M54" s="11">
        <f t="shared" si="4"/>
      </c>
      <c r="N54" s="11">
        <f t="shared" si="5"/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</c>
      <c r="X54" s="2"/>
    </row>
    <row r="55" spans="2:24" ht="13.8" x14ac:dyDescent="0.2">
      <c r="B55" s="8">
        <f t="shared" si="6"/>
      </c>
      <c r="C55" s="10">
        <v>50</v>
      </c>
      <c r="D55" t="s" s="13">
        <v>113</v>
      </c>
      <c r="E55" s="11">
        <f t="shared" si="2"/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</c>
      <c r="L55" s="7">
        <v>0</v>
      </c>
      <c r="M55" s="11">
        <f t="shared" si="4"/>
      </c>
      <c r="N55" s="11">
        <f t="shared" si="5"/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>
        <f>IFERROR(CalcRC27(F55,G55,K55,O55,P55,Q55,R55,S55,T55,U55,V55),"-")</f>
      </c>
      <c r="X55" t="s" s="2">
        <v>423</v>
      </c>
    </row>
    <row r="56" spans="2:24" ht="13.8" x14ac:dyDescent="0.2">
      <c r="B56" s="8">
        <f t="shared" si="6"/>
      </c>
      <c r="C56" s="10">
        <v>51</v>
      </c>
      <c r="D56" s="13"/>
      <c r="E56" s="11">
        <f t="shared" si="2"/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</c>
      <c r="L56" s="7">
        <v>0</v>
      </c>
      <c r="M56" s="11">
        <f t="shared" si="4"/>
      </c>
      <c r="N56" s="11">
        <f t="shared" si="5"/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>
        <f>IFERROR(CalcRC27(F56,G56,K56,O56,P56,Q56,R56,S56,T56,U56,V56),"-")</f>
      </c>
      <c r="X56" s="2"/>
    </row>
    <row r="57" spans="2:24" ht="13.8" x14ac:dyDescent="0.2">
      <c r="B57" s="8">
        <f t="shared" si="6"/>
      </c>
      <c r="C57" s="10">
        <v>52</v>
      </c>
      <c r="D57" t="s" s="13">
        <v>1757</v>
      </c>
      <c r="E57" s="11">
        <f t="shared" si="2"/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</c>
      <c r="L57" s="7">
        <v>0</v>
      </c>
      <c r="M57" s="11">
        <f t="shared" si="4"/>
      </c>
      <c r="N57" s="11">
        <f t="shared" si="5"/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>
        <f>IFERROR(CalcRC27(F57,G57,K57,O57,P57,Q57,R57,S57,T57,U57,V57),"-")</f>
      </c>
      <c r="X57" t="s" s="2">
        <v>1250</v>
      </c>
    </row>
    <row r="58" spans="2:24" ht="13.8" x14ac:dyDescent="0.2">
      <c r="B58" s="8">
        <f t="shared" si="6"/>
      </c>
      <c r="C58" s="10">
        <v>53</v>
      </c>
      <c r="D58" t="s" s="13">
        <v>114</v>
      </c>
      <c r="E58" s="11">
        <f t="shared" si="2"/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</c>
      <c r="L58" s="7">
        <v>0</v>
      </c>
      <c r="M58" s="11">
        <f t="shared" si="4"/>
      </c>
      <c r="N58" s="11">
        <f t="shared" si="5"/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>
        <f>IFERROR(CalcRC27(F58,G58,K58,O58,P58,Q58,R58,S58,T58,U58,V58),"-")</f>
      </c>
      <c r="X58" t="s" s="2">
        <v>424</v>
      </c>
    </row>
    <row r="59" spans="2:24" ht="13.8" x14ac:dyDescent="0.2">
      <c r="B59" s="8">
        <f t="shared" si="6"/>
      </c>
      <c r="C59" s="10">
        <v>54</v>
      </c>
      <c r="D59" t="s" s="13">
        <v>1818</v>
      </c>
      <c r="E59" s="11">
        <f t="shared" si="2"/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</c>
      <c r="L59" s="7">
        <v>0</v>
      </c>
      <c r="M59" s="11">
        <f t="shared" si="4"/>
      </c>
      <c r="N59" s="11">
        <f t="shared" si="5"/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>
        <f>IFERROR(CalcRC27(F59,G59,K59,O59,P59,Q59,R59,S59,T59,U59,V59),"-")</f>
      </c>
      <c r="X59" t="s" s="2">
        <v>2000</v>
      </c>
    </row>
    <row r="60" spans="2:24" ht="13.8" x14ac:dyDescent="0.2">
      <c r="B60" s="8">
        <f t="shared" si="6"/>
      </c>
      <c r="C60" s="10">
        <v>55</v>
      </c>
      <c r="D60" t="s" s="13">
        <v>2017</v>
      </c>
      <c r="E60" s="11">
        <f t="shared" si="2"/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</c>
      <c r="L60" s="7">
        <v>0</v>
      </c>
      <c r="M60" s="11">
        <f t="shared" si="4"/>
      </c>
      <c r="N60" s="11">
        <f t="shared" si="5"/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>
        <f>IFERROR(CalcRC27(F60,G60,K60,O60,P60,Q60,R60,S60,T60,U60,V60),"-")</f>
      </c>
      <c r="X60" t="s" s="2">
        <v>2017</v>
      </c>
    </row>
    <row r="61" spans="2:24" ht="13.8" x14ac:dyDescent="0.2">
      <c r="B61" s="8">
        <f t="shared" si="6"/>
      </c>
      <c r="C61" s="10">
        <v>56</v>
      </c>
      <c r="D61" t="s" s="13">
        <v>836</v>
      </c>
      <c r="E61" s="11">
        <f t="shared" si="2"/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</c>
      <c r="L61" s="7">
        <v>0</v>
      </c>
      <c r="M61" s="11">
        <f t="shared" si="4"/>
      </c>
      <c r="N61" s="11">
        <f t="shared" si="5"/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>
        <f>IFERROR(CalcRC27(F61,G61,K61,O61,P61,Q61,R61,S61,T61,U61,V61),"-")</f>
      </c>
      <c r="X61" t="s" s="2">
        <v>1251</v>
      </c>
    </row>
    <row r="62" spans="2:24" ht="13.8" x14ac:dyDescent="0.2">
      <c r="B62" s="8">
        <f t="shared" si="6"/>
      </c>
      <c r="C62" s="10">
        <v>57</v>
      </c>
      <c r="D62" t="s" s="13">
        <v>1289</v>
      </c>
      <c r="E62" s="11">
        <f t="shared" si="2"/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</c>
      <c r="L62" s="7">
        <v>0</v>
      </c>
      <c r="M62" s="11">
        <f t="shared" si="4"/>
      </c>
      <c r="N62" s="11">
        <f t="shared" si="5"/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>
        <f>IFERROR(CalcRC27(F62,G62,K62,O62,P62,Q62,R62,S62,T62,U62,V62),"-")</f>
      </c>
      <c r="X62" t="s" s="2">
        <v>425</v>
      </c>
    </row>
    <row r="63" spans="2:24" ht="13.8" x14ac:dyDescent="0.2">
      <c r="B63" s="8">
        <f t="shared" si="6"/>
      </c>
      <c r="C63" s="10">
        <v>58</v>
      </c>
      <c r="D63" s="13"/>
      <c r="E63" s="11">
        <f t="shared" si="2"/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</c>
      <c r="L63" s="7">
        <v>0</v>
      </c>
      <c r="M63" s="11">
        <f t="shared" si="4"/>
      </c>
      <c r="N63" s="11">
        <f t="shared" si="5"/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>
        <f>IFERROR(CalcRC27(F63,G63,K63,O63,P63,Q63,R63,S63,T63,U63,V63),"-")</f>
      </c>
      <c r="X63" s="2"/>
    </row>
    <row r="64" spans="2:24" ht="13.8" x14ac:dyDescent="0.2">
      <c r="B64" s="8">
        <f t="shared" si="6"/>
      </c>
      <c r="C64" s="10">
        <v>59</v>
      </c>
      <c r="D64" t="s" s="13">
        <v>1228</v>
      </c>
      <c r="E64" s="11">
        <f t="shared" si="2"/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</c>
      <c r="L64" s="7">
        <v>0</v>
      </c>
      <c r="M64" s="11">
        <f t="shared" si="4"/>
      </c>
      <c r="N64" s="11">
        <f t="shared" si="5"/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>
        <f>IFERROR(CalcRC27(F64,G64,K64,O64,P64,Q64,R64,S64,T64,U64,V64),"-")</f>
      </c>
      <c r="X64" t="s" s="2">
        <v>2001</v>
      </c>
    </row>
    <row r="65" spans="2:24" ht="13.8" x14ac:dyDescent="0.2">
      <c r="B65" s="8">
        <f t="shared" si="6"/>
      </c>
      <c r="C65" s="10">
        <v>60</v>
      </c>
      <c r="D65" t="s" s="13">
        <v>835</v>
      </c>
      <c r="E65" s="11">
        <f t="shared" si="2"/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</c>
      <c r="L65" s="7">
        <v>0</v>
      </c>
      <c r="M65" s="11">
        <f t="shared" si="4"/>
      </c>
      <c r="N65" s="11">
        <f t="shared" si="5"/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>
        <f>IFERROR(CalcRC27(F65,G65,K65,O65,P65,Q65,R65,S65,T65,U65,V65),"-")</f>
      </c>
      <c r="X65" t="s" s="2">
        <v>1252</v>
      </c>
    </row>
    <row r="66" spans="2:24" ht="13.8" x14ac:dyDescent="0.2">
      <c r="B66" s="8">
        <f t="shared" si="6"/>
      </c>
      <c r="C66" s="10">
        <v>61</v>
      </c>
      <c r="D66" t="s" s="13">
        <v>1819</v>
      </c>
      <c r="E66" s="11">
        <f t="shared" si="2"/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</c>
      <c r="L66" s="7">
        <v>0</v>
      </c>
      <c r="M66" s="11">
        <f t="shared" si="4"/>
      </c>
      <c r="N66" s="11">
        <f t="shared" si="5"/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>
        <f>IFERROR(CalcRC27(F66,G66,K66,O66,P66,Q66,R66,S66,T66,U66,V66),"-")</f>
      </c>
      <c r="X66" t="s" s="2">
        <v>1855</v>
      </c>
    </row>
    <row r="67" spans="2:24" ht="13.8" x14ac:dyDescent="0.2">
      <c r="B67" s="8">
        <f t="shared" si="6"/>
      </c>
      <c r="C67" s="10">
        <v>62</v>
      </c>
      <c r="D67" t="s" s="13">
        <v>1820</v>
      </c>
      <c r="E67" s="11">
        <f t="shared" si="2"/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</c>
      <c r="L67" s="7">
        <v>0</v>
      </c>
      <c r="M67" s="11">
        <f t="shared" si="4"/>
      </c>
      <c r="N67" s="11">
        <f t="shared" si="5"/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>
        <f>IFERROR(CalcRC27(F67,G67,K67,O67,P67,Q67,R67,S67,T67,U67,V67),"-")</f>
      </c>
      <c r="X67" t="s" s="2">
        <v>1856</v>
      </c>
    </row>
    <row r="68" spans="2:24" ht="13.8" x14ac:dyDescent="0.2">
      <c r="B68" s="8">
        <f t="shared" si="6"/>
      </c>
      <c r="C68" s="10">
        <v>63</v>
      </c>
      <c r="D68" t="s" s="9">
        <v>2002</v>
      </c>
      <c r="E68" s="11">
        <f t="shared" si="2"/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</c>
      <c r="L68" s="7">
        <v>0</v>
      </c>
      <c r="M68" s="11">
        <f t="shared" ref="M68:M131" si="8">IFERROR(IF((G68+P68+Q68)/(F68+P68+Q68+S68)=1,"1.00",(G68+P68+Q68)/(F68+P68+Q68+S68)),0)</f>
      </c>
      <c r="N68" s="11">
        <f t="shared" ref="N68:N131" si="9">IFERROR(SUM(K68/F68,((G68+P68+Q68)/(F68+P68+Q68+S68))),M68)</f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>
        <f>IFERROR(CalcRC27(F68,G68,K68,O68,P68,Q68,R68,S68,T68,U68,V68),"-")</f>
      </c>
      <c r="X68" t="s" s="2">
        <v>1821</v>
      </c>
    </row>
    <row r="69" spans="2:24" ht="13.8" x14ac:dyDescent="0.2">
      <c r="B69" s="8">
        <f t="shared" ref="B69:B132" si="10">IF(C69="","",C69)</f>
      </c>
      <c r="C69" s="10">
        <v>64</v>
      </c>
      <c r="D69" t="s" s="13">
        <v>1822</v>
      </c>
      <c r="E69" s="11">
        <f t="shared" ref="E69:E132" si="11">IFERROR(IF(G69/F69=1,"1.00",G69/F69),"---")</f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</c>
      <c r="L69" s="7">
        <v>0</v>
      </c>
      <c r="M69" s="11">
        <f t="shared" si="8"/>
      </c>
      <c r="N69" s="11">
        <f t="shared" si="9"/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>
        <f>IFERROR(CalcRC27(F69,G69,K69,O69,P69,Q69,R69,S69,T69,U69,V69),"-")</f>
      </c>
      <c r="X69" t="s" s="2">
        <v>1257</v>
      </c>
    </row>
    <row r="70" spans="2:24" ht="13.8" x14ac:dyDescent="0.2">
      <c r="B70" s="8">
        <f t="shared" si="10"/>
      </c>
      <c r="C70" s="10">
        <v>65</v>
      </c>
      <c r="D70" s="9"/>
      <c r="E70" s="11">
        <f t="shared" si="11"/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</c>
      <c r="L70" s="7">
        <v>0</v>
      </c>
      <c r="M70" s="11">
        <f t="shared" si="8"/>
      </c>
      <c r="N70" s="11">
        <f t="shared" si="9"/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>
        <f>IFERROR(CalcRC27(F70,G70,K70,O70,P70,Q70,R70,S70,T70,U70,V70),"-")</f>
      </c>
      <c r="X70" s="2"/>
    </row>
    <row r="71" spans="2:24" ht="13.8" x14ac:dyDescent="0.2">
      <c r="B71" s="8">
        <f t="shared" si="10"/>
      </c>
      <c r="C71" s="10">
        <v>66</v>
      </c>
      <c r="D71" t="s" s="13">
        <v>1297</v>
      </c>
      <c r="E71" s="11">
        <f t="shared" si="11"/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</c>
      <c r="L71" s="7">
        <v>0</v>
      </c>
      <c r="M71" s="11">
        <f t="shared" si="8"/>
      </c>
      <c r="N71" s="11">
        <f t="shared" si="9"/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>
        <f>IFERROR(CalcRC27(F71,G71,K71,O71,P71,Q71,R71,S71,T71,U71,V71),"-")</f>
      </c>
      <c r="X71" t="s" s="2">
        <v>558</v>
      </c>
    </row>
    <row r="72" spans="2:24" ht="13.8" x14ac:dyDescent="0.2">
      <c r="B72" s="8">
        <f t="shared" si="10"/>
      </c>
      <c r="C72" s="10">
        <v>67</v>
      </c>
      <c r="D72" t="s" s="13">
        <v>2016</v>
      </c>
      <c r="E72" s="11">
        <f t="shared" si="11"/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</c>
      <c r="L72" s="7">
        <v>0</v>
      </c>
      <c r="M72" s="11">
        <f t="shared" si="8"/>
      </c>
      <c r="N72" s="11">
        <f t="shared" si="9"/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>
        <f>IFERROR(CalcRC27(F72,G72,K72,O72,P72,Q72,R72,S72,T72,U72,V72),"-")</f>
      </c>
      <c r="X72" t="s" s="2">
        <v>428</v>
      </c>
    </row>
    <row r="73" spans="2:24" ht="13.8" x14ac:dyDescent="0.2">
      <c r="B73" s="8">
        <f t="shared" si="10"/>
      </c>
      <c r="C73" s="10">
        <v>68</v>
      </c>
      <c r="D73" s="13"/>
      <c r="E73" s="11">
        <f t="shared" si="11"/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</c>
      <c r="L73" s="7">
        <v>0</v>
      </c>
      <c r="M73" s="11">
        <f t="shared" si="8"/>
      </c>
      <c r="N73" s="11">
        <f t="shared" si="9"/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>
        <f>IFERROR(CalcRC27(F73,G73,K73,O73,P73,Q73,R73,S73,T73,U73,V73),"-")</f>
      </c>
      <c r="X73" s="2"/>
    </row>
    <row r="74" spans="2:24" ht="13.8" x14ac:dyDescent="0.2">
      <c r="B74" s="8">
        <f t="shared" si="10"/>
      </c>
      <c r="C74" s="10">
        <v>69</v>
      </c>
      <c r="D74" s="13"/>
      <c r="E74" s="11">
        <f t="shared" si="11"/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</c>
      <c r="L74" s="7">
        <v>0</v>
      </c>
      <c r="M74" s="11">
        <f t="shared" si="8"/>
      </c>
      <c r="N74" s="11">
        <f t="shared" si="9"/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>
        <f>IFERROR(CalcRC27(F74,G74,K74,O74,P74,Q74,R74,S74,T74,U74,V74),"-")</f>
      </c>
      <c r="X74" s="2"/>
    </row>
    <row r="75" spans="2:24" ht="13.8" x14ac:dyDescent="0.2">
      <c r="B75" s="8">
        <f t="shared" si="10"/>
      </c>
      <c r="C75" s="10">
        <v>70</v>
      </c>
      <c r="D75" s="8"/>
      <c r="E75" s="11">
        <f t="shared" si="11"/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</c>
      <c r="L75" s="7">
        <v>0</v>
      </c>
      <c r="M75" s="11">
        <f t="shared" si="8"/>
      </c>
      <c r="N75" s="11">
        <f t="shared" si="9"/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>
        <f>IFERROR(CalcRC27(F75,G75,K75,O75,P75,Q75,R75,S75,T75,U75,V75),"-")</f>
      </c>
      <c r="X75" s="2"/>
    </row>
    <row r="76" spans="2:24" ht="13.8" x14ac:dyDescent="0.2">
      <c r="B76" s="8">
        <f t="shared" si="10"/>
      </c>
      <c r="C76" s="10">
        <v>71</v>
      </c>
      <c r="D76" s="8"/>
      <c r="E76" s="11">
        <f t="shared" si="11"/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</c>
      <c r="L76" s="7">
        <v>0</v>
      </c>
      <c r="M76" s="11">
        <f t="shared" si="8"/>
      </c>
      <c r="N76" s="11">
        <f t="shared" si="9"/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>
        <f>IFERROR(CalcRC27(F76,G76,K76,O76,P76,Q76,R76,S76,T76,U76,V76),"-")</f>
      </c>
      <c r="X76" s="2"/>
    </row>
    <row r="77" spans="2:24" ht="13.8" x14ac:dyDescent="0.2">
      <c r="B77" s="8">
        <f t="shared" si="10"/>
      </c>
      <c r="C77" s="10">
        <v>72</v>
      </c>
      <c r="D77" s="8"/>
      <c r="E77" s="11">
        <f t="shared" si="11"/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</c>
      <c r="L77" s="7">
        <v>0</v>
      </c>
      <c r="M77" s="11">
        <f t="shared" si="8"/>
      </c>
      <c r="N77" s="11">
        <f t="shared" si="9"/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>
        <f>IFERROR(CalcRC27(F77,G77,K77,O77,P77,Q77,R77,S77,T77,U77,V77),"-")</f>
      </c>
      <c r="X77" s="2"/>
    </row>
    <row r="78" spans="2:24" ht="13.8" x14ac:dyDescent="0.2">
      <c r="B78" s="8">
        <f t="shared" si="10"/>
      </c>
      <c r="C78" s="10">
        <v>73</v>
      </c>
      <c r="D78" s="8"/>
      <c r="E78" s="11">
        <f t="shared" si="11"/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</c>
      <c r="L78" s="7">
        <v>0</v>
      </c>
      <c r="M78" s="11">
        <f t="shared" si="8"/>
      </c>
      <c r="N78" s="11">
        <f t="shared" si="9"/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>
        <f>IFERROR(CalcRC27(F78,G78,K78,O78,P78,Q78,R78,S78,T78,U78,V78),"-")</f>
      </c>
      <c r="X78" s="2"/>
    </row>
    <row r="79" spans="2:24" ht="13.8" x14ac:dyDescent="0.2">
      <c r="B79" s="8">
        <f t="shared" si="10"/>
      </c>
      <c r="C79" s="10">
        <v>74</v>
      </c>
      <c r="D79" s="8"/>
      <c r="E79" s="11">
        <f t="shared" si="11"/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</c>
      <c r="L79" s="7">
        <v>0</v>
      </c>
      <c r="M79" s="11">
        <f t="shared" si="8"/>
      </c>
      <c r="N79" s="11">
        <f t="shared" si="9"/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>
        <f>IFERROR(CalcRC27(F79,G79,K79,O79,P79,Q79,R79,S79,T79,U79,V79),"-")</f>
      </c>
      <c r="X79" s="2"/>
    </row>
    <row r="80" spans="2:24" ht="13.8" x14ac:dyDescent="0.2">
      <c r="B80" s="8">
        <f t="shared" si="10"/>
      </c>
      <c r="C80" s="10">
        <v>75</v>
      </c>
      <c r="D80" s="8"/>
      <c r="E80" s="11">
        <f t="shared" si="11"/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</c>
      <c r="L80" s="7">
        <v>0</v>
      </c>
      <c r="M80" s="11">
        <f t="shared" si="8"/>
      </c>
      <c r="N80" s="11">
        <f t="shared" si="9"/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>
        <f>IFERROR(CalcRC27(F80,G80,K80,O80,P80,Q80,R80,S80,T80,U80,V80),"-")</f>
      </c>
      <c r="X80" s="2"/>
    </row>
    <row r="81" spans="2:24" ht="13.8" x14ac:dyDescent="0.2">
      <c r="B81" s="8">
        <f t="shared" si="10"/>
      </c>
      <c r="C81" s="10">
        <v>76</v>
      </c>
      <c r="D81" s="8"/>
      <c r="E81" s="11">
        <f t="shared" si="11"/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</c>
      <c r="L81" s="7">
        <v>0</v>
      </c>
      <c r="M81" s="11">
        <f t="shared" si="8"/>
      </c>
      <c r="N81" s="11">
        <f t="shared" si="9"/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>
        <f>IFERROR(CalcRC27(F81,G81,K81,O81,P81,Q81,R81,S81,T81,U81,V81),"-")</f>
      </c>
      <c r="X81" s="2"/>
    </row>
    <row r="82" spans="2:24" ht="13.8" x14ac:dyDescent="0.2">
      <c r="B82" s="8">
        <f t="shared" si="10"/>
      </c>
      <c r="C82" s="10">
        <v>77</v>
      </c>
      <c r="D82" s="13"/>
      <c r="E82" s="11">
        <f t="shared" si="11"/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</c>
      <c r="L82" s="7">
        <v>0</v>
      </c>
      <c r="M82" s="11">
        <f t="shared" si="8"/>
      </c>
      <c r="N82" s="11">
        <f t="shared" si="9"/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>
        <f>IFERROR(CalcRC27(F82,G82,K82,O82,P82,Q82,R82,S82,T82,U82,V82),"-")</f>
      </c>
      <c r="X82" s="2"/>
    </row>
    <row r="83" spans="2:24" ht="13.8" x14ac:dyDescent="0.2">
      <c r="B83" s="8">
        <f t="shared" si="10"/>
      </c>
      <c r="C83" s="10">
        <v>78</v>
      </c>
      <c r="D83" s="8"/>
      <c r="E83" s="11">
        <f t="shared" si="11"/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</c>
      <c r="L83" s="7">
        <v>0</v>
      </c>
      <c r="M83" s="11">
        <f t="shared" si="8"/>
      </c>
      <c r="N83" s="11">
        <f t="shared" si="9"/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>
        <f>IFERROR(CalcRC27(F83,G83,K83,O83,P83,Q83,R83,S83,T83,U83,V83),"-")</f>
      </c>
      <c r="X83" s="2"/>
    </row>
    <row r="84" spans="2:24" ht="13.8" x14ac:dyDescent="0.2">
      <c r="B84" s="8">
        <f t="shared" si="10"/>
      </c>
      <c r="C84" s="10">
        <v>79</v>
      </c>
      <c r="D84" s="9"/>
      <c r="E84" s="11">
        <f t="shared" si="11"/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</c>
      <c r="L84" s="7">
        <v>0</v>
      </c>
      <c r="M84" s="11">
        <f t="shared" si="8"/>
      </c>
      <c r="N84" s="11">
        <f t="shared" si="9"/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>
        <f>IFERROR(CalcRC27(F84,G84,K84,O84,P84,Q84,R84,S84,T84,U84,V84),"-")</f>
      </c>
      <c r="X84" s="2"/>
    </row>
    <row r="85" spans="2:24" ht="13.8" x14ac:dyDescent="0.2">
      <c r="B85" s="8">
        <f t="shared" si="10"/>
      </c>
      <c r="C85" s="10">
        <v>80</v>
      </c>
      <c r="D85" s="8"/>
      <c r="E85" s="11">
        <f t="shared" si="11"/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</c>
      <c r="L85" s="7">
        <v>0</v>
      </c>
      <c r="M85" s="11">
        <f t="shared" si="8"/>
      </c>
      <c r="N85" s="11">
        <f t="shared" si="9"/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>
        <f>IFERROR(CalcRC27(F85,G85,K85,O85,P85,Q85,R85,S85,T85,U85,V85),"-")</f>
      </c>
      <c r="X85" s="2"/>
    </row>
    <row r="86" spans="2:24" ht="13.8" x14ac:dyDescent="0.2">
      <c r="B86" s="8">
        <f t="shared" si="10"/>
      </c>
      <c r="C86" s="10">
        <v>81</v>
      </c>
      <c r="D86" s="8"/>
      <c r="E86" s="11">
        <f t="shared" si="11"/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</c>
      <c r="L86" s="7">
        <v>0</v>
      </c>
      <c r="M86" s="11">
        <f t="shared" si="8"/>
      </c>
      <c r="N86" s="11">
        <f t="shared" si="9"/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>
        <f>IFERROR(CalcRC27(F86,G86,K86,O86,P86,Q86,R86,S86,T86,U86,V86),"-")</f>
      </c>
      <c r="X86" s="2"/>
    </row>
    <row r="87" spans="2:24" ht="13.8" x14ac:dyDescent="0.2">
      <c r="B87" s="8">
        <f t="shared" si="10"/>
      </c>
      <c r="C87" s="10">
        <v>82</v>
      </c>
      <c r="D87" s="8"/>
      <c r="E87" s="11">
        <f t="shared" si="11"/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</c>
      <c r="L87" s="7">
        <v>0</v>
      </c>
      <c r="M87" s="11">
        <f t="shared" si="8"/>
      </c>
      <c r="N87" s="11">
        <f t="shared" si="9"/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>
        <f>IFERROR(CalcRC27(F87,G87,K87,O87,P87,Q87,R87,S87,T87,U87,V87),"-")</f>
      </c>
      <c r="X87" s="2"/>
    </row>
    <row r="88" spans="2:24" ht="13.8" x14ac:dyDescent="0.2">
      <c r="B88" s="8">
        <f t="shared" si="10"/>
      </c>
      <c r="C88" s="10">
        <v>83</v>
      </c>
      <c r="D88" s="8"/>
      <c r="E88" s="11">
        <f t="shared" si="11"/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</c>
      <c r="L88" s="7">
        <v>0</v>
      </c>
      <c r="M88" s="11">
        <f t="shared" si="8"/>
      </c>
      <c r="N88" s="11">
        <f t="shared" si="9"/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>
        <f>IFERROR(CalcRC27(F88,G88,K88,O88,P88,Q88,R88,S88,T88,U88,V88),"-")</f>
      </c>
      <c r="X88" s="2"/>
    </row>
    <row r="89" spans="2:24" ht="13.8" x14ac:dyDescent="0.2">
      <c r="B89" s="8">
        <f t="shared" si="10"/>
      </c>
      <c r="C89" s="10">
        <v>84</v>
      </c>
      <c r="D89" s="8"/>
      <c r="E89" s="11">
        <f t="shared" si="11"/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</c>
      <c r="L89" s="7">
        <v>0</v>
      </c>
      <c r="M89" s="11">
        <f t="shared" si="8"/>
      </c>
      <c r="N89" s="11">
        <f t="shared" si="9"/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>
        <f>IFERROR(CalcRC27(F89,G89,K89,O89,P89,Q89,R89,S89,T89,U89,V89),"-")</f>
      </c>
      <c r="X89" s="2"/>
    </row>
    <row r="90" spans="2:24" ht="13.8" x14ac:dyDescent="0.2">
      <c r="B90" s="8">
        <f t="shared" si="10"/>
      </c>
      <c r="C90" s="10">
        <v>85</v>
      </c>
      <c r="D90" s="8"/>
      <c r="E90" s="11">
        <f t="shared" si="11"/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</c>
      <c r="L90" s="7">
        <v>0</v>
      </c>
      <c r="M90" s="11">
        <f t="shared" si="8"/>
      </c>
      <c r="N90" s="11">
        <f t="shared" si="9"/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>
        <f>IFERROR(CalcRC27(F90,G90,K90,O90,P90,Q90,R90,S90,T90,U90,V90),"-")</f>
      </c>
      <c r="X90" s="2"/>
    </row>
    <row r="91" spans="2:24" ht="13.8" x14ac:dyDescent="0.2">
      <c r="B91" s="8">
        <f t="shared" si="10"/>
      </c>
      <c r="C91" s="10">
        <v>86</v>
      </c>
      <c r="D91" s="8"/>
      <c r="E91" s="11">
        <f t="shared" si="11"/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</c>
      <c r="L91" s="7">
        <v>0</v>
      </c>
      <c r="M91" s="11">
        <f t="shared" si="8"/>
      </c>
      <c r="N91" s="11">
        <f t="shared" si="9"/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>
        <f>IFERROR(CalcRC27(F91,G91,K91,O91,P91,Q91,R91,S91,T91,U91,V91),"-")</f>
      </c>
      <c r="X91" s="2"/>
    </row>
    <row r="92" spans="2:24" ht="13.8" x14ac:dyDescent="0.2">
      <c r="B92" s="8">
        <f t="shared" si="10"/>
      </c>
      <c r="C92" s="10">
        <v>87</v>
      </c>
      <c r="D92" s="8"/>
      <c r="E92" s="11">
        <f t="shared" si="11"/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</c>
      <c r="L92" s="7">
        <v>0</v>
      </c>
      <c r="M92" s="11">
        <f t="shared" si="8"/>
      </c>
      <c r="N92" s="11">
        <f t="shared" si="9"/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>
        <f>IFERROR(CalcRC27(F92,G92,K92,O92,P92,Q92,R92,S92,T92,U92,V92),"-")</f>
      </c>
      <c r="X92" s="2"/>
    </row>
    <row r="93" spans="2:24" ht="13.8" x14ac:dyDescent="0.2">
      <c r="B93" s="8">
        <f t="shared" si="10"/>
      </c>
      <c r="C93" s="10">
        <v>88</v>
      </c>
      <c r="D93" s="8"/>
      <c r="E93" s="11">
        <f t="shared" si="11"/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</c>
      <c r="L93" s="7">
        <v>0</v>
      </c>
      <c r="M93" s="11">
        <f t="shared" si="8"/>
      </c>
      <c r="N93" s="11">
        <f t="shared" si="9"/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>
        <f>IFERROR(CalcRC27(F93,G93,K93,O93,P93,Q93,R93,S93,T93,U93,V93),"-")</f>
      </c>
      <c r="X93" s="2"/>
    </row>
    <row r="94" spans="2:24" ht="13.8" x14ac:dyDescent="0.2">
      <c r="B94" s="8">
        <f t="shared" si="10"/>
      </c>
      <c r="C94" s="10">
        <v>89</v>
      </c>
      <c r="D94" s="8"/>
      <c r="E94" s="11">
        <f t="shared" si="11"/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</c>
      <c r="L94" s="7">
        <v>0</v>
      </c>
      <c r="M94" s="11">
        <f t="shared" si="8"/>
      </c>
      <c r="N94" s="11">
        <f t="shared" si="9"/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>
        <f>IFERROR(CalcRC27(F94,G94,K94,O94,P94,Q94,R94,S94,T94,U94,V94),"-")</f>
      </c>
      <c r="X94" s="2"/>
    </row>
    <row r="95" spans="2:24" ht="13.8" x14ac:dyDescent="0.2">
      <c r="B95" s="8">
        <f t="shared" si="10"/>
      </c>
      <c r="C95" s="10">
        <v>90</v>
      </c>
      <c r="D95" s="13"/>
      <c r="E95" s="11">
        <f t="shared" si="11"/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</c>
      <c r="L95" s="7">
        <v>0</v>
      </c>
      <c r="M95" s="11">
        <f t="shared" si="8"/>
      </c>
      <c r="N95" s="11">
        <f t="shared" si="9"/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>
        <f>IFERROR(CalcRC27(F95,G95,K95,O95,P95,Q95,R95,S95,T95,U95,V95),"-")</f>
      </c>
      <c r="X95" s="2"/>
    </row>
    <row r="96" spans="2:24" ht="13.8" x14ac:dyDescent="0.2">
      <c r="B96" s="8">
        <f t="shared" si="10"/>
      </c>
      <c r="C96" s="10">
        <v>91</v>
      </c>
      <c r="D96" s="8"/>
      <c r="E96" s="11">
        <f t="shared" si="11"/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</c>
      <c r="L96" s="7">
        <v>0</v>
      </c>
      <c r="M96" s="11">
        <f t="shared" si="8"/>
      </c>
      <c r="N96" s="11">
        <f t="shared" si="9"/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>
        <f>IFERROR(CalcRC27(F96,G96,K96,O96,P96,Q96,R96,S96,T96,U96,V96),"-")</f>
      </c>
      <c r="X96" s="2"/>
    </row>
    <row r="97" spans="2:24" ht="13.8" x14ac:dyDescent="0.2">
      <c r="B97" s="8">
        <f t="shared" si="10"/>
      </c>
      <c r="C97" s="10">
        <v>92</v>
      </c>
      <c r="D97" s="8"/>
      <c r="E97" s="11">
        <f t="shared" si="11"/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</c>
      <c r="L97" s="7">
        <v>0</v>
      </c>
      <c r="M97" s="11">
        <f t="shared" si="8"/>
      </c>
      <c r="N97" s="11">
        <f t="shared" si="9"/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>
        <f>IFERROR(CalcRC27(F97,G97,K97,O97,P97,Q97,R97,S97,T97,U97,V97),"-")</f>
      </c>
      <c r="X97" s="2"/>
    </row>
    <row r="98" spans="2:24" ht="13.8" x14ac:dyDescent="0.2">
      <c r="B98" s="8">
        <f t="shared" si="10"/>
      </c>
      <c r="C98" s="10">
        <v>93</v>
      </c>
      <c r="D98" s="8"/>
      <c r="E98" s="11">
        <f t="shared" si="11"/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</c>
      <c r="L98" s="7">
        <v>0</v>
      </c>
      <c r="M98" s="11">
        <f t="shared" si="8"/>
      </c>
      <c r="N98" s="11">
        <f t="shared" si="9"/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>
        <f>IFERROR(CalcRC27(F98,G98,K98,O98,P98,Q98,R98,S98,T98,U98,V98),"-")</f>
      </c>
      <c r="X98" s="2"/>
    </row>
    <row r="99" spans="2:24" ht="13.8" x14ac:dyDescent="0.2">
      <c r="B99" s="8">
        <f t="shared" si="10"/>
      </c>
      <c r="C99" s="10">
        <v>94</v>
      </c>
      <c r="D99" s="8"/>
      <c r="E99" s="11">
        <f t="shared" si="11"/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</c>
      <c r="L99" s="7">
        <v>0</v>
      </c>
      <c r="M99" s="11">
        <f t="shared" si="8"/>
      </c>
      <c r="N99" s="11">
        <f t="shared" si="9"/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>
        <f>IFERROR(CalcRC27(F99,G99,K99,O99,P99,Q99,R99,S99,T99,U99,V99),"-")</f>
      </c>
      <c r="X99" s="2"/>
    </row>
    <row r="100" spans="2:24" ht="13.8" x14ac:dyDescent="0.2">
      <c r="B100" s="8">
        <f t="shared" si="10"/>
      </c>
      <c r="C100" s="10">
        <v>95</v>
      </c>
      <c r="D100" s="13"/>
      <c r="E100" s="11">
        <f t="shared" si="11"/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</c>
      <c r="L100" s="7">
        <v>0</v>
      </c>
      <c r="M100" s="11">
        <f t="shared" si="8"/>
      </c>
      <c r="N100" s="11">
        <f t="shared" si="9"/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>
        <f>IFERROR(CalcRC27(F100,G100,K100,O100,P100,Q100,R100,S100,T100,U100,V100),"-")</f>
      </c>
      <c r="X100" s="2"/>
    </row>
    <row r="101" spans="2:24" ht="13.8" x14ac:dyDescent="0.2">
      <c r="B101" s="8">
        <f t="shared" si="10"/>
      </c>
      <c r="C101" s="10">
        <v>96</v>
      </c>
      <c r="D101" t="s" s="26">
        <v>1823</v>
      </c>
      <c r="E101" s="11">
        <f t="shared" si="11"/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</c>
      <c r="L101" s="7">
        <v>0</v>
      </c>
      <c r="M101" s="11">
        <f t="shared" si="8"/>
      </c>
      <c r="N101" s="11">
        <f t="shared" si="9"/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>
        <f>IFERROR(CalcRC27(F101,G101,K101,O101,P101,Q101,R101,S101,T101,U101,V101),"-")</f>
      </c>
      <c r="X101" t="s" s="2">
        <v>1857</v>
      </c>
    </row>
    <row r="102" spans="2:24" ht="13.8" x14ac:dyDescent="0.2">
      <c r="B102" s="8">
        <f t="shared" si="10"/>
      </c>
      <c r="C102" s="10">
        <v>97</v>
      </c>
      <c r="D102" t="s" s="26">
        <v>1824</v>
      </c>
      <c r="E102" s="11">
        <f t="shared" si="11"/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</c>
      <c r="L102" s="7">
        <v>0</v>
      </c>
      <c r="M102" s="11">
        <f t="shared" si="8"/>
      </c>
      <c r="N102" s="11">
        <f t="shared" si="9"/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>
        <f>IFERROR(CalcRC27(F102,G102,K102,O102,P102,Q102,R102,S102,T102,U102,V102),"-")</f>
      </c>
      <c r="X102" t="s" s="2">
        <v>1858</v>
      </c>
    </row>
    <row r="103" spans="2:24" ht="13.8" x14ac:dyDescent="0.2">
      <c r="B103" s="8">
        <f t="shared" si="10"/>
      </c>
      <c r="C103" s="10">
        <v>98</v>
      </c>
      <c r="D103" t="s" s="26">
        <v>1825</v>
      </c>
      <c r="E103" s="11">
        <f t="shared" si="11"/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</c>
      <c r="L103" s="7">
        <v>0</v>
      </c>
      <c r="M103" s="11">
        <f t="shared" si="8"/>
      </c>
      <c r="N103" s="11">
        <f t="shared" si="9"/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</c>
      <c r="X103" t="s" s="2">
        <v>1859</v>
      </c>
    </row>
    <row r="104" spans="2:24" ht="13.8" x14ac:dyDescent="0.2">
      <c r="B104" s="8">
        <f t="shared" si="10"/>
      </c>
      <c r="C104" s="10">
        <v>99</v>
      </c>
      <c r="D104" t="s" s="9">
        <v>116</v>
      </c>
      <c r="E104" s="11">
        <f t="shared" si="11"/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</c>
      <c r="L104" s="7">
        <v>0</v>
      </c>
      <c r="M104" s="11">
        <f t="shared" si="8"/>
      </c>
      <c r="N104" s="11">
        <f t="shared" si="9"/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</c>
      <c r="X104" t="s" s="2">
        <v>99</v>
      </c>
    </row>
    <row r="105" spans="2:24" ht="13.8" x14ac:dyDescent="0.2">
      <c r="B105" s="8">
        <f t="shared" si="10"/>
      </c>
      <c r="C105" t="s" s="10">
        <v>1229</v>
      </c>
      <c r="D105" t="s" s="14">
        <v>117</v>
      </c>
      <c r="E105" s="11">
        <f t="shared" si="11"/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</c>
      <c r="L105" s="7">
        <v>0</v>
      </c>
      <c r="M105" s="11">
        <f t="shared" si="8"/>
      </c>
      <c r="N105" s="11">
        <f t="shared" si="9"/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>
        <f>IFERROR(CalcRC27(F105,G105,K105,O105,P105,Q105,R105,S105,T105,U105,V105),"-")</f>
      </c>
      <c r="X105" t="s" s="2">
        <v>429</v>
      </c>
    </row>
    <row r="106" spans="2:24" ht="13.8" x14ac:dyDescent="0.2">
      <c r="B106" s="8">
        <f t="shared" si="10"/>
      </c>
      <c r="C106" t="s" s="10">
        <v>1231</v>
      </c>
      <c r="D106" t="s" s="9">
        <v>1433</v>
      </c>
      <c r="E106" s="11">
        <f t="shared" si="11"/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</c>
      <c r="L106" s="7">
        <v>0</v>
      </c>
      <c r="M106" s="11">
        <f t="shared" si="8"/>
      </c>
      <c r="N106" s="11">
        <f t="shared" si="9"/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>
        <f>IFERROR(CalcRC27(F106,G106,K106,O106,P106,Q106,R106,S106,T106,U106,V106),"-")</f>
      </c>
      <c r="X106" t="s" s="2">
        <v>430</v>
      </c>
    </row>
    <row r="107" spans="2:24" ht="13.8" x14ac:dyDescent="0.2">
      <c r="B107" s="8">
        <f t="shared" si="10"/>
      </c>
      <c r="C107" t="s" s="10">
        <v>1232</v>
      </c>
      <c r="D107" t="s" s="9">
        <v>1826</v>
      </c>
      <c r="E107" s="11">
        <f t="shared" si="11"/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</c>
      <c r="L107" s="7">
        <v>0</v>
      </c>
      <c r="M107" s="11">
        <f t="shared" si="8"/>
      </c>
      <c r="N107" s="11">
        <f t="shared" si="9"/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>
        <f>IFERROR(CalcRC27(F107,G107,K107,O107,P107,Q107,R107,S107,T107,U107,V107),"-")</f>
      </c>
      <c r="X107" t="s" s="2">
        <v>1253</v>
      </c>
    </row>
    <row r="108" spans="2:24" ht="13.8" x14ac:dyDescent="0.2">
      <c r="B108" s="8">
        <f t="shared" si="10"/>
      </c>
      <c r="C108" t="s" s="10">
        <v>1235</v>
      </c>
      <c r="D108" t="s" s="9">
        <v>1518</v>
      </c>
      <c r="E108" s="11">
        <f t="shared" si="11"/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</c>
      <c r="L108" s="7">
        <v>0</v>
      </c>
      <c r="M108" s="11">
        <f t="shared" si="8"/>
      </c>
      <c r="N108" s="11">
        <f t="shared" si="9"/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>
        <f>IFERROR(CalcRC27(F108,G108,K108,O108,P108,Q108,R108,S108,T108,U108,V108),"-")</f>
      </c>
      <c r="X108" t="s" s="2">
        <v>1254</v>
      </c>
    </row>
    <row r="109" spans="2:24" ht="13.8" x14ac:dyDescent="0.2">
      <c r="B109" s="8">
        <f t="shared" si="10"/>
      </c>
      <c r="C109" t="s" s="10">
        <v>1239</v>
      </c>
      <c r="D109" t="s" s="9">
        <v>1827</v>
      </c>
      <c r="E109" s="11">
        <f t="shared" si="11"/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</c>
      <c r="L109" s="7">
        <v>0</v>
      </c>
      <c r="M109" s="11">
        <f t="shared" si="8"/>
      </c>
      <c r="N109" s="11">
        <f t="shared" si="9"/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>
        <f>IFERROR(CalcRC27(F109,G109,K109,O109,P109,Q109,R109,S109,T109,U109,V109),"-")</f>
      </c>
      <c r="X109" t="s" s="2">
        <v>1256</v>
      </c>
    </row>
    <row r="110" spans="2:24" ht="13.8" x14ac:dyDescent="0.2">
      <c r="B110" s="8">
        <f t="shared" si="10"/>
      </c>
      <c r="C110" t="s" s="10">
        <v>1828</v>
      </c>
      <c r="D110" t="s" s="9">
        <v>1393</v>
      </c>
      <c r="E110" s="11">
        <f t="shared" si="11"/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</c>
      <c r="L110" s="7">
        <v>0</v>
      </c>
      <c r="M110" s="11">
        <f t="shared" si="8"/>
      </c>
      <c r="N110" s="11">
        <f t="shared" si="9"/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>
        <f>IFERROR(CalcRC27(F110,G110,K110,O110,P110,Q110,R110,S110,T110,U110,V110),"-")</f>
      </c>
      <c r="X110" t="s" s="2">
        <v>1860</v>
      </c>
    </row>
    <row r="111" spans="2:24" ht="13.8" x14ac:dyDescent="0.2">
      <c r="B111" s="8">
        <f t="shared" si="10"/>
      </c>
      <c r="C111" t="s" s="10">
        <v>1829</v>
      </c>
      <c r="D111" t="s" s="9">
        <v>1830</v>
      </c>
      <c r="E111" s="11">
        <f t="shared" si="11"/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</c>
      <c r="L111" s="7">
        <v>0</v>
      </c>
      <c r="M111" s="11">
        <f t="shared" si="8"/>
      </c>
      <c r="N111" s="11">
        <f t="shared" si="9"/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>
        <f>IFERROR(CalcRC27(F111,G111,K111,O111,P111,Q111,R111,S111,T111,U111,V111),"-")</f>
      </c>
      <c r="X111" t="s" s="2">
        <v>1861</v>
      </c>
    </row>
    <row r="112" spans="2:24" ht="13.8" x14ac:dyDescent="0.2">
      <c r="B112" s="8">
        <f t="shared" si="10"/>
      </c>
      <c r="C112" t="s" s="10">
        <v>1831</v>
      </c>
      <c r="D112" t="s" s="9">
        <v>1296</v>
      </c>
      <c r="E112" s="11">
        <f t="shared" si="11"/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</c>
      <c r="L112" s="7">
        <v>0</v>
      </c>
      <c r="M112" s="11">
        <f t="shared" si="8"/>
      </c>
      <c r="N112" s="11">
        <f t="shared" si="9"/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>
        <f>IFERROR(CalcRC27(F112,G112,K112,O112,P112,Q112,R112,S112,T112,U112,V112),"-")</f>
      </c>
      <c r="X112" t="s" s="2">
        <v>1862</v>
      </c>
    </row>
    <row r="113" spans="2:24" ht="13.8" x14ac:dyDescent="0.2">
      <c r="B113" s="8">
        <f t="shared" si="10"/>
      </c>
      <c r="C113" t="s" s="10">
        <v>1832</v>
      </c>
      <c r="D113" t="s" s="9">
        <v>1833</v>
      </c>
      <c r="E113" s="11">
        <f t="shared" si="11"/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</c>
      <c r="L113" s="7">
        <v>0</v>
      </c>
      <c r="M113" s="11">
        <f t="shared" si="8"/>
      </c>
      <c r="N113" s="11">
        <f t="shared" si="9"/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>
        <f>IFERROR(CalcRC27(F113,G113,K113,O113,P113,Q113,R113,S113,T113,U113,V113),"-")</f>
      </c>
      <c r="X113" t="s" s="2">
        <v>1863</v>
      </c>
    </row>
    <row r="114" spans="2:24" ht="13.8" x14ac:dyDescent="0.2">
      <c r="B114" s="8">
        <f t="shared" si="10"/>
      </c>
      <c r="C114" t="s" s="10">
        <v>1834</v>
      </c>
      <c r="D114" t="s" s="9">
        <v>1835</v>
      </c>
      <c r="E114" s="11">
        <f t="shared" si="11"/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</c>
      <c r="L114" s="7">
        <v>0</v>
      </c>
      <c r="M114" s="11">
        <f t="shared" si="8"/>
      </c>
      <c r="N114" s="11">
        <f t="shared" si="9"/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>
        <f>IFERROR(CalcRC27(F114,G114,K114,O114,P114,Q114,R114,S114,T114,U114,V114),"-")</f>
      </c>
      <c r="X114" t="s" s="2">
        <v>1864</v>
      </c>
    </row>
    <row r="115" spans="2:24" ht="13.8" x14ac:dyDescent="0.2">
      <c r="B115" s="8">
        <f t="shared" si="10"/>
      </c>
      <c r="C115" t="s" s="10">
        <v>1836</v>
      </c>
      <c r="D115" t="s" s="9">
        <v>1333</v>
      </c>
      <c r="E115" s="11">
        <f t="shared" si="11"/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</c>
      <c r="L115" s="7">
        <v>0</v>
      </c>
      <c r="M115" s="11">
        <f t="shared" si="8"/>
      </c>
      <c r="N115" s="11">
        <f t="shared" si="9"/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>
        <f>IFERROR(CalcRC27(F115,G115,K115,O115,P115,Q115,R115,S115,T115,U115,V115),"-")</f>
      </c>
      <c r="X115" t="s" s="2">
        <v>1865</v>
      </c>
    </row>
    <row r="116" spans="2:24" ht="13.8" x14ac:dyDescent="0.2">
      <c r="B116" s="8">
        <f t="shared" si="10"/>
      </c>
      <c r="C116" t="s" s="10">
        <v>1837</v>
      </c>
      <c r="D116" t="s" s="9">
        <v>1838</v>
      </c>
      <c r="E116" s="11">
        <f t="shared" si="11"/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</c>
      <c r="L116" s="7">
        <v>0</v>
      </c>
      <c r="M116" s="11">
        <f t="shared" si="8"/>
      </c>
      <c r="N116" s="11">
        <f t="shared" si="9"/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>
        <f>IFERROR(CalcRC27(F116,G116,K116,O116,P116,Q116,R116,S116,T116,U116,V116),"-")</f>
      </c>
      <c r="X116" t="s" s="2">
        <v>1866</v>
      </c>
    </row>
    <row r="117" spans="2:24" ht="13.8" x14ac:dyDescent="0.2">
      <c r="B117" s="8">
        <f t="shared" si="10"/>
      </c>
      <c r="C117" t="s" s="10">
        <v>1839</v>
      </c>
      <c r="D117" t="s" s="9">
        <v>1840</v>
      </c>
      <c r="E117" s="11">
        <f t="shared" si="11"/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</c>
      <c r="L117" s="7">
        <v>0</v>
      </c>
      <c r="M117" s="11">
        <f t="shared" si="8"/>
      </c>
      <c r="N117" s="11">
        <f t="shared" si="9"/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>
        <f>IFERROR(CalcRC27(F117,G117,K117,O117,P117,Q117,R117,S117,T117,U117,V117),"-")</f>
      </c>
      <c r="X117" t="s" s="2">
        <v>1867</v>
      </c>
    </row>
    <row r="118" spans="2:24" ht="13.8" x14ac:dyDescent="0.2">
      <c r="B118" s="8">
        <f t="shared" si="10"/>
      </c>
      <c r="C118" s="10">
        <v>123</v>
      </c>
      <c r="D118" t="s" s="9">
        <v>713</v>
      </c>
      <c r="E118" s="11">
        <f t="shared" si="11"/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</c>
      <c r="L118" s="7">
        <v>0</v>
      </c>
      <c r="M118" s="11">
        <f t="shared" si="8"/>
      </c>
      <c r="N118" s="11">
        <f t="shared" si="9"/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>
        <f>IFERROR(CalcRC27(F118,G118,K118,O118,P118,Q118,R118,S118,T118,U118,V118),"-")</f>
      </c>
      <c r="X118" t="s" s="2">
        <v>1868</v>
      </c>
    </row>
    <row r="119" spans="2:24" ht="13.8" x14ac:dyDescent="0.2">
      <c r="B119" s="8">
        <f t="shared" si="10"/>
      </c>
      <c r="C119" s="10">
        <v>124</v>
      </c>
      <c r="D119" t="s" s="9">
        <v>1841</v>
      </c>
      <c r="E119" s="11">
        <f t="shared" si="11"/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</c>
      <c r="L119" s="7">
        <v>0</v>
      </c>
      <c r="M119" s="11">
        <f t="shared" si="8"/>
      </c>
      <c r="N119" s="11">
        <f t="shared" si="9"/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>
        <f>IFERROR(CalcRC27(F119,G119,K119,O119,P119,Q119,R119,S119,T119,U119,V119),"-")</f>
      </c>
      <c r="X119" t="s" s="2">
        <v>1869</v>
      </c>
    </row>
    <row r="120" spans="2:24" ht="13.8" x14ac:dyDescent="0.2">
      <c r="B120" s="8">
        <f t="shared" si="10"/>
      </c>
      <c r="C120" s="10">
        <v>126</v>
      </c>
      <c r="D120" t="s" s="9">
        <v>1842</v>
      </c>
      <c r="E120" s="11">
        <f t="shared" si="11"/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</c>
      <c r="L120" s="7">
        <v>0</v>
      </c>
      <c r="M120" s="11">
        <f t="shared" si="8"/>
      </c>
      <c r="N120" s="11">
        <f t="shared" si="9"/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>
        <f>IFERROR(CalcRC27(F120,G120,K120,O120,P120,Q120,R120,S120,T120,U120,V120),"-")</f>
      </c>
      <c r="X120" t="s" s="2">
        <v>1870</v>
      </c>
    </row>
    <row r="121" spans="2:24" ht="13.8" x14ac:dyDescent="0.2">
      <c r="B121" s="8">
        <f t="shared" si="10"/>
      </c>
      <c r="C121" s="10">
        <v>127</v>
      </c>
      <c r="D121" t="s" s="9">
        <v>1843</v>
      </c>
      <c r="E121" s="11">
        <f t="shared" si="11"/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</c>
      <c r="L121" s="7">
        <v>0</v>
      </c>
      <c r="M121" s="11">
        <f t="shared" si="8"/>
      </c>
      <c r="N121" s="11">
        <f t="shared" si="9"/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>
        <f>IFERROR(CalcRC27(F121,G121,K121,O121,P121,Q121,R121,S121,T121,U121,V121),"-")</f>
      </c>
      <c r="X121" t="s" s="2">
        <v>1247</v>
      </c>
    </row>
    <row r="122" spans="2:24" ht="13.8" x14ac:dyDescent="0.2">
      <c r="B122" s="8">
        <f t="shared" si="10"/>
      </c>
      <c r="C122" s="10">
        <v>128</v>
      </c>
      <c r="D122" t="s" s="9">
        <v>1776</v>
      </c>
      <c r="E122" s="11">
        <f t="shared" si="11"/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</c>
      <c r="L122" s="7">
        <v>0</v>
      </c>
      <c r="M122" s="11">
        <f t="shared" si="8"/>
      </c>
      <c r="N122" s="11">
        <f t="shared" si="9"/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>
        <f>IFERROR(CalcRC27(F122,G122,K122,O122,P122,Q122,R122,S122,T122,U122,V122),"-")</f>
      </c>
      <c r="X122" t="s" s="2">
        <v>408</v>
      </c>
    </row>
    <row r="123" spans="2:24" ht="13.8" x14ac:dyDescent="0.2">
      <c r="B123" s="8">
        <f t="shared" si="10"/>
      </c>
      <c r="C123" s="10">
        <v>129</v>
      </c>
      <c r="D123" t="s" s="9">
        <v>1844</v>
      </c>
      <c r="E123" s="11">
        <f t="shared" si="11"/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</c>
      <c r="L123" s="7">
        <v>0</v>
      </c>
      <c r="M123" s="11">
        <f t="shared" si="8"/>
      </c>
      <c r="N123" s="11">
        <f t="shared" si="9"/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>
        <f>IFERROR(CalcRC27(F123,G123,K123,O123,P123,Q123,R123,S123,T123,U123,V123),"-")</f>
      </c>
      <c r="X123" t="s" s="2">
        <v>1871</v>
      </c>
    </row>
    <row r="124" spans="2:24" ht="13.8" x14ac:dyDescent="0.2">
      <c r="B124" s="8">
        <f t="shared" si="10"/>
      </c>
      <c r="C124" s="10">
        <v>130</v>
      </c>
      <c r="D124" t="s" s="9">
        <v>1746</v>
      </c>
      <c r="E124" s="11">
        <f t="shared" si="11"/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</c>
      <c r="L124" s="7">
        <v>0</v>
      </c>
      <c r="M124" s="11">
        <f t="shared" si="8"/>
      </c>
      <c r="N124" s="11">
        <f t="shared" si="9"/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>
        <f>IFERROR(CalcRC27(F124,G124,K124,O124,P124,Q124,R124,S124,T124,U124,V124),"-")</f>
      </c>
      <c r="X124" t="s" s="2">
        <v>578</v>
      </c>
    </row>
    <row r="125" spans="2:24" ht="13.8" x14ac:dyDescent="0.2">
      <c r="B125" s="8">
        <f t="shared" si="10"/>
      </c>
      <c r="C125" s="10"/>
      <c r="D125" s="9"/>
      <c r="E125" s="11">
        <f t="shared" si="11"/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</c>
      <c r="L125" s="7">
        <v>0</v>
      </c>
      <c r="M125" s="11">
        <f t="shared" si="8"/>
      </c>
      <c r="N125" s="11">
        <f t="shared" si="9"/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>
        <f>IFERROR(CalcRC27(F125,G125,K125,O125,P125,Q125,R125,S125,T125,U125,V125),"-")</f>
      </c>
      <c r="X125" s="2"/>
    </row>
    <row r="126" spans="2:24" ht="13.8" x14ac:dyDescent="0.2">
      <c r="B126" s="8">
        <f t="shared" si="10"/>
      </c>
      <c r="C126" s="10"/>
      <c r="D126" s="9"/>
      <c r="E126" s="11">
        <f t="shared" si="11"/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</c>
      <c r="L126" s="7">
        <v>0</v>
      </c>
      <c r="M126" s="11">
        <f t="shared" si="8"/>
      </c>
      <c r="N126" s="11">
        <f t="shared" si="9"/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>
        <f>IFERROR(CalcRC27(F126,G126,K126,O126,P126,Q126,R126,S126,T126,U126,V126),"-")</f>
      </c>
      <c r="X126" s="2"/>
    </row>
    <row r="127" spans="2:24" ht="13.8" x14ac:dyDescent="0.2">
      <c r="B127" s="8">
        <f t="shared" si="10"/>
      </c>
      <c r="C127" s="10"/>
      <c r="D127" s="9"/>
      <c r="E127" s="11">
        <f t="shared" si="11"/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</c>
      <c r="L127" s="7">
        <v>0</v>
      </c>
      <c r="M127" s="11">
        <f t="shared" si="8"/>
      </c>
      <c r="N127" s="11">
        <f t="shared" si="9"/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>
        <f>IFERROR(CalcRC27(F127,G127,K127,O127,P127,Q127,R127,S127,T127,U127,V127),"-")</f>
      </c>
      <c r="X127" s="2"/>
    </row>
    <row r="128" spans="2:24" ht="13.8" x14ac:dyDescent="0.2">
      <c r="B128" s="8">
        <f t="shared" si="10"/>
      </c>
      <c r="C128" s="10"/>
      <c r="D128" s="9"/>
      <c r="E128" s="11">
        <f t="shared" si="11"/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</c>
      <c r="L128" s="7">
        <v>0</v>
      </c>
      <c r="M128" s="11">
        <f t="shared" si="8"/>
      </c>
      <c r="N128" s="11">
        <f t="shared" si="9"/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>
        <f>IFERROR(CalcRC27(F128,G128,K128,O128,P128,Q128,R128,S128,T128,U128,V128),"-")</f>
      </c>
      <c r="X128" s="2"/>
    </row>
    <row r="129" spans="2:24" ht="13.8" x14ac:dyDescent="0.2">
      <c r="B129" s="8">
        <f t="shared" si="10"/>
      </c>
      <c r="C129" s="10"/>
      <c r="D129" s="9"/>
      <c r="E129" s="11">
        <f t="shared" si="11"/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</c>
      <c r="L129" s="7">
        <v>0</v>
      </c>
      <c r="M129" s="11">
        <f t="shared" si="8"/>
      </c>
      <c r="N129" s="11">
        <f t="shared" si="9"/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>
        <f>IFERROR(CalcRC27(F129,G129,K129,O129,P129,Q129,R129,S129,T129,U129,V129),"-")</f>
      </c>
      <c r="X129" s="2"/>
    </row>
    <row r="130" spans="2:24" ht="13.8" x14ac:dyDescent="0.2">
      <c r="B130" s="8">
        <f t="shared" si="10"/>
      </c>
      <c r="C130" s="10"/>
      <c r="D130" s="9"/>
      <c r="E130" s="11">
        <f t="shared" si="11"/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</c>
      <c r="L130" s="7">
        <v>1</v>
      </c>
      <c r="M130" s="11">
        <f t="shared" si="8"/>
      </c>
      <c r="N130" s="11">
        <f t="shared" si="9"/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>
        <f>IFERROR(CalcRC27(F130,G130,K130,O130,P130,Q130,R130,S130,T130,U130,V130),"-")</f>
      </c>
      <c r="X130" s="2"/>
    </row>
    <row r="131" spans="2:24" ht="13.8" x14ac:dyDescent="0.2">
      <c r="B131" s="8">
        <f t="shared" si="10"/>
      </c>
      <c r="C131" s="10"/>
      <c r="D131" s="9"/>
      <c r="E131" s="11">
        <f t="shared" si="11"/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</c>
      <c r="L131" s="7">
        <v>2</v>
      </c>
      <c r="M131" s="11">
        <f t="shared" si="8"/>
      </c>
      <c r="N131" s="11">
        <f t="shared" si="9"/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>
        <f>IFERROR(CalcRC27(F131,G131,K131,O131,P131,Q131,R131,S131,T131,U131,V131),"-")</f>
      </c>
      <c r="X131" s="2"/>
    </row>
    <row r="132" spans="2:24" ht="13.8" x14ac:dyDescent="0.2">
      <c r="B132" s="8">
        <f t="shared" si="10"/>
      </c>
      <c r="C132" s="10"/>
      <c r="D132" s="9"/>
      <c r="E132" s="11">
        <f t="shared" si="11"/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</c>
      <c r="L132" s="7">
        <v>3</v>
      </c>
      <c r="M132" s="11">
        <f t="shared" ref="M132:M134" si="13">IFERROR(IF((G132+P132+Q132)/(F132+P132+Q132+S132)=1,"1.00",(G132+P132+Q132)/(F132+P132+Q132+S132)),0)</f>
      </c>
      <c r="N132" s="11">
        <f t="shared" ref="N132:N134" si="14">IFERROR(SUM(K132/F132,((G132+P132+Q132)/(F132+P132+Q132+S132))),M132)</f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>
        <f>IFERROR(CalcRC27(F132,G132,K132,O132,P132,Q132,R132,S132,T132,U132,V132),"-")</f>
      </c>
      <c r="X132" s="2"/>
    </row>
    <row r="133" spans="2:24" ht="13.8" x14ac:dyDescent="0.2">
      <c r="B133" s="8">
        <f t="shared" ref="B133:B134" si="15">IF(C133="","",C133)</f>
      </c>
      <c r="C133" s="10"/>
      <c r="D133" s="9"/>
      <c r="E133" s="11">
        <f t="shared" ref="E133:E134" si="16">IFERROR(IF(G133/F133=1,"1.00",G133/F133),"---")</f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</c>
      <c r="L133" s="7">
        <v>4</v>
      </c>
      <c r="M133" s="11">
        <f t="shared" si="13"/>
      </c>
      <c r="N133" s="11">
        <f t="shared" si="14"/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>
        <f>IFERROR(CalcRC27(F133,G133,K133,O133,P133,Q133,R133,S133,T133,U133,V133),"-")</f>
      </c>
      <c r="X133" s="2"/>
    </row>
    <row r="134" spans="2:24" ht="13.8" x14ac:dyDescent="0.2">
      <c r="B134" s="8">
        <f t="shared" si="15"/>
      </c>
      <c r="C134" s="10"/>
      <c r="D134" s="9"/>
      <c r="E134" s="11">
        <f t="shared" si="16"/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</c>
      <c r="L134" s="7">
        <v>5</v>
      </c>
      <c r="M134" s="11">
        <f t="shared" si="13"/>
      </c>
      <c r="N134" s="11">
        <f t="shared" si="14"/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>
        <f>IFERROR(CalcRC27(F134,G134,K134,O134,P134,Q134,R134,S134,T134,U134,V134),"-")</f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3209C-D7C7-43E3-9313-F4456FC2F2F6}">
  <sheetPr codeName="Sheet13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2"/>
      <c r="C2" s="122"/>
      <c r="D2" s="122"/>
      <c r="E2" s="4">
        <f>IFERROR(G2/F2,0)</f>
      </c>
      <c r="F2" s="5">
        <f t="shared" ref="F2:L2" si="0">SUM(F4:F104)</f>
      </c>
      <c r="G2" s="5">
        <f t="shared" si="0"/>
      </c>
      <c r="H2" s="5">
        <f t="shared" si="0"/>
      </c>
      <c r="I2" s="5">
        <f t="shared" si="0"/>
      </c>
      <c r="J2" s="6">
        <f t="shared" si="0"/>
      </c>
      <c r="K2" s="12">
        <f t="shared" si="0"/>
      </c>
      <c r="L2" s="7">
        <f t="shared" si="0"/>
      </c>
      <c r="M2" s="11">
        <f>IFERROR(IF((G2+P2+Q2)/(F2+P2+Q2+R2)=1,"1.00",(G2+P2+Q2)/(F2+P2+Q2+R2)),0)</f>
      </c>
      <c r="N2" s="11">
        <f>IFERROR(SUM(SUM(((G2-H2-I2-J2)*1),H2*2,I2*3,J2*4)/F2,((G2+P2+Q2)/(F2+P2+Q2+R2))),M2)</f>
      </c>
      <c r="O2" s="5">
        <f>SUM(O4:O104)</f>
      </c>
      <c r="P2" s="5">
        <f>SUM(P4:P104)</f>
      </c>
      <c r="Q2" s="5">
        <f>SUM(Q4:Q104)</f>
      </c>
      <c r="R2" s="5">
        <f>SUM(R4:R104)</f>
      </c>
      <c r="S2" s="5">
        <f>SUM(S4:S104)</f>
      </c>
      <c r="T2" s="5">
        <f t="shared" ref="T2:V2" si="1">SUM(T4:T104)</f>
      </c>
      <c r="U2" s="5">
        <f t="shared" si="1"/>
      </c>
      <c r="V2" s="5">
        <f t="shared" si="1"/>
      </c>
      <c r="W2" s="20">
        <f>IFERROR(CalcRC27(F2,G2,K2,O2,P2,Q2,R2,S2,T2,U2,V2),"-")</f>
      </c>
      <c r="X2" t="s" s="121">
        <v>229</v>
      </c>
    </row>
    <row r="3" spans="2:24" x14ac:dyDescent="0.2">
      <c r="B3" t="s" s="55">
        <v>841</v>
      </c>
      <c r="C3" t="s" s="56">
        <v>1039</v>
      </c>
      <c r="D3" t="s" s="56">
        <v>1040</v>
      </c>
      <c r="E3" t="s" s="57">
        <v>56</v>
      </c>
      <c r="F3" t="s" s="58">
        <v>0</v>
      </c>
      <c r="G3" t="s" s="55">
        <v>1</v>
      </c>
      <c r="H3" t="s" s="55">
        <v>360</v>
      </c>
      <c r="I3" t="s" s="55">
        <v>361</v>
      </c>
      <c r="J3" t="s" s="59">
        <v>1041</v>
      </c>
      <c r="K3" t="s" s="55">
        <v>983</v>
      </c>
      <c r="L3" t="s" s="60">
        <v>2</v>
      </c>
      <c r="M3" t="s" s="61">
        <v>359</v>
      </c>
      <c r="N3" t="s" s="57">
        <v>362</v>
      </c>
      <c r="O3" t="s" s="62">
        <v>978</v>
      </c>
      <c r="P3" t="s" s="55">
        <v>234</v>
      </c>
      <c r="Q3" t="s" s="55">
        <v>235</v>
      </c>
      <c r="R3" t="s" s="55">
        <v>976</v>
      </c>
      <c r="S3" t="s" s="55">
        <v>977</v>
      </c>
      <c r="T3" t="s" s="55">
        <v>979</v>
      </c>
      <c r="U3" t="s" s="55">
        <v>980</v>
      </c>
      <c r="V3" t="s" s="55">
        <v>981</v>
      </c>
      <c r="W3" t="s" s="55">
        <v>982</v>
      </c>
      <c r="X3" s="121"/>
    </row>
    <row r="4" spans="2:24" ht="13.8" x14ac:dyDescent="0.2">
      <c r="B4" s="8">
        <f>IF(C4="","",C4)</f>
      </c>
      <c r="C4" t="s" s="10">
        <v>173</v>
      </c>
      <c r="D4" s="13"/>
      <c r="E4" s="11">
        <f t="shared" ref="E4:E68" si="2">IFERROR(IF(G4/F4=1,"1.00",G4/F4),"---")</f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</c>
      <c r="L4" s="7">
        <v>0</v>
      </c>
      <c r="M4" s="11">
        <f t="shared" ref="M4:M67" si="4">IFERROR(IF((G4+P4+Q4)/(F4+P4+Q4+S4)=1,"1.00",(G4+P4+Q4)/(F4+P4+Q4+S4)),0)</f>
      </c>
      <c r="N4" s="11">
        <f t="shared" ref="N4:N67" si="5">IFERROR(SUM(K4/F4,((G4+P4+Q4)/(F4+P4+Q4+S4))),M4)</f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>
        <f>IFERROR(CalcRC27(F4,G4,K4,O4,P4,Q4,R4,S4,T4,U4,V4),"-")</f>
      </c>
      <c r="X4" s="2"/>
    </row>
    <row r="5" spans="2:24" ht="13.8" x14ac:dyDescent="0.2">
      <c r="B5" s="8">
        <f t="shared" ref="B5:B68" si="6">IF(C5="","",C5)</f>
      </c>
      <c r="C5" s="10">
        <v>0</v>
      </c>
      <c r="D5" t="s" s="13">
        <v>1350</v>
      </c>
      <c r="E5" s="11">
        <f t="shared" si="2"/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</c>
      <c r="L5" s="7">
        <v>0</v>
      </c>
      <c r="M5" s="11">
        <f t="shared" si="4"/>
      </c>
      <c r="N5" s="11">
        <f t="shared" si="5"/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>
        <f>IFERROR(CalcRC27(F5,G5,K5,O5,P5,Q5,R5,S5,T5,U5,V5),"-")</f>
      </c>
      <c r="X5" t="s" s="2">
        <v>137</v>
      </c>
    </row>
    <row r="6" spans="2:24" ht="13.8" x14ac:dyDescent="0.2">
      <c r="B6" s="8">
        <f t="shared" si="6"/>
      </c>
      <c r="C6" s="10">
        <v>1</v>
      </c>
      <c r="D6" s="13"/>
      <c r="E6" s="11">
        <f t="shared" si="2"/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</c>
      <c r="L6" s="7">
        <v>0</v>
      </c>
      <c r="M6" s="11">
        <f t="shared" si="4"/>
      </c>
      <c r="N6" s="11">
        <f t="shared" si="5"/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>
        <f>IFERROR(CalcRC27(F6,G6,K6,O6,P6,Q6,R6,S6,T6,U6,V6),"-")</f>
      </c>
      <c r="X6" s="2"/>
    </row>
    <row r="7" spans="2:24" ht="13.8" x14ac:dyDescent="0.2">
      <c r="B7" s="8">
        <f t="shared" si="6"/>
      </c>
      <c r="C7" s="10">
        <v>2</v>
      </c>
      <c r="D7" t="s" s="13">
        <v>44</v>
      </c>
      <c r="E7" s="11">
        <f t="shared" si="2"/>
      </c>
      <c r="F7" s="5">
        <v>2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</c>
      <c r="L7" s="7">
        <v>0</v>
      </c>
      <c r="M7" s="11">
        <f t="shared" si="4"/>
      </c>
      <c r="N7" s="11">
        <f t="shared" si="5"/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>
        <f>IFERROR(CalcRC27(F7,G7,K7,O7,P7,Q7,R7,S7,T7,U7,V7),"-")</f>
      </c>
      <c r="X7" t="s" s="2">
        <v>364</v>
      </c>
    </row>
    <row r="8" spans="2:24" ht="13.8" x14ac:dyDescent="0.2">
      <c r="B8" s="8">
        <f t="shared" si="6"/>
      </c>
      <c r="C8" s="10">
        <v>3</v>
      </c>
      <c r="D8" t="s" s="13">
        <v>141</v>
      </c>
      <c r="E8" s="11">
        <f t="shared" si="2"/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</c>
      <c r="L8" s="7">
        <v>0</v>
      </c>
      <c r="M8" s="11">
        <f t="shared" si="4"/>
      </c>
      <c r="N8" s="11">
        <f t="shared" si="5"/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>
        <f>IFERROR(CalcRC27(F8,G8,K8,O8,P8,Q8,R8,S8,T8,U8,V8),"-")</f>
      </c>
      <c r="X8" t="s" s="2">
        <v>365</v>
      </c>
    </row>
    <row r="9" spans="2:24" ht="13.8" x14ac:dyDescent="0.2">
      <c r="B9" s="8">
        <f t="shared" si="6"/>
      </c>
      <c r="C9" s="10">
        <v>4</v>
      </c>
      <c r="D9" t="s" s="13">
        <v>1808</v>
      </c>
      <c r="E9" s="11">
        <f t="shared" si="2"/>
      </c>
      <c r="F9" s="5">
        <v>1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</c>
      <c r="L9" s="7">
        <v>2</v>
      </c>
      <c r="M9" s="11">
        <f t="shared" si="4"/>
      </c>
      <c r="N9" s="11">
        <f t="shared" si="5"/>
      </c>
      <c r="O9" s="20">
        <v>0</v>
      </c>
      <c r="P9" s="21">
        <v>0</v>
      </c>
      <c r="Q9" s="21">
        <v>0</v>
      </c>
      <c r="R9" s="22">
        <v>0</v>
      </c>
      <c r="S9" s="22">
        <v>2</v>
      </c>
      <c r="T9" s="20">
        <v>0</v>
      </c>
      <c r="U9" s="20">
        <v>0</v>
      </c>
      <c r="V9" s="20">
        <v>0</v>
      </c>
      <c r="W9" s="63">
        <f>IFERROR(CalcRC27(F9,G9,K9,O9,P9,Q9,R9,S9,T9,U9,V9),"-")</f>
      </c>
      <c r="X9" t="s" s="2">
        <v>540</v>
      </c>
    </row>
    <row r="10" spans="2:24" ht="13.8" x14ac:dyDescent="0.2">
      <c r="B10" s="8">
        <f t="shared" si="6"/>
      </c>
      <c r="C10" s="10">
        <v>5</v>
      </c>
      <c r="D10" t="s" s="13">
        <v>142</v>
      </c>
      <c r="E10" s="11">
        <f t="shared" si="2"/>
      </c>
      <c r="F10" s="5">
        <v>9</v>
      </c>
      <c r="G10" s="5">
        <v>2</v>
      </c>
      <c r="H10" s="5">
        <v>0</v>
      </c>
      <c r="I10" s="5">
        <v>0</v>
      </c>
      <c r="J10" s="6">
        <v>1</v>
      </c>
      <c r="K10" s="12">
        <f t="shared" si="3"/>
      </c>
      <c r="L10" s="7">
        <v>2</v>
      </c>
      <c r="M10" s="11">
        <f t="shared" si="4"/>
      </c>
      <c r="N10" s="11">
        <f t="shared" si="5"/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>
        <f>IFERROR(CalcRC27(F10,G10,K10,O10,P10,Q10,R10,S10,T10,U10,V10),"-")</f>
      </c>
      <c r="X10" t="s" s="2">
        <v>139</v>
      </c>
    </row>
    <row r="11" spans="2:24" ht="13.8" x14ac:dyDescent="0.2">
      <c r="B11" s="8">
        <f t="shared" si="6"/>
      </c>
      <c r="C11" s="10">
        <v>6</v>
      </c>
      <c r="D11" s="13"/>
      <c r="E11" s="11">
        <f t="shared" si="2"/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</c>
      <c r="L11" s="7">
        <v>0</v>
      </c>
      <c r="M11" s="11">
        <f t="shared" si="4"/>
      </c>
      <c r="N11" s="11">
        <f t="shared" si="5"/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</c>
      <c r="X11" s="2"/>
    </row>
    <row r="12" spans="2:24" ht="13.8" x14ac:dyDescent="0.2">
      <c r="B12" s="8">
        <f t="shared" si="6"/>
      </c>
      <c r="C12" s="10">
        <v>7</v>
      </c>
      <c r="D12" t="s" s="13">
        <v>1297</v>
      </c>
      <c r="E12" s="11">
        <f t="shared" si="2"/>
      </c>
      <c r="F12" s="5">
        <v>4</v>
      </c>
      <c r="G12" s="5">
        <v>1</v>
      </c>
      <c r="H12" s="5">
        <v>0</v>
      </c>
      <c r="I12" s="5">
        <v>0</v>
      </c>
      <c r="J12" s="6">
        <v>0</v>
      </c>
      <c r="K12" s="12">
        <f t="shared" si="3"/>
      </c>
      <c r="L12" s="7">
        <v>0</v>
      </c>
      <c r="M12" s="11">
        <f t="shared" si="4"/>
      </c>
      <c r="N12" s="11">
        <f t="shared" si="5"/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>
        <f>IFERROR(CalcRC27(F12,G12,K12,O12,P12,Q12,R12,S12,T12,U12,V12),"-")</f>
      </c>
      <c r="X12" t="s" s="2">
        <v>366</v>
      </c>
    </row>
    <row r="13" spans="2:24" ht="13.8" x14ac:dyDescent="0.2">
      <c r="B13" s="8">
        <f t="shared" si="6"/>
      </c>
      <c r="C13" s="10">
        <v>8</v>
      </c>
      <c r="D13" t="s" s="13">
        <v>143</v>
      </c>
      <c r="E13" s="11">
        <f t="shared" si="2"/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</c>
      <c r="L13" s="7">
        <v>0</v>
      </c>
      <c r="M13" s="11">
        <f t="shared" si="4"/>
      </c>
      <c r="N13" s="11">
        <f t="shared" si="5"/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</c>
      <c r="X13" t="s" s="2">
        <v>367</v>
      </c>
    </row>
    <row r="14" spans="2:24" ht="13.8" x14ac:dyDescent="0.2">
      <c r="B14" s="8">
        <f t="shared" si="6"/>
      </c>
      <c r="C14" s="10">
        <v>9</v>
      </c>
      <c r="D14" t="s" s="13">
        <v>1317</v>
      </c>
      <c r="E14" s="11">
        <f t="shared" si="2"/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</c>
      <c r="L14" s="7">
        <v>0</v>
      </c>
      <c r="M14" s="11">
        <f t="shared" si="4"/>
      </c>
      <c r="N14" s="11">
        <f t="shared" si="5"/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>
        <f>IFERROR(CalcRC27(F14,G14,K14,O14,P14,Q14,R14,S14,T14,U14,V14),"-")</f>
      </c>
      <c r="X14" t="s" s="2">
        <v>828</v>
      </c>
    </row>
    <row r="15" spans="2:24" ht="13.8" x14ac:dyDescent="0.2">
      <c r="B15" s="8">
        <f t="shared" si="6"/>
      </c>
      <c r="C15" s="10">
        <v>10</v>
      </c>
      <c r="D15" s="13"/>
      <c r="E15" s="11">
        <f t="shared" si="2"/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</c>
      <c r="L15" s="7">
        <v>0</v>
      </c>
      <c r="M15" s="11">
        <f t="shared" si="4"/>
      </c>
      <c r="N15" s="11">
        <f t="shared" si="5"/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</c>
      <c r="X15" s="2"/>
    </row>
    <row r="16" spans="2:24" ht="13.8" x14ac:dyDescent="0.2">
      <c r="B16" s="8">
        <f t="shared" si="6"/>
      </c>
      <c r="C16" s="10">
        <v>11</v>
      </c>
      <c r="D16" t="s" s="13">
        <v>124</v>
      </c>
      <c r="E16" s="11">
        <f t="shared" si="2"/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</c>
      <c r="L16" s="7">
        <v>0</v>
      </c>
      <c r="M16" s="11">
        <f t="shared" si="4"/>
      </c>
      <c r="N16" s="11">
        <f t="shared" si="5"/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</c>
      <c r="X16" t="s" s="2">
        <v>368</v>
      </c>
    </row>
    <row r="17" spans="2:24" ht="13.8" x14ac:dyDescent="0.2">
      <c r="B17" s="8">
        <f t="shared" si="6"/>
      </c>
      <c r="C17" s="10">
        <v>12</v>
      </c>
      <c r="D17" s="13"/>
      <c r="E17" s="11">
        <f t="shared" si="2"/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</c>
      <c r="L17" s="7">
        <v>0</v>
      </c>
      <c r="M17" s="11">
        <f t="shared" si="4"/>
      </c>
      <c r="N17" s="11">
        <f t="shared" si="5"/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>
        <f>IFERROR(CalcRC27(F17,G17,K17,O17,P17,Q17,R17,S17,T17,U17,V17),"-")</f>
      </c>
      <c r="X17" s="2"/>
    </row>
    <row r="18" spans="2:24" ht="13.8" x14ac:dyDescent="0.2">
      <c r="B18" s="8">
        <f t="shared" si="6"/>
      </c>
      <c r="C18" s="10">
        <v>13</v>
      </c>
      <c r="D18" t="s" s="13">
        <v>1872</v>
      </c>
      <c r="E18" s="11">
        <f t="shared" si="2"/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</c>
      <c r="L18" s="7">
        <v>0</v>
      </c>
      <c r="M18" s="11">
        <f t="shared" si="4"/>
      </c>
      <c r="N18" s="11">
        <f t="shared" si="5"/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>
        <f>IFERROR(CalcRC27(F18,G18,K18,O18,P18,Q18,R18,S18,T18,U18,V18),"-")</f>
      </c>
      <c r="X18" t="s" s="2">
        <v>2003</v>
      </c>
    </row>
    <row r="19" spans="2:24" ht="13.8" x14ac:dyDescent="0.2">
      <c r="B19" s="8">
        <f t="shared" si="6"/>
      </c>
      <c r="C19" s="10">
        <v>14</v>
      </c>
      <c r="D19" t="s" s="13">
        <v>144</v>
      </c>
      <c r="E19" s="11">
        <f t="shared" si="2"/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</c>
      <c r="L19" s="7">
        <v>0</v>
      </c>
      <c r="M19" s="11">
        <f t="shared" si="4"/>
      </c>
      <c r="N19" s="11">
        <f t="shared" si="5"/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>
        <f>IFERROR(CalcRC27(F19,G19,K19,O19,P19,Q19,R19,S19,T19,U19,V19),"-")</f>
      </c>
      <c r="X19" t="s" s="2">
        <v>370</v>
      </c>
    </row>
    <row r="20" spans="2:24" ht="13.8" x14ac:dyDescent="0.2">
      <c r="B20" s="8">
        <f t="shared" si="6"/>
      </c>
      <c r="C20" s="10">
        <v>15</v>
      </c>
      <c r="D20" s="8"/>
      <c r="E20" s="11">
        <f t="shared" si="2"/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</c>
      <c r="L20" s="7">
        <v>0</v>
      </c>
      <c r="M20" s="11">
        <f t="shared" si="4"/>
      </c>
      <c r="N20" s="11">
        <f t="shared" si="5"/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>
        <f>IFERROR(CalcRC27(F20,G20,K20,O20,P20,Q20,R20,S20,T20,U20,V20),"-")</f>
      </c>
      <c r="X20" s="2"/>
    </row>
    <row r="21" spans="2:24" ht="13.8" x14ac:dyDescent="0.2">
      <c r="B21" s="8">
        <f t="shared" si="6"/>
      </c>
      <c r="C21" s="10">
        <v>16</v>
      </c>
      <c r="D21" s="13"/>
      <c r="E21" s="11">
        <f t="shared" si="2"/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</c>
      <c r="L21" s="7">
        <v>0</v>
      </c>
      <c r="M21" s="11">
        <f t="shared" si="4"/>
      </c>
      <c r="N21" s="11">
        <f t="shared" si="5"/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</c>
      <c r="X21" s="2"/>
    </row>
    <row r="22" spans="2:24" ht="13.8" x14ac:dyDescent="0.2">
      <c r="B22" s="8">
        <f t="shared" si="6"/>
      </c>
      <c r="C22" s="10">
        <v>17</v>
      </c>
      <c r="D22" t="s" s="13">
        <v>1873</v>
      </c>
      <c r="E22" s="11">
        <f t="shared" si="2"/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</c>
      <c r="L22" s="7">
        <v>0</v>
      </c>
      <c r="M22" s="11">
        <f t="shared" si="4"/>
      </c>
      <c r="N22" s="11">
        <f t="shared" si="5"/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>
        <f>IFERROR(CalcRC27(F22,G22,K22,O22,P22,Q22,R22,S22,T22,U22,V22),"-")</f>
      </c>
      <c r="X22" t="s" s="2">
        <v>1903</v>
      </c>
    </row>
    <row r="23" spans="2:24" ht="13.8" x14ac:dyDescent="0.2">
      <c r="B23" s="8">
        <f t="shared" si="6"/>
      </c>
      <c r="C23" s="10">
        <v>18</v>
      </c>
      <c r="D23" t="s" s="13">
        <v>1744</v>
      </c>
      <c r="E23" s="11">
        <f t="shared" si="2"/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</c>
      <c r="L23" s="7">
        <v>0</v>
      </c>
      <c r="M23" s="11">
        <f t="shared" si="4"/>
      </c>
      <c r="N23" s="11">
        <f t="shared" si="5"/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</c>
      <c r="X23" t="s" s="2">
        <v>372</v>
      </c>
    </row>
    <row r="24" spans="2:24" ht="13.8" x14ac:dyDescent="0.2">
      <c r="B24" s="8">
        <f t="shared" si="6"/>
      </c>
      <c r="C24" s="10">
        <v>19</v>
      </c>
      <c r="D24" t="s" s="13">
        <v>1874</v>
      </c>
      <c r="E24" s="11">
        <f t="shared" si="2"/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</c>
      <c r="L24" s="7">
        <v>0</v>
      </c>
      <c r="M24" s="11">
        <f t="shared" si="4"/>
      </c>
      <c r="N24" s="11">
        <f t="shared" si="5"/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</c>
      <c r="X24" t="s" s="2">
        <v>1904</v>
      </c>
    </row>
    <row r="25" spans="2:24" ht="13.8" x14ac:dyDescent="0.2">
      <c r="B25" s="8">
        <f t="shared" si="6"/>
      </c>
      <c r="C25" s="10">
        <v>20</v>
      </c>
      <c r="D25" t="s" s="13">
        <v>1875</v>
      </c>
      <c r="E25" s="11">
        <f t="shared" si="2"/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</c>
      <c r="L25" s="7">
        <v>0</v>
      </c>
      <c r="M25" s="11">
        <f t="shared" si="4"/>
      </c>
      <c r="N25" s="11">
        <f t="shared" si="5"/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>
        <f>IFERROR(CalcRC27(F25,G25,K25,O25,P25,Q25,R25,S25,T25,U25,V25),"-")</f>
      </c>
      <c r="X25" t="s" s="2">
        <v>2004</v>
      </c>
    </row>
    <row r="26" spans="2:24" ht="13.8" x14ac:dyDescent="0.2">
      <c r="B26" s="8">
        <f t="shared" si="6"/>
      </c>
      <c r="C26" s="10">
        <v>21</v>
      </c>
      <c r="D26" t="s" s="13">
        <v>220</v>
      </c>
      <c r="E26" s="11">
        <f t="shared" si="2"/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</c>
      <c r="L26" s="7">
        <v>0</v>
      </c>
      <c r="M26" s="11">
        <f t="shared" si="4"/>
      </c>
      <c r="N26" s="11">
        <f t="shared" si="5"/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>
        <f>IFERROR(CalcRC27(F26,G26,K26,O26,P26,Q26,R26,S26,T26,U26,V26),"-")</f>
      </c>
      <c r="X26" t="s" s="2">
        <v>373</v>
      </c>
    </row>
    <row r="27" spans="2:24" ht="13.8" x14ac:dyDescent="0.2">
      <c r="B27" s="8">
        <f t="shared" si="6"/>
      </c>
      <c r="C27" s="10">
        <v>22</v>
      </c>
      <c r="D27" t="s" s="13">
        <v>1876</v>
      </c>
      <c r="E27" s="11">
        <f t="shared" si="2"/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</c>
      <c r="L27" s="7">
        <v>0</v>
      </c>
      <c r="M27" s="11">
        <f t="shared" si="4"/>
      </c>
      <c r="N27" s="11">
        <f t="shared" si="5"/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>
        <f>IFERROR(CalcRC27(F27,G27,K27,O27,P27,Q27,R27,S27,T27,U27,V27),"-")</f>
      </c>
      <c r="X27" t="s" s="2">
        <v>1905</v>
      </c>
    </row>
    <row r="28" spans="2:24" ht="13.8" x14ac:dyDescent="0.2">
      <c r="B28" s="8">
        <f t="shared" si="6"/>
      </c>
      <c r="C28" s="10">
        <v>23</v>
      </c>
      <c r="D28" t="s" s="13">
        <v>1877</v>
      </c>
      <c r="E28" s="11">
        <f t="shared" si="2"/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</c>
      <c r="L28" s="7">
        <v>0</v>
      </c>
      <c r="M28" s="11">
        <f t="shared" si="4"/>
      </c>
      <c r="N28" s="11">
        <f t="shared" si="5"/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>
        <f>IFERROR(CalcRC27(F28,G28,K28,O28,P28,Q28,R28,S28,T28,U28,V28),"-")</f>
      </c>
      <c r="X28" t="s" s="2">
        <v>2005</v>
      </c>
    </row>
    <row r="29" spans="2:24" ht="13.8" x14ac:dyDescent="0.2">
      <c r="B29" s="8">
        <f t="shared" si="6"/>
      </c>
      <c r="C29" s="10">
        <v>24</v>
      </c>
      <c r="D29" t="s" s="13">
        <v>1771</v>
      </c>
      <c r="E29" s="11">
        <f t="shared" si="2"/>
      </c>
      <c r="F29" s="5">
        <v>3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</c>
      <c r="L29" s="7">
        <v>0</v>
      </c>
      <c r="M29" s="11">
        <f t="shared" si="4"/>
      </c>
      <c r="N29" s="11">
        <f t="shared" si="5"/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</c>
      <c r="X29" t="s" s="2">
        <v>375</v>
      </c>
    </row>
    <row r="30" spans="2:24" ht="13.8" x14ac:dyDescent="0.2">
      <c r="B30" s="8">
        <f t="shared" si="6"/>
      </c>
      <c r="C30" s="10">
        <v>25</v>
      </c>
      <c r="D30" t="s" s="13">
        <v>221</v>
      </c>
      <c r="E30" s="11">
        <f t="shared" si="2"/>
      </c>
      <c r="F30" s="5">
        <v>1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</c>
      <c r="L30" s="7">
        <v>0</v>
      </c>
      <c r="M30" s="11">
        <f t="shared" si="4"/>
      </c>
      <c r="N30" s="11">
        <f t="shared" si="5"/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</c>
      <c r="X30" t="s" s="2">
        <v>376</v>
      </c>
    </row>
    <row r="31" spans="2:24" ht="13.8" x14ac:dyDescent="0.2">
      <c r="B31" s="8">
        <f t="shared" si="6"/>
      </c>
      <c r="C31" s="10">
        <v>26</v>
      </c>
      <c r="D31" s="13"/>
      <c r="E31" s="11">
        <f t="shared" si="2"/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</c>
      <c r="L31" s="7">
        <v>0</v>
      </c>
      <c r="M31" s="11">
        <f t="shared" si="4"/>
      </c>
      <c r="N31" s="11">
        <f t="shared" si="5"/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>
        <f>IFERROR(CalcRC27(F31,G31,K31,O31,P31,Q31,R31,S31,T31,U31,V31),"-")</f>
      </c>
      <c r="X31" s="2"/>
    </row>
    <row r="32" spans="2:24" ht="13.8" x14ac:dyDescent="0.2">
      <c r="B32" s="8">
        <f t="shared" si="6"/>
      </c>
      <c r="C32" s="10">
        <v>27</v>
      </c>
      <c r="D32" t="s" s="13">
        <v>145</v>
      </c>
      <c r="E32" s="11">
        <f t="shared" si="2"/>
      </c>
      <c r="F32" s="5">
        <v>6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</c>
      <c r="L32" s="7">
        <v>0</v>
      </c>
      <c r="M32" s="11">
        <f t="shared" si="4"/>
      </c>
      <c r="N32" s="11">
        <f t="shared" si="5"/>
      </c>
      <c r="O32" s="20">
        <v>1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</c>
      <c r="X32" t="s" s="2">
        <v>377</v>
      </c>
    </row>
    <row r="33" spans="2:24" ht="13.8" x14ac:dyDescent="0.2">
      <c r="B33" s="8">
        <f t="shared" si="6"/>
      </c>
      <c r="C33" s="10">
        <v>28</v>
      </c>
      <c r="D33" t="s" s="13">
        <v>146</v>
      </c>
      <c r="E33" s="11">
        <f t="shared" si="2"/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</c>
      <c r="L33" s="7">
        <v>0</v>
      </c>
      <c r="M33" s="11">
        <f t="shared" si="4"/>
      </c>
      <c r="N33" s="11">
        <f t="shared" si="5"/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</c>
      <c r="X33" t="s" s="2">
        <v>378</v>
      </c>
    </row>
    <row r="34" spans="2:24" ht="13.8" x14ac:dyDescent="0.2">
      <c r="B34" s="8">
        <f t="shared" si="6"/>
      </c>
      <c r="C34" s="10">
        <v>29</v>
      </c>
      <c r="D34" t="s" s="13">
        <v>222</v>
      </c>
      <c r="E34" s="11">
        <f t="shared" si="2"/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</c>
      <c r="L34" s="7">
        <v>0</v>
      </c>
      <c r="M34" s="11">
        <f t="shared" si="4"/>
      </c>
      <c r="N34" s="11">
        <f t="shared" si="5"/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>
        <f>IFERROR(CalcRC27(F34,G34,K34,O34,P34,Q34,R34,S34,T34,U34,V34),"-")</f>
      </c>
      <c r="X34" t="s" s="2">
        <v>379</v>
      </c>
    </row>
    <row r="35" spans="2:24" ht="13.8" x14ac:dyDescent="0.2">
      <c r="B35" s="8">
        <f t="shared" si="6"/>
      </c>
      <c r="C35" s="10">
        <v>30</v>
      </c>
      <c r="D35" t="s" s="13">
        <v>1331</v>
      </c>
      <c r="E35" s="11">
        <f t="shared" si="2"/>
      </c>
      <c r="F35" s="5">
        <v>6</v>
      </c>
      <c r="G35" s="5">
        <v>2</v>
      </c>
      <c r="H35" s="5">
        <v>0</v>
      </c>
      <c r="I35" s="5">
        <v>0</v>
      </c>
      <c r="J35" s="6">
        <v>1</v>
      </c>
      <c r="K35" s="12">
        <f t="shared" si="3"/>
      </c>
      <c r="L35" s="7">
        <v>1</v>
      </c>
      <c r="M35" s="11">
        <f t="shared" si="4"/>
      </c>
      <c r="N35" s="11">
        <f t="shared" si="5"/>
      </c>
      <c r="O35" s="20">
        <v>1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>
        <f>IFERROR(CalcRC27(F35,G35,K35,O35,P35,Q35,R35,S35,T35,U35,V35),"-")</f>
      </c>
      <c r="X35" t="s" s="2">
        <v>1906</v>
      </c>
    </row>
    <row r="36" spans="2:24" ht="13.8" x14ac:dyDescent="0.2">
      <c r="B36" s="8">
        <f t="shared" si="6"/>
      </c>
      <c r="C36" s="10">
        <v>31</v>
      </c>
      <c r="D36" t="s" s="13">
        <v>1343</v>
      </c>
      <c r="E36" s="11">
        <f t="shared" si="2"/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</c>
      <c r="L36" s="7">
        <v>0</v>
      </c>
      <c r="M36" s="11">
        <f t="shared" si="4"/>
      </c>
      <c r="N36" s="11">
        <f t="shared" si="5"/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>
        <f>IFERROR(CalcRC27(F36,G36,K36,O36,P36,Q36,R36,S36,T36,U36,V36),"-")</f>
      </c>
      <c r="X36" t="s" s="2">
        <v>1907</v>
      </c>
    </row>
    <row r="37" spans="2:24" ht="13.8" x14ac:dyDescent="0.2">
      <c r="B37" s="8">
        <f t="shared" si="6"/>
      </c>
      <c r="C37" s="10">
        <v>32</v>
      </c>
      <c r="D37" t="s" s="13">
        <v>1434</v>
      </c>
      <c r="E37" s="11">
        <f t="shared" si="2"/>
      </c>
      <c r="F37" s="5">
        <v>2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</c>
      <c r="L37" s="7">
        <v>0</v>
      </c>
      <c r="M37" s="11">
        <f t="shared" si="4"/>
      </c>
      <c r="N37" s="11">
        <f t="shared" si="5"/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>
        <f>IFERROR(CalcRC27(F37,G37,K37,O37,P37,Q37,R37,S37,T37,U37,V37),"-")</f>
      </c>
      <c r="X37" t="s" s="2">
        <v>1908</v>
      </c>
    </row>
    <row r="38" spans="2:24" ht="13.8" x14ac:dyDescent="0.2">
      <c r="B38" s="8">
        <f t="shared" si="6"/>
      </c>
      <c r="C38" s="10">
        <v>33</v>
      </c>
      <c r="D38" s="13"/>
      <c r="E38" s="11">
        <f t="shared" si="2"/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</c>
      <c r="L38" s="7">
        <v>0</v>
      </c>
      <c r="M38" s="11">
        <f t="shared" si="4"/>
      </c>
      <c r="N38" s="11">
        <f t="shared" si="5"/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>
        <f>IFERROR(CalcRC27(F38,G38,K38,O38,P38,Q38,R38,S38,T38,U38,V38),"-")</f>
      </c>
      <c r="X38" s="2"/>
    </row>
    <row r="39" spans="2:24" ht="13.8" x14ac:dyDescent="0.2">
      <c r="B39" s="8">
        <f t="shared" si="6"/>
      </c>
      <c r="C39" s="10">
        <v>34</v>
      </c>
      <c r="D39" t="s" s="13">
        <v>1809</v>
      </c>
      <c r="E39" s="11">
        <f t="shared" si="2"/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</c>
      <c r="L39" s="7">
        <v>0</v>
      </c>
      <c r="M39" s="11">
        <f t="shared" si="4"/>
      </c>
      <c r="N39" s="11">
        <f t="shared" si="5"/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>
        <f>IFERROR(CalcRC27(F39,G39,K39,O39,P39,Q39,R39,S39,T39,U39,V39),"-")</f>
      </c>
      <c r="X39" t="s" s="2">
        <v>2020</v>
      </c>
    </row>
    <row r="40" spans="2:24" ht="13.8" x14ac:dyDescent="0.2">
      <c r="B40" s="8">
        <f t="shared" si="6"/>
      </c>
      <c r="C40" s="10">
        <v>35</v>
      </c>
      <c r="D40" t="s" s="13">
        <v>1009</v>
      </c>
      <c r="E40" s="11">
        <f t="shared" si="2"/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</c>
      <c r="L40" s="7">
        <v>0</v>
      </c>
      <c r="M40" s="11">
        <f t="shared" si="4"/>
      </c>
      <c r="N40" s="11">
        <f t="shared" si="5"/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>
        <f>IFERROR(CalcRC27(F40,G40,K40,O40,P40,Q40,R40,S40,T40,U40,V40),"-")</f>
      </c>
      <c r="X40" t="s" s="2">
        <v>380</v>
      </c>
    </row>
    <row r="41" spans="2:24" ht="13.8" x14ac:dyDescent="0.2">
      <c r="B41" s="8">
        <f t="shared" si="6"/>
      </c>
      <c r="C41" s="10">
        <v>36</v>
      </c>
      <c r="D41" t="s" s="13">
        <v>1531</v>
      </c>
      <c r="E41" s="11">
        <f t="shared" si="2"/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</c>
      <c r="L41" s="7">
        <v>0</v>
      </c>
      <c r="M41" s="11">
        <f t="shared" si="4"/>
      </c>
      <c r="N41" s="11">
        <f t="shared" si="5"/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>
        <f>IFERROR(CalcRC27(F41,G41,K41,O41,P41,Q41,R41,S41,T41,U41,V41),"-")</f>
      </c>
      <c r="X41" t="s" s="2">
        <v>827</v>
      </c>
    </row>
    <row r="42" spans="2:24" ht="13.8" x14ac:dyDescent="0.2">
      <c r="B42" s="8">
        <f t="shared" si="6"/>
      </c>
      <c r="C42" s="10">
        <v>37</v>
      </c>
      <c r="D42" s="13"/>
      <c r="E42" s="11">
        <f t="shared" si="2"/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</c>
      <c r="L42" s="7">
        <v>0</v>
      </c>
      <c r="M42" s="11">
        <f t="shared" si="4"/>
      </c>
      <c r="N42" s="11">
        <f t="shared" si="5"/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>
        <f>IFERROR(CalcRC27(F42,G42,K42,O42,P42,Q42,R42,S42,T42,U42,V42),"-")</f>
      </c>
      <c r="X42" s="2"/>
    </row>
    <row r="43" spans="2:24" ht="13.8" x14ac:dyDescent="0.2">
      <c r="B43" s="8">
        <f t="shared" si="6"/>
      </c>
      <c r="C43" s="10">
        <v>38</v>
      </c>
      <c r="D43" t="s" s="13">
        <v>1878</v>
      </c>
      <c r="E43" s="11">
        <f t="shared" si="2"/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</c>
      <c r="L43" s="7">
        <v>0</v>
      </c>
      <c r="M43" s="11">
        <f t="shared" si="4"/>
      </c>
      <c r="N43" s="11">
        <f t="shared" si="5"/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>
        <f>IFERROR(CalcRC27(F43,G43,K43,O43,P43,Q43,R43,S43,T43,U43,V43),"-")</f>
      </c>
      <c r="X43" t="s" s="2">
        <v>374</v>
      </c>
    </row>
    <row r="44" spans="2:24" ht="13.8" x14ac:dyDescent="0.2">
      <c r="B44" s="8">
        <f t="shared" si="6"/>
      </c>
      <c r="C44" s="10">
        <v>39</v>
      </c>
      <c r="D44" t="s" s="13">
        <v>1879</v>
      </c>
      <c r="E44" s="11">
        <f t="shared" si="2"/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</c>
      <c r="L44" s="7">
        <v>0</v>
      </c>
      <c r="M44" s="11">
        <f t="shared" si="4"/>
      </c>
      <c r="N44" s="11">
        <f t="shared" si="5"/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>
        <f>IFERROR(CalcRC27(F44,G44,K44,O44,P44,Q44,R44,S44,T44,U44,V44),"-")</f>
      </c>
      <c r="X44" t="s" s="2">
        <v>63</v>
      </c>
    </row>
    <row r="45" spans="2:24" ht="13.8" x14ac:dyDescent="0.2">
      <c r="B45" s="8">
        <f t="shared" si="6"/>
      </c>
      <c r="C45" s="10">
        <v>40</v>
      </c>
      <c r="D45" t="s" s="13">
        <v>1880</v>
      </c>
      <c r="E45" s="11">
        <f t="shared" si="2"/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</c>
      <c r="L45" s="7">
        <v>0</v>
      </c>
      <c r="M45" s="11">
        <f t="shared" si="4"/>
      </c>
      <c r="N45" s="11">
        <f t="shared" si="5"/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>
        <f>IFERROR(CalcRC27(F45,G45,K45,O45,P45,Q45,R45,S45,T45,U45,V45),"-")</f>
      </c>
      <c r="X45" t="s" s="2">
        <v>629</v>
      </c>
    </row>
    <row r="46" spans="2:24" ht="13.8" x14ac:dyDescent="0.2">
      <c r="B46" s="8">
        <f t="shared" si="6"/>
      </c>
      <c r="C46" s="10">
        <v>41</v>
      </c>
      <c r="D46" t="s" s="13">
        <v>1881</v>
      </c>
      <c r="E46" s="11">
        <f t="shared" si="2"/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</c>
      <c r="L46" s="7">
        <v>0</v>
      </c>
      <c r="M46" s="11">
        <f t="shared" si="4"/>
      </c>
      <c r="N46" s="11">
        <f t="shared" si="5"/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>
        <f>IFERROR(CalcRC27(F46,G46,K46,O46,P46,Q46,R46,S46,T46,U46,V46),"-")</f>
      </c>
      <c r="X46" t="s" s="2">
        <v>1909</v>
      </c>
    </row>
    <row r="47" spans="2:24" ht="13.8" x14ac:dyDescent="0.2">
      <c r="B47" s="8">
        <f t="shared" si="6"/>
      </c>
      <c r="C47" s="10">
        <v>42</v>
      </c>
      <c r="D47" s="13"/>
      <c r="E47" s="11">
        <f t="shared" si="2"/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</c>
      <c r="L47" s="7">
        <v>0</v>
      </c>
      <c r="M47" s="11">
        <f t="shared" si="4"/>
      </c>
      <c r="N47" s="11">
        <f t="shared" si="5"/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</c>
      <c r="X47" s="2"/>
    </row>
    <row r="48" spans="2:24" ht="13.8" x14ac:dyDescent="0.2">
      <c r="B48" s="8">
        <f t="shared" si="6"/>
      </c>
      <c r="C48" s="10">
        <v>43</v>
      </c>
      <c r="D48" t="s" s="13">
        <v>147</v>
      </c>
      <c r="E48" s="11">
        <f t="shared" si="2"/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</c>
      <c r="L48" s="7">
        <v>0</v>
      </c>
      <c r="M48" s="11">
        <f t="shared" si="4"/>
      </c>
      <c r="N48" s="11">
        <f t="shared" si="5"/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>
        <f>IFERROR(CalcRC27(F48,G48,K48,O48,P48,Q48,R48,S48,T48,U48,V48),"-")</f>
      </c>
      <c r="X48" t="s" s="2">
        <v>381</v>
      </c>
    </row>
    <row r="49" spans="2:24" ht="13.8" x14ac:dyDescent="0.2">
      <c r="B49" s="8">
        <f t="shared" si="6"/>
      </c>
      <c r="C49" s="10">
        <v>44</v>
      </c>
      <c r="D49" t="s" s="13">
        <v>829</v>
      </c>
      <c r="E49" s="11">
        <f t="shared" si="2"/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</c>
      <c r="L49" s="7">
        <v>0</v>
      </c>
      <c r="M49" s="11">
        <f t="shared" si="4"/>
      </c>
      <c r="N49" s="11">
        <f t="shared" si="5"/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</c>
      <c r="X49" t="s" s="2">
        <v>826</v>
      </c>
    </row>
    <row r="50" spans="2:24" ht="13.8" x14ac:dyDescent="0.2">
      <c r="B50" s="8">
        <f t="shared" si="6"/>
      </c>
      <c r="C50" s="10">
        <v>45</v>
      </c>
      <c r="D50" t="s" s="13">
        <v>830</v>
      </c>
      <c r="E50" s="11">
        <f t="shared" si="2"/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</c>
      <c r="L50" s="7">
        <v>0</v>
      </c>
      <c r="M50" s="11">
        <f t="shared" si="4"/>
      </c>
      <c r="N50" s="11">
        <f t="shared" si="5"/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>
        <f>IFERROR(CalcRC27(F50,G50,K50,O50,P50,Q50,R50,S50,T50,U50,V50),"-")</f>
      </c>
      <c r="X50" t="s" s="2">
        <v>825</v>
      </c>
    </row>
    <row r="51" spans="2:24" ht="13.8" x14ac:dyDescent="0.2">
      <c r="B51" s="8">
        <f t="shared" si="6"/>
      </c>
      <c r="C51" s="10">
        <v>46</v>
      </c>
      <c r="D51" t="s" s="13">
        <v>831</v>
      </c>
      <c r="E51" s="11">
        <f t="shared" si="2"/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</c>
      <c r="L51" s="7">
        <v>0</v>
      </c>
      <c r="M51" s="11">
        <f t="shared" si="4"/>
      </c>
      <c r="N51" s="11">
        <f t="shared" si="5"/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</c>
      <c r="X51" t="s" s="2">
        <v>824</v>
      </c>
    </row>
    <row r="52" spans="2:24" ht="13.8" x14ac:dyDescent="0.2">
      <c r="B52" s="8">
        <f t="shared" si="6"/>
      </c>
      <c r="C52" s="10">
        <v>47</v>
      </c>
      <c r="D52" t="s" s="13">
        <v>1533</v>
      </c>
      <c r="E52" s="11">
        <f t="shared" si="2"/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</c>
      <c r="L52" s="7">
        <v>0</v>
      </c>
      <c r="M52" s="11">
        <f t="shared" si="4"/>
      </c>
      <c r="N52" s="11">
        <f t="shared" si="5"/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>
        <f>IFERROR(CalcRC27(F52,G52,K52,O52,P52,Q52,R52,S52,T52,U52,V52),"-")</f>
      </c>
      <c r="X52" t="s" s="2">
        <v>382</v>
      </c>
    </row>
    <row r="53" spans="2:24" ht="13.8" x14ac:dyDescent="0.2">
      <c r="B53" s="8">
        <f t="shared" si="6"/>
      </c>
      <c r="C53" s="10">
        <v>48</v>
      </c>
      <c r="D53" t="s" s="13">
        <v>148</v>
      </c>
      <c r="E53" s="11">
        <f t="shared" si="2"/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</c>
      <c r="L53" s="7">
        <v>0</v>
      </c>
      <c r="M53" s="11">
        <f t="shared" si="4"/>
      </c>
      <c r="N53" s="11">
        <f t="shared" si="5"/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>
        <f>IFERROR(CalcRC27(F53,G53,K53,O53,P53,Q53,R53,S53,T53,U53,V53),"-")</f>
      </c>
      <c r="X53" t="s" s="2">
        <v>383</v>
      </c>
    </row>
    <row r="54" spans="2:24" ht="13.8" x14ac:dyDescent="0.2">
      <c r="B54" s="8">
        <f t="shared" si="6"/>
      </c>
      <c r="C54" s="10">
        <v>49</v>
      </c>
      <c r="D54" t="s" s="13">
        <v>832</v>
      </c>
      <c r="E54" s="11">
        <f t="shared" si="2"/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</c>
      <c r="L54" s="7">
        <v>0</v>
      </c>
      <c r="M54" s="11">
        <f t="shared" si="4"/>
      </c>
      <c r="N54" s="11">
        <f t="shared" si="5"/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</c>
      <c r="X54" t="s" s="2">
        <v>823</v>
      </c>
    </row>
    <row r="55" spans="2:24" ht="13.8" x14ac:dyDescent="0.2">
      <c r="B55" s="8">
        <f t="shared" si="6"/>
      </c>
      <c r="C55" s="10">
        <v>50</v>
      </c>
      <c r="D55" t="s" s="13">
        <v>223</v>
      </c>
      <c r="E55" s="11">
        <f t="shared" si="2"/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</c>
      <c r="L55" s="7">
        <v>0</v>
      </c>
      <c r="M55" s="11">
        <f t="shared" si="4"/>
      </c>
      <c r="N55" s="11">
        <f t="shared" si="5"/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>
        <f>IFERROR(CalcRC27(F55,G55,K55,O55,P55,Q55,R55,S55,T55,U55,V55),"-")</f>
      </c>
      <c r="X55" t="s" s="2">
        <v>384</v>
      </c>
    </row>
    <row r="56" spans="2:24" ht="13.8" x14ac:dyDescent="0.2">
      <c r="B56" s="8">
        <f t="shared" si="6"/>
      </c>
      <c r="C56" s="10">
        <v>51</v>
      </c>
      <c r="D56" t="s" s="13">
        <v>149</v>
      </c>
      <c r="E56" s="11">
        <f t="shared" si="2"/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</c>
      <c r="L56" s="7">
        <v>0</v>
      </c>
      <c r="M56" s="11">
        <f t="shared" si="4"/>
      </c>
      <c r="N56" s="11">
        <f t="shared" si="5"/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>
        <f>IFERROR(CalcRC27(F56,G56,K56,O56,P56,Q56,R56,S56,T56,U56,V56),"-")</f>
      </c>
      <c r="X56" t="s" s="2">
        <v>385</v>
      </c>
    </row>
    <row r="57" spans="2:24" ht="13.8" x14ac:dyDescent="0.2">
      <c r="B57" s="8">
        <f t="shared" si="6"/>
      </c>
      <c r="C57" s="10">
        <v>52</v>
      </c>
      <c r="D57" t="s" s="13">
        <v>150</v>
      </c>
      <c r="E57" s="11">
        <f t="shared" si="2"/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</c>
      <c r="L57" s="7">
        <v>0</v>
      </c>
      <c r="M57" s="11">
        <f t="shared" si="4"/>
      </c>
      <c r="N57" s="11">
        <f t="shared" si="5"/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>
        <f>IFERROR(CalcRC27(F57,G57,K57,O57,P57,Q57,R57,S57,T57,U57,V57),"-")</f>
      </c>
      <c r="X57" t="s" s="2">
        <v>140</v>
      </c>
    </row>
    <row r="58" spans="2:24" ht="13.8" x14ac:dyDescent="0.2">
      <c r="B58" s="8">
        <f t="shared" si="6"/>
      </c>
      <c r="C58" s="10">
        <v>53</v>
      </c>
      <c r="D58" t="s" s="13">
        <v>1882</v>
      </c>
      <c r="E58" s="11">
        <f t="shared" si="2"/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</c>
      <c r="L58" s="7">
        <v>0</v>
      </c>
      <c r="M58" s="11">
        <f t="shared" si="4"/>
      </c>
      <c r="N58" s="11">
        <f t="shared" si="5"/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>
        <f>IFERROR(CalcRC27(F58,G58,K58,O58,P58,Q58,R58,S58,T58,U58,V58),"-")</f>
      </c>
      <c r="X58" t="s" s="2">
        <v>1910</v>
      </c>
    </row>
    <row r="59" spans="2:24" ht="13.8" x14ac:dyDescent="0.2">
      <c r="B59" s="8">
        <f t="shared" si="6"/>
      </c>
      <c r="C59" s="10">
        <v>54</v>
      </c>
      <c r="D59" t="s" s="13">
        <v>1883</v>
      </c>
      <c r="E59" s="11">
        <f t="shared" si="2"/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</c>
      <c r="L59" s="7">
        <v>0</v>
      </c>
      <c r="M59" s="11">
        <f t="shared" si="4"/>
      </c>
      <c r="N59" s="11">
        <f t="shared" si="5"/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>
        <f>IFERROR(CalcRC27(F59,G59,K59,O59,P59,Q59,R59,S59,T59,U59,V59),"-")</f>
      </c>
      <c r="X59" t="s" s="2">
        <v>1911</v>
      </c>
    </row>
    <row r="60" spans="2:24" ht="13.8" x14ac:dyDescent="0.2">
      <c r="B60" s="8">
        <f t="shared" si="6"/>
      </c>
      <c r="C60" s="10">
        <v>55</v>
      </c>
      <c r="D60" t="s" s="13">
        <v>833</v>
      </c>
      <c r="E60" s="11">
        <f t="shared" si="2"/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</c>
      <c r="L60" s="7">
        <v>0</v>
      </c>
      <c r="M60" s="11">
        <f t="shared" si="4"/>
      </c>
      <c r="N60" s="11">
        <f t="shared" si="5"/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>
        <f>IFERROR(CalcRC27(F60,G60,K60,O60,P60,Q60,R60,S60,T60,U60,V60),"-")</f>
      </c>
      <c r="X60" t="s" s="2">
        <v>822</v>
      </c>
    </row>
    <row r="61" spans="2:24" ht="13.8" x14ac:dyDescent="0.2">
      <c r="B61" s="8">
        <f t="shared" si="6"/>
      </c>
      <c r="C61" s="10">
        <v>56</v>
      </c>
      <c r="D61" t="s" s="13">
        <v>90</v>
      </c>
      <c r="E61" s="11">
        <f t="shared" si="2"/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</c>
      <c r="L61" s="7">
        <v>0</v>
      </c>
      <c r="M61" s="11">
        <f t="shared" si="4"/>
      </c>
      <c r="N61" s="11">
        <f t="shared" si="5"/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>
        <f>IFERROR(CalcRC27(F61,G61,K61,O61,P61,Q61,R61,S61,T61,U61,V61),"-")</f>
      </c>
      <c r="X61" t="s" s="2">
        <v>386</v>
      </c>
    </row>
    <row r="62" spans="2:24" ht="13.8" x14ac:dyDescent="0.2">
      <c r="B62" s="8">
        <f t="shared" si="6"/>
      </c>
      <c r="C62" s="10">
        <v>57</v>
      </c>
      <c r="D62" t="s" s="13">
        <v>151</v>
      </c>
      <c r="E62" s="11">
        <f t="shared" si="2"/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</c>
      <c r="L62" s="7">
        <v>0</v>
      </c>
      <c r="M62" s="11">
        <f t="shared" si="4"/>
      </c>
      <c r="N62" s="11">
        <f t="shared" si="5"/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>
        <f>IFERROR(CalcRC27(F62,G62,K62,O62,P62,Q62,R62,S62,T62,U62,V62),"-")</f>
      </c>
      <c r="X62" t="s" s="2">
        <v>387</v>
      </c>
    </row>
    <row r="63" spans="2:24" ht="13.8" x14ac:dyDescent="0.2">
      <c r="B63" s="8">
        <f t="shared" si="6"/>
      </c>
      <c r="C63" s="10">
        <v>58</v>
      </c>
      <c r="D63" t="s" s="13">
        <v>152</v>
      </c>
      <c r="E63" s="11">
        <f t="shared" si="2"/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</c>
      <c r="L63" s="7">
        <v>0</v>
      </c>
      <c r="M63" s="11">
        <f t="shared" si="4"/>
      </c>
      <c r="N63" s="11">
        <f t="shared" si="5"/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>
        <f>IFERROR(CalcRC27(F63,G63,K63,O63,P63,Q63,R63,S63,T63,U63,V63),"-")</f>
      </c>
      <c r="X63" t="s" s="2">
        <v>388</v>
      </c>
    </row>
    <row r="64" spans="2:24" ht="13.8" x14ac:dyDescent="0.2">
      <c r="B64" s="8">
        <f t="shared" si="6"/>
      </c>
      <c r="C64" s="10">
        <v>59</v>
      </c>
      <c r="D64" t="s" s="13">
        <v>834</v>
      </c>
      <c r="E64" s="11">
        <f t="shared" si="2"/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</c>
      <c r="L64" s="7">
        <v>0</v>
      </c>
      <c r="M64" s="11">
        <f t="shared" si="4"/>
      </c>
      <c r="N64" s="11">
        <f t="shared" si="5"/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>
        <f>IFERROR(CalcRC27(F64,G64,K64,O64,P64,Q64,R64,S64,T64,U64,V64),"-")</f>
      </c>
      <c r="X64" t="s" s="2">
        <v>821</v>
      </c>
    </row>
    <row r="65" spans="2:24" ht="13.8" x14ac:dyDescent="0.2">
      <c r="B65" s="8">
        <f t="shared" si="6"/>
      </c>
      <c r="C65" s="10">
        <v>60</v>
      </c>
      <c r="D65" t="s" s="13">
        <v>1884</v>
      </c>
      <c r="E65" s="11">
        <f t="shared" si="2"/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</c>
      <c r="L65" s="7">
        <v>0</v>
      </c>
      <c r="M65" s="11">
        <f t="shared" si="4"/>
      </c>
      <c r="N65" s="11">
        <f t="shared" si="5"/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>
        <f>IFERROR(CalcRC27(F65,G65,K65,O65,P65,Q65,R65,S65,T65,U65,V65),"-")</f>
      </c>
      <c r="X65" t="s" s="2">
        <v>1884</v>
      </c>
    </row>
    <row r="66" spans="2:24" ht="13.8" x14ac:dyDescent="0.2">
      <c r="B66" s="8">
        <f t="shared" si="6"/>
      </c>
      <c r="C66" s="10">
        <v>61</v>
      </c>
      <c r="D66" t="s" s="13">
        <v>1885</v>
      </c>
      <c r="E66" s="11">
        <f t="shared" si="2"/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</c>
      <c r="L66" s="7">
        <v>0</v>
      </c>
      <c r="M66" s="11">
        <f t="shared" si="4"/>
      </c>
      <c r="N66" s="11">
        <f t="shared" si="5"/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>
        <f>IFERROR(CalcRC27(F66,G66,K66,O66,P66,Q66,R66,S66,T66,U66,V66),"-")</f>
      </c>
      <c r="X66" t="s" s="2">
        <v>1912</v>
      </c>
    </row>
    <row r="67" spans="2:24" ht="13.8" x14ac:dyDescent="0.2">
      <c r="B67" s="8">
        <f t="shared" si="6"/>
      </c>
      <c r="C67" s="10">
        <v>62</v>
      </c>
      <c r="D67" s="13"/>
      <c r="E67" s="11">
        <f t="shared" si="2"/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</c>
      <c r="L67" s="7">
        <v>0</v>
      </c>
      <c r="M67" s="11">
        <f t="shared" si="4"/>
      </c>
      <c r="N67" s="11">
        <f t="shared" si="5"/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>
        <f>IFERROR(CalcRC27(F67,G67,K67,O67,P67,Q67,R67,S67,T67,U67,V67),"-")</f>
      </c>
      <c r="X67" s="2"/>
    </row>
    <row r="68" spans="2:24" ht="13.8" x14ac:dyDescent="0.2">
      <c r="B68" s="8">
        <f t="shared" si="6"/>
      </c>
      <c r="C68" s="10">
        <v>63</v>
      </c>
      <c r="D68" t="s" s="9">
        <v>189</v>
      </c>
      <c r="E68" s="11">
        <f t="shared" si="2"/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</c>
      <c r="L68" s="7">
        <v>0</v>
      </c>
      <c r="M68" s="11">
        <f t="shared" ref="M68:M131" si="8">IFERROR(IF((G68+P68+Q68)/(F68+P68+Q68+S68)=1,"1.00",(G68+P68+Q68)/(F68+P68+Q68+S68)),0)</f>
      </c>
      <c r="N68" s="11">
        <f t="shared" ref="N68:N131" si="9">IFERROR(SUM(K68/F68,((G68+P68+Q68)/(F68+P68+Q68+S68))),M68)</f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>
        <f>IFERROR(CalcRC27(F68,G68,K68,O68,P68,Q68,R68,S68,T68,U68,V68),"-")</f>
      </c>
      <c r="X68" t="s" s="2">
        <v>390</v>
      </c>
    </row>
    <row r="69" spans="2:24" ht="13.8" x14ac:dyDescent="0.2">
      <c r="B69" s="8">
        <f t="shared" ref="B69:B117" si="10">IF(C69="","",C69)</f>
      </c>
      <c r="C69" s="10">
        <v>64</v>
      </c>
      <c r="D69" t="s" s="13">
        <v>1310</v>
      </c>
      <c r="E69" s="11">
        <f t="shared" ref="E69:E132" si="11">IFERROR(IF(G69/F69=1,"1.00",G69/F69),"---")</f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</c>
      <c r="L69" s="7">
        <v>0</v>
      </c>
      <c r="M69" s="11">
        <f t="shared" si="8"/>
      </c>
      <c r="N69" s="11">
        <f t="shared" si="9"/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>
        <f>IFERROR(CalcRC27(F69,G69,K69,O69,P69,Q69,R69,S69,T69,U69,V69),"-")</f>
      </c>
      <c r="X69" t="s" s="2">
        <v>1913</v>
      </c>
    </row>
    <row r="70" spans="2:24" ht="13.8" x14ac:dyDescent="0.2">
      <c r="B70" s="8">
        <f t="shared" si="10"/>
      </c>
      <c r="C70" s="10">
        <v>65</v>
      </c>
      <c r="D70" t="s" s="9">
        <v>97</v>
      </c>
      <c r="E70" s="11">
        <f t="shared" si="11"/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</c>
      <c r="L70" s="7">
        <v>0</v>
      </c>
      <c r="M70" s="11">
        <f t="shared" si="8"/>
      </c>
      <c r="N70" s="11">
        <f t="shared" si="9"/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>
        <f>IFERROR(CalcRC27(F70,G70,K70,O70,P70,Q70,R70,S70,T70,U70,V70),"-")</f>
      </c>
      <c r="X70" t="s" s="2">
        <v>391</v>
      </c>
    </row>
    <row r="71" spans="2:24" ht="13.8" x14ac:dyDescent="0.2">
      <c r="B71" s="8">
        <f t="shared" si="10"/>
      </c>
      <c r="C71" s="10">
        <v>66</v>
      </c>
      <c r="D71" t="s" s="13">
        <v>153</v>
      </c>
      <c r="E71" s="11">
        <f t="shared" si="11"/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</c>
      <c r="L71" s="7">
        <v>0</v>
      </c>
      <c r="M71" s="11">
        <f t="shared" si="8"/>
      </c>
      <c r="N71" s="11">
        <f t="shared" si="9"/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>
        <f>IFERROR(CalcRC27(F71,G71,K71,O71,P71,Q71,R71,S71,T71,U71,V71),"-")</f>
      </c>
      <c r="X71" t="s" s="2">
        <v>392</v>
      </c>
    </row>
    <row r="72" spans="2:24" ht="13.8" x14ac:dyDescent="0.2">
      <c r="B72" s="8">
        <f t="shared" si="10"/>
      </c>
      <c r="C72" s="10">
        <v>67</v>
      </c>
      <c r="D72" t="s" s="13">
        <v>1886</v>
      </c>
      <c r="E72" s="11">
        <f t="shared" si="11"/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</c>
      <c r="L72" s="7">
        <v>0</v>
      </c>
      <c r="M72" s="11">
        <f t="shared" si="8"/>
      </c>
      <c r="N72" s="11">
        <f t="shared" si="9"/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>
        <f>IFERROR(CalcRC27(F72,G72,K72,O72,P72,Q72,R72,S72,T72,U72,V72),"-")</f>
      </c>
      <c r="X72" t="s" s="2">
        <v>1914</v>
      </c>
    </row>
    <row r="73" spans="2:24" ht="13.8" x14ac:dyDescent="0.2">
      <c r="B73" s="8">
        <f t="shared" si="10"/>
      </c>
      <c r="C73" s="10">
        <v>68</v>
      </c>
      <c r="D73" t="s" s="13">
        <v>1887</v>
      </c>
      <c r="E73" s="11">
        <f t="shared" si="11"/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</c>
      <c r="L73" s="7">
        <v>0</v>
      </c>
      <c r="M73" s="11">
        <f t="shared" si="8"/>
      </c>
      <c r="N73" s="11">
        <f t="shared" si="9"/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>
        <f>IFERROR(CalcRC27(F73,G73,K73,O73,P73,Q73,R73,S73,T73,U73,V73),"-")</f>
      </c>
      <c r="X73" t="s" s="2">
        <v>1915</v>
      </c>
    </row>
    <row r="74" spans="2:24" ht="13.8" x14ac:dyDescent="0.2">
      <c r="B74" s="8">
        <f t="shared" si="10"/>
      </c>
      <c r="C74" s="10">
        <v>69</v>
      </c>
      <c r="D74" t="s" s="13">
        <v>224</v>
      </c>
      <c r="E74" s="11">
        <f t="shared" si="11"/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</c>
      <c r="L74" s="7">
        <v>0</v>
      </c>
      <c r="M74" s="11">
        <f t="shared" si="8"/>
      </c>
      <c r="N74" s="11">
        <f t="shared" si="9"/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>
        <f>IFERROR(CalcRC27(F74,G74,K74,O74,P74,Q74,R74,S74,T74,U74,V74),"-")</f>
      </c>
      <c r="X74" t="s" s="2">
        <v>393</v>
      </c>
    </row>
    <row r="75" spans="2:24" ht="13.8" x14ac:dyDescent="0.2">
      <c r="B75" s="8">
        <f t="shared" si="10"/>
      </c>
      <c r="C75" s="10">
        <v>70</v>
      </c>
      <c r="D75" t="s" s="8">
        <v>1190</v>
      </c>
      <c r="E75" s="11">
        <f t="shared" si="11"/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</c>
      <c r="L75" s="7">
        <v>0</v>
      </c>
      <c r="M75" s="11">
        <f t="shared" si="8"/>
      </c>
      <c r="N75" s="11">
        <f t="shared" si="9"/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>
        <f>IFERROR(CalcRC27(F75,G75,K75,O75,P75,Q75,R75,S75,T75,U75,V75),"-")</f>
      </c>
      <c r="X75" t="s" s="2">
        <v>394</v>
      </c>
    </row>
    <row r="76" spans="2:24" ht="13.8" x14ac:dyDescent="0.2">
      <c r="B76" s="8">
        <f t="shared" si="10"/>
      </c>
      <c r="C76" s="10">
        <v>71</v>
      </c>
      <c r="D76" t="s" s="8">
        <v>1769</v>
      </c>
      <c r="E76" s="11">
        <f t="shared" si="11"/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</c>
      <c r="L76" s="7">
        <v>0</v>
      </c>
      <c r="M76" s="11">
        <f t="shared" si="8"/>
      </c>
      <c r="N76" s="11">
        <f t="shared" si="9"/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>
        <f>IFERROR(CalcRC27(F76,G76,K76,O76,P76,Q76,R76,S76,T76,U76,V76),"-")</f>
      </c>
      <c r="X76" t="s" s="2">
        <v>820</v>
      </c>
    </row>
    <row r="77" spans="2:24" ht="13.8" x14ac:dyDescent="0.2">
      <c r="B77" s="8">
        <f t="shared" si="10"/>
      </c>
      <c r="C77" s="10">
        <v>72</v>
      </c>
      <c r="D77" t="s" s="26">
        <v>1888</v>
      </c>
      <c r="E77" s="11">
        <f t="shared" si="11"/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</c>
      <c r="L77" s="7">
        <v>0</v>
      </c>
      <c r="M77" s="11">
        <f t="shared" si="8"/>
      </c>
      <c r="N77" s="11">
        <f t="shared" si="9"/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>
        <f>IFERROR(CalcRC27(F77,G77,K77,O77,P77,Q77,R77,S77,T77,U77,V77),"-")</f>
      </c>
      <c r="X77" t="s" s="2">
        <v>1916</v>
      </c>
    </row>
    <row r="78" spans="2:24" ht="13.8" x14ac:dyDescent="0.2">
      <c r="B78" s="8">
        <f t="shared" si="10"/>
      </c>
      <c r="C78" s="10">
        <v>73</v>
      </c>
      <c r="D78" s="8"/>
      <c r="E78" s="11">
        <f t="shared" si="11"/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</c>
      <c r="L78" s="7">
        <v>0</v>
      </c>
      <c r="M78" s="11">
        <f t="shared" si="8"/>
      </c>
      <c r="N78" s="11">
        <f t="shared" si="9"/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>
        <f>IFERROR(CalcRC27(F78,G78,K78,O78,P78,Q78,R78,S78,T78,U78,V78),"-")</f>
      </c>
      <c r="X78" s="2"/>
    </row>
    <row r="79" spans="2:24" ht="13.8" x14ac:dyDescent="0.2">
      <c r="B79" s="8">
        <f t="shared" si="10"/>
      </c>
      <c r="C79" s="10">
        <v>74</v>
      </c>
      <c r="D79" s="8"/>
      <c r="E79" s="11">
        <f t="shared" si="11"/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</c>
      <c r="L79" s="7">
        <v>0</v>
      </c>
      <c r="M79" s="11">
        <f t="shared" si="8"/>
      </c>
      <c r="N79" s="11">
        <f t="shared" si="9"/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>
        <f>IFERROR(CalcRC27(F79,G79,K79,O79,P79,Q79,R79,S79,T79,U79,V79),"-")</f>
      </c>
      <c r="X79" s="2"/>
    </row>
    <row r="80" spans="2:24" ht="13.8" x14ac:dyDescent="0.2">
      <c r="B80" s="8">
        <f t="shared" si="10"/>
      </c>
      <c r="C80" s="10">
        <v>75</v>
      </c>
      <c r="D80" s="8"/>
      <c r="E80" s="11">
        <f t="shared" si="11"/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</c>
      <c r="L80" s="7">
        <v>0</v>
      </c>
      <c r="M80" s="11">
        <f t="shared" si="8"/>
      </c>
      <c r="N80" s="11">
        <f t="shared" si="9"/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>
        <f>IFERROR(CalcRC27(F80,G80,K80,O80,P80,Q80,R80,S80,T80,U80,V80),"-")</f>
      </c>
      <c r="X80" s="2"/>
    </row>
    <row r="81" spans="2:24" ht="13.8" x14ac:dyDescent="0.2">
      <c r="B81" s="8">
        <f t="shared" si="10"/>
      </c>
      <c r="C81" s="10">
        <v>76</v>
      </c>
      <c r="D81" s="8"/>
      <c r="E81" s="11">
        <f t="shared" si="11"/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</c>
      <c r="L81" s="7">
        <v>0</v>
      </c>
      <c r="M81" s="11">
        <f t="shared" si="8"/>
      </c>
      <c r="N81" s="11">
        <f t="shared" si="9"/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>
        <f>IFERROR(CalcRC27(F81,G81,K81,O81,P81,Q81,R81,S81,T81,U81,V81),"-")</f>
      </c>
      <c r="X81" s="2"/>
    </row>
    <row r="82" spans="2:24" ht="13.8" x14ac:dyDescent="0.2">
      <c r="B82" s="8">
        <f t="shared" si="10"/>
      </c>
      <c r="C82" s="10">
        <v>77</v>
      </c>
      <c r="D82" s="13"/>
      <c r="E82" s="11">
        <f t="shared" si="11"/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</c>
      <c r="L82" s="7">
        <v>0</v>
      </c>
      <c r="M82" s="11">
        <f t="shared" si="8"/>
      </c>
      <c r="N82" s="11">
        <f t="shared" si="9"/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>
        <f>IFERROR(CalcRC27(F82,G82,K82,O82,P82,Q82,R82,S82,T82,U82,V82),"-")</f>
      </c>
      <c r="X82" s="2"/>
    </row>
    <row r="83" spans="2:24" ht="13.8" x14ac:dyDescent="0.2">
      <c r="B83" s="8">
        <f t="shared" si="10"/>
      </c>
      <c r="C83" s="10">
        <v>78</v>
      </c>
      <c r="D83" t="s" s="26">
        <v>1889</v>
      </c>
      <c r="E83" s="11">
        <f t="shared" si="11"/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</c>
      <c r="L83" s="7">
        <v>0</v>
      </c>
      <c r="M83" s="11">
        <f t="shared" si="8"/>
      </c>
      <c r="N83" s="11">
        <f t="shared" si="9"/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>
        <f>IFERROR(CalcRC27(F83,G83,K83,O83,P83,Q83,R83,S83,T83,U83,V83),"-")</f>
      </c>
      <c r="X83" t="s" s="2">
        <v>1917</v>
      </c>
    </row>
    <row r="84" spans="2:24" ht="13.8" x14ac:dyDescent="0.2">
      <c r="B84" s="8">
        <f t="shared" si="10"/>
      </c>
      <c r="C84" s="10">
        <v>79</v>
      </c>
      <c r="D84" s="9"/>
      <c r="E84" s="11">
        <f t="shared" si="11"/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</c>
      <c r="L84" s="7">
        <v>0</v>
      </c>
      <c r="M84" s="11">
        <f t="shared" si="8"/>
      </c>
      <c r="N84" s="11">
        <f t="shared" si="9"/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>
        <f>IFERROR(CalcRC27(F84,G84,K84,O84,P84,Q84,R84,S84,T84,U84,V84),"-")</f>
      </c>
      <c r="X84" s="2"/>
    </row>
    <row r="85" spans="2:24" ht="13.8" x14ac:dyDescent="0.2">
      <c r="B85" s="8">
        <f t="shared" si="10"/>
      </c>
      <c r="C85" s="10">
        <v>80</v>
      </c>
      <c r="D85" s="8"/>
      <c r="E85" s="11">
        <f t="shared" si="11"/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</c>
      <c r="L85" s="7">
        <v>0</v>
      </c>
      <c r="M85" s="11">
        <f t="shared" si="8"/>
      </c>
      <c r="N85" s="11">
        <f t="shared" si="9"/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>
        <f>IFERROR(CalcRC27(F85,G85,K85,O85,P85,Q85,R85,S85,T85,U85,V85),"-")</f>
      </c>
      <c r="X85" s="2"/>
    </row>
    <row r="86" spans="2:24" ht="13.8" x14ac:dyDescent="0.2">
      <c r="B86" s="8">
        <f t="shared" si="10"/>
      </c>
      <c r="C86" s="10">
        <v>81</v>
      </c>
      <c r="D86" s="8"/>
      <c r="E86" s="11">
        <f t="shared" si="11"/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</c>
      <c r="L86" s="7">
        <v>0</v>
      </c>
      <c r="M86" s="11">
        <f t="shared" si="8"/>
      </c>
      <c r="N86" s="11">
        <f t="shared" si="9"/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>
        <f>IFERROR(CalcRC27(F86,G86,K86,O86,P86,Q86,R86,S86,T86,U86,V86),"-")</f>
      </c>
      <c r="X86" s="2"/>
    </row>
    <row r="87" spans="2:24" ht="13.8" x14ac:dyDescent="0.2">
      <c r="B87" s="8">
        <f t="shared" si="10"/>
      </c>
      <c r="C87" s="10">
        <v>82</v>
      </c>
      <c r="D87" s="8"/>
      <c r="E87" s="11">
        <f t="shared" si="11"/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</c>
      <c r="L87" s="7">
        <v>0</v>
      </c>
      <c r="M87" s="11">
        <f t="shared" si="8"/>
      </c>
      <c r="N87" s="11">
        <f t="shared" si="9"/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>
        <f>IFERROR(CalcRC27(F87,G87,K87,O87,P87,Q87,R87,S87,T87,U87,V87),"-")</f>
      </c>
      <c r="X87" s="2"/>
    </row>
    <row r="88" spans="2:24" ht="13.8" x14ac:dyDescent="0.2">
      <c r="B88" s="8">
        <f t="shared" si="10"/>
      </c>
      <c r="C88" s="10">
        <v>83</v>
      </c>
      <c r="D88" s="8"/>
      <c r="E88" s="11">
        <f t="shared" si="11"/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</c>
      <c r="L88" s="7">
        <v>0</v>
      </c>
      <c r="M88" s="11">
        <f t="shared" si="8"/>
      </c>
      <c r="N88" s="11">
        <f t="shared" si="9"/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>
        <f>IFERROR(CalcRC27(F88,G88,K88,O88,P88,Q88,R88,S88,T88,U88,V88),"-")</f>
      </c>
      <c r="X88" s="2"/>
    </row>
    <row r="89" spans="2:24" ht="13.8" x14ac:dyDescent="0.2">
      <c r="B89" s="8">
        <f t="shared" si="10"/>
      </c>
      <c r="C89" s="10">
        <v>84</v>
      </c>
      <c r="D89" s="8"/>
      <c r="E89" s="11">
        <f t="shared" si="11"/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</c>
      <c r="L89" s="7">
        <v>0</v>
      </c>
      <c r="M89" s="11">
        <f t="shared" si="8"/>
      </c>
      <c r="N89" s="11">
        <f t="shared" si="9"/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>
        <f>IFERROR(CalcRC27(F89,G89,K89,O89,P89,Q89,R89,S89,T89,U89,V89),"-")</f>
      </c>
      <c r="X89" s="2"/>
    </row>
    <row r="90" spans="2:24" ht="13.8" x14ac:dyDescent="0.2">
      <c r="B90" s="8">
        <f t="shared" si="10"/>
      </c>
      <c r="C90" s="10">
        <v>85</v>
      </c>
      <c r="D90" s="8"/>
      <c r="E90" s="11">
        <f t="shared" si="11"/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</c>
      <c r="L90" s="7">
        <v>0</v>
      </c>
      <c r="M90" s="11">
        <f t="shared" si="8"/>
      </c>
      <c r="N90" s="11">
        <f t="shared" si="9"/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>
        <f>IFERROR(CalcRC27(F90,G90,K90,O90,P90,Q90,R90,S90,T90,U90,V90),"-")</f>
      </c>
      <c r="X90" s="2"/>
    </row>
    <row r="91" spans="2:24" ht="13.8" x14ac:dyDescent="0.2">
      <c r="B91" s="8">
        <f t="shared" si="10"/>
      </c>
      <c r="C91" s="10">
        <v>86</v>
      </c>
      <c r="D91" s="8"/>
      <c r="E91" s="11">
        <f t="shared" si="11"/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</c>
      <c r="L91" s="7">
        <v>0</v>
      </c>
      <c r="M91" s="11">
        <f t="shared" si="8"/>
      </c>
      <c r="N91" s="11">
        <f t="shared" si="9"/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>
        <f>IFERROR(CalcRC27(F91,G91,K91,O91,P91,Q91,R91,S91,T91,U91,V91),"-")</f>
      </c>
      <c r="X91" s="2"/>
    </row>
    <row r="92" spans="2:24" ht="13.8" x14ac:dyDescent="0.2">
      <c r="B92" s="8">
        <f t="shared" si="10"/>
      </c>
      <c r="C92" s="10">
        <v>87</v>
      </c>
      <c r="D92" s="8"/>
      <c r="E92" s="11">
        <f t="shared" si="11"/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</c>
      <c r="L92" s="7">
        <v>0</v>
      </c>
      <c r="M92" s="11">
        <f t="shared" si="8"/>
      </c>
      <c r="N92" s="11">
        <f t="shared" si="9"/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>
        <f>IFERROR(CalcRC27(F92,G92,K92,O92,P92,Q92,R92,S92,T92,U92,V92),"-")</f>
      </c>
      <c r="X92" s="2"/>
    </row>
    <row r="93" spans="2:24" ht="13.8" x14ac:dyDescent="0.2">
      <c r="B93" s="8">
        <f t="shared" si="10"/>
      </c>
      <c r="C93" s="10">
        <v>88</v>
      </c>
      <c r="D93" s="8"/>
      <c r="E93" s="11">
        <f t="shared" si="11"/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</c>
      <c r="L93" s="7">
        <v>0</v>
      </c>
      <c r="M93" s="11">
        <f t="shared" si="8"/>
      </c>
      <c r="N93" s="11">
        <f t="shared" si="9"/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>
        <f>IFERROR(CalcRC27(F93,G93,K93,O93,P93,Q93,R93,S93,T93,U93,V93),"-")</f>
      </c>
      <c r="X93" s="2"/>
    </row>
    <row r="94" spans="2:24" ht="13.8" x14ac:dyDescent="0.2">
      <c r="B94" s="8">
        <f t="shared" si="10"/>
      </c>
      <c r="C94" s="10">
        <v>89</v>
      </c>
      <c r="D94" s="8"/>
      <c r="E94" s="11">
        <f t="shared" si="11"/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</c>
      <c r="L94" s="7">
        <v>0</v>
      </c>
      <c r="M94" s="11">
        <f t="shared" si="8"/>
      </c>
      <c r="N94" s="11">
        <f t="shared" si="9"/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>
        <f>IFERROR(CalcRC27(F94,G94,K94,O94,P94,Q94,R94,S94,T94,U94,V94),"-")</f>
      </c>
      <c r="X94" s="2"/>
    </row>
    <row r="95" spans="2:24" ht="13.8" x14ac:dyDescent="0.2">
      <c r="B95" s="8">
        <f t="shared" si="10"/>
      </c>
      <c r="C95" s="10">
        <v>90</v>
      </c>
      <c r="D95" s="13"/>
      <c r="E95" s="11">
        <f t="shared" si="11"/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</c>
      <c r="L95" s="7">
        <v>0</v>
      </c>
      <c r="M95" s="11">
        <f t="shared" si="8"/>
      </c>
      <c r="N95" s="11">
        <f t="shared" si="9"/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>
        <f>IFERROR(CalcRC27(F95,G95,K95,O95,P95,Q95,R95,S95,T95,U95,V95),"-")</f>
      </c>
      <c r="X95" s="2"/>
    </row>
    <row r="96" spans="2:24" ht="13.8" x14ac:dyDescent="0.2">
      <c r="B96" s="8">
        <f t="shared" si="10"/>
      </c>
      <c r="C96" s="10">
        <v>91</v>
      </c>
      <c r="D96" s="8"/>
      <c r="E96" s="11">
        <f t="shared" si="11"/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</c>
      <c r="L96" s="7">
        <v>0</v>
      </c>
      <c r="M96" s="11">
        <f t="shared" si="8"/>
      </c>
      <c r="N96" s="11">
        <f t="shared" si="9"/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>
        <f>IFERROR(CalcRC27(F96,G96,K96,O96,P96,Q96,R96,S96,T96,U96,V96),"-")</f>
      </c>
      <c r="X96" s="2"/>
    </row>
    <row r="97" spans="2:24" ht="13.8" x14ac:dyDescent="0.2">
      <c r="B97" s="8">
        <f t="shared" si="10"/>
      </c>
      <c r="C97" s="10">
        <v>92</v>
      </c>
      <c r="D97" s="8"/>
      <c r="E97" s="11">
        <f t="shared" si="11"/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</c>
      <c r="L97" s="7">
        <v>0</v>
      </c>
      <c r="M97" s="11">
        <f t="shared" si="8"/>
      </c>
      <c r="N97" s="11">
        <f t="shared" si="9"/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>
        <f>IFERROR(CalcRC27(F97,G97,K97,O97,P97,Q97,R97,S97,T97,U97,V97),"-")</f>
      </c>
      <c r="X97" s="2"/>
    </row>
    <row r="98" spans="2:24" ht="13.8" x14ac:dyDescent="0.2">
      <c r="B98" s="8">
        <f t="shared" si="10"/>
      </c>
      <c r="C98" s="10">
        <v>93</v>
      </c>
      <c r="D98" s="8"/>
      <c r="E98" s="11">
        <f t="shared" si="11"/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</c>
      <c r="L98" s="7">
        <v>0</v>
      </c>
      <c r="M98" s="11">
        <f t="shared" si="8"/>
      </c>
      <c r="N98" s="11">
        <f t="shared" si="9"/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>
        <f>IFERROR(CalcRC27(F98,G98,K98,O98,P98,Q98,R98,S98,T98,U98,V98),"-")</f>
      </c>
      <c r="X98" s="2"/>
    </row>
    <row r="99" spans="2:24" ht="13.8" x14ac:dyDescent="0.2">
      <c r="B99" s="8">
        <f t="shared" si="10"/>
      </c>
      <c r="C99" s="10">
        <v>94</v>
      </c>
      <c r="D99" s="8"/>
      <c r="E99" s="11">
        <f t="shared" si="11"/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</c>
      <c r="L99" s="7">
        <v>0</v>
      </c>
      <c r="M99" s="11">
        <f t="shared" si="8"/>
      </c>
      <c r="N99" s="11">
        <f t="shared" si="9"/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>
        <f>IFERROR(CalcRC27(F99,G99,K99,O99,P99,Q99,R99,S99,T99,U99,V99),"-")</f>
      </c>
      <c r="X99" s="2"/>
    </row>
    <row r="100" spans="2:24" ht="13.8" x14ac:dyDescent="0.2">
      <c r="B100" s="8">
        <f t="shared" si="10"/>
      </c>
      <c r="C100" s="10">
        <v>95</v>
      </c>
      <c r="D100" s="13"/>
      <c r="E100" s="11">
        <f t="shared" si="11"/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</c>
      <c r="L100" s="7">
        <v>0</v>
      </c>
      <c r="M100" s="11">
        <f t="shared" si="8"/>
      </c>
      <c r="N100" s="11">
        <f t="shared" si="9"/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>
        <f>IFERROR(CalcRC27(F100,G100,K100,O100,P100,Q100,R100,S100,T100,U100,V100),"-")</f>
      </c>
      <c r="X100" s="2"/>
    </row>
    <row r="101" spans="2:24" ht="13.8" x14ac:dyDescent="0.2">
      <c r="B101" s="8">
        <f t="shared" si="10"/>
      </c>
      <c r="C101" s="10">
        <v>96</v>
      </c>
      <c r="D101" s="8"/>
      <c r="E101" s="11">
        <f t="shared" si="11"/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</c>
      <c r="L101" s="7">
        <v>0</v>
      </c>
      <c r="M101" s="11">
        <f t="shared" si="8"/>
      </c>
      <c r="N101" s="11">
        <f t="shared" si="9"/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>
        <f>IFERROR(CalcRC27(F101,G101,K101,O101,P101,Q101,R101,S101,T101,U101,V101),"-")</f>
      </c>
      <c r="X101" s="2"/>
    </row>
    <row r="102" spans="2:24" ht="13.8" x14ac:dyDescent="0.2">
      <c r="B102" s="8">
        <f t="shared" si="10"/>
      </c>
      <c r="C102" s="10">
        <v>97</v>
      </c>
      <c r="D102" s="8"/>
      <c r="E102" s="11">
        <f t="shared" si="11"/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</c>
      <c r="L102" s="7">
        <v>0</v>
      </c>
      <c r="M102" s="11">
        <f t="shared" si="8"/>
      </c>
      <c r="N102" s="11">
        <f t="shared" si="9"/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>
        <f>IFERROR(CalcRC27(F102,G102,K102,O102,P102,Q102,R102,S102,T102,U102,V102),"-")</f>
      </c>
      <c r="X102" s="2"/>
    </row>
    <row r="103" spans="2:24" ht="13.8" x14ac:dyDescent="0.2">
      <c r="B103" s="8">
        <f t="shared" si="10"/>
      </c>
      <c r="C103" s="10">
        <v>98</v>
      </c>
      <c r="D103" s="8"/>
      <c r="E103" s="11">
        <f t="shared" si="11"/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</c>
      <c r="L103" s="7">
        <v>0</v>
      </c>
      <c r="M103" s="11">
        <f t="shared" si="8"/>
      </c>
      <c r="N103" s="11">
        <f t="shared" si="9"/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</c>
      <c r="X103" s="2"/>
    </row>
    <row r="104" spans="2:24" ht="13.8" x14ac:dyDescent="0.2">
      <c r="B104" s="8">
        <f t="shared" si="10"/>
      </c>
      <c r="C104" s="10">
        <v>99</v>
      </c>
      <c r="D104" s="9"/>
      <c r="E104" s="11">
        <f t="shared" si="11"/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</c>
      <c r="L104" s="7">
        <v>0</v>
      </c>
      <c r="M104" s="11">
        <f t="shared" si="8"/>
      </c>
      <c r="N104" s="11">
        <f t="shared" si="9"/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</c>
      <c r="X104" s="2"/>
    </row>
    <row r="105" spans="2:24" ht="13.8" x14ac:dyDescent="0.2">
      <c r="B105" s="8">
        <f t="shared" si="10"/>
      </c>
      <c r="C105" t="s" s="10">
        <v>1233</v>
      </c>
      <c r="D105" t="s" s="14">
        <v>1289</v>
      </c>
      <c r="E105" s="11">
        <f t="shared" si="11"/>
      </c>
      <c r="F105" s="5">
        <v>2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</c>
      <c r="L105" s="7">
        <v>0</v>
      </c>
      <c r="M105" s="11">
        <f t="shared" si="8"/>
      </c>
      <c r="N105" s="11">
        <f t="shared" si="9"/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>
        <f>IFERROR(CalcRC27(F105,G105,K105,O105,P105,Q105,R105,S105,T105,U105,V105),"-")</f>
      </c>
      <c r="X105" t="s" s="2">
        <v>491</v>
      </c>
    </row>
    <row r="106" spans="2:24" ht="13.8" x14ac:dyDescent="0.2">
      <c r="B106" s="8">
        <f t="shared" si="10"/>
      </c>
      <c r="C106" t="s" s="10">
        <v>685</v>
      </c>
      <c r="D106" t="s" s="9">
        <v>1890</v>
      </c>
      <c r="E106" s="11">
        <f t="shared" si="11"/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</c>
      <c r="L106" s="7">
        <v>0</v>
      </c>
      <c r="M106" s="11">
        <f t="shared" si="8"/>
      </c>
      <c r="N106" s="11">
        <f t="shared" si="9"/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>
        <f>IFERROR(CalcRC27(F106,G106,K106,O106,P106,Q106,R106,S106,T106,U106,V106),"-")</f>
      </c>
      <c r="X106" t="s" s="2">
        <v>1918</v>
      </c>
    </row>
    <row r="107" spans="2:24" ht="13.8" x14ac:dyDescent="0.2">
      <c r="B107" s="8">
        <f t="shared" si="10"/>
      </c>
      <c r="C107" t="s" s="10">
        <v>1241</v>
      </c>
      <c r="D107" t="s" s="9">
        <v>1891</v>
      </c>
      <c r="E107" s="11">
        <f t="shared" si="11"/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</c>
      <c r="L107" s="7">
        <v>0</v>
      </c>
      <c r="M107" s="11">
        <f t="shared" si="8"/>
      </c>
      <c r="N107" s="11">
        <f t="shared" si="9"/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>
        <f>IFERROR(CalcRC27(F107,G107,K107,O107,P107,Q107,R107,S107,T107,U107,V107),"-")</f>
      </c>
      <c r="X107" t="s" s="2">
        <v>395</v>
      </c>
    </row>
    <row r="108" spans="2:24" ht="13.8" x14ac:dyDescent="0.2">
      <c r="B108" s="8">
        <f t="shared" si="10"/>
      </c>
      <c r="C108" t="s" s="10">
        <v>1892</v>
      </c>
      <c r="D108" t="s" s="9">
        <v>1893</v>
      </c>
      <c r="E108" s="11">
        <f t="shared" si="11"/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</c>
      <c r="L108" s="7">
        <v>0</v>
      </c>
      <c r="M108" s="11">
        <f t="shared" si="8"/>
      </c>
      <c r="N108" s="11">
        <f t="shared" si="9"/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>
        <f>IFERROR(CalcRC27(F108,G108,K108,O108,P108,Q108,R108,S108,T108,U108,V108),"-")</f>
      </c>
      <c r="X108" t="s" s="2">
        <v>389</v>
      </c>
    </row>
    <row r="109" spans="2:24" ht="13.8" x14ac:dyDescent="0.2">
      <c r="B109" s="8">
        <f t="shared" si="10"/>
      </c>
      <c r="C109" s="10">
        <v>130</v>
      </c>
      <c r="D109" t="s" s="9">
        <v>1894</v>
      </c>
      <c r="E109" s="11">
        <f t="shared" si="11"/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</c>
      <c r="L109" s="7">
        <v>0</v>
      </c>
      <c r="M109" s="11">
        <f t="shared" si="8"/>
      </c>
      <c r="N109" s="11">
        <f t="shared" si="9"/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>
        <f>IFERROR(CalcRC27(F109,G109,K109,O109,P109,Q109,R109,S109,T109,U109,V109),"-")</f>
      </c>
      <c r="X109" t="s" s="2">
        <v>1919</v>
      </c>
    </row>
    <row r="110" spans="2:24" ht="13.8" x14ac:dyDescent="0.2">
      <c r="B110" s="8">
        <f t="shared" si="10"/>
      </c>
      <c r="C110" s="10">
        <v>131</v>
      </c>
      <c r="D110" t="s" s="9">
        <v>1895</v>
      </c>
      <c r="E110" s="11">
        <f t="shared" si="11"/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</c>
      <c r="L110" s="7">
        <v>0</v>
      </c>
      <c r="M110" s="11">
        <f t="shared" si="8"/>
      </c>
      <c r="N110" s="11">
        <f t="shared" si="9"/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>
        <f>IFERROR(CalcRC27(F110,G110,K110,O110,P110,Q110,R110,S110,T110,U110,V110),"-")</f>
      </c>
      <c r="X110" t="s" s="2">
        <v>1920</v>
      </c>
    </row>
    <row r="111" spans="2:24" ht="13.8" x14ac:dyDescent="0.2">
      <c r="B111" s="8">
        <f t="shared" si="10"/>
      </c>
      <c r="C111" s="10">
        <v>135</v>
      </c>
      <c r="D111" t="s" s="9">
        <v>1896</v>
      </c>
      <c r="E111" s="11">
        <f t="shared" si="11"/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</c>
      <c r="L111" s="7">
        <v>0</v>
      </c>
      <c r="M111" s="11">
        <f t="shared" si="8"/>
      </c>
      <c r="N111" s="11">
        <f t="shared" si="9"/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>
        <f>IFERROR(CalcRC27(F111,G111,K111,O111,P111,Q111,R111,S111,T111,U111,V111),"-")</f>
      </c>
      <c r="X111" t="s" s="2">
        <v>1921</v>
      </c>
    </row>
    <row r="112" spans="2:24" ht="13.8" x14ac:dyDescent="0.2">
      <c r="B112" s="8">
        <f t="shared" si="10"/>
      </c>
      <c r="C112" s="10">
        <v>137</v>
      </c>
      <c r="D112" t="s" s="9">
        <v>1897</v>
      </c>
      <c r="E112" s="11">
        <f t="shared" si="11"/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</c>
      <c r="L112" s="7">
        <v>0</v>
      </c>
      <c r="M112" s="11">
        <f t="shared" si="8"/>
      </c>
      <c r="N112" s="11">
        <f t="shared" si="9"/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>
        <f>IFERROR(CalcRC27(F112,G112,K112,O112,P112,Q112,R112,S112,T112,U112,V112),"-")</f>
      </c>
      <c r="X112" t="s" s="2">
        <v>1922</v>
      </c>
    </row>
    <row r="113" spans="2:24" ht="13.8" x14ac:dyDescent="0.2">
      <c r="B113" s="8">
        <f t="shared" si="10"/>
      </c>
      <c r="C113" s="10">
        <v>138</v>
      </c>
      <c r="D113" t="s" s="9">
        <v>1898</v>
      </c>
      <c r="E113" s="11">
        <f t="shared" si="11"/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</c>
      <c r="L113" s="7">
        <v>0</v>
      </c>
      <c r="M113" s="11">
        <f t="shared" si="8"/>
      </c>
      <c r="N113" s="11">
        <f t="shared" si="9"/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>
        <f>IFERROR(CalcRC27(F113,G113,K113,O113,P113,Q113,R113,S113,T113,U113,V113),"-")</f>
      </c>
      <c r="X113" t="s" s="2">
        <v>1923</v>
      </c>
    </row>
    <row r="114" spans="2:24" ht="13.8" x14ac:dyDescent="0.2">
      <c r="B114" s="8">
        <f t="shared" si="10"/>
      </c>
      <c r="C114" s="10">
        <v>141</v>
      </c>
      <c r="D114" t="s" s="9">
        <v>1899</v>
      </c>
      <c r="E114" s="11">
        <f t="shared" si="11"/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</c>
      <c r="L114" s="7">
        <v>0</v>
      </c>
      <c r="M114" s="11">
        <f t="shared" si="8"/>
      </c>
      <c r="N114" s="11">
        <f t="shared" si="9"/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>
        <f>IFERROR(CalcRC27(F114,G114,K114,O114,P114,Q114,R114,S114,T114,U114,V114),"-")</f>
      </c>
      <c r="X114" t="s" s="2">
        <v>1924</v>
      </c>
    </row>
    <row r="115" spans="2:24" ht="13.8" x14ac:dyDescent="0.2">
      <c r="B115" s="8">
        <f t="shared" si="10"/>
      </c>
      <c r="C115" s="10">
        <v>142</v>
      </c>
      <c r="D115" t="s" s="9">
        <v>1900</v>
      </c>
      <c r="E115" s="11">
        <f t="shared" si="11"/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</c>
      <c r="L115" s="7">
        <v>0</v>
      </c>
      <c r="M115" s="11">
        <f t="shared" si="8"/>
      </c>
      <c r="N115" s="11">
        <f t="shared" si="9"/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>
        <f>IFERROR(CalcRC27(F115,G115,K115,O115,P115,Q115,R115,S115,T115,U115,V115),"-")</f>
      </c>
      <c r="X115" t="s" s="2">
        <v>1925</v>
      </c>
    </row>
    <row r="116" spans="2:24" ht="13.8" x14ac:dyDescent="0.2">
      <c r="B116" s="8">
        <f t="shared" si="10"/>
      </c>
      <c r="C116" s="10">
        <v>144</v>
      </c>
      <c r="D116" t="s" s="9">
        <v>1901</v>
      </c>
      <c r="E116" s="11">
        <f t="shared" si="11"/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</c>
      <c r="L116" s="7">
        <v>0</v>
      </c>
      <c r="M116" s="11">
        <f t="shared" si="8"/>
      </c>
      <c r="N116" s="11">
        <f t="shared" si="9"/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>
        <f>IFERROR(CalcRC27(F116,G116,K116,O116,P116,Q116,R116,S116,T116,U116,V116),"-")</f>
      </c>
      <c r="X116" t="s" s="2">
        <v>1926</v>
      </c>
    </row>
    <row r="117" spans="2:24" ht="13.8" x14ac:dyDescent="0.2">
      <c r="B117" s="8">
        <f t="shared" si="10"/>
      </c>
      <c r="C117" s="10">
        <v>155</v>
      </c>
      <c r="D117" t="s" s="9">
        <v>1902</v>
      </c>
      <c r="E117" s="11">
        <f t="shared" si="11"/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</c>
      <c r="L117" s="7">
        <v>0</v>
      </c>
      <c r="M117" s="11">
        <f t="shared" si="8"/>
      </c>
      <c r="N117" s="11">
        <f t="shared" si="9"/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>
        <f>IFERROR(CalcRC27(F117,G117,K117,O117,P117,Q117,R117,S117,T117,U117,V117),"-")</f>
      </c>
      <c r="X117" t="s" s="2">
        <v>1927</v>
      </c>
    </row>
    <row r="118" spans="2:24" ht="13.8" x14ac:dyDescent="0.2">
      <c r="B118" s="8">
        <f t="shared" ref="B118:B134" si="12">IF(C118="","",C118)</f>
      </c>
      <c r="C118" s="10">
        <v>144</v>
      </c>
      <c r="D118" t="s" s="9">
        <v>1901</v>
      </c>
      <c r="E118" s="11">
        <f t="shared" si="11"/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</c>
      <c r="L118" s="7">
        <v>0</v>
      </c>
      <c r="M118" s="11">
        <f t="shared" si="8"/>
      </c>
      <c r="N118" s="11">
        <f t="shared" si="9"/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>
        <f>IFERROR(CalcRC27(F118,G118,K118,O118,P118,Q118,R118,S118,T118,U118,V118),"-")</f>
      </c>
      <c r="X118" t="s" s="2">
        <v>1926</v>
      </c>
    </row>
    <row r="119" spans="2:24" ht="13.8" x14ac:dyDescent="0.2">
      <c r="B119" s="8">
        <f t="shared" si="12"/>
      </c>
      <c r="C119" s="10">
        <v>152</v>
      </c>
      <c r="D119" t="s" s="9">
        <v>1098</v>
      </c>
      <c r="E119" s="11">
        <f t="shared" si="11"/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</c>
      <c r="L119" s="7">
        <v>0</v>
      </c>
      <c r="M119" s="11">
        <f t="shared" si="8"/>
      </c>
      <c r="N119" s="11">
        <f t="shared" si="9"/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>
        <f>IFERROR(CalcRC27(F119,G119,K119,O119,P119,Q119,R119,S119,T119,U119,V119),"-")</f>
      </c>
      <c r="X119" t="s" s="2">
        <v>819</v>
      </c>
    </row>
    <row r="120" spans="2:24" ht="13.8" x14ac:dyDescent="0.2">
      <c r="B120" s="8">
        <f t="shared" si="12"/>
      </c>
      <c r="C120" s="10"/>
      <c r="D120" s="9"/>
      <c r="E120" s="11">
        <f t="shared" si="11"/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</c>
      <c r="L120" s="7">
        <v>0</v>
      </c>
      <c r="M120" s="11">
        <f t="shared" si="8"/>
      </c>
      <c r="N120" s="11">
        <f t="shared" si="9"/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>
        <f>IFERROR(CalcRC27(F120,G120,K120,O120,P120,Q120,R120,S120,T120,U120,V120),"-")</f>
      </c>
      <c r="X120" s="2"/>
    </row>
    <row r="121" spans="2:24" ht="13.8" x14ac:dyDescent="0.2">
      <c r="B121" s="8">
        <f t="shared" si="12"/>
      </c>
      <c r="C121" s="10"/>
      <c r="D121" s="9"/>
      <c r="E121" s="11">
        <f t="shared" si="11"/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</c>
      <c r="L121" s="7">
        <v>0</v>
      </c>
      <c r="M121" s="11">
        <f t="shared" si="8"/>
      </c>
      <c r="N121" s="11">
        <f t="shared" si="9"/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>
        <f>IFERROR(CalcRC27(F121,G121,K121,O121,P121,Q121,R121,S121,T121,U121,V121),"-")</f>
      </c>
      <c r="X121" s="2"/>
    </row>
    <row r="122" spans="2:24" ht="13.8" x14ac:dyDescent="0.2">
      <c r="B122" s="8">
        <f t="shared" si="12"/>
      </c>
      <c r="C122" s="10"/>
      <c r="D122" s="9"/>
      <c r="E122" s="11">
        <f t="shared" si="11"/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</c>
      <c r="L122" s="7">
        <v>0</v>
      </c>
      <c r="M122" s="11">
        <f t="shared" si="8"/>
      </c>
      <c r="N122" s="11">
        <f t="shared" si="9"/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>
        <f>IFERROR(CalcRC27(F122,G122,K122,O122,P122,Q122,R122,S122,T122,U122,V122),"-")</f>
      </c>
      <c r="X122" s="2"/>
    </row>
    <row r="123" spans="2:24" ht="13.8" x14ac:dyDescent="0.2">
      <c r="B123" s="8">
        <f t="shared" si="12"/>
      </c>
      <c r="C123" s="10"/>
      <c r="D123" s="9"/>
      <c r="E123" s="11">
        <f t="shared" si="11"/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</c>
      <c r="L123" s="7">
        <v>0</v>
      </c>
      <c r="M123" s="11">
        <f t="shared" si="8"/>
      </c>
      <c r="N123" s="11">
        <f t="shared" si="9"/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>
        <f>IFERROR(CalcRC27(F123,G123,K123,O123,P123,Q123,R123,S123,T123,U123,V123),"-")</f>
      </c>
      <c r="X123" s="2"/>
    </row>
    <row r="124" spans="2:24" ht="13.8" x14ac:dyDescent="0.2">
      <c r="B124" s="8">
        <f t="shared" si="12"/>
      </c>
      <c r="C124" s="10"/>
      <c r="D124" s="9"/>
      <c r="E124" s="11">
        <f t="shared" si="11"/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</c>
      <c r="L124" s="7">
        <v>0</v>
      </c>
      <c r="M124" s="11">
        <f t="shared" si="8"/>
      </c>
      <c r="N124" s="11">
        <f t="shared" si="9"/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>
        <f>IFERROR(CalcRC27(F124,G124,K124,O124,P124,Q124,R124,S124,T124,U124,V124),"-")</f>
      </c>
      <c r="X124" s="2"/>
    </row>
    <row r="125" spans="2:24" ht="13.8" x14ac:dyDescent="0.2">
      <c r="B125" s="8">
        <f t="shared" si="12"/>
      </c>
      <c r="C125" s="10"/>
      <c r="D125" s="9"/>
      <c r="E125" s="11">
        <f t="shared" si="11"/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</c>
      <c r="L125" s="7">
        <v>0</v>
      </c>
      <c r="M125" s="11">
        <f t="shared" si="8"/>
      </c>
      <c r="N125" s="11">
        <f t="shared" si="9"/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>
        <f>IFERROR(CalcRC27(F125,G125,K125,O125,P125,Q125,R125,S125,T125,U125,V125),"-")</f>
      </c>
      <c r="X125" s="2"/>
    </row>
    <row r="126" spans="2:24" ht="13.8" x14ac:dyDescent="0.2">
      <c r="B126" s="8">
        <f t="shared" si="12"/>
      </c>
      <c r="C126" s="10"/>
      <c r="D126" s="9"/>
      <c r="E126" s="11">
        <f t="shared" si="11"/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</c>
      <c r="L126" s="7">
        <v>0</v>
      </c>
      <c r="M126" s="11">
        <f t="shared" si="8"/>
      </c>
      <c r="N126" s="11">
        <f t="shared" si="9"/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>
        <f>IFERROR(CalcRC27(F126,G126,K126,O126,P126,Q126,R126,S126,T126,U126,V126),"-")</f>
      </c>
      <c r="X126" s="2"/>
    </row>
    <row r="127" spans="2:24" ht="13.8" x14ac:dyDescent="0.2">
      <c r="B127" s="8">
        <f t="shared" si="12"/>
      </c>
      <c r="C127" s="10"/>
      <c r="D127" s="9"/>
      <c r="E127" s="11">
        <f t="shared" si="11"/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</c>
      <c r="L127" s="7">
        <v>0</v>
      </c>
      <c r="M127" s="11">
        <f t="shared" si="8"/>
      </c>
      <c r="N127" s="11">
        <f t="shared" si="9"/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>
        <f>IFERROR(CalcRC27(F127,G127,K127,O127,P127,Q127,R127,S127,T127,U127,V127),"-")</f>
      </c>
      <c r="X127" s="2"/>
    </row>
    <row r="128" spans="2:24" ht="13.8" x14ac:dyDescent="0.2">
      <c r="B128" s="8">
        <f t="shared" si="12"/>
      </c>
      <c r="C128" s="10"/>
      <c r="D128" s="9"/>
      <c r="E128" s="11">
        <f t="shared" si="11"/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</c>
      <c r="L128" s="7">
        <v>0</v>
      </c>
      <c r="M128" s="11">
        <f t="shared" si="8"/>
      </c>
      <c r="N128" s="11">
        <f t="shared" si="9"/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>
        <f>IFERROR(CalcRC27(F128,G128,K128,O128,P128,Q128,R128,S128,T128,U128,V128),"-")</f>
      </c>
      <c r="X128" s="2"/>
    </row>
    <row r="129" spans="2:24" ht="13.8" x14ac:dyDescent="0.2">
      <c r="B129" s="8">
        <f t="shared" si="12"/>
      </c>
      <c r="C129" s="10"/>
      <c r="D129" s="9"/>
      <c r="E129" s="11">
        <f t="shared" si="11"/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</c>
      <c r="L129" s="7">
        <v>0</v>
      </c>
      <c r="M129" s="11">
        <f t="shared" si="8"/>
      </c>
      <c r="N129" s="11">
        <f t="shared" si="9"/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>
        <f>IFERROR(CalcRC27(F129,G129,K129,O129,P129,Q129,R129,S129,T129,U129,V129),"-")</f>
      </c>
      <c r="X129" s="2"/>
    </row>
    <row r="130" spans="2:24" ht="13.8" x14ac:dyDescent="0.2">
      <c r="B130" s="8">
        <f t="shared" si="12"/>
      </c>
      <c r="C130" s="10"/>
      <c r="D130" s="9"/>
      <c r="E130" s="11">
        <f t="shared" si="11"/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</c>
      <c r="L130" s="7">
        <v>1</v>
      </c>
      <c r="M130" s="11">
        <f t="shared" si="8"/>
      </c>
      <c r="N130" s="11">
        <f t="shared" si="9"/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>
        <f>IFERROR(CalcRC27(F130,G130,K130,O130,P130,Q130,R130,S130,T130,U130,V130),"-")</f>
      </c>
      <c r="X130" s="2"/>
    </row>
    <row r="131" spans="2:24" ht="13.8" x14ac:dyDescent="0.2">
      <c r="B131" s="8">
        <f t="shared" si="12"/>
      </c>
      <c r="C131" s="10"/>
      <c r="D131" s="9"/>
      <c r="E131" s="11">
        <f t="shared" si="11"/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</c>
      <c r="L131" s="7">
        <v>2</v>
      </c>
      <c r="M131" s="11">
        <f t="shared" si="8"/>
      </c>
      <c r="N131" s="11">
        <f t="shared" si="9"/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>
        <f>IFERROR(CalcRC27(F131,G131,K131,O131,P131,Q131,R131,S131,T131,U131,V131),"-")</f>
      </c>
      <c r="X131" s="2"/>
    </row>
    <row r="132" spans="2:24" ht="13.8" x14ac:dyDescent="0.2">
      <c r="B132" s="8">
        <f t="shared" si="12"/>
      </c>
      <c r="C132" s="10"/>
      <c r="D132" s="9"/>
      <c r="E132" s="11">
        <f t="shared" si="11"/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3">((G132-H132-I132-J132)+(H132*2)+(I132*3)+(J132*4))</f>
      </c>
      <c r="L132" s="7">
        <v>3</v>
      </c>
      <c r="M132" s="11">
        <f t="shared" ref="M132:M134" si="14">IFERROR(IF((G132+P132+Q132)/(F132+P132+Q132+S132)=1,"1.00",(G132+P132+Q132)/(F132+P132+Q132+S132)),0)</f>
      </c>
      <c r="N132" s="11">
        <f t="shared" ref="N132:N134" si="15">IFERROR(SUM(K132/F132,((G132+P132+Q132)/(F132+P132+Q132+S132))),M132)</f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>
        <f>IFERROR(CalcRC27(F132,G132,K132,O132,P132,Q132,R132,S132,T132,U132,V132),"-")</f>
      </c>
      <c r="X132" s="2"/>
    </row>
    <row r="133" spans="2:24" ht="13.8" x14ac:dyDescent="0.2">
      <c r="B133" s="8">
        <f t="shared" si="12"/>
      </c>
      <c r="C133" s="10"/>
      <c r="D133" s="9"/>
      <c r="E133" s="11">
        <f t="shared" ref="E133:E134" si="16">IFERROR(IF(G133/F133=1,"1.00",G133/F133),"---")</f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</c>
      <c r="L133" s="7">
        <v>4</v>
      </c>
      <c r="M133" s="11">
        <f t="shared" si="14"/>
      </c>
      <c r="N133" s="11">
        <f t="shared" si="15"/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>
        <f>IFERROR(CalcRC27(F133,G133,K133,O133,P133,Q133,R133,S133,T133,U133,V133),"-")</f>
      </c>
      <c r="X133" s="2"/>
    </row>
    <row r="134" spans="2:24" ht="13.8" x14ac:dyDescent="0.2">
      <c r="B134" s="8">
        <f t="shared" si="12"/>
      </c>
      <c r="C134" s="10"/>
      <c r="D134" s="9"/>
      <c r="E134" s="11">
        <f t="shared" si="16"/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</c>
      <c r="L134" s="7">
        <v>5</v>
      </c>
      <c r="M134" s="11">
        <f t="shared" si="14"/>
      </c>
      <c r="N134" s="11">
        <f t="shared" si="15"/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>
        <f>IFERROR(CalcRC27(F134,G134,K134,O134,P134,Q134,R134,S134,T134,U134,V134),"-")</f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0AF25-FE52-4D28-A54D-53ED90C911E8}">
  <sheetPr codeName="Sheet1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2"/>
      <c r="C2" s="122"/>
      <c r="D2" s="122"/>
      <c r="E2" s="4">
        <f>IFERROR(G2/F2,0)</f>
      </c>
      <c r="F2" s="5">
        <f t="shared" ref="F2:L2" si="0">SUM(F4:F104)</f>
      </c>
      <c r="G2" s="5">
        <f t="shared" si="0"/>
      </c>
      <c r="H2" s="5">
        <f t="shared" si="0"/>
      </c>
      <c r="I2" s="5">
        <f t="shared" si="0"/>
      </c>
      <c r="J2" s="6">
        <f t="shared" si="0"/>
      </c>
      <c r="K2" s="12">
        <f t="shared" si="0"/>
      </c>
      <c r="L2" s="7">
        <f t="shared" si="0"/>
      </c>
      <c r="M2" s="11">
        <f>IFERROR(IF((G2+P2+Q2)/(F2+P2+Q2+R2)=1,"1.00",(G2+P2+Q2)/(F2+P2+Q2+R2)),0)</f>
      </c>
      <c r="N2" s="11">
        <f>IFERROR(SUM(SUM(((G2-H2-I2-J2)*1),H2*2,I2*3,J2*4)/F2,((G2+P2+Q2)/(F2+P2+Q2+R2))),M2)</f>
      </c>
      <c r="O2" s="5">
        <f>SUM(O4:O104)</f>
      </c>
      <c r="P2" s="5">
        <f>SUM(P4:P104)</f>
      </c>
      <c r="Q2" s="5">
        <f>SUM(Q4:Q104)</f>
      </c>
      <c r="R2" s="5">
        <f>SUM(R4:R104)</f>
      </c>
      <c r="S2" s="5">
        <f>SUM(S4:S104)</f>
      </c>
      <c r="T2" s="5">
        <f t="shared" ref="T2:V2" si="1">SUM(T4:T104)</f>
      </c>
      <c r="U2" s="5">
        <f t="shared" si="1"/>
      </c>
      <c r="V2" s="5">
        <f t="shared" si="1"/>
      </c>
      <c r="W2" s="20">
        <f>IFERROR(CalcRC27(F2,G2,K2,O2,P2,Q2,R2,S2,T2,U2,V2),"-")</f>
      </c>
      <c r="X2" t="s" s="121">
        <v>229</v>
      </c>
    </row>
    <row r="3" spans="2:24" x14ac:dyDescent="0.2">
      <c r="B3" t="s" s="55">
        <v>841</v>
      </c>
      <c r="C3" t="s" s="56">
        <v>1039</v>
      </c>
      <c r="D3" t="s" s="56">
        <v>1040</v>
      </c>
      <c r="E3" t="s" s="57">
        <v>56</v>
      </c>
      <c r="F3" t="s" s="58">
        <v>0</v>
      </c>
      <c r="G3" t="s" s="55">
        <v>1</v>
      </c>
      <c r="H3" t="s" s="55">
        <v>360</v>
      </c>
      <c r="I3" t="s" s="55">
        <v>361</v>
      </c>
      <c r="J3" t="s" s="59">
        <v>1041</v>
      </c>
      <c r="K3" t="s" s="55">
        <v>983</v>
      </c>
      <c r="L3" t="s" s="60">
        <v>2</v>
      </c>
      <c r="M3" t="s" s="61">
        <v>359</v>
      </c>
      <c r="N3" t="s" s="57">
        <v>362</v>
      </c>
      <c r="O3" t="s" s="62">
        <v>978</v>
      </c>
      <c r="P3" t="s" s="55">
        <v>234</v>
      </c>
      <c r="Q3" t="s" s="55">
        <v>235</v>
      </c>
      <c r="R3" t="s" s="55">
        <v>976</v>
      </c>
      <c r="S3" t="s" s="55">
        <v>977</v>
      </c>
      <c r="T3" t="s" s="55">
        <v>979</v>
      </c>
      <c r="U3" t="s" s="55">
        <v>980</v>
      </c>
      <c r="V3" t="s" s="55">
        <v>981</v>
      </c>
      <c r="W3" t="s" s="55">
        <v>982</v>
      </c>
      <c r="X3" s="121"/>
    </row>
    <row r="4" spans="2:24" ht="13.8" x14ac:dyDescent="0.2">
      <c r="B4" s="8">
        <v>1</v>
      </c>
      <c r="C4" s="10">
        <v>18</v>
      </c>
      <c r="D4" t="s" s="13">
        <v>231</v>
      </c>
      <c r="E4" s="11">
        <f t="shared" ref="E4:E68" si="2">IFERROR(IF(G4/F4=1,"1.00",G4/F4),"---")</f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</c>
      <c r="L4" s="7">
        <v>0</v>
      </c>
      <c r="M4" s="11">
        <f t="shared" ref="M4:M67" si="4">IFERROR(IF((G4+P4+Q4)/(F4+P4+Q4+S4)=1,"1.00",(G4+P4+Q4)/(F4+P4+Q4+S4)),0)</f>
      </c>
      <c r="N4" s="11">
        <f t="shared" ref="N4:N67" si="5">IFERROR(SUM(K4/F4,((G4+P4+Q4)/(F4+P4+Q4+S4))),M4)</f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>
        <f>IFERROR(CalcRC27(F4,G4,K4,O4,P4,Q4,R4,S4,T4,U4,V4),"-")</f>
      </c>
      <c r="X4" t="s" s="13">
        <v>317</v>
      </c>
    </row>
    <row r="5" spans="2:24" ht="13.8" x14ac:dyDescent="0.2">
      <c r="B5" s="8">
        <v>2</v>
      </c>
      <c r="C5" s="10">
        <v>13</v>
      </c>
      <c r="D5" t="s" s="13">
        <v>650</v>
      </c>
      <c r="E5" s="11">
        <f t="shared" si="2"/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</c>
      <c r="L5" s="7">
        <v>0</v>
      </c>
      <c r="M5" s="11">
        <f t="shared" si="4"/>
      </c>
      <c r="N5" s="11">
        <f t="shared" si="5"/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>
        <f>IFERROR(CalcRC27(F5,G5,K5,O5,P5,Q5,R5,S5,T5,U5,V5),"-")</f>
      </c>
      <c r="X5" t="s" s="13">
        <v>571</v>
      </c>
    </row>
    <row r="6" spans="2:24" ht="13.8" x14ac:dyDescent="0.2">
      <c r="B6" s="8">
        <v>3</v>
      </c>
      <c r="C6" s="10">
        <v>75</v>
      </c>
      <c r="D6" t="s" s="13">
        <v>1262</v>
      </c>
      <c r="E6" s="11">
        <f t="shared" si="2"/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</c>
      <c r="L6" s="7">
        <v>0</v>
      </c>
      <c r="M6" s="11">
        <f t="shared" si="4"/>
      </c>
      <c r="N6" s="11">
        <f t="shared" si="5"/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>
        <f>IFERROR(CalcRC27(F6,G6,K6,O6,P6,Q6,R6,S6,T6,U6,V6),"-")</f>
      </c>
      <c r="X6" t="s" s="13">
        <v>1262</v>
      </c>
    </row>
    <row r="7" spans="2:24" ht="13.8" x14ac:dyDescent="0.2">
      <c r="B7" s="8">
        <v>4</v>
      </c>
      <c r="C7" s="10">
        <v>17</v>
      </c>
      <c r="D7" t="s" s="13">
        <v>26</v>
      </c>
      <c r="E7" s="11">
        <f t="shared" si="2"/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</c>
      <c r="L7" s="7">
        <v>0</v>
      </c>
      <c r="M7" s="11">
        <f t="shared" si="4"/>
      </c>
      <c r="N7" s="11">
        <f t="shared" si="5"/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>
        <f>IFERROR(CalcRC27(F7,G7,K7,O7,P7,Q7,R7,S7,T7,U7,V7),"-")</f>
      </c>
      <c r="X7" t="s" s="13">
        <v>545</v>
      </c>
    </row>
    <row r="8" spans="2:24" ht="13.8" x14ac:dyDescent="0.2">
      <c r="B8" s="8">
        <v>5</v>
      </c>
      <c r="C8" s="10">
        <v>20</v>
      </c>
      <c r="D8" t="s" s="13">
        <v>175</v>
      </c>
      <c r="E8" s="11">
        <f t="shared" si="2"/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</c>
      <c r="L8" s="7">
        <v>0</v>
      </c>
      <c r="M8" s="11">
        <f t="shared" si="4"/>
      </c>
      <c r="N8" s="11">
        <f t="shared" si="5"/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>
        <f>IFERROR(CalcRC27(F8,G8,K8,O8,P8,Q8,R8,S8,T8,U8,V8),"-")</f>
      </c>
      <c r="X8" t="s" s="2">
        <v>1060</v>
      </c>
    </row>
    <row r="9" spans="2:24" ht="13.8" x14ac:dyDescent="0.2">
      <c r="B9" s="8">
        <v>6</v>
      </c>
      <c r="C9" s="10">
        <v>47</v>
      </c>
      <c r="D9" t="s" s="13">
        <v>80</v>
      </c>
      <c r="E9" s="11">
        <f t="shared" si="2"/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</c>
      <c r="L9" s="7">
        <v>0</v>
      </c>
      <c r="M9" s="11">
        <f t="shared" si="4"/>
      </c>
      <c r="N9" s="11">
        <f t="shared" si="5"/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>
        <f>IFERROR(CalcRC27(F9,G9,K9,O9,P9,Q9,R9,S9,T9,U9,V9),"-")</f>
      </c>
      <c r="X9" t="s" s="2">
        <v>1101</v>
      </c>
    </row>
    <row r="10" spans="2:24" ht="13.8" x14ac:dyDescent="0.2">
      <c r="B10" s="8">
        <v>7</v>
      </c>
      <c r="C10" s="10">
        <v>49</v>
      </c>
      <c r="D10" t="s" s="13">
        <v>79</v>
      </c>
      <c r="E10" s="11">
        <f t="shared" si="2"/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</c>
      <c r="L10" s="7">
        <v>0</v>
      </c>
      <c r="M10" s="11">
        <f t="shared" si="4"/>
      </c>
      <c r="N10" s="11">
        <f t="shared" si="5"/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>
        <f>IFERROR(CalcRC27(F10,G10,K10,O10,P10,Q10,R10,S10,T10,U10,V10),"-")</f>
      </c>
      <c r="X10" t="s" s="2">
        <v>79</v>
      </c>
    </row>
    <row r="11" spans="2:24" ht="13.8" x14ac:dyDescent="0.2">
      <c r="B11" s="8">
        <v>8</v>
      </c>
      <c r="C11" s="10">
        <v>53</v>
      </c>
      <c r="D11" t="s" s="13">
        <v>43</v>
      </c>
      <c r="E11" s="11">
        <f t="shared" si="2"/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</c>
      <c r="L11" s="7">
        <v>0</v>
      </c>
      <c r="M11" s="11">
        <f t="shared" si="4"/>
      </c>
      <c r="N11" s="11">
        <f t="shared" si="5"/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</c>
      <c r="X11" t="s" s="2">
        <v>1093</v>
      </c>
    </row>
    <row r="12" spans="2:24" ht="13.8" x14ac:dyDescent="0.2">
      <c r="B12" s="8">
        <v>9</v>
      </c>
      <c r="C12" s="10">
        <v>50</v>
      </c>
      <c r="D12" t="s" s="13">
        <v>256</v>
      </c>
      <c r="E12" s="11">
        <f t="shared" si="2"/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</c>
      <c r="L12" s="7">
        <v>0</v>
      </c>
      <c r="M12" s="11">
        <f t="shared" si="4"/>
      </c>
      <c r="N12" s="11">
        <f t="shared" si="5"/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>
        <f>IFERROR(CalcRC27(F12,G12,K12,O12,P12,Q12,R12,S12,T12,U12,V12),"-")</f>
      </c>
      <c r="X12" t="s" s="13">
        <v>591</v>
      </c>
    </row>
    <row r="13" spans="2:24" ht="13.8" x14ac:dyDescent="0.2">
      <c r="B13" s="8">
        <v>10</v>
      </c>
      <c r="C13" s="10">
        <v>16</v>
      </c>
      <c r="D13" t="s" s="13">
        <v>787</v>
      </c>
      <c r="E13" s="11">
        <f t="shared" si="2"/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</c>
      <c r="L13" s="7">
        <v>0</v>
      </c>
      <c r="M13" s="11">
        <f t="shared" si="4"/>
      </c>
      <c r="N13" s="11">
        <f t="shared" si="5"/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</c>
      <c r="X13" t="s" s="13">
        <v>781</v>
      </c>
    </row>
    <row r="14" spans="2:24" ht="13.8" x14ac:dyDescent="0.2">
      <c r="B14" s="8">
        <v>11</v>
      </c>
      <c r="C14" s="10">
        <v>17</v>
      </c>
      <c r="D14" t="s" s="13">
        <v>20</v>
      </c>
      <c r="E14" s="11">
        <f t="shared" si="2"/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</c>
      <c r="L14" s="7">
        <v>0</v>
      </c>
      <c r="M14" s="11">
        <f t="shared" si="4"/>
      </c>
      <c r="N14" s="11">
        <f t="shared" si="5"/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>
        <f>IFERROR(CalcRC27(F14,G14,K14,O14,P14,Q14,R14,S14,T14,U14,V14),"-")</f>
      </c>
      <c r="X14" t="s" s="2">
        <v>619</v>
      </c>
    </row>
    <row r="15" spans="2:24" ht="13.8" x14ac:dyDescent="0.2">
      <c r="B15" s="8">
        <v>12</v>
      </c>
      <c r="C15" s="10">
        <v>19</v>
      </c>
      <c r="D15" t="s" s="13">
        <v>17</v>
      </c>
      <c r="E15" s="11">
        <f t="shared" si="2"/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</c>
      <c r="L15" s="7">
        <v>0</v>
      </c>
      <c r="M15" s="11">
        <f t="shared" si="4"/>
      </c>
      <c r="N15" s="11">
        <f t="shared" si="5"/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</c>
      <c r="X15" t="s" s="2">
        <v>620</v>
      </c>
    </row>
    <row r="16" spans="2:24" ht="13.8" x14ac:dyDescent="0.2">
      <c r="B16" s="8">
        <v>13</v>
      </c>
      <c r="C16" s="10">
        <v>20</v>
      </c>
      <c r="D16" t="s" s="13">
        <v>232</v>
      </c>
      <c r="E16" s="11">
        <f t="shared" si="2"/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</c>
      <c r="L16" s="7">
        <v>0</v>
      </c>
      <c r="M16" s="11">
        <f t="shared" si="4"/>
      </c>
      <c r="N16" s="11">
        <f t="shared" si="5"/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</c>
      <c r="X16" t="s" s="13">
        <v>319</v>
      </c>
    </row>
    <row r="17" spans="2:24" ht="13.8" x14ac:dyDescent="0.2">
      <c r="B17" s="8">
        <v>14</v>
      </c>
      <c r="C17" s="10">
        <v>17</v>
      </c>
      <c r="D17" t="s" s="13">
        <v>1182</v>
      </c>
      <c r="E17" s="11">
        <f t="shared" si="2"/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</c>
      <c r="L17" s="7">
        <v>0</v>
      </c>
      <c r="M17" s="11">
        <f t="shared" si="4"/>
      </c>
      <c r="N17" s="11">
        <f t="shared" si="5"/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>
        <f>IFERROR(CalcRC27(F17,G17,K17,O17,P17,Q17,R17,S17,T17,U17,V17),"-")</f>
      </c>
      <c r="X17" t="s" s="2">
        <v>730</v>
      </c>
    </row>
    <row r="18" spans="2:24" ht="13.8" x14ac:dyDescent="0.2">
      <c r="B18" s="8">
        <v>15</v>
      </c>
      <c r="C18" s="10">
        <v>37</v>
      </c>
      <c r="D18" t="s" s="13">
        <v>272</v>
      </c>
      <c r="E18" s="11">
        <f t="shared" si="2"/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</c>
      <c r="L18" s="7">
        <v>0</v>
      </c>
      <c r="M18" s="11">
        <f t="shared" si="4"/>
      </c>
      <c r="N18" s="11">
        <f t="shared" si="5"/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>
        <f>IFERROR(CalcRC27(F18,G18,K18,O18,P18,Q18,R18,S18,T18,U18,V18),"-")</f>
      </c>
      <c r="X18" t="s" s="2">
        <v>272</v>
      </c>
    </row>
    <row r="19" spans="2:24" ht="13.8" x14ac:dyDescent="0.2">
      <c r="B19" s="8">
        <v>16</v>
      </c>
      <c r="C19" s="10">
        <v>2</v>
      </c>
      <c r="D19" t="s" s="13">
        <v>239</v>
      </c>
      <c r="E19" s="11">
        <f t="shared" si="2"/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</c>
      <c r="L19" s="7">
        <v>0</v>
      </c>
      <c r="M19" s="11">
        <f t="shared" si="4"/>
      </c>
      <c r="N19" s="11">
        <f t="shared" si="5"/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>
        <f>IFERROR(CalcRC27(F19,G19,K19,O19,P19,Q19,R19,S19,T19,U19,V19),"-")</f>
      </c>
      <c r="X19" t="s" s="13">
        <v>236</v>
      </c>
    </row>
    <row r="20" spans="2:24" ht="13.8" x14ac:dyDescent="0.2">
      <c r="B20" s="8">
        <v>17</v>
      </c>
      <c r="C20" s="10">
        <v>35</v>
      </c>
      <c r="D20" t="s" s="8">
        <v>28</v>
      </c>
      <c r="E20" s="11">
        <f t="shared" si="2"/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</c>
      <c r="L20" s="7">
        <v>0</v>
      </c>
      <c r="M20" s="11">
        <f t="shared" si="4"/>
      </c>
      <c r="N20" s="11">
        <f t="shared" si="5"/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>
        <f>IFERROR(CalcRC27(F20,G20,K20,O20,P20,Q20,R20,S20,T20,U20,V20),"-")</f>
      </c>
      <c r="X20" t="s" s="13">
        <v>554</v>
      </c>
    </row>
    <row r="21" spans="2:24" ht="13.8" x14ac:dyDescent="0.2">
      <c r="B21" s="8">
        <v>18</v>
      </c>
      <c r="C21" s="10">
        <v>2</v>
      </c>
      <c r="D21" t="s" s="13">
        <v>1677</v>
      </c>
      <c r="E21" s="11">
        <f t="shared" si="2"/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</c>
      <c r="L21" s="7">
        <v>0</v>
      </c>
      <c r="M21" s="11">
        <f t="shared" si="4"/>
      </c>
      <c r="N21" s="11">
        <f t="shared" si="5"/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</c>
      <c r="X21" t="s" s="2">
        <v>735</v>
      </c>
    </row>
    <row r="22" spans="2:24" ht="13.8" x14ac:dyDescent="0.2">
      <c r="B22" s="8">
        <v>19</v>
      </c>
      <c r="C22" s="10">
        <v>31</v>
      </c>
      <c r="D22" t="s" s="13">
        <v>237</v>
      </c>
      <c r="E22" s="11">
        <f t="shared" si="2"/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</c>
      <c r="L22" s="7">
        <v>0</v>
      </c>
      <c r="M22" s="11">
        <f t="shared" si="4"/>
      </c>
      <c r="N22" s="11">
        <f t="shared" si="5"/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>
        <f>IFERROR(CalcRC27(F22,G22,K22,O22,P22,Q22,R22,S22,T22,U22,V22),"-")</f>
      </c>
      <c r="X22" t="s" s="13">
        <v>237</v>
      </c>
    </row>
    <row r="23" spans="2:24" ht="13.8" x14ac:dyDescent="0.2">
      <c r="B23" s="8">
        <v>20</v>
      </c>
      <c r="C23" s="10">
        <v>66</v>
      </c>
      <c r="D23" t="s" s="13">
        <v>89</v>
      </c>
      <c r="E23" s="11">
        <f t="shared" si="2"/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</c>
      <c r="L23" s="7">
        <v>0</v>
      </c>
      <c r="M23" s="11">
        <f t="shared" si="4"/>
      </c>
      <c r="N23" s="11">
        <f t="shared" si="5"/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</c>
      <c r="X23" t="s" s="13">
        <v>89</v>
      </c>
    </row>
    <row r="24" spans="2:24" ht="13.8" x14ac:dyDescent="0.2">
      <c r="B24" s="8">
        <v>21</v>
      </c>
      <c r="C24" s="10">
        <v>1</v>
      </c>
      <c r="D24" t="s" s="13">
        <v>1289</v>
      </c>
      <c r="E24" s="11">
        <f t="shared" si="2"/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</c>
      <c r="L24" s="7">
        <v>0</v>
      </c>
      <c r="M24" s="11">
        <f t="shared" si="4"/>
      </c>
      <c r="N24" s="11">
        <f t="shared" si="5"/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</c>
      <c r="X24" t="s" s="2">
        <v>721</v>
      </c>
    </row>
    <row r="25" spans="2:24" ht="13.8" x14ac:dyDescent="0.2">
      <c r="B25" s="8">
        <v>22</v>
      </c>
      <c r="C25" s="10">
        <v>33</v>
      </c>
      <c r="D25" t="s" s="13">
        <v>233</v>
      </c>
      <c r="E25" s="11">
        <f t="shared" si="2"/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</c>
      <c r="L25" s="7">
        <v>0</v>
      </c>
      <c r="M25" s="11">
        <f t="shared" si="4"/>
      </c>
      <c r="N25" s="11">
        <f t="shared" si="5"/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>
        <f>IFERROR(CalcRC27(F25,G25,K25,O25,P25,Q25,R25,S25,T25,U25,V25),"-")</f>
      </c>
      <c r="X25" t="s" s="13">
        <v>300</v>
      </c>
    </row>
    <row r="26" spans="2:24" ht="13.8" x14ac:dyDescent="0.2">
      <c r="B26" s="8">
        <v>23</v>
      </c>
      <c r="C26" s="10">
        <v>55</v>
      </c>
      <c r="D26" t="s" s="13">
        <v>1296</v>
      </c>
      <c r="E26" s="11">
        <f t="shared" si="2"/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</c>
      <c r="L26" s="7">
        <v>0</v>
      </c>
      <c r="M26" s="11">
        <f t="shared" si="4"/>
      </c>
      <c r="N26" s="11">
        <f t="shared" si="5"/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>
        <f>IFERROR(CalcRC27(F26,G26,K26,O26,P26,Q26,R26,S26,T26,U26,V26),"-")</f>
      </c>
      <c r="X26" t="s" s="2">
        <v>751</v>
      </c>
    </row>
    <row r="27" spans="2:24" ht="13.8" x14ac:dyDescent="0.2">
      <c r="B27" s="8">
        <v>24</v>
      </c>
      <c r="C27" s="10">
        <v>25</v>
      </c>
      <c r="D27" t="s" s="13">
        <v>1063</v>
      </c>
      <c r="E27" s="11">
        <f t="shared" si="2"/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</c>
      <c r="L27" s="7">
        <v>0</v>
      </c>
      <c r="M27" s="11">
        <f t="shared" si="4"/>
      </c>
      <c r="N27" s="11">
        <f t="shared" si="5"/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>
        <f>IFERROR(CalcRC27(F27,G27,K27,O27,P27,Q27,R27,S27,T27,U27,V27),"-")</f>
      </c>
      <c r="X27" t="s" s="2">
        <v>1064</v>
      </c>
    </row>
    <row r="28" spans="2:24" ht="13.8" x14ac:dyDescent="0.2">
      <c r="B28" s="8">
        <v>25</v>
      </c>
      <c r="C28" s="10">
        <v>51</v>
      </c>
      <c r="D28" t="s" s="13">
        <v>257</v>
      </c>
      <c r="E28" s="11">
        <f t="shared" si="2"/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</c>
      <c r="L28" s="7">
        <v>0</v>
      </c>
      <c r="M28" s="11">
        <f t="shared" si="4"/>
      </c>
      <c r="N28" s="11">
        <f t="shared" si="5"/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>
        <f>IFERROR(CalcRC27(F28,G28,K28,O28,P28,Q28,R28,S28,T28,U28,V28),"-")</f>
      </c>
      <c r="X28" t="s" s="13">
        <v>592</v>
      </c>
    </row>
    <row r="29" spans="2:24" ht="13.8" x14ac:dyDescent="0.2">
      <c r="B29" s="8">
        <v>26</v>
      </c>
      <c r="C29" s="10">
        <v>6</v>
      </c>
      <c r="D29" t="s" s="13">
        <v>1745</v>
      </c>
      <c r="E29" s="11">
        <f t="shared" si="2"/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</c>
      <c r="L29" s="7">
        <v>0</v>
      </c>
      <c r="M29" s="11">
        <f t="shared" si="4"/>
      </c>
      <c r="N29" s="11">
        <f t="shared" si="5"/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</c>
      <c r="X29" t="s" s="2">
        <v>1048</v>
      </c>
    </row>
    <row r="30" spans="2:24" ht="13.8" x14ac:dyDescent="0.2">
      <c r="B30" s="8">
        <v>27</v>
      </c>
      <c r="C30" s="10">
        <v>8</v>
      </c>
      <c r="D30" t="s" s="13">
        <v>243</v>
      </c>
      <c r="E30" s="11">
        <f t="shared" si="2"/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</c>
      <c r="L30" s="7">
        <v>0</v>
      </c>
      <c r="M30" s="11">
        <f t="shared" si="4"/>
      </c>
      <c r="N30" s="11">
        <f t="shared" si="5"/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</c>
      <c r="X30" t="s" s="13">
        <v>570</v>
      </c>
    </row>
    <row r="31" spans="2:24" ht="13.8" x14ac:dyDescent="0.2">
      <c r="B31" s="8">
        <v>28</v>
      </c>
      <c r="C31" s="10">
        <v>5</v>
      </c>
      <c r="D31" t="s" s="13">
        <v>242</v>
      </c>
      <c r="E31" s="11">
        <f t="shared" si="2"/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</c>
      <c r="L31" s="7">
        <v>0</v>
      </c>
      <c r="M31" s="11">
        <f t="shared" si="4"/>
      </c>
      <c r="N31" s="11">
        <f t="shared" si="5"/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>
        <f>IFERROR(CalcRC27(F31,G31,K31,O31,P31,Q31,R31,S31,T31,U31,V31),"-")</f>
      </c>
      <c r="X31" t="s" s="13">
        <v>569</v>
      </c>
    </row>
    <row r="32" spans="2:24" ht="13.8" x14ac:dyDescent="0.2">
      <c r="B32" s="8">
        <v>29</v>
      </c>
      <c r="C32" s="10">
        <v>1</v>
      </c>
      <c r="D32" t="s" s="13">
        <v>230</v>
      </c>
      <c r="E32" s="11">
        <f t="shared" si="2"/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</c>
      <c r="L32" s="7">
        <v>0</v>
      </c>
      <c r="M32" s="11">
        <f t="shared" si="4"/>
      </c>
      <c r="N32" s="11">
        <f t="shared" si="5"/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</c>
      <c r="X32" t="s" s="13">
        <v>294</v>
      </c>
    </row>
    <row r="33" spans="2:24" ht="13.8" x14ac:dyDescent="0.2">
      <c r="B33" s="8">
        <v>30</v>
      </c>
      <c r="C33" s="10">
        <v>48</v>
      </c>
      <c r="D33" t="s" s="13">
        <v>178</v>
      </c>
      <c r="E33" s="11">
        <f t="shared" si="2"/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</c>
      <c r="L33" s="7">
        <v>0</v>
      </c>
      <c r="M33" s="11">
        <f t="shared" si="4"/>
      </c>
      <c r="N33" s="11">
        <f t="shared" si="5"/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</c>
      <c r="X33" t="s" s="2">
        <v>178</v>
      </c>
    </row>
    <row r="34" spans="2:24" ht="13.8" x14ac:dyDescent="0.2">
      <c r="B34" s="8">
        <v>31</v>
      </c>
      <c r="C34" s="10">
        <v>8</v>
      </c>
      <c r="D34" t="s" s="13">
        <v>30</v>
      </c>
      <c r="E34" s="11">
        <f t="shared" si="2"/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</c>
      <c r="L34" s="7">
        <v>0</v>
      </c>
      <c r="M34" s="11">
        <f t="shared" si="4"/>
      </c>
      <c r="N34" s="11">
        <f t="shared" si="5"/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>
        <f>IFERROR(CalcRC27(F34,G34,K34,O34,P34,Q34,R34,S34,T34,U34,V34),"-")</f>
      </c>
      <c r="X34" t="s" s="13">
        <v>542</v>
      </c>
    </row>
    <row r="35" spans="2:24" ht="13.8" x14ac:dyDescent="0.2">
      <c r="B35" s="8">
        <v>32</v>
      </c>
      <c r="C35" s="10">
        <v>7</v>
      </c>
      <c r="D35" t="s" s="13">
        <v>188</v>
      </c>
      <c r="E35" s="11">
        <f t="shared" si="2"/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</c>
      <c r="L35" s="7">
        <v>0</v>
      </c>
      <c r="M35" s="11">
        <f t="shared" si="4"/>
      </c>
      <c r="N35" s="11">
        <f t="shared" si="5"/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>
        <f>IFERROR(CalcRC27(F35,G35,K35,O35,P35,Q35,R35,S35,T35,U35,V35),"-")</f>
      </c>
      <c r="X35" t="s" s="2">
        <v>612</v>
      </c>
    </row>
    <row r="36" spans="2:24" ht="13.8" x14ac:dyDescent="0.2">
      <c r="B36" s="8">
        <v>33</v>
      </c>
      <c r="C36" s="10"/>
      <c r="D36" s="13"/>
      <c r="E36" s="11">
        <f t="shared" si="2"/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</c>
      <c r="L36" s="7">
        <v>0</v>
      </c>
      <c r="M36" s="11">
        <f t="shared" si="4"/>
      </c>
      <c r="N36" s="11">
        <f t="shared" si="5"/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>
        <f>IFERROR(CalcRC27(F36,G36,K36,O36,P36,Q36,R36,S36,T36,U36,V36),"-")</f>
      </c>
      <c r="X36" s="2"/>
    </row>
    <row r="37" spans="2:24" ht="13.8" x14ac:dyDescent="0.2">
      <c r="B37" s="8">
        <v>34</v>
      </c>
      <c r="C37" s="10"/>
      <c r="D37" s="13"/>
      <c r="E37" s="11">
        <f t="shared" si="2"/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</c>
      <c r="L37" s="7">
        <v>0</v>
      </c>
      <c r="M37" s="11">
        <f t="shared" si="4"/>
      </c>
      <c r="N37" s="11">
        <f t="shared" si="5"/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>
        <f>IFERROR(CalcRC27(F37,G37,K37,O37,P37,Q37,R37,S37,T37,U37,V37),"-")</f>
      </c>
      <c r="X37" s="2"/>
    </row>
    <row r="38" spans="2:24" ht="13.8" x14ac:dyDescent="0.2">
      <c r="B38" s="8">
        <v>35</v>
      </c>
      <c r="C38" s="10"/>
      <c r="D38" s="13"/>
      <c r="E38" s="11">
        <f t="shared" si="2"/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</c>
      <c r="L38" s="7">
        <v>0</v>
      </c>
      <c r="M38" s="11">
        <f t="shared" si="4"/>
      </c>
      <c r="N38" s="11">
        <f t="shared" si="5"/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>
        <f>IFERROR(CalcRC27(F38,G38,K38,O38,P38,Q38,R38,S38,T38,U38,V38),"-")</f>
      </c>
      <c r="X38" s="2"/>
    </row>
    <row r="39" spans="2:24" ht="13.8" x14ac:dyDescent="0.2">
      <c r="B39" s="8">
        <v>36</v>
      </c>
      <c r="C39" s="10"/>
      <c r="D39" s="13"/>
      <c r="E39" s="11">
        <f t="shared" si="2"/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</c>
      <c r="L39" s="7">
        <v>0</v>
      </c>
      <c r="M39" s="11">
        <f t="shared" si="4"/>
      </c>
      <c r="N39" s="11">
        <f t="shared" si="5"/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>
        <f>IFERROR(CalcRC27(F39,G39,K39,O39,P39,Q39,R39,S39,T39,U39,V39),"-")</f>
      </c>
      <c r="X39" s="2"/>
    </row>
    <row r="40" spans="2:24" ht="13.8" x14ac:dyDescent="0.2">
      <c r="B40" s="8">
        <v>37</v>
      </c>
      <c r="C40" s="10"/>
      <c r="D40" s="13"/>
      <c r="E40" s="11">
        <f t="shared" si="2"/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</c>
      <c r="L40" s="7">
        <v>0</v>
      </c>
      <c r="M40" s="11">
        <f t="shared" si="4"/>
      </c>
      <c r="N40" s="11">
        <f t="shared" si="5"/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>
        <f>IFERROR(CalcRC27(F40,G40,K40,O40,P40,Q40,R40,S40,T40,U40,V40),"-")</f>
      </c>
      <c r="X40" s="2"/>
    </row>
    <row r="41" spans="2:24" ht="13.8" x14ac:dyDescent="0.2">
      <c r="B41" s="8">
        <v>38</v>
      </c>
      <c r="C41" s="10"/>
      <c r="D41" s="13"/>
      <c r="E41" s="11">
        <f t="shared" si="2"/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</c>
      <c r="L41" s="7">
        <v>0</v>
      </c>
      <c r="M41" s="11">
        <f t="shared" si="4"/>
      </c>
      <c r="N41" s="11">
        <f t="shared" si="5"/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>
        <f>IFERROR(CalcRC27(F41,G41,K41,O41,P41,Q41,R41,S41,T41,U41,V41),"-")</f>
      </c>
      <c r="X41" s="2"/>
    </row>
    <row r="42" spans="2:24" ht="13.8" x14ac:dyDescent="0.2">
      <c r="B42" s="8">
        <v>39</v>
      </c>
      <c r="C42" s="10"/>
      <c r="D42" s="13"/>
      <c r="E42" s="11">
        <f t="shared" si="2"/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</c>
      <c r="L42" s="7">
        <v>0</v>
      </c>
      <c r="M42" s="11">
        <f t="shared" si="4"/>
      </c>
      <c r="N42" s="11">
        <f t="shared" si="5"/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>
        <f>IFERROR(CalcRC27(F42,G42,K42,O42,P42,Q42,R42,S42,T42,U42,V42),"-")</f>
      </c>
      <c r="X42" s="2"/>
    </row>
    <row r="43" spans="2:24" ht="13.8" x14ac:dyDescent="0.2">
      <c r="B43" s="8">
        <v>40</v>
      </c>
      <c r="C43" s="10"/>
      <c r="D43" s="13"/>
      <c r="E43" s="11">
        <f t="shared" si="2"/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</c>
      <c r="L43" s="7">
        <v>0</v>
      </c>
      <c r="M43" s="11">
        <f t="shared" si="4"/>
      </c>
      <c r="N43" s="11">
        <f t="shared" si="5"/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>
        <f>IFERROR(CalcRC27(F43,G43,K43,O43,P43,Q43,R43,S43,T43,U43,V43),"-")</f>
      </c>
      <c r="X43" s="2"/>
    </row>
    <row r="44" spans="2:24" ht="13.8" x14ac:dyDescent="0.2">
      <c r="B44" s="8">
        <v>41</v>
      </c>
      <c r="C44" s="10"/>
      <c r="D44" s="13"/>
      <c r="E44" s="11">
        <f t="shared" si="2"/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</c>
      <c r="L44" s="7">
        <v>0</v>
      </c>
      <c r="M44" s="11">
        <f t="shared" si="4"/>
      </c>
      <c r="N44" s="11">
        <f t="shared" si="5"/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>
        <f>IFERROR(CalcRC27(F44,G44,K44,O44,P44,Q44,R44,S44,T44,U44,V44),"-")</f>
      </c>
      <c r="X44" s="2"/>
    </row>
    <row r="45" spans="2:24" ht="13.8" x14ac:dyDescent="0.2">
      <c r="B45" s="8">
        <v>42</v>
      </c>
      <c r="C45" s="10"/>
      <c r="D45" s="13"/>
      <c r="E45" s="11">
        <f t="shared" si="2"/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</c>
      <c r="L45" s="7">
        <v>0</v>
      </c>
      <c r="M45" s="11">
        <f t="shared" si="4"/>
      </c>
      <c r="N45" s="11">
        <f t="shared" si="5"/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>
        <f>IFERROR(CalcRC27(F45,G45,K45,O45,P45,Q45,R45,S45,T45,U45,V45),"-")</f>
      </c>
      <c r="X45" s="2"/>
    </row>
    <row r="46" spans="2:24" ht="13.8" x14ac:dyDescent="0.2">
      <c r="B46" s="8">
        <v>43</v>
      </c>
      <c r="C46" s="10"/>
      <c r="D46" s="13"/>
      <c r="E46" s="11">
        <f t="shared" si="2"/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</c>
      <c r="L46" s="7">
        <v>0</v>
      </c>
      <c r="M46" s="11">
        <f t="shared" si="4"/>
      </c>
      <c r="N46" s="11">
        <f t="shared" si="5"/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>
        <f>IFERROR(CalcRC27(F46,G46,K46,O46,P46,Q46,R46,S46,T46,U46,V46),"-")</f>
      </c>
      <c r="X46" s="2"/>
    </row>
    <row r="47" spans="2:24" ht="13.8" x14ac:dyDescent="0.2">
      <c r="B47" s="8">
        <v>44</v>
      </c>
      <c r="C47" s="10"/>
      <c r="D47" s="13"/>
      <c r="E47" s="11">
        <f t="shared" si="2"/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</c>
      <c r="L47" s="7">
        <v>0</v>
      </c>
      <c r="M47" s="11">
        <f t="shared" si="4"/>
      </c>
      <c r="N47" s="11">
        <f t="shared" si="5"/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</c>
      <c r="X47" s="2"/>
    </row>
    <row r="48" spans="2:24" ht="13.8" x14ac:dyDescent="0.2">
      <c r="B48" s="8">
        <v>45</v>
      </c>
      <c r="C48" s="10"/>
      <c r="D48" s="13"/>
      <c r="E48" s="11">
        <f t="shared" si="2"/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</c>
      <c r="L48" s="7">
        <v>0</v>
      </c>
      <c r="M48" s="11">
        <f t="shared" si="4"/>
      </c>
      <c r="N48" s="11">
        <f t="shared" si="5"/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>
        <f>IFERROR(CalcRC27(F48,G48,K48,O48,P48,Q48,R48,S48,T48,U48,V48),"-")</f>
      </c>
      <c r="X48" s="2"/>
    </row>
    <row r="49" spans="2:24" ht="13.8" x14ac:dyDescent="0.2">
      <c r="B49" s="8">
        <v>46</v>
      </c>
      <c r="C49" s="10"/>
      <c r="D49" s="13"/>
      <c r="E49" s="11">
        <f t="shared" si="2"/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</c>
      <c r="L49" s="7">
        <v>0</v>
      </c>
      <c r="M49" s="11">
        <f t="shared" si="4"/>
      </c>
      <c r="N49" s="11">
        <f t="shared" si="5"/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</c>
      <c r="X49" s="2"/>
    </row>
    <row r="50" spans="2:24" ht="13.8" x14ac:dyDescent="0.2">
      <c r="B50" s="8">
        <v>47</v>
      </c>
      <c r="C50" s="10"/>
      <c r="D50" s="13"/>
      <c r="E50" s="11">
        <f t="shared" si="2"/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</c>
      <c r="L50" s="7">
        <v>0</v>
      </c>
      <c r="M50" s="11">
        <f t="shared" si="4"/>
      </c>
      <c r="N50" s="11">
        <f t="shared" si="5"/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>
        <f>IFERROR(CalcRC27(F50,G50,K50,O50,P50,Q50,R50,S50,T50,U50,V50),"-")</f>
      </c>
      <c r="X50" s="2"/>
    </row>
    <row r="51" spans="2:24" ht="13.8" x14ac:dyDescent="0.2">
      <c r="B51" s="8">
        <v>48</v>
      </c>
      <c r="C51" s="10"/>
      <c r="D51" s="13"/>
      <c r="E51" s="11">
        <f t="shared" si="2"/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</c>
      <c r="L51" s="7">
        <v>0</v>
      </c>
      <c r="M51" s="11">
        <f t="shared" si="4"/>
      </c>
      <c r="N51" s="11">
        <f t="shared" si="5"/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</c>
      <c r="X51" s="2"/>
    </row>
    <row r="52" spans="2:24" ht="13.8" x14ac:dyDescent="0.2">
      <c r="B52" s="8">
        <v>49</v>
      </c>
      <c r="C52" s="10"/>
      <c r="D52" s="13"/>
      <c r="E52" s="11">
        <f t="shared" si="2"/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</c>
      <c r="L52" s="7">
        <v>0</v>
      </c>
      <c r="M52" s="11">
        <f t="shared" si="4"/>
      </c>
      <c r="N52" s="11">
        <f t="shared" si="5"/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>
        <f>IFERROR(CalcRC27(F52,G52,K52,O52,P52,Q52,R52,S52,T52,U52,V52),"-")</f>
      </c>
      <c r="X52" s="2"/>
    </row>
    <row r="53" spans="2:24" ht="13.8" x14ac:dyDescent="0.2">
      <c r="B53" s="8">
        <v>50</v>
      </c>
      <c r="C53" s="10"/>
      <c r="D53" s="13"/>
      <c r="E53" s="11">
        <f t="shared" si="2"/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</c>
      <c r="L53" s="7">
        <v>0</v>
      </c>
      <c r="M53" s="11">
        <f t="shared" si="4"/>
      </c>
      <c r="N53" s="11">
        <f t="shared" si="5"/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>
        <f>IFERROR(CalcRC27(F53,G53,K53,O53,P53,Q53,R53,S53,T53,U53,V53),"-")</f>
      </c>
      <c r="X53" s="2"/>
    </row>
    <row r="54" spans="2:24" ht="13.8" x14ac:dyDescent="0.2">
      <c r="B54" s="8">
        <v>51</v>
      </c>
      <c r="C54" s="10"/>
      <c r="D54" s="13"/>
      <c r="E54" s="11">
        <f t="shared" si="2"/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</c>
      <c r="L54" s="7">
        <v>0</v>
      </c>
      <c r="M54" s="11">
        <f t="shared" si="4"/>
      </c>
      <c r="N54" s="11">
        <f t="shared" si="5"/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</c>
      <c r="X54" s="2"/>
    </row>
    <row r="55" spans="2:24" ht="13.8" x14ac:dyDescent="0.2">
      <c r="B55" s="8">
        <v>52</v>
      </c>
      <c r="C55" s="10"/>
      <c r="D55" s="13"/>
      <c r="E55" s="11">
        <f t="shared" si="2"/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</c>
      <c r="L55" s="7">
        <v>0</v>
      </c>
      <c r="M55" s="11">
        <f t="shared" si="4"/>
      </c>
      <c r="N55" s="11">
        <f t="shared" si="5"/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>
        <f>IFERROR(CalcRC27(F55,G55,K55,O55,P55,Q55,R55,S55,T55,U55,V55),"-")</f>
      </c>
      <c r="X55" s="2"/>
    </row>
    <row r="56" spans="2:24" ht="13.8" x14ac:dyDescent="0.2">
      <c r="B56" s="8">
        <v>53</v>
      </c>
      <c r="C56" s="10"/>
      <c r="D56" s="13"/>
      <c r="E56" s="11">
        <f t="shared" si="2"/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</c>
      <c r="L56" s="7">
        <v>0</v>
      </c>
      <c r="M56" s="11">
        <f t="shared" si="4"/>
      </c>
      <c r="N56" s="11">
        <f t="shared" si="5"/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>
        <f>IFERROR(CalcRC27(F56,G56,K56,O56,P56,Q56,R56,S56,T56,U56,V56),"-")</f>
      </c>
      <c r="X56" s="2"/>
    </row>
    <row r="57" spans="2:24" ht="13.8" x14ac:dyDescent="0.2">
      <c r="B57" s="8">
        <v>54</v>
      </c>
      <c r="C57" s="10"/>
      <c r="D57" s="13"/>
      <c r="E57" s="11">
        <f t="shared" si="2"/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</c>
      <c r="L57" s="7">
        <v>0</v>
      </c>
      <c r="M57" s="11">
        <f t="shared" si="4"/>
      </c>
      <c r="N57" s="11">
        <f t="shared" si="5"/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>
        <f>IFERROR(CalcRC27(F57,G57,K57,O57,P57,Q57,R57,S57,T57,U57,V57),"-")</f>
      </c>
      <c r="X57" s="2"/>
    </row>
    <row r="58" spans="2:24" ht="13.8" x14ac:dyDescent="0.2">
      <c r="B58" s="8">
        <v>55</v>
      </c>
      <c r="C58" s="10"/>
      <c r="D58" s="13"/>
      <c r="E58" s="11">
        <f t="shared" si="2"/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</c>
      <c r="L58" s="7">
        <v>0</v>
      </c>
      <c r="M58" s="11">
        <f t="shared" si="4"/>
      </c>
      <c r="N58" s="11">
        <f t="shared" si="5"/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>
        <f>IFERROR(CalcRC27(F58,G58,K58,O58,P58,Q58,R58,S58,T58,U58,V58),"-")</f>
      </c>
      <c r="X58" s="2"/>
    </row>
    <row r="59" spans="2:24" ht="13.8" x14ac:dyDescent="0.2">
      <c r="B59" s="8">
        <v>56</v>
      </c>
      <c r="C59" s="10"/>
      <c r="D59" s="13"/>
      <c r="E59" s="11">
        <f t="shared" si="2"/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</c>
      <c r="L59" s="7">
        <v>0</v>
      </c>
      <c r="M59" s="11">
        <f t="shared" si="4"/>
      </c>
      <c r="N59" s="11">
        <f t="shared" si="5"/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>
        <f>IFERROR(CalcRC27(F59,G59,K59,O59,P59,Q59,R59,S59,T59,U59,V59),"-")</f>
      </c>
      <c r="X59" s="2"/>
    </row>
    <row r="60" spans="2:24" ht="13.8" x14ac:dyDescent="0.2">
      <c r="B60" s="8">
        <v>57</v>
      </c>
      <c r="C60" s="10"/>
      <c r="D60" s="13"/>
      <c r="E60" s="11">
        <f t="shared" si="2"/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</c>
      <c r="L60" s="7">
        <v>0</v>
      </c>
      <c r="M60" s="11">
        <f t="shared" si="4"/>
      </c>
      <c r="N60" s="11">
        <f t="shared" si="5"/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>
        <f>IFERROR(CalcRC27(F60,G60,K60,O60,P60,Q60,R60,S60,T60,U60,V60),"-")</f>
      </c>
      <c r="X60" s="2"/>
    </row>
    <row r="61" spans="2:24" ht="13.8" x14ac:dyDescent="0.2">
      <c r="B61" s="8">
        <v>58</v>
      </c>
      <c r="C61" s="10"/>
      <c r="D61" s="13"/>
      <c r="E61" s="11">
        <f t="shared" si="2"/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</c>
      <c r="L61" s="7">
        <v>0</v>
      </c>
      <c r="M61" s="11">
        <f t="shared" si="4"/>
      </c>
      <c r="N61" s="11">
        <f t="shared" si="5"/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>
        <f>IFERROR(CalcRC27(F61,G61,K61,O61,P61,Q61,R61,S61,T61,U61,V61),"-")</f>
      </c>
      <c r="X61" s="2"/>
    </row>
    <row r="62" spans="2:24" ht="13.8" x14ac:dyDescent="0.2">
      <c r="B62" s="8">
        <v>59</v>
      </c>
      <c r="C62" s="10"/>
      <c r="D62" s="13"/>
      <c r="E62" s="11">
        <f t="shared" si="2"/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</c>
      <c r="L62" s="7">
        <v>0</v>
      </c>
      <c r="M62" s="11">
        <f t="shared" si="4"/>
      </c>
      <c r="N62" s="11">
        <f t="shared" si="5"/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>
        <f>IFERROR(CalcRC27(F62,G62,K62,O62,P62,Q62,R62,S62,T62,U62,V62),"-")</f>
      </c>
      <c r="X62" s="2"/>
    </row>
    <row r="63" spans="2:24" ht="13.8" x14ac:dyDescent="0.2">
      <c r="B63" s="8">
        <v>60</v>
      </c>
      <c r="C63" s="10"/>
      <c r="D63" s="13"/>
      <c r="E63" s="11">
        <f t="shared" si="2"/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</c>
      <c r="L63" s="7">
        <v>0</v>
      </c>
      <c r="M63" s="11">
        <f t="shared" si="4"/>
      </c>
      <c r="N63" s="11">
        <f t="shared" si="5"/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>
        <f>IFERROR(CalcRC27(F63,G63,K63,O63,P63,Q63,R63,S63,T63,U63,V63),"-")</f>
      </c>
      <c r="X63" s="2"/>
    </row>
    <row r="64" spans="2:24" ht="13.8" x14ac:dyDescent="0.2">
      <c r="B64" s="8">
        <v>61</v>
      </c>
      <c r="C64" s="10"/>
      <c r="D64" s="13"/>
      <c r="E64" s="11">
        <f t="shared" si="2"/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</c>
      <c r="L64" s="7">
        <v>0</v>
      </c>
      <c r="M64" s="11">
        <f t="shared" si="4"/>
      </c>
      <c r="N64" s="11">
        <f t="shared" si="5"/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>
        <f>IFERROR(CalcRC27(F64,G64,K64,O64,P64,Q64,R64,S64,T64,U64,V64),"-")</f>
      </c>
      <c r="X64" s="2"/>
    </row>
    <row r="65" spans="2:24" ht="13.8" x14ac:dyDescent="0.2">
      <c r="B65" s="8">
        <v>62</v>
      </c>
      <c r="C65" s="10"/>
      <c r="D65" s="13"/>
      <c r="E65" s="11">
        <f t="shared" si="2"/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</c>
      <c r="L65" s="7">
        <v>0</v>
      </c>
      <c r="M65" s="11">
        <f t="shared" si="4"/>
      </c>
      <c r="N65" s="11">
        <f t="shared" si="5"/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>
        <f>IFERROR(CalcRC27(F65,G65,K65,O65,P65,Q65,R65,S65,T65,U65,V65),"-")</f>
      </c>
      <c r="X65" s="2"/>
    </row>
    <row r="66" spans="2:24" ht="13.8" x14ac:dyDescent="0.2">
      <c r="B66" s="8">
        <v>63</v>
      </c>
      <c r="C66" s="10"/>
      <c r="D66" s="13"/>
      <c r="E66" s="11">
        <f t="shared" si="2"/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</c>
      <c r="L66" s="7">
        <v>0</v>
      </c>
      <c r="M66" s="11">
        <f t="shared" si="4"/>
      </c>
      <c r="N66" s="11">
        <f t="shared" si="5"/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>
        <f>IFERROR(CalcRC27(F66,G66,K66,O66,P66,Q66,R66,S66,T66,U66,V66),"-")</f>
      </c>
      <c r="X66" s="2"/>
    </row>
    <row r="67" spans="2:24" ht="13.8" x14ac:dyDescent="0.2">
      <c r="B67" s="8">
        <v>64</v>
      </c>
      <c r="C67" s="10"/>
      <c r="D67" s="13"/>
      <c r="E67" s="11">
        <f t="shared" si="2"/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</c>
      <c r="L67" s="7">
        <v>0</v>
      </c>
      <c r="M67" s="11">
        <f t="shared" si="4"/>
      </c>
      <c r="N67" s="11">
        <f t="shared" si="5"/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>
        <f>IFERROR(CalcRC27(F67,G67,K67,O67,P67,Q67,R67,S67,T67,U67,V67),"-")</f>
      </c>
      <c r="X67" s="2"/>
    </row>
    <row r="68" spans="2:24" ht="13.8" x14ac:dyDescent="0.2">
      <c r="B68" s="8">
        <v>65</v>
      </c>
      <c r="C68" s="10"/>
      <c r="D68" s="9"/>
      <c r="E68" s="11">
        <f t="shared" si="2"/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6">((G68-H68-I68-J68)+(H68*2)+(I68*3)+(J68*4))</f>
      </c>
      <c r="L68" s="7">
        <v>0</v>
      </c>
      <c r="M68" s="11">
        <f t="shared" ref="M68:M131" si="7">IFERROR(IF((G68+P68+Q68)/(F68+P68+Q68+S68)=1,"1.00",(G68+P68+Q68)/(F68+P68+Q68+S68)),0)</f>
      </c>
      <c r="N68" s="11">
        <f t="shared" ref="N68:N131" si="8">IFERROR(SUM(K68/F68,((G68+P68+Q68)/(F68+P68+Q68+S68))),M68)</f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>
        <f>IFERROR(CalcRC27(F68,G68,K68,O68,P68,Q68,R68,S68,T68,U68,V68),"-")</f>
      </c>
      <c r="X68" s="2"/>
    </row>
    <row r="69" spans="2:24" ht="13.8" x14ac:dyDescent="0.2">
      <c r="B69" s="8">
        <v>66</v>
      </c>
      <c r="C69" s="10"/>
      <c r="D69" s="13"/>
      <c r="E69" s="11">
        <f t="shared" ref="E69:E132" si="9">IFERROR(IF(G69/F69=1,"1.00",G69/F69),"---")</f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6"/>
      </c>
      <c r="L69" s="7">
        <v>0</v>
      </c>
      <c r="M69" s="11">
        <f t="shared" si="7"/>
      </c>
      <c r="N69" s="11">
        <f t="shared" si="8"/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>
        <f>IFERROR(CalcRC27(F69,G69,K69,O69,P69,Q69,R69,S69,T69,U69,V69),"-")</f>
      </c>
      <c r="X69" s="2"/>
    </row>
    <row r="70" spans="2:24" ht="13.8" x14ac:dyDescent="0.2">
      <c r="B70" s="8">
        <v>67</v>
      </c>
      <c r="C70" s="10"/>
      <c r="D70" s="9"/>
      <c r="E70" s="11">
        <f t="shared" si="9"/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6"/>
      </c>
      <c r="L70" s="7">
        <v>0</v>
      </c>
      <c r="M70" s="11">
        <f t="shared" si="7"/>
      </c>
      <c r="N70" s="11">
        <f t="shared" si="8"/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>
        <f>IFERROR(CalcRC27(F70,G70,K70,O70,P70,Q70,R70,S70,T70,U70,V70),"-")</f>
      </c>
      <c r="X70" s="2"/>
    </row>
    <row r="71" spans="2:24" ht="13.8" x14ac:dyDescent="0.2">
      <c r="B71" s="8">
        <v>68</v>
      </c>
      <c r="C71" s="10"/>
      <c r="D71" s="13"/>
      <c r="E71" s="11">
        <f t="shared" si="9"/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6"/>
      </c>
      <c r="L71" s="7">
        <v>0</v>
      </c>
      <c r="M71" s="11">
        <f t="shared" si="7"/>
      </c>
      <c r="N71" s="11">
        <f t="shared" si="8"/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>
        <f>IFERROR(CalcRC27(F71,G71,K71,O71,P71,Q71,R71,S71,T71,U71,V71),"-")</f>
      </c>
      <c r="X71" s="2"/>
    </row>
    <row r="72" spans="2:24" ht="13.8" x14ac:dyDescent="0.2">
      <c r="B72" s="8">
        <v>69</v>
      </c>
      <c r="C72" s="10"/>
      <c r="D72" s="13"/>
      <c r="E72" s="11">
        <f t="shared" si="9"/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6"/>
      </c>
      <c r="L72" s="7">
        <v>0</v>
      </c>
      <c r="M72" s="11">
        <f t="shared" si="7"/>
      </c>
      <c r="N72" s="11">
        <f t="shared" si="8"/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>
        <f>IFERROR(CalcRC27(F72,G72,K72,O72,P72,Q72,R72,S72,T72,U72,V72),"-")</f>
      </c>
      <c r="X72" s="2"/>
    </row>
    <row r="73" spans="2:24" ht="13.8" x14ac:dyDescent="0.2">
      <c r="B73" s="8">
        <v>70</v>
      </c>
      <c r="C73" s="10"/>
      <c r="D73" s="13"/>
      <c r="E73" s="11">
        <f t="shared" si="9"/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6"/>
      </c>
      <c r="L73" s="7">
        <v>0</v>
      </c>
      <c r="M73" s="11">
        <f t="shared" si="7"/>
      </c>
      <c r="N73" s="11">
        <f t="shared" si="8"/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>
        <f>IFERROR(CalcRC27(F73,G73,K73,O73,P73,Q73,R73,S73,T73,U73,V73),"-")</f>
      </c>
      <c r="X73" s="2"/>
    </row>
    <row r="74" spans="2:24" ht="13.8" x14ac:dyDescent="0.2">
      <c r="B74" s="8">
        <v>71</v>
      </c>
      <c r="C74" s="10"/>
      <c r="D74" s="13"/>
      <c r="E74" s="11">
        <f t="shared" si="9"/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6"/>
      </c>
      <c r="L74" s="7">
        <v>0</v>
      </c>
      <c r="M74" s="11">
        <f t="shared" si="7"/>
      </c>
      <c r="N74" s="11">
        <f t="shared" si="8"/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>
        <f>IFERROR(CalcRC27(F74,G74,K74,O74,P74,Q74,R74,S74,T74,U74,V74),"-")</f>
      </c>
      <c r="X74" s="2"/>
    </row>
    <row r="75" spans="2:24" ht="13.8" x14ac:dyDescent="0.2">
      <c r="B75" s="8">
        <v>72</v>
      </c>
      <c r="C75" s="10"/>
      <c r="D75" s="8"/>
      <c r="E75" s="11">
        <f t="shared" si="9"/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6"/>
      </c>
      <c r="L75" s="7">
        <v>0</v>
      </c>
      <c r="M75" s="11">
        <f t="shared" si="7"/>
      </c>
      <c r="N75" s="11">
        <f t="shared" si="8"/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>
        <f>IFERROR(CalcRC27(F75,G75,K75,O75,P75,Q75,R75,S75,T75,U75,V75),"-")</f>
      </c>
      <c r="X75" s="2"/>
    </row>
    <row r="76" spans="2:24" ht="13.8" x14ac:dyDescent="0.2">
      <c r="B76" s="8">
        <v>73</v>
      </c>
      <c r="C76" s="10"/>
      <c r="D76" s="8"/>
      <c r="E76" s="11">
        <f t="shared" si="9"/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6"/>
      </c>
      <c r="L76" s="7">
        <v>0</v>
      </c>
      <c r="M76" s="11">
        <f t="shared" si="7"/>
      </c>
      <c r="N76" s="11">
        <f t="shared" si="8"/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>
        <f>IFERROR(CalcRC27(F76,G76,K76,O76,P76,Q76,R76,S76,T76,U76,V76),"-")</f>
      </c>
      <c r="X76" s="2"/>
    </row>
    <row r="77" spans="2:24" ht="13.8" x14ac:dyDescent="0.2">
      <c r="B77" s="8">
        <v>74</v>
      </c>
      <c r="C77" s="10"/>
      <c r="D77" s="8"/>
      <c r="E77" s="11">
        <f t="shared" si="9"/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6"/>
      </c>
      <c r="L77" s="7">
        <v>0</v>
      </c>
      <c r="M77" s="11">
        <f t="shared" si="7"/>
      </c>
      <c r="N77" s="11">
        <f t="shared" si="8"/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>
        <f>IFERROR(CalcRC27(F77,G77,K77,O77,P77,Q77,R77,S77,T77,U77,V77),"-")</f>
      </c>
      <c r="X77" s="2"/>
    </row>
    <row r="78" spans="2:24" ht="13.8" x14ac:dyDescent="0.2">
      <c r="B78" s="8">
        <v>75</v>
      </c>
      <c r="C78" s="10"/>
      <c r="D78" s="8"/>
      <c r="E78" s="11">
        <f t="shared" si="9"/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6"/>
      </c>
      <c r="L78" s="7">
        <v>0</v>
      </c>
      <c r="M78" s="11">
        <f t="shared" si="7"/>
      </c>
      <c r="N78" s="11">
        <f t="shared" si="8"/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>
        <f>IFERROR(CalcRC27(F78,G78,K78,O78,P78,Q78,R78,S78,T78,U78,V78),"-")</f>
      </c>
      <c r="X78" s="2"/>
    </row>
    <row r="79" spans="2:24" ht="13.8" x14ac:dyDescent="0.2">
      <c r="B79" s="8">
        <v>76</v>
      </c>
      <c r="C79" s="10"/>
      <c r="D79" s="8"/>
      <c r="E79" s="11">
        <f t="shared" si="9"/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6"/>
      </c>
      <c r="L79" s="7">
        <v>0</v>
      </c>
      <c r="M79" s="11">
        <f t="shared" si="7"/>
      </c>
      <c r="N79" s="11">
        <f t="shared" si="8"/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>
        <f>IFERROR(CalcRC27(F79,G79,K79,O79,P79,Q79,R79,S79,T79,U79,V79),"-")</f>
      </c>
      <c r="X79" s="2"/>
    </row>
    <row r="80" spans="2:24" ht="13.8" x14ac:dyDescent="0.2">
      <c r="B80" s="8">
        <v>77</v>
      </c>
      <c r="C80" s="10"/>
      <c r="D80" s="8"/>
      <c r="E80" s="11">
        <f t="shared" si="9"/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6"/>
      </c>
      <c r="L80" s="7">
        <v>0</v>
      </c>
      <c r="M80" s="11">
        <f t="shared" si="7"/>
      </c>
      <c r="N80" s="11">
        <f t="shared" si="8"/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>
        <f>IFERROR(CalcRC27(F80,G80,K80,O80,P80,Q80,R80,S80,T80,U80,V80),"-")</f>
      </c>
      <c r="X80" s="2"/>
    </row>
    <row r="81" spans="2:24" ht="13.8" x14ac:dyDescent="0.2">
      <c r="B81" s="8">
        <v>78</v>
      </c>
      <c r="C81" s="10"/>
      <c r="D81" s="8"/>
      <c r="E81" s="11">
        <f t="shared" si="9"/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6"/>
      </c>
      <c r="L81" s="7">
        <v>0</v>
      </c>
      <c r="M81" s="11">
        <f t="shared" si="7"/>
      </c>
      <c r="N81" s="11">
        <f t="shared" si="8"/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>
        <f>IFERROR(CalcRC27(F81,G81,K81,O81,P81,Q81,R81,S81,T81,U81,V81),"-")</f>
      </c>
      <c r="X81" s="2"/>
    </row>
    <row r="82" spans="2:24" ht="13.8" x14ac:dyDescent="0.2">
      <c r="B82" s="8">
        <v>79</v>
      </c>
      <c r="C82" s="10"/>
      <c r="D82" s="13"/>
      <c r="E82" s="11">
        <f t="shared" si="9"/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6"/>
      </c>
      <c r="L82" s="7">
        <v>0</v>
      </c>
      <c r="M82" s="11">
        <f t="shared" si="7"/>
      </c>
      <c r="N82" s="11">
        <f t="shared" si="8"/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>
        <f>IFERROR(CalcRC27(F82,G82,K82,O82,P82,Q82,R82,S82,T82,U82,V82),"-")</f>
      </c>
      <c r="X82" s="2"/>
    </row>
    <row r="83" spans="2:24" ht="13.8" x14ac:dyDescent="0.2">
      <c r="B83" s="8">
        <v>80</v>
      </c>
      <c r="C83" s="10"/>
      <c r="D83" s="8"/>
      <c r="E83" s="11">
        <f t="shared" si="9"/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6"/>
      </c>
      <c r="L83" s="7">
        <v>0</v>
      </c>
      <c r="M83" s="11">
        <f t="shared" si="7"/>
      </c>
      <c r="N83" s="11">
        <f t="shared" si="8"/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>
        <f>IFERROR(CalcRC27(F83,G83,K83,O83,P83,Q83,R83,S83,T83,U83,V83),"-")</f>
      </c>
      <c r="X83" s="2"/>
    </row>
    <row r="84" spans="2:24" ht="13.8" x14ac:dyDescent="0.2">
      <c r="B84" s="8">
        <v>81</v>
      </c>
      <c r="C84" s="10"/>
      <c r="D84" s="9"/>
      <c r="E84" s="11">
        <f t="shared" si="9"/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6"/>
      </c>
      <c r="L84" s="7">
        <v>0</v>
      </c>
      <c r="M84" s="11">
        <f t="shared" si="7"/>
      </c>
      <c r="N84" s="11">
        <f t="shared" si="8"/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>
        <f>IFERROR(CalcRC27(F84,G84,K84,O84,P84,Q84,R84,S84,T84,U84,V84),"-")</f>
      </c>
      <c r="X84" s="2"/>
    </row>
    <row r="85" spans="2:24" ht="13.8" x14ac:dyDescent="0.2">
      <c r="B85" s="8">
        <v>82</v>
      </c>
      <c r="C85" s="10"/>
      <c r="D85" s="8"/>
      <c r="E85" s="11">
        <f t="shared" si="9"/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6"/>
      </c>
      <c r="L85" s="7">
        <v>0</v>
      </c>
      <c r="M85" s="11">
        <f t="shared" si="7"/>
      </c>
      <c r="N85" s="11">
        <f t="shared" si="8"/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>
        <f>IFERROR(CalcRC27(F85,G85,K85,O85,P85,Q85,R85,S85,T85,U85,V85),"-")</f>
      </c>
      <c r="X85" s="2"/>
    </row>
    <row r="86" spans="2:24" ht="13.8" x14ac:dyDescent="0.2">
      <c r="B86" s="8">
        <v>83</v>
      </c>
      <c r="C86" s="10"/>
      <c r="D86" s="8"/>
      <c r="E86" s="11">
        <f t="shared" si="9"/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6"/>
      </c>
      <c r="L86" s="7">
        <v>0</v>
      </c>
      <c r="M86" s="11">
        <f t="shared" si="7"/>
      </c>
      <c r="N86" s="11">
        <f t="shared" si="8"/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>
        <f>IFERROR(CalcRC27(F86,G86,K86,O86,P86,Q86,R86,S86,T86,U86,V86),"-")</f>
      </c>
      <c r="X86" s="2"/>
    </row>
    <row r="87" spans="2:24" ht="13.8" x14ac:dyDescent="0.2">
      <c r="B87" s="8">
        <v>84</v>
      </c>
      <c r="C87" s="10"/>
      <c r="D87" s="8"/>
      <c r="E87" s="11">
        <f t="shared" si="9"/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6"/>
      </c>
      <c r="L87" s="7">
        <v>0</v>
      </c>
      <c r="M87" s="11">
        <f t="shared" si="7"/>
      </c>
      <c r="N87" s="11">
        <f t="shared" si="8"/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>
        <f>IFERROR(CalcRC27(F87,G87,K87,O87,P87,Q87,R87,S87,T87,U87,V87),"-")</f>
      </c>
      <c r="X87" s="2"/>
    </row>
    <row r="88" spans="2:24" ht="13.8" x14ac:dyDescent="0.2">
      <c r="B88" s="8">
        <v>85</v>
      </c>
      <c r="C88" s="10"/>
      <c r="D88" s="8"/>
      <c r="E88" s="11">
        <f t="shared" si="9"/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6"/>
      </c>
      <c r="L88" s="7">
        <v>0</v>
      </c>
      <c r="M88" s="11">
        <f t="shared" si="7"/>
      </c>
      <c r="N88" s="11">
        <f t="shared" si="8"/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>
        <f>IFERROR(CalcRC27(F88,G88,K88,O88,P88,Q88,R88,S88,T88,U88,V88),"-")</f>
      </c>
      <c r="X88" s="2"/>
    </row>
    <row r="89" spans="2:24" ht="13.8" x14ac:dyDescent="0.2">
      <c r="B89" s="8">
        <v>86</v>
      </c>
      <c r="C89" s="10"/>
      <c r="D89" s="8"/>
      <c r="E89" s="11">
        <f t="shared" si="9"/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6"/>
      </c>
      <c r="L89" s="7">
        <v>0</v>
      </c>
      <c r="M89" s="11">
        <f t="shared" si="7"/>
      </c>
      <c r="N89" s="11">
        <f t="shared" si="8"/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>
        <f>IFERROR(CalcRC27(F89,G89,K89,O89,P89,Q89,R89,S89,T89,U89,V89),"-")</f>
      </c>
      <c r="X89" s="2"/>
    </row>
    <row r="90" spans="2:24" ht="13.8" x14ac:dyDescent="0.2">
      <c r="B90" s="8">
        <v>87</v>
      </c>
      <c r="C90" s="10"/>
      <c r="D90" s="8"/>
      <c r="E90" s="11">
        <f t="shared" si="9"/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6"/>
      </c>
      <c r="L90" s="7">
        <v>0</v>
      </c>
      <c r="M90" s="11">
        <f t="shared" si="7"/>
      </c>
      <c r="N90" s="11">
        <f t="shared" si="8"/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>
        <f>IFERROR(CalcRC27(F90,G90,K90,O90,P90,Q90,R90,S90,T90,U90,V90),"-")</f>
      </c>
      <c r="X90" s="2"/>
    </row>
    <row r="91" spans="2:24" ht="13.8" x14ac:dyDescent="0.2">
      <c r="B91" s="8">
        <v>88</v>
      </c>
      <c r="C91" s="10"/>
      <c r="D91" s="8"/>
      <c r="E91" s="11">
        <f t="shared" si="9"/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6"/>
      </c>
      <c r="L91" s="7">
        <v>0</v>
      </c>
      <c r="M91" s="11">
        <f t="shared" si="7"/>
      </c>
      <c r="N91" s="11">
        <f t="shared" si="8"/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>
        <f>IFERROR(CalcRC27(F91,G91,K91,O91,P91,Q91,R91,S91,T91,U91,V91),"-")</f>
      </c>
      <c r="X91" s="2"/>
    </row>
    <row r="92" spans="2:24" ht="13.8" x14ac:dyDescent="0.2">
      <c r="B92" s="8">
        <v>89</v>
      </c>
      <c r="C92" s="10"/>
      <c r="D92" s="8"/>
      <c r="E92" s="11">
        <f t="shared" si="9"/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6"/>
      </c>
      <c r="L92" s="7">
        <v>0</v>
      </c>
      <c r="M92" s="11">
        <f t="shared" si="7"/>
      </c>
      <c r="N92" s="11">
        <f t="shared" si="8"/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>
        <f>IFERROR(CalcRC27(F92,G92,K92,O92,P92,Q92,R92,S92,T92,U92,V92),"-")</f>
      </c>
      <c r="X92" s="2"/>
    </row>
    <row r="93" spans="2:24" ht="13.8" x14ac:dyDescent="0.2">
      <c r="B93" s="8">
        <v>90</v>
      </c>
      <c r="C93" s="10"/>
      <c r="D93" s="8"/>
      <c r="E93" s="11">
        <f t="shared" si="9"/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6"/>
      </c>
      <c r="L93" s="7">
        <v>0</v>
      </c>
      <c r="M93" s="11">
        <f t="shared" si="7"/>
      </c>
      <c r="N93" s="11">
        <f t="shared" si="8"/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>
        <f>IFERROR(CalcRC27(F93,G93,K93,O93,P93,Q93,R93,S93,T93,U93,V93),"-")</f>
      </c>
      <c r="X93" s="2"/>
    </row>
    <row r="94" spans="2:24" ht="13.8" x14ac:dyDescent="0.2">
      <c r="B94" s="8">
        <v>91</v>
      </c>
      <c r="C94" s="10"/>
      <c r="D94" s="8"/>
      <c r="E94" s="11">
        <f t="shared" si="9"/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6"/>
      </c>
      <c r="L94" s="7">
        <v>0</v>
      </c>
      <c r="M94" s="11">
        <f t="shared" si="7"/>
      </c>
      <c r="N94" s="11">
        <f t="shared" si="8"/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>
        <f>IFERROR(CalcRC27(F94,G94,K94,O94,P94,Q94,R94,S94,T94,U94,V94),"-")</f>
      </c>
      <c r="X94" s="2"/>
    </row>
    <row r="95" spans="2:24" ht="13.8" x14ac:dyDescent="0.2">
      <c r="B95" s="8">
        <v>92</v>
      </c>
      <c r="C95" s="10"/>
      <c r="D95" s="13"/>
      <c r="E95" s="11">
        <f t="shared" si="9"/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6"/>
      </c>
      <c r="L95" s="7">
        <v>0</v>
      </c>
      <c r="M95" s="11">
        <f t="shared" si="7"/>
      </c>
      <c r="N95" s="11">
        <f t="shared" si="8"/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>
        <f>IFERROR(CalcRC27(F95,G95,K95,O95,P95,Q95,R95,S95,T95,U95,V95),"-")</f>
      </c>
      <c r="X95" s="2"/>
    </row>
    <row r="96" spans="2:24" ht="13.8" x14ac:dyDescent="0.2">
      <c r="B96" s="8">
        <v>93</v>
      </c>
      <c r="C96" s="10"/>
      <c r="D96" s="8"/>
      <c r="E96" s="11">
        <f t="shared" si="9"/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6"/>
      </c>
      <c r="L96" s="7">
        <v>0</v>
      </c>
      <c r="M96" s="11">
        <f t="shared" si="7"/>
      </c>
      <c r="N96" s="11">
        <f t="shared" si="8"/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>
        <f>IFERROR(CalcRC27(F96,G96,K96,O96,P96,Q96,R96,S96,T96,U96,V96),"-")</f>
      </c>
      <c r="X96" s="2"/>
    </row>
    <row r="97" spans="2:24" ht="13.8" x14ac:dyDescent="0.2">
      <c r="B97" s="8">
        <v>94</v>
      </c>
      <c r="C97" s="10"/>
      <c r="D97" s="8"/>
      <c r="E97" s="11">
        <f t="shared" si="9"/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6"/>
      </c>
      <c r="L97" s="7">
        <v>0</v>
      </c>
      <c r="M97" s="11">
        <f t="shared" si="7"/>
      </c>
      <c r="N97" s="11">
        <f t="shared" si="8"/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>
        <f>IFERROR(CalcRC27(F97,G97,K97,O97,P97,Q97,R97,S97,T97,U97,V97),"-")</f>
      </c>
      <c r="X97" s="2"/>
    </row>
    <row r="98" spans="2:24" ht="13.8" x14ac:dyDescent="0.2">
      <c r="B98" s="8">
        <v>95</v>
      </c>
      <c r="C98" s="10"/>
      <c r="D98" s="8"/>
      <c r="E98" s="11">
        <f t="shared" si="9"/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6"/>
      </c>
      <c r="L98" s="7">
        <v>0</v>
      </c>
      <c r="M98" s="11">
        <f t="shared" si="7"/>
      </c>
      <c r="N98" s="11">
        <f t="shared" si="8"/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>
        <f>IFERROR(CalcRC27(F98,G98,K98,O98,P98,Q98,R98,S98,T98,U98,V98),"-")</f>
      </c>
      <c r="X98" s="2"/>
    </row>
    <row r="99" spans="2:24" ht="13.8" x14ac:dyDescent="0.2">
      <c r="B99" s="8">
        <v>96</v>
      </c>
      <c r="C99" s="10"/>
      <c r="D99" s="8"/>
      <c r="E99" s="11">
        <f t="shared" si="9"/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6"/>
      </c>
      <c r="L99" s="7">
        <v>0</v>
      </c>
      <c r="M99" s="11">
        <f t="shared" si="7"/>
      </c>
      <c r="N99" s="11">
        <f t="shared" si="8"/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>
        <f>IFERROR(CalcRC27(F99,G99,K99,O99,P99,Q99,R99,S99,T99,U99,V99),"-")</f>
      </c>
      <c r="X99" s="2"/>
    </row>
    <row r="100" spans="2:24" ht="13.8" x14ac:dyDescent="0.2">
      <c r="B100" s="8">
        <v>97</v>
      </c>
      <c r="C100" s="10"/>
      <c r="D100" s="13"/>
      <c r="E100" s="11">
        <f t="shared" si="9"/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6"/>
      </c>
      <c r="L100" s="7">
        <v>0</v>
      </c>
      <c r="M100" s="11">
        <f t="shared" si="7"/>
      </c>
      <c r="N100" s="11">
        <f t="shared" si="8"/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>
        <f>IFERROR(CalcRC27(F100,G100,K100,O100,P100,Q100,R100,S100,T100,U100,V100),"-")</f>
      </c>
      <c r="X100" s="2"/>
    </row>
    <row r="101" spans="2:24" ht="13.8" x14ac:dyDescent="0.2">
      <c r="B101" s="8">
        <v>98</v>
      </c>
      <c r="C101" s="10"/>
      <c r="D101" s="8"/>
      <c r="E101" s="11">
        <f t="shared" si="9"/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6"/>
      </c>
      <c r="L101" s="7">
        <v>0</v>
      </c>
      <c r="M101" s="11">
        <f t="shared" si="7"/>
      </c>
      <c r="N101" s="11">
        <f t="shared" si="8"/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>
        <f>IFERROR(CalcRC27(F101,G101,K101,O101,P101,Q101,R101,S101,T101,U101,V101),"-")</f>
      </c>
      <c r="X101" s="2"/>
    </row>
    <row r="102" spans="2:24" ht="13.8" x14ac:dyDescent="0.2">
      <c r="B102" s="8">
        <v>99</v>
      </c>
      <c r="C102" s="10"/>
      <c r="D102" s="8"/>
      <c r="E102" s="11">
        <f t="shared" si="9"/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6"/>
      </c>
      <c r="L102" s="7">
        <v>0</v>
      </c>
      <c r="M102" s="11">
        <f t="shared" si="7"/>
      </c>
      <c r="N102" s="11">
        <f t="shared" si="8"/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>
        <f>IFERROR(CalcRC27(F102,G102,K102,O102,P102,Q102,R102,S102,T102,U102,V102),"-")</f>
      </c>
      <c r="X102" s="2"/>
    </row>
    <row r="103" spans="2:24" ht="13.8" x14ac:dyDescent="0.2">
      <c r="B103" s="8">
        <f t="shared" ref="B103:B132" si="10">IF(C103="","",C103)</f>
      </c>
      <c r="C103" s="10"/>
      <c r="D103" s="8"/>
      <c r="E103" s="11">
        <f t="shared" si="9"/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6"/>
      </c>
      <c r="L103" s="7">
        <v>0</v>
      </c>
      <c r="M103" s="11">
        <f t="shared" si="7"/>
      </c>
      <c r="N103" s="11">
        <f t="shared" si="8"/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</c>
      <c r="X103" s="2"/>
    </row>
    <row r="104" spans="2:24" ht="13.8" x14ac:dyDescent="0.2">
      <c r="B104" s="8">
        <f t="shared" si="10"/>
      </c>
      <c r="C104" s="10"/>
      <c r="D104" s="9"/>
      <c r="E104" s="11">
        <f t="shared" si="9"/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6"/>
      </c>
      <c r="L104" s="7">
        <v>0</v>
      </c>
      <c r="M104" s="11">
        <f t="shared" si="7"/>
      </c>
      <c r="N104" s="11">
        <f t="shared" si="8"/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</c>
      <c r="X104" s="2"/>
    </row>
    <row r="105" spans="2:24" ht="13.8" x14ac:dyDescent="0.2">
      <c r="B105" s="8"/>
      <c r="C105" s="10"/>
      <c r="D105" s="14"/>
      <c r="E105" s="11">
        <f t="shared" si="9"/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6"/>
      </c>
      <c r="L105" s="7">
        <v>0</v>
      </c>
      <c r="M105" s="11">
        <f t="shared" si="7"/>
      </c>
      <c r="N105" s="11">
        <f t="shared" si="8"/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>
        <f>IFERROR(CalcRC27(F105,G105,K105,O105,P105,Q105,R105,S105,T105,U105,V105),"-")</f>
      </c>
      <c r="X105" s="2"/>
    </row>
    <row r="106" spans="2:24" ht="13.8" x14ac:dyDescent="0.2">
      <c r="B106" s="8"/>
      <c r="C106" s="10"/>
      <c r="D106" s="9"/>
      <c r="E106" s="11">
        <f t="shared" si="9"/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6"/>
      </c>
      <c r="L106" s="7">
        <v>0</v>
      </c>
      <c r="M106" s="11">
        <f t="shared" si="7"/>
      </c>
      <c r="N106" s="11">
        <f t="shared" si="8"/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>
        <f>IFERROR(CalcRC27(F106,G106,K106,O106,P106,Q106,R106,S106,T106,U106,V106),"-")</f>
      </c>
      <c r="X106" s="2"/>
    </row>
    <row r="107" spans="2:24" ht="13.8" x14ac:dyDescent="0.2">
      <c r="B107" s="8"/>
      <c r="C107" s="10"/>
      <c r="D107" s="9"/>
      <c r="E107" s="11">
        <f t="shared" si="9"/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6"/>
      </c>
      <c r="L107" s="7">
        <v>0</v>
      </c>
      <c r="M107" s="11">
        <f t="shared" si="7"/>
      </c>
      <c r="N107" s="11">
        <f t="shared" si="8"/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>
        <f>IFERROR(CalcRC27(F107,G107,K107,O107,P107,Q107,R107,S107,T107,U107,V107),"-")</f>
      </c>
      <c r="X107" s="2"/>
    </row>
    <row r="108" spans="2:24" ht="13.8" x14ac:dyDescent="0.2">
      <c r="B108" s="8"/>
      <c r="C108" s="10"/>
      <c r="D108" s="9"/>
      <c r="E108" s="11">
        <f t="shared" si="9"/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6"/>
      </c>
      <c r="L108" s="7">
        <v>0</v>
      </c>
      <c r="M108" s="11">
        <f t="shared" si="7"/>
      </c>
      <c r="N108" s="11">
        <f t="shared" si="8"/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>
        <f>IFERROR(CalcRC27(F108,G108,K108,O108,P108,Q108,R108,S108,T108,U108,V108),"-")</f>
      </c>
      <c r="X108" s="2"/>
    </row>
    <row r="109" spans="2:24" ht="13.8" x14ac:dyDescent="0.2">
      <c r="B109" s="8"/>
      <c r="C109" s="10"/>
      <c r="D109" s="9"/>
      <c r="E109" s="11">
        <f t="shared" si="9"/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6"/>
      </c>
      <c r="L109" s="7">
        <v>0</v>
      </c>
      <c r="M109" s="11">
        <f t="shared" si="7"/>
      </c>
      <c r="N109" s="11">
        <f t="shared" si="8"/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>
        <f>IFERROR(CalcRC27(F109,G109,K109,O109,P109,Q109,R109,S109,T109,U109,V109),"-")</f>
      </c>
      <c r="X109" s="2"/>
    </row>
    <row r="110" spans="2:24" ht="13.8" x14ac:dyDescent="0.2">
      <c r="B110" s="8"/>
      <c r="C110" s="10"/>
      <c r="D110" s="9"/>
      <c r="E110" s="11">
        <f t="shared" si="9"/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6"/>
      </c>
      <c r="L110" s="7">
        <v>0</v>
      </c>
      <c r="M110" s="11">
        <f t="shared" si="7"/>
      </c>
      <c r="N110" s="11">
        <f t="shared" si="8"/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>
        <f>IFERROR(CalcRC27(F110,G110,K110,O110,P110,Q110,R110,S110,T110,U110,V110),"-")</f>
      </c>
      <c r="X110" s="2"/>
    </row>
    <row r="111" spans="2:24" ht="13.8" x14ac:dyDescent="0.2">
      <c r="B111" s="8"/>
      <c r="C111" s="10"/>
      <c r="D111" s="9"/>
      <c r="E111" s="11">
        <f t="shared" si="9"/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6"/>
      </c>
      <c r="L111" s="7">
        <v>0</v>
      </c>
      <c r="M111" s="11">
        <f t="shared" si="7"/>
      </c>
      <c r="N111" s="11">
        <f t="shared" si="8"/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>
        <f>IFERROR(CalcRC27(F111,G111,K111,O111,P111,Q111,R111,S111,T111,U111,V111),"-")</f>
      </c>
      <c r="X111" s="2"/>
    </row>
    <row r="112" spans="2:24" ht="13.8" x14ac:dyDescent="0.2">
      <c r="B112" s="8"/>
      <c r="C112" s="10"/>
      <c r="D112" s="9"/>
      <c r="E112" s="11">
        <f t="shared" si="9"/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6"/>
      </c>
      <c r="L112" s="7">
        <v>0</v>
      </c>
      <c r="M112" s="11">
        <f t="shared" si="7"/>
      </c>
      <c r="N112" s="11">
        <f t="shared" si="8"/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>
        <f>IFERROR(CalcRC27(F112,G112,K112,O112,P112,Q112,R112,S112,T112,U112,V112),"-")</f>
      </c>
      <c r="X112" s="2"/>
    </row>
    <row r="113" spans="2:24" ht="13.8" x14ac:dyDescent="0.2">
      <c r="B113" s="8"/>
      <c r="C113" s="10"/>
      <c r="D113" s="9"/>
      <c r="E113" s="11">
        <f t="shared" si="9"/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6"/>
      </c>
      <c r="L113" s="7">
        <v>0</v>
      </c>
      <c r="M113" s="11">
        <f t="shared" si="7"/>
      </c>
      <c r="N113" s="11">
        <f t="shared" si="8"/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>
        <f>IFERROR(CalcRC27(F113,G113,K113,O113,P113,Q113,R113,S113,T113,U113,V113),"-")</f>
      </c>
      <c r="X113" s="2"/>
    </row>
    <row r="114" spans="2:24" ht="13.8" x14ac:dyDescent="0.2">
      <c r="B114" s="8"/>
      <c r="C114" s="10"/>
      <c r="D114" s="9"/>
      <c r="E114" s="11">
        <f t="shared" si="9"/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6"/>
      </c>
      <c r="L114" s="7">
        <v>0</v>
      </c>
      <c r="M114" s="11">
        <f t="shared" si="7"/>
      </c>
      <c r="N114" s="11">
        <f t="shared" si="8"/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>
        <f>IFERROR(CalcRC27(F114,G114,K114,O114,P114,Q114,R114,S114,T114,U114,V114),"-")</f>
      </c>
      <c r="X114" s="2"/>
    </row>
    <row r="115" spans="2:24" ht="13.8" x14ac:dyDescent="0.2">
      <c r="B115" s="8"/>
      <c r="C115" s="10"/>
      <c r="D115" s="9"/>
      <c r="E115" s="11">
        <f t="shared" si="9"/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6"/>
      </c>
      <c r="L115" s="7">
        <v>0</v>
      </c>
      <c r="M115" s="11">
        <f t="shared" si="7"/>
      </c>
      <c r="N115" s="11">
        <f t="shared" si="8"/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>
        <f>IFERROR(CalcRC27(F115,G115,K115,O115,P115,Q115,R115,S115,T115,U115,V115),"-")</f>
      </c>
      <c r="X115" s="2"/>
    </row>
    <row r="116" spans="2:24" ht="13.8" x14ac:dyDescent="0.2">
      <c r="B116" s="8"/>
      <c r="C116" s="10"/>
      <c r="D116" s="9"/>
      <c r="E116" s="11">
        <f t="shared" si="9"/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6"/>
      </c>
      <c r="L116" s="7">
        <v>0</v>
      </c>
      <c r="M116" s="11">
        <f t="shared" si="7"/>
      </c>
      <c r="N116" s="11">
        <f t="shared" si="8"/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>
        <f>IFERROR(CalcRC27(F116,G116,K116,O116,P116,Q116,R116,S116,T116,U116,V116),"-")</f>
      </c>
      <c r="X116" s="2"/>
    </row>
    <row r="117" spans="2:24" ht="13.8" x14ac:dyDescent="0.2">
      <c r="B117" s="8"/>
      <c r="C117" s="10"/>
      <c r="D117" s="9"/>
      <c r="E117" s="11">
        <f t="shared" si="9"/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6"/>
      </c>
      <c r="L117" s="7">
        <v>0</v>
      </c>
      <c r="M117" s="11">
        <f t="shared" si="7"/>
      </c>
      <c r="N117" s="11">
        <f t="shared" si="8"/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>
        <f>IFERROR(CalcRC27(F117,G117,K117,O117,P117,Q117,R117,S117,T117,U117,V117),"-")</f>
      </c>
      <c r="X117" s="2"/>
    </row>
    <row r="118" spans="2:24" ht="13.8" x14ac:dyDescent="0.2">
      <c r="B118" s="8"/>
      <c r="C118" s="10"/>
      <c r="D118" s="9"/>
      <c r="E118" s="11">
        <f t="shared" si="9"/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6"/>
      </c>
      <c r="L118" s="7">
        <v>0</v>
      </c>
      <c r="M118" s="11">
        <f t="shared" si="7"/>
      </c>
      <c r="N118" s="11">
        <f t="shared" si="8"/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>
        <f>IFERROR(CalcRC27(F118,G118,K118,O118,P118,Q118,R118,S118,T118,U118,V118),"-")</f>
      </c>
      <c r="X118" s="2"/>
    </row>
    <row r="119" spans="2:24" ht="13.8" x14ac:dyDescent="0.2">
      <c r="B119" s="8"/>
      <c r="C119" s="10"/>
      <c r="D119" s="9"/>
      <c r="E119" s="11">
        <f t="shared" si="9"/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6"/>
      </c>
      <c r="L119" s="7">
        <v>0</v>
      </c>
      <c r="M119" s="11">
        <f t="shared" si="7"/>
      </c>
      <c r="N119" s="11">
        <f t="shared" si="8"/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>
        <f>IFERROR(CalcRC27(F119,G119,K119,O119,P119,Q119,R119,S119,T119,U119,V119),"-")</f>
      </c>
      <c r="X119" s="2"/>
    </row>
    <row r="120" spans="2:24" ht="13.8" x14ac:dyDescent="0.2">
      <c r="B120" s="8"/>
      <c r="C120" s="10"/>
      <c r="D120" s="9"/>
      <c r="E120" s="11">
        <f t="shared" si="9"/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6"/>
      </c>
      <c r="L120" s="7">
        <v>0</v>
      </c>
      <c r="M120" s="11">
        <f t="shared" si="7"/>
      </c>
      <c r="N120" s="11">
        <f t="shared" si="8"/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>
        <f>IFERROR(CalcRC27(F120,G120,K120,O120,P120,Q120,R120,S120,T120,U120,V120),"-")</f>
      </c>
      <c r="X120" s="2"/>
    </row>
    <row r="121" spans="2:24" ht="13.8" x14ac:dyDescent="0.2">
      <c r="B121" s="8">
        <f t="shared" si="10"/>
      </c>
      <c r="C121" s="10"/>
      <c r="D121" s="9"/>
      <c r="E121" s="11">
        <f t="shared" si="9"/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6"/>
      </c>
      <c r="L121" s="7">
        <v>0</v>
      </c>
      <c r="M121" s="11">
        <f t="shared" si="7"/>
      </c>
      <c r="N121" s="11">
        <f t="shared" si="8"/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>
        <f>IFERROR(CalcRC27(F121,G121,K121,O121,P121,Q121,R121,S121,T121,U121,V121),"-")</f>
      </c>
      <c r="X121" s="2"/>
    </row>
    <row r="122" spans="2:24" ht="13.8" x14ac:dyDescent="0.2">
      <c r="B122" s="8">
        <f t="shared" si="10"/>
      </c>
      <c r="C122" s="10"/>
      <c r="D122" s="9"/>
      <c r="E122" s="11">
        <f t="shared" si="9"/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6"/>
      </c>
      <c r="L122" s="7">
        <v>0</v>
      </c>
      <c r="M122" s="11">
        <f t="shared" si="7"/>
      </c>
      <c r="N122" s="11">
        <f t="shared" si="8"/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>
        <f>IFERROR(CalcRC27(F122,G122,K122,O122,P122,Q122,R122,S122,T122,U122,V122),"-")</f>
      </c>
      <c r="X122" s="2"/>
    </row>
    <row r="123" spans="2:24" ht="13.8" x14ac:dyDescent="0.2">
      <c r="B123" s="8">
        <f t="shared" si="10"/>
      </c>
      <c r="C123" s="10"/>
      <c r="D123" s="9"/>
      <c r="E123" s="11">
        <f t="shared" si="9"/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6"/>
      </c>
      <c r="L123" s="7">
        <v>0</v>
      </c>
      <c r="M123" s="11">
        <f t="shared" si="7"/>
      </c>
      <c r="N123" s="11">
        <f t="shared" si="8"/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>
        <f>IFERROR(CalcRC27(F123,G123,K123,O123,P123,Q123,R123,S123,T123,U123,V123),"-")</f>
      </c>
      <c r="X123" s="2"/>
    </row>
    <row r="124" spans="2:24" ht="13.8" x14ac:dyDescent="0.2">
      <c r="B124" s="8">
        <f t="shared" si="10"/>
      </c>
      <c r="C124" s="10"/>
      <c r="D124" s="9"/>
      <c r="E124" s="11">
        <f t="shared" si="9"/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6"/>
      </c>
      <c r="L124" s="7">
        <v>0</v>
      </c>
      <c r="M124" s="11">
        <f t="shared" si="7"/>
      </c>
      <c r="N124" s="11">
        <f t="shared" si="8"/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>
        <f>IFERROR(CalcRC27(F124,G124,K124,O124,P124,Q124,R124,S124,T124,U124,V124),"-")</f>
      </c>
      <c r="X124" s="2"/>
    </row>
    <row r="125" spans="2:24" ht="13.8" x14ac:dyDescent="0.2">
      <c r="B125" s="8">
        <f t="shared" si="10"/>
      </c>
      <c r="C125" s="10"/>
      <c r="D125" s="9"/>
      <c r="E125" s="11">
        <f t="shared" si="9"/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6"/>
      </c>
      <c r="L125" s="7">
        <v>0</v>
      </c>
      <c r="M125" s="11">
        <f t="shared" si="7"/>
      </c>
      <c r="N125" s="11">
        <f t="shared" si="8"/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>
        <f>IFERROR(CalcRC27(F125,G125,K125,O125,P125,Q125,R125,S125,T125,U125,V125),"-")</f>
      </c>
      <c r="X125" s="2"/>
    </row>
    <row r="126" spans="2:24" ht="13.8" x14ac:dyDescent="0.2">
      <c r="B126" s="8">
        <f t="shared" si="10"/>
      </c>
      <c r="C126" s="10"/>
      <c r="D126" s="9"/>
      <c r="E126" s="11">
        <f t="shared" si="9"/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6"/>
      </c>
      <c r="L126" s="7">
        <v>0</v>
      </c>
      <c r="M126" s="11">
        <f t="shared" si="7"/>
      </c>
      <c r="N126" s="11">
        <f t="shared" si="8"/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>
        <f>IFERROR(CalcRC27(F126,G126,K126,O126,P126,Q126,R126,S126,T126,U126,V126),"-")</f>
      </c>
      <c r="X126" s="2"/>
    </row>
    <row r="127" spans="2:24" ht="13.8" x14ac:dyDescent="0.2">
      <c r="B127" s="8">
        <f t="shared" si="10"/>
      </c>
      <c r="C127" s="10"/>
      <c r="D127" s="9"/>
      <c r="E127" s="11">
        <f t="shared" si="9"/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6"/>
      </c>
      <c r="L127" s="7">
        <v>0</v>
      </c>
      <c r="M127" s="11">
        <f t="shared" si="7"/>
      </c>
      <c r="N127" s="11">
        <f t="shared" si="8"/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>
        <f>IFERROR(CalcRC27(F127,G127,K127,O127,P127,Q127,R127,S127,T127,U127,V127),"-")</f>
      </c>
      <c r="X127" s="2"/>
    </row>
    <row r="128" spans="2:24" ht="13.8" x14ac:dyDescent="0.2">
      <c r="B128" s="8">
        <f t="shared" si="10"/>
      </c>
      <c r="C128" s="10"/>
      <c r="D128" s="9"/>
      <c r="E128" s="11">
        <f t="shared" si="9"/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6"/>
      </c>
      <c r="L128" s="7">
        <v>0</v>
      </c>
      <c r="M128" s="11">
        <f t="shared" si="7"/>
      </c>
      <c r="N128" s="11">
        <f t="shared" si="8"/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>
        <f>IFERROR(CalcRC27(F128,G128,K128,O128,P128,Q128,R128,S128,T128,U128,V128),"-")</f>
      </c>
      <c r="X128" s="2"/>
    </row>
    <row r="129" spans="2:24" ht="13.8" x14ac:dyDescent="0.2">
      <c r="B129" s="8">
        <f t="shared" si="10"/>
      </c>
      <c r="C129" s="10"/>
      <c r="D129" s="9"/>
      <c r="E129" s="11">
        <f t="shared" si="9"/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6"/>
      </c>
      <c r="L129" s="7">
        <v>0</v>
      </c>
      <c r="M129" s="11">
        <f t="shared" si="7"/>
      </c>
      <c r="N129" s="11">
        <f t="shared" si="8"/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>
        <f>IFERROR(CalcRC27(F129,G129,K129,O129,P129,Q129,R129,S129,T129,U129,V129),"-")</f>
      </c>
      <c r="X129" s="2"/>
    </row>
    <row r="130" spans="2:24" ht="13.8" x14ac:dyDescent="0.2">
      <c r="B130" s="8">
        <f t="shared" si="10"/>
      </c>
      <c r="C130" s="10"/>
      <c r="D130" s="9"/>
      <c r="E130" s="11">
        <f t="shared" si="9"/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6"/>
      </c>
      <c r="L130" s="7">
        <v>1</v>
      </c>
      <c r="M130" s="11">
        <f t="shared" si="7"/>
      </c>
      <c r="N130" s="11">
        <f t="shared" si="8"/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>
        <f>IFERROR(CalcRC27(F130,G130,K130,O130,P130,Q130,R130,S130,T130,U130,V130),"-")</f>
      </c>
      <c r="X130" s="2"/>
    </row>
    <row r="131" spans="2:24" ht="13.8" x14ac:dyDescent="0.2">
      <c r="B131" s="8">
        <f t="shared" si="10"/>
      </c>
      <c r="C131" s="10"/>
      <c r="D131" s="9"/>
      <c r="E131" s="11">
        <f t="shared" si="9"/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6"/>
      </c>
      <c r="L131" s="7">
        <v>2</v>
      </c>
      <c r="M131" s="11">
        <f t="shared" si="7"/>
      </c>
      <c r="N131" s="11">
        <f t="shared" si="8"/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>
        <f>IFERROR(CalcRC27(F131,G131,K131,O131,P131,Q131,R131,S131,T131,U131,V131),"-")</f>
      </c>
      <c r="X131" s="2"/>
    </row>
    <row r="132" spans="2:24" ht="13.8" x14ac:dyDescent="0.2">
      <c r="B132" s="8">
        <f t="shared" si="10"/>
      </c>
      <c r="C132" s="10"/>
      <c r="D132" s="9"/>
      <c r="E132" s="11">
        <f t="shared" si="9"/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1">((G132-H132-I132-J132)+(H132*2)+(I132*3)+(J132*4))</f>
      </c>
      <c r="L132" s="7">
        <v>3</v>
      </c>
      <c r="M132" s="11">
        <f t="shared" ref="M132:M134" si="12">IFERROR(IF((G132+P132+Q132)/(F132+P132+Q132+S132)=1,"1.00",(G132+P132+Q132)/(F132+P132+Q132+S132)),0)</f>
      </c>
      <c r="N132" s="11">
        <f t="shared" ref="N132:N134" si="13">IFERROR(SUM(K132/F132,((G132+P132+Q132)/(F132+P132+Q132+S132))),M132)</f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>
        <f>IFERROR(CalcRC27(F132,G132,K132,O132,P132,Q132,R132,S132,T132,U132,V132),"-")</f>
      </c>
      <c r="X132" s="2"/>
    </row>
    <row r="133" spans="2:24" ht="13.8" x14ac:dyDescent="0.2">
      <c r="B133" s="8">
        <f t="shared" ref="B133:B134" si="14">IF(C133="","",C133)</f>
      </c>
      <c r="C133" s="10"/>
      <c r="D133" s="9"/>
      <c r="E133" s="11">
        <f t="shared" ref="E133:E134" si="15">IFERROR(IF(G133/F133=1,"1.00",G133/F133),"---")</f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1"/>
      </c>
      <c r="L133" s="7">
        <v>4</v>
      </c>
      <c r="M133" s="11">
        <f t="shared" si="12"/>
      </c>
      <c r="N133" s="11">
        <f t="shared" si="13"/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>
        <f>IFERROR(CalcRC27(F133,G133,K133,O133,P133,Q133,R133,S133,T133,U133,V133),"-")</f>
      </c>
      <c r="X133" s="2"/>
    </row>
    <row r="134" spans="2:24" ht="13.8" x14ac:dyDescent="0.2">
      <c r="B134" s="8">
        <f t="shared" si="14"/>
      </c>
      <c r="C134" s="10"/>
      <c r="D134" s="9"/>
      <c r="E134" s="11">
        <f t="shared" si="15"/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1"/>
      </c>
      <c r="L134" s="7">
        <v>5</v>
      </c>
      <c r="M134" s="11">
        <f t="shared" si="12"/>
      </c>
      <c r="N134" s="11">
        <f t="shared" si="13"/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>
        <f>IFERROR(CalcRC27(F134,G134,K134,O134,P134,Q134,R134,S134,T134,U134,V134),"-")</f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F2C13-4846-4628-9274-6DC020400C9D}">
  <sheetPr codeName="Sheet18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2"/>
      <c r="C2" s="122"/>
      <c r="D2" s="122"/>
      <c r="E2" s="4">
        <f>IFERROR(G2/F2,0)</f>
      </c>
      <c r="F2" s="5">
        <f t="shared" ref="F2:L2" si="0">SUM(F4:F104)</f>
      </c>
      <c r="G2" s="5">
        <f t="shared" si="0"/>
      </c>
      <c r="H2" s="5">
        <f t="shared" si="0"/>
      </c>
      <c r="I2" s="5">
        <f t="shared" si="0"/>
      </c>
      <c r="J2" s="6">
        <f t="shared" si="0"/>
      </c>
      <c r="K2" s="12">
        <f t="shared" si="0"/>
      </c>
      <c r="L2" s="7">
        <f t="shared" si="0"/>
      </c>
      <c r="M2" s="11">
        <f>IFERROR(IF((G2+P2+Q2)/(F2+P2+Q2+R2)=1,"1.00",(G2+P2+Q2)/(F2+P2+Q2+R2)),0)</f>
      </c>
      <c r="N2" s="11">
        <f>IFERROR(SUM(SUM(((G2-H2-I2-J2)*1),H2*2,I2*3,J2*4)/F2,((G2+P2+Q2)/(F2+P2+Q2+R2))),M2)</f>
      </c>
      <c r="O2" s="5">
        <f>SUM(O4:O104)</f>
      </c>
      <c r="P2" s="5">
        <f>SUM(P4:P104)</f>
      </c>
      <c r="Q2" s="5">
        <f>SUM(Q4:Q104)</f>
      </c>
      <c r="R2" s="5">
        <f>SUM(R4:R104)</f>
      </c>
      <c r="S2" s="5">
        <f>SUM(S4:S104)</f>
      </c>
      <c r="T2" s="5">
        <f t="shared" ref="T2:V2" si="1">SUM(T4:T104)</f>
      </c>
      <c r="U2" s="5">
        <f t="shared" si="1"/>
      </c>
      <c r="V2" s="5">
        <f t="shared" si="1"/>
      </c>
      <c r="W2" s="20">
        <f>IFERROR(CalcRC27(F2,G2,K2,O2,P2,Q2,R2,S2,T2,U2,V2),"-")</f>
      </c>
      <c r="X2" t="s" s="121">
        <v>229</v>
      </c>
    </row>
    <row r="3" spans="2:24" x14ac:dyDescent="0.2">
      <c r="B3" t="s" s="55">
        <v>841</v>
      </c>
      <c r="C3" t="s" s="56">
        <v>1039</v>
      </c>
      <c r="D3" t="s" s="56">
        <v>1040</v>
      </c>
      <c r="E3" t="s" s="57">
        <v>56</v>
      </c>
      <c r="F3" t="s" s="58">
        <v>0</v>
      </c>
      <c r="G3" t="s" s="55">
        <v>1</v>
      </c>
      <c r="H3" t="s" s="55">
        <v>360</v>
      </c>
      <c r="I3" t="s" s="55">
        <v>361</v>
      </c>
      <c r="J3" t="s" s="59">
        <v>1041</v>
      </c>
      <c r="K3" t="s" s="55">
        <v>983</v>
      </c>
      <c r="L3" t="s" s="60">
        <v>2</v>
      </c>
      <c r="M3" t="s" s="61">
        <v>359</v>
      </c>
      <c r="N3" t="s" s="57">
        <v>362</v>
      </c>
      <c r="O3" t="s" s="62">
        <v>978</v>
      </c>
      <c r="P3" t="s" s="55">
        <v>234</v>
      </c>
      <c r="Q3" t="s" s="55">
        <v>235</v>
      </c>
      <c r="R3" t="s" s="55">
        <v>976</v>
      </c>
      <c r="S3" t="s" s="55">
        <v>977</v>
      </c>
      <c r="T3" t="s" s="55">
        <v>979</v>
      </c>
      <c r="U3" t="s" s="55">
        <v>980</v>
      </c>
      <c r="V3" t="s" s="55">
        <v>981</v>
      </c>
      <c r="W3" t="s" s="55">
        <v>982</v>
      </c>
      <c r="X3" s="121"/>
    </row>
    <row r="4" spans="2:24" ht="13.8" x14ac:dyDescent="0.2">
      <c r="B4" s="10">
        <v>1</v>
      </c>
      <c r="C4" s="10">
        <v>13</v>
      </c>
      <c r="D4" t="s" s="13">
        <v>1227</v>
      </c>
      <c r="E4" s="11">
        <f t="shared" ref="E4:E68" si="2">IFERROR(IF(G4/F4=1,"1.00",G4/F4),"---")</f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</c>
      <c r="L4" s="7">
        <v>0</v>
      </c>
      <c r="M4" s="11">
        <f t="shared" ref="M4:M67" si="4">IFERROR(IF((G4+P4+Q4)/(F4+P4+Q4+S4)=1,"1.00",(G4+P4+Q4)/(F4+P4+Q4+S4)),0)</f>
      </c>
      <c r="N4" s="11">
        <f t="shared" ref="N4:N67" si="5">IFERROR(SUM(K4/F4,((G4+P4+Q4)/(F4+P4+Q4+S4))),M4)</f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>
        <f>IFERROR(CalcRC27(F4,G4,K4,O4,P4,Q4,R4,S4,T4,U4,V4),"-")</f>
      </c>
      <c r="X4" t="s" s="2">
        <v>401</v>
      </c>
    </row>
    <row r="5" spans="2:24" ht="13.8" x14ac:dyDescent="0.2">
      <c r="B5" s="10">
        <v>2</v>
      </c>
      <c r="C5" s="10">
        <v>61</v>
      </c>
      <c r="D5" t="s" s="13">
        <v>1331</v>
      </c>
      <c r="E5" s="11">
        <f t="shared" si="2"/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</c>
      <c r="L5" s="7">
        <v>0</v>
      </c>
      <c r="M5" s="11">
        <f t="shared" si="4"/>
      </c>
      <c r="N5" s="11">
        <f t="shared" si="5"/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>
        <f>IFERROR(CalcRC27(F5,G5,K5,O5,P5,Q5,R5,S5,T5,U5,V5),"-")</f>
      </c>
      <c r="X5" t="s" s="2">
        <v>495</v>
      </c>
    </row>
    <row r="6" spans="2:24" ht="13.8" x14ac:dyDescent="0.2">
      <c r="B6" s="10">
        <v>3</v>
      </c>
      <c r="C6" s="10">
        <v>1</v>
      </c>
      <c r="D6" t="s" s="13">
        <v>769</v>
      </c>
      <c r="E6" s="11">
        <f t="shared" si="2"/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</c>
      <c r="L6" s="7">
        <v>0</v>
      </c>
      <c r="M6" s="11">
        <f t="shared" si="4"/>
      </c>
      <c r="N6" s="11">
        <f t="shared" si="5"/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>
        <f>IFERROR(CalcRC27(F6,G6,K6,O6,P6,Q6,R6,S6,T6,U6,V6),"-")</f>
      </c>
      <c r="X6" t="s" s="2">
        <v>363</v>
      </c>
    </row>
    <row r="7" spans="2:24" ht="13.8" x14ac:dyDescent="0.2">
      <c r="B7" s="10">
        <v>4</v>
      </c>
      <c r="C7" s="10">
        <v>18</v>
      </c>
      <c r="D7" t="s" s="13">
        <v>1295</v>
      </c>
      <c r="E7" s="11">
        <f t="shared" si="2"/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</c>
      <c r="L7" s="7">
        <v>0</v>
      </c>
      <c r="M7" s="11">
        <f t="shared" si="4"/>
      </c>
      <c r="N7" s="11">
        <f t="shared" si="5"/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>
        <f>IFERROR(CalcRC27(F7,G7,K7,O7,P7,Q7,R7,S7,T7,U7,V7),"-")</f>
      </c>
      <c r="X7" t="s" s="2">
        <v>403</v>
      </c>
    </row>
    <row r="8" spans="2:24" ht="13.8" x14ac:dyDescent="0.2">
      <c r="B8" s="10">
        <v>5</v>
      </c>
      <c r="C8" s="10">
        <v>11</v>
      </c>
      <c r="D8" t="s" s="13">
        <v>92</v>
      </c>
      <c r="E8" s="11">
        <f t="shared" si="2"/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</c>
      <c r="L8" s="7">
        <v>0</v>
      </c>
      <c r="M8" s="11">
        <f t="shared" si="4"/>
      </c>
      <c r="N8" s="11">
        <f t="shared" si="5"/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>
        <f>IFERROR(CalcRC27(F8,G8,K8,O8,P8,Q8,R8,S8,T8,U8,V8),"-")</f>
      </c>
      <c r="X8" t="s" s="2">
        <v>505</v>
      </c>
    </row>
    <row r="9" spans="2:24" ht="13.8" x14ac:dyDescent="0.2">
      <c r="B9" s="10">
        <v>6</v>
      </c>
      <c r="C9" s="10">
        <v>11</v>
      </c>
      <c r="D9" t="s" s="13">
        <v>1323</v>
      </c>
      <c r="E9" s="11">
        <f t="shared" si="2"/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</c>
      <c r="L9" s="7">
        <v>0</v>
      </c>
      <c r="M9" s="11">
        <f t="shared" si="4"/>
      </c>
      <c r="N9" s="11">
        <f t="shared" si="5"/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>
        <f>IFERROR(CalcRC27(F9,G9,K9,O9,P9,Q9,R9,S9,T9,U9,V9),"-")</f>
      </c>
      <c r="X9" t="s" s="2">
        <v>154</v>
      </c>
    </row>
    <row r="10" spans="2:24" ht="13.8" x14ac:dyDescent="0.2">
      <c r="B10" s="10">
        <v>7</v>
      </c>
      <c r="C10" s="10">
        <v>52</v>
      </c>
      <c r="D10" t="s" s="13">
        <v>905</v>
      </c>
      <c r="E10" s="11">
        <f t="shared" si="2"/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</c>
      <c r="L10" s="7">
        <v>0</v>
      </c>
      <c r="M10" s="11">
        <f t="shared" si="4"/>
      </c>
      <c r="N10" s="11">
        <f t="shared" si="5"/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>
        <f>IFERROR(CalcRC27(F10,G10,K10,O10,P10,Q10,R10,S10,T10,U10,V10),"-")</f>
      </c>
      <c r="X10" t="s" s="2">
        <v>455</v>
      </c>
    </row>
    <row r="11" spans="2:24" ht="13.8" x14ac:dyDescent="0.2">
      <c r="B11" s="10">
        <v>8</v>
      </c>
      <c r="C11" s="10">
        <v>11</v>
      </c>
      <c r="D11" t="s" s="13">
        <v>1671</v>
      </c>
      <c r="E11" s="11">
        <f t="shared" si="2"/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</c>
      <c r="L11" s="7">
        <v>0</v>
      </c>
      <c r="M11" s="11">
        <f t="shared" si="4"/>
      </c>
      <c r="N11" s="11">
        <f t="shared" si="5"/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</c>
      <c r="X11" t="s" s="2">
        <v>474</v>
      </c>
    </row>
    <row r="12" spans="2:24" ht="13.8" x14ac:dyDescent="0.2">
      <c r="B12" s="10">
        <v>9</v>
      </c>
      <c r="C12" s="10">
        <v>17</v>
      </c>
      <c r="D12" t="s" s="13">
        <v>1319</v>
      </c>
      <c r="E12" s="11">
        <f t="shared" si="2"/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</c>
      <c r="L12" s="7">
        <v>0</v>
      </c>
      <c r="M12" s="11">
        <f t="shared" si="4"/>
      </c>
      <c r="N12" s="11">
        <f t="shared" si="5"/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>
        <f>IFERROR(CalcRC27(F12,G12,K12,O12,P12,Q12,R12,S12,T12,U12,V12),"-")</f>
      </c>
      <c r="X12" t="s" s="2">
        <v>477</v>
      </c>
    </row>
    <row r="13" spans="2:24" ht="13.8" x14ac:dyDescent="0.2">
      <c r="B13" s="10">
        <v>10</v>
      </c>
      <c r="C13" s="10">
        <v>14</v>
      </c>
      <c r="D13" t="s" s="13">
        <v>144</v>
      </c>
      <c r="E13" s="11">
        <f t="shared" si="2"/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</c>
      <c r="L13" s="7">
        <v>0</v>
      </c>
      <c r="M13" s="11">
        <f t="shared" si="4"/>
      </c>
      <c r="N13" s="11">
        <f t="shared" si="5"/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</c>
      <c r="X13" t="s" s="2">
        <v>370</v>
      </c>
    </row>
    <row r="14" spans="2:24" ht="13.8" x14ac:dyDescent="0.2">
      <c r="B14" s="10">
        <v>11</v>
      </c>
      <c r="C14" s="10">
        <v>18</v>
      </c>
      <c r="D14" t="s" s="13">
        <v>1744</v>
      </c>
      <c r="E14" s="11">
        <f t="shared" si="2"/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</c>
      <c r="L14" s="7">
        <v>0</v>
      </c>
      <c r="M14" s="11">
        <f t="shared" si="4"/>
      </c>
      <c r="N14" s="11">
        <f t="shared" si="5"/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>
        <f>IFERROR(CalcRC27(F14,G14,K14,O14,P14,Q14,R14,S14,T14,U14,V14),"-")</f>
      </c>
      <c r="X14" t="s" s="2">
        <v>372</v>
      </c>
    </row>
    <row r="15" spans="2:24" ht="13.8" x14ac:dyDescent="0.2">
      <c r="B15" s="10">
        <v>12</v>
      </c>
      <c r="C15" s="10">
        <v>43</v>
      </c>
      <c r="D15" t="s" s="13">
        <v>147</v>
      </c>
      <c r="E15" s="11">
        <f t="shared" si="2"/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</c>
      <c r="L15" s="7">
        <v>0</v>
      </c>
      <c r="M15" s="11">
        <f t="shared" si="4"/>
      </c>
      <c r="N15" s="11">
        <f t="shared" si="5"/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</c>
      <c r="X15" t="s" s="2">
        <v>381</v>
      </c>
    </row>
    <row r="16" spans="2:24" ht="13.8" x14ac:dyDescent="0.2">
      <c r="B16" s="10">
        <v>13</v>
      </c>
      <c r="C16" s="10">
        <v>15</v>
      </c>
      <c r="D16" t="s" s="13">
        <v>128</v>
      </c>
      <c r="E16" s="11">
        <f t="shared" si="2"/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</c>
      <c r="L16" s="7">
        <v>0</v>
      </c>
      <c r="M16" s="11">
        <f t="shared" si="4"/>
      </c>
      <c r="N16" s="11">
        <f t="shared" si="5"/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</c>
      <c r="X16" t="s" s="2">
        <v>335</v>
      </c>
    </row>
    <row r="17" spans="2:24" ht="13.8" x14ac:dyDescent="0.2">
      <c r="B17" s="10">
        <v>14</v>
      </c>
      <c r="C17" s="10">
        <v>10</v>
      </c>
      <c r="D17" t="s" s="13">
        <v>1438</v>
      </c>
      <c r="E17" s="11">
        <f t="shared" si="2"/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</c>
      <c r="L17" s="7">
        <v>0</v>
      </c>
      <c r="M17" s="11">
        <f t="shared" si="4"/>
      </c>
      <c r="N17" s="11">
        <f t="shared" si="5"/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>
        <f>IFERROR(CalcRC27(F17,G17,K17,O17,P17,Q17,R17,S17,T17,U17,V17),"-")</f>
      </c>
      <c r="X17" t="s" s="2">
        <v>473</v>
      </c>
    </row>
    <row r="18" spans="2:24" ht="13.8" x14ac:dyDescent="0.2">
      <c r="B18" s="10">
        <v>15</v>
      </c>
      <c r="C18" s="10">
        <v>19</v>
      </c>
      <c r="D18" t="s" s="13">
        <v>93</v>
      </c>
      <c r="E18" s="11">
        <f t="shared" si="2"/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</c>
      <c r="L18" s="7">
        <v>0</v>
      </c>
      <c r="M18" s="11">
        <f t="shared" si="4"/>
      </c>
      <c r="N18" s="11">
        <f t="shared" si="5"/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>
        <f>IFERROR(CalcRC27(F18,G18,K18,O18,P18,Q18,R18,S18,T18,U18,V18),"-")</f>
      </c>
      <c r="X18" t="s" s="2">
        <v>509</v>
      </c>
    </row>
    <row r="19" spans="2:24" ht="13.8" x14ac:dyDescent="0.2">
      <c r="B19" s="10">
        <v>16</v>
      </c>
      <c r="C19" s="10">
        <v>31</v>
      </c>
      <c r="D19" t="s" s="13">
        <v>788</v>
      </c>
      <c r="E19" s="11">
        <f t="shared" si="2"/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</c>
      <c r="L19" s="7">
        <v>0</v>
      </c>
      <c r="M19" s="11">
        <f t="shared" si="4"/>
      </c>
      <c r="N19" s="11">
        <f t="shared" si="5"/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>
        <f>IFERROR(CalcRC27(F19,G19,K19,O19,P19,Q19,R19,S19,T19,U19,V19),"-")</f>
      </c>
      <c r="X19" t="s" s="2">
        <v>782</v>
      </c>
    </row>
    <row r="20" spans="2:24" ht="13.8" x14ac:dyDescent="0.2">
      <c r="B20" s="10">
        <v>17</v>
      </c>
      <c r="C20" s="10">
        <v>3</v>
      </c>
      <c r="D20" t="s" s="13">
        <v>1523</v>
      </c>
      <c r="E20" s="11">
        <f t="shared" si="2"/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</c>
      <c r="L20" s="7">
        <v>0</v>
      </c>
      <c r="M20" s="11">
        <f t="shared" si="4"/>
      </c>
      <c r="N20" s="11">
        <f t="shared" si="5"/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>
        <f>IFERROR(CalcRC27(F20,G20,K20,O20,P20,Q20,R20,S20,T20,U20,V20),"-")</f>
      </c>
      <c r="X20" t="s" s="2">
        <v>467</v>
      </c>
    </row>
    <row r="21" spans="2:24" ht="13.8" x14ac:dyDescent="0.2">
      <c r="B21" s="10">
        <v>18</v>
      </c>
      <c r="C21" s="10">
        <v>3</v>
      </c>
      <c r="D21" t="s" s="13">
        <v>141</v>
      </c>
      <c r="E21" s="11">
        <f t="shared" si="2"/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</c>
      <c r="L21" s="7">
        <v>0</v>
      </c>
      <c r="M21" s="11">
        <f t="shared" si="4"/>
      </c>
      <c r="N21" s="11">
        <f t="shared" si="5"/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</c>
      <c r="X21" t="s" s="2">
        <v>365</v>
      </c>
    </row>
    <row r="22" spans="2:24" ht="13.8" x14ac:dyDescent="0.2">
      <c r="B22" s="10">
        <v>19</v>
      </c>
      <c r="C22" s="10">
        <v>60</v>
      </c>
      <c r="D22" t="s" s="13">
        <v>644</v>
      </c>
      <c r="E22" s="11">
        <f t="shared" si="2"/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</c>
      <c r="L22" s="7">
        <v>0</v>
      </c>
      <c r="M22" s="11">
        <f t="shared" si="4"/>
      </c>
      <c r="N22" s="11">
        <f t="shared" si="5"/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>
        <f>IFERROR(CalcRC27(F22,G22,K22,O22,P22,Q22,R22,S22,T22,U22,V22),"-")</f>
      </c>
      <c r="X22" t="s" s="2">
        <v>494</v>
      </c>
    </row>
    <row r="23" spans="2:24" ht="13.8" x14ac:dyDescent="0.2">
      <c r="B23" s="10">
        <v>20</v>
      </c>
      <c r="C23" s="10">
        <v>5</v>
      </c>
      <c r="D23" t="s" s="13">
        <v>1885</v>
      </c>
      <c r="E23" s="11">
        <f t="shared" si="2"/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</c>
      <c r="L23" s="7">
        <v>0</v>
      </c>
      <c r="M23" s="11">
        <f t="shared" si="4"/>
      </c>
      <c r="N23" s="11">
        <f t="shared" si="5"/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</c>
      <c r="X23" t="s" s="2">
        <v>501</v>
      </c>
    </row>
    <row r="24" spans="2:24" ht="13.8" x14ac:dyDescent="0.2">
      <c r="B24" s="10">
        <v>21</v>
      </c>
      <c r="C24" s="10">
        <v>6</v>
      </c>
      <c r="D24" t="s" s="13">
        <v>76</v>
      </c>
      <c r="E24" s="11">
        <f t="shared" si="2"/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</c>
      <c r="L24" s="7">
        <v>0</v>
      </c>
      <c r="M24" s="11">
        <f t="shared" si="4"/>
      </c>
      <c r="N24" s="11">
        <f t="shared" si="5"/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</c>
      <c r="X24" t="s" s="2">
        <v>470</v>
      </c>
    </row>
    <row r="25" spans="2:24" ht="13.8" x14ac:dyDescent="0.2">
      <c r="B25" s="10">
        <v>22</v>
      </c>
      <c r="C25" s="10">
        <v>8</v>
      </c>
      <c r="D25" t="s" s="13">
        <v>1018</v>
      </c>
      <c r="E25" s="11">
        <f t="shared" si="2"/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</c>
      <c r="L25" s="7">
        <v>0</v>
      </c>
      <c r="M25" s="11">
        <f t="shared" si="4"/>
      </c>
      <c r="N25" s="11">
        <f t="shared" si="5"/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>
        <f>IFERROR(CalcRC27(F25,G25,K25,O25,P25,Q25,R25,S25,T25,U25,V25),"-")</f>
      </c>
      <c r="X25" t="s" s="2">
        <v>435</v>
      </c>
    </row>
    <row r="26" spans="2:24" ht="13.8" x14ac:dyDescent="0.2">
      <c r="B26" s="10">
        <v>23</v>
      </c>
      <c r="C26" s="10">
        <v>39</v>
      </c>
      <c r="D26" t="s" s="13">
        <v>62</v>
      </c>
      <c r="E26" s="11">
        <f t="shared" si="2"/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</c>
      <c r="L26" s="7">
        <v>0</v>
      </c>
      <c r="M26" s="11">
        <f t="shared" si="4"/>
      </c>
      <c r="N26" s="11">
        <f t="shared" si="5"/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>
        <f>IFERROR(CalcRC27(F26,G26,K26,O26,P26,Q26,R26,S26,T26,U26,V26),"-")</f>
      </c>
      <c r="X26" t="s" s="2">
        <v>485</v>
      </c>
    </row>
    <row r="27" spans="2:24" ht="13.8" x14ac:dyDescent="0.2">
      <c r="B27" s="10">
        <v>24</v>
      </c>
      <c r="C27" s="10">
        <v>0</v>
      </c>
      <c r="D27" t="s" s="13">
        <v>1350</v>
      </c>
      <c r="E27" s="11">
        <f t="shared" si="2"/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</c>
      <c r="L27" s="7">
        <v>0</v>
      </c>
      <c r="M27" s="11">
        <f t="shared" si="4"/>
      </c>
      <c r="N27" s="11">
        <f t="shared" si="5"/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>
        <f>IFERROR(CalcRC27(F27,G27,K27,O27,P27,Q27,R27,S27,T27,U27,V27),"-")</f>
      </c>
      <c r="X27" t="s" s="2">
        <v>137</v>
      </c>
    </row>
    <row r="28" spans="2:24" ht="13.8" x14ac:dyDescent="0.2">
      <c r="B28" s="10">
        <v>25</v>
      </c>
      <c r="C28" s="10">
        <v>34</v>
      </c>
      <c r="D28" t="s" s="13">
        <v>839</v>
      </c>
      <c r="E28" s="11">
        <f t="shared" si="2"/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</c>
      <c r="L28" s="7">
        <v>0</v>
      </c>
      <c r="M28" s="11">
        <f t="shared" si="4"/>
      </c>
      <c r="N28" s="11">
        <f t="shared" si="5"/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>
        <f>IFERROR(CalcRC27(F28,G28,K28,O28,P28,Q28,R28,S28,T28,U28,V28),"-")</f>
      </c>
      <c r="X28" t="s" s="2">
        <v>1244</v>
      </c>
    </row>
    <row r="29" spans="2:24" ht="13.8" x14ac:dyDescent="0.2">
      <c r="B29" s="10">
        <v>26</v>
      </c>
      <c r="C29" s="10">
        <v>9</v>
      </c>
      <c r="D29" t="s" s="13">
        <v>69</v>
      </c>
      <c r="E29" s="11">
        <f t="shared" si="2"/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</c>
      <c r="L29" s="7">
        <v>0</v>
      </c>
      <c r="M29" s="11">
        <f t="shared" si="4"/>
      </c>
      <c r="N29" s="11">
        <f t="shared" si="5"/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</c>
      <c r="X29" t="s" s="2">
        <v>504</v>
      </c>
    </row>
    <row r="30" spans="2:24" ht="13.8" x14ac:dyDescent="0.2">
      <c r="B30" s="10">
        <v>27</v>
      </c>
      <c r="C30" s="10">
        <v>79</v>
      </c>
      <c r="D30" t="s" s="13">
        <v>211</v>
      </c>
      <c r="E30" s="11">
        <f t="shared" si="2"/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</c>
      <c r="L30" s="7">
        <v>0</v>
      </c>
      <c r="M30" s="11">
        <f t="shared" si="4"/>
      </c>
      <c r="N30" s="11">
        <f t="shared" si="5"/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</c>
      <c r="X30" t="s" s="2">
        <v>211</v>
      </c>
    </row>
    <row r="31" spans="2:24" ht="13.8" x14ac:dyDescent="0.2">
      <c r="B31" s="10">
        <v>28</v>
      </c>
      <c r="C31" s="10">
        <v>0</v>
      </c>
      <c r="D31" t="s" s="13">
        <v>157</v>
      </c>
      <c r="E31" s="11">
        <f t="shared" si="2"/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</c>
      <c r="L31" s="7">
        <v>0</v>
      </c>
      <c r="M31" s="11">
        <f t="shared" si="4"/>
      </c>
      <c r="N31" s="11">
        <f t="shared" si="5"/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>
        <f>IFERROR(CalcRC27(F31,G31,K31,O31,P31,Q31,R31,S31,T31,U31,V31),"-")</f>
      </c>
      <c r="X31" t="s" s="2">
        <v>431</v>
      </c>
    </row>
    <row r="32" spans="2:24" ht="13.8" x14ac:dyDescent="0.2">
      <c r="B32" s="10">
        <v>29</v>
      </c>
      <c r="C32" s="10">
        <v>35</v>
      </c>
      <c r="D32" t="s" s="13">
        <v>1009</v>
      </c>
      <c r="E32" s="11">
        <f t="shared" si="2"/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</c>
      <c r="L32" s="7">
        <v>0</v>
      </c>
      <c r="M32" s="11">
        <f t="shared" si="4"/>
      </c>
      <c r="N32" s="11">
        <f t="shared" si="5"/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</c>
      <c r="X32" t="s" s="2">
        <v>380</v>
      </c>
    </row>
    <row r="33" spans="2:24" ht="13.8" x14ac:dyDescent="0.2">
      <c r="B33" s="10">
        <v>30</v>
      </c>
      <c r="C33" s="10">
        <v>8</v>
      </c>
      <c r="D33" t="s" s="13">
        <v>1300</v>
      </c>
      <c r="E33" s="11">
        <f t="shared" si="2"/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</c>
      <c r="L33" s="7">
        <v>0</v>
      </c>
      <c r="M33" s="11">
        <f t="shared" si="4"/>
      </c>
      <c r="N33" s="11">
        <f t="shared" si="5"/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</c>
      <c r="X33" t="s" s="2">
        <v>329</v>
      </c>
    </row>
    <row r="34" spans="2:24" ht="13.8" x14ac:dyDescent="0.2">
      <c r="B34" s="10">
        <v>31</v>
      </c>
      <c r="C34" s="10">
        <v>99</v>
      </c>
      <c r="D34" t="s" s="9">
        <v>116</v>
      </c>
      <c r="E34" s="11">
        <f t="shared" si="2"/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</c>
      <c r="L34" s="7">
        <v>0</v>
      </c>
      <c r="M34" s="11">
        <f t="shared" si="4"/>
      </c>
      <c r="N34" s="11">
        <f t="shared" si="5"/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>
        <f>IFERROR(CalcRC27(F34,G34,K34,O34,P34,Q34,R34,S34,T34,U34,V34),"-")</f>
      </c>
      <c r="X34" t="s" s="2">
        <v>99</v>
      </c>
    </row>
    <row r="35" spans="2:24" ht="13.8" x14ac:dyDescent="0.2">
      <c r="B35" s="10">
        <v>32</v>
      </c>
      <c r="C35" s="10">
        <v>54</v>
      </c>
      <c r="D35" t="s" s="13">
        <v>207</v>
      </c>
      <c r="E35" s="11">
        <f t="shared" si="2"/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</c>
      <c r="L35" s="7">
        <v>0</v>
      </c>
      <c r="M35" s="11">
        <f t="shared" si="4"/>
      </c>
      <c r="N35" s="11">
        <f t="shared" si="5"/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>
        <f>IFERROR(CalcRC27(F35,G35,K35,O35,P35,Q35,R35,S35,T35,U35,V35),"-")</f>
      </c>
      <c r="X35" t="s" s="2">
        <v>207</v>
      </c>
    </row>
    <row r="36" spans="2:24" ht="13.8" x14ac:dyDescent="0.2">
      <c r="B36" s="10">
        <v>33</v>
      </c>
      <c r="C36" s="10"/>
      <c r="D36" s="13"/>
      <c r="E36" s="11">
        <f t="shared" si="2"/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</c>
      <c r="L36" s="7">
        <v>0</v>
      </c>
      <c r="M36" s="11">
        <f t="shared" si="4"/>
      </c>
      <c r="N36" s="11">
        <f t="shared" si="5"/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>
        <f>IFERROR(CalcRC27(F36,G36,K36,O36,P36,Q36,R36,S36,T36,U36,V36),"-")</f>
      </c>
      <c r="X36" s="2"/>
    </row>
    <row r="37" spans="2:24" ht="13.8" x14ac:dyDescent="0.2">
      <c r="B37" s="10">
        <v>34</v>
      </c>
      <c r="C37" s="10"/>
      <c r="D37" s="13"/>
      <c r="E37" s="11">
        <f t="shared" si="2"/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</c>
      <c r="L37" s="7">
        <v>0</v>
      </c>
      <c r="M37" s="11">
        <f t="shared" si="4"/>
      </c>
      <c r="N37" s="11">
        <f t="shared" si="5"/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>
        <f>IFERROR(CalcRC27(F37,G37,K37,O37,P37,Q37,R37,S37,T37,U37,V37),"-")</f>
      </c>
      <c r="X37" s="2"/>
    </row>
    <row r="38" spans="2:24" ht="13.8" x14ac:dyDescent="0.2">
      <c r="B38" s="10">
        <v>35</v>
      </c>
      <c r="C38" s="10"/>
      <c r="D38" s="13"/>
      <c r="E38" s="11">
        <f t="shared" si="2"/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</c>
      <c r="L38" s="7">
        <v>0</v>
      </c>
      <c r="M38" s="11">
        <f t="shared" si="4"/>
      </c>
      <c r="N38" s="11">
        <f t="shared" si="5"/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>
        <f>IFERROR(CalcRC27(F38,G38,K38,O38,P38,Q38,R38,S38,T38,U38,V38),"-")</f>
      </c>
      <c r="X38" s="2"/>
    </row>
    <row r="39" spans="2:24" ht="13.8" x14ac:dyDescent="0.2">
      <c r="B39" s="10">
        <v>36</v>
      </c>
      <c r="C39" s="10"/>
      <c r="D39" s="13"/>
      <c r="E39" s="11">
        <f t="shared" si="2"/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</c>
      <c r="L39" s="7">
        <v>0</v>
      </c>
      <c r="M39" s="11">
        <f t="shared" si="4"/>
      </c>
      <c r="N39" s="11">
        <f t="shared" si="5"/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>
        <f>IFERROR(CalcRC27(F39,G39,K39,O39,P39,Q39,R39,S39,T39,U39,V39),"-")</f>
      </c>
      <c r="X39" s="2"/>
    </row>
    <row r="40" spans="2:24" ht="13.8" x14ac:dyDescent="0.2">
      <c r="B40" s="10">
        <v>37</v>
      </c>
      <c r="C40" s="10"/>
      <c r="D40" s="13"/>
      <c r="E40" s="11">
        <f t="shared" si="2"/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</c>
      <c r="L40" s="7">
        <v>0</v>
      </c>
      <c r="M40" s="11">
        <f t="shared" si="4"/>
      </c>
      <c r="N40" s="11">
        <f t="shared" si="5"/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>
        <f>IFERROR(CalcRC27(F40,G40,K40,O40,P40,Q40,R40,S40,T40,U40,V40),"-")</f>
      </c>
      <c r="X40" s="2"/>
    </row>
    <row r="41" spans="2:24" ht="13.8" x14ac:dyDescent="0.2">
      <c r="B41" s="10">
        <v>38</v>
      </c>
      <c r="C41" s="10"/>
      <c r="D41" s="13"/>
      <c r="E41" s="11">
        <f t="shared" si="2"/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</c>
      <c r="L41" s="7">
        <v>0</v>
      </c>
      <c r="M41" s="11">
        <f t="shared" si="4"/>
      </c>
      <c r="N41" s="11">
        <f t="shared" si="5"/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>
        <f>IFERROR(CalcRC27(F41,G41,K41,O41,P41,Q41,R41,S41,T41,U41,V41),"-")</f>
      </c>
      <c r="X41" s="2"/>
    </row>
    <row r="42" spans="2:24" ht="13.8" x14ac:dyDescent="0.2">
      <c r="B42" s="10">
        <v>39</v>
      </c>
      <c r="C42" s="10"/>
      <c r="D42" s="13"/>
      <c r="E42" s="11">
        <f t="shared" si="2"/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</c>
      <c r="L42" s="7">
        <v>0</v>
      </c>
      <c r="M42" s="11">
        <f t="shared" si="4"/>
      </c>
      <c r="N42" s="11">
        <f t="shared" si="5"/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>
        <f>IFERROR(CalcRC27(F42,G42,K42,O42,P42,Q42,R42,S42,T42,U42,V42),"-")</f>
      </c>
      <c r="X42" s="2"/>
    </row>
    <row r="43" spans="2:24" ht="13.8" x14ac:dyDescent="0.2">
      <c r="B43" s="10">
        <v>40</v>
      </c>
      <c r="C43" s="10"/>
      <c r="D43" s="13"/>
      <c r="E43" s="11">
        <f t="shared" si="2"/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</c>
      <c r="L43" s="7">
        <v>0</v>
      </c>
      <c r="M43" s="11">
        <f t="shared" si="4"/>
      </c>
      <c r="N43" s="11">
        <f t="shared" si="5"/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>
        <f>IFERROR(CalcRC27(F43,G43,K43,O43,P43,Q43,R43,S43,T43,U43,V43),"-")</f>
      </c>
      <c r="X43" s="2"/>
    </row>
    <row r="44" spans="2:24" ht="13.8" x14ac:dyDescent="0.2">
      <c r="B44" s="10">
        <v>41</v>
      </c>
      <c r="C44" s="10"/>
      <c r="D44" s="13"/>
      <c r="E44" s="11">
        <f t="shared" si="2"/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</c>
      <c r="L44" s="7">
        <v>0</v>
      </c>
      <c r="M44" s="11">
        <f t="shared" si="4"/>
      </c>
      <c r="N44" s="11">
        <f t="shared" si="5"/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>
        <f>IFERROR(CalcRC27(F44,G44,K44,O44,P44,Q44,R44,S44,T44,U44,V44),"-")</f>
      </c>
      <c r="X44" s="2"/>
    </row>
    <row r="45" spans="2:24" ht="13.8" x14ac:dyDescent="0.2">
      <c r="B45" s="10">
        <v>42</v>
      </c>
      <c r="C45" s="10"/>
      <c r="D45" s="13"/>
      <c r="E45" s="11">
        <f t="shared" si="2"/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</c>
      <c r="L45" s="7">
        <v>0</v>
      </c>
      <c r="M45" s="11">
        <f t="shared" si="4"/>
      </c>
      <c r="N45" s="11">
        <f t="shared" si="5"/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>
        <f>IFERROR(CalcRC27(F45,G45,K45,O45,P45,Q45,R45,S45,T45,U45,V45),"-")</f>
      </c>
      <c r="X45" s="2"/>
    </row>
    <row r="46" spans="2:24" ht="13.8" x14ac:dyDescent="0.2">
      <c r="B46" s="10">
        <v>43</v>
      </c>
      <c r="C46" s="10"/>
      <c r="D46" s="13"/>
      <c r="E46" s="11">
        <f t="shared" si="2"/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</c>
      <c r="L46" s="7">
        <v>0</v>
      </c>
      <c r="M46" s="11">
        <f t="shared" si="4"/>
      </c>
      <c r="N46" s="11">
        <f t="shared" si="5"/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>
        <f>IFERROR(CalcRC27(F46,G46,K46,O46,P46,Q46,R46,S46,T46,U46,V46),"-")</f>
      </c>
      <c r="X46" s="2"/>
    </row>
    <row r="47" spans="2:24" ht="13.8" x14ac:dyDescent="0.2">
      <c r="B47" s="10">
        <v>44</v>
      </c>
      <c r="C47" s="10"/>
      <c r="D47" s="8"/>
      <c r="E47" s="11">
        <f t="shared" si="2"/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</c>
      <c r="L47" s="7">
        <v>0</v>
      </c>
      <c r="M47" s="11">
        <f t="shared" si="4"/>
      </c>
      <c r="N47" s="11">
        <f t="shared" si="5"/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</c>
      <c r="X47" s="2"/>
    </row>
    <row r="48" spans="2:24" ht="13.8" x14ac:dyDescent="0.2">
      <c r="B48" s="10">
        <v>45</v>
      </c>
      <c r="C48" s="10"/>
      <c r="D48" s="13"/>
      <c r="E48" s="11">
        <f t="shared" si="2"/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</c>
      <c r="L48" s="7">
        <v>0</v>
      </c>
      <c r="M48" s="11">
        <f t="shared" si="4"/>
      </c>
      <c r="N48" s="11">
        <f t="shared" si="5"/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>
        <f>IFERROR(CalcRC27(F48,G48,K48,O48,P48,Q48,R48,S48,T48,U48,V48),"-")</f>
      </c>
      <c r="X48" s="2"/>
    </row>
    <row r="49" spans="2:24" ht="13.8" x14ac:dyDescent="0.2">
      <c r="B49" s="10">
        <v>46</v>
      </c>
      <c r="C49" s="10"/>
      <c r="D49" s="13"/>
      <c r="E49" s="11">
        <f t="shared" si="2"/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</c>
      <c r="L49" s="7">
        <v>0</v>
      </c>
      <c r="M49" s="11">
        <f t="shared" si="4"/>
      </c>
      <c r="N49" s="11">
        <f t="shared" si="5"/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</c>
      <c r="X49" s="2"/>
    </row>
    <row r="50" spans="2:24" ht="13.8" x14ac:dyDescent="0.2">
      <c r="B50" s="10">
        <v>47</v>
      </c>
      <c r="C50" s="10"/>
      <c r="D50" s="13"/>
      <c r="E50" s="11">
        <f t="shared" si="2"/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</c>
      <c r="L50" s="7">
        <v>0</v>
      </c>
      <c r="M50" s="11">
        <f t="shared" si="4"/>
      </c>
      <c r="N50" s="11">
        <f t="shared" si="5"/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>
        <f>IFERROR(CalcRC27(F50,G50,K50,O50,P50,Q50,R50,S50,T50,U50,V50),"-")</f>
      </c>
      <c r="X50" s="2"/>
    </row>
    <row r="51" spans="2:24" ht="13.8" x14ac:dyDescent="0.2">
      <c r="B51" s="10">
        <v>48</v>
      </c>
      <c r="C51" s="10"/>
      <c r="D51" s="13"/>
      <c r="E51" s="11">
        <f t="shared" si="2"/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</c>
      <c r="L51" s="7">
        <v>0</v>
      </c>
      <c r="M51" s="11">
        <f t="shared" si="4"/>
      </c>
      <c r="N51" s="11">
        <f t="shared" si="5"/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</c>
      <c r="X51" s="2"/>
    </row>
    <row r="52" spans="2:24" ht="13.8" x14ac:dyDescent="0.2">
      <c r="B52" s="10">
        <v>49</v>
      </c>
      <c r="C52" s="10"/>
      <c r="D52" s="13"/>
      <c r="E52" s="11">
        <f t="shared" si="2"/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</c>
      <c r="L52" s="7">
        <v>0</v>
      </c>
      <c r="M52" s="11">
        <f t="shared" si="4"/>
      </c>
      <c r="N52" s="11">
        <f t="shared" si="5"/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>
        <f>IFERROR(CalcRC27(F52,G52,K52,O52,P52,Q52,R52,S52,T52,U52,V52),"-")</f>
      </c>
      <c r="X52" s="2"/>
    </row>
    <row r="53" spans="2:24" ht="13.8" x14ac:dyDescent="0.2">
      <c r="B53" s="10">
        <v>50</v>
      </c>
      <c r="C53" s="10"/>
      <c r="D53" s="13"/>
      <c r="E53" s="11">
        <f t="shared" si="2"/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</c>
      <c r="L53" s="7">
        <v>0</v>
      </c>
      <c r="M53" s="11">
        <f t="shared" si="4"/>
      </c>
      <c r="N53" s="11">
        <f t="shared" si="5"/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>
        <f>IFERROR(CalcRC27(F53,G53,K53,O53,P53,Q53,R53,S53,T53,U53,V53),"-")</f>
      </c>
      <c r="X53" s="2"/>
    </row>
    <row r="54" spans="2:24" ht="13.8" x14ac:dyDescent="0.2">
      <c r="B54" s="10">
        <v>51</v>
      </c>
      <c r="C54" s="10"/>
      <c r="D54" s="13"/>
      <c r="E54" s="11">
        <f t="shared" si="2"/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</c>
      <c r="L54" s="7">
        <v>0</v>
      </c>
      <c r="M54" s="11">
        <f t="shared" si="4"/>
      </c>
      <c r="N54" s="11">
        <f t="shared" si="5"/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</c>
      <c r="X54" s="2"/>
    </row>
    <row r="55" spans="2:24" ht="13.8" x14ac:dyDescent="0.2">
      <c r="B55" s="10">
        <v>52</v>
      </c>
      <c r="C55" s="10"/>
      <c r="D55" s="13"/>
      <c r="E55" s="11">
        <f t="shared" si="2"/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</c>
      <c r="L55" s="7">
        <v>0</v>
      </c>
      <c r="M55" s="11">
        <f t="shared" si="4"/>
      </c>
      <c r="N55" s="11">
        <f t="shared" si="5"/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>
        <f>IFERROR(CalcRC27(F55,G55,K55,O55,P55,Q55,R55,S55,T55,U55,V55),"-")</f>
      </c>
      <c r="X55" s="2"/>
    </row>
    <row r="56" spans="2:24" ht="13.8" x14ac:dyDescent="0.2">
      <c r="B56" s="10">
        <v>53</v>
      </c>
      <c r="C56" s="10"/>
      <c r="D56" s="13"/>
      <c r="E56" s="11">
        <f t="shared" si="2"/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</c>
      <c r="L56" s="7">
        <v>0</v>
      </c>
      <c r="M56" s="11">
        <f t="shared" si="4"/>
      </c>
      <c r="N56" s="11">
        <f t="shared" si="5"/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>
        <f>IFERROR(CalcRC27(F56,G56,K56,O56,P56,Q56,R56,S56,T56,U56,V56),"-")</f>
      </c>
      <c r="X56" s="2"/>
    </row>
    <row r="57" spans="2:24" ht="13.8" x14ac:dyDescent="0.2">
      <c r="B57" s="10">
        <v>54</v>
      </c>
      <c r="C57" s="10"/>
      <c r="D57" s="13"/>
      <c r="E57" s="11">
        <f t="shared" si="2"/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</c>
      <c r="L57" s="7">
        <v>0</v>
      </c>
      <c r="M57" s="11">
        <f t="shared" si="4"/>
      </c>
      <c r="N57" s="11">
        <f t="shared" si="5"/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>
        <f>IFERROR(CalcRC27(F57,G57,K57,O57,P57,Q57,R57,S57,T57,U57,V57),"-")</f>
      </c>
      <c r="X57" s="2"/>
    </row>
    <row r="58" spans="2:24" ht="13.8" x14ac:dyDescent="0.2">
      <c r="B58" s="10">
        <v>55</v>
      </c>
      <c r="C58" s="10"/>
      <c r="D58" s="13"/>
      <c r="E58" s="11">
        <f t="shared" si="2"/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</c>
      <c r="L58" s="7">
        <v>0</v>
      </c>
      <c r="M58" s="11">
        <f t="shared" si="4"/>
      </c>
      <c r="N58" s="11">
        <f t="shared" si="5"/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>
        <f>IFERROR(CalcRC27(F58,G58,K58,O58,P58,Q58,R58,S58,T58,U58,V58),"-")</f>
      </c>
      <c r="X58" s="2"/>
    </row>
    <row r="59" spans="2:24" ht="13.8" x14ac:dyDescent="0.2">
      <c r="B59" s="10">
        <v>56</v>
      </c>
      <c r="C59" s="10"/>
      <c r="D59" s="13"/>
      <c r="E59" s="11">
        <f t="shared" si="2"/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</c>
      <c r="L59" s="7">
        <v>0</v>
      </c>
      <c r="M59" s="11">
        <f t="shared" si="4"/>
      </c>
      <c r="N59" s="11">
        <f t="shared" si="5"/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>
        <f>IFERROR(CalcRC27(F59,G59,K59,O59,P59,Q59,R59,S59,T59,U59,V59),"-")</f>
      </c>
      <c r="X59" s="2"/>
    </row>
    <row r="60" spans="2:24" ht="13.8" x14ac:dyDescent="0.2">
      <c r="B60" s="10">
        <v>57</v>
      </c>
      <c r="C60" s="10"/>
      <c r="D60" s="13"/>
      <c r="E60" s="11">
        <f t="shared" si="2"/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</c>
      <c r="L60" s="7">
        <v>0</v>
      </c>
      <c r="M60" s="11">
        <f t="shared" si="4"/>
      </c>
      <c r="N60" s="11">
        <f t="shared" si="5"/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>
        <f>IFERROR(CalcRC27(F60,G60,K60,O60,P60,Q60,R60,S60,T60,U60,V60),"-")</f>
      </c>
      <c r="X60" s="2"/>
    </row>
    <row r="61" spans="2:24" ht="13.8" x14ac:dyDescent="0.2">
      <c r="B61" s="10">
        <v>58</v>
      </c>
      <c r="C61" s="10"/>
      <c r="D61" s="13"/>
      <c r="E61" s="11">
        <f t="shared" si="2"/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</c>
      <c r="L61" s="7">
        <v>0</v>
      </c>
      <c r="M61" s="11">
        <f t="shared" si="4"/>
      </c>
      <c r="N61" s="11">
        <f t="shared" si="5"/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>
        <f>IFERROR(CalcRC27(F61,G61,K61,O61,P61,Q61,R61,S61,T61,U61,V61),"-")</f>
      </c>
      <c r="X61" s="2"/>
    </row>
    <row r="62" spans="2:24" ht="13.8" x14ac:dyDescent="0.2">
      <c r="B62" s="10">
        <v>59</v>
      </c>
      <c r="C62" s="10"/>
      <c r="D62" s="13"/>
      <c r="E62" s="11">
        <f t="shared" si="2"/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</c>
      <c r="L62" s="7">
        <v>0</v>
      </c>
      <c r="M62" s="11">
        <f t="shared" si="4"/>
      </c>
      <c r="N62" s="11">
        <f t="shared" si="5"/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>
        <f>IFERROR(CalcRC27(F62,G62,K62,O62,P62,Q62,R62,S62,T62,U62,V62),"-")</f>
      </c>
      <c r="X62" s="2"/>
    </row>
    <row r="63" spans="2:24" ht="13.8" x14ac:dyDescent="0.2">
      <c r="B63" s="10">
        <v>60</v>
      </c>
      <c r="C63" s="10"/>
      <c r="D63" s="13"/>
      <c r="E63" s="11">
        <f t="shared" si="2"/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</c>
      <c r="L63" s="7">
        <v>0</v>
      </c>
      <c r="M63" s="11">
        <f t="shared" si="4"/>
      </c>
      <c r="N63" s="11">
        <f t="shared" si="5"/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>
        <f>IFERROR(CalcRC27(F63,G63,K63,O63,P63,Q63,R63,S63,T63,U63,V63),"-")</f>
      </c>
      <c r="X63" s="2"/>
    </row>
    <row r="64" spans="2:24" ht="13.8" x14ac:dyDescent="0.2">
      <c r="B64" s="10">
        <v>61</v>
      </c>
      <c r="C64" s="10"/>
      <c r="D64" s="13"/>
      <c r="E64" s="11">
        <f t="shared" si="2"/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</c>
      <c r="L64" s="7">
        <v>0</v>
      </c>
      <c r="M64" s="11">
        <f t="shared" si="4"/>
      </c>
      <c r="N64" s="11">
        <f t="shared" si="5"/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>
        <f>IFERROR(CalcRC27(F64,G64,K64,O64,P64,Q64,R64,S64,T64,U64,V64),"-")</f>
      </c>
      <c r="X64" s="2"/>
    </row>
    <row r="65" spans="2:24" ht="13.8" x14ac:dyDescent="0.2">
      <c r="B65" s="10">
        <v>62</v>
      </c>
      <c r="C65" s="10"/>
      <c r="D65" s="13"/>
      <c r="E65" s="11">
        <f t="shared" si="2"/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</c>
      <c r="L65" s="7">
        <v>0</v>
      </c>
      <c r="M65" s="11">
        <f t="shared" si="4"/>
      </c>
      <c r="N65" s="11">
        <f t="shared" si="5"/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>
        <f>IFERROR(CalcRC27(F65,G65,K65,O65,P65,Q65,R65,S65,T65,U65,V65),"-")</f>
      </c>
      <c r="X65" s="2"/>
    </row>
    <row r="66" spans="2:24" ht="13.8" x14ac:dyDescent="0.2">
      <c r="B66" s="10">
        <v>63</v>
      </c>
      <c r="C66" s="10"/>
      <c r="D66" s="13"/>
      <c r="E66" s="11">
        <f t="shared" si="2"/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</c>
      <c r="L66" s="7">
        <v>0</v>
      </c>
      <c r="M66" s="11">
        <f t="shared" si="4"/>
      </c>
      <c r="N66" s="11">
        <f t="shared" si="5"/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>
        <f>IFERROR(CalcRC27(F66,G66,K66,O66,P66,Q66,R66,S66,T66,U66,V66),"-")</f>
      </c>
      <c r="X66" s="2"/>
    </row>
    <row r="67" spans="2:24" ht="13.8" x14ac:dyDescent="0.2">
      <c r="B67" s="10">
        <v>64</v>
      </c>
      <c r="C67" s="10"/>
      <c r="D67" s="13"/>
      <c r="E67" s="11">
        <f t="shared" si="2"/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</c>
      <c r="L67" s="7">
        <v>0</v>
      </c>
      <c r="M67" s="11">
        <f t="shared" si="4"/>
      </c>
      <c r="N67" s="11">
        <f t="shared" si="5"/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>
        <f>IFERROR(CalcRC27(F67,G67,K67,O67,P67,Q67,R67,S67,T67,U67,V67),"-")</f>
      </c>
      <c r="X67" s="2"/>
    </row>
    <row r="68" spans="2:24" ht="13.8" x14ac:dyDescent="0.2">
      <c r="B68" s="10">
        <v>65</v>
      </c>
      <c r="C68" s="10"/>
      <c r="D68" s="9"/>
      <c r="E68" s="11">
        <f t="shared" si="2"/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6">((G68-H68-I68-J68)+(H68*2)+(I68*3)+(J68*4))</f>
      </c>
      <c r="L68" s="7">
        <v>0</v>
      </c>
      <c r="M68" s="11">
        <f t="shared" ref="M68:M131" si="7">IFERROR(IF((G68+P68+Q68)/(F68+P68+Q68+S68)=1,"1.00",(G68+P68+Q68)/(F68+P68+Q68+S68)),0)</f>
      </c>
      <c r="N68" s="11">
        <f t="shared" ref="N68:N131" si="8">IFERROR(SUM(K68/F68,((G68+P68+Q68)/(F68+P68+Q68+S68))),M68)</f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>
        <f>IFERROR(CalcRC27(F68,G68,K68,O68,P68,Q68,R68,S68,T68,U68,V68),"-")</f>
      </c>
      <c r="X68" s="2"/>
    </row>
    <row r="69" spans="2:24" ht="13.8" x14ac:dyDescent="0.2">
      <c r="B69" s="10">
        <v>66</v>
      </c>
      <c r="C69" s="10"/>
      <c r="D69" s="13"/>
      <c r="E69" s="11">
        <f t="shared" ref="E69:E132" si="9">IFERROR(IF(G69/F69=1,"1.00",G69/F69),"---")</f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6"/>
      </c>
      <c r="L69" s="7">
        <v>0</v>
      </c>
      <c r="M69" s="11">
        <f t="shared" si="7"/>
      </c>
      <c r="N69" s="11">
        <f t="shared" si="8"/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>
        <f>IFERROR(CalcRC27(F69,G69,K69,O69,P69,Q69,R69,S69,T69,U69,V69),"-")</f>
      </c>
      <c r="X69" s="2"/>
    </row>
    <row r="70" spans="2:24" ht="13.8" x14ac:dyDescent="0.2">
      <c r="B70" s="10">
        <v>67</v>
      </c>
      <c r="C70" s="10"/>
      <c r="D70" s="9"/>
      <c r="E70" s="11">
        <f t="shared" si="9"/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6"/>
      </c>
      <c r="L70" s="7">
        <v>0</v>
      </c>
      <c r="M70" s="11">
        <f t="shared" si="7"/>
      </c>
      <c r="N70" s="11">
        <f t="shared" si="8"/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>
        <f>IFERROR(CalcRC27(F70,G70,K70,O70,P70,Q70,R70,S70,T70,U70,V70),"-")</f>
      </c>
      <c r="X70" s="2"/>
    </row>
    <row r="71" spans="2:24" ht="13.8" x14ac:dyDescent="0.2">
      <c r="B71" s="10">
        <v>68</v>
      </c>
      <c r="C71" s="10"/>
      <c r="D71" s="13"/>
      <c r="E71" s="11">
        <f t="shared" si="9"/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6"/>
      </c>
      <c r="L71" s="7">
        <v>0</v>
      </c>
      <c r="M71" s="11">
        <f t="shared" si="7"/>
      </c>
      <c r="N71" s="11">
        <f t="shared" si="8"/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>
        <f>IFERROR(CalcRC27(F71,G71,K71,O71,P71,Q71,R71,S71,T71,U71,V71),"-")</f>
      </c>
      <c r="X71" s="2"/>
    </row>
    <row r="72" spans="2:24" ht="13.8" x14ac:dyDescent="0.2">
      <c r="B72" s="10">
        <v>69</v>
      </c>
      <c r="C72" s="10"/>
      <c r="D72" s="13"/>
      <c r="E72" s="11">
        <f t="shared" si="9"/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6"/>
      </c>
      <c r="L72" s="7">
        <v>0</v>
      </c>
      <c r="M72" s="11">
        <f t="shared" si="7"/>
      </c>
      <c r="N72" s="11">
        <f t="shared" si="8"/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>
        <f>IFERROR(CalcRC27(F72,G72,K72,O72,P72,Q72,R72,S72,T72,U72,V72),"-")</f>
      </c>
      <c r="X72" s="2"/>
    </row>
    <row r="73" spans="2:24" ht="13.8" x14ac:dyDescent="0.2">
      <c r="B73" s="10">
        <v>70</v>
      </c>
      <c r="C73" s="10"/>
      <c r="D73" s="13"/>
      <c r="E73" s="11">
        <f t="shared" si="9"/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6"/>
      </c>
      <c r="L73" s="7">
        <v>0</v>
      </c>
      <c r="M73" s="11">
        <f t="shared" si="7"/>
      </c>
      <c r="N73" s="11">
        <f t="shared" si="8"/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>
        <f>IFERROR(CalcRC27(F73,G73,K73,O73,P73,Q73,R73,S73,T73,U73,V73),"-")</f>
      </c>
      <c r="X73" s="2"/>
    </row>
    <row r="74" spans="2:24" ht="13.8" x14ac:dyDescent="0.2">
      <c r="B74" s="10">
        <v>71</v>
      </c>
      <c r="C74" s="10"/>
      <c r="D74" s="13"/>
      <c r="E74" s="11">
        <f t="shared" si="9"/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6"/>
      </c>
      <c r="L74" s="7">
        <v>0</v>
      </c>
      <c r="M74" s="11">
        <f t="shared" si="7"/>
      </c>
      <c r="N74" s="11">
        <f t="shared" si="8"/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>
        <f>IFERROR(CalcRC27(F74,G74,K74,O74,P74,Q74,R74,S74,T74,U74,V74),"-")</f>
      </c>
      <c r="X74" s="2"/>
    </row>
    <row r="75" spans="2:24" ht="13.8" x14ac:dyDescent="0.2">
      <c r="B75" s="10">
        <v>72</v>
      </c>
      <c r="C75" s="10"/>
      <c r="D75" s="9"/>
      <c r="E75" s="11">
        <f t="shared" si="9"/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6"/>
      </c>
      <c r="L75" s="7">
        <v>0</v>
      </c>
      <c r="M75" s="11">
        <f t="shared" si="7"/>
      </c>
      <c r="N75" s="11">
        <f t="shared" si="8"/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>
        <f>IFERROR(CalcRC27(F75,G75,K75,O75,P75,Q75,R75,S75,T75,U75,V75),"-")</f>
      </c>
      <c r="X75" s="2"/>
    </row>
    <row r="76" spans="2:24" ht="13.8" x14ac:dyDescent="0.2">
      <c r="B76" s="10">
        <v>73</v>
      </c>
      <c r="C76" s="10"/>
      <c r="D76" s="13"/>
      <c r="E76" s="11">
        <f t="shared" si="9"/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6"/>
      </c>
      <c r="L76" s="7">
        <v>0</v>
      </c>
      <c r="M76" s="11">
        <f t="shared" si="7"/>
      </c>
      <c r="N76" s="11">
        <f t="shared" si="8"/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>
        <f>IFERROR(CalcRC27(F76,G76,K76,O76,P76,Q76,R76,S76,T76,U76,V76),"-")</f>
      </c>
      <c r="X76" s="2"/>
    </row>
    <row r="77" spans="2:24" ht="13.8" x14ac:dyDescent="0.2">
      <c r="B77" s="10">
        <v>74</v>
      </c>
      <c r="C77" s="10"/>
      <c r="D77" s="8"/>
      <c r="E77" s="11">
        <f t="shared" si="9"/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6"/>
      </c>
      <c r="L77" s="7">
        <v>0</v>
      </c>
      <c r="M77" s="11">
        <f t="shared" si="7"/>
      </c>
      <c r="N77" s="11">
        <f t="shared" si="8"/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>
        <f>IFERROR(CalcRC27(F77,G77,K77,O77,P77,Q77,R77,S77,T77,U77,V77),"-")</f>
      </c>
      <c r="X77" s="2"/>
    </row>
    <row r="78" spans="2:24" ht="13.8" x14ac:dyDescent="0.2">
      <c r="B78" s="10">
        <v>75</v>
      </c>
      <c r="C78" s="10"/>
      <c r="D78" s="8"/>
      <c r="E78" s="11">
        <f t="shared" si="9"/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6"/>
      </c>
      <c r="L78" s="7">
        <v>0</v>
      </c>
      <c r="M78" s="11">
        <f t="shared" si="7"/>
      </c>
      <c r="N78" s="11">
        <f t="shared" si="8"/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>
        <f>IFERROR(CalcRC27(F78,G78,K78,O78,P78,Q78,R78,S78,T78,U78,V78),"-")</f>
      </c>
      <c r="X78" s="2"/>
    </row>
    <row r="79" spans="2:24" ht="13.8" x14ac:dyDescent="0.2">
      <c r="B79" s="10">
        <v>76</v>
      </c>
      <c r="C79" s="10"/>
      <c r="D79" s="8"/>
      <c r="E79" s="11">
        <f t="shared" si="9"/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6"/>
      </c>
      <c r="L79" s="7">
        <v>0</v>
      </c>
      <c r="M79" s="11">
        <f t="shared" si="7"/>
      </c>
      <c r="N79" s="11">
        <f t="shared" si="8"/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>
        <f>IFERROR(CalcRC27(F79,G79,K79,O79,P79,Q79,R79,S79,T79,U79,V79),"-")</f>
      </c>
      <c r="X79" s="2"/>
    </row>
    <row r="80" spans="2:24" ht="13.8" x14ac:dyDescent="0.2">
      <c r="B80" s="10">
        <v>77</v>
      </c>
      <c r="C80" s="10"/>
      <c r="D80" s="8"/>
      <c r="E80" s="11">
        <f t="shared" si="9"/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6"/>
      </c>
      <c r="L80" s="7">
        <v>0</v>
      </c>
      <c r="M80" s="11">
        <f t="shared" si="7"/>
      </c>
      <c r="N80" s="11">
        <f t="shared" si="8"/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>
        <f>IFERROR(CalcRC27(F80,G80,K80,O80,P80,Q80,R80,S80,T80,U80,V80),"-")</f>
      </c>
      <c r="X80" s="2"/>
    </row>
    <row r="81" spans="2:24" ht="13.8" x14ac:dyDescent="0.2">
      <c r="B81" s="10">
        <v>78</v>
      </c>
      <c r="C81" s="10"/>
      <c r="D81" s="8"/>
      <c r="E81" s="11">
        <f t="shared" si="9"/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6"/>
      </c>
      <c r="L81" s="7">
        <v>0</v>
      </c>
      <c r="M81" s="11">
        <f t="shared" si="7"/>
      </c>
      <c r="N81" s="11">
        <f t="shared" si="8"/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>
        <f>IFERROR(CalcRC27(F81,G81,K81,O81,P81,Q81,R81,S81,T81,U81,V81),"-")</f>
      </c>
      <c r="X81" s="2"/>
    </row>
    <row r="82" spans="2:24" ht="13.8" x14ac:dyDescent="0.2">
      <c r="B82" s="10">
        <v>79</v>
      </c>
      <c r="C82" s="10"/>
      <c r="D82" s="8"/>
      <c r="E82" s="11">
        <f t="shared" si="9"/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6"/>
      </c>
      <c r="L82" s="7">
        <v>0</v>
      </c>
      <c r="M82" s="11">
        <f t="shared" si="7"/>
      </c>
      <c r="N82" s="11">
        <f t="shared" si="8"/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>
        <f>IFERROR(CalcRC27(F82,G82,K82,O82,P82,Q82,R82,S82,T82,U82,V82),"-")</f>
      </c>
      <c r="X82" s="2"/>
    </row>
    <row r="83" spans="2:24" ht="13.8" x14ac:dyDescent="0.2">
      <c r="B83" s="10">
        <v>80</v>
      </c>
      <c r="C83" s="10"/>
      <c r="D83" s="13"/>
      <c r="E83" s="11">
        <f t="shared" si="9"/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6"/>
      </c>
      <c r="L83" s="7">
        <v>0</v>
      </c>
      <c r="M83" s="11">
        <f t="shared" si="7"/>
      </c>
      <c r="N83" s="11">
        <f t="shared" si="8"/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>
        <f>IFERROR(CalcRC27(F83,G83,K83,O83,P83,Q83,R83,S83,T83,U83,V83),"-")</f>
      </c>
      <c r="X83" s="2"/>
    </row>
    <row r="84" spans="2:24" ht="13.8" x14ac:dyDescent="0.2">
      <c r="B84" s="10">
        <v>81</v>
      </c>
      <c r="C84" s="10"/>
      <c r="D84" s="8"/>
      <c r="E84" s="11">
        <f t="shared" si="9"/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6"/>
      </c>
      <c r="L84" s="7">
        <v>0</v>
      </c>
      <c r="M84" s="11">
        <f t="shared" si="7"/>
      </c>
      <c r="N84" s="11">
        <f t="shared" si="8"/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>
        <f>IFERROR(CalcRC27(F84,G84,K84,O84,P84,Q84,R84,S84,T84,U84,V84),"-")</f>
      </c>
      <c r="X84" s="2"/>
    </row>
    <row r="85" spans="2:24" ht="13.8" x14ac:dyDescent="0.2">
      <c r="B85" s="10">
        <v>82</v>
      </c>
      <c r="C85" s="10"/>
      <c r="D85" s="8"/>
      <c r="E85" s="11">
        <f t="shared" si="9"/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6"/>
      </c>
      <c r="L85" s="7">
        <v>0</v>
      </c>
      <c r="M85" s="11">
        <f t="shared" si="7"/>
      </c>
      <c r="N85" s="11">
        <f t="shared" si="8"/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>
        <f>IFERROR(CalcRC27(F85,G85,K85,O85,P85,Q85,R85,S85,T85,U85,V85),"-")</f>
      </c>
      <c r="X85" s="2"/>
    </row>
    <row r="86" spans="2:24" ht="13.8" x14ac:dyDescent="0.2">
      <c r="B86" s="10">
        <v>83</v>
      </c>
      <c r="C86" s="10"/>
      <c r="D86" s="8"/>
      <c r="E86" s="11">
        <f t="shared" si="9"/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6"/>
      </c>
      <c r="L86" s="7">
        <v>0</v>
      </c>
      <c r="M86" s="11">
        <f t="shared" si="7"/>
      </c>
      <c r="N86" s="11">
        <f t="shared" si="8"/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>
        <f>IFERROR(CalcRC27(F86,G86,K86,O86,P86,Q86,R86,S86,T86,U86,V86),"-")</f>
      </c>
      <c r="X86" s="2"/>
    </row>
    <row r="87" spans="2:24" ht="13.8" x14ac:dyDescent="0.2">
      <c r="B87" s="10">
        <v>84</v>
      </c>
      <c r="C87" s="10"/>
      <c r="D87" s="8"/>
      <c r="E87" s="11">
        <f t="shared" si="9"/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6"/>
      </c>
      <c r="L87" s="7">
        <v>0</v>
      </c>
      <c r="M87" s="11">
        <f t="shared" si="7"/>
      </c>
      <c r="N87" s="11">
        <f t="shared" si="8"/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>
        <f>IFERROR(CalcRC27(F87,G87,K87,O87,P87,Q87,R87,S87,T87,U87,V87),"-")</f>
      </c>
      <c r="X87" s="2"/>
    </row>
    <row r="88" spans="2:24" ht="13.8" x14ac:dyDescent="0.2">
      <c r="B88" s="10">
        <v>85</v>
      </c>
      <c r="C88" s="10"/>
      <c r="D88" s="8"/>
      <c r="E88" s="11">
        <f t="shared" si="9"/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6"/>
      </c>
      <c r="L88" s="7">
        <v>0</v>
      </c>
      <c r="M88" s="11">
        <f t="shared" si="7"/>
      </c>
      <c r="N88" s="11">
        <f t="shared" si="8"/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>
        <f>IFERROR(CalcRC27(F88,G88,K88,O88,P88,Q88,R88,S88,T88,U88,V88),"-")</f>
      </c>
      <c r="X88" s="2"/>
    </row>
    <row r="89" spans="2:24" ht="13.8" x14ac:dyDescent="0.2">
      <c r="B89" s="10">
        <v>86</v>
      </c>
      <c r="C89" s="10"/>
      <c r="D89" s="8"/>
      <c r="E89" s="11">
        <f t="shared" si="9"/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6"/>
      </c>
      <c r="L89" s="7">
        <v>0</v>
      </c>
      <c r="M89" s="11">
        <f t="shared" si="7"/>
      </c>
      <c r="N89" s="11">
        <f t="shared" si="8"/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>
        <f>IFERROR(CalcRC27(F89,G89,K89,O89,P89,Q89,R89,S89,T89,U89,V89),"-")</f>
      </c>
      <c r="X89" s="2"/>
    </row>
    <row r="90" spans="2:24" ht="13.8" x14ac:dyDescent="0.2">
      <c r="B90" s="10">
        <v>87</v>
      </c>
      <c r="C90" s="10"/>
      <c r="D90" s="8"/>
      <c r="E90" s="11">
        <f t="shared" si="9"/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6"/>
      </c>
      <c r="L90" s="7">
        <v>0</v>
      </c>
      <c r="M90" s="11">
        <f t="shared" si="7"/>
      </c>
      <c r="N90" s="11">
        <f t="shared" si="8"/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>
        <f>IFERROR(CalcRC27(F90,G90,K90,O90,P90,Q90,R90,S90,T90,U90,V90),"-")</f>
      </c>
      <c r="X90" s="2"/>
    </row>
    <row r="91" spans="2:24" ht="13.8" x14ac:dyDescent="0.2">
      <c r="B91" s="10">
        <v>88</v>
      </c>
      <c r="C91" s="10"/>
      <c r="D91" s="8"/>
      <c r="E91" s="11">
        <f t="shared" si="9"/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6"/>
      </c>
      <c r="L91" s="7">
        <v>0</v>
      </c>
      <c r="M91" s="11">
        <f t="shared" si="7"/>
      </c>
      <c r="N91" s="11">
        <f t="shared" si="8"/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>
        <f>IFERROR(CalcRC27(F91,G91,K91,O91,P91,Q91,R91,S91,T91,U91,V91),"-")</f>
      </c>
      <c r="X91" s="2"/>
    </row>
    <row r="92" spans="2:24" ht="13.8" x14ac:dyDescent="0.2">
      <c r="B92" s="10">
        <v>89</v>
      </c>
      <c r="C92" s="10"/>
      <c r="D92" s="8"/>
      <c r="E92" s="11">
        <f t="shared" si="9"/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6"/>
      </c>
      <c r="L92" s="7">
        <v>0</v>
      </c>
      <c r="M92" s="11">
        <f t="shared" si="7"/>
      </c>
      <c r="N92" s="11">
        <f t="shared" si="8"/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>
        <f>IFERROR(CalcRC27(F92,G92,K92,O92,P92,Q92,R92,S92,T92,U92,V92),"-")</f>
      </c>
      <c r="X92" s="2"/>
    </row>
    <row r="93" spans="2:24" ht="13.8" x14ac:dyDescent="0.2">
      <c r="B93" s="10">
        <v>90</v>
      </c>
      <c r="C93" s="10"/>
      <c r="D93" s="13"/>
      <c r="E93" s="11">
        <f t="shared" si="9"/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6"/>
      </c>
      <c r="L93" s="7">
        <v>0</v>
      </c>
      <c r="M93" s="11">
        <f t="shared" si="7"/>
      </c>
      <c r="N93" s="11">
        <f t="shared" si="8"/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>
        <f>IFERROR(CalcRC27(F93,G93,K93,O93,P93,Q93,R93,S93,T93,U93,V93),"-")</f>
      </c>
      <c r="X93" s="2"/>
    </row>
    <row r="94" spans="2:24" ht="13.8" x14ac:dyDescent="0.2">
      <c r="B94" s="10">
        <v>91</v>
      </c>
      <c r="C94" s="10"/>
      <c r="D94" s="8"/>
      <c r="E94" s="11">
        <f t="shared" si="9"/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6"/>
      </c>
      <c r="L94" s="7">
        <v>0</v>
      </c>
      <c r="M94" s="11">
        <f t="shared" si="7"/>
      </c>
      <c r="N94" s="11">
        <f t="shared" si="8"/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>
        <f>IFERROR(CalcRC27(F94,G94,K94,O94,P94,Q94,R94,S94,T94,U94,V94),"-")</f>
      </c>
      <c r="X94" s="2"/>
    </row>
    <row r="95" spans="2:24" ht="13.8" x14ac:dyDescent="0.2">
      <c r="B95" s="10">
        <v>92</v>
      </c>
      <c r="C95" s="10"/>
      <c r="D95" s="8"/>
      <c r="E95" s="11">
        <f t="shared" si="9"/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6"/>
      </c>
      <c r="L95" s="7">
        <v>0</v>
      </c>
      <c r="M95" s="11">
        <f t="shared" si="7"/>
      </c>
      <c r="N95" s="11">
        <f t="shared" si="8"/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>
        <f>IFERROR(CalcRC27(F95,G95,K95,O95,P95,Q95,R95,S95,T95,U95,V95),"-")</f>
      </c>
      <c r="X95" s="2"/>
    </row>
    <row r="96" spans="2:24" ht="13.8" x14ac:dyDescent="0.2">
      <c r="B96" s="10">
        <v>93</v>
      </c>
      <c r="C96" s="10"/>
      <c r="D96" s="9"/>
      <c r="E96" s="11">
        <f t="shared" si="9"/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6"/>
      </c>
      <c r="L96" s="7">
        <v>0</v>
      </c>
      <c r="M96" s="11">
        <f t="shared" si="7"/>
      </c>
      <c r="N96" s="11">
        <f t="shared" si="8"/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>
        <f>IFERROR(CalcRC27(F96,G96,K96,O96,P96,Q96,R96,S96,T96,U96,V96),"-")</f>
      </c>
      <c r="X96" s="2"/>
    </row>
    <row r="97" spans="2:24" ht="13.8" x14ac:dyDescent="0.2">
      <c r="B97" s="10">
        <v>94</v>
      </c>
      <c r="C97" s="10"/>
      <c r="D97" s="8"/>
      <c r="E97" s="11">
        <f t="shared" si="9"/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6"/>
      </c>
      <c r="L97" s="7">
        <v>0</v>
      </c>
      <c r="M97" s="11">
        <f t="shared" si="7"/>
      </c>
      <c r="N97" s="11">
        <f t="shared" si="8"/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>
        <f>IFERROR(CalcRC27(F97,G97,K97,O97,P97,Q97,R97,S97,T97,U97,V97),"-")</f>
      </c>
      <c r="X97" s="2"/>
    </row>
    <row r="98" spans="2:24" ht="13.8" x14ac:dyDescent="0.2">
      <c r="B98" s="10">
        <v>95</v>
      </c>
      <c r="C98" s="10"/>
      <c r="D98" s="8"/>
      <c r="E98" s="11">
        <f t="shared" si="9"/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6"/>
      </c>
      <c r="L98" s="7">
        <v>0</v>
      </c>
      <c r="M98" s="11">
        <f t="shared" si="7"/>
      </c>
      <c r="N98" s="11">
        <f t="shared" si="8"/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>
        <f>IFERROR(CalcRC27(F98,G98,K98,O98,P98,Q98,R98,S98,T98,U98,V98),"-")</f>
      </c>
      <c r="X98" s="2"/>
    </row>
    <row r="99" spans="2:24" ht="13.8" x14ac:dyDescent="0.2">
      <c r="B99" s="10">
        <v>96</v>
      </c>
      <c r="C99" s="10"/>
      <c r="D99" s="8"/>
      <c r="E99" s="11">
        <f t="shared" si="9"/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6"/>
      </c>
      <c r="L99" s="7">
        <v>0</v>
      </c>
      <c r="M99" s="11">
        <f t="shared" si="7"/>
      </c>
      <c r="N99" s="11">
        <f t="shared" si="8"/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>
        <f>IFERROR(CalcRC27(F99,G99,K99,O99,P99,Q99,R99,S99,T99,U99,V99),"-")</f>
      </c>
      <c r="X99" s="2"/>
    </row>
    <row r="100" spans="2:24" ht="13.8" x14ac:dyDescent="0.2">
      <c r="B100" s="10">
        <v>97</v>
      </c>
      <c r="C100" s="10"/>
      <c r="D100" s="8"/>
      <c r="E100" s="11">
        <f t="shared" si="9"/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6"/>
      </c>
      <c r="L100" s="7">
        <v>0</v>
      </c>
      <c r="M100" s="11">
        <f t="shared" si="7"/>
      </c>
      <c r="N100" s="11">
        <f t="shared" si="8"/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>
        <f>IFERROR(CalcRC27(F100,G100,K100,O100,P100,Q100,R100,S100,T100,U100,V100),"-")</f>
      </c>
      <c r="X100" s="2"/>
    </row>
    <row r="101" spans="2:24" ht="13.8" x14ac:dyDescent="0.2">
      <c r="B101" s="10">
        <v>98</v>
      </c>
      <c r="C101" s="10"/>
      <c r="D101" s="8"/>
      <c r="E101" s="11">
        <f t="shared" si="9"/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6"/>
      </c>
      <c r="L101" s="7">
        <v>0</v>
      </c>
      <c r="M101" s="11">
        <f t="shared" si="7"/>
      </c>
      <c r="N101" s="11">
        <f t="shared" si="8"/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>
        <f>IFERROR(CalcRC27(F101,G101,K101,O101,P101,Q101,R101,S101,T101,U101,V101),"-")</f>
      </c>
      <c r="X101" s="2"/>
    </row>
    <row r="102" spans="2:24" ht="13.8" x14ac:dyDescent="0.2">
      <c r="B102" s="10">
        <v>99</v>
      </c>
      <c r="C102" s="10"/>
      <c r="D102" s="8"/>
      <c r="E102" s="11">
        <f t="shared" si="9"/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6"/>
      </c>
      <c r="L102" s="7">
        <v>0</v>
      </c>
      <c r="M102" s="11">
        <f t="shared" si="7"/>
      </c>
      <c r="N102" s="11">
        <f t="shared" si="8"/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>
        <f>IFERROR(CalcRC27(F102,G102,K102,O102,P102,Q102,R102,S102,T102,U102,V102),"-")</f>
      </c>
      <c r="X102" s="2"/>
    </row>
    <row r="103" spans="2:24" ht="13.8" x14ac:dyDescent="0.2">
      <c r="B103" s="8">
        <f t="shared" ref="B103:B134" si="10">IF(C103="","",C103)</f>
      </c>
      <c r="C103" s="10"/>
      <c r="D103" s="8"/>
      <c r="E103" s="11">
        <f t="shared" si="9"/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6"/>
      </c>
      <c r="L103" s="7">
        <v>0</v>
      </c>
      <c r="M103" s="11">
        <f t="shared" si="7"/>
      </c>
      <c r="N103" s="11">
        <f t="shared" si="8"/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</c>
      <c r="X103" s="2"/>
    </row>
    <row r="104" spans="2:24" ht="13.8" x14ac:dyDescent="0.2">
      <c r="B104" s="8">
        <f t="shared" si="10"/>
      </c>
      <c r="C104" s="10"/>
      <c r="D104" s="9"/>
      <c r="E104" s="11">
        <f t="shared" si="9"/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6"/>
      </c>
      <c r="L104" s="7">
        <v>0</v>
      </c>
      <c r="M104" s="11">
        <f t="shared" si="7"/>
      </c>
      <c r="N104" s="11">
        <f t="shared" si="8"/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</c>
      <c r="X104" s="2"/>
    </row>
    <row r="105" spans="2:24" ht="13.8" x14ac:dyDescent="0.2">
      <c r="B105" s="8"/>
      <c r="C105" s="10"/>
      <c r="D105" s="14"/>
      <c r="E105" s="11">
        <f t="shared" si="9"/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6"/>
      </c>
      <c r="L105" s="7">
        <v>0</v>
      </c>
      <c r="M105" s="11">
        <f t="shared" si="7"/>
      </c>
      <c r="N105" s="11">
        <f t="shared" si="8"/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>
        <f>IFERROR(CalcRC27(F105,G105,K105,O105,P105,Q105,R105,S105,T105,U105,V105),"-")</f>
      </c>
      <c r="X105" s="2"/>
    </row>
    <row r="106" spans="2:24" ht="13.8" x14ac:dyDescent="0.2">
      <c r="B106" s="8"/>
      <c r="C106" s="10"/>
      <c r="D106" s="9"/>
      <c r="E106" s="11">
        <f t="shared" si="9"/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6"/>
      </c>
      <c r="L106" s="7">
        <v>0</v>
      </c>
      <c r="M106" s="11">
        <f t="shared" si="7"/>
      </c>
      <c r="N106" s="11">
        <f t="shared" si="8"/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>
        <f>IFERROR(CalcRC27(F106,G106,K106,O106,P106,Q106,R106,S106,T106,U106,V106),"-")</f>
      </c>
      <c r="X106" s="2"/>
    </row>
    <row r="107" spans="2:24" ht="13.8" x14ac:dyDescent="0.2">
      <c r="B107" s="8"/>
      <c r="C107" s="10"/>
      <c r="D107" s="9"/>
      <c r="E107" s="11">
        <f t="shared" si="9"/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6"/>
      </c>
      <c r="L107" s="7">
        <v>0</v>
      </c>
      <c r="M107" s="11">
        <f t="shared" si="7"/>
      </c>
      <c r="N107" s="11">
        <f t="shared" si="8"/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>
        <f>IFERROR(CalcRC27(F107,G107,K107,O107,P107,Q107,R107,S107,T107,U107,V107),"-")</f>
      </c>
      <c r="X107" s="2"/>
    </row>
    <row r="108" spans="2:24" ht="13.8" x14ac:dyDescent="0.2">
      <c r="B108" s="8"/>
      <c r="C108" s="10"/>
      <c r="D108" s="9"/>
      <c r="E108" s="11">
        <f t="shared" si="9"/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6"/>
      </c>
      <c r="L108" s="7">
        <v>0</v>
      </c>
      <c r="M108" s="11">
        <f t="shared" si="7"/>
      </c>
      <c r="N108" s="11">
        <f t="shared" si="8"/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>
        <f>IFERROR(CalcRC27(F108,G108,K108,O108,P108,Q108,R108,S108,T108,U108,V108),"-")</f>
      </c>
      <c r="X108" s="2"/>
    </row>
    <row r="109" spans="2:24" ht="13.8" x14ac:dyDescent="0.2">
      <c r="B109" s="8"/>
      <c r="C109" s="10"/>
      <c r="D109" s="9"/>
      <c r="E109" s="11">
        <f t="shared" si="9"/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6"/>
      </c>
      <c r="L109" s="7">
        <v>0</v>
      </c>
      <c r="M109" s="11">
        <f t="shared" si="7"/>
      </c>
      <c r="N109" s="11">
        <f t="shared" si="8"/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>
        <f>IFERROR(CalcRC27(F109,G109,K109,O109,P109,Q109,R109,S109,T109,U109,V109),"-")</f>
      </c>
      <c r="X109" s="2"/>
    </row>
    <row r="110" spans="2:24" ht="13.8" x14ac:dyDescent="0.2">
      <c r="B110" s="8"/>
      <c r="C110" s="10"/>
      <c r="D110" s="9"/>
      <c r="E110" s="11">
        <f t="shared" si="9"/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6"/>
      </c>
      <c r="L110" s="7">
        <v>0</v>
      </c>
      <c r="M110" s="11">
        <f t="shared" si="7"/>
      </c>
      <c r="N110" s="11">
        <f t="shared" si="8"/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>
        <f>IFERROR(CalcRC27(F110,G110,K110,O110,P110,Q110,R110,S110,T110,U110,V110),"-")</f>
      </c>
      <c r="X110" s="2"/>
    </row>
    <row r="111" spans="2:24" ht="13.8" x14ac:dyDescent="0.2">
      <c r="B111" s="8"/>
      <c r="C111" s="10"/>
      <c r="D111" s="9"/>
      <c r="E111" s="11">
        <f t="shared" si="9"/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6"/>
      </c>
      <c r="L111" s="7">
        <v>0</v>
      </c>
      <c r="M111" s="11">
        <f t="shared" si="7"/>
      </c>
      <c r="N111" s="11">
        <f t="shared" si="8"/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>
        <f>IFERROR(CalcRC27(F111,G111,K111,O111,P111,Q111,R111,S111,T111,U111,V111),"-")</f>
      </c>
      <c r="X111" s="2"/>
    </row>
    <row r="112" spans="2:24" ht="13.8" x14ac:dyDescent="0.2">
      <c r="B112" s="8"/>
      <c r="C112" s="10"/>
      <c r="D112" s="9"/>
      <c r="E112" s="11">
        <f t="shared" si="9"/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6"/>
      </c>
      <c r="L112" s="7">
        <v>0</v>
      </c>
      <c r="M112" s="11">
        <f t="shared" si="7"/>
      </c>
      <c r="N112" s="11">
        <f t="shared" si="8"/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>
        <f>IFERROR(CalcRC27(F112,G112,K112,O112,P112,Q112,R112,S112,T112,U112,V112),"-")</f>
      </c>
      <c r="X112" s="2"/>
    </row>
    <row r="113" spans="2:24" ht="13.8" x14ac:dyDescent="0.2">
      <c r="B113" s="8"/>
      <c r="C113" s="10"/>
      <c r="D113" s="9"/>
      <c r="E113" s="11">
        <f t="shared" si="9"/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6"/>
      </c>
      <c r="L113" s="7">
        <v>0</v>
      </c>
      <c r="M113" s="11">
        <f t="shared" si="7"/>
      </c>
      <c r="N113" s="11">
        <f t="shared" si="8"/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>
        <f>IFERROR(CalcRC27(F113,G113,K113,O113,P113,Q113,R113,S113,T113,U113,V113),"-")</f>
      </c>
      <c r="X113" s="2"/>
    </row>
    <row r="114" spans="2:24" ht="13.8" x14ac:dyDescent="0.2">
      <c r="B114" s="8"/>
      <c r="C114" s="10"/>
      <c r="D114" s="9"/>
      <c r="E114" s="11">
        <f t="shared" si="9"/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6"/>
      </c>
      <c r="L114" s="7">
        <v>0</v>
      </c>
      <c r="M114" s="11">
        <f t="shared" si="7"/>
      </c>
      <c r="N114" s="11">
        <f t="shared" si="8"/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>
        <f>IFERROR(CalcRC27(F114,G114,K114,O114,P114,Q114,R114,S114,T114,U114,V114),"-")</f>
      </c>
      <c r="X114" s="2"/>
    </row>
    <row r="115" spans="2:24" ht="13.8" x14ac:dyDescent="0.2">
      <c r="B115" s="8"/>
      <c r="C115" s="10"/>
      <c r="D115" s="9"/>
      <c r="E115" s="11">
        <f t="shared" si="9"/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6"/>
      </c>
      <c r="L115" s="7">
        <v>0</v>
      </c>
      <c r="M115" s="11">
        <f t="shared" si="7"/>
      </c>
      <c r="N115" s="11">
        <f t="shared" si="8"/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>
        <f>IFERROR(CalcRC27(F115,G115,K115,O115,P115,Q115,R115,S115,T115,U115,V115),"-")</f>
      </c>
      <c r="X115" s="2"/>
    </row>
    <row r="116" spans="2:24" ht="13.8" x14ac:dyDescent="0.2">
      <c r="B116" s="8"/>
      <c r="C116" s="10"/>
      <c r="D116" s="9"/>
      <c r="E116" s="11">
        <f t="shared" si="9"/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6"/>
      </c>
      <c r="L116" s="7">
        <v>0</v>
      </c>
      <c r="M116" s="11">
        <f t="shared" si="7"/>
      </c>
      <c r="N116" s="11">
        <f t="shared" si="8"/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>
        <f>IFERROR(CalcRC27(F116,G116,K116,O116,P116,Q116,R116,S116,T116,U116,V116),"-")</f>
      </c>
      <c r="X116" s="2"/>
    </row>
    <row r="117" spans="2:24" ht="13.8" x14ac:dyDescent="0.2">
      <c r="B117" s="8"/>
      <c r="C117" s="10"/>
      <c r="D117" s="9"/>
      <c r="E117" s="11">
        <f t="shared" si="9"/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6"/>
      </c>
      <c r="L117" s="7">
        <v>0</v>
      </c>
      <c r="M117" s="11">
        <f t="shared" si="7"/>
      </c>
      <c r="N117" s="11">
        <f t="shared" si="8"/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>
        <f>IFERROR(CalcRC27(F117,G117,K117,O117,P117,Q117,R117,S117,T117,U117,V117),"-")</f>
      </c>
      <c r="X117" s="2"/>
    </row>
    <row r="118" spans="2:24" ht="13.8" x14ac:dyDescent="0.2">
      <c r="B118" s="8"/>
      <c r="C118" s="10"/>
      <c r="D118" s="9"/>
      <c r="E118" s="11">
        <f t="shared" si="9"/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6"/>
      </c>
      <c r="L118" s="7">
        <v>0</v>
      </c>
      <c r="M118" s="11">
        <f t="shared" si="7"/>
      </c>
      <c r="N118" s="11">
        <f t="shared" si="8"/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>
        <f>IFERROR(CalcRC27(F118,G118,K118,O118,P118,Q118,R118,S118,T118,U118,V118),"-")</f>
      </c>
      <c r="X118" s="2"/>
    </row>
    <row r="119" spans="2:24" ht="13.8" x14ac:dyDescent="0.2">
      <c r="B119" s="8"/>
      <c r="C119" s="10"/>
      <c r="D119" s="9"/>
      <c r="E119" s="11">
        <f t="shared" si="9"/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6"/>
      </c>
      <c r="L119" s="7">
        <v>0</v>
      </c>
      <c r="M119" s="11">
        <f t="shared" si="7"/>
      </c>
      <c r="N119" s="11">
        <f t="shared" si="8"/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>
        <f>IFERROR(CalcRC27(F119,G119,K119,O119,P119,Q119,R119,S119,T119,U119,V119),"-")</f>
      </c>
      <c r="X119" s="2"/>
    </row>
    <row r="120" spans="2:24" ht="13.8" x14ac:dyDescent="0.2">
      <c r="B120" s="8"/>
      <c r="C120" s="10"/>
      <c r="D120" s="9"/>
      <c r="E120" s="11">
        <f t="shared" si="9"/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6"/>
      </c>
      <c r="L120" s="7">
        <v>0</v>
      </c>
      <c r="M120" s="11">
        <f t="shared" si="7"/>
      </c>
      <c r="N120" s="11">
        <f t="shared" si="8"/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>
        <f>IFERROR(CalcRC27(F120,G120,K120,O120,P120,Q120,R120,S120,T120,U120,V120),"-")</f>
      </c>
      <c r="X120" s="2"/>
    </row>
    <row r="121" spans="2:24" ht="13.8" x14ac:dyDescent="0.2">
      <c r="B121" s="8">
        <f t="shared" si="10"/>
      </c>
      <c r="C121" s="10"/>
      <c r="D121" s="9"/>
      <c r="E121" s="11">
        <f t="shared" si="9"/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6"/>
      </c>
      <c r="L121" s="7">
        <v>0</v>
      </c>
      <c r="M121" s="11">
        <f t="shared" si="7"/>
      </c>
      <c r="N121" s="11">
        <f t="shared" si="8"/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>
        <f>IFERROR(CalcRC27(F121,G121,K121,O121,P121,Q121,R121,S121,T121,U121,V121),"-")</f>
      </c>
      <c r="X121" s="2"/>
    </row>
    <row r="122" spans="2:24" ht="13.8" x14ac:dyDescent="0.2">
      <c r="B122" s="8">
        <f t="shared" si="10"/>
      </c>
      <c r="C122" s="10"/>
      <c r="D122" s="9"/>
      <c r="E122" s="11">
        <f t="shared" si="9"/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6"/>
      </c>
      <c r="L122" s="7">
        <v>0</v>
      </c>
      <c r="M122" s="11">
        <f t="shared" si="7"/>
      </c>
      <c r="N122" s="11">
        <f t="shared" si="8"/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>
        <f>IFERROR(CalcRC27(F122,G122,K122,O122,P122,Q122,R122,S122,T122,U122,V122),"-")</f>
      </c>
      <c r="X122" s="2"/>
    </row>
    <row r="123" spans="2:24" ht="13.8" x14ac:dyDescent="0.2">
      <c r="B123" s="8">
        <f t="shared" si="10"/>
      </c>
      <c r="C123" s="10"/>
      <c r="D123" s="9"/>
      <c r="E123" s="11">
        <f t="shared" si="9"/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6"/>
      </c>
      <c r="L123" s="7">
        <v>0</v>
      </c>
      <c r="M123" s="11">
        <f t="shared" si="7"/>
      </c>
      <c r="N123" s="11">
        <f t="shared" si="8"/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>
        <f>IFERROR(CalcRC27(F123,G123,K123,O123,P123,Q123,R123,S123,T123,U123,V123),"-")</f>
      </c>
      <c r="X123" s="2"/>
    </row>
    <row r="124" spans="2:24" ht="13.8" x14ac:dyDescent="0.2">
      <c r="B124" s="8">
        <f t="shared" si="10"/>
      </c>
      <c r="C124" s="10"/>
      <c r="D124" s="9"/>
      <c r="E124" s="11">
        <f t="shared" si="9"/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6"/>
      </c>
      <c r="L124" s="7">
        <v>0</v>
      </c>
      <c r="M124" s="11">
        <f t="shared" si="7"/>
      </c>
      <c r="N124" s="11">
        <f t="shared" si="8"/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>
        <f>IFERROR(CalcRC27(F124,G124,K124,O124,P124,Q124,R124,S124,T124,U124,V124),"-")</f>
      </c>
      <c r="X124" s="2"/>
    </row>
    <row r="125" spans="2:24" ht="13.8" x14ac:dyDescent="0.2">
      <c r="B125" s="8">
        <f t="shared" si="10"/>
      </c>
      <c r="C125" s="10"/>
      <c r="D125" s="9"/>
      <c r="E125" s="11">
        <f t="shared" si="9"/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6"/>
      </c>
      <c r="L125" s="7">
        <v>0</v>
      </c>
      <c r="M125" s="11">
        <f t="shared" si="7"/>
      </c>
      <c r="N125" s="11">
        <f t="shared" si="8"/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>
        <f>IFERROR(CalcRC27(F125,G125,K125,O125,P125,Q125,R125,S125,T125,U125,V125),"-")</f>
      </c>
      <c r="X125" s="2"/>
    </row>
    <row r="126" spans="2:24" ht="13.8" x14ac:dyDescent="0.2">
      <c r="B126" s="8">
        <f t="shared" si="10"/>
      </c>
      <c r="C126" s="10"/>
      <c r="D126" s="9"/>
      <c r="E126" s="11">
        <f t="shared" si="9"/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6"/>
      </c>
      <c r="L126" s="7">
        <v>0</v>
      </c>
      <c r="M126" s="11">
        <f t="shared" si="7"/>
      </c>
      <c r="N126" s="11">
        <f t="shared" si="8"/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>
        <f>IFERROR(CalcRC27(F126,G126,K126,O126,P126,Q126,R126,S126,T126,U126,V126),"-")</f>
      </c>
      <c r="X126" s="2"/>
    </row>
    <row r="127" spans="2:24" ht="13.8" x14ac:dyDescent="0.2">
      <c r="B127" s="8">
        <f t="shared" si="10"/>
      </c>
      <c r="C127" s="10"/>
      <c r="D127" s="9"/>
      <c r="E127" s="11">
        <f t="shared" si="9"/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6"/>
      </c>
      <c r="L127" s="7">
        <v>0</v>
      </c>
      <c r="M127" s="11">
        <f t="shared" si="7"/>
      </c>
      <c r="N127" s="11">
        <f t="shared" si="8"/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>
        <f>IFERROR(CalcRC27(F127,G127,K127,O127,P127,Q127,R127,S127,T127,U127,V127),"-")</f>
      </c>
      <c r="X127" s="2"/>
    </row>
    <row r="128" spans="2:24" ht="13.8" x14ac:dyDescent="0.2">
      <c r="B128" s="8">
        <f t="shared" si="10"/>
      </c>
      <c r="C128" s="10"/>
      <c r="D128" s="9"/>
      <c r="E128" s="11">
        <f t="shared" si="9"/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6"/>
      </c>
      <c r="L128" s="7">
        <v>0</v>
      </c>
      <c r="M128" s="11">
        <f t="shared" si="7"/>
      </c>
      <c r="N128" s="11">
        <f t="shared" si="8"/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>
        <f>IFERROR(CalcRC27(F128,G128,K128,O128,P128,Q128,R128,S128,T128,U128,V128),"-")</f>
      </c>
      <c r="X128" s="2"/>
    </row>
    <row r="129" spans="2:24" ht="13.8" x14ac:dyDescent="0.2">
      <c r="B129" s="8">
        <f t="shared" si="10"/>
      </c>
      <c r="C129" s="10"/>
      <c r="D129" s="9"/>
      <c r="E129" s="11">
        <f t="shared" si="9"/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6"/>
      </c>
      <c r="L129" s="7">
        <v>0</v>
      </c>
      <c r="M129" s="11">
        <f t="shared" si="7"/>
      </c>
      <c r="N129" s="11">
        <f t="shared" si="8"/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>
        <f>IFERROR(CalcRC27(F129,G129,K129,O129,P129,Q129,R129,S129,T129,U129,V129),"-")</f>
      </c>
      <c r="X129" s="2"/>
    </row>
    <row r="130" spans="2:24" ht="13.8" x14ac:dyDescent="0.2">
      <c r="B130" s="8">
        <f t="shared" si="10"/>
      </c>
      <c r="C130" s="10"/>
      <c r="D130" s="9"/>
      <c r="E130" s="11">
        <f t="shared" si="9"/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6"/>
      </c>
      <c r="L130" s="7">
        <v>1</v>
      </c>
      <c r="M130" s="11">
        <f t="shared" si="7"/>
      </c>
      <c r="N130" s="11">
        <f t="shared" si="8"/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>
        <f>IFERROR(CalcRC27(F130,G130,K130,O130,P130,Q130,R130,S130,T130,U130,V130),"-")</f>
      </c>
      <c r="X130" s="2"/>
    </row>
    <row r="131" spans="2:24" ht="13.8" x14ac:dyDescent="0.2">
      <c r="B131" s="8">
        <f t="shared" si="10"/>
      </c>
      <c r="C131" s="10"/>
      <c r="D131" s="9"/>
      <c r="E131" s="11">
        <f t="shared" si="9"/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6"/>
      </c>
      <c r="L131" s="7">
        <v>2</v>
      </c>
      <c r="M131" s="11">
        <f t="shared" si="7"/>
      </c>
      <c r="N131" s="11">
        <f t="shared" si="8"/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>
        <f>IFERROR(CalcRC27(F131,G131,K131,O131,P131,Q131,R131,S131,T131,U131,V131),"-")</f>
      </c>
      <c r="X131" s="2"/>
    </row>
    <row r="132" spans="2:24" ht="13.8" x14ac:dyDescent="0.2">
      <c r="B132" s="8">
        <f t="shared" si="10"/>
      </c>
      <c r="C132" s="10"/>
      <c r="D132" s="9"/>
      <c r="E132" s="11">
        <f t="shared" si="9"/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1">((G132-H132-I132-J132)+(H132*2)+(I132*3)+(J132*4))</f>
      </c>
      <c r="L132" s="7">
        <v>3</v>
      </c>
      <c r="M132" s="11">
        <f t="shared" ref="M132:M134" si="12">IFERROR(IF((G132+P132+Q132)/(F132+P132+Q132+S132)=1,"1.00",(G132+P132+Q132)/(F132+P132+Q132+S132)),0)</f>
      </c>
      <c r="N132" s="11">
        <f t="shared" ref="N132:N134" si="13">IFERROR(SUM(K132/F132,((G132+P132+Q132)/(F132+P132+Q132+S132))),M132)</f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>
        <f>IFERROR(CalcRC27(F132,G132,K132,O132,P132,Q132,R132,S132,T132,U132,V132),"-")</f>
      </c>
      <c r="X132" s="2"/>
    </row>
    <row r="133" spans="2:24" ht="13.8" x14ac:dyDescent="0.2">
      <c r="B133" s="8">
        <f t="shared" si="10"/>
      </c>
      <c r="C133" s="10"/>
      <c r="D133" s="9"/>
      <c r="E133" s="11">
        <f t="shared" ref="E133:E134" si="14">IFERROR(IF(G133/F133=1,"1.00",G133/F133),"---")</f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1"/>
      </c>
      <c r="L133" s="7">
        <v>4</v>
      </c>
      <c r="M133" s="11">
        <f t="shared" si="12"/>
      </c>
      <c r="N133" s="11">
        <f t="shared" si="13"/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>
        <f>IFERROR(CalcRC27(F133,G133,K133,O133,P133,Q133,R133,S133,T133,U133,V133),"-")</f>
      </c>
      <c r="X133" s="2"/>
    </row>
    <row r="134" spans="2:24" ht="13.8" x14ac:dyDescent="0.2">
      <c r="B134" s="8">
        <f t="shared" si="10"/>
      </c>
      <c r="C134" s="10"/>
      <c r="D134" s="9"/>
      <c r="E134" s="11">
        <f t="shared" si="14"/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1"/>
      </c>
      <c r="L134" s="7">
        <v>5</v>
      </c>
      <c r="M134" s="11">
        <f t="shared" si="12"/>
      </c>
      <c r="N134" s="11">
        <f t="shared" si="13"/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>
        <f>IFERROR(CalcRC27(F134,G134,K134,O134,P134,Q134,R134,S134,T134,U134,V134),"-")</f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E1FBD-8AF4-4C84-AE92-F2A2E40CC0C7}">
  <sheetPr codeName="Sheet15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2"/>
      <c r="C2" s="122"/>
      <c r="D2" s="122"/>
      <c r="E2" s="4">
        <f>IFERROR(G2/F2,0)</f>
      </c>
      <c r="F2" s="5">
        <f t="shared" ref="F2:L2" si="0">SUM(F4:F104)</f>
      </c>
      <c r="G2" s="5">
        <f t="shared" si="0"/>
      </c>
      <c r="H2" s="5">
        <f t="shared" si="0"/>
      </c>
      <c r="I2" s="5">
        <f t="shared" si="0"/>
      </c>
      <c r="J2" s="6">
        <f t="shared" si="0"/>
      </c>
      <c r="K2" s="12">
        <f t="shared" si="0"/>
      </c>
      <c r="L2" s="7">
        <f t="shared" si="0"/>
      </c>
      <c r="M2" s="11">
        <f>IFERROR(IF((G2+P2+Q2)/(F2+P2+Q2+R2)=1,"1.00",(G2+P2+Q2)/(F2+P2+Q2+R2)),0)</f>
      </c>
      <c r="N2" s="11">
        <f>IFERROR(SUM(SUM(((G2-H2-I2-J2)*1),H2*2,I2*3,J2*4)/F2,((G2+P2+Q2)/(F2+P2+Q2+R2))),M2)</f>
      </c>
      <c r="O2" s="5">
        <f>SUM(O4:O104)</f>
      </c>
      <c r="P2" s="5">
        <f>SUM(P4:P104)</f>
      </c>
      <c r="Q2" s="5">
        <f>SUM(Q4:Q104)</f>
      </c>
      <c r="R2" s="5">
        <f>SUM(R4:R104)</f>
      </c>
      <c r="S2" s="5">
        <f>SUM(S4:S104)</f>
      </c>
      <c r="T2" s="5">
        <f t="shared" ref="T2:V2" si="1">SUM(T4:T104)</f>
      </c>
      <c r="U2" s="5">
        <f t="shared" si="1"/>
      </c>
      <c r="V2" s="5">
        <f t="shared" si="1"/>
      </c>
      <c r="W2" s="20">
        <f>IFERROR(CalcRC27(F2,G2,K2,O2,P2,Q2,R2,S2,T2,U2,V2),"-")</f>
      </c>
      <c r="X2" t="s" s="121">
        <v>229</v>
      </c>
    </row>
    <row r="3" spans="2:24" x14ac:dyDescent="0.2">
      <c r="B3" t="s" s="55">
        <v>841</v>
      </c>
      <c r="C3" t="s" s="56">
        <v>1039</v>
      </c>
      <c r="D3" t="s" s="56">
        <v>1040</v>
      </c>
      <c r="E3" t="s" s="57">
        <v>56</v>
      </c>
      <c r="F3" t="s" s="58">
        <v>0</v>
      </c>
      <c r="G3" t="s" s="55">
        <v>1</v>
      </c>
      <c r="H3" t="s" s="55">
        <v>360</v>
      </c>
      <c r="I3" t="s" s="55">
        <v>361</v>
      </c>
      <c r="J3" t="s" s="59">
        <v>1041</v>
      </c>
      <c r="K3" t="s" s="55">
        <v>983</v>
      </c>
      <c r="L3" t="s" s="60">
        <v>2</v>
      </c>
      <c r="M3" t="s" s="61">
        <v>359</v>
      </c>
      <c r="N3" t="s" s="57">
        <v>362</v>
      </c>
      <c r="O3" t="s" s="62">
        <v>978</v>
      </c>
      <c r="P3" t="s" s="55">
        <v>234</v>
      </c>
      <c r="Q3" t="s" s="55">
        <v>235</v>
      </c>
      <c r="R3" t="s" s="55">
        <v>976</v>
      </c>
      <c r="S3" t="s" s="55">
        <v>977</v>
      </c>
      <c r="T3" t="s" s="55">
        <v>979</v>
      </c>
      <c r="U3" t="s" s="55">
        <v>980</v>
      </c>
      <c r="V3" t="s" s="55">
        <v>981</v>
      </c>
      <c r="W3" t="s" s="55">
        <v>982</v>
      </c>
      <c r="X3" s="121"/>
    </row>
    <row r="4" spans="2:24" ht="13.8" x14ac:dyDescent="0.2">
      <c r="B4" s="8">
        <f>IF(C4="","",C4)</f>
      </c>
      <c r="C4" s="10"/>
      <c r="D4" s="13"/>
      <c r="E4" s="11">
        <f t="shared" ref="E4:E68" si="2">IFERROR(IF(G4/F4=1,"1.00",G4/F4),"---")</f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</c>
      <c r="L4" s="7">
        <v>0</v>
      </c>
      <c r="M4" s="11">
        <f t="shared" ref="M4:M67" si="4">IFERROR(IF((G4+P4+Q4)/(F4+P4+Q4+S4)=1,"1.00",(G4+P4+Q4)/(F4+P4+Q4+S4)),0)</f>
      </c>
      <c r="N4" s="11">
        <f t="shared" ref="N4:N67" si="5">IFERROR(SUM(K4/F4,((G4+P4+Q4)/(F4+P4+Q4+S4))),M4)</f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>
        <f>IFERROR(CalcRC27(F4,G4,K4,O4,P4,Q4,R4,S4,T4,U4,V4),"-")</f>
      </c>
      <c r="X4" s="2"/>
    </row>
    <row r="5" spans="2:24" ht="13.8" x14ac:dyDescent="0.2">
      <c r="B5" s="8">
        <f t="shared" ref="B5:B68" si="6">IF(C5="","",C5)</f>
      </c>
      <c r="C5" s="10"/>
      <c r="D5" s="13"/>
      <c r="E5" s="11">
        <f t="shared" si="2"/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</c>
      <c r="L5" s="7">
        <v>0</v>
      </c>
      <c r="M5" s="11">
        <f t="shared" si="4"/>
      </c>
      <c r="N5" s="11">
        <f t="shared" si="5"/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>
        <f>IFERROR(CalcRC27(F5,G5,K5,O5,P5,Q5,R5,S5,T5,U5,V5),"-")</f>
      </c>
      <c r="X5" s="2"/>
    </row>
    <row r="6" spans="2:24" ht="13.8" x14ac:dyDescent="0.2">
      <c r="B6" s="8">
        <f t="shared" si="6"/>
      </c>
      <c r="C6" s="10"/>
      <c r="D6" s="13"/>
      <c r="E6" s="11">
        <f t="shared" si="2"/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</c>
      <c r="L6" s="7">
        <v>0</v>
      </c>
      <c r="M6" s="11">
        <f t="shared" si="4"/>
      </c>
      <c r="N6" s="11">
        <f t="shared" si="5"/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>
        <f>IFERROR(CalcRC27(F6,G6,K6,O6,P6,Q6,R6,S6,T6,U6,V6),"-")</f>
      </c>
      <c r="X6" s="2"/>
    </row>
    <row r="7" spans="2:24" ht="13.8" x14ac:dyDescent="0.2">
      <c r="B7" s="8">
        <f t="shared" si="6"/>
      </c>
      <c r="C7" s="10"/>
      <c r="D7" s="13"/>
      <c r="E7" s="11">
        <f t="shared" si="2"/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</c>
      <c r="L7" s="7">
        <v>0</v>
      </c>
      <c r="M7" s="11">
        <f t="shared" si="4"/>
      </c>
      <c r="N7" s="11">
        <f t="shared" si="5"/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>
        <f>IFERROR(CalcRC27(F7,G7,K7,O7,P7,Q7,R7,S7,T7,U7,V7),"-")</f>
      </c>
      <c r="X7" s="2"/>
    </row>
    <row r="8" spans="2:24" ht="13.8" x14ac:dyDescent="0.2">
      <c r="B8" s="8">
        <f t="shared" si="6"/>
      </c>
      <c r="C8" s="10"/>
      <c r="D8" s="13"/>
      <c r="E8" s="11">
        <f t="shared" si="2"/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</c>
      <c r="L8" s="7">
        <v>0</v>
      </c>
      <c r="M8" s="11">
        <f t="shared" si="4"/>
      </c>
      <c r="N8" s="11">
        <f t="shared" si="5"/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>
        <f>IFERROR(CalcRC27(F8,G8,K8,O8,P8,Q8,R8,S8,T8,U8,V8),"-")</f>
      </c>
      <c r="X8" s="2"/>
    </row>
    <row r="9" spans="2:24" ht="13.8" x14ac:dyDescent="0.2">
      <c r="B9" s="8">
        <f t="shared" si="6"/>
      </c>
      <c r="C9" s="10"/>
      <c r="D9" s="13"/>
      <c r="E9" s="11">
        <f t="shared" si="2"/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</c>
      <c r="L9" s="7">
        <v>0</v>
      </c>
      <c r="M9" s="11">
        <f t="shared" si="4"/>
      </c>
      <c r="N9" s="11">
        <f t="shared" si="5"/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>
        <f>IFERROR(CalcRC27(F9,G9,K9,O9,P9,Q9,R9,S9,T9,U9,V9),"-")</f>
      </c>
      <c r="X9" s="2"/>
    </row>
    <row r="10" spans="2:24" ht="13.8" x14ac:dyDescent="0.2">
      <c r="B10" s="8">
        <f t="shared" si="6"/>
      </c>
      <c r="C10" s="10"/>
      <c r="D10" s="13"/>
      <c r="E10" s="11">
        <f t="shared" si="2"/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</c>
      <c r="L10" s="7">
        <v>0</v>
      </c>
      <c r="M10" s="11">
        <f t="shared" si="4"/>
      </c>
      <c r="N10" s="11">
        <f t="shared" si="5"/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>
        <f>IFERROR(CalcRC27(F10,G10,K10,O10,P10,Q10,R10,S10,T10,U10,V10),"-")</f>
      </c>
      <c r="X10" s="2"/>
    </row>
    <row r="11" spans="2:24" ht="13.8" x14ac:dyDescent="0.2">
      <c r="B11" s="8">
        <f t="shared" si="6"/>
      </c>
      <c r="C11" s="10"/>
      <c r="D11" s="13"/>
      <c r="E11" s="11">
        <f t="shared" si="2"/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</c>
      <c r="L11" s="7">
        <v>0</v>
      </c>
      <c r="M11" s="11">
        <f t="shared" si="4"/>
      </c>
      <c r="N11" s="11">
        <f t="shared" si="5"/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</c>
      <c r="X11" s="2"/>
    </row>
    <row r="12" spans="2:24" ht="13.8" x14ac:dyDescent="0.2">
      <c r="B12" s="8">
        <f t="shared" si="6"/>
      </c>
      <c r="C12" s="10"/>
      <c r="D12" s="13"/>
      <c r="E12" s="11">
        <f t="shared" si="2"/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</c>
      <c r="L12" s="7">
        <v>0</v>
      </c>
      <c r="M12" s="11">
        <f t="shared" si="4"/>
      </c>
      <c r="N12" s="11">
        <f t="shared" si="5"/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>
        <f>IFERROR(CalcRC27(F12,G12,K12,O12,P12,Q12,R12,S12,T12,U12,V12),"-")</f>
      </c>
      <c r="X12" s="2"/>
    </row>
    <row r="13" spans="2:24" ht="13.8" x14ac:dyDescent="0.2">
      <c r="B13" s="8">
        <f t="shared" si="6"/>
      </c>
      <c r="C13" s="10"/>
      <c r="D13" s="13"/>
      <c r="E13" s="11">
        <f t="shared" si="2"/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</c>
      <c r="L13" s="7">
        <v>0</v>
      </c>
      <c r="M13" s="11">
        <f t="shared" si="4"/>
      </c>
      <c r="N13" s="11">
        <f t="shared" si="5"/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</c>
      <c r="X13" s="2"/>
    </row>
    <row r="14" spans="2:24" ht="13.8" x14ac:dyDescent="0.2">
      <c r="B14" s="8">
        <f t="shared" si="6"/>
      </c>
      <c r="C14" s="10"/>
      <c r="D14" s="13"/>
      <c r="E14" s="11">
        <f t="shared" si="2"/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</c>
      <c r="L14" s="7">
        <v>0</v>
      </c>
      <c r="M14" s="11">
        <f t="shared" si="4"/>
      </c>
      <c r="N14" s="11">
        <f t="shared" si="5"/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>
        <f>IFERROR(CalcRC27(F14,G14,K14,O14,P14,Q14,R14,S14,T14,U14,V14),"-")</f>
      </c>
      <c r="X14" s="2"/>
    </row>
    <row r="15" spans="2:24" ht="13.8" x14ac:dyDescent="0.2">
      <c r="B15" s="8">
        <f t="shared" si="6"/>
      </c>
      <c r="C15" s="10"/>
      <c r="D15" s="13"/>
      <c r="E15" s="11">
        <f t="shared" si="2"/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</c>
      <c r="L15" s="7">
        <v>0</v>
      </c>
      <c r="M15" s="11">
        <f t="shared" si="4"/>
      </c>
      <c r="N15" s="11">
        <f t="shared" si="5"/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</c>
      <c r="X15" s="2"/>
    </row>
    <row r="16" spans="2:24" ht="13.8" x14ac:dyDescent="0.2">
      <c r="B16" s="8">
        <f t="shared" si="6"/>
      </c>
      <c r="C16" s="10"/>
      <c r="D16" s="13"/>
      <c r="E16" s="11">
        <f t="shared" si="2"/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</c>
      <c r="L16" s="7">
        <v>0</v>
      </c>
      <c r="M16" s="11">
        <f t="shared" si="4"/>
      </c>
      <c r="N16" s="11">
        <f t="shared" si="5"/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</c>
      <c r="X16" s="2"/>
    </row>
    <row r="17" spans="2:24" ht="13.8" x14ac:dyDescent="0.2">
      <c r="B17" s="8">
        <f t="shared" si="6"/>
      </c>
      <c r="C17" s="10"/>
      <c r="D17" s="13"/>
      <c r="E17" s="11">
        <f t="shared" si="2"/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</c>
      <c r="L17" s="7">
        <v>0</v>
      </c>
      <c r="M17" s="11">
        <f t="shared" si="4"/>
      </c>
      <c r="N17" s="11">
        <f t="shared" si="5"/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>
        <f>IFERROR(CalcRC27(F17,G17,K17,O17,P17,Q17,R17,S17,T17,U17,V17),"-")</f>
      </c>
      <c r="X17" s="2"/>
    </row>
    <row r="18" spans="2:24" ht="13.8" x14ac:dyDescent="0.2">
      <c r="B18" s="8">
        <f t="shared" si="6"/>
      </c>
      <c r="C18" s="10"/>
      <c r="D18" s="13"/>
      <c r="E18" s="11">
        <f t="shared" si="2"/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</c>
      <c r="L18" s="7">
        <v>0</v>
      </c>
      <c r="M18" s="11">
        <f t="shared" si="4"/>
      </c>
      <c r="N18" s="11">
        <f t="shared" si="5"/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>
        <f>IFERROR(CalcRC27(F18,G18,K18,O18,P18,Q18,R18,S18,T18,U18,V18),"-")</f>
      </c>
      <c r="X18" s="2"/>
    </row>
    <row r="19" spans="2:24" ht="13.8" x14ac:dyDescent="0.2">
      <c r="B19" s="8">
        <f t="shared" si="6"/>
      </c>
      <c r="C19" s="10"/>
      <c r="D19" s="13"/>
      <c r="E19" s="11">
        <f t="shared" si="2"/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</c>
      <c r="L19" s="7">
        <v>0</v>
      </c>
      <c r="M19" s="11">
        <f t="shared" si="4"/>
      </c>
      <c r="N19" s="11">
        <f t="shared" si="5"/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>
        <f>IFERROR(CalcRC27(F19,G19,K19,O19,P19,Q19,R19,S19,T19,U19,V19),"-")</f>
      </c>
      <c r="X19" s="2"/>
    </row>
    <row r="20" spans="2:24" ht="13.8" x14ac:dyDescent="0.2">
      <c r="B20" s="8">
        <f t="shared" si="6"/>
      </c>
      <c r="C20" s="10"/>
      <c r="D20" s="8"/>
      <c r="E20" s="11">
        <f t="shared" si="2"/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</c>
      <c r="L20" s="7">
        <v>0</v>
      </c>
      <c r="M20" s="11">
        <f t="shared" si="4"/>
      </c>
      <c r="N20" s="11">
        <f t="shared" si="5"/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>
        <f>IFERROR(CalcRC27(F20,G20,K20,O20,P20,Q20,R20,S20,T20,U20,V20),"-")</f>
      </c>
      <c r="X20" s="2"/>
    </row>
    <row r="21" spans="2:24" ht="13.8" x14ac:dyDescent="0.2">
      <c r="B21" s="8">
        <f t="shared" si="6"/>
      </c>
      <c r="C21" s="10"/>
      <c r="D21" s="13"/>
      <c r="E21" s="11">
        <f t="shared" si="2"/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</c>
      <c r="L21" s="7">
        <v>0</v>
      </c>
      <c r="M21" s="11">
        <f t="shared" si="4"/>
      </c>
      <c r="N21" s="11">
        <f t="shared" si="5"/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</c>
      <c r="X21" s="2"/>
    </row>
    <row r="22" spans="2:24" ht="13.8" x14ac:dyDescent="0.2">
      <c r="B22" s="8">
        <f t="shared" si="6"/>
      </c>
      <c r="C22" s="10"/>
      <c r="D22" s="13"/>
      <c r="E22" s="11">
        <f t="shared" si="2"/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</c>
      <c r="L22" s="7">
        <v>0</v>
      </c>
      <c r="M22" s="11">
        <f t="shared" si="4"/>
      </c>
      <c r="N22" s="11">
        <f t="shared" si="5"/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>
        <f>IFERROR(CalcRC27(F22,G22,K22,O22,P22,Q22,R22,S22,T22,U22,V22),"-")</f>
      </c>
      <c r="X22" s="2"/>
    </row>
    <row r="23" spans="2:24" ht="13.8" x14ac:dyDescent="0.2">
      <c r="B23" s="8">
        <f t="shared" si="6"/>
      </c>
      <c r="C23" s="10"/>
      <c r="D23" s="13"/>
      <c r="E23" s="11">
        <f t="shared" si="2"/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</c>
      <c r="L23" s="7">
        <v>0</v>
      </c>
      <c r="M23" s="11">
        <f t="shared" si="4"/>
      </c>
      <c r="N23" s="11">
        <f t="shared" si="5"/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</c>
      <c r="X23" s="2"/>
    </row>
    <row r="24" spans="2:24" ht="13.8" x14ac:dyDescent="0.2">
      <c r="B24" s="8">
        <f t="shared" si="6"/>
      </c>
      <c r="C24" s="10"/>
      <c r="D24" s="13"/>
      <c r="E24" s="11">
        <f t="shared" si="2"/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</c>
      <c r="L24" s="7">
        <v>0</v>
      </c>
      <c r="M24" s="11">
        <f t="shared" si="4"/>
      </c>
      <c r="N24" s="11">
        <f t="shared" si="5"/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</c>
      <c r="X24" s="2"/>
    </row>
    <row r="25" spans="2:24" ht="13.8" x14ac:dyDescent="0.2">
      <c r="B25" s="8">
        <f t="shared" si="6"/>
      </c>
      <c r="C25" s="10"/>
      <c r="D25" s="13"/>
      <c r="E25" s="11">
        <f t="shared" si="2"/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</c>
      <c r="L25" s="7">
        <v>0</v>
      </c>
      <c r="M25" s="11">
        <f t="shared" si="4"/>
      </c>
      <c r="N25" s="11">
        <f t="shared" si="5"/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>
        <f>IFERROR(CalcRC27(F25,G25,K25,O25,P25,Q25,R25,S25,T25,U25,V25),"-")</f>
      </c>
      <c r="X25" s="2"/>
    </row>
    <row r="26" spans="2:24" ht="13.8" x14ac:dyDescent="0.2">
      <c r="B26" s="8">
        <f t="shared" si="6"/>
      </c>
      <c r="C26" s="10"/>
      <c r="D26" s="13"/>
      <c r="E26" s="11">
        <f t="shared" si="2"/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</c>
      <c r="L26" s="7">
        <v>0</v>
      </c>
      <c r="M26" s="11">
        <f t="shared" si="4"/>
      </c>
      <c r="N26" s="11">
        <f t="shared" si="5"/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>
        <f>IFERROR(CalcRC27(F26,G26,K26,O26,P26,Q26,R26,S26,T26,U26,V26),"-")</f>
      </c>
      <c r="X26" s="2"/>
    </row>
    <row r="27" spans="2:24" ht="13.8" x14ac:dyDescent="0.2">
      <c r="B27" s="8">
        <f t="shared" si="6"/>
      </c>
      <c r="C27" s="10"/>
      <c r="D27" s="13"/>
      <c r="E27" s="11">
        <f t="shared" si="2"/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</c>
      <c r="L27" s="7">
        <v>0</v>
      </c>
      <c r="M27" s="11">
        <f t="shared" si="4"/>
      </c>
      <c r="N27" s="11">
        <f t="shared" si="5"/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>
        <f>IFERROR(CalcRC27(F27,G27,K27,O27,P27,Q27,R27,S27,T27,U27,V27),"-")</f>
      </c>
      <c r="X27" s="2"/>
    </row>
    <row r="28" spans="2:24" ht="13.8" x14ac:dyDescent="0.2">
      <c r="B28" s="8">
        <f t="shared" si="6"/>
      </c>
      <c r="C28" s="10"/>
      <c r="D28" s="13"/>
      <c r="E28" s="11">
        <f t="shared" si="2"/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</c>
      <c r="L28" s="7">
        <v>0</v>
      </c>
      <c r="M28" s="11">
        <f t="shared" si="4"/>
      </c>
      <c r="N28" s="11">
        <f t="shared" si="5"/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>
        <f>IFERROR(CalcRC27(F28,G28,K28,O28,P28,Q28,R28,S28,T28,U28,V28),"-")</f>
      </c>
      <c r="X28" s="2"/>
    </row>
    <row r="29" spans="2:24" ht="13.8" x14ac:dyDescent="0.2">
      <c r="B29" s="8">
        <f t="shared" si="6"/>
      </c>
      <c r="C29" s="10"/>
      <c r="D29" s="13"/>
      <c r="E29" s="11">
        <f t="shared" si="2"/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</c>
      <c r="L29" s="7">
        <v>0</v>
      </c>
      <c r="M29" s="11">
        <f t="shared" si="4"/>
      </c>
      <c r="N29" s="11">
        <f t="shared" si="5"/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</c>
      <c r="X29" s="2"/>
    </row>
    <row r="30" spans="2:24" ht="13.8" x14ac:dyDescent="0.2">
      <c r="B30" s="8">
        <f t="shared" si="6"/>
      </c>
      <c r="C30" s="10"/>
      <c r="D30" s="13"/>
      <c r="E30" s="11">
        <f t="shared" si="2"/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</c>
      <c r="L30" s="7">
        <v>0</v>
      </c>
      <c r="M30" s="11">
        <f t="shared" si="4"/>
      </c>
      <c r="N30" s="11">
        <f t="shared" si="5"/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</c>
      <c r="X30" s="2"/>
    </row>
    <row r="31" spans="2:24" ht="13.8" x14ac:dyDescent="0.2">
      <c r="B31" s="8">
        <f t="shared" si="6"/>
      </c>
      <c r="C31" s="10"/>
      <c r="D31" s="13"/>
      <c r="E31" s="11">
        <f t="shared" si="2"/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</c>
      <c r="L31" s="7">
        <v>0</v>
      </c>
      <c r="M31" s="11">
        <f t="shared" si="4"/>
      </c>
      <c r="N31" s="11">
        <f t="shared" si="5"/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>
        <f>IFERROR(CalcRC27(F31,G31,K31,O31,P31,Q31,R31,S31,T31,U31,V31),"-")</f>
      </c>
      <c r="X31" s="2"/>
    </row>
    <row r="32" spans="2:24" ht="13.8" x14ac:dyDescent="0.2">
      <c r="B32" s="8">
        <f t="shared" si="6"/>
      </c>
      <c r="C32" s="10"/>
      <c r="D32" s="13"/>
      <c r="E32" s="11">
        <f t="shared" si="2"/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</c>
      <c r="L32" s="7">
        <v>0</v>
      </c>
      <c r="M32" s="11">
        <f t="shared" si="4"/>
      </c>
      <c r="N32" s="11">
        <f t="shared" si="5"/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</c>
      <c r="X32" s="2"/>
    </row>
    <row r="33" spans="2:24" ht="13.8" x14ac:dyDescent="0.2">
      <c r="B33" s="8">
        <f t="shared" si="6"/>
      </c>
      <c r="C33" s="10"/>
      <c r="D33" s="13"/>
      <c r="E33" s="11">
        <f t="shared" si="2"/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</c>
      <c r="L33" s="7">
        <v>0</v>
      </c>
      <c r="M33" s="11">
        <f t="shared" si="4"/>
      </c>
      <c r="N33" s="11">
        <f t="shared" si="5"/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</c>
      <c r="X33" s="2"/>
    </row>
    <row r="34" spans="2:24" ht="13.8" x14ac:dyDescent="0.2">
      <c r="B34" s="8">
        <f t="shared" si="6"/>
      </c>
      <c r="C34" s="10"/>
      <c r="D34" s="13"/>
      <c r="E34" s="11">
        <f t="shared" si="2"/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</c>
      <c r="L34" s="7">
        <v>0</v>
      </c>
      <c r="M34" s="11">
        <f t="shared" si="4"/>
      </c>
      <c r="N34" s="11">
        <f t="shared" si="5"/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>
        <f>IFERROR(CalcRC27(F34,G34,K34,O34,P34,Q34,R34,S34,T34,U34,V34),"-")</f>
      </c>
      <c r="X34" s="2"/>
    </row>
    <row r="35" spans="2:24" ht="13.8" x14ac:dyDescent="0.2">
      <c r="B35" s="8">
        <f t="shared" si="6"/>
      </c>
      <c r="C35" s="10"/>
      <c r="D35" s="13"/>
      <c r="E35" s="11">
        <f t="shared" si="2"/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</c>
      <c r="L35" s="7">
        <v>0</v>
      </c>
      <c r="M35" s="11">
        <f t="shared" si="4"/>
      </c>
      <c r="N35" s="11">
        <f t="shared" si="5"/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>
        <f>IFERROR(CalcRC27(F35,G35,K35,O35,P35,Q35,R35,S35,T35,U35,V35),"-")</f>
      </c>
      <c r="X35" s="2"/>
    </row>
    <row r="36" spans="2:24" ht="13.8" x14ac:dyDescent="0.2">
      <c r="B36" s="8">
        <f t="shared" si="6"/>
      </c>
      <c r="C36" s="10"/>
      <c r="D36" s="13"/>
      <c r="E36" s="11">
        <f t="shared" si="2"/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</c>
      <c r="L36" s="7">
        <v>0</v>
      </c>
      <c r="M36" s="11">
        <f t="shared" si="4"/>
      </c>
      <c r="N36" s="11">
        <f t="shared" si="5"/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>
        <f>IFERROR(CalcRC27(F36,G36,K36,O36,P36,Q36,R36,S36,T36,U36,V36),"-")</f>
      </c>
      <c r="X36" s="2"/>
    </row>
    <row r="37" spans="2:24" ht="13.8" x14ac:dyDescent="0.2">
      <c r="B37" s="8">
        <f t="shared" si="6"/>
      </c>
      <c r="C37" s="10"/>
      <c r="D37" s="13"/>
      <c r="E37" s="11">
        <f t="shared" si="2"/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</c>
      <c r="L37" s="7">
        <v>0</v>
      </c>
      <c r="M37" s="11">
        <f t="shared" si="4"/>
      </c>
      <c r="N37" s="11">
        <f t="shared" si="5"/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>
        <f>IFERROR(CalcRC27(F37,G37,K37,O37,P37,Q37,R37,S37,T37,U37,V37),"-")</f>
      </c>
      <c r="X37" s="2"/>
    </row>
    <row r="38" spans="2:24" ht="13.8" x14ac:dyDescent="0.2">
      <c r="B38" s="8">
        <f t="shared" si="6"/>
      </c>
      <c r="C38" s="10"/>
      <c r="D38" s="13"/>
      <c r="E38" s="11">
        <f t="shared" si="2"/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</c>
      <c r="L38" s="7">
        <v>0</v>
      </c>
      <c r="M38" s="11">
        <f t="shared" si="4"/>
      </c>
      <c r="N38" s="11">
        <f t="shared" si="5"/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>
        <f>IFERROR(CalcRC27(F38,G38,K38,O38,P38,Q38,R38,S38,T38,U38,V38),"-")</f>
      </c>
      <c r="X38" s="2"/>
    </row>
    <row r="39" spans="2:24" ht="13.8" x14ac:dyDescent="0.2">
      <c r="B39" s="8">
        <f t="shared" si="6"/>
      </c>
      <c r="C39" s="10"/>
      <c r="D39" s="13"/>
      <c r="E39" s="11">
        <f t="shared" si="2"/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</c>
      <c r="L39" s="7">
        <v>0</v>
      </c>
      <c r="M39" s="11">
        <f t="shared" si="4"/>
      </c>
      <c r="N39" s="11">
        <f t="shared" si="5"/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>
        <f>IFERROR(CalcRC27(F39,G39,K39,O39,P39,Q39,R39,S39,T39,U39,V39),"-")</f>
      </c>
      <c r="X39" s="2"/>
    </row>
    <row r="40" spans="2:24" ht="13.8" x14ac:dyDescent="0.2">
      <c r="B40" s="8">
        <f t="shared" si="6"/>
      </c>
      <c r="C40" s="10"/>
      <c r="D40" s="13"/>
      <c r="E40" s="11">
        <f t="shared" si="2"/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</c>
      <c r="L40" s="7">
        <v>0</v>
      </c>
      <c r="M40" s="11">
        <f t="shared" si="4"/>
      </c>
      <c r="N40" s="11">
        <f t="shared" si="5"/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>
        <f>IFERROR(CalcRC27(F40,G40,K40,O40,P40,Q40,R40,S40,T40,U40,V40),"-")</f>
      </c>
      <c r="X40" s="2"/>
    </row>
    <row r="41" spans="2:24" ht="13.8" x14ac:dyDescent="0.2">
      <c r="B41" s="8">
        <f t="shared" si="6"/>
      </c>
      <c r="C41" s="10"/>
      <c r="D41" s="13"/>
      <c r="E41" s="11">
        <f t="shared" si="2"/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</c>
      <c r="L41" s="7">
        <v>0</v>
      </c>
      <c r="M41" s="11">
        <f t="shared" si="4"/>
      </c>
      <c r="N41" s="11">
        <f t="shared" si="5"/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>
        <f>IFERROR(CalcRC27(F41,G41,K41,O41,P41,Q41,R41,S41,T41,U41,V41),"-")</f>
      </c>
      <c r="X41" s="2"/>
    </row>
    <row r="42" spans="2:24" ht="13.8" x14ac:dyDescent="0.2">
      <c r="B42" s="8">
        <f t="shared" si="6"/>
      </c>
      <c r="C42" s="10"/>
      <c r="D42" s="13"/>
      <c r="E42" s="11">
        <f t="shared" si="2"/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</c>
      <c r="L42" s="7">
        <v>0</v>
      </c>
      <c r="M42" s="11">
        <f t="shared" si="4"/>
      </c>
      <c r="N42" s="11">
        <f t="shared" si="5"/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>
        <f>IFERROR(CalcRC27(F42,G42,K42,O42,P42,Q42,R42,S42,T42,U42,V42),"-")</f>
      </c>
      <c r="X42" s="2"/>
    </row>
    <row r="43" spans="2:24" ht="13.8" x14ac:dyDescent="0.2">
      <c r="B43" s="8">
        <f t="shared" si="6"/>
      </c>
      <c r="C43" s="10"/>
      <c r="D43" s="13"/>
      <c r="E43" s="11">
        <f t="shared" si="2"/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</c>
      <c r="L43" s="7">
        <v>0</v>
      </c>
      <c r="M43" s="11">
        <f t="shared" si="4"/>
      </c>
      <c r="N43" s="11">
        <f t="shared" si="5"/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>
        <f>IFERROR(CalcRC27(F43,G43,K43,O43,P43,Q43,R43,S43,T43,U43,V43),"-")</f>
      </c>
      <c r="X43" s="2"/>
    </row>
    <row r="44" spans="2:24" ht="13.8" x14ac:dyDescent="0.2">
      <c r="B44" s="8">
        <f t="shared" si="6"/>
      </c>
      <c r="C44" s="10"/>
      <c r="D44" s="13"/>
      <c r="E44" s="11">
        <f t="shared" si="2"/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</c>
      <c r="L44" s="7">
        <v>0</v>
      </c>
      <c r="M44" s="11">
        <f t="shared" si="4"/>
      </c>
      <c r="N44" s="11">
        <f t="shared" si="5"/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>
        <f>IFERROR(CalcRC27(F44,G44,K44,O44,P44,Q44,R44,S44,T44,U44,V44),"-")</f>
      </c>
      <c r="X44" s="2"/>
    </row>
    <row r="45" spans="2:24" ht="13.8" x14ac:dyDescent="0.2">
      <c r="B45" s="8">
        <f t="shared" si="6"/>
      </c>
      <c r="C45" s="10"/>
      <c r="D45" s="13"/>
      <c r="E45" s="11">
        <f t="shared" si="2"/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</c>
      <c r="L45" s="7">
        <v>0</v>
      </c>
      <c r="M45" s="11">
        <f t="shared" si="4"/>
      </c>
      <c r="N45" s="11">
        <f t="shared" si="5"/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>
        <f>IFERROR(CalcRC27(F45,G45,K45,O45,P45,Q45,R45,S45,T45,U45,V45),"-")</f>
      </c>
      <c r="X45" s="2"/>
    </row>
    <row r="46" spans="2:24" ht="13.8" x14ac:dyDescent="0.2">
      <c r="B46" s="8">
        <f t="shared" si="6"/>
      </c>
      <c r="C46" s="10"/>
      <c r="D46" s="13"/>
      <c r="E46" s="11">
        <f t="shared" si="2"/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</c>
      <c r="L46" s="7">
        <v>0</v>
      </c>
      <c r="M46" s="11">
        <f t="shared" si="4"/>
      </c>
      <c r="N46" s="11">
        <f t="shared" si="5"/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>
        <f>IFERROR(CalcRC27(F46,G46,K46,O46,P46,Q46,R46,S46,T46,U46,V46),"-")</f>
      </c>
      <c r="X46" s="2"/>
    </row>
    <row r="47" spans="2:24" ht="13.8" x14ac:dyDescent="0.2">
      <c r="B47" s="8">
        <f t="shared" si="6"/>
      </c>
      <c r="C47" s="10"/>
      <c r="D47" s="13"/>
      <c r="E47" s="11">
        <f t="shared" si="2"/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</c>
      <c r="L47" s="7">
        <v>0</v>
      </c>
      <c r="M47" s="11">
        <f t="shared" si="4"/>
      </c>
      <c r="N47" s="11">
        <f t="shared" si="5"/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</c>
      <c r="X47" s="2"/>
    </row>
    <row r="48" spans="2:24" ht="13.8" x14ac:dyDescent="0.2">
      <c r="B48" s="8">
        <f t="shared" si="6"/>
      </c>
      <c r="C48" s="10"/>
      <c r="D48" s="13"/>
      <c r="E48" s="11">
        <f t="shared" si="2"/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</c>
      <c r="L48" s="7">
        <v>0</v>
      </c>
      <c r="M48" s="11">
        <f t="shared" si="4"/>
      </c>
      <c r="N48" s="11">
        <f t="shared" si="5"/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>
        <f>IFERROR(CalcRC27(F48,G48,K48,O48,P48,Q48,R48,S48,T48,U48,V48),"-")</f>
      </c>
      <c r="X48" s="2"/>
    </row>
    <row r="49" spans="2:24" ht="13.8" x14ac:dyDescent="0.2">
      <c r="B49" s="8">
        <f t="shared" si="6"/>
      </c>
      <c r="C49" s="10"/>
      <c r="D49" s="13"/>
      <c r="E49" s="11">
        <f t="shared" si="2"/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</c>
      <c r="L49" s="7">
        <v>0</v>
      </c>
      <c r="M49" s="11">
        <f t="shared" si="4"/>
      </c>
      <c r="N49" s="11">
        <f t="shared" si="5"/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</c>
      <c r="X49" s="2"/>
    </row>
    <row r="50" spans="2:24" ht="13.8" x14ac:dyDescent="0.2">
      <c r="B50" s="8">
        <f t="shared" si="6"/>
      </c>
      <c r="C50" s="10"/>
      <c r="D50" s="13"/>
      <c r="E50" s="11">
        <f t="shared" si="2"/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</c>
      <c r="L50" s="7">
        <v>0</v>
      </c>
      <c r="M50" s="11">
        <f t="shared" si="4"/>
      </c>
      <c r="N50" s="11">
        <f t="shared" si="5"/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>
        <f>IFERROR(CalcRC27(F50,G50,K50,O50,P50,Q50,R50,S50,T50,U50,V50),"-")</f>
      </c>
      <c r="X50" s="2"/>
    </row>
    <row r="51" spans="2:24" ht="13.8" x14ac:dyDescent="0.2">
      <c r="B51" s="8">
        <f t="shared" si="6"/>
      </c>
      <c r="C51" s="10"/>
      <c r="D51" s="13"/>
      <c r="E51" s="11">
        <f t="shared" si="2"/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</c>
      <c r="L51" s="7">
        <v>0</v>
      </c>
      <c r="M51" s="11">
        <f t="shared" si="4"/>
      </c>
      <c r="N51" s="11">
        <f t="shared" si="5"/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</c>
      <c r="X51" s="2"/>
    </row>
    <row r="52" spans="2:24" ht="13.8" x14ac:dyDescent="0.2">
      <c r="B52" s="8">
        <f t="shared" si="6"/>
      </c>
      <c r="C52" s="10"/>
      <c r="D52" s="13"/>
      <c r="E52" s="11">
        <f t="shared" si="2"/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</c>
      <c r="L52" s="7">
        <v>0</v>
      </c>
      <c r="M52" s="11">
        <f t="shared" si="4"/>
      </c>
      <c r="N52" s="11">
        <f t="shared" si="5"/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>
        <f>IFERROR(CalcRC27(F52,G52,K52,O52,P52,Q52,R52,S52,T52,U52,V52),"-")</f>
      </c>
      <c r="X52" s="2"/>
    </row>
    <row r="53" spans="2:24" ht="13.8" x14ac:dyDescent="0.2">
      <c r="B53" s="8">
        <f t="shared" si="6"/>
      </c>
      <c r="C53" s="10"/>
      <c r="D53" s="13"/>
      <c r="E53" s="11">
        <f t="shared" si="2"/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</c>
      <c r="L53" s="7">
        <v>0</v>
      </c>
      <c r="M53" s="11">
        <f t="shared" si="4"/>
      </c>
      <c r="N53" s="11">
        <f t="shared" si="5"/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>
        <f>IFERROR(CalcRC27(F53,G53,K53,O53,P53,Q53,R53,S53,T53,U53,V53),"-")</f>
      </c>
      <c r="X53" s="2"/>
    </row>
    <row r="54" spans="2:24" ht="13.8" x14ac:dyDescent="0.2">
      <c r="B54" s="8">
        <f t="shared" si="6"/>
      </c>
      <c r="C54" s="10"/>
      <c r="D54" s="13"/>
      <c r="E54" s="11">
        <f t="shared" si="2"/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</c>
      <c r="L54" s="7">
        <v>0</v>
      </c>
      <c r="M54" s="11">
        <f t="shared" si="4"/>
      </c>
      <c r="N54" s="11">
        <f t="shared" si="5"/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</c>
      <c r="X54" s="2"/>
    </row>
    <row r="55" spans="2:24" ht="13.8" x14ac:dyDescent="0.2">
      <c r="B55" s="8">
        <f t="shared" si="6"/>
      </c>
      <c r="C55" s="10"/>
      <c r="D55" s="13"/>
      <c r="E55" s="11">
        <f t="shared" si="2"/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</c>
      <c r="L55" s="7">
        <v>0</v>
      </c>
      <c r="M55" s="11">
        <f t="shared" si="4"/>
      </c>
      <c r="N55" s="11">
        <f t="shared" si="5"/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>
        <f>IFERROR(CalcRC27(F55,G55,K55,O55,P55,Q55,R55,S55,T55,U55,V55),"-")</f>
      </c>
      <c r="X55" s="2"/>
    </row>
    <row r="56" spans="2:24" ht="13.8" x14ac:dyDescent="0.2">
      <c r="B56" s="8">
        <f t="shared" si="6"/>
      </c>
      <c r="C56" s="10"/>
      <c r="D56" s="13"/>
      <c r="E56" s="11">
        <f t="shared" si="2"/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</c>
      <c r="L56" s="7">
        <v>0</v>
      </c>
      <c r="M56" s="11">
        <f t="shared" si="4"/>
      </c>
      <c r="N56" s="11">
        <f t="shared" si="5"/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>
        <f>IFERROR(CalcRC27(F56,G56,K56,O56,P56,Q56,R56,S56,T56,U56,V56),"-")</f>
      </c>
      <c r="X56" s="2"/>
    </row>
    <row r="57" spans="2:24" ht="13.8" x14ac:dyDescent="0.2">
      <c r="B57" s="8">
        <f t="shared" si="6"/>
      </c>
      <c r="C57" s="10"/>
      <c r="D57" s="13"/>
      <c r="E57" s="11">
        <f t="shared" si="2"/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</c>
      <c r="L57" s="7">
        <v>0</v>
      </c>
      <c r="M57" s="11">
        <f t="shared" si="4"/>
      </c>
      <c r="N57" s="11">
        <f t="shared" si="5"/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>
        <f>IFERROR(CalcRC27(F57,G57,K57,O57,P57,Q57,R57,S57,T57,U57,V57),"-")</f>
      </c>
      <c r="X57" s="2"/>
    </row>
    <row r="58" spans="2:24" ht="13.8" x14ac:dyDescent="0.2">
      <c r="B58" s="8">
        <f t="shared" si="6"/>
      </c>
      <c r="C58" s="10"/>
      <c r="D58" s="13"/>
      <c r="E58" s="11">
        <f t="shared" si="2"/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</c>
      <c r="L58" s="7">
        <v>0</v>
      </c>
      <c r="M58" s="11">
        <f t="shared" si="4"/>
      </c>
      <c r="N58" s="11">
        <f t="shared" si="5"/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>
        <f>IFERROR(CalcRC27(F58,G58,K58,O58,P58,Q58,R58,S58,T58,U58,V58),"-")</f>
      </c>
      <c r="X58" s="2"/>
    </row>
    <row r="59" spans="2:24" ht="13.8" x14ac:dyDescent="0.2">
      <c r="B59" s="8">
        <f t="shared" si="6"/>
      </c>
      <c r="C59" s="10"/>
      <c r="D59" s="13"/>
      <c r="E59" s="11">
        <f t="shared" si="2"/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</c>
      <c r="L59" s="7">
        <v>0</v>
      </c>
      <c r="M59" s="11">
        <f t="shared" si="4"/>
      </c>
      <c r="N59" s="11">
        <f t="shared" si="5"/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>
        <f>IFERROR(CalcRC27(F59,G59,K59,O59,P59,Q59,R59,S59,T59,U59,V59),"-")</f>
      </c>
      <c r="X59" s="2"/>
    </row>
    <row r="60" spans="2:24" ht="13.8" x14ac:dyDescent="0.2">
      <c r="B60" s="8">
        <f t="shared" si="6"/>
      </c>
      <c r="C60" s="10"/>
      <c r="D60" s="13"/>
      <c r="E60" s="11">
        <f t="shared" si="2"/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</c>
      <c r="L60" s="7">
        <v>0</v>
      </c>
      <c r="M60" s="11">
        <f t="shared" si="4"/>
      </c>
      <c r="N60" s="11">
        <f t="shared" si="5"/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>
        <f>IFERROR(CalcRC27(F60,G60,K60,O60,P60,Q60,R60,S60,T60,U60,V60),"-")</f>
      </c>
      <c r="X60" s="2"/>
    </row>
    <row r="61" spans="2:24" ht="13.8" x14ac:dyDescent="0.2">
      <c r="B61" s="8">
        <f t="shared" si="6"/>
      </c>
      <c r="C61" s="10"/>
      <c r="D61" s="13"/>
      <c r="E61" s="11">
        <f t="shared" si="2"/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</c>
      <c r="L61" s="7">
        <v>0</v>
      </c>
      <c r="M61" s="11">
        <f t="shared" si="4"/>
      </c>
      <c r="N61" s="11">
        <f t="shared" si="5"/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>
        <f>IFERROR(CalcRC27(F61,G61,K61,O61,P61,Q61,R61,S61,T61,U61,V61),"-")</f>
      </c>
      <c r="X61" s="2"/>
    </row>
    <row r="62" spans="2:24" ht="13.8" x14ac:dyDescent="0.2">
      <c r="B62" s="8">
        <f t="shared" si="6"/>
      </c>
      <c r="C62" s="10"/>
      <c r="D62" s="13"/>
      <c r="E62" s="11">
        <f t="shared" si="2"/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</c>
      <c r="L62" s="7">
        <v>0</v>
      </c>
      <c r="M62" s="11">
        <f t="shared" si="4"/>
      </c>
      <c r="N62" s="11">
        <f t="shared" si="5"/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>
        <f>IFERROR(CalcRC27(F62,G62,K62,O62,P62,Q62,R62,S62,T62,U62,V62),"-")</f>
      </c>
      <c r="X62" s="2"/>
    </row>
    <row r="63" spans="2:24" ht="13.8" x14ac:dyDescent="0.2">
      <c r="B63" s="8">
        <f t="shared" si="6"/>
      </c>
      <c r="C63" s="10"/>
      <c r="D63" s="13"/>
      <c r="E63" s="11">
        <f t="shared" si="2"/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</c>
      <c r="L63" s="7">
        <v>0</v>
      </c>
      <c r="M63" s="11">
        <f t="shared" si="4"/>
      </c>
      <c r="N63" s="11">
        <f t="shared" si="5"/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>
        <f>IFERROR(CalcRC27(F63,G63,K63,O63,P63,Q63,R63,S63,T63,U63,V63),"-")</f>
      </c>
      <c r="X63" s="2"/>
    </row>
    <row r="64" spans="2:24" ht="13.8" x14ac:dyDescent="0.2">
      <c r="B64" s="8">
        <f t="shared" si="6"/>
      </c>
      <c r="C64" s="10"/>
      <c r="D64" s="13"/>
      <c r="E64" s="11">
        <f t="shared" si="2"/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</c>
      <c r="L64" s="7">
        <v>0</v>
      </c>
      <c r="M64" s="11">
        <f t="shared" si="4"/>
      </c>
      <c r="N64" s="11">
        <f t="shared" si="5"/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>
        <f>IFERROR(CalcRC27(F64,G64,K64,O64,P64,Q64,R64,S64,T64,U64,V64),"-")</f>
      </c>
      <c r="X64" s="2"/>
    </row>
    <row r="65" spans="2:24" ht="13.8" x14ac:dyDescent="0.2">
      <c r="B65" s="8">
        <f t="shared" si="6"/>
      </c>
      <c r="C65" s="10"/>
      <c r="D65" s="13"/>
      <c r="E65" s="11">
        <f t="shared" si="2"/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</c>
      <c r="L65" s="7">
        <v>0</v>
      </c>
      <c r="M65" s="11">
        <f t="shared" si="4"/>
      </c>
      <c r="N65" s="11">
        <f t="shared" si="5"/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>
        <f>IFERROR(CalcRC27(F65,G65,K65,O65,P65,Q65,R65,S65,T65,U65,V65),"-")</f>
      </c>
      <c r="X65" s="2"/>
    </row>
    <row r="66" spans="2:24" ht="13.8" x14ac:dyDescent="0.2">
      <c r="B66" s="8">
        <f t="shared" si="6"/>
      </c>
      <c r="C66" s="10"/>
      <c r="D66" s="13"/>
      <c r="E66" s="11">
        <f t="shared" si="2"/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</c>
      <c r="L66" s="7">
        <v>0</v>
      </c>
      <c r="M66" s="11">
        <f t="shared" si="4"/>
      </c>
      <c r="N66" s="11">
        <f t="shared" si="5"/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>
        <f>IFERROR(CalcRC27(F66,G66,K66,O66,P66,Q66,R66,S66,T66,U66,V66),"-")</f>
      </c>
      <c r="X66" s="2"/>
    </row>
    <row r="67" spans="2:24" ht="13.8" x14ac:dyDescent="0.2">
      <c r="B67" s="8">
        <f t="shared" si="6"/>
      </c>
      <c r="C67" s="10"/>
      <c r="D67" s="13"/>
      <c r="E67" s="11">
        <f t="shared" si="2"/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</c>
      <c r="L67" s="7">
        <v>0</v>
      </c>
      <c r="M67" s="11">
        <f t="shared" si="4"/>
      </c>
      <c r="N67" s="11">
        <f t="shared" si="5"/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>
        <f>IFERROR(CalcRC27(F67,G67,K67,O67,P67,Q67,R67,S67,T67,U67,V67),"-")</f>
      </c>
      <c r="X67" s="2"/>
    </row>
    <row r="68" spans="2:24" ht="13.8" x14ac:dyDescent="0.2">
      <c r="B68" s="8">
        <f t="shared" si="6"/>
      </c>
      <c r="C68" s="10"/>
      <c r="D68" s="9"/>
      <c r="E68" s="11">
        <f t="shared" si="2"/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</c>
      <c r="L68" s="7">
        <v>0</v>
      </c>
      <c r="M68" s="11">
        <f t="shared" ref="M68:M131" si="8">IFERROR(IF((G68+P68+Q68)/(F68+P68+Q68+S68)=1,"1.00",(G68+P68+Q68)/(F68+P68+Q68+S68)),0)</f>
      </c>
      <c r="N68" s="11">
        <f t="shared" ref="N68:N131" si="9">IFERROR(SUM(K68/F68,((G68+P68+Q68)/(F68+P68+Q68+S68))),M68)</f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>
        <f>IFERROR(CalcRC27(F68,G68,K68,O68,P68,Q68,R68,S68,T68,U68,V68),"-")</f>
      </c>
      <c r="X68" s="2"/>
    </row>
    <row r="69" spans="2:24" ht="13.8" x14ac:dyDescent="0.2">
      <c r="B69" s="8">
        <f t="shared" ref="B69:B132" si="10">IF(C69="","",C69)</f>
      </c>
      <c r="C69" s="10"/>
      <c r="D69" s="13"/>
      <c r="E69" s="11">
        <f t="shared" ref="E69:E132" si="11">IFERROR(IF(G69/F69=1,"1.00",G69/F69),"---")</f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</c>
      <c r="L69" s="7">
        <v>0</v>
      </c>
      <c r="M69" s="11">
        <f t="shared" si="8"/>
      </c>
      <c r="N69" s="11">
        <f t="shared" si="9"/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>
        <f>IFERROR(CalcRC27(F69,G69,K69,O69,P69,Q69,R69,S69,T69,U69,V69),"-")</f>
      </c>
      <c r="X69" s="2"/>
    </row>
    <row r="70" spans="2:24" ht="13.8" x14ac:dyDescent="0.2">
      <c r="B70" s="8">
        <f t="shared" si="10"/>
      </c>
      <c r="C70" s="10"/>
      <c r="D70" s="9"/>
      <c r="E70" s="11">
        <f t="shared" si="11"/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</c>
      <c r="L70" s="7">
        <v>0</v>
      </c>
      <c r="M70" s="11">
        <f t="shared" si="8"/>
      </c>
      <c r="N70" s="11">
        <f t="shared" si="9"/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>
        <f>IFERROR(CalcRC27(F70,G70,K70,O70,P70,Q70,R70,S70,T70,U70,V70),"-")</f>
      </c>
      <c r="X70" s="2"/>
    </row>
    <row r="71" spans="2:24" ht="13.8" x14ac:dyDescent="0.2">
      <c r="B71" s="8">
        <f t="shared" si="10"/>
      </c>
      <c r="C71" s="10"/>
      <c r="D71" s="13"/>
      <c r="E71" s="11">
        <f t="shared" si="11"/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</c>
      <c r="L71" s="7">
        <v>0</v>
      </c>
      <c r="M71" s="11">
        <f t="shared" si="8"/>
      </c>
      <c r="N71" s="11">
        <f t="shared" si="9"/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>
        <f>IFERROR(CalcRC27(F71,G71,K71,O71,P71,Q71,R71,S71,T71,U71,V71),"-")</f>
      </c>
      <c r="X71" s="2"/>
    </row>
    <row r="72" spans="2:24" ht="13.8" x14ac:dyDescent="0.2">
      <c r="B72" s="8">
        <f t="shared" si="10"/>
      </c>
      <c r="C72" s="10"/>
      <c r="D72" s="13"/>
      <c r="E72" s="11">
        <f t="shared" si="11"/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</c>
      <c r="L72" s="7">
        <v>0</v>
      </c>
      <c r="M72" s="11">
        <f t="shared" si="8"/>
      </c>
      <c r="N72" s="11">
        <f t="shared" si="9"/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>
        <f>IFERROR(CalcRC27(F72,G72,K72,O72,P72,Q72,R72,S72,T72,U72,V72),"-")</f>
      </c>
      <c r="X72" s="2"/>
    </row>
    <row r="73" spans="2:24" ht="13.8" x14ac:dyDescent="0.2">
      <c r="B73" s="8">
        <f t="shared" si="10"/>
      </c>
      <c r="C73" s="10"/>
      <c r="D73" s="13"/>
      <c r="E73" s="11">
        <f t="shared" si="11"/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</c>
      <c r="L73" s="7">
        <v>0</v>
      </c>
      <c r="M73" s="11">
        <f t="shared" si="8"/>
      </c>
      <c r="N73" s="11">
        <f t="shared" si="9"/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>
        <f>IFERROR(CalcRC27(F73,G73,K73,O73,P73,Q73,R73,S73,T73,U73,V73),"-")</f>
      </c>
      <c r="X73" s="2"/>
    </row>
    <row r="74" spans="2:24" ht="13.8" x14ac:dyDescent="0.2">
      <c r="B74" s="8">
        <f t="shared" si="10"/>
      </c>
      <c r="C74" s="10"/>
      <c r="D74" s="13"/>
      <c r="E74" s="11">
        <f t="shared" si="11"/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</c>
      <c r="L74" s="7">
        <v>0</v>
      </c>
      <c r="M74" s="11">
        <f t="shared" si="8"/>
      </c>
      <c r="N74" s="11">
        <f t="shared" si="9"/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>
        <f>IFERROR(CalcRC27(F74,G74,K74,O74,P74,Q74,R74,S74,T74,U74,V74),"-")</f>
      </c>
      <c r="X74" s="2"/>
    </row>
    <row r="75" spans="2:24" ht="13.8" x14ac:dyDescent="0.2">
      <c r="B75" s="8">
        <f t="shared" si="10"/>
      </c>
      <c r="C75" s="10"/>
      <c r="D75" s="8"/>
      <c r="E75" s="11">
        <f t="shared" si="11"/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</c>
      <c r="L75" s="7">
        <v>0</v>
      </c>
      <c r="M75" s="11">
        <f t="shared" si="8"/>
      </c>
      <c r="N75" s="11">
        <f t="shared" si="9"/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>
        <f>IFERROR(CalcRC27(F75,G75,K75,O75,P75,Q75,R75,S75,T75,U75,V75),"-")</f>
      </c>
      <c r="X75" s="2"/>
    </row>
    <row r="76" spans="2:24" ht="13.8" x14ac:dyDescent="0.2">
      <c r="B76" s="8">
        <f t="shared" si="10"/>
      </c>
      <c r="C76" s="10"/>
      <c r="D76" s="8"/>
      <c r="E76" s="11">
        <f t="shared" si="11"/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</c>
      <c r="L76" s="7">
        <v>0</v>
      </c>
      <c r="M76" s="11">
        <f t="shared" si="8"/>
      </c>
      <c r="N76" s="11">
        <f t="shared" si="9"/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>
        <f>IFERROR(CalcRC27(F76,G76,K76,O76,P76,Q76,R76,S76,T76,U76,V76),"-")</f>
      </c>
      <c r="X76" s="2"/>
    </row>
    <row r="77" spans="2:24" ht="13.8" x14ac:dyDescent="0.2">
      <c r="B77" s="8">
        <f t="shared" si="10"/>
      </c>
      <c r="C77" s="10"/>
      <c r="D77" s="8"/>
      <c r="E77" s="11">
        <f t="shared" si="11"/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</c>
      <c r="L77" s="7">
        <v>0</v>
      </c>
      <c r="M77" s="11">
        <f t="shared" si="8"/>
      </c>
      <c r="N77" s="11">
        <f t="shared" si="9"/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>
        <f>IFERROR(CalcRC27(F77,G77,K77,O77,P77,Q77,R77,S77,T77,U77,V77),"-")</f>
      </c>
      <c r="X77" s="2"/>
    </row>
    <row r="78" spans="2:24" ht="13.8" x14ac:dyDescent="0.2">
      <c r="B78" s="8">
        <f t="shared" si="10"/>
      </c>
      <c r="C78" s="10"/>
      <c r="D78" s="8"/>
      <c r="E78" s="11">
        <f t="shared" si="11"/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</c>
      <c r="L78" s="7">
        <v>0</v>
      </c>
      <c r="M78" s="11">
        <f t="shared" si="8"/>
      </c>
      <c r="N78" s="11">
        <f t="shared" si="9"/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>
        <f>IFERROR(CalcRC27(F78,G78,K78,O78,P78,Q78,R78,S78,T78,U78,V78),"-")</f>
      </c>
      <c r="X78" s="2"/>
    </row>
    <row r="79" spans="2:24" ht="13.8" x14ac:dyDescent="0.2">
      <c r="B79" s="8">
        <f t="shared" si="10"/>
      </c>
      <c r="C79" s="10"/>
      <c r="D79" s="8"/>
      <c r="E79" s="11">
        <f t="shared" si="11"/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</c>
      <c r="L79" s="7">
        <v>0</v>
      </c>
      <c r="M79" s="11">
        <f t="shared" si="8"/>
      </c>
      <c r="N79" s="11">
        <f t="shared" si="9"/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>
        <f>IFERROR(CalcRC27(F79,G79,K79,O79,P79,Q79,R79,S79,T79,U79,V79),"-")</f>
      </c>
      <c r="X79" s="2"/>
    </row>
    <row r="80" spans="2:24" ht="13.8" x14ac:dyDescent="0.2">
      <c r="B80" s="8">
        <f t="shared" si="10"/>
      </c>
      <c r="C80" s="10"/>
      <c r="D80" s="8"/>
      <c r="E80" s="11">
        <f t="shared" si="11"/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</c>
      <c r="L80" s="7">
        <v>0</v>
      </c>
      <c r="M80" s="11">
        <f t="shared" si="8"/>
      </c>
      <c r="N80" s="11">
        <f t="shared" si="9"/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>
        <f>IFERROR(CalcRC27(F80,G80,K80,O80,P80,Q80,R80,S80,T80,U80,V80),"-")</f>
      </c>
      <c r="X80" s="2"/>
    </row>
    <row r="81" spans="2:24" ht="13.8" x14ac:dyDescent="0.2">
      <c r="B81" s="8">
        <f t="shared" si="10"/>
      </c>
      <c r="C81" s="10"/>
      <c r="D81" s="8"/>
      <c r="E81" s="11">
        <f t="shared" si="11"/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</c>
      <c r="L81" s="7">
        <v>0</v>
      </c>
      <c r="M81" s="11">
        <f t="shared" si="8"/>
      </c>
      <c r="N81" s="11">
        <f t="shared" si="9"/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>
        <f>IFERROR(CalcRC27(F81,G81,K81,O81,P81,Q81,R81,S81,T81,U81,V81),"-")</f>
      </c>
      <c r="X81" s="2"/>
    </row>
    <row r="82" spans="2:24" ht="13.8" x14ac:dyDescent="0.2">
      <c r="B82" s="8">
        <f t="shared" si="10"/>
      </c>
      <c r="C82" s="10"/>
      <c r="D82" s="13"/>
      <c r="E82" s="11">
        <f t="shared" si="11"/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</c>
      <c r="L82" s="7">
        <v>0</v>
      </c>
      <c r="M82" s="11">
        <f t="shared" si="8"/>
      </c>
      <c r="N82" s="11">
        <f t="shared" si="9"/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>
        <f>IFERROR(CalcRC27(F82,G82,K82,O82,P82,Q82,R82,S82,T82,U82,V82),"-")</f>
      </c>
      <c r="X82" s="2"/>
    </row>
    <row r="83" spans="2:24" ht="13.8" x14ac:dyDescent="0.2">
      <c r="B83" s="8">
        <f t="shared" si="10"/>
      </c>
      <c r="C83" s="10"/>
      <c r="D83" s="8"/>
      <c r="E83" s="11">
        <f t="shared" si="11"/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</c>
      <c r="L83" s="7">
        <v>0</v>
      </c>
      <c r="M83" s="11">
        <f t="shared" si="8"/>
      </c>
      <c r="N83" s="11">
        <f t="shared" si="9"/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>
        <f>IFERROR(CalcRC27(F83,G83,K83,O83,P83,Q83,R83,S83,T83,U83,V83),"-")</f>
      </c>
      <c r="X83" s="2"/>
    </row>
    <row r="84" spans="2:24" ht="13.8" x14ac:dyDescent="0.2">
      <c r="B84" s="8">
        <f t="shared" si="10"/>
      </c>
      <c r="C84" s="10"/>
      <c r="D84" s="9"/>
      <c r="E84" s="11">
        <f t="shared" si="11"/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</c>
      <c r="L84" s="7">
        <v>0</v>
      </c>
      <c r="M84" s="11">
        <f t="shared" si="8"/>
      </c>
      <c r="N84" s="11">
        <f t="shared" si="9"/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>
        <f>IFERROR(CalcRC27(F84,G84,K84,O84,P84,Q84,R84,S84,T84,U84,V84),"-")</f>
      </c>
      <c r="X84" s="2"/>
    </row>
    <row r="85" spans="2:24" ht="13.8" x14ac:dyDescent="0.2">
      <c r="B85" s="8">
        <f t="shared" si="10"/>
      </c>
      <c r="C85" s="10"/>
      <c r="D85" s="8"/>
      <c r="E85" s="11">
        <f t="shared" si="11"/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</c>
      <c r="L85" s="7">
        <v>0</v>
      </c>
      <c r="M85" s="11">
        <f t="shared" si="8"/>
      </c>
      <c r="N85" s="11">
        <f t="shared" si="9"/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>
        <f>IFERROR(CalcRC27(F85,G85,K85,O85,P85,Q85,R85,S85,T85,U85,V85),"-")</f>
      </c>
      <c r="X85" s="2"/>
    </row>
    <row r="86" spans="2:24" ht="13.8" x14ac:dyDescent="0.2">
      <c r="B86" s="8">
        <f t="shared" si="10"/>
      </c>
      <c r="C86" s="10"/>
      <c r="D86" s="8"/>
      <c r="E86" s="11">
        <f t="shared" si="11"/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</c>
      <c r="L86" s="7">
        <v>0</v>
      </c>
      <c r="M86" s="11">
        <f t="shared" si="8"/>
      </c>
      <c r="N86" s="11">
        <f t="shared" si="9"/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>
        <f>IFERROR(CalcRC27(F86,G86,K86,O86,P86,Q86,R86,S86,T86,U86,V86),"-")</f>
      </c>
      <c r="X86" s="2"/>
    </row>
    <row r="87" spans="2:24" ht="13.8" x14ac:dyDescent="0.2">
      <c r="B87" s="8">
        <f t="shared" si="10"/>
      </c>
      <c r="C87" s="10"/>
      <c r="D87" s="8"/>
      <c r="E87" s="11">
        <f t="shared" si="11"/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</c>
      <c r="L87" s="7">
        <v>0</v>
      </c>
      <c r="M87" s="11">
        <f t="shared" si="8"/>
      </c>
      <c r="N87" s="11">
        <f t="shared" si="9"/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>
        <f>IFERROR(CalcRC27(F87,G87,K87,O87,P87,Q87,R87,S87,T87,U87,V87),"-")</f>
      </c>
      <c r="X87" s="2"/>
    </row>
    <row r="88" spans="2:24" ht="13.8" x14ac:dyDescent="0.2">
      <c r="B88" s="8">
        <f t="shared" si="10"/>
      </c>
      <c r="C88" s="10"/>
      <c r="D88" s="8"/>
      <c r="E88" s="11">
        <f t="shared" si="11"/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</c>
      <c r="L88" s="7">
        <v>0</v>
      </c>
      <c r="M88" s="11">
        <f t="shared" si="8"/>
      </c>
      <c r="N88" s="11">
        <f t="shared" si="9"/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>
        <f>IFERROR(CalcRC27(F88,G88,K88,O88,P88,Q88,R88,S88,T88,U88,V88),"-")</f>
      </c>
      <c r="X88" s="2"/>
    </row>
    <row r="89" spans="2:24" ht="13.8" x14ac:dyDescent="0.2">
      <c r="B89" s="8">
        <f t="shared" si="10"/>
      </c>
      <c r="C89" s="10"/>
      <c r="D89" s="8"/>
      <c r="E89" s="11">
        <f t="shared" si="11"/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</c>
      <c r="L89" s="7">
        <v>0</v>
      </c>
      <c r="M89" s="11">
        <f t="shared" si="8"/>
      </c>
      <c r="N89" s="11">
        <f t="shared" si="9"/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>
        <f>IFERROR(CalcRC27(F89,G89,K89,O89,P89,Q89,R89,S89,T89,U89,V89),"-")</f>
      </c>
      <c r="X89" s="2"/>
    </row>
    <row r="90" spans="2:24" ht="13.8" x14ac:dyDescent="0.2">
      <c r="B90" s="8">
        <f t="shared" si="10"/>
      </c>
      <c r="C90" s="10"/>
      <c r="D90" s="8"/>
      <c r="E90" s="11">
        <f t="shared" si="11"/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</c>
      <c r="L90" s="7">
        <v>0</v>
      </c>
      <c r="M90" s="11">
        <f t="shared" si="8"/>
      </c>
      <c r="N90" s="11">
        <f t="shared" si="9"/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>
        <f>IFERROR(CalcRC27(F90,G90,K90,O90,P90,Q90,R90,S90,T90,U90,V90),"-")</f>
      </c>
      <c r="X90" s="2"/>
    </row>
    <row r="91" spans="2:24" ht="13.8" x14ac:dyDescent="0.2">
      <c r="B91" s="8">
        <f t="shared" si="10"/>
      </c>
      <c r="C91" s="10"/>
      <c r="D91" s="8"/>
      <c r="E91" s="11">
        <f t="shared" si="11"/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</c>
      <c r="L91" s="7">
        <v>0</v>
      </c>
      <c r="M91" s="11">
        <f t="shared" si="8"/>
      </c>
      <c r="N91" s="11">
        <f t="shared" si="9"/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>
        <f>IFERROR(CalcRC27(F91,G91,K91,O91,P91,Q91,R91,S91,T91,U91,V91),"-")</f>
      </c>
      <c r="X91" s="2"/>
    </row>
    <row r="92" spans="2:24" ht="13.8" x14ac:dyDescent="0.2">
      <c r="B92" s="8">
        <f t="shared" si="10"/>
      </c>
      <c r="C92" s="10"/>
      <c r="D92" s="8"/>
      <c r="E92" s="11">
        <f t="shared" si="11"/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</c>
      <c r="L92" s="7">
        <v>0</v>
      </c>
      <c r="M92" s="11">
        <f t="shared" si="8"/>
      </c>
      <c r="N92" s="11">
        <f t="shared" si="9"/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>
        <f>IFERROR(CalcRC27(F92,G92,K92,O92,P92,Q92,R92,S92,T92,U92,V92),"-")</f>
      </c>
      <c r="X92" s="2"/>
    </row>
    <row r="93" spans="2:24" ht="13.8" x14ac:dyDescent="0.2">
      <c r="B93" s="8">
        <f t="shared" si="10"/>
      </c>
      <c r="C93" s="10"/>
      <c r="D93" s="8"/>
      <c r="E93" s="11">
        <f t="shared" si="11"/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</c>
      <c r="L93" s="7">
        <v>0</v>
      </c>
      <c r="M93" s="11">
        <f t="shared" si="8"/>
      </c>
      <c r="N93" s="11">
        <f t="shared" si="9"/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>
        <f>IFERROR(CalcRC27(F93,G93,K93,O93,P93,Q93,R93,S93,T93,U93,V93),"-")</f>
      </c>
      <c r="X93" s="2"/>
    </row>
    <row r="94" spans="2:24" ht="13.8" x14ac:dyDescent="0.2">
      <c r="B94" s="8">
        <f t="shared" si="10"/>
      </c>
      <c r="C94" s="10"/>
      <c r="D94" s="8"/>
      <c r="E94" s="11">
        <f t="shared" si="11"/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</c>
      <c r="L94" s="7">
        <v>0</v>
      </c>
      <c r="M94" s="11">
        <f t="shared" si="8"/>
      </c>
      <c r="N94" s="11">
        <f t="shared" si="9"/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>
        <f>IFERROR(CalcRC27(F94,G94,K94,O94,P94,Q94,R94,S94,T94,U94,V94),"-")</f>
      </c>
      <c r="X94" s="2"/>
    </row>
    <row r="95" spans="2:24" ht="13.8" x14ac:dyDescent="0.2">
      <c r="B95" s="8">
        <f t="shared" si="10"/>
      </c>
      <c r="C95" s="10"/>
      <c r="D95" s="13"/>
      <c r="E95" s="11">
        <f t="shared" si="11"/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</c>
      <c r="L95" s="7">
        <v>0</v>
      </c>
      <c r="M95" s="11">
        <f t="shared" si="8"/>
      </c>
      <c r="N95" s="11">
        <f t="shared" si="9"/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>
        <f>IFERROR(CalcRC27(F95,G95,K95,O95,P95,Q95,R95,S95,T95,U95,V95),"-")</f>
      </c>
      <c r="X95" s="2"/>
    </row>
    <row r="96" spans="2:24" ht="13.8" x14ac:dyDescent="0.2">
      <c r="B96" s="8">
        <f t="shared" si="10"/>
      </c>
      <c r="C96" s="10"/>
      <c r="D96" s="8"/>
      <c r="E96" s="11">
        <f t="shared" si="11"/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</c>
      <c r="L96" s="7">
        <v>0</v>
      </c>
      <c r="M96" s="11">
        <f t="shared" si="8"/>
      </c>
      <c r="N96" s="11">
        <f t="shared" si="9"/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>
        <f>IFERROR(CalcRC27(F96,G96,K96,O96,P96,Q96,R96,S96,T96,U96,V96),"-")</f>
      </c>
      <c r="X96" s="2"/>
    </row>
    <row r="97" spans="2:24" ht="13.8" x14ac:dyDescent="0.2">
      <c r="B97" s="8">
        <f t="shared" si="10"/>
      </c>
      <c r="C97" s="10"/>
      <c r="D97" s="8"/>
      <c r="E97" s="11">
        <f t="shared" si="11"/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</c>
      <c r="L97" s="7">
        <v>0</v>
      </c>
      <c r="M97" s="11">
        <f t="shared" si="8"/>
      </c>
      <c r="N97" s="11">
        <f t="shared" si="9"/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>
        <f>IFERROR(CalcRC27(F97,G97,K97,O97,P97,Q97,R97,S97,T97,U97,V97),"-")</f>
      </c>
      <c r="X97" s="2"/>
    </row>
    <row r="98" spans="2:24" ht="13.8" x14ac:dyDescent="0.2">
      <c r="B98" s="8">
        <f t="shared" si="10"/>
      </c>
      <c r="C98" s="10"/>
      <c r="D98" s="8"/>
      <c r="E98" s="11">
        <f t="shared" si="11"/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</c>
      <c r="L98" s="7">
        <v>0</v>
      </c>
      <c r="M98" s="11">
        <f t="shared" si="8"/>
      </c>
      <c r="N98" s="11">
        <f t="shared" si="9"/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>
        <f>IFERROR(CalcRC27(F98,G98,K98,O98,P98,Q98,R98,S98,T98,U98,V98),"-")</f>
      </c>
      <c r="X98" s="2"/>
    </row>
    <row r="99" spans="2:24" ht="13.8" x14ac:dyDescent="0.2">
      <c r="B99" s="8">
        <f t="shared" si="10"/>
      </c>
      <c r="C99" s="10"/>
      <c r="D99" s="8"/>
      <c r="E99" s="11">
        <f t="shared" si="11"/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</c>
      <c r="L99" s="7">
        <v>0</v>
      </c>
      <c r="M99" s="11">
        <f t="shared" si="8"/>
      </c>
      <c r="N99" s="11">
        <f t="shared" si="9"/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>
        <f>IFERROR(CalcRC27(F99,G99,K99,O99,P99,Q99,R99,S99,T99,U99,V99),"-")</f>
      </c>
      <c r="X99" s="2"/>
    </row>
    <row r="100" spans="2:24" ht="13.8" x14ac:dyDescent="0.2">
      <c r="B100" s="8">
        <f t="shared" si="10"/>
      </c>
      <c r="C100" s="10"/>
      <c r="D100" s="13"/>
      <c r="E100" s="11">
        <f t="shared" si="11"/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</c>
      <c r="L100" s="7">
        <v>0</v>
      </c>
      <c r="M100" s="11">
        <f t="shared" si="8"/>
      </c>
      <c r="N100" s="11">
        <f t="shared" si="9"/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>
        <f>IFERROR(CalcRC27(F100,G100,K100,O100,P100,Q100,R100,S100,T100,U100,V100),"-")</f>
      </c>
      <c r="X100" s="2"/>
    </row>
    <row r="101" spans="2:24" ht="13.8" x14ac:dyDescent="0.2">
      <c r="B101" s="8">
        <f t="shared" si="10"/>
      </c>
      <c r="C101" s="10"/>
      <c r="D101" s="8"/>
      <c r="E101" s="11">
        <f t="shared" si="11"/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</c>
      <c r="L101" s="7">
        <v>0</v>
      </c>
      <c r="M101" s="11">
        <f t="shared" si="8"/>
      </c>
      <c r="N101" s="11">
        <f t="shared" si="9"/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>
        <f>IFERROR(CalcRC27(F101,G101,K101,O101,P101,Q101,R101,S101,T101,U101,V101),"-")</f>
      </c>
      <c r="X101" s="2"/>
    </row>
    <row r="102" spans="2:24" ht="13.8" x14ac:dyDescent="0.2">
      <c r="B102" s="8">
        <f t="shared" si="10"/>
      </c>
      <c r="C102" s="10"/>
      <c r="D102" s="8"/>
      <c r="E102" s="11">
        <f t="shared" si="11"/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</c>
      <c r="L102" s="7">
        <v>0</v>
      </c>
      <c r="M102" s="11">
        <f t="shared" si="8"/>
      </c>
      <c r="N102" s="11">
        <f t="shared" si="9"/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>
        <f>IFERROR(CalcRC27(F102,G102,K102,O102,P102,Q102,R102,S102,T102,U102,V102),"-")</f>
      </c>
      <c r="X102" s="2"/>
    </row>
    <row r="103" spans="2:24" ht="13.8" x14ac:dyDescent="0.2">
      <c r="B103" s="8">
        <f t="shared" si="10"/>
      </c>
      <c r="C103" s="10"/>
      <c r="D103" s="8"/>
      <c r="E103" s="11">
        <f t="shared" si="11"/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</c>
      <c r="L103" s="7">
        <v>0</v>
      </c>
      <c r="M103" s="11">
        <f t="shared" si="8"/>
      </c>
      <c r="N103" s="11">
        <f t="shared" si="9"/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</c>
      <c r="X103" s="2"/>
    </row>
    <row r="104" spans="2:24" ht="13.8" x14ac:dyDescent="0.2">
      <c r="B104" s="8">
        <f t="shared" si="10"/>
      </c>
      <c r="C104" s="10"/>
      <c r="D104" s="9"/>
      <c r="E104" s="11">
        <f t="shared" si="11"/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</c>
      <c r="L104" s="7">
        <v>0</v>
      </c>
      <c r="M104" s="11">
        <f t="shared" si="8"/>
      </c>
      <c r="N104" s="11">
        <f t="shared" si="9"/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</c>
      <c r="X104" s="2"/>
    </row>
    <row r="105" spans="2:24" ht="13.8" x14ac:dyDescent="0.2">
      <c r="B105" s="8">
        <f t="shared" si="10"/>
      </c>
      <c r="C105" s="10"/>
      <c r="D105" s="14"/>
      <c r="E105" s="11">
        <f t="shared" si="11"/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</c>
      <c r="L105" s="7">
        <v>0</v>
      </c>
      <c r="M105" s="11">
        <f t="shared" si="8"/>
      </c>
      <c r="N105" s="11">
        <f t="shared" si="9"/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>
        <f>IFERROR(CalcRC27(F105,G105,K105,O105,P105,Q105,R105,S105,T105,U105,V105),"-")</f>
      </c>
      <c r="X105" s="2"/>
    </row>
    <row r="106" spans="2:24" ht="13.8" x14ac:dyDescent="0.2">
      <c r="B106" s="8">
        <f t="shared" si="10"/>
      </c>
      <c r="C106" s="10"/>
      <c r="D106" s="9"/>
      <c r="E106" s="11">
        <f t="shared" si="11"/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</c>
      <c r="L106" s="7">
        <v>0</v>
      </c>
      <c r="M106" s="11">
        <f t="shared" si="8"/>
      </c>
      <c r="N106" s="11">
        <f t="shared" si="9"/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>
        <f>IFERROR(CalcRC27(F106,G106,K106,O106,P106,Q106,R106,S106,T106,U106,V106),"-")</f>
      </c>
      <c r="X106" s="2"/>
    </row>
    <row r="107" spans="2:24" ht="13.8" x14ac:dyDescent="0.2">
      <c r="B107" s="8">
        <f t="shared" si="10"/>
      </c>
      <c r="C107" s="10"/>
      <c r="D107" s="9"/>
      <c r="E107" s="11">
        <f t="shared" si="11"/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</c>
      <c r="L107" s="7">
        <v>0</v>
      </c>
      <c r="M107" s="11">
        <f t="shared" si="8"/>
      </c>
      <c r="N107" s="11">
        <f t="shared" si="9"/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>
        <f>IFERROR(CalcRC27(F107,G107,K107,O107,P107,Q107,R107,S107,T107,U107,V107),"-")</f>
      </c>
      <c r="X107" s="2"/>
    </row>
    <row r="108" spans="2:24" ht="13.8" x14ac:dyDescent="0.2">
      <c r="B108" s="8">
        <f t="shared" si="10"/>
      </c>
      <c r="C108" s="10"/>
      <c r="D108" s="9"/>
      <c r="E108" s="11">
        <f t="shared" si="11"/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</c>
      <c r="L108" s="7">
        <v>0</v>
      </c>
      <c r="M108" s="11">
        <f t="shared" si="8"/>
      </c>
      <c r="N108" s="11">
        <f t="shared" si="9"/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>
        <f>IFERROR(CalcRC27(F108,G108,K108,O108,P108,Q108,R108,S108,T108,U108,V108),"-")</f>
      </c>
      <c r="X108" s="2"/>
    </row>
    <row r="109" spans="2:24" ht="13.8" x14ac:dyDescent="0.2">
      <c r="B109" s="8">
        <f t="shared" si="10"/>
      </c>
      <c r="C109" s="10"/>
      <c r="D109" s="9"/>
      <c r="E109" s="11">
        <f t="shared" si="11"/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</c>
      <c r="L109" s="7">
        <v>0</v>
      </c>
      <c r="M109" s="11">
        <f t="shared" si="8"/>
      </c>
      <c r="N109" s="11">
        <f t="shared" si="9"/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>
        <f>IFERROR(CalcRC27(F109,G109,K109,O109,P109,Q109,R109,S109,T109,U109,V109),"-")</f>
      </c>
      <c r="X109" s="2"/>
    </row>
    <row r="110" spans="2:24" ht="13.8" x14ac:dyDescent="0.2">
      <c r="B110" s="8">
        <f t="shared" si="10"/>
      </c>
      <c r="C110" s="10"/>
      <c r="D110" s="9"/>
      <c r="E110" s="11">
        <f t="shared" si="11"/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</c>
      <c r="L110" s="7">
        <v>0</v>
      </c>
      <c r="M110" s="11">
        <f t="shared" si="8"/>
      </c>
      <c r="N110" s="11">
        <f t="shared" si="9"/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>
        <f>IFERROR(CalcRC27(F110,G110,K110,O110,P110,Q110,R110,S110,T110,U110,V110),"-")</f>
      </c>
      <c r="X110" s="2"/>
    </row>
    <row r="111" spans="2:24" ht="13.8" x14ac:dyDescent="0.2">
      <c r="B111" s="8">
        <f t="shared" si="10"/>
      </c>
      <c r="C111" s="10"/>
      <c r="D111" s="9"/>
      <c r="E111" s="11">
        <f t="shared" si="11"/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</c>
      <c r="L111" s="7">
        <v>0</v>
      </c>
      <c r="M111" s="11">
        <f t="shared" si="8"/>
      </c>
      <c r="N111" s="11">
        <f t="shared" si="9"/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>
        <f>IFERROR(CalcRC27(F111,G111,K111,O111,P111,Q111,R111,S111,T111,U111,V111),"-")</f>
      </c>
      <c r="X111" s="2"/>
    </row>
    <row r="112" spans="2:24" ht="13.8" x14ac:dyDescent="0.2">
      <c r="B112" s="8">
        <f t="shared" si="10"/>
      </c>
      <c r="C112" s="10"/>
      <c r="D112" s="9"/>
      <c r="E112" s="11">
        <f t="shared" si="11"/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</c>
      <c r="L112" s="7">
        <v>0</v>
      </c>
      <c r="M112" s="11">
        <f t="shared" si="8"/>
      </c>
      <c r="N112" s="11">
        <f t="shared" si="9"/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>
        <f>IFERROR(CalcRC27(F112,G112,K112,O112,P112,Q112,R112,S112,T112,U112,V112),"-")</f>
      </c>
      <c r="X112" s="2"/>
    </row>
    <row r="113" spans="2:24" ht="13.8" x14ac:dyDescent="0.2">
      <c r="B113" s="8">
        <f t="shared" si="10"/>
      </c>
      <c r="C113" s="10"/>
      <c r="D113" s="9"/>
      <c r="E113" s="11">
        <f t="shared" si="11"/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</c>
      <c r="L113" s="7">
        <v>0</v>
      </c>
      <c r="M113" s="11">
        <f t="shared" si="8"/>
      </c>
      <c r="N113" s="11">
        <f t="shared" si="9"/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>
        <f>IFERROR(CalcRC27(F113,G113,K113,O113,P113,Q113,R113,S113,T113,U113,V113),"-")</f>
      </c>
      <c r="X113" s="2"/>
    </row>
    <row r="114" spans="2:24" ht="13.8" x14ac:dyDescent="0.2">
      <c r="B114" s="8">
        <f t="shared" si="10"/>
      </c>
      <c r="C114" s="10"/>
      <c r="D114" s="9"/>
      <c r="E114" s="11">
        <f t="shared" si="11"/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</c>
      <c r="L114" s="7">
        <v>0</v>
      </c>
      <c r="M114" s="11">
        <f t="shared" si="8"/>
      </c>
      <c r="N114" s="11">
        <f t="shared" si="9"/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>
        <f>IFERROR(CalcRC27(F114,G114,K114,O114,P114,Q114,R114,S114,T114,U114,V114),"-")</f>
      </c>
      <c r="X114" s="2"/>
    </row>
    <row r="115" spans="2:24" ht="13.8" x14ac:dyDescent="0.2">
      <c r="B115" s="8">
        <f t="shared" si="10"/>
      </c>
      <c r="C115" s="10"/>
      <c r="D115" s="9"/>
      <c r="E115" s="11">
        <f t="shared" si="11"/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</c>
      <c r="L115" s="7">
        <v>0</v>
      </c>
      <c r="M115" s="11">
        <f t="shared" si="8"/>
      </c>
      <c r="N115" s="11">
        <f t="shared" si="9"/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>
        <f>IFERROR(CalcRC27(F115,G115,K115,O115,P115,Q115,R115,S115,T115,U115,V115),"-")</f>
      </c>
      <c r="X115" s="2"/>
    </row>
    <row r="116" spans="2:24" ht="13.8" x14ac:dyDescent="0.2">
      <c r="B116" s="8">
        <f t="shared" si="10"/>
      </c>
      <c r="C116" s="10"/>
      <c r="D116" s="9"/>
      <c r="E116" s="11">
        <f t="shared" si="11"/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</c>
      <c r="L116" s="7">
        <v>0</v>
      </c>
      <c r="M116" s="11">
        <f t="shared" si="8"/>
      </c>
      <c r="N116" s="11">
        <f t="shared" si="9"/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>
        <f>IFERROR(CalcRC27(F116,G116,K116,O116,P116,Q116,R116,S116,T116,U116,V116),"-")</f>
      </c>
      <c r="X116" s="2"/>
    </row>
    <row r="117" spans="2:24" ht="13.8" x14ac:dyDescent="0.2">
      <c r="B117" s="8">
        <f t="shared" si="10"/>
      </c>
      <c r="C117" s="10"/>
      <c r="D117" s="9"/>
      <c r="E117" s="11">
        <f t="shared" si="11"/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</c>
      <c r="L117" s="7">
        <v>0</v>
      </c>
      <c r="M117" s="11">
        <f t="shared" si="8"/>
      </c>
      <c r="N117" s="11">
        <f t="shared" si="9"/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>
        <f>IFERROR(CalcRC27(F117,G117,K117,O117,P117,Q117,R117,S117,T117,U117,V117),"-")</f>
      </c>
      <c r="X117" s="2"/>
    </row>
    <row r="118" spans="2:24" ht="13.8" x14ac:dyDescent="0.2">
      <c r="B118" s="8">
        <f t="shared" si="10"/>
      </c>
      <c r="C118" s="10"/>
      <c r="D118" s="9"/>
      <c r="E118" s="11">
        <f t="shared" si="11"/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</c>
      <c r="L118" s="7">
        <v>0</v>
      </c>
      <c r="M118" s="11">
        <f t="shared" si="8"/>
      </c>
      <c r="N118" s="11">
        <f t="shared" si="9"/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>
        <f>IFERROR(CalcRC27(F118,G118,K118,O118,P118,Q118,R118,S118,T118,U118,V118),"-")</f>
      </c>
      <c r="X118" s="2"/>
    </row>
    <row r="119" spans="2:24" ht="13.8" x14ac:dyDescent="0.2">
      <c r="B119" s="8">
        <f t="shared" si="10"/>
      </c>
      <c r="C119" s="10"/>
      <c r="D119" s="9"/>
      <c r="E119" s="11">
        <f t="shared" si="11"/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</c>
      <c r="L119" s="7">
        <v>0</v>
      </c>
      <c r="M119" s="11">
        <f t="shared" si="8"/>
      </c>
      <c r="N119" s="11">
        <f t="shared" si="9"/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>
        <f>IFERROR(CalcRC27(F119,G119,K119,O119,P119,Q119,R119,S119,T119,U119,V119),"-")</f>
      </c>
      <c r="X119" s="2"/>
    </row>
    <row r="120" spans="2:24" ht="13.8" x14ac:dyDescent="0.2">
      <c r="B120" s="8">
        <f t="shared" si="10"/>
      </c>
      <c r="C120" s="10"/>
      <c r="D120" s="9"/>
      <c r="E120" s="11">
        <f t="shared" si="11"/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</c>
      <c r="L120" s="7">
        <v>0</v>
      </c>
      <c r="M120" s="11">
        <f t="shared" si="8"/>
      </c>
      <c r="N120" s="11">
        <f t="shared" si="9"/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>
        <f>IFERROR(CalcRC27(F120,G120,K120,O120,P120,Q120,R120,S120,T120,U120,V120),"-")</f>
      </c>
      <c r="X120" s="2"/>
    </row>
    <row r="121" spans="2:24" ht="13.8" x14ac:dyDescent="0.2">
      <c r="B121" s="8">
        <f t="shared" si="10"/>
      </c>
      <c r="C121" s="10"/>
      <c r="D121" s="9"/>
      <c r="E121" s="11">
        <f t="shared" si="11"/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</c>
      <c r="L121" s="7">
        <v>0</v>
      </c>
      <c r="M121" s="11">
        <f t="shared" si="8"/>
      </c>
      <c r="N121" s="11">
        <f t="shared" si="9"/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>
        <f>IFERROR(CalcRC27(F121,G121,K121,O121,P121,Q121,R121,S121,T121,U121,V121),"-")</f>
      </c>
      <c r="X121" s="2"/>
    </row>
    <row r="122" spans="2:24" ht="13.8" x14ac:dyDescent="0.2">
      <c r="B122" s="8">
        <f t="shared" si="10"/>
      </c>
      <c r="C122" s="10"/>
      <c r="D122" s="9"/>
      <c r="E122" s="11">
        <f t="shared" si="11"/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</c>
      <c r="L122" s="7">
        <v>0</v>
      </c>
      <c r="M122" s="11">
        <f t="shared" si="8"/>
      </c>
      <c r="N122" s="11">
        <f t="shared" si="9"/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>
        <f>IFERROR(CalcRC27(F122,G122,K122,O122,P122,Q122,R122,S122,T122,U122,V122),"-")</f>
      </c>
      <c r="X122" s="2"/>
    </row>
    <row r="123" spans="2:24" ht="13.8" x14ac:dyDescent="0.2">
      <c r="B123" s="8">
        <f t="shared" si="10"/>
      </c>
      <c r="C123" s="10"/>
      <c r="D123" s="9"/>
      <c r="E123" s="11">
        <f t="shared" si="11"/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</c>
      <c r="L123" s="7">
        <v>0</v>
      </c>
      <c r="M123" s="11">
        <f t="shared" si="8"/>
      </c>
      <c r="N123" s="11">
        <f t="shared" si="9"/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>
        <f>IFERROR(CalcRC27(F123,G123,K123,O123,P123,Q123,R123,S123,T123,U123,V123),"-")</f>
      </c>
      <c r="X123" s="2"/>
    </row>
    <row r="124" spans="2:24" ht="13.8" x14ac:dyDescent="0.2">
      <c r="B124" s="8">
        <f t="shared" si="10"/>
      </c>
      <c r="C124" s="10"/>
      <c r="D124" s="9"/>
      <c r="E124" s="11">
        <f t="shared" si="11"/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</c>
      <c r="L124" s="7">
        <v>0</v>
      </c>
      <c r="M124" s="11">
        <f t="shared" si="8"/>
      </c>
      <c r="N124" s="11">
        <f t="shared" si="9"/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>
        <f>IFERROR(CalcRC27(F124,G124,K124,O124,P124,Q124,R124,S124,T124,U124,V124),"-")</f>
      </c>
      <c r="X124" s="2"/>
    </row>
    <row r="125" spans="2:24" ht="13.8" x14ac:dyDescent="0.2">
      <c r="B125" s="8">
        <f t="shared" si="10"/>
      </c>
      <c r="C125" s="10"/>
      <c r="D125" s="9"/>
      <c r="E125" s="11">
        <f t="shared" si="11"/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</c>
      <c r="L125" s="7">
        <v>0</v>
      </c>
      <c r="M125" s="11">
        <f t="shared" si="8"/>
      </c>
      <c r="N125" s="11">
        <f t="shared" si="9"/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>
        <f>IFERROR(CalcRC27(F125,G125,K125,O125,P125,Q125,R125,S125,T125,U125,V125),"-")</f>
      </c>
      <c r="X125" s="2"/>
    </row>
    <row r="126" spans="2:24" ht="13.8" x14ac:dyDescent="0.2">
      <c r="B126" s="8">
        <f t="shared" si="10"/>
      </c>
      <c r="C126" s="10"/>
      <c r="D126" s="9"/>
      <c r="E126" s="11">
        <f t="shared" si="11"/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</c>
      <c r="L126" s="7">
        <v>0</v>
      </c>
      <c r="M126" s="11">
        <f t="shared" si="8"/>
      </c>
      <c r="N126" s="11">
        <f t="shared" si="9"/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>
        <f>IFERROR(CalcRC27(F126,G126,K126,O126,P126,Q126,R126,S126,T126,U126,V126),"-")</f>
      </c>
      <c r="X126" s="2"/>
    </row>
    <row r="127" spans="2:24" ht="13.8" x14ac:dyDescent="0.2">
      <c r="B127" s="8">
        <f t="shared" si="10"/>
      </c>
      <c r="C127" s="10"/>
      <c r="D127" s="9"/>
      <c r="E127" s="11">
        <f t="shared" si="11"/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</c>
      <c r="L127" s="7">
        <v>0</v>
      </c>
      <c r="M127" s="11">
        <f t="shared" si="8"/>
      </c>
      <c r="N127" s="11">
        <f t="shared" si="9"/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>
        <f>IFERROR(CalcRC27(F127,G127,K127,O127,P127,Q127,R127,S127,T127,U127,V127),"-")</f>
      </c>
      <c r="X127" s="2"/>
    </row>
    <row r="128" spans="2:24" ht="13.8" x14ac:dyDescent="0.2">
      <c r="B128" s="8">
        <f t="shared" si="10"/>
      </c>
      <c r="C128" s="10"/>
      <c r="D128" s="9"/>
      <c r="E128" s="11">
        <f t="shared" si="11"/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</c>
      <c r="L128" s="7">
        <v>0</v>
      </c>
      <c r="M128" s="11">
        <f t="shared" si="8"/>
      </c>
      <c r="N128" s="11">
        <f t="shared" si="9"/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>
        <f>IFERROR(CalcRC27(F128,G128,K128,O128,P128,Q128,R128,S128,T128,U128,V128),"-")</f>
      </c>
      <c r="X128" s="2"/>
    </row>
    <row r="129" spans="2:24" ht="13.8" x14ac:dyDescent="0.2">
      <c r="B129" s="8">
        <f t="shared" si="10"/>
      </c>
      <c r="C129" s="10"/>
      <c r="D129" s="9"/>
      <c r="E129" s="11">
        <f t="shared" si="11"/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</c>
      <c r="L129" s="7">
        <v>0</v>
      </c>
      <c r="M129" s="11">
        <f t="shared" si="8"/>
      </c>
      <c r="N129" s="11">
        <f t="shared" si="9"/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>
        <f>IFERROR(CalcRC27(F129,G129,K129,O129,P129,Q129,R129,S129,T129,U129,V129),"-")</f>
      </c>
      <c r="X129" s="2"/>
    </row>
    <row r="130" spans="2:24" ht="13.8" x14ac:dyDescent="0.2">
      <c r="B130" s="8">
        <f t="shared" si="10"/>
      </c>
      <c r="C130" s="10"/>
      <c r="D130" s="9"/>
      <c r="E130" s="11">
        <f t="shared" si="11"/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</c>
      <c r="L130" s="7">
        <v>1</v>
      </c>
      <c r="M130" s="11">
        <f t="shared" si="8"/>
      </c>
      <c r="N130" s="11">
        <f t="shared" si="9"/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>
        <f>IFERROR(CalcRC27(F130,G130,K130,O130,P130,Q130,R130,S130,T130,U130,V130),"-")</f>
      </c>
      <c r="X130" s="2"/>
    </row>
    <row r="131" spans="2:24" ht="13.8" x14ac:dyDescent="0.2">
      <c r="B131" s="8">
        <f t="shared" si="10"/>
      </c>
      <c r="C131" s="10"/>
      <c r="D131" s="9"/>
      <c r="E131" s="11">
        <f t="shared" si="11"/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</c>
      <c r="L131" s="7">
        <v>2</v>
      </c>
      <c r="M131" s="11">
        <f t="shared" si="8"/>
      </c>
      <c r="N131" s="11">
        <f t="shared" si="9"/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>
        <f>IFERROR(CalcRC27(F131,G131,K131,O131,P131,Q131,R131,S131,T131,U131,V131),"-")</f>
      </c>
      <c r="X131" s="2"/>
    </row>
    <row r="132" spans="2:24" ht="13.8" x14ac:dyDescent="0.2">
      <c r="B132" s="8">
        <f t="shared" si="10"/>
      </c>
      <c r="C132" s="10"/>
      <c r="D132" s="9"/>
      <c r="E132" s="11">
        <f t="shared" si="11"/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</c>
      <c r="L132" s="7">
        <v>3</v>
      </c>
      <c r="M132" s="11">
        <f t="shared" ref="M132:M134" si="13">IFERROR(IF((G132+P132+Q132)/(F132+P132+Q132+S132)=1,"1.00",(G132+P132+Q132)/(F132+P132+Q132+S132)),0)</f>
      </c>
      <c r="N132" s="11">
        <f t="shared" ref="N132:N134" si="14">IFERROR(SUM(K132/F132,((G132+P132+Q132)/(F132+P132+Q132+S132))),M132)</f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>
        <f>IFERROR(CalcRC27(F132,G132,K132,O132,P132,Q132,R132,S132,T132,U132,V132),"-")</f>
      </c>
      <c r="X132" s="2"/>
    </row>
    <row r="133" spans="2:24" ht="13.8" x14ac:dyDescent="0.2">
      <c r="B133" s="8">
        <f t="shared" ref="B133:B134" si="15">IF(C133="","",C133)</f>
      </c>
      <c r="C133" s="10"/>
      <c r="D133" s="9"/>
      <c r="E133" s="11">
        <f t="shared" ref="E133:E134" si="16">IFERROR(IF(G133/F133=1,"1.00",G133/F133),"---")</f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</c>
      <c r="L133" s="7">
        <v>4</v>
      </c>
      <c r="M133" s="11">
        <f t="shared" si="13"/>
      </c>
      <c r="N133" s="11">
        <f t="shared" si="14"/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>
        <f>IFERROR(CalcRC27(F133,G133,K133,O133,P133,Q133,R133,S133,T133,U133,V133),"-")</f>
      </c>
      <c r="X133" s="2"/>
    </row>
    <row r="134" spans="2:24" ht="13.8" x14ac:dyDescent="0.2">
      <c r="B134" s="8">
        <f t="shared" si="15"/>
      </c>
      <c r="C134" s="10"/>
      <c r="D134" s="9"/>
      <c r="E134" s="11">
        <f t="shared" si="16"/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</c>
      <c r="L134" s="7">
        <v>5</v>
      </c>
      <c r="M134" s="11">
        <f t="shared" si="13"/>
      </c>
      <c r="N134" s="11">
        <f t="shared" si="14"/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>
        <f>IFERROR(CalcRC27(F134,G134,K134,O134,P134,Q134,R134,S134,T134,U134,V134),"-")</f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8B11A-67F0-40A1-A3B4-8319DD9180DB}">
  <sheetPr codeName="Sheet16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2"/>
      <c r="C2" s="122"/>
      <c r="D2" s="122"/>
      <c r="E2" s="4">
        <f>IFERROR(G2/F2,0)</f>
      </c>
      <c r="F2" s="5">
        <f t="shared" ref="F2:L2" si="0">SUM(F4:F104)</f>
      </c>
      <c r="G2" s="5">
        <f t="shared" si="0"/>
      </c>
      <c r="H2" s="5">
        <f t="shared" si="0"/>
      </c>
      <c r="I2" s="5">
        <f t="shared" si="0"/>
      </c>
      <c r="J2" s="6">
        <f t="shared" si="0"/>
      </c>
      <c r="K2" s="12">
        <f t="shared" si="0"/>
      </c>
      <c r="L2" s="7">
        <f t="shared" si="0"/>
      </c>
      <c r="M2" s="11">
        <f>IFERROR(IF((G2+P2+Q2)/(F2+P2+Q2+R2)=1,"1.00",(G2+P2+Q2)/(F2+P2+Q2+R2)),0)</f>
      </c>
      <c r="N2" s="11">
        <f>IFERROR(SUM(SUM(((G2-H2-I2-J2)*1),H2*2,I2*3,J2*4)/F2,((G2+P2+Q2)/(F2+P2+Q2+R2))),M2)</f>
      </c>
      <c r="O2" s="5">
        <f>SUM(O4:O104)</f>
      </c>
      <c r="P2" s="5">
        <f>SUM(P4:P104)</f>
      </c>
      <c r="Q2" s="5">
        <f>SUM(Q4:Q104)</f>
      </c>
      <c r="R2" s="5">
        <f>SUM(R4:R104)</f>
      </c>
      <c r="S2" s="5">
        <f>SUM(S4:S104)</f>
      </c>
      <c r="T2" s="5">
        <f t="shared" ref="T2:V2" si="1">SUM(T4:T104)</f>
      </c>
      <c r="U2" s="5">
        <f t="shared" si="1"/>
      </c>
      <c r="V2" s="5">
        <f t="shared" si="1"/>
      </c>
      <c r="W2" s="20">
        <f>IFERROR(CalcRC27(F2,G2,K2,O2,P2,Q2,R2,S2,T2,U2,V2),"-")</f>
      </c>
      <c r="X2" t="s" s="121">
        <v>229</v>
      </c>
    </row>
    <row r="3" spans="2:24" x14ac:dyDescent="0.2">
      <c r="B3" t="s" s="55">
        <v>841</v>
      </c>
      <c r="C3" t="s" s="56">
        <v>1039</v>
      </c>
      <c r="D3" t="s" s="56">
        <v>1040</v>
      </c>
      <c r="E3" t="s" s="57">
        <v>56</v>
      </c>
      <c r="F3" t="s" s="58">
        <v>0</v>
      </c>
      <c r="G3" t="s" s="55">
        <v>1</v>
      </c>
      <c r="H3" t="s" s="55">
        <v>360</v>
      </c>
      <c r="I3" t="s" s="55">
        <v>361</v>
      </c>
      <c r="J3" t="s" s="59">
        <v>1041</v>
      </c>
      <c r="K3" t="s" s="55">
        <v>983</v>
      </c>
      <c r="L3" t="s" s="60">
        <v>2</v>
      </c>
      <c r="M3" t="s" s="61">
        <v>359</v>
      </c>
      <c r="N3" t="s" s="57">
        <v>362</v>
      </c>
      <c r="O3" t="s" s="62">
        <v>978</v>
      </c>
      <c r="P3" t="s" s="55">
        <v>234</v>
      </c>
      <c r="Q3" t="s" s="55">
        <v>235</v>
      </c>
      <c r="R3" t="s" s="55">
        <v>976</v>
      </c>
      <c r="S3" t="s" s="55">
        <v>977</v>
      </c>
      <c r="T3" t="s" s="55">
        <v>979</v>
      </c>
      <c r="U3" t="s" s="55">
        <v>980</v>
      </c>
      <c r="V3" t="s" s="55">
        <v>981</v>
      </c>
      <c r="W3" t="s" s="55">
        <v>982</v>
      </c>
      <c r="X3" s="121"/>
    </row>
    <row r="4" spans="2:24" ht="13.8" x14ac:dyDescent="0.2">
      <c r="B4" s="8">
        <f>IF(C4="","",C4)</f>
      </c>
      <c r="C4" s="10"/>
      <c r="D4" s="13"/>
      <c r="E4" s="11">
        <f t="shared" ref="E4:E68" si="2">IFERROR(IF(G4/F4=1,"1.00",G4/F4),"---")</f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</c>
      <c r="L4" s="7">
        <v>0</v>
      </c>
      <c r="M4" s="11">
        <f t="shared" ref="M4:M67" si="4">IFERROR(IF((G4+P4+Q4)/(F4+P4+Q4+S4)=1,"1.00",(G4+P4+Q4)/(F4+P4+Q4+S4)),0)</f>
      </c>
      <c r="N4" s="11">
        <f t="shared" ref="N4:N67" si="5">IFERROR(SUM(K4/F4,((G4+P4+Q4)/(F4+P4+Q4+S4))),M4)</f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>
        <f>IFERROR(CalcRC27(F4,G4,K4,O4,P4,Q4,R4,S4,T4,U4,V4),"-")</f>
      </c>
      <c r="X4" s="2"/>
    </row>
    <row r="5" spans="2:24" ht="13.8" x14ac:dyDescent="0.2">
      <c r="B5" s="8">
        <f t="shared" ref="B5:B68" si="6">IF(C5="","",C5)</f>
      </c>
      <c r="C5" s="10"/>
      <c r="D5" s="13"/>
      <c r="E5" s="11">
        <f t="shared" si="2"/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</c>
      <c r="L5" s="7">
        <v>0</v>
      </c>
      <c r="M5" s="11">
        <f t="shared" si="4"/>
      </c>
      <c r="N5" s="11">
        <f t="shared" si="5"/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>
        <f>IFERROR(CalcRC27(F5,G5,K5,O5,P5,Q5,R5,S5,T5,U5,V5),"-")</f>
      </c>
      <c r="X5" s="2"/>
    </row>
    <row r="6" spans="2:24" ht="13.8" x14ac:dyDescent="0.2">
      <c r="B6" s="8">
        <f t="shared" si="6"/>
      </c>
      <c r="C6" s="10"/>
      <c r="D6" s="13"/>
      <c r="E6" s="11">
        <f t="shared" si="2"/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</c>
      <c r="L6" s="7">
        <v>0</v>
      </c>
      <c r="M6" s="11">
        <f t="shared" si="4"/>
      </c>
      <c r="N6" s="11">
        <f t="shared" si="5"/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>
        <f>IFERROR(CalcRC27(F6,G6,K6,O6,P6,Q6,R6,S6,T6,U6,V6),"-")</f>
      </c>
      <c r="X6" s="2"/>
    </row>
    <row r="7" spans="2:24" ht="13.8" x14ac:dyDescent="0.2">
      <c r="B7" s="8">
        <f t="shared" si="6"/>
      </c>
      <c r="C7" s="10"/>
      <c r="D7" s="13"/>
      <c r="E7" s="11">
        <f t="shared" si="2"/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</c>
      <c r="L7" s="7">
        <v>0</v>
      </c>
      <c r="M7" s="11">
        <f t="shared" si="4"/>
      </c>
      <c r="N7" s="11">
        <f t="shared" si="5"/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>
        <f>IFERROR(CalcRC27(F7,G7,K7,O7,P7,Q7,R7,S7,T7,U7,V7),"-")</f>
      </c>
      <c r="X7" s="2"/>
    </row>
    <row r="8" spans="2:24" ht="13.8" x14ac:dyDescent="0.2">
      <c r="B8" s="8">
        <f t="shared" si="6"/>
      </c>
      <c r="C8" s="10"/>
      <c r="D8" s="13"/>
      <c r="E8" s="11">
        <f t="shared" si="2"/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</c>
      <c r="L8" s="7">
        <v>0</v>
      </c>
      <c r="M8" s="11">
        <f t="shared" si="4"/>
      </c>
      <c r="N8" s="11">
        <f t="shared" si="5"/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>
        <f>IFERROR(CalcRC27(F8,G8,K8,O8,P8,Q8,R8,S8,T8,U8,V8),"-")</f>
      </c>
      <c r="X8" s="2"/>
    </row>
    <row r="9" spans="2:24" ht="13.8" x14ac:dyDescent="0.2">
      <c r="B9" s="8">
        <f t="shared" si="6"/>
      </c>
      <c r="C9" s="10"/>
      <c r="D9" s="13"/>
      <c r="E9" s="11">
        <f t="shared" si="2"/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</c>
      <c r="L9" s="7">
        <v>0</v>
      </c>
      <c r="M9" s="11">
        <f t="shared" si="4"/>
      </c>
      <c r="N9" s="11">
        <f t="shared" si="5"/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>
        <f>IFERROR(CalcRC27(F9,G9,K9,O9,P9,Q9,R9,S9,T9,U9,V9),"-")</f>
      </c>
      <c r="X9" s="2"/>
    </row>
    <row r="10" spans="2:24" ht="13.8" x14ac:dyDescent="0.2">
      <c r="B10" s="8">
        <f t="shared" si="6"/>
      </c>
      <c r="C10" s="10"/>
      <c r="D10" s="13"/>
      <c r="E10" s="11">
        <f t="shared" si="2"/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</c>
      <c r="L10" s="7">
        <v>0</v>
      </c>
      <c r="M10" s="11">
        <f t="shared" si="4"/>
      </c>
      <c r="N10" s="11">
        <f t="shared" si="5"/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>
        <f>IFERROR(CalcRC27(F10,G10,K10,O10,P10,Q10,R10,S10,T10,U10,V10),"-")</f>
      </c>
      <c r="X10" s="2"/>
    </row>
    <row r="11" spans="2:24" ht="13.8" x14ac:dyDescent="0.2">
      <c r="B11" s="8">
        <f t="shared" si="6"/>
      </c>
      <c r="C11" s="10"/>
      <c r="D11" s="13"/>
      <c r="E11" s="11">
        <f t="shared" si="2"/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</c>
      <c r="L11" s="7">
        <v>0</v>
      </c>
      <c r="M11" s="11">
        <f t="shared" si="4"/>
      </c>
      <c r="N11" s="11">
        <f t="shared" si="5"/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</c>
      <c r="X11" s="2"/>
    </row>
    <row r="12" spans="2:24" ht="13.8" x14ac:dyDescent="0.2">
      <c r="B12" s="8">
        <f t="shared" si="6"/>
      </c>
      <c r="C12" s="10"/>
      <c r="D12" s="13"/>
      <c r="E12" s="11">
        <f t="shared" si="2"/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</c>
      <c r="L12" s="7">
        <v>0</v>
      </c>
      <c r="M12" s="11">
        <f t="shared" si="4"/>
      </c>
      <c r="N12" s="11">
        <f t="shared" si="5"/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>
        <f>IFERROR(CalcRC27(F12,G12,K12,O12,P12,Q12,R12,S12,T12,U12,V12),"-")</f>
      </c>
      <c r="X12" s="2"/>
    </row>
    <row r="13" spans="2:24" ht="13.8" x14ac:dyDescent="0.2">
      <c r="B13" s="8">
        <f t="shared" si="6"/>
      </c>
      <c r="C13" s="10"/>
      <c r="D13" s="13"/>
      <c r="E13" s="11">
        <f t="shared" si="2"/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</c>
      <c r="L13" s="7">
        <v>0</v>
      </c>
      <c r="M13" s="11">
        <f t="shared" si="4"/>
      </c>
      <c r="N13" s="11">
        <f t="shared" si="5"/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</c>
      <c r="X13" s="2"/>
    </row>
    <row r="14" spans="2:24" ht="13.8" x14ac:dyDescent="0.2">
      <c r="B14" s="8">
        <f t="shared" si="6"/>
      </c>
      <c r="C14" s="10"/>
      <c r="D14" s="13"/>
      <c r="E14" s="11">
        <f t="shared" si="2"/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</c>
      <c r="L14" s="7">
        <v>0</v>
      </c>
      <c r="M14" s="11">
        <f t="shared" si="4"/>
      </c>
      <c r="N14" s="11">
        <f t="shared" si="5"/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>
        <f>IFERROR(CalcRC27(F14,G14,K14,O14,P14,Q14,R14,S14,T14,U14,V14),"-")</f>
      </c>
      <c r="X14" s="2"/>
    </row>
    <row r="15" spans="2:24" ht="13.8" x14ac:dyDescent="0.2">
      <c r="B15" s="8">
        <f t="shared" si="6"/>
      </c>
      <c r="C15" s="10"/>
      <c r="D15" s="13"/>
      <c r="E15" s="11">
        <f t="shared" si="2"/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</c>
      <c r="L15" s="7">
        <v>0</v>
      </c>
      <c r="M15" s="11">
        <f t="shared" si="4"/>
      </c>
      <c r="N15" s="11">
        <f t="shared" si="5"/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</c>
      <c r="X15" s="2"/>
    </row>
    <row r="16" spans="2:24" ht="13.8" x14ac:dyDescent="0.2">
      <c r="B16" s="8">
        <f t="shared" si="6"/>
      </c>
      <c r="C16" s="10"/>
      <c r="D16" s="13"/>
      <c r="E16" s="11">
        <f t="shared" si="2"/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</c>
      <c r="L16" s="7">
        <v>0</v>
      </c>
      <c r="M16" s="11">
        <f t="shared" si="4"/>
      </c>
      <c r="N16" s="11">
        <f t="shared" si="5"/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</c>
      <c r="X16" s="2"/>
    </row>
    <row r="17" spans="2:24" ht="13.8" x14ac:dyDescent="0.2">
      <c r="B17" s="8">
        <f t="shared" si="6"/>
      </c>
      <c r="C17" s="10"/>
      <c r="D17" s="13"/>
      <c r="E17" s="11">
        <f t="shared" si="2"/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</c>
      <c r="L17" s="7">
        <v>0</v>
      </c>
      <c r="M17" s="11">
        <f t="shared" si="4"/>
      </c>
      <c r="N17" s="11">
        <f t="shared" si="5"/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>
        <f>IFERROR(CalcRC27(F17,G17,K17,O17,P17,Q17,R17,S17,T17,U17,V17),"-")</f>
      </c>
      <c r="X17" s="2"/>
    </row>
    <row r="18" spans="2:24" ht="13.8" x14ac:dyDescent="0.2">
      <c r="B18" s="8">
        <f t="shared" si="6"/>
      </c>
      <c r="C18" s="10"/>
      <c r="D18" s="13"/>
      <c r="E18" s="11">
        <f t="shared" si="2"/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</c>
      <c r="L18" s="7">
        <v>0</v>
      </c>
      <c r="M18" s="11">
        <f t="shared" si="4"/>
      </c>
      <c r="N18" s="11">
        <f t="shared" si="5"/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>
        <f>IFERROR(CalcRC27(F18,G18,K18,O18,P18,Q18,R18,S18,T18,U18,V18),"-")</f>
      </c>
      <c r="X18" s="2"/>
    </row>
    <row r="19" spans="2:24" ht="13.8" x14ac:dyDescent="0.2">
      <c r="B19" s="8">
        <f t="shared" si="6"/>
      </c>
      <c r="C19" s="10"/>
      <c r="D19" s="13"/>
      <c r="E19" s="11">
        <f t="shared" si="2"/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</c>
      <c r="L19" s="7">
        <v>0</v>
      </c>
      <c r="M19" s="11">
        <f t="shared" si="4"/>
      </c>
      <c r="N19" s="11">
        <f t="shared" si="5"/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>
        <f>IFERROR(CalcRC27(F19,G19,K19,O19,P19,Q19,R19,S19,T19,U19,V19),"-")</f>
      </c>
      <c r="X19" s="2"/>
    </row>
    <row r="20" spans="2:24" ht="13.8" x14ac:dyDescent="0.2">
      <c r="B20" s="8">
        <f t="shared" si="6"/>
      </c>
      <c r="C20" s="10"/>
      <c r="D20" s="8"/>
      <c r="E20" s="11">
        <f t="shared" si="2"/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</c>
      <c r="L20" s="7">
        <v>0</v>
      </c>
      <c r="M20" s="11">
        <f t="shared" si="4"/>
      </c>
      <c r="N20" s="11">
        <f t="shared" si="5"/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>
        <f>IFERROR(CalcRC27(F20,G20,K20,O20,P20,Q20,R20,S20,T20,U20,V20),"-")</f>
      </c>
      <c r="X20" s="2"/>
    </row>
    <row r="21" spans="2:24" ht="13.8" x14ac:dyDescent="0.2">
      <c r="B21" s="8">
        <f t="shared" si="6"/>
      </c>
      <c r="C21" s="10"/>
      <c r="D21" s="13"/>
      <c r="E21" s="11">
        <f t="shared" si="2"/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</c>
      <c r="L21" s="7">
        <v>0</v>
      </c>
      <c r="M21" s="11">
        <f t="shared" si="4"/>
      </c>
      <c r="N21" s="11">
        <f t="shared" si="5"/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</c>
      <c r="X21" s="2"/>
    </row>
    <row r="22" spans="2:24" ht="13.8" x14ac:dyDescent="0.2">
      <c r="B22" s="8">
        <f t="shared" si="6"/>
      </c>
      <c r="C22" s="10"/>
      <c r="D22" s="13"/>
      <c r="E22" s="11">
        <f t="shared" si="2"/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</c>
      <c r="L22" s="7">
        <v>0</v>
      </c>
      <c r="M22" s="11">
        <f t="shared" si="4"/>
      </c>
      <c r="N22" s="11">
        <f t="shared" si="5"/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>
        <f>IFERROR(CalcRC27(F22,G22,K22,O22,P22,Q22,R22,S22,T22,U22,V22),"-")</f>
      </c>
      <c r="X22" s="2"/>
    </row>
    <row r="23" spans="2:24" ht="13.8" x14ac:dyDescent="0.2">
      <c r="B23" s="8">
        <f t="shared" si="6"/>
      </c>
      <c r="C23" s="10"/>
      <c r="D23" s="13"/>
      <c r="E23" s="11">
        <f t="shared" si="2"/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</c>
      <c r="L23" s="7">
        <v>0</v>
      </c>
      <c r="M23" s="11">
        <f t="shared" si="4"/>
      </c>
      <c r="N23" s="11">
        <f t="shared" si="5"/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</c>
      <c r="X23" s="2"/>
    </row>
    <row r="24" spans="2:24" ht="13.8" x14ac:dyDescent="0.2">
      <c r="B24" s="8">
        <f t="shared" si="6"/>
      </c>
      <c r="C24" s="10"/>
      <c r="D24" s="13"/>
      <c r="E24" s="11">
        <f t="shared" si="2"/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</c>
      <c r="L24" s="7">
        <v>0</v>
      </c>
      <c r="M24" s="11">
        <f t="shared" si="4"/>
      </c>
      <c r="N24" s="11">
        <f t="shared" si="5"/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</c>
      <c r="X24" s="2"/>
    </row>
    <row r="25" spans="2:24" ht="13.8" x14ac:dyDescent="0.2">
      <c r="B25" s="8">
        <f t="shared" si="6"/>
      </c>
      <c r="C25" s="10"/>
      <c r="D25" s="13"/>
      <c r="E25" s="11">
        <f t="shared" si="2"/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</c>
      <c r="L25" s="7">
        <v>0</v>
      </c>
      <c r="M25" s="11">
        <f t="shared" si="4"/>
      </c>
      <c r="N25" s="11">
        <f t="shared" si="5"/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>
        <f>IFERROR(CalcRC27(F25,G25,K25,O25,P25,Q25,R25,S25,T25,U25,V25),"-")</f>
      </c>
      <c r="X25" s="2"/>
    </row>
    <row r="26" spans="2:24" ht="13.8" x14ac:dyDescent="0.2">
      <c r="B26" s="8">
        <f t="shared" si="6"/>
      </c>
      <c r="C26" s="10"/>
      <c r="D26" s="13"/>
      <c r="E26" s="11">
        <f t="shared" si="2"/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</c>
      <c r="L26" s="7">
        <v>0</v>
      </c>
      <c r="M26" s="11">
        <f t="shared" si="4"/>
      </c>
      <c r="N26" s="11">
        <f t="shared" si="5"/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>
        <f>IFERROR(CalcRC27(F26,G26,K26,O26,P26,Q26,R26,S26,T26,U26,V26),"-")</f>
      </c>
      <c r="X26" s="2"/>
    </row>
    <row r="27" spans="2:24" ht="13.8" x14ac:dyDescent="0.2">
      <c r="B27" s="8">
        <f t="shared" si="6"/>
      </c>
      <c r="C27" s="10"/>
      <c r="D27" s="13"/>
      <c r="E27" s="11">
        <f t="shared" si="2"/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</c>
      <c r="L27" s="7">
        <v>0</v>
      </c>
      <c r="M27" s="11">
        <f t="shared" si="4"/>
      </c>
      <c r="N27" s="11">
        <f t="shared" si="5"/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>
        <f>IFERROR(CalcRC27(F27,G27,K27,O27,P27,Q27,R27,S27,T27,U27,V27),"-")</f>
      </c>
      <c r="X27" s="2"/>
    </row>
    <row r="28" spans="2:24" ht="13.8" x14ac:dyDescent="0.2">
      <c r="B28" s="8">
        <f t="shared" si="6"/>
      </c>
      <c r="C28" s="10"/>
      <c r="D28" s="13"/>
      <c r="E28" s="11">
        <f t="shared" si="2"/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</c>
      <c r="L28" s="7">
        <v>0</v>
      </c>
      <c r="M28" s="11">
        <f t="shared" si="4"/>
      </c>
      <c r="N28" s="11">
        <f t="shared" si="5"/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>
        <f>IFERROR(CalcRC27(F28,G28,K28,O28,P28,Q28,R28,S28,T28,U28,V28),"-")</f>
      </c>
      <c r="X28" s="2"/>
    </row>
    <row r="29" spans="2:24" ht="13.8" x14ac:dyDescent="0.2">
      <c r="B29" s="8">
        <f t="shared" si="6"/>
      </c>
      <c r="C29" s="10"/>
      <c r="D29" s="13"/>
      <c r="E29" s="11">
        <f t="shared" si="2"/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</c>
      <c r="L29" s="7">
        <v>0</v>
      </c>
      <c r="M29" s="11">
        <f t="shared" si="4"/>
      </c>
      <c r="N29" s="11">
        <f t="shared" si="5"/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</c>
      <c r="X29" s="2"/>
    </row>
    <row r="30" spans="2:24" ht="13.8" x14ac:dyDescent="0.2">
      <c r="B30" s="8">
        <f t="shared" si="6"/>
      </c>
      <c r="C30" s="10"/>
      <c r="D30" s="13"/>
      <c r="E30" s="11">
        <f t="shared" si="2"/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</c>
      <c r="L30" s="7">
        <v>0</v>
      </c>
      <c r="M30" s="11">
        <f t="shared" si="4"/>
      </c>
      <c r="N30" s="11">
        <f t="shared" si="5"/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</c>
      <c r="X30" s="2"/>
    </row>
    <row r="31" spans="2:24" ht="13.8" x14ac:dyDescent="0.2">
      <c r="B31" s="8">
        <f t="shared" si="6"/>
      </c>
      <c r="C31" s="10"/>
      <c r="D31" s="13"/>
      <c r="E31" s="11">
        <f t="shared" si="2"/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</c>
      <c r="L31" s="7">
        <v>0</v>
      </c>
      <c r="M31" s="11">
        <f t="shared" si="4"/>
      </c>
      <c r="N31" s="11">
        <f t="shared" si="5"/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>
        <f>IFERROR(CalcRC27(F31,G31,K31,O31,P31,Q31,R31,S31,T31,U31,V31),"-")</f>
      </c>
      <c r="X31" s="2"/>
    </row>
    <row r="32" spans="2:24" ht="13.8" x14ac:dyDescent="0.2">
      <c r="B32" s="8">
        <f t="shared" si="6"/>
      </c>
      <c r="C32" s="10"/>
      <c r="D32" s="13"/>
      <c r="E32" s="11">
        <f t="shared" si="2"/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</c>
      <c r="L32" s="7">
        <v>0</v>
      </c>
      <c r="M32" s="11">
        <f t="shared" si="4"/>
      </c>
      <c r="N32" s="11">
        <f t="shared" si="5"/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</c>
      <c r="X32" s="2"/>
    </row>
    <row r="33" spans="2:24" ht="13.8" x14ac:dyDescent="0.2">
      <c r="B33" s="8">
        <f t="shared" si="6"/>
      </c>
      <c r="C33" s="10"/>
      <c r="D33" s="13"/>
      <c r="E33" s="11">
        <f t="shared" si="2"/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</c>
      <c r="L33" s="7">
        <v>0</v>
      </c>
      <c r="M33" s="11">
        <f t="shared" si="4"/>
      </c>
      <c r="N33" s="11">
        <f t="shared" si="5"/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</c>
      <c r="X33" s="2"/>
    </row>
    <row r="34" spans="2:24" ht="13.8" x14ac:dyDescent="0.2">
      <c r="B34" s="8">
        <f t="shared" si="6"/>
      </c>
      <c r="C34" s="10"/>
      <c r="D34" s="13"/>
      <c r="E34" s="11">
        <f t="shared" si="2"/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</c>
      <c r="L34" s="7">
        <v>0</v>
      </c>
      <c r="M34" s="11">
        <f t="shared" si="4"/>
      </c>
      <c r="N34" s="11">
        <f t="shared" si="5"/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>
        <f>IFERROR(CalcRC27(F34,G34,K34,O34,P34,Q34,R34,S34,T34,U34,V34),"-")</f>
      </c>
      <c r="X34" s="2"/>
    </row>
    <row r="35" spans="2:24" ht="13.8" x14ac:dyDescent="0.2">
      <c r="B35" s="8">
        <f t="shared" si="6"/>
      </c>
      <c r="C35" s="10"/>
      <c r="D35" s="13"/>
      <c r="E35" s="11">
        <f t="shared" si="2"/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</c>
      <c r="L35" s="7">
        <v>0</v>
      </c>
      <c r="M35" s="11">
        <f t="shared" si="4"/>
      </c>
      <c r="N35" s="11">
        <f t="shared" si="5"/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>
        <f>IFERROR(CalcRC27(F35,G35,K35,O35,P35,Q35,R35,S35,T35,U35,V35),"-")</f>
      </c>
      <c r="X35" s="2"/>
    </row>
    <row r="36" spans="2:24" ht="13.8" x14ac:dyDescent="0.2">
      <c r="B36" s="8">
        <f t="shared" si="6"/>
      </c>
      <c r="C36" s="10"/>
      <c r="D36" s="13"/>
      <c r="E36" s="11">
        <f t="shared" si="2"/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</c>
      <c r="L36" s="7">
        <v>0</v>
      </c>
      <c r="M36" s="11">
        <f t="shared" si="4"/>
      </c>
      <c r="N36" s="11">
        <f t="shared" si="5"/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>
        <f>IFERROR(CalcRC27(F36,G36,K36,O36,P36,Q36,R36,S36,T36,U36,V36),"-")</f>
      </c>
      <c r="X36" s="2"/>
    </row>
    <row r="37" spans="2:24" ht="13.8" x14ac:dyDescent="0.2">
      <c r="B37" s="8">
        <f t="shared" si="6"/>
      </c>
      <c r="C37" s="10"/>
      <c r="D37" s="13"/>
      <c r="E37" s="11">
        <f t="shared" si="2"/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</c>
      <c r="L37" s="7">
        <v>0</v>
      </c>
      <c r="M37" s="11">
        <f t="shared" si="4"/>
      </c>
      <c r="N37" s="11">
        <f t="shared" si="5"/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>
        <f>IFERROR(CalcRC27(F37,G37,K37,O37,P37,Q37,R37,S37,T37,U37,V37),"-")</f>
      </c>
      <c r="X37" s="2"/>
    </row>
    <row r="38" spans="2:24" ht="13.8" x14ac:dyDescent="0.2">
      <c r="B38" s="8">
        <f t="shared" si="6"/>
      </c>
      <c r="C38" s="10"/>
      <c r="D38" s="13"/>
      <c r="E38" s="11">
        <f t="shared" si="2"/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</c>
      <c r="L38" s="7">
        <v>0</v>
      </c>
      <c r="M38" s="11">
        <f t="shared" si="4"/>
      </c>
      <c r="N38" s="11">
        <f t="shared" si="5"/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>
        <f>IFERROR(CalcRC27(F38,G38,K38,O38,P38,Q38,R38,S38,T38,U38,V38),"-")</f>
      </c>
      <c r="X38" s="2"/>
    </row>
    <row r="39" spans="2:24" ht="13.8" x14ac:dyDescent="0.2">
      <c r="B39" s="8">
        <f t="shared" si="6"/>
      </c>
      <c r="C39" s="10"/>
      <c r="D39" s="13"/>
      <c r="E39" s="11">
        <f t="shared" si="2"/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</c>
      <c r="L39" s="7">
        <v>0</v>
      </c>
      <c r="M39" s="11">
        <f t="shared" si="4"/>
      </c>
      <c r="N39" s="11">
        <f t="shared" si="5"/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>
        <f>IFERROR(CalcRC27(F39,G39,K39,O39,P39,Q39,R39,S39,T39,U39,V39),"-")</f>
      </c>
      <c r="X39" s="2"/>
    </row>
    <row r="40" spans="2:24" ht="13.8" x14ac:dyDescent="0.2">
      <c r="B40" s="8">
        <f t="shared" si="6"/>
      </c>
      <c r="C40" s="10"/>
      <c r="D40" s="13"/>
      <c r="E40" s="11">
        <f t="shared" si="2"/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</c>
      <c r="L40" s="7">
        <v>0</v>
      </c>
      <c r="M40" s="11">
        <f t="shared" si="4"/>
      </c>
      <c r="N40" s="11">
        <f t="shared" si="5"/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>
        <f>IFERROR(CalcRC27(F40,G40,K40,O40,P40,Q40,R40,S40,T40,U40,V40),"-")</f>
      </c>
      <c r="X40" s="2"/>
    </row>
    <row r="41" spans="2:24" ht="13.8" x14ac:dyDescent="0.2">
      <c r="B41" s="8">
        <f t="shared" si="6"/>
      </c>
      <c r="C41" s="10"/>
      <c r="D41" s="13"/>
      <c r="E41" s="11">
        <f t="shared" si="2"/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</c>
      <c r="L41" s="7">
        <v>0</v>
      </c>
      <c r="M41" s="11">
        <f t="shared" si="4"/>
      </c>
      <c r="N41" s="11">
        <f t="shared" si="5"/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>
        <f>IFERROR(CalcRC27(F41,G41,K41,O41,P41,Q41,R41,S41,T41,U41,V41),"-")</f>
      </c>
      <c r="X41" s="2"/>
    </row>
    <row r="42" spans="2:24" ht="13.8" x14ac:dyDescent="0.2">
      <c r="B42" s="8">
        <f t="shared" si="6"/>
      </c>
      <c r="C42" s="10"/>
      <c r="D42" s="13"/>
      <c r="E42" s="11">
        <f t="shared" si="2"/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</c>
      <c r="L42" s="7">
        <v>0</v>
      </c>
      <c r="M42" s="11">
        <f t="shared" si="4"/>
      </c>
      <c r="N42" s="11">
        <f t="shared" si="5"/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>
        <f>IFERROR(CalcRC27(F42,G42,K42,O42,P42,Q42,R42,S42,T42,U42,V42),"-")</f>
      </c>
      <c r="X42" s="2"/>
    </row>
    <row r="43" spans="2:24" ht="13.8" x14ac:dyDescent="0.2">
      <c r="B43" s="8">
        <f t="shared" si="6"/>
      </c>
      <c r="C43" s="10"/>
      <c r="D43" s="13"/>
      <c r="E43" s="11">
        <f t="shared" si="2"/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</c>
      <c r="L43" s="7">
        <v>0</v>
      </c>
      <c r="M43" s="11">
        <f t="shared" si="4"/>
      </c>
      <c r="N43" s="11">
        <f t="shared" si="5"/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>
        <f>IFERROR(CalcRC27(F43,G43,K43,O43,P43,Q43,R43,S43,T43,U43,V43),"-")</f>
      </c>
      <c r="X43" s="2"/>
    </row>
    <row r="44" spans="2:24" ht="13.8" x14ac:dyDescent="0.2">
      <c r="B44" s="8">
        <f t="shared" si="6"/>
      </c>
      <c r="C44" s="10"/>
      <c r="D44" s="13"/>
      <c r="E44" s="11">
        <f t="shared" si="2"/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</c>
      <c r="L44" s="7">
        <v>0</v>
      </c>
      <c r="M44" s="11">
        <f t="shared" si="4"/>
      </c>
      <c r="N44" s="11">
        <f t="shared" si="5"/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>
        <f>IFERROR(CalcRC27(F44,G44,K44,O44,P44,Q44,R44,S44,T44,U44,V44),"-")</f>
      </c>
      <c r="X44" s="2"/>
    </row>
    <row r="45" spans="2:24" ht="13.8" x14ac:dyDescent="0.2">
      <c r="B45" s="8">
        <f t="shared" si="6"/>
      </c>
      <c r="C45" s="10"/>
      <c r="D45" s="13"/>
      <c r="E45" s="11">
        <f t="shared" si="2"/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</c>
      <c r="L45" s="7">
        <v>0</v>
      </c>
      <c r="M45" s="11">
        <f t="shared" si="4"/>
      </c>
      <c r="N45" s="11">
        <f t="shared" si="5"/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>
        <f>IFERROR(CalcRC27(F45,G45,K45,O45,P45,Q45,R45,S45,T45,U45,V45),"-")</f>
      </c>
      <c r="X45" s="2"/>
    </row>
    <row r="46" spans="2:24" ht="13.8" x14ac:dyDescent="0.2">
      <c r="B46" s="8">
        <f t="shared" si="6"/>
      </c>
      <c r="C46" s="10"/>
      <c r="D46" s="13"/>
      <c r="E46" s="11">
        <f t="shared" si="2"/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</c>
      <c r="L46" s="7">
        <v>0</v>
      </c>
      <c r="M46" s="11">
        <f t="shared" si="4"/>
      </c>
      <c r="N46" s="11">
        <f t="shared" si="5"/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>
        <f>IFERROR(CalcRC27(F46,G46,K46,O46,P46,Q46,R46,S46,T46,U46,V46),"-")</f>
      </c>
      <c r="X46" s="2"/>
    </row>
    <row r="47" spans="2:24" ht="13.8" x14ac:dyDescent="0.2">
      <c r="B47" s="8">
        <f t="shared" si="6"/>
      </c>
      <c r="C47" s="10"/>
      <c r="D47" s="13"/>
      <c r="E47" s="11">
        <f t="shared" si="2"/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</c>
      <c r="L47" s="7">
        <v>0</v>
      </c>
      <c r="M47" s="11">
        <f t="shared" si="4"/>
      </c>
      <c r="N47" s="11">
        <f t="shared" si="5"/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</c>
      <c r="X47" s="2"/>
    </row>
    <row r="48" spans="2:24" ht="13.8" x14ac:dyDescent="0.2">
      <c r="B48" s="8">
        <f t="shared" si="6"/>
      </c>
      <c r="C48" s="10"/>
      <c r="D48" s="13"/>
      <c r="E48" s="11">
        <f t="shared" si="2"/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</c>
      <c r="L48" s="7">
        <v>0</v>
      </c>
      <c r="M48" s="11">
        <f t="shared" si="4"/>
      </c>
      <c r="N48" s="11">
        <f t="shared" si="5"/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>
        <f>IFERROR(CalcRC27(F48,G48,K48,O48,P48,Q48,R48,S48,T48,U48,V48),"-")</f>
      </c>
      <c r="X48" s="2"/>
    </row>
    <row r="49" spans="2:24" ht="13.8" x14ac:dyDescent="0.2">
      <c r="B49" s="8">
        <f t="shared" si="6"/>
      </c>
      <c r="C49" s="10"/>
      <c r="D49" s="13"/>
      <c r="E49" s="11">
        <f t="shared" si="2"/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</c>
      <c r="L49" s="7">
        <v>0</v>
      </c>
      <c r="M49" s="11">
        <f t="shared" si="4"/>
      </c>
      <c r="N49" s="11">
        <f t="shared" si="5"/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</c>
      <c r="X49" s="2"/>
    </row>
    <row r="50" spans="2:24" ht="13.8" x14ac:dyDescent="0.2">
      <c r="B50" s="8">
        <f t="shared" si="6"/>
      </c>
      <c r="C50" s="10"/>
      <c r="D50" s="13"/>
      <c r="E50" s="11">
        <f t="shared" si="2"/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</c>
      <c r="L50" s="7">
        <v>0</v>
      </c>
      <c r="M50" s="11">
        <f t="shared" si="4"/>
      </c>
      <c r="N50" s="11">
        <f t="shared" si="5"/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>
        <f>IFERROR(CalcRC27(F50,G50,K50,O50,P50,Q50,R50,S50,T50,U50,V50),"-")</f>
      </c>
      <c r="X50" s="2"/>
    </row>
    <row r="51" spans="2:24" ht="13.8" x14ac:dyDescent="0.2">
      <c r="B51" s="8">
        <f t="shared" si="6"/>
      </c>
      <c r="C51" s="10"/>
      <c r="D51" s="13"/>
      <c r="E51" s="11">
        <f t="shared" si="2"/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</c>
      <c r="L51" s="7">
        <v>0</v>
      </c>
      <c r="M51" s="11">
        <f t="shared" si="4"/>
      </c>
      <c r="N51" s="11">
        <f t="shared" si="5"/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</c>
      <c r="X51" s="2"/>
    </row>
    <row r="52" spans="2:24" ht="13.8" x14ac:dyDescent="0.2">
      <c r="B52" s="8">
        <f t="shared" si="6"/>
      </c>
      <c r="C52" s="10"/>
      <c r="D52" s="13"/>
      <c r="E52" s="11">
        <f t="shared" si="2"/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</c>
      <c r="L52" s="7">
        <v>0</v>
      </c>
      <c r="M52" s="11">
        <f t="shared" si="4"/>
      </c>
      <c r="N52" s="11">
        <f t="shared" si="5"/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>
        <f>IFERROR(CalcRC27(F52,G52,K52,O52,P52,Q52,R52,S52,T52,U52,V52),"-")</f>
      </c>
      <c r="X52" s="2"/>
    </row>
    <row r="53" spans="2:24" ht="13.8" x14ac:dyDescent="0.2">
      <c r="B53" s="8">
        <f t="shared" si="6"/>
      </c>
      <c r="C53" s="10"/>
      <c r="D53" s="13"/>
      <c r="E53" s="11">
        <f t="shared" si="2"/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</c>
      <c r="L53" s="7">
        <v>0</v>
      </c>
      <c r="M53" s="11">
        <f t="shared" si="4"/>
      </c>
      <c r="N53" s="11">
        <f t="shared" si="5"/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>
        <f>IFERROR(CalcRC27(F53,G53,K53,O53,P53,Q53,R53,S53,T53,U53,V53),"-")</f>
      </c>
      <c r="X53" s="2"/>
    </row>
    <row r="54" spans="2:24" ht="13.8" x14ac:dyDescent="0.2">
      <c r="B54" s="8">
        <f t="shared" si="6"/>
      </c>
      <c r="C54" s="10"/>
      <c r="D54" s="13"/>
      <c r="E54" s="11">
        <f t="shared" si="2"/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</c>
      <c r="L54" s="7">
        <v>0</v>
      </c>
      <c r="M54" s="11">
        <f t="shared" si="4"/>
      </c>
      <c r="N54" s="11">
        <f t="shared" si="5"/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</c>
      <c r="X54" s="2"/>
    </row>
    <row r="55" spans="2:24" ht="13.8" x14ac:dyDescent="0.2">
      <c r="B55" s="8">
        <f t="shared" si="6"/>
      </c>
      <c r="C55" s="10"/>
      <c r="D55" s="13"/>
      <c r="E55" s="11">
        <f t="shared" si="2"/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</c>
      <c r="L55" s="7">
        <v>0</v>
      </c>
      <c r="M55" s="11">
        <f t="shared" si="4"/>
      </c>
      <c r="N55" s="11">
        <f t="shared" si="5"/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>
        <f>IFERROR(CalcRC27(F55,G55,K55,O55,P55,Q55,R55,S55,T55,U55,V55),"-")</f>
      </c>
      <c r="X55" s="2"/>
    </row>
    <row r="56" spans="2:24" ht="13.8" x14ac:dyDescent="0.2">
      <c r="B56" s="8">
        <f t="shared" si="6"/>
      </c>
      <c r="C56" s="10"/>
      <c r="D56" s="13"/>
      <c r="E56" s="11">
        <f t="shared" si="2"/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</c>
      <c r="L56" s="7">
        <v>0</v>
      </c>
      <c r="M56" s="11">
        <f t="shared" si="4"/>
      </c>
      <c r="N56" s="11">
        <f t="shared" si="5"/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>
        <f>IFERROR(CalcRC27(F56,G56,K56,O56,P56,Q56,R56,S56,T56,U56,V56),"-")</f>
      </c>
      <c r="X56" s="2"/>
    </row>
    <row r="57" spans="2:24" ht="13.8" x14ac:dyDescent="0.2">
      <c r="B57" s="8">
        <f t="shared" si="6"/>
      </c>
      <c r="C57" s="10"/>
      <c r="D57" s="13"/>
      <c r="E57" s="11">
        <f t="shared" si="2"/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</c>
      <c r="L57" s="7">
        <v>0</v>
      </c>
      <c r="M57" s="11">
        <f t="shared" si="4"/>
      </c>
      <c r="N57" s="11">
        <f t="shared" si="5"/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>
        <f>IFERROR(CalcRC27(F57,G57,K57,O57,P57,Q57,R57,S57,T57,U57,V57),"-")</f>
      </c>
      <c r="X57" s="2"/>
    </row>
    <row r="58" spans="2:24" ht="13.8" x14ac:dyDescent="0.2">
      <c r="B58" s="8">
        <f t="shared" si="6"/>
      </c>
      <c r="C58" s="10"/>
      <c r="D58" s="13"/>
      <c r="E58" s="11">
        <f t="shared" si="2"/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</c>
      <c r="L58" s="7">
        <v>0</v>
      </c>
      <c r="M58" s="11">
        <f t="shared" si="4"/>
      </c>
      <c r="N58" s="11">
        <f t="shared" si="5"/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>
        <f>IFERROR(CalcRC27(F58,G58,K58,O58,P58,Q58,R58,S58,T58,U58,V58),"-")</f>
      </c>
      <c r="X58" s="2"/>
    </row>
    <row r="59" spans="2:24" ht="13.8" x14ac:dyDescent="0.2">
      <c r="B59" s="8">
        <f t="shared" si="6"/>
      </c>
      <c r="C59" s="10"/>
      <c r="D59" s="13"/>
      <c r="E59" s="11">
        <f t="shared" si="2"/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</c>
      <c r="L59" s="7">
        <v>0</v>
      </c>
      <c r="M59" s="11">
        <f t="shared" si="4"/>
      </c>
      <c r="N59" s="11">
        <f t="shared" si="5"/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>
        <f>IFERROR(CalcRC27(F59,G59,K59,O59,P59,Q59,R59,S59,T59,U59,V59),"-")</f>
      </c>
      <c r="X59" s="2"/>
    </row>
    <row r="60" spans="2:24" ht="13.8" x14ac:dyDescent="0.2">
      <c r="B60" s="8">
        <f t="shared" si="6"/>
      </c>
      <c r="C60" s="10"/>
      <c r="D60" s="13"/>
      <c r="E60" s="11">
        <f t="shared" si="2"/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</c>
      <c r="L60" s="7">
        <v>0</v>
      </c>
      <c r="M60" s="11">
        <f t="shared" si="4"/>
      </c>
      <c r="N60" s="11">
        <f t="shared" si="5"/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>
        <f>IFERROR(CalcRC27(F60,G60,K60,O60,P60,Q60,R60,S60,T60,U60,V60),"-")</f>
      </c>
      <c r="X60" s="2"/>
    </row>
    <row r="61" spans="2:24" ht="13.8" x14ac:dyDescent="0.2">
      <c r="B61" s="8">
        <f t="shared" si="6"/>
      </c>
      <c r="C61" s="10"/>
      <c r="D61" s="13"/>
      <c r="E61" s="11">
        <f t="shared" si="2"/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</c>
      <c r="L61" s="7">
        <v>0</v>
      </c>
      <c r="M61" s="11">
        <f t="shared" si="4"/>
      </c>
      <c r="N61" s="11">
        <f t="shared" si="5"/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>
        <f>IFERROR(CalcRC27(F61,G61,K61,O61,P61,Q61,R61,S61,T61,U61,V61),"-")</f>
      </c>
      <c r="X61" s="2"/>
    </row>
    <row r="62" spans="2:24" ht="13.8" x14ac:dyDescent="0.2">
      <c r="B62" s="8">
        <f t="shared" si="6"/>
      </c>
      <c r="C62" s="10"/>
      <c r="D62" s="13"/>
      <c r="E62" s="11">
        <f t="shared" si="2"/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</c>
      <c r="L62" s="7">
        <v>0</v>
      </c>
      <c r="M62" s="11">
        <f t="shared" si="4"/>
      </c>
      <c r="N62" s="11">
        <f t="shared" si="5"/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>
        <f>IFERROR(CalcRC27(F62,G62,K62,O62,P62,Q62,R62,S62,T62,U62,V62),"-")</f>
      </c>
      <c r="X62" s="2"/>
    </row>
    <row r="63" spans="2:24" ht="13.8" x14ac:dyDescent="0.2">
      <c r="B63" s="8">
        <f t="shared" si="6"/>
      </c>
      <c r="C63" s="10"/>
      <c r="D63" s="13"/>
      <c r="E63" s="11">
        <f t="shared" si="2"/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</c>
      <c r="L63" s="7">
        <v>0</v>
      </c>
      <c r="M63" s="11">
        <f t="shared" si="4"/>
      </c>
      <c r="N63" s="11">
        <f t="shared" si="5"/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>
        <f>IFERROR(CalcRC27(F63,G63,K63,O63,P63,Q63,R63,S63,T63,U63,V63),"-")</f>
      </c>
      <c r="X63" s="2"/>
    </row>
    <row r="64" spans="2:24" ht="13.8" x14ac:dyDescent="0.2">
      <c r="B64" s="8">
        <f t="shared" si="6"/>
      </c>
      <c r="C64" s="10"/>
      <c r="D64" s="13"/>
      <c r="E64" s="11">
        <f t="shared" si="2"/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</c>
      <c r="L64" s="7">
        <v>0</v>
      </c>
      <c r="M64" s="11">
        <f t="shared" si="4"/>
      </c>
      <c r="N64" s="11">
        <f t="shared" si="5"/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>
        <f>IFERROR(CalcRC27(F64,G64,K64,O64,P64,Q64,R64,S64,T64,U64,V64),"-")</f>
      </c>
      <c r="X64" s="2"/>
    </row>
    <row r="65" spans="2:24" ht="13.8" x14ac:dyDescent="0.2">
      <c r="B65" s="8">
        <f t="shared" si="6"/>
      </c>
      <c r="C65" s="10"/>
      <c r="D65" s="13"/>
      <c r="E65" s="11">
        <f t="shared" si="2"/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</c>
      <c r="L65" s="7">
        <v>0</v>
      </c>
      <c r="M65" s="11">
        <f t="shared" si="4"/>
      </c>
      <c r="N65" s="11">
        <f t="shared" si="5"/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>
        <f>IFERROR(CalcRC27(F65,G65,K65,O65,P65,Q65,R65,S65,T65,U65,V65),"-")</f>
      </c>
      <c r="X65" s="2"/>
    </row>
    <row r="66" spans="2:24" ht="13.8" x14ac:dyDescent="0.2">
      <c r="B66" s="8">
        <f t="shared" si="6"/>
      </c>
      <c r="C66" s="10"/>
      <c r="D66" s="13"/>
      <c r="E66" s="11">
        <f t="shared" si="2"/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</c>
      <c r="L66" s="7">
        <v>0</v>
      </c>
      <c r="M66" s="11">
        <f t="shared" si="4"/>
      </c>
      <c r="N66" s="11">
        <f t="shared" si="5"/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>
        <f>IFERROR(CalcRC27(F66,G66,K66,O66,P66,Q66,R66,S66,T66,U66,V66),"-")</f>
      </c>
      <c r="X66" s="2"/>
    </row>
    <row r="67" spans="2:24" ht="13.8" x14ac:dyDescent="0.2">
      <c r="B67" s="8">
        <f t="shared" si="6"/>
      </c>
      <c r="C67" s="10"/>
      <c r="D67" s="13"/>
      <c r="E67" s="11">
        <f t="shared" si="2"/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</c>
      <c r="L67" s="7">
        <v>0</v>
      </c>
      <c r="M67" s="11">
        <f t="shared" si="4"/>
      </c>
      <c r="N67" s="11">
        <f t="shared" si="5"/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>
        <f>IFERROR(CalcRC27(F67,G67,K67,O67,P67,Q67,R67,S67,T67,U67,V67),"-")</f>
      </c>
      <c r="X67" s="2"/>
    </row>
    <row r="68" spans="2:24" ht="13.8" x14ac:dyDescent="0.2">
      <c r="B68" s="8">
        <f t="shared" si="6"/>
      </c>
      <c r="C68" s="10"/>
      <c r="D68" s="9"/>
      <c r="E68" s="11">
        <f t="shared" si="2"/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</c>
      <c r="L68" s="7">
        <v>0</v>
      </c>
      <c r="M68" s="11">
        <f t="shared" ref="M68:M131" si="8">IFERROR(IF((G68+P68+Q68)/(F68+P68+Q68+S68)=1,"1.00",(G68+P68+Q68)/(F68+P68+Q68+S68)),0)</f>
      </c>
      <c r="N68" s="11">
        <f t="shared" ref="N68:N131" si="9">IFERROR(SUM(K68/F68,((G68+P68+Q68)/(F68+P68+Q68+S68))),M68)</f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>
        <f>IFERROR(CalcRC27(F68,G68,K68,O68,P68,Q68,R68,S68,T68,U68,V68),"-")</f>
      </c>
      <c r="X68" s="2"/>
    </row>
    <row r="69" spans="2:24" ht="13.8" x14ac:dyDescent="0.2">
      <c r="B69" s="8">
        <f t="shared" ref="B69:B132" si="10">IF(C69="","",C69)</f>
      </c>
      <c r="C69" s="10"/>
      <c r="D69" s="13"/>
      <c r="E69" s="11">
        <f t="shared" ref="E69:E132" si="11">IFERROR(IF(G69/F69=1,"1.00",G69/F69),"---")</f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</c>
      <c r="L69" s="7">
        <v>0</v>
      </c>
      <c r="M69" s="11">
        <f t="shared" si="8"/>
      </c>
      <c r="N69" s="11">
        <f t="shared" si="9"/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>
        <f>IFERROR(CalcRC27(F69,G69,K69,O69,P69,Q69,R69,S69,T69,U69,V69),"-")</f>
      </c>
      <c r="X69" s="2"/>
    </row>
    <row r="70" spans="2:24" ht="13.8" x14ac:dyDescent="0.2">
      <c r="B70" s="8">
        <f t="shared" si="10"/>
      </c>
      <c r="C70" s="10"/>
      <c r="D70" s="9"/>
      <c r="E70" s="11">
        <f t="shared" si="11"/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</c>
      <c r="L70" s="7">
        <v>0</v>
      </c>
      <c r="M70" s="11">
        <f t="shared" si="8"/>
      </c>
      <c r="N70" s="11">
        <f t="shared" si="9"/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>
        <f>IFERROR(CalcRC27(F70,G70,K70,O70,P70,Q70,R70,S70,T70,U70,V70),"-")</f>
      </c>
      <c r="X70" s="2"/>
    </row>
    <row r="71" spans="2:24" ht="13.8" x14ac:dyDescent="0.2">
      <c r="B71" s="8">
        <f t="shared" si="10"/>
      </c>
      <c r="C71" s="10"/>
      <c r="D71" s="13"/>
      <c r="E71" s="11">
        <f t="shared" si="11"/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</c>
      <c r="L71" s="7">
        <v>0</v>
      </c>
      <c r="M71" s="11">
        <f t="shared" si="8"/>
      </c>
      <c r="N71" s="11">
        <f t="shared" si="9"/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>
        <f>IFERROR(CalcRC27(F71,G71,K71,O71,P71,Q71,R71,S71,T71,U71,V71),"-")</f>
      </c>
      <c r="X71" s="2"/>
    </row>
    <row r="72" spans="2:24" ht="13.8" x14ac:dyDescent="0.2">
      <c r="B72" s="8">
        <f t="shared" si="10"/>
      </c>
      <c r="C72" s="10"/>
      <c r="D72" s="13"/>
      <c r="E72" s="11">
        <f t="shared" si="11"/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</c>
      <c r="L72" s="7">
        <v>0</v>
      </c>
      <c r="M72" s="11">
        <f t="shared" si="8"/>
      </c>
      <c r="N72" s="11">
        <f t="shared" si="9"/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>
        <f>IFERROR(CalcRC27(F72,G72,K72,O72,P72,Q72,R72,S72,T72,U72,V72),"-")</f>
      </c>
      <c r="X72" s="2"/>
    </row>
    <row r="73" spans="2:24" ht="13.8" x14ac:dyDescent="0.2">
      <c r="B73" s="8">
        <f t="shared" si="10"/>
      </c>
      <c r="C73" s="10"/>
      <c r="D73" s="13"/>
      <c r="E73" s="11">
        <f t="shared" si="11"/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</c>
      <c r="L73" s="7">
        <v>0</v>
      </c>
      <c r="M73" s="11">
        <f t="shared" si="8"/>
      </c>
      <c r="N73" s="11">
        <f t="shared" si="9"/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>
        <f>IFERROR(CalcRC27(F73,G73,K73,O73,P73,Q73,R73,S73,T73,U73,V73),"-")</f>
      </c>
      <c r="X73" s="2"/>
    </row>
    <row r="74" spans="2:24" ht="13.8" x14ac:dyDescent="0.2">
      <c r="B74" s="8">
        <f t="shared" si="10"/>
      </c>
      <c r="C74" s="10"/>
      <c r="D74" s="13"/>
      <c r="E74" s="11">
        <f t="shared" si="11"/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</c>
      <c r="L74" s="7">
        <v>0</v>
      </c>
      <c r="M74" s="11">
        <f t="shared" si="8"/>
      </c>
      <c r="N74" s="11">
        <f t="shared" si="9"/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>
        <f>IFERROR(CalcRC27(F74,G74,K74,O74,P74,Q74,R74,S74,T74,U74,V74),"-")</f>
      </c>
      <c r="X74" s="2"/>
    </row>
    <row r="75" spans="2:24" ht="13.8" x14ac:dyDescent="0.2">
      <c r="B75" s="8">
        <f t="shared" si="10"/>
      </c>
      <c r="C75" s="10"/>
      <c r="D75" s="8"/>
      <c r="E75" s="11">
        <f t="shared" si="11"/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</c>
      <c r="L75" s="7">
        <v>0</v>
      </c>
      <c r="M75" s="11">
        <f t="shared" si="8"/>
      </c>
      <c r="N75" s="11">
        <f t="shared" si="9"/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>
        <f>IFERROR(CalcRC27(F75,G75,K75,O75,P75,Q75,R75,S75,T75,U75,V75),"-")</f>
      </c>
      <c r="X75" s="2"/>
    </row>
    <row r="76" spans="2:24" ht="13.8" x14ac:dyDescent="0.2">
      <c r="B76" s="8">
        <f t="shared" si="10"/>
      </c>
      <c r="C76" s="10"/>
      <c r="D76" s="8"/>
      <c r="E76" s="11">
        <f t="shared" si="11"/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</c>
      <c r="L76" s="7">
        <v>0</v>
      </c>
      <c r="M76" s="11">
        <f t="shared" si="8"/>
      </c>
      <c r="N76" s="11">
        <f t="shared" si="9"/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>
        <f>IFERROR(CalcRC27(F76,G76,K76,O76,P76,Q76,R76,S76,T76,U76,V76),"-")</f>
      </c>
      <c r="X76" s="2"/>
    </row>
    <row r="77" spans="2:24" ht="13.8" x14ac:dyDescent="0.2">
      <c r="B77" s="8">
        <f t="shared" si="10"/>
      </c>
      <c r="C77" s="10"/>
      <c r="D77" s="8"/>
      <c r="E77" s="11">
        <f t="shared" si="11"/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</c>
      <c r="L77" s="7">
        <v>0</v>
      </c>
      <c r="M77" s="11">
        <f t="shared" si="8"/>
      </c>
      <c r="N77" s="11">
        <f t="shared" si="9"/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>
        <f>IFERROR(CalcRC27(F77,G77,K77,O77,P77,Q77,R77,S77,T77,U77,V77),"-")</f>
      </c>
      <c r="X77" s="2"/>
    </row>
    <row r="78" spans="2:24" ht="13.8" x14ac:dyDescent="0.2">
      <c r="B78" s="8">
        <f t="shared" si="10"/>
      </c>
      <c r="C78" s="10"/>
      <c r="D78" s="8"/>
      <c r="E78" s="11">
        <f t="shared" si="11"/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</c>
      <c r="L78" s="7">
        <v>0</v>
      </c>
      <c r="M78" s="11">
        <f t="shared" si="8"/>
      </c>
      <c r="N78" s="11">
        <f t="shared" si="9"/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>
        <f>IFERROR(CalcRC27(F78,G78,K78,O78,P78,Q78,R78,S78,T78,U78,V78),"-")</f>
      </c>
      <c r="X78" s="2"/>
    </row>
    <row r="79" spans="2:24" ht="13.8" x14ac:dyDescent="0.2">
      <c r="B79" s="8">
        <f t="shared" si="10"/>
      </c>
      <c r="C79" s="10"/>
      <c r="D79" s="8"/>
      <c r="E79" s="11">
        <f t="shared" si="11"/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</c>
      <c r="L79" s="7">
        <v>0</v>
      </c>
      <c r="M79" s="11">
        <f t="shared" si="8"/>
      </c>
      <c r="N79" s="11">
        <f t="shared" si="9"/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>
        <f>IFERROR(CalcRC27(F79,G79,K79,O79,P79,Q79,R79,S79,T79,U79,V79),"-")</f>
      </c>
      <c r="X79" s="2"/>
    </row>
    <row r="80" spans="2:24" ht="13.8" x14ac:dyDescent="0.2">
      <c r="B80" s="8">
        <f t="shared" si="10"/>
      </c>
      <c r="C80" s="10"/>
      <c r="D80" s="8"/>
      <c r="E80" s="11">
        <f t="shared" si="11"/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</c>
      <c r="L80" s="7">
        <v>0</v>
      </c>
      <c r="M80" s="11">
        <f t="shared" si="8"/>
      </c>
      <c r="N80" s="11">
        <f t="shared" si="9"/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>
        <f>IFERROR(CalcRC27(F80,G80,K80,O80,P80,Q80,R80,S80,T80,U80,V80),"-")</f>
      </c>
      <c r="X80" s="2"/>
    </row>
    <row r="81" spans="2:24" ht="13.8" x14ac:dyDescent="0.2">
      <c r="B81" s="8">
        <f t="shared" si="10"/>
      </c>
      <c r="C81" s="10"/>
      <c r="D81" s="8"/>
      <c r="E81" s="11">
        <f t="shared" si="11"/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</c>
      <c r="L81" s="7">
        <v>0</v>
      </c>
      <c r="M81" s="11">
        <f t="shared" si="8"/>
      </c>
      <c r="N81" s="11">
        <f t="shared" si="9"/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>
        <f>IFERROR(CalcRC27(F81,G81,K81,O81,P81,Q81,R81,S81,T81,U81,V81),"-")</f>
      </c>
      <c r="X81" s="2"/>
    </row>
    <row r="82" spans="2:24" ht="13.8" x14ac:dyDescent="0.2">
      <c r="B82" s="8">
        <f t="shared" si="10"/>
      </c>
      <c r="C82" s="10"/>
      <c r="D82" s="13"/>
      <c r="E82" s="11">
        <f t="shared" si="11"/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</c>
      <c r="L82" s="7">
        <v>0</v>
      </c>
      <c r="M82" s="11">
        <f t="shared" si="8"/>
      </c>
      <c r="N82" s="11">
        <f t="shared" si="9"/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>
        <f>IFERROR(CalcRC27(F82,G82,K82,O82,P82,Q82,R82,S82,T82,U82,V82),"-")</f>
      </c>
      <c r="X82" s="2"/>
    </row>
    <row r="83" spans="2:24" ht="13.8" x14ac:dyDescent="0.2">
      <c r="B83" s="8">
        <f t="shared" si="10"/>
      </c>
      <c r="C83" s="10"/>
      <c r="D83" s="8"/>
      <c r="E83" s="11">
        <f t="shared" si="11"/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</c>
      <c r="L83" s="7">
        <v>0</v>
      </c>
      <c r="M83" s="11">
        <f t="shared" si="8"/>
      </c>
      <c r="N83" s="11">
        <f t="shared" si="9"/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>
        <f>IFERROR(CalcRC27(F83,G83,K83,O83,P83,Q83,R83,S83,T83,U83,V83),"-")</f>
      </c>
      <c r="X83" s="2"/>
    </row>
    <row r="84" spans="2:24" ht="13.8" x14ac:dyDescent="0.2">
      <c r="B84" s="8">
        <f t="shared" si="10"/>
      </c>
      <c r="C84" s="10"/>
      <c r="D84" s="9"/>
      <c r="E84" s="11">
        <f t="shared" si="11"/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</c>
      <c r="L84" s="7">
        <v>0</v>
      </c>
      <c r="M84" s="11">
        <f t="shared" si="8"/>
      </c>
      <c r="N84" s="11">
        <f t="shared" si="9"/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>
        <f>IFERROR(CalcRC27(F84,G84,K84,O84,P84,Q84,R84,S84,T84,U84,V84),"-")</f>
      </c>
      <c r="X84" s="2"/>
    </row>
    <row r="85" spans="2:24" ht="13.8" x14ac:dyDescent="0.2">
      <c r="B85" s="8">
        <f t="shared" si="10"/>
      </c>
      <c r="C85" s="10"/>
      <c r="D85" s="8"/>
      <c r="E85" s="11">
        <f t="shared" si="11"/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</c>
      <c r="L85" s="7">
        <v>0</v>
      </c>
      <c r="M85" s="11">
        <f t="shared" si="8"/>
      </c>
      <c r="N85" s="11">
        <f t="shared" si="9"/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>
        <f>IFERROR(CalcRC27(F85,G85,K85,O85,P85,Q85,R85,S85,T85,U85,V85),"-")</f>
      </c>
      <c r="X85" s="2"/>
    </row>
    <row r="86" spans="2:24" ht="13.8" x14ac:dyDescent="0.2">
      <c r="B86" s="8">
        <f t="shared" si="10"/>
      </c>
      <c r="C86" s="10"/>
      <c r="D86" s="8"/>
      <c r="E86" s="11">
        <f t="shared" si="11"/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</c>
      <c r="L86" s="7">
        <v>0</v>
      </c>
      <c r="M86" s="11">
        <f t="shared" si="8"/>
      </c>
      <c r="N86" s="11">
        <f t="shared" si="9"/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>
        <f>IFERROR(CalcRC27(F86,G86,K86,O86,P86,Q86,R86,S86,T86,U86,V86),"-")</f>
      </c>
      <c r="X86" s="2"/>
    </row>
    <row r="87" spans="2:24" ht="13.8" x14ac:dyDescent="0.2">
      <c r="B87" s="8">
        <f t="shared" si="10"/>
      </c>
      <c r="C87" s="10"/>
      <c r="D87" s="8"/>
      <c r="E87" s="11">
        <f t="shared" si="11"/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</c>
      <c r="L87" s="7">
        <v>0</v>
      </c>
      <c r="M87" s="11">
        <f t="shared" si="8"/>
      </c>
      <c r="N87" s="11">
        <f t="shared" si="9"/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>
        <f>IFERROR(CalcRC27(F87,G87,K87,O87,P87,Q87,R87,S87,T87,U87,V87),"-")</f>
      </c>
      <c r="X87" s="2"/>
    </row>
    <row r="88" spans="2:24" ht="13.8" x14ac:dyDescent="0.2">
      <c r="B88" s="8">
        <f t="shared" si="10"/>
      </c>
      <c r="C88" s="10"/>
      <c r="D88" s="8"/>
      <c r="E88" s="11">
        <f t="shared" si="11"/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</c>
      <c r="L88" s="7">
        <v>0</v>
      </c>
      <c r="M88" s="11">
        <f t="shared" si="8"/>
      </c>
      <c r="N88" s="11">
        <f t="shared" si="9"/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>
        <f>IFERROR(CalcRC27(F88,G88,K88,O88,P88,Q88,R88,S88,T88,U88,V88),"-")</f>
      </c>
      <c r="X88" s="2"/>
    </row>
    <row r="89" spans="2:24" ht="13.8" x14ac:dyDescent="0.2">
      <c r="B89" s="8">
        <f t="shared" si="10"/>
      </c>
      <c r="C89" s="10"/>
      <c r="D89" s="8"/>
      <c r="E89" s="11">
        <f t="shared" si="11"/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</c>
      <c r="L89" s="7">
        <v>0</v>
      </c>
      <c r="M89" s="11">
        <f t="shared" si="8"/>
      </c>
      <c r="N89" s="11">
        <f t="shared" si="9"/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>
        <f>IFERROR(CalcRC27(F89,G89,K89,O89,P89,Q89,R89,S89,T89,U89,V89),"-")</f>
      </c>
      <c r="X89" s="2"/>
    </row>
    <row r="90" spans="2:24" ht="13.8" x14ac:dyDescent="0.2">
      <c r="B90" s="8">
        <f t="shared" si="10"/>
      </c>
      <c r="C90" s="10"/>
      <c r="D90" s="8"/>
      <c r="E90" s="11">
        <f t="shared" si="11"/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</c>
      <c r="L90" s="7">
        <v>0</v>
      </c>
      <c r="M90" s="11">
        <f t="shared" si="8"/>
      </c>
      <c r="N90" s="11">
        <f t="shared" si="9"/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>
        <f>IFERROR(CalcRC27(F90,G90,K90,O90,P90,Q90,R90,S90,T90,U90,V90),"-")</f>
      </c>
      <c r="X90" s="2"/>
    </row>
    <row r="91" spans="2:24" ht="13.8" x14ac:dyDescent="0.2">
      <c r="B91" s="8">
        <f t="shared" si="10"/>
      </c>
      <c r="C91" s="10"/>
      <c r="D91" s="8"/>
      <c r="E91" s="11">
        <f t="shared" si="11"/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</c>
      <c r="L91" s="7">
        <v>0</v>
      </c>
      <c r="M91" s="11">
        <f t="shared" si="8"/>
      </c>
      <c r="N91" s="11">
        <f t="shared" si="9"/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>
        <f>IFERROR(CalcRC27(F91,G91,K91,O91,P91,Q91,R91,S91,T91,U91,V91),"-")</f>
      </c>
      <c r="X91" s="2"/>
    </row>
    <row r="92" spans="2:24" ht="13.8" x14ac:dyDescent="0.2">
      <c r="B92" s="8">
        <f t="shared" si="10"/>
      </c>
      <c r="C92" s="10"/>
      <c r="D92" s="8"/>
      <c r="E92" s="11">
        <f t="shared" si="11"/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</c>
      <c r="L92" s="7">
        <v>0</v>
      </c>
      <c r="M92" s="11">
        <f t="shared" si="8"/>
      </c>
      <c r="N92" s="11">
        <f t="shared" si="9"/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>
        <f>IFERROR(CalcRC27(F92,G92,K92,O92,P92,Q92,R92,S92,T92,U92,V92),"-")</f>
      </c>
      <c r="X92" s="2"/>
    </row>
    <row r="93" spans="2:24" ht="13.8" x14ac:dyDescent="0.2">
      <c r="B93" s="8">
        <f t="shared" si="10"/>
      </c>
      <c r="C93" s="10"/>
      <c r="D93" s="8"/>
      <c r="E93" s="11">
        <f t="shared" si="11"/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</c>
      <c r="L93" s="7">
        <v>0</v>
      </c>
      <c r="M93" s="11">
        <f t="shared" si="8"/>
      </c>
      <c r="N93" s="11">
        <f t="shared" si="9"/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>
        <f>IFERROR(CalcRC27(F93,G93,K93,O93,P93,Q93,R93,S93,T93,U93,V93),"-")</f>
      </c>
      <c r="X93" s="2"/>
    </row>
    <row r="94" spans="2:24" ht="13.8" x14ac:dyDescent="0.2">
      <c r="B94" s="8">
        <f t="shared" si="10"/>
      </c>
      <c r="C94" s="10"/>
      <c r="D94" s="8"/>
      <c r="E94" s="11">
        <f t="shared" si="11"/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</c>
      <c r="L94" s="7">
        <v>0</v>
      </c>
      <c r="M94" s="11">
        <f t="shared" si="8"/>
      </c>
      <c r="N94" s="11">
        <f t="shared" si="9"/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>
        <f>IFERROR(CalcRC27(F94,G94,K94,O94,P94,Q94,R94,S94,T94,U94,V94),"-")</f>
      </c>
      <c r="X94" s="2"/>
    </row>
    <row r="95" spans="2:24" ht="13.8" x14ac:dyDescent="0.2">
      <c r="B95" s="8">
        <f t="shared" si="10"/>
      </c>
      <c r="C95" s="10"/>
      <c r="D95" s="13"/>
      <c r="E95" s="11">
        <f t="shared" si="11"/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</c>
      <c r="L95" s="7">
        <v>0</v>
      </c>
      <c r="M95" s="11">
        <f t="shared" si="8"/>
      </c>
      <c r="N95" s="11">
        <f t="shared" si="9"/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>
        <f>IFERROR(CalcRC27(F95,G95,K95,O95,P95,Q95,R95,S95,T95,U95,V95),"-")</f>
      </c>
      <c r="X95" s="2"/>
    </row>
    <row r="96" spans="2:24" ht="13.8" x14ac:dyDescent="0.2">
      <c r="B96" s="8">
        <f t="shared" si="10"/>
      </c>
      <c r="C96" s="10"/>
      <c r="D96" s="8"/>
      <c r="E96" s="11">
        <f t="shared" si="11"/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</c>
      <c r="L96" s="7">
        <v>0</v>
      </c>
      <c r="M96" s="11">
        <f t="shared" si="8"/>
      </c>
      <c r="N96" s="11">
        <f t="shared" si="9"/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>
        <f>IFERROR(CalcRC27(F96,G96,K96,O96,P96,Q96,R96,S96,T96,U96,V96),"-")</f>
      </c>
      <c r="X96" s="2"/>
    </row>
    <row r="97" spans="2:24" ht="13.8" x14ac:dyDescent="0.2">
      <c r="B97" s="8">
        <f t="shared" si="10"/>
      </c>
      <c r="C97" s="10"/>
      <c r="D97" s="8"/>
      <c r="E97" s="11">
        <f t="shared" si="11"/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</c>
      <c r="L97" s="7">
        <v>0</v>
      </c>
      <c r="M97" s="11">
        <f t="shared" si="8"/>
      </c>
      <c r="N97" s="11">
        <f t="shared" si="9"/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>
        <f>IFERROR(CalcRC27(F97,G97,K97,O97,P97,Q97,R97,S97,T97,U97,V97),"-")</f>
      </c>
      <c r="X97" s="2"/>
    </row>
    <row r="98" spans="2:24" ht="13.8" x14ac:dyDescent="0.2">
      <c r="B98" s="8">
        <f t="shared" si="10"/>
      </c>
      <c r="C98" s="10"/>
      <c r="D98" s="8"/>
      <c r="E98" s="11">
        <f t="shared" si="11"/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</c>
      <c r="L98" s="7">
        <v>0</v>
      </c>
      <c r="M98" s="11">
        <f t="shared" si="8"/>
      </c>
      <c r="N98" s="11">
        <f t="shared" si="9"/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>
        <f>IFERROR(CalcRC27(F98,G98,K98,O98,P98,Q98,R98,S98,T98,U98,V98),"-")</f>
      </c>
      <c r="X98" s="2"/>
    </row>
    <row r="99" spans="2:24" ht="13.8" x14ac:dyDescent="0.2">
      <c r="B99" s="8">
        <f t="shared" si="10"/>
      </c>
      <c r="C99" s="10"/>
      <c r="D99" s="8"/>
      <c r="E99" s="11">
        <f t="shared" si="11"/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</c>
      <c r="L99" s="7">
        <v>0</v>
      </c>
      <c r="M99" s="11">
        <f t="shared" si="8"/>
      </c>
      <c r="N99" s="11">
        <f t="shared" si="9"/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>
        <f>IFERROR(CalcRC27(F99,G99,K99,O99,P99,Q99,R99,S99,T99,U99,V99),"-")</f>
      </c>
      <c r="X99" s="2"/>
    </row>
    <row r="100" spans="2:24" ht="13.8" x14ac:dyDescent="0.2">
      <c r="B100" s="8">
        <f t="shared" si="10"/>
      </c>
      <c r="C100" s="10"/>
      <c r="D100" s="13"/>
      <c r="E100" s="11">
        <f t="shared" si="11"/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</c>
      <c r="L100" s="7">
        <v>0</v>
      </c>
      <c r="M100" s="11">
        <f t="shared" si="8"/>
      </c>
      <c r="N100" s="11">
        <f t="shared" si="9"/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>
        <f>IFERROR(CalcRC27(F100,G100,K100,O100,P100,Q100,R100,S100,T100,U100,V100),"-")</f>
      </c>
      <c r="X100" s="2"/>
    </row>
    <row r="101" spans="2:24" ht="13.8" x14ac:dyDescent="0.2">
      <c r="B101" s="8">
        <f t="shared" si="10"/>
      </c>
      <c r="C101" s="10"/>
      <c r="D101" s="8"/>
      <c r="E101" s="11">
        <f t="shared" si="11"/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</c>
      <c r="L101" s="7">
        <v>0</v>
      </c>
      <c r="M101" s="11">
        <f t="shared" si="8"/>
      </c>
      <c r="N101" s="11">
        <f t="shared" si="9"/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>
        <f>IFERROR(CalcRC27(F101,G101,K101,O101,P101,Q101,R101,S101,T101,U101,V101),"-")</f>
      </c>
      <c r="X101" s="2"/>
    </row>
    <row r="102" spans="2:24" ht="13.8" x14ac:dyDescent="0.2">
      <c r="B102" s="8">
        <f t="shared" si="10"/>
      </c>
      <c r="C102" s="10"/>
      <c r="D102" s="8"/>
      <c r="E102" s="11">
        <f t="shared" si="11"/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</c>
      <c r="L102" s="7">
        <v>0</v>
      </c>
      <c r="M102" s="11">
        <f t="shared" si="8"/>
      </c>
      <c r="N102" s="11">
        <f t="shared" si="9"/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>
        <f>IFERROR(CalcRC27(F102,G102,K102,O102,P102,Q102,R102,S102,T102,U102,V102),"-")</f>
      </c>
      <c r="X102" s="2"/>
    </row>
    <row r="103" spans="2:24" ht="13.8" x14ac:dyDescent="0.2">
      <c r="B103" s="8">
        <f t="shared" si="10"/>
      </c>
      <c r="C103" s="10"/>
      <c r="D103" s="8"/>
      <c r="E103" s="11">
        <f t="shared" si="11"/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</c>
      <c r="L103" s="7">
        <v>0</v>
      </c>
      <c r="M103" s="11">
        <f t="shared" si="8"/>
      </c>
      <c r="N103" s="11">
        <f t="shared" si="9"/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</c>
      <c r="X103" s="2"/>
    </row>
    <row r="104" spans="2:24" ht="13.8" x14ac:dyDescent="0.2">
      <c r="B104" s="8">
        <f t="shared" si="10"/>
      </c>
      <c r="C104" s="10"/>
      <c r="D104" s="9"/>
      <c r="E104" s="11">
        <f t="shared" si="11"/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</c>
      <c r="L104" s="7">
        <v>0</v>
      </c>
      <c r="M104" s="11">
        <f t="shared" si="8"/>
      </c>
      <c r="N104" s="11">
        <f t="shared" si="9"/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</c>
      <c r="X104" s="2"/>
    </row>
    <row r="105" spans="2:24" ht="13.8" x14ac:dyDescent="0.2">
      <c r="B105" s="8">
        <f t="shared" si="10"/>
      </c>
      <c r="C105" s="10"/>
      <c r="D105" s="14"/>
      <c r="E105" s="11">
        <f t="shared" si="11"/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</c>
      <c r="L105" s="7">
        <v>0</v>
      </c>
      <c r="M105" s="11">
        <f t="shared" si="8"/>
      </c>
      <c r="N105" s="11">
        <f t="shared" si="9"/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>
        <f>IFERROR(CalcRC27(F105,G105,K105,O105,P105,Q105,R105,S105,T105,U105,V105),"-")</f>
      </c>
      <c r="X105" s="2"/>
    </row>
    <row r="106" spans="2:24" ht="13.8" x14ac:dyDescent="0.2">
      <c r="B106" s="8">
        <f t="shared" si="10"/>
      </c>
      <c r="C106" s="10"/>
      <c r="D106" s="9"/>
      <c r="E106" s="11">
        <f t="shared" si="11"/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</c>
      <c r="L106" s="7">
        <v>0</v>
      </c>
      <c r="M106" s="11">
        <f t="shared" si="8"/>
      </c>
      <c r="N106" s="11">
        <f t="shared" si="9"/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>
        <f>IFERROR(CalcRC27(F106,G106,K106,O106,P106,Q106,R106,S106,T106,U106,V106),"-")</f>
      </c>
      <c r="X106" s="2"/>
    </row>
    <row r="107" spans="2:24" ht="13.8" x14ac:dyDescent="0.2">
      <c r="B107" s="8">
        <f t="shared" si="10"/>
      </c>
      <c r="C107" s="10"/>
      <c r="D107" s="9"/>
      <c r="E107" s="11">
        <f t="shared" si="11"/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</c>
      <c r="L107" s="7">
        <v>0</v>
      </c>
      <c r="M107" s="11">
        <f t="shared" si="8"/>
      </c>
      <c r="N107" s="11">
        <f t="shared" si="9"/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>
        <f>IFERROR(CalcRC27(F107,G107,K107,O107,P107,Q107,R107,S107,T107,U107,V107),"-")</f>
      </c>
      <c r="X107" s="2"/>
    </row>
    <row r="108" spans="2:24" ht="13.8" x14ac:dyDescent="0.2">
      <c r="B108" s="8">
        <f t="shared" si="10"/>
      </c>
      <c r="C108" s="10"/>
      <c r="D108" s="9"/>
      <c r="E108" s="11">
        <f t="shared" si="11"/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</c>
      <c r="L108" s="7">
        <v>0</v>
      </c>
      <c r="M108" s="11">
        <f t="shared" si="8"/>
      </c>
      <c r="N108" s="11">
        <f t="shared" si="9"/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>
        <f>IFERROR(CalcRC27(F108,G108,K108,O108,P108,Q108,R108,S108,T108,U108,V108),"-")</f>
      </c>
      <c r="X108" s="2"/>
    </row>
    <row r="109" spans="2:24" ht="13.8" x14ac:dyDescent="0.2">
      <c r="B109" s="8">
        <f t="shared" si="10"/>
      </c>
      <c r="C109" s="10"/>
      <c r="D109" s="9"/>
      <c r="E109" s="11">
        <f t="shared" si="11"/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</c>
      <c r="L109" s="7">
        <v>0</v>
      </c>
      <c r="M109" s="11">
        <f t="shared" si="8"/>
      </c>
      <c r="N109" s="11">
        <f t="shared" si="9"/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>
        <f>IFERROR(CalcRC27(F109,G109,K109,O109,P109,Q109,R109,S109,T109,U109,V109),"-")</f>
      </c>
      <c r="X109" s="2"/>
    </row>
    <row r="110" spans="2:24" ht="13.8" x14ac:dyDescent="0.2">
      <c r="B110" s="8">
        <f t="shared" si="10"/>
      </c>
      <c r="C110" s="10"/>
      <c r="D110" s="9"/>
      <c r="E110" s="11">
        <f t="shared" si="11"/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</c>
      <c r="L110" s="7">
        <v>0</v>
      </c>
      <c r="M110" s="11">
        <f t="shared" si="8"/>
      </c>
      <c r="N110" s="11">
        <f t="shared" si="9"/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>
        <f>IFERROR(CalcRC27(F110,G110,K110,O110,P110,Q110,R110,S110,T110,U110,V110),"-")</f>
      </c>
      <c r="X110" s="2"/>
    </row>
    <row r="111" spans="2:24" ht="13.8" x14ac:dyDescent="0.2">
      <c r="B111" s="8">
        <f t="shared" si="10"/>
      </c>
      <c r="C111" s="10"/>
      <c r="D111" s="9"/>
      <c r="E111" s="11">
        <f t="shared" si="11"/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</c>
      <c r="L111" s="7">
        <v>0</v>
      </c>
      <c r="M111" s="11">
        <f t="shared" si="8"/>
      </c>
      <c r="N111" s="11">
        <f t="shared" si="9"/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>
        <f>IFERROR(CalcRC27(F111,G111,K111,O111,P111,Q111,R111,S111,T111,U111,V111),"-")</f>
      </c>
      <c r="X111" s="2"/>
    </row>
    <row r="112" spans="2:24" ht="13.8" x14ac:dyDescent="0.2">
      <c r="B112" s="8">
        <f t="shared" si="10"/>
      </c>
      <c r="C112" s="10"/>
      <c r="D112" s="9"/>
      <c r="E112" s="11">
        <f t="shared" si="11"/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</c>
      <c r="L112" s="7">
        <v>0</v>
      </c>
      <c r="M112" s="11">
        <f t="shared" si="8"/>
      </c>
      <c r="N112" s="11">
        <f t="shared" si="9"/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>
        <f>IFERROR(CalcRC27(F112,G112,K112,O112,P112,Q112,R112,S112,T112,U112,V112),"-")</f>
      </c>
      <c r="X112" s="2"/>
    </row>
    <row r="113" spans="2:24" ht="13.8" x14ac:dyDescent="0.2">
      <c r="B113" s="8">
        <f t="shared" si="10"/>
      </c>
      <c r="C113" s="10"/>
      <c r="D113" s="9"/>
      <c r="E113" s="11">
        <f t="shared" si="11"/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</c>
      <c r="L113" s="7">
        <v>0</v>
      </c>
      <c r="M113" s="11">
        <f t="shared" si="8"/>
      </c>
      <c r="N113" s="11">
        <f t="shared" si="9"/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>
        <f>IFERROR(CalcRC27(F113,G113,K113,O113,P113,Q113,R113,S113,T113,U113,V113),"-")</f>
      </c>
      <c r="X113" s="2"/>
    </row>
    <row r="114" spans="2:24" ht="13.8" x14ac:dyDescent="0.2">
      <c r="B114" s="8">
        <f t="shared" si="10"/>
      </c>
      <c r="C114" s="10"/>
      <c r="D114" s="9"/>
      <c r="E114" s="11">
        <f t="shared" si="11"/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</c>
      <c r="L114" s="7">
        <v>0</v>
      </c>
      <c r="M114" s="11">
        <f t="shared" si="8"/>
      </c>
      <c r="N114" s="11">
        <f t="shared" si="9"/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>
        <f>IFERROR(CalcRC27(F114,G114,K114,O114,P114,Q114,R114,S114,T114,U114,V114),"-")</f>
      </c>
      <c r="X114" s="2"/>
    </row>
    <row r="115" spans="2:24" ht="13.8" x14ac:dyDescent="0.2">
      <c r="B115" s="8">
        <f t="shared" si="10"/>
      </c>
      <c r="C115" s="10"/>
      <c r="D115" s="9"/>
      <c r="E115" s="11">
        <f t="shared" si="11"/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</c>
      <c r="L115" s="7">
        <v>0</v>
      </c>
      <c r="M115" s="11">
        <f t="shared" si="8"/>
      </c>
      <c r="N115" s="11">
        <f t="shared" si="9"/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>
        <f>IFERROR(CalcRC27(F115,G115,K115,O115,P115,Q115,R115,S115,T115,U115,V115),"-")</f>
      </c>
      <c r="X115" s="2"/>
    </row>
    <row r="116" spans="2:24" ht="13.8" x14ac:dyDescent="0.2">
      <c r="B116" s="8">
        <f t="shared" si="10"/>
      </c>
      <c r="C116" s="10"/>
      <c r="D116" s="9"/>
      <c r="E116" s="11">
        <f t="shared" si="11"/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</c>
      <c r="L116" s="7">
        <v>0</v>
      </c>
      <c r="M116" s="11">
        <f t="shared" si="8"/>
      </c>
      <c r="N116" s="11">
        <f t="shared" si="9"/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>
        <f>IFERROR(CalcRC27(F116,G116,K116,O116,P116,Q116,R116,S116,T116,U116,V116),"-")</f>
      </c>
      <c r="X116" s="2"/>
    </row>
    <row r="117" spans="2:24" ht="13.8" x14ac:dyDescent="0.2">
      <c r="B117" s="8">
        <f t="shared" si="10"/>
      </c>
      <c r="C117" s="10"/>
      <c r="D117" s="9"/>
      <c r="E117" s="11">
        <f t="shared" si="11"/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</c>
      <c r="L117" s="7">
        <v>0</v>
      </c>
      <c r="M117" s="11">
        <f t="shared" si="8"/>
      </c>
      <c r="N117" s="11">
        <f t="shared" si="9"/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>
        <f>IFERROR(CalcRC27(F117,G117,K117,O117,P117,Q117,R117,S117,T117,U117,V117),"-")</f>
      </c>
      <c r="X117" s="2"/>
    </row>
    <row r="118" spans="2:24" ht="13.8" x14ac:dyDescent="0.2">
      <c r="B118" s="8">
        <f t="shared" si="10"/>
      </c>
      <c r="C118" s="10"/>
      <c r="D118" s="9"/>
      <c r="E118" s="11">
        <f t="shared" si="11"/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</c>
      <c r="L118" s="7">
        <v>0</v>
      </c>
      <c r="M118" s="11">
        <f t="shared" si="8"/>
      </c>
      <c r="N118" s="11">
        <f t="shared" si="9"/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>
        <f>IFERROR(CalcRC27(F118,G118,K118,O118,P118,Q118,R118,S118,T118,U118,V118),"-")</f>
      </c>
      <c r="X118" s="2"/>
    </row>
    <row r="119" spans="2:24" ht="13.8" x14ac:dyDescent="0.2">
      <c r="B119" s="8">
        <f t="shared" si="10"/>
      </c>
      <c r="C119" s="10"/>
      <c r="D119" s="9"/>
      <c r="E119" s="11">
        <f t="shared" si="11"/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</c>
      <c r="L119" s="7">
        <v>0</v>
      </c>
      <c r="M119" s="11">
        <f t="shared" si="8"/>
      </c>
      <c r="N119" s="11">
        <f t="shared" si="9"/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>
        <f>IFERROR(CalcRC27(F119,G119,K119,O119,P119,Q119,R119,S119,T119,U119,V119),"-")</f>
      </c>
      <c r="X119" s="2"/>
    </row>
    <row r="120" spans="2:24" ht="13.8" x14ac:dyDescent="0.2">
      <c r="B120" s="8">
        <f t="shared" si="10"/>
      </c>
      <c r="C120" s="10"/>
      <c r="D120" s="9"/>
      <c r="E120" s="11">
        <f t="shared" si="11"/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</c>
      <c r="L120" s="7">
        <v>0</v>
      </c>
      <c r="M120" s="11">
        <f t="shared" si="8"/>
      </c>
      <c r="N120" s="11">
        <f t="shared" si="9"/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>
        <f>IFERROR(CalcRC27(F120,G120,K120,O120,P120,Q120,R120,S120,T120,U120,V120),"-")</f>
      </c>
      <c r="X120" s="2"/>
    </row>
    <row r="121" spans="2:24" ht="13.8" x14ac:dyDescent="0.2">
      <c r="B121" s="8">
        <f t="shared" si="10"/>
      </c>
      <c r="C121" s="10"/>
      <c r="D121" s="9"/>
      <c r="E121" s="11">
        <f t="shared" si="11"/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</c>
      <c r="L121" s="7">
        <v>0</v>
      </c>
      <c r="M121" s="11">
        <f t="shared" si="8"/>
      </c>
      <c r="N121" s="11">
        <f t="shared" si="9"/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>
        <f>IFERROR(CalcRC27(F121,G121,K121,O121,P121,Q121,R121,S121,T121,U121,V121),"-")</f>
      </c>
      <c r="X121" s="2"/>
    </row>
    <row r="122" spans="2:24" ht="13.8" x14ac:dyDescent="0.2">
      <c r="B122" s="8">
        <f t="shared" si="10"/>
      </c>
      <c r="C122" s="10"/>
      <c r="D122" s="9"/>
      <c r="E122" s="11">
        <f t="shared" si="11"/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</c>
      <c r="L122" s="7">
        <v>0</v>
      </c>
      <c r="M122" s="11">
        <f t="shared" si="8"/>
      </c>
      <c r="N122" s="11">
        <f t="shared" si="9"/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>
        <f>IFERROR(CalcRC27(F122,G122,K122,O122,P122,Q122,R122,S122,T122,U122,V122),"-")</f>
      </c>
      <c r="X122" s="2"/>
    </row>
    <row r="123" spans="2:24" ht="13.8" x14ac:dyDescent="0.2">
      <c r="B123" s="8">
        <f t="shared" si="10"/>
      </c>
      <c r="C123" s="10"/>
      <c r="D123" s="9"/>
      <c r="E123" s="11">
        <f t="shared" si="11"/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</c>
      <c r="L123" s="7">
        <v>0</v>
      </c>
      <c r="M123" s="11">
        <f t="shared" si="8"/>
      </c>
      <c r="N123" s="11">
        <f t="shared" si="9"/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>
        <f>IFERROR(CalcRC27(F123,G123,K123,O123,P123,Q123,R123,S123,T123,U123,V123),"-")</f>
      </c>
      <c r="X123" s="2"/>
    </row>
    <row r="124" spans="2:24" ht="13.8" x14ac:dyDescent="0.2">
      <c r="B124" s="8">
        <f t="shared" si="10"/>
      </c>
      <c r="C124" s="10"/>
      <c r="D124" s="9"/>
      <c r="E124" s="11">
        <f t="shared" si="11"/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</c>
      <c r="L124" s="7">
        <v>0</v>
      </c>
      <c r="M124" s="11">
        <f t="shared" si="8"/>
      </c>
      <c r="N124" s="11">
        <f t="shared" si="9"/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>
        <f>IFERROR(CalcRC27(F124,G124,K124,O124,P124,Q124,R124,S124,T124,U124,V124),"-")</f>
      </c>
      <c r="X124" s="2"/>
    </row>
    <row r="125" spans="2:24" ht="13.8" x14ac:dyDescent="0.2">
      <c r="B125" s="8">
        <f t="shared" si="10"/>
      </c>
      <c r="C125" s="10"/>
      <c r="D125" s="9"/>
      <c r="E125" s="11">
        <f t="shared" si="11"/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</c>
      <c r="L125" s="7">
        <v>0</v>
      </c>
      <c r="M125" s="11">
        <f t="shared" si="8"/>
      </c>
      <c r="N125" s="11">
        <f t="shared" si="9"/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>
        <f>IFERROR(CalcRC27(F125,G125,K125,O125,P125,Q125,R125,S125,T125,U125,V125),"-")</f>
      </c>
      <c r="X125" s="2"/>
    </row>
    <row r="126" spans="2:24" ht="13.8" x14ac:dyDescent="0.2">
      <c r="B126" s="8">
        <f t="shared" si="10"/>
      </c>
      <c r="C126" s="10"/>
      <c r="D126" s="9"/>
      <c r="E126" s="11">
        <f t="shared" si="11"/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</c>
      <c r="L126" s="7">
        <v>0</v>
      </c>
      <c r="M126" s="11">
        <f t="shared" si="8"/>
      </c>
      <c r="N126" s="11">
        <f t="shared" si="9"/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>
        <f>IFERROR(CalcRC27(F126,G126,K126,O126,P126,Q126,R126,S126,T126,U126,V126),"-")</f>
      </c>
      <c r="X126" s="2"/>
    </row>
    <row r="127" spans="2:24" ht="13.8" x14ac:dyDescent="0.2">
      <c r="B127" s="8">
        <f t="shared" si="10"/>
      </c>
      <c r="C127" s="10"/>
      <c r="D127" s="9"/>
      <c r="E127" s="11">
        <f t="shared" si="11"/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</c>
      <c r="L127" s="7">
        <v>0</v>
      </c>
      <c r="M127" s="11">
        <f t="shared" si="8"/>
      </c>
      <c r="N127" s="11">
        <f t="shared" si="9"/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>
        <f>IFERROR(CalcRC27(F127,G127,K127,O127,P127,Q127,R127,S127,T127,U127,V127),"-")</f>
      </c>
      <c r="X127" s="2"/>
    </row>
    <row r="128" spans="2:24" ht="13.8" x14ac:dyDescent="0.2">
      <c r="B128" s="8">
        <f t="shared" si="10"/>
      </c>
      <c r="C128" s="10"/>
      <c r="D128" s="9"/>
      <c r="E128" s="11">
        <f t="shared" si="11"/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</c>
      <c r="L128" s="7">
        <v>0</v>
      </c>
      <c r="M128" s="11">
        <f t="shared" si="8"/>
      </c>
      <c r="N128" s="11">
        <f t="shared" si="9"/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>
        <f>IFERROR(CalcRC27(F128,G128,K128,O128,P128,Q128,R128,S128,T128,U128,V128),"-")</f>
      </c>
      <c r="X128" s="2"/>
    </row>
    <row r="129" spans="2:24" ht="13.8" x14ac:dyDescent="0.2">
      <c r="B129" s="8">
        <f t="shared" si="10"/>
      </c>
      <c r="C129" s="10"/>
      <c r="D129" s="9"/>
      <c r="E129" s="11">
        <f t="shared" si="11"/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</c>
      <c r="L129" s="7">
        <v>0</v>
      </c>
      <c r="M129" s="11">
        <f t="shared" si="8"/>
      </c>
      <c r="N129" s="11">
        <f t="shared" si="9"/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>
        <f>IFERROR(CalcRC27(F129,G129,K129,O129,P129,Q129,R129,S129,T129,U129,V129),"-")</f>
      </c>
      <c r="X129" s="2"/>
    </row>
    <row r="130" spans="2:24" ht="13.8" x14ac:dyDescent="0.2">
      <c r="B130" s="8">
        <f t="shared" si="10"/>
      </c>
      <c r="C130" s="10"/>
      <c r="D130" s="9"/>
      <c r="E130" s="11">
        <f t="shared" si="11"/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</c>
      <c r="L130" s="7">
        <v>1</v>
      </c>
      <c r="M130" s="11">
        <f t="shared" si="8"/>
      </c>
      <c r="N130" s="11">
        <f t="shared" si="9"/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>
        <f>IFERROR(CalcRC27(F130,G130,K130,O130,P130,Q130,R130,S130,T130,U130,V130),"-")</f>
      </c>
      <c r="X130" s="2"/>
    </row>
    <row r="131" spans="2:24" ht="13.8" x14ac:dyDescent="0.2">
      <c r="B131" s="8">
        <f t="shared" si="10"/>
      </c>
      <c r="C131" s="10"/>
      <c r="D131" s="9"/>
      <c r="E131" s="11">
        <f t="shared" si="11"/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</c>
      <c r="L131" s="7">
        <v>2</v>
      </c>
      <c r="M131" s="11">
        <f t="shared" si="8"/>
      </c>
      <c r="N131" s="11">
        <f t="shared" si="9"/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>
        <f>IFERROR(CalcRC27(F131,G131,K131,O131,P131,Q131,R131,S131,T131,U131,V131),"-")</f>
      </c>
      <c r="X131" s="2"/>
    </row>
    <row r="132" spans="2:24" ht="13.8" x14ac:dyDescent="0.2">
      <c r="B132" s="8">
        <f t="shared" si="10"/>
      </c>
      <c r="C132" s="10"/>
      <c r="D132" s="9"/>
      <c r="E132" s="11">
        <f t="shared" si="11"/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</c>
      <c r="L132" s="7">
        <v>3</v>
      </c>
      <c r="M132" s="11">
        <f t="shared" ref="M132:M134" si="13">IFERROR(IF((G132+P132+Q132)/(F132+P132+Q132+S132)=1,"1.00",(G132+P132+Q132)/(F132+P132+Q132+S132)),0)</f>
      </c>
      <c r="N132" s="11">
        <f t="shared" ref="N132:N134" si="14">IFERROR(SUM(K132/F132,((G132+P132+Q132)/(F132+P132+Q132+S132))),M132)</f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>
        <f>IFERROR(CalcRC27(F132,G132,K132,O132,P132,Q132,R132,S132,T132,U132,V132),"-")</f>
      </c>
      <c r="X132" s="2"/>
    </row>
    <row r="133" spans="2:24" ht="13.8" x14ac:dyDescent="0.2">
      <c r="B133" s="8">
        <f t="shared" ref="B133:B134" si="15">IF(C133="","",C133)</f>
      </c>
      <c r="C133" s="10"/>
      <c r="D133" s="9"/>
      <c r="E133" s="11">
        <f t="shared" ref="E133:E134" si="16">IFERROR(IF(G133/F133=1,"1.00",G133/F133),"---")</f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</c>
      <c r="L133" s="7">
        <v>4</v>
      </c>
      <c r="M133" s="11">
        <f t="shared" si="13"/>
      </c>
      <c r="N133" s="11">
        <f t="shared" si="14"/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>
        <f>IFERROR(CalcRC27(F133,G133,K133,O133,P133,Q133,R133,S133,T133,U133,V133),"-")</f>
      </c>
      <c r="X133" s="2"/>
    </row>
    <row r="134" spans="2:24" ht="13.8" x14ac:dyDescent="0.2">
      <c r="B134" s="8">
        <f t="shared" si="15"/>
      </c>
      <c r="C134" s="10"/>
      <c r="D134" s="9"/>
      <c r="E134" s="11">
        <f t="shared" si="16"/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</c>
      <c r="L134" s="7">
        <v>5</v>
      </c>
      <c r="M134" s="11">
        <f t="shared" si="13"/>
      </c>
      <c r="N134" s="11">
        <f t="shared" si="14"/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>
        <f>IFERROR(CalcRC27(F134,G134,K134,O134,P134,Q134,R134,S134,T134,U134,V134),"-")</f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306D-349C-47D9-900A-AC6012163455}">
  <sheetPr codeName="Sheet20"/>
  <sheetViews>
    <sheetView workbookViewId="0"/>
  </sheetViews>
  <sheetFormatPr defaultRowHeight="13.2" x14ac:dyDescent="0.2"/>
  <sheetData>
    <row r="1" spans="2:27" ht="39.6" customHeight="1" x14ac:dyDescent="0.2">
      <c r="B1" t="s" s="1">
        <v>1039</v>
      </c>
      <c r="C1" t="s" s="1">
        <v>1040</v>
      </c>
      <c r="D1" t="s" s="1">
        <v>274</v>
      </c>
      <c r="E1" t="s" s="1">
        <v>275</v>
      </c>
      <c r="F1" t="s" s="1">
        <v>276</v>
      </c>
      <c r="G1" t="s" s="1">
        <v>277</v>
      </c>
      <c r="H1" t="s" s="1">
        <v>278</v>
      </c>
      <c r="I1" t="s" s="1">
        <v>360</v>
      </c>
      <c r="J1" t="s" s="1">
        <v>361</v>
      </c>
      <c r="K1" t="s" s="1">
        <v>1041</v>
      </c>
      <c r="L1" t="s" s="1">
        <v>279</v>
      </c>
      <c r="M1" t="s" s="1">
        <v>280</v>
      </c>
      <c r="N1" t="s" s="1">
        <v>281</v>
      </c>
      <c r="O1" t="s" s="1">
        <v>282</v>
      </c>
      <c r="P1" t="s" s="1">
        <v>283</v>
      </c>
      <c r="Q1" t="s" s="1">
        <v>284</v>
      </c>
      <c r="R1" t="s" s="1">
        <v>285</v>
      </c>
      <c r="S1" t="s" s="1">
        <v>286</v>
      </c>
      <c r="T1" t="s" s="1">
        <v>287</v>
      </c>
      <c r="U1" t="s" s="1">
        <v>980</v>
      </c>
      <c r="V1" t="s" s="1">
        <v>981</v>
      </c>
      <c r="W1" t="s" s="1">
        <v>359</v>
      </c>
      <c r="X1" t="s" s="1">
        <v>288</v>
      </c>
      <c r="Y1" t="s" s="1">
        <v>289</v>
      </c>
      <c r="Z1" t="s" s="1">
        <v>290</v>
      </c>
      <c r="AA1" t="s" s="1">
        <v>291</v>
      </c>
    </row>
    <row r="2" spans="2:27" x14ac:dyDescent="0.2">
      <c r="B2" s="15"/>
      <c r="D2" s="16"/>
      <c r="M2" t="s" s="17">
        <v>225</v>
      </c>
      <c r="N2" t="s" s="116">
        <v>1287</v>
      </c>
      <c r="O2" s="116"/>
      <c r="W2" s="16"/>
      <c r="X2" s="16"/>
      <c r="Y2" s="16"/>
      <c r="Z2" s="16"/>
    </row>
    <row r="3" spans="2:27" x14ac:dyDescent="0.2">
      <c r="B3" t="s" s="18">
        <v>226</v>
      </c>
      <c r="D3" s="16"/>
      <c r="F3" t="s">
        <v>227</v>
      </c>
      <c r="W3" s="16"/>
      <c r="X3" s="16"/>
      <c r="Y3" s="16"/>
      <c r="Z3" s="16"/>
    </row>
    <row r="4" spans="2:27" x14ac:dyDescent="0.2">
      <c r="B4" t="s" s="19">
        <v>228</v>
      </c>
      <c r="D4" s="16"/>
      <c r="W4" s="16"/>
      <c r="X4" s="16"/>
      <c r="Y4" s="16"/>
      <c r="Z4" s="16"/>
    </row>
    <row r="5" spans="2:27" x14ac:dyDescent="0.2">
      <c r="B5" s="25"/>
      <c r="D5" s="16"/>
      <c r="G5" s="24"/>
      <c r="H5" s="24"/>
      <c r="I5" s="24"/>
      <c r="J5" s="24"/>
      <c r="K5" s="24"/>
      <c r="L5" s="24"/>
      <c r="M5" s="24"/>
      <c r="O5" s="24"/>
      <c r="P5" s="24"/>
      <c r="Q5" s="24"/>
      <c r="R5" s="24"/>
      <c r="S5" s="24"/>
      <c r="T5" s="24"/>
      <c r="U5" s="24"/>
      <c r="V5" s="24"/>
      <c r="W5" s="16"/>
      <c r="X5" s="16"/>
      <c r="Y5" s="16"/>
      <c r="Z5" s="16"/>
    </row>
    <row r="6" spans="2:27" x14ac:dyDescent="0.2">
      <c r="B6" s="15"/>
      <c r="D6" s="16"/>
      <c r="W6" s="16"/>
      <c r="X6" s="16"/>
      <c r="Y6" s="16"/>
      <c r="Z6" s="16"/>
    </row>
    <row r="7" spans="2:27" x14ac:dyDescent="0.2">
      <c r="B7" s="15"/>
      <c r="D7" s="16"/>
      <c r="W7" s="16"/>
      <c r="X7" s="16"/>
      <c r="Y7" s="16"/>
      <c r="Z7" s="16"/>
    </row>
    <row r="8" spans="2:27" x14ac:dyDescent="0.2">
      <c r="B8" s="15"/>
      <c r="D8" s="16"/>
      <c r="W8" s="16"/>
      <c r="X8" s="16"/>
      <c r="Y8" s="16"/>
      <c r="Z8" s="16"/>
    </row>
    <row r="9" spans="2:27" x14ac:dyDescent="0.2">
      <c r="B9" s="15"/>
      <c r="D9" s="16"/>
      <c r="W9" s="16"/>
      <c r="X9" s="16"/>
      <c r="Y9" s="16"/>
      <c r="Z9" s="16"/>
    </row>
    <row r="10" spans="2:27" x14ac:dyDescent="0.2">
      <c r="B10" s="15"/>
      <c r="D10" s="16"/>
      <c r="W10" s="16"/>
      <c r="X10" s="16"/>
      <c r="Y10" s="16"/>
      <c r="Z10" s="16"/>
    </row>
    <row r="11" spans="2:27" x14ac:dyDescent="0.2">
      <c r="B11" s="15"/>
      <c r="D11" s="16"/>
      <c r="W11" s="16"/>
      <c r="X11" s="16"/>
      <c r="Y11" s="16"/>
      <c r="Z11" s="16"/>
    </row>
    <row r="12" spans="2:27" x14ac:dyDescent="0.2">
      <c r="B12" s="15"/>
      <c r="D12" s="16"/>
      <c r="W12" s="16"/>
      <c r="X12" s="16"/>
      <c r="Y12" s="16"/>
      <c r="Z12" s="16"/>
    </row>
    <row r="13" spans="2:27" x14ac:dyDescent="0.2">
      <c r="B13" s="15"/>
      <c r="D13" s="16"/>
      <c r="W13" s="16"/>
      <c r="X13" s="16"/>
      <c r="Y13" s="16"/>
      <c r="Z13" s="16"/>
    </row>
    <row r="14" spans="2:27" x14ac:dyDescent="0.2">
      <c r="B14" s="15"/>
      <c r="D14" s="16"/>
      <c r="W14" s="16"/>
      <c r="X14" s="16"/>
      <c r="Y14" s="16"/>
      <c r="Z14" s="16"/>
    </row>
    <row r="15" spans="2:27" x14ac:dyDescent="0.2">
      <c r="B15" s="15"/>
      <c r="D15" s="16"/>
      <c r="W15" s="16"/>
      <c r="X15" s="16"/>
      <c r="Y15" s="16"/>
      <c r="Z15" s="16"/>
    </row>
    <row r="16" spans="2:27" x14ac:dyDescent="0.2">
      <c r="B16" s="15"/>
      <c r="D16" s="16"/>
      <c r="W16" s="16"/>
      <c r="X16" s="16"/>
      <c r="Y16" s="16"/>
      <c r="Z16" s="16"/>
    </row>
    <row r="17" spans="2:26" x14ac:dyDescent="0.2">
      <c r="B17" s="15"/>
      <c r="D17" s="16"/>
      <c r="W17" s="16"/>
      <c r="X17" s="16"/>
      <c r="Y17" s="16"/>
      <c r="Z17" s="16"/>
    </row>
    <row r="18" spans="2:26" x14ac:dyDescent="0.2">
      <c r="B18" s="15"/>
      <c r="D18" s="16"/>
      <c r="W18" s="16"/>
      <c r="X18" s="16"/>
      <c r="Y18" s="16"/>
      <c r="Z18" s="16"/>
    </row>
    <row r="19" spans="2:26" x14ac:dyDescent="0.2">
      <c r="B19" s="15"/>
      <c r="D19" s="16"/>
      <c r="W19" s="16"/>
      <c r="X19" s="16"/>
      <c r="Y19" s="16"/>
      <c r="Z19" s="16"/>
    </row>
    <row r="20" spans="2:26" x14ac:dyDescent="0.2">
      <c r="B20" s="15"/>
      <c r="D20" s="16"/>
      <c r="W20" s="16"/>
      <c r="X20" s="16"/>
      <c r="Y20" s="16"/>
      <c r="Z20" s="16"/>
    </row>
    <row r="21" spans="2:26" x14ac:dyDescent="0.2">
      <c r="B21" s="15"/>
      <c r="D21" s="16"/>
      <c r="W21" s="16"/>
      <c r="X21" s="16"/>
      <c r="Y21" s="16"/>
      <c r="Z21" s="16"/>
    </row>
    <row r="22" spans="2:26" x14ac:dyDescent="0.2">
      <c r="B22" s="15"/>
      <c r="D22" s="16"/>
      <c r="W22" s="16"/>
      <c r="X22" s="16"/>
      <c r="Y22" s="16"/>
      <c r="Z22" s="16"/>
    </row>
    <row r="23" spans="2:26" x14ac:dyDescent="0.2">
      <c r="B23" s="15"/>
      <c r="D23" s="16"/>
      <c r="W23" s="16"/>
      <c r="X23" s="16"/>
      <c r="Y23" s="16"/>
      <c r="Z23" s="16"/>
    </row>
    <row r="24" spans="2:26" x14ac:dyDescent="0.2">
      <c r="B24" s="15"/>
      <c r="D24" s="16"/>
      <c r="W24" s="16"/>
      <c r="X24" s="16"/>
      <c r="Y24" s="16"/>
      <c r="Z24" s="16"/>
    </row>
    <row r="25" spans="2:26" x14ac:dyDescent="0.2">
      <c r="B25" s="15"/>
      <c r="D25" s="16"/>
      <c r="W25" s="16"/>
      <c r="X25" s="16"/>
      <c r="Y25" s="16"/>
      <c r="Z25" s="16"/>
    </row>
    <row r="26" spans="2:26" x14ac:dyDescent="0.2">
      <c r="B26" s="15"/>
      <c r="D26" s="16"/>
      <c r="W26" s="16"/>
      <c r="X26" s="16"/>
      <c r="Y26" s="16"/>
      <c r="Z26" s="16"/>
    </row>
    <row r="27" spans="2:26" x14ac:dyDescent="0.2">
      <c r="B27" s="15"/>
      <c r="D27" s="16"/>
      <c r="W27" s="16"/>
      <c r="X27" s="16"/>
      <c r="Y27" s="16"/>
      <c r="Z27" s="16"/>
    </row>
    <row r="28" spans="2:26" x14ac:dyDescent="0.2">
      <c r="B28" s="15"/>
      <c r="D28" s="16"/>
      <c r="W28" s="16"/>
      <c r="X28" s="16"/>
      <c r="Y28" s="16"/>
      <c r="Z28" s="16"/>
    </row>
    <row r="29" spans="2:26" x14ac:dyDescent="0.2">
      <c r="B29" s="15"/>
      <c r="D29" s="16"/>
      <c r="W29" s="16"/>
      <c r="X29" s="16"/>
      <c r="Y29" s="16"/>
      <c r="Z29" s="16"/>
    </row>
    <row r="30" spans="2:26" x14ac:dyDescent="0.2">
      <c r="B30" s="15"/>
      <c r="D30" s="16"/>
      <c r="W30" s="16"/>
      <c r="X30" s="16"/>
      <c r="Y30" s="16"/>
      <c r="Z30" s="16"/>
    </row>
    <row r="31" spans="2:26" x14ac:dyDescent="0.2">
      <c r="B31" s="15"/>
      <c r="D31" s="16"/>
      <c r="W31" s="16"/>
      <c r="X31" s="16"/>
      <c r="Y31" s="16"/>
      <c r="Z31" s="16"/>
    </row>
    <row r="32" spans="2:26" x14ac:dyDescent="0.2">
      <c r="B32" s="15"/>
      <c r="D32" s="16"/>
      <c r="W32" s="16"/>
      <c r="X32" s="16"/>
      <c r="Y32" s="16"/>
      <c r="Z32" s="16"/>
    </row>
    <row r="33" spans="2:26" x14ac:dyDescent="0.2">
      <c r="B33" s="15"/>
      <c r="D33" s="16"/>
      <c r="W33" s="16"/>
      <c r="X33" s="16"/>
      <c r="Y33" s="16"/>
      <c r="Z33" s="16"/>
    </row>
    <row r="34" spans="2:26" x14ac:dyDescent="0.2">
      <c r="B34" s="15"/>
      <c r="D34" s="16"/>
      <c r="W34" s="16"/>
      <c r="X34" s="16"/>
      <c r="Y34" s="16"/>
      <c r="Z34" s="16"/>
    </row>
    <row r="35" spans="2:26" x14ac:dyDescent="0.2">
      <c r="B35" s="15"/>
      <c r="D35" s="16"/>
      <c r="W35" s="16"/>
      <c r="X35" s="16"/>
      <c r="Y35" s="16"/>
      <c r="Z35" s="16"/>
    </row>
    <row r="36" spans="2:26" x14ac:dyDescent="0.2">
      <c r="B36" s="15"/>
      <c r="D36" s="16"/>
      <c r="W36" s="16"/>
      <c r="X36" s="16"/>
      <c r="Y36" s="16"/>
      <c r="Z36" s="16"/>
    </row>
    <row r="37" spans="2:26" x14ac:dyDescent="0.2">
      <c r="B37" s="15"/>
      <c r="D37" s="16"/>
      <c r="W37" s="16"/>
      <c r="X37" s="16"/>
      <c r="Y37" s="16"/>
      <c r="Z37" s="16"/>
    </row>
    <row r="38" spans="2:26" x14ac:dyDescent="0.2">
      <c r="B38" s="15"/>
      <c r="D38" s="16"/>
      <c r="W38" s="16"/>
      <c r="X38" s="16"/>
      <c r="Y38" s="16"/>
      <c r="Z38" s="16"/>
    </row>
    <row r="39" spans="2:26" x14ac:dyDescent="0.2">
      <c r="B39" s="15"/>
      <c r="D39" s="16"/>
      <c r="W39" s="16"/>
      <c r="X39" s="16"/>
      <c r="Y39" s="16"/>
      <c r="Z39" s="16"/>
    </row>
    <row r="40" spans="2:26" x14ac:dyDescent="0.2">
      <c r="B40" s="15"/>
      <c r="D40" s="16"/>
      <c r="W40" s="16"/>
      <c r="X40" s="16"/>
      <c r="Y40" s="16"/>
      <c r="Z40" s="16"/>
    </row>
    <row r="41" spans="2:26" x14ac:dyDescent="0.2">
      <c r="B41" s="15"/>
      <c r="D41" s="16"/>
      <c r="W41" s="16"/>
      <c r="X41" s="16"/>
      <c r="Y41" s="16"/>
      <c r="Z41" s="16"/>
    </row>
    <row r="42" spans="2:26" x14ac:dyDescent="0.2">
      <c r="B42" s="15"/>
      <c r="D42" s="16"/>
      <c r="W42" s="16"/>
      <c r="X42" s="16"/>
      <c r="Y42" s="16"/>
      <c r="Z42" s="16"/>
    </row>
    <row r="43" spans="2:26" x14ac:dyDescent="0.2">
      <c r="B43" s="15"/>
      <c r="D43" s="16"/>
      <c r="W43" s="16"/>
      <c r="X43" s="16"/>
      <c r="Y43" s="16"/>
      <c r="Z43" s="16"/>
    </row>
    <row r="44" spans="2:26" x14ac:dyDescent="0.2">
      <c r="B44" s="15"/>
      <c r="D44" s="16"/>
      <c r="W44" s="16"/>
      <c r="X44" s="16"/>
      <c r="Y44" s="16"/>
      <c r="Z44" s="16"/>
    </row>
    <row r="45" spans="2:26" x14ac:dyDescent="0.2">
      <c r="B45" s="15"/>
      <c r="D45" s="16"/>
      <c r="W45" s="16"/>
      <c r="X45" s="16"/>
      <c r="Y45" s="16"/>
      <c r="Z45" s="16"/>
    </row>
    <row r="46" spans="2:26" x14ac:dyDescent="0.2">
      <c r="B46" s="15"/>
      <c r="D46" s="16"/>
      <c r="W46" s="16"/>
      <c r="X46" s="16"/>
      <c r="Y46" s="16"/>
      <c r="Z46" s="16"/>
    </row>
    <row r="47" spans="2:26" x14ac:dyDescent="0.2">
      <c r="B47" s="15"/>
      <c r="D47" s="16"/>
      <c r="W47" s="16"/>
      <c r="X47" s="16"/>
      <c r="Y47" s="16"/>
      <c r="Z47" s="16"/>
    </row>
    <row r="48" spans="2:26" x14ac:dyDescent="0.2">
      <c r="B48" s="15"/>
      <c r="D48" s="16"/>
      <c r="W48" s="16"/>
      <c r="X48" s="16"/>
      <c r="Y48" s="16"/>
      <c r="Z48" s="16"/>
    </row>
    <row r="49" spans="2:26" x14ac:dyDescent="0.2">
      <c r="B49" s="15"/>
      <c r="D49" s="16"/>
      <c r="W49" s="16"/>
      <c r="X49" s="16"/>
      <c r="Y49" s="16"/>
      <c r="Z49" s="16"/>
    </row>
    <row r="50" spans="2:26" x14ac:dyDescent="0.2">
      <c r="B50" s="15"/>
      <c r="D50" s="16"/>
      <c r="W50" s="16"/>
      <c r="X50" s="16"/>
      <c r="Y50" s="16"/>
      <c r="Z50" s="16"/>
    </row>
    <row r="51" spans="2:26" x14ac:dyDescent="0.2">
      <c r="B51" s="15"/>
      <c r="D51" s="16"/>
      <c r="W51" s="16"/>
      <c r="X51" s="16"/>
      <c r="Y51" s="16"/>
      <c r="Z51" s="16"/>
    </row>
    <row r="52" spans="2:26" x14ac:dyDescent="0.2">
      <c r="B52" s="15"/>
      <c r="D52" s="16"/>
      <c r="W52" s="16"/>
      <c r="X52" s="16"/>
      <c r="Y52" s="16"/>
      <c r="Z52" s="16"/>
    </row>
    <row r="53" spans="2:26" x14ac:dyDescent="0.2">
      <c r="B53" s="15"/>
      <c r="D53" s="16"/>
      <c r="W53" s="16"/>
      <c r="X53" s="16"/>
      <c r="Y53" s="16"/>
      <c r="Z53" s="16"/>
    </row>
    <row r="54" spans="2:26" x14ac:dyDescent="0.2">
      <c r="B54" s="15"/>
      <c r="D54" s="16"/>
      <c r="W54" s="16"/>
      <c r="X54" s="16"/>
      <c r="Y54" s="16"/>
      <c r="Z54" s="16"/>
    </row>
    <row r="55" spans="2:26" x14ac:dyDescent="0.2">
      <c r="B55" s="15"/>
      <c r="D55" s="16"/>
      <c r="W55" s="16"/>
      <c r="X55" s="16"/>
      <c r="Y55" s="16"/>
      <c r="Z55" s="16"/>
    </row>
    <row r="56" spans="2:26" x14ac:dyDescent="0.2">
      <c r="B56" s="15"/>
      <c r="D56" s="16"/>
      <c r="W56" s="16"/>
      <c r="X56" s="16"/>
      <c r="Y56" s="16"/>
      <c r="Z56" s="16"/>
    </row>
    <row r="57" spans="2:26" x14ac:dyDescent="0.2">
      <c r="B57" s="15"/>
      <c r="D57" s="16"/>
      <c r="W57" s="16"/>
      <c r="X57" s="16"/>
      <c r="Y57" s="16"/>
      <c r="Z57" s="16"/>
    </row>
    <row r="58" spans="2:26" x14ac:dyDescent="0.2">
      <c r="B58" s="15"/>
      <c r="D58" s="16"/>
      <c r="W58" s="16"/>
      <c r="X58" s="16"/>
      <c r="Y58" s="16"/>
      <c r="Z58" s="16"/>
    </row>
    <row r="59" spans="2:26" x14ac:dyDescent="0.2">
      <c r="B59" s="15"/>
      <c r="D59" s="16"/>
      <c r="W59" s="16"/>
      <c r="X59" s="16"/>
      <c r="Y59" s="16"/>
      <c r="Z59" s="16"/>
    </row>
    <row r="60" spans="2:26" x14ac:dyDescent="0.2">
      <c r="B60" s="15"/>
      <c r="D60" s="16"/>
      <c r="W60" s="16"/>
      <c r="X60" s="16"/>
      <c r="Y60" s="16"/>
      <c r="Z60" s="16"/>
    </row>
    <row r="61" spans="2:26" x14ac:dyDescent="0.2">
      <c r="B61" s="15"/>
      <c r="D61" s="16"/>
      <c r="W61" s="16"/>
      <c r="X61" s="16"/>
      <c r="Y61" s="16"/>
      <c r="Z61" s="16"/>
    </row>
    <row r="62" spans="2:26" x14ac:dyDescent="0.2">
      <c r="B62" s="15"/>
      <c r="D62" s="16"/>
      <c r="W62" s="16"/>
      <c r="X62" s="16"/>
      <c r="Y62" s="16"/>
      <c r="Z62" s="16"/>
    </row>
    <row r="63" spans="2:26" x14ac:dyDescent="0.2">
      <c r="B63" s="15"/>
      <c r="D63" s="16"/>
      <c r="W63" s="16"/>
      <c r="X63" s="16"/>
      <c r="Y63" s="16"/>
      <c r="Z63" s="16"/>
    </row>
    <row r="64" spans="2:26" x14ac:dyDescent="0.2">
      <c r="B64" s="15"/>
      <c r="D64" s="16"/>
      <c r="W64" s="16"/>
      <c r="X64" s="16"/>
      <c r="Y64" s="16"/>
      <c r="Z64" s="16"/>
    </row>
    <row r="65" spans="2:26" x14ac:dyDescent="0.2">
      <c r="B65" s="15"/>
      <c r="D65" s="16"/>
      <c r="W65" s="16"/>
      <c r="X65" s="16"/>
      <c r="Y65" s="16"/>
      <c r="Z65" s="16"/>
    </row>
    <row r="66" spans="2:26" x14ac:dyDescent="0.2">
      <c r="B66" s="15"/>
      <c r="D66" s="16"/>
      <c r="W66" s="16"/>
      <c r="X66" s="16"/>
      <c r="Y66" s="16"/>
      <c r="Z66" s="16"/>
    </row>
    <row r="67" spans="2:26" x14ac:dyDescent="0.2">
      <c r="B67" s="15"/>
      <c r="D67" s="16"/>
      <c r="W67" s="16"/>
      <c r="X67" s="16"/>
      <c r="Y67" s="16"/>
      <c r="Z67" s="16"/>
    </row>
    <row r="68" spans="2:26" x14ac:dyDescent="0.2">
      <c r="B68" s="15"/>
      <c r="D68" s="16"/>
      <c r="W68" s="16"/>
      <c r="X68" s="16"/>
      <c r="Y68" s="16"/>
      <c r="Z68" s="16"/>
    </row>
    <row r="69" spans="2:26" x14ac:dyDescent="0.2">
      <c r="B69" s="15"/>
      <c r="D69" s="16"/>
      <c r="W69" s="16"/>
      <c r="X69" s="16"/>
      <c r="Y69" s="16"/>
      <c r="Z69" s="16"/>
    </row>
    <row r="70" spans="2:26" x14ac:dyDescent="0.2">
      <c r="B70" s="15"/>
      <c r="D70" s="16"/>
      <c r="W70" s="16"/>
      <c r="X70" s="16"/>
      <c r="Y70" s="16"/>
      <c r="Z70" s="16"/>
    </row>
    <row r="71" spans="2:26" x14ac:dyDescent="0.2">
      <c r="B71" s="15"/>
      <c r="D71" s="16"/>
      <c r="W71" s="16"/>
      <c r="X71" s="16"/>
      <c r="Y71" s="16"/>
      <c r="Z71" s="16"/>
    </row>
    <row r="72" spans="2:26" x14ac:dyDescent="0.2">
      <c r="B72" s="15"/>
      <c r="D72" s="16"/>
      <c r="W72" s="16"/>
      <c r="X72" s="16"/>
      <c r="Y72" s="16"/>
      <c r="Z72" s="16"/>
    </row>
    <row r="73" spans="2:26" x14ac:dyDescent="0.2">
      <c r="B73" s="15"/>
      <c r="D73" s="16"/>
      <c r="W73" s="16"/>
      <c r="X73" s="16"/>
      <c r="Y73" s="16"/>
      <c r="Z73" s="16"/>
    </row>
    <row r="74" spans="2:26" x14ac:dyDescent="0.2">
      <c r="B74" s="15"/>
      <c r="D74" s="16"/>
      <c r="W74" s="16"/>
      <c r="X74" s="16"/>
      <c r="Y74" s="16"/>
      <c r="Z74" s="16"/>
    </row>
    <row r="75" spans="2:26" x14ac:dyDescent="0.2">
      <c r="B75" s="15"/>
      <c r="D75" s="16"/>
      <c r="W75" s="16"/>
      <c r="X75" s="16"/>
      <c r="Y75" s="16"/>
      <c r="Z75" s="16"/>
    </row>
    <row r="76" spans="2:26" x14ac:dyDescent="0.2">
      <c r="B76" s="15"/>
      <c r="D76" s="16"/>
      <c r="W76" s="16"/>
      <c r="X76" s="16"/>
      <c r="Y76" s="16"/>
      <c r="Z76" s="16"/>
    </row>
    <row r="77" spans="2:26" x14ac:dyDescent="0.2">
      <c r="B77" s="15"/>
      <c r="D77" s="16"/>
      <c r="W77" s="16"/>
      <c r="X77" s="16"/>
      <c r="Y77" s="16"/>
      <c r="Z77" s="16"/>
    </row>
    <row r="78" spans="2:26" x14ac:dyDescent="0.2">
      <c r="B78" s="15"/>
      <c r="D78" s="16"/>
      <c r="W78" s="16"/>
      <c r="X78" s="16"/>
      <c r="Y78" s="16"/>
      <c r="Z78" s="16"/>
    </row>
    <row r="79" spans="2:26" x14ac:dyDescent="0.2">
      <c r="B79" s="15"/>
      <c r="D79" s="16"/>
      <c r="W79" s="16"/>
      <c r="X79" s="16"/>
      <c r="Y79" s="16"/>
      <c r="Z79" s="16"/>
    </row>
    <row r="80" spans="2:26" x14ac:dyDescent="0.2">
      <c r="B80" s="15"/>
      <c r="D80" s="16"/>
      <c r="W80" s="16"/>
      <c r="X80" s="16"/>
      <c r="Y80" s="16"/>
      <c r="Z80" s="16"/>
    </row>
  </sheetData>
  <mergeCells count="1">
    <mergeCell ref="N2:O2"/>
  </mergeCells>
  <phoneticPr fontId="1"/>
  <dataValidations count="1">
    <dataValidation type="list" allowBlank="1" showInputMessage="1" showErrorMessage="1" sqref="N2:O2" xr:uid="{B7475C73-F926-46E0-AABC-8FB30336FF05}">
      <formula1>"広島,巨人,ヤクルト,DeNA,阪神,中日,ソフトバンク,西武,日本ハム,ロッテ,オリックス,楽天"</formula1>
    </dataValidation>
  </dataValidations>
  <hyperlinks>
    <hyperlink ref="B3" r:id="rId1" xr:uid="{3F60A526-B36D-4649-9CD6-E5D9E6144107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設定</vt:lpstr>
      <vt:lpstr>デザイン</vt:lpstr>
      <vt:lpstr>広島</vt:lpstr>
      <vt:lpstr>巨人</vt:lpstr>
      <vt:lpstr>ヤクルト</vt:lpstr>
      <vt:lpstr>DeNA</vt:lpstr>
      <vt:lpstr>阪神</vt:lpstr>
      <vt:lpstr>中日</vt:lpstr>
      <vt:lpstr>ソフトバンク</vt:lpstr>
      <vt:lpstr>西武</vt:lpstr>
      <vt:lpstr>日本ハム</vt:lpstr>
      <vt:lpstr>ロッテ</vt:lpstr>
      <vt:lpstr>オリックス</vt:lpstr>
      <vt:lpstr>楽天</vt:lpstr>
      <vt:lpstr>セ</vt:lpstr>
      <vt:lpstr>パ</vt:lpstr>
      <vt:lpstr>A</vt:lpstr>
      <vt:lpstr>B</vt:lpstr>
      <vt:lpstr>成績仮置き場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巧 前田</cp:lastModifiedBy>
  <cp:lastPrinted>2019-09-01T06:09:10Z</cp:lastPrinted>
  <dcterms:created xsi:type="dcterms:W3CDTF">2019-09-01T05:04:12Z</dcterms:created>
  <dcterms:modified xsi:type="dcterms:W3CDTF">2024-02-21T13:10:22Z</dcterms:modified>
</cp:coreProperties>
</file>