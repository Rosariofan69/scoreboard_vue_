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617A103E-2F12-4521-B217-D9ABF86222B6}" xr6:coauthVersionLast="47" xr6:coauthVersionMax="47" xr10:uidLastSave="{00000000-0000-0000-0000-000000000000}"/>
  <bookViews>
    <workbookView xWindow="-108" yWindow="-108" windowWidth="23256" windowHeight="12576" tabRatio="877" activeTab="9" xr2:uid="{00000000-000D-0000-FFFF-FFFF00000000}"/>
  </bookViews>
  <sheets>
    <sheet name="設定" sheetId="24" r:id="rId1"/>
    <sheet name="広島" sheetId="3" r:id="rId2"/>
    <sheet name="巨人" sheetId="5" r:id="rId3"/>
    <sheet name="ヤクルト" sheetId="6" r:id="rId4"/>
    <sheet name="DeNA" sheetId="7" r:id="rId5"/>
    <sheet name="阪神" sheetId="8" r:id="rId6"/>
    <sheet name="中日" sheetId="9" r:id="rId7"/>
    <sheet name="ソフトバンク" sheetId="10" r:id="rId8"/>
    <sheet name="西武" sheetId="11" r:id="rId9"/>
    <sheet name="日本ハム" sheetId="12" r:id="rId10"/>
    <sheet name="ロッテ" sheetId="13" r:id="rId11"/>
    <sheet name="オリックス" sheetId="14" r:id="rId12"/>
    <sheet name="楽天" sheetId="19" r:id="rId13"/>
    <sheet name="セ" sheetId="21" r:id="rId14"/>
    <sheet name="パ" sheetId="22" r:id="rId15"/>
    <sheet name="A" sheetId="16" r:id="rId16"/>
    <sheet name="B" sheetId="17" r:id="rId17"/>
    <sheet name="成績仮置き場" sheetId="23" r:id="rId18"/>
  </sheets>
  <functionGroups builtInGroupCount="19"/>
  <definedNames>
    <definedName name="Aname1">#REF!</definedName>
    <definedName name="Aname2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B5" i="12" l="1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4" i="12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4" i="3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4" i="12"/>
  <c r="H2" i="12" a="1"/>
  <c r="H2" i="12" s="1"/>
  <c r="I2" i="12" a="1"/>
  <c r="I2" i="12" s="1"/>
  <c r="L5" i="12"/>
  <c r="M5" i="12"/>
  <c r="L6" i="12"/>
  <c r="M6" i="12"/>
  <c r="L7" i="12"/>
  <c r="M7" i="12"/>
  <c r="L8" i="12"/>
  <c r="M8" i="12"/>
  <c r="L9" i="12"/>
  <c r="M9" i="12"/>
  <c r="L10" i="12"/>
  <c r="M10" i="12"/>
  <c r="L11" i="12"/>
  <c r="M11" i="12"/>
  <c r="L12" i="12"/>
  <c r="M12" i="12" s="1"/>
  <c r="L13" i="12"/>
  <c r="M13" i="12"/>
  <c r="L14" i="12"/>
  <c r="M14" i="12"/>
  <c r="L15" i="12"/>
  <c r="M15" i="12"/>
  <c r="L16" i="12"/>
  <c r="M16" i="12" s="1"/>
  <c r="L17" i="12"/>
  <c r="M17" i="12"/>
  <c r="L18" i="12"/>
  <c r="M18" i="12"/>
  <c r="L19" i="12"/>
  <c r="M19" i="12" s="1"/>
  <c r="L20" i="12"/>
  <c r="M20" i="12"/>
  <c r="L21" i="12"/>
  <c r="M21" i="12" s="1"/>
  <c r="L22" i="12"/>
  <c r="M22" i="12" s="1"/>
  <c r="L23" i="12"/>
  <c r="M23" i="12" s="1"/>
  <c r="L24" i="12"/>
  <c r="M24" i="12"/>
  <c r="L25" i="12"/>
  <c r="M25" i="12" s="1"/>
  <c r="L26" i="12"/>
  <c r="M26" i="12"/>
  <c r="L27" i="12"/>
  <c r="M27" i="12" s="1"/>
  <c r="L28" i="12"/>
  <c r="M28" i="12"/>
  <c r="L29" i="12"/>
  <c r="M29" i="12"/>
  <c r="L30" i="12"/>
  <c r="M30" i="12" s="1"/>
  <c r="L31" i="12"/>
  <c r="M31" i="12"/>
  <c r="L32" i="12"/>
  <c r="M32" i="12"/>
  <c r="L33" i="12"/>
  <c r="M33" i="12"/>
  <c r="L34" i="12"/>
  <c r="M34" i="12" s="1"/>
  <c r="L35" i="12"/>
  <c r="M35" i="12"/>
  <c r="L36" i="12"/>
  <c r="M36" i="12"/>
  <c r="L37" i="12"/>
  <c r="M37" i="12"/>
  <c r="L38" i="12"/>
  <c r="M38" i="12" s="1"/>
  <c r="L39" i="12"/>
  <c r="M39" i="12" s="1"/>
  <c r="L40" i="12"/>
  <c r="M40" i="12" s="1"/>
  <c r="L41" i="12"/>
  <c r="M41" i="12"/>
  <c r="L42" i="12"/>
  <c r="M42" i="12" s="1"/>
  <c r="L43" i="12"/>
  <c r="M43" i="12"/>
  <c r="L44" i="12"/>
  <c r="M44" i="12"/>
  <c r="L45" i="12"/>
  <c r="M45" i="12"/>
  <c r="L46" i="12"/>
  <c r="M46" i="12" s="1"/>
  <c r="L47" i="12"/>
  <c r="M47" i="12" s="1"/>
  <c r="L48" i="12"/>
  <c r="M48" i="12"/>
  <c r="L49" i="12"/>
  <c r="M49" i="12"/>
  <c r="L50" i="12"/>
  <c r="M50" i="12"/>
  <c r="L51" i="12"/>
  <c r="M51" i="12" s="1"/>
  <c r="L52" i="12"/>
  <c r="M52" i="12" s="1"/>
  <c r="L53" i="12"/>
  <c r="M53" i="12"/>
  <c r="L54" i="12"/>
  <c r="M54" i="12"/>
  <c r="L55" i="12"/>
  <c r="M55" i="12"/>
  <c r="L56" i="12"/>
  <c r="M56" i="12" s="1"/>
  <c r="L57" i="12"/>
  <c r="M57" i="12"/>
  <c r="L58" i="12"/>
  <c r="M58" i="12"/>
  <c r="L59" i="12"/>
  <c r="M59" i="12" s="1"/>
  <c r="L60" i="12"/>
  <c r="M60" i="12" s="1"/>
  <c r="L61" i="12"/>
  <c r="M61" i="12"/>
  <c r="L62" i="12"/>
  <c r="M62" i="12" s="1"/>
  <c r="L63" i="12"/>
  <c r="M63" i="12" s="1"/>
  <c r="L64" i="12"/>
  <c r="M64" i="12" s="1"/>
  <c r="L65" i="12"/>
  <c r="M65" i="12"/>
  <c r="L66" i="12"/>
  <c r="M66" i="12"/>
  <c r="L67" i="12"/>
  <c r="M67" i="12" s="1"/>
  <c r="L68" i="12"/>
  <c r="M68" i="12"/>
  <c r="L69" i="12"/>
  <c r="M69" i="12"/>
  <c r="L70" i="12"/>
  <c r="M70" i="12"/>
  <c r="L71" i="12"/>
  <c r="M71" i="12"/>
  <c r="L72" i="12"/>
  <c r="M72" i="12"/>
  <c r="L73" i="12"/>
  <c r="M73" i="12"/>
  <c r="L74" i="12"/>
  <c r="M74" i="12"/>
  <c r="L75" i="12"/>
  <c r="M75" i="12" s="1"/>
  <c r="L76" i="12"/>
  <c r="M76" i="12" s="1"/>
  <c r="L77" i="12"/>
  <c r="M77" i="12" s="1"/>
  <c r="L78" i="12"/>
  <c r="M78" i="12" s="1"/>
  <c r="L79" i="12"/>
  <c r="M79" i="12" s="1"/>
  <c r="L80" i="12"/>
  <c r="M80" i="12" s="1"/>
  <c r="L81" i="12"/>
  <c r="M81" i="12" s="1"/>
  <c r="L82" i="12"/>
  <c r="M82" i="12" s="1"/>
  <c r="L83" i="12"/>
  <c r="M83" i="12" s="1"/>
  <c r="L84" i="12"/>
  <c r="M84" i="12"/>
  <c r="L85" i="12"/>
  <c r="M85" i="12"/>
  <c r="L86" i="12"/>
  <c r="M86" i="12" s="1"/>
  <c r="L87" i="12"/>
  <c r="M87" i="12" s="1"/>
  <c r="L88" i="12"/>
  <c r="M88" i="12"/>
  <c r="L89" i="12"/>
  <c r="M89" i="12" s="1"/>
  <c r="L90" i="12"/>
  <c r="M90" i="12"/>
  <c r="L91" i="12"/>
  <c r="M91" i="12" s="1"/>
  <c r="L92" i="12"/>
  <c r="M92" i="12" s="1"/>
  <c r="L93" i="12"/>
  <c r="M93" i="12"/>
  <c r="L94" i="12"/>
  <c r="M94" i="12"/>
  <c r="L95" i="12"/>
  <c r="M95" i="12" s="1"/>
  <c r="L96" i="12"/>
  <c r="M96" i="12" s="1"/>
  <c r="L97" i="12"/>
  <c r="M97" i="12"/>
  <c r="L98" i="12"/>
  <c r="M98" i="12" s="1"/>
  <c r="L99" i="12"/>
  <c r="M99" i="12" s="1"/>
  <c r="L100" i="12"/>
  <c r="M100" i="12" s="1"/>
  <c r="L101" i="12"/>
  <c r="M101" i="12" s="1"/>
  <c r="L102" i="12"/>
  <c r="M102" i="12"/>
  <c r="L103" i="12"/>
  <c r="M103" i="12" s="1"/>
  <c r="L104" i="12"/>
  <c r="M104" i="12" s="1"/>
  <c r="L105" i="12"/>
  <c r="M105" i="12" s="1"/>
  <c r="L106" i="12"/>
  <c r="M106" i="12"/>
  <c r="L107" i="12"/>
  <c r="M107" i="12" s="1"/>
  <c r="L108" i="12"/>
  <c r="M108" i="12"/>
  <c r="L109" i="12"/>
  <c r="M109" i="12" s="1"/>
  <c r="L110" i="12"/>
  <c r="M110" i="12" s="1"/>
  <c r="L111" i="12"/>
  <c r="M111" i="12" s="1"/>
  <c r="L112" i="12"/>
  <c r="M112" i="12" s="1"/>
  <c r="L113" i="12"/>
  <c r="M113" i="12"/>
  <c r="L114" i="12"/>
  <c r="M114" i="12" s="1"/>
  <c r="L115" i="12"/>
  <c r="M115" i="12" s="1"/>
  <c r="L116" i="12"/>
  <c r="M116" i="12"/>
  <c r="L117" i="12"/>
  <c r="M117" i="12"/>
  <c r="L118" i="12"/>
  <c r="M118" i="12" s="1"/>
  <c r="L119" i="12"/>
  <c r="M119" i="12" s="1"/>
  <c r="L120" i="12"/>
  <c r="M120" i="12"/>
  <c r="L121" i="12"/>
  <c r="M121" i="12" s="1"/>
  <c r="L122" i="12"/>
  <c r="M122" i="12" s="1"/>
  <c r="L123" i="12"/>
  <c r="M123" i="12" s="1"/>
  <c r="L124" i="12"/>
  <c r="M124" i="12" s="1"/>
  <c r="L125" i="12"/>
  <c r="M125" i="12"/>
  <c r="L126" i="12"/>
  <c r="M126" i="12"/>
  <c r="L127" i="12"/>
  <c r="M127" i="12" s="1"/>
  <c r="L128" i="12"/>
  <c r="M128" i="12" s="1"/>
  <c r="L129" i="12"/>
  <c r="M129" i="12"/>
  <c r="L130" i="12"/>
  <c r="M130" i="12" s="1"/>
  <c r="L131" i="12"/>
  <c r="M131" i="12" s="1"/>
  <c r="L132" i="12"/>
  <c r="M132" i="12" s="1"/>
  <c r="L133" i="12"/>
  <c r="M133" i="12" s="1"/>
  <c r="L134" i="12"/>
  <c r="M134" i="12"/>
  <c r="D5" i="8"/>
  <c r="K5" i="8"/>
  <c r="L5" i="8"/>
  <c r="D6" i="8"/>
  <c r="K6" i="8"/>
  <c r="L6" i="8" s="1"/>
  <c r="D7" i="8"/>
  <c r="K7" i="8"/>
  <c r="L7" i="8" s="1"/>
  <c r="D8" i="8"/>
  <c r="K8" i="8"/>
  <c r="L8" i="8"/>
  <c r="D9" i="8"/>
  <c r="K9" i="8"/>
  <c r="L9" i="8" s="1"/>
  <c r="D10" i="8"/>
  <c r="K10" i="8"/>
  <c r="L10" i="8" s="1"/>
  <c r="D11" i="8"/>
  <c r="K11" i="8"/>
  <c r="L11" i="8" s="1"/>
  <c r="D12" i="8"/>
  <c r="K12" i="8"/>
  <c r="L12" i="8" s="1"/>
  <c r="D13" i="8"/>
  <c r="K13" i="8"/>
  <c r="L13" i="8" s="1"/>
  <c r="D14" i="8"/>
  <c r="K14" i="8"/>
  <c r="L14" i="8" s="1"/>
  <c r="D15" i="8"/>
  <c r="K15" i="8"/>
  <c r="L15" i="8" s="1"/>
  <c r="D16" i="8"/>
  <c r="K16" i="8"/>
  <c r="L16" i="8" s="1"/>
  <c r="D17" i="8"/>
  <c r="K17" i="8"/>
  <c r="L17" i="8" s="1"/>
  <c r="D18" i="8"/>
  <c r="K18" i="8"/>
  <c r="L18" i="8" s="1"/>
  <c r="D19" i="8"/>
  <c r="K19" i="8"/>
  <c r="L19" i="8" s="1"/>
  <c r="D20" i="8"/>
  <c r="K20" i="8"/>
  <c r="L20" i="8"/>
  <c r="D21" i="8"/>
  <c r="K21" i="8"/>
  <c r="L21" i="8"/>
  <c r="D22" i="8"/>
  <c r="K22" i="8"/>
  <c r="L22" i="8" s="1"/>
  <c r="D23" i="8"/>
  <c r="K23" i="8"/>
  <c r="L23" i="8" s="1"/>
  <c r="D24" i="8"/>
  <c r="K24" i="8"/>
  <c r="L24" i="8" s="1"/>
  <c r="D25" i="8"/>
  <c r="K25" i="8"/>
  <c r="L25" i="8" s="1"/>
  <c r="D26" i="8"/>
  <c r="K26" i="8"/>
  <c r="L26" i="8" s="1"/>
  <c r="D27" i="8"/>
  <c r="K27" i="8"/>
  <c r="L27" i="8" s="1"/>
  <c r="D28" i="8"/>
  <c r="K28" i="8"/>
  <c r="L28" i="8" s="1"/>
  <c r="D29" i="8"/>
  <c r="K29" i="8"/>
  <c r="L29" i="8" s="1"/>
  <c r="D30" i="8"/>
  <c r="K30" i="8"/>
  <c r="L30" i="8" s="1"/>
  <c r="D31" i="8"/>
  <c r="K31" i="8"/>
  <c r="L31" i="8" s="1"/>
  <c r="D32" i="8"/>
  <c r="K32" i="8"/>
  <c r="L32" i="8" s="1"/>
  <c r="D33" i="8"/>
  <c r="K33" i="8"/>
  <c r="L33" i="8"/>
  <c r="D34" i="8"/>
  <c r="K34" i="8"/>
  <c r="L34" i="8" s="1"/>
  <c r="D35" i="8"/>
  <c r="K35" i="8"/>
  <c r="L35" i="8" s="1"/>
  <c r="D36" i="8"/>
  <c r="K36" i="8"/>
  <c r="L36" i="8"/>
  <c r="D37" i="8"/>
  <c r="K37" i="8"/>
  <c r="L37" i="8"/>
  <c r="D38" i="8"/>
  <c r="K38" i="8"/>
  <c r="L38" i="8" s="1"/>
  <c r="D39" i="8"/>
  <c r="K39" i="8"/>
  <c r="L39" i="8" s="1"/>
  <c r="D40" i="8"/>
  <c r="K40" i="8"/>
  <c r="L40" i="8" s="1"/>
  <c r="D41" i="8"/>
  <c r="K41" i="8"/>
  <c r="L41" i="8" s="1"/>
  <c r="D42" i="8"/>
  <c r="K42" i="8"/>
  <c r="L42" i="8" s="1"/>
  <c r="D43" i="8"/>
  <c r="K43" i="8"/>
  <c r="L43" i="8" s="1"/>
  <c r="D44" i="8"/>
  <c r="K44" i="8"/>
  <c r="L44" i="8" s="1"/>
  <c r="D45" i="8"/>
  <c r="K45" i="8"/>
  <c r="L45" i="8"/>
  <c r="D46" i="8"/>
  <c r="K46" i="8"/>
  <c r="L46" i="8" s="1"/>
  <c r="D47" i="8"/>
  <c r="K47" i="8"/>
  <c r="L47" i="8" s="1"/>
  <c r="D48" i="8"/>
  <c r="K48" i="8"/>
  <c r="L48" i="8" s="1"/>
  <c r="D49" i="8"/>
  <c r="K49" i="8"/>
  <c r="L49" i="8"/>
  <c r="D50" i="8"/>
  <c r="K50" i="8"/>
  <c r="L50" i="8" s="1"/>
  <c r="D51" i="8"/>
  <c r="K51" i="8"/>
  <c r="L51" i="8" s="1"/>
  <c r="D52" i="8"/>
  <c r="K52" i="8"/>
  <c r="L52" i="8"/>
  <c r="D53" i="8"/>
  <c r="K53" i="8"/>
  <c r="L53" i="8"/>
  <c r="D54" i="8"/>
  <c r="K54" i="8"/>
  <c r="L54" i="8" s="1"/>
  <c r="D55" i="8"/>
  <c r="K55" i="8"/>
  <c r="L55" i="8" s="1"/>
  <c r="D56" i="8"/>
  <c r="K56" i="8"/>
  <c r="L56" i="8" s="1"/>
  <c r="D57" i="8"/>
  <c r="K57" i="8"/>
  <c r="L57" i="8" s="1"/>
  <c r="D58" i="8"/>
  <c r="K58" i="8"/>
  <c r="L58" i="8" s="1"/>
  <c r="D59" i="8"/>
  <c r="K59" i="8"/>
  <c r="L59" i="8" s="1"/>
  <c r="D60" i="8"/>
  <c r="K60" i="8"/>
  <c r="L60" i="8" s="1"/>
  <c r="D61" i="8"/>
  <c r="K61" i="8"/>
  <c r="L61" i="8"/>
  <c r="D62" i="8"/>
  <c r="K62" i="8"/>
  <c r="L62" i="8" s="1"/>
  <c r="D63" i="8"/>
  <c r="K63" i="8"/>
  <c r="L63" i="8" s="1"/>
  <c r="D64" i="8"/>
  <c r="K64" i="8"/>
  <c r="L64" i="8" s="1"/>
  <c r="D65" i="8"/>
  <c r="K65" i="8"/>
  <c r="L65" i="8" s="1"/>
  <c r="D66" i="8"/>
  <c r="K66" i="8"/>
  <c r="L66" i="8" s="1"/>
  <c r="D67" i="8"/>
  <c r="K67" i="8"/>
  <c r="L67" i="8" s="1"/>
  <c r="D68" i="8"/>
  <c r="K68" i="8"/>
  <c r="L68" i="8"/>
  <c r="D69" i="8"/>
  <c r="K69" i="8"/>
  <c r="L69" i="8" s="1"/>
  <c r="D70" i="8"/>
  <c r="K70" i="8"/>
  <c r="L70" i="8" s="1"/>
  <c r="D71" i="8"/>
  <c r="K71" i="8"/>
  <c r="L71" i="8" s="1"/>
  <c r="D72" i="8"/>
  <c r="K72" i="8"/>
  <c r="L72" i="8" s="1"/>
  <c r="D73" i="8"/>
  <c r="K73" i="8"/>
  <c r="L73" i="8" s="1"/>
  <c r="D74" i="8"/>
  <c r="K74" i="8"/>
  <c r="L74" i="8" s="1"/>
  <c r="D75" i="8"/>
  <c r="K75" i="8"/>
  <c r="L75" i="8" s="1"/>
  <c r="D76" i="8"/>
  <c r="K76" i="8"/>
  <c r="L76" i="8"/>
  <c r="D77" i="8"/>
  <c r="K77" i="8"/>
  <c r="L77" i="8" s="1"/>
  <c r="D78" i="8"/>
  <c r="K78" i="8"/>
  <c r="L78" i="8"/>
  <c r="D79" i="8"/>
  <c r="K79" i="8"/>
  <c r="L79" i="8" s="1"/>
  <c r="D80" i="8"/>
  <c r="K80" i="8"/>
  <c r="L80" i="8" s="1"/>
  <c r="D81" i="8"/>
  <c r="K81" i="8"/>
  <c r="L81" i="8" s="1"/>
  <c r="D82" i="8"/>
  <c r="K82" i="8"/>
  <c r="L82" i="8" s="1"/>
  <c r="D83" i="8"/>
  <c r="K83" i="8"/>
  <c r="L83" i="8" s="1"/>
  <c r="D84" i="8"/>
  <c r="K84" i="8"/>
  <c r="L84" i="8"/>
  <c r="D85" i="8"/>
  <c r="K85" i="8"/>
  <c r="L85" i="8" s="1"/>
  <c r="D86" i="8"/>
  <c r="K86" i="8"/>
  <c r="L86" i="8" s="1"/>
  <c r="D87" i="8"/>
  <c r="K87" i="8"/>
  <c r="L87" i="8" s="1"/>
  <c r="D88" i="8"/>
  <c r="K88" i="8"/>
  <c r="L88" i="8" s="1"/>
  <c r="D89" i="8"/>
  <c r="K89" i="8"/>
  <c r="L89" i="8" s="1"/>
  <c r="D90" i="8"/>
  <c r="K90" i="8"/>
  <c r="L90" i="8" s="1"/>
  <c r="D91" i="8"/>
  <c r="K91" i="8"/>
  <c r="L91" i="8" s="1"/>
  <c r="D92" i="8"/>
  <c r="K92" i="8"/>
  <c r="L92" i="8"/>
  <c r="D93" i="8"/>
  <c r="K93" i="8"/>
  <c r="L93" i="8" s="1"/>
  <c r="D94" i="8"/>
  <c r="K94" i="8"/>
  <c r="L94" i="8"/>
  <c r="D95" i="8"/>
  <c r="K95" i="8"/>
  <c r="L95" i="8" s="1"/>
  <c r="D96" i="8"/>
  <c r="K96" i="8"/>
  <c r="L96" i="8" s="1"/>
  <c r="D97" i="8"/>
  <c r="K97" i="8"/>
  <c r="L97" i="8" s="1"/>
  <c r="D98" i="8"/>
  <c r="K98" i="8"/>
  <c r="L98" i="8" s="1"/>
  <c r="D99" i="8"/>
  <c r="K99" i="8"/>
  <c r="L99" i="8" s="1"/>
  <c r="D100" i="8"/>
  <c r="K100" i="8"/>
  <c r="L100" i="8"/>
  <c r="D101" i="8"/>
  <c r="K101" i="8"/>
  <c r="L101" i="8" s="1"/>
  <c r="D102" i="8"/>
  <c r="K102" i="8"/>
  <c r="L102" i="8" s="1"/>
  <c r="D103" i="8"/>
  <c r="K103" i="8"/>
  <c r="L103" i="8" s="1"/>
  <c r="D104" i="8"/>
  <c r="K104" i="8"/>
  <c r="L104" i="8" s="1"/>
  <c r="D105" i="8"/>
  <c r="K105" i="8"/>
  <c r="L105" i="8" s="1"/>
  <c r="D106" i="8"/>
  <c r="K106" i="8"/>
  <c r="L106" i="8" s="1"/>
  <c r="D107" i="8"/>
  <c r="K107" i="8"/>
  <c r="L107" i="8" s="1"/>
  <c r="D108" i="8"/>
  <c r="K108" i="8"/>
  <c r="L108" i="8"/>
  <c r="D109" i="8"/>
  <c r="K109" i="8"/>
  <c r="L109" i="8" s="1"/>
  <c r="D110" i="8"/>
  <c r="K110" i="8"/>
  <c r="L110" i="8"/>
  <c r="D111" i="8"/>
  <c r="K111" i="8"/>
  <c r="L111" i="8" s="1"/>
  <c r="D112" i="8"/>
  <c r="K112" i="8"/>
  <c r="L112" i="8" s="1"/>
  <c r="D113" i="8"/>
  <c r="K113" i="8"/>
  <c r="L113" i="8" s="1"/>
  <c r="D114" i="8"/>
  <c r="K114" i="8"/>
  <c r="L114" i="8" s="1"/>
  <c r="D115" i="8"/>
  <c r="K115" i="8"/>
  <c r="L115" i="8" s="1"/>
  <c r="D116" i="8"/>
  <c r="K116" i="8"/>
  <c r="L116" i="8"/>
  <c r="D117" i="8"/>
  <c r="K117" i="8"/>
  <c r="L117" i="8" s="1"/>
  <c r="D118" i="8"/>
  <c r="K118" i="8"/>
  <c r="L118" i="8" s="1"/>
  <c r="D119" i="8"/>
  <c r="K119" i="8"/>
  <c r="L119" i="8" s="1"/>
  <c r="D120" i="8"/>
  <c r="K120" i="8"/>
  <c r="L120" i="8" s="1"/>
  <c r="D121" i="8"/>
  <c r="K121" i="8"/>
  <c r="L121" i="8" s="1"/>
  <c r="D122" i="8"/>
  <c r="K122" i="8"/>
  <c r="L122" i="8" s="1"/>
  <c r="D123" i="8"/>
  <c r="K123" i="8"/>
  <c r="L123" i="8" s="1"/>
  <c r="D124" i="8"/>
  <c r="K124" i="8"/>
  <c r="L124" i="8"/>
  <c r="D125" i="8"/>
  <c r="K125" i="8"/>
  <c r="L125" i="8" s="1"/>
  <c r="D126" i="8"/>
  <c r="K126" i="8"/>
  <c r="L126" i="8"/>
  <c r="D127" i="8"/>
  <c r="K127" i="8"/>
  <c r="L127" i="8" s="1"/>
  <c r="D128" i="8"/>
  <c r="K128" i="8"/>
  <c r="L128" i="8" s="1"/>
  <c r="D129" i="8"/>
  <c r="K129" i="8"/>
  <c r="L129" i="8"/>
  <c r="D130" i="8"/>
  <c r="K130" i="8"/>
  <c r="L130" i="8" s="1"/>
  <c r="D131" i="8"/>
  <c r="K131" i="8"/>
  <c r="L131" i="8" s="1"/>
  <c r="D132" i="8"/>
  <c r="K132" i="8"/>
  <c r="L132" i="8"/>
  <c r="D133" i="8"/>
  <c r="K133" i="8"/>
  <c r="L133" i="8"/>
  <c r="D134" i="8"/>
  <c r="K134" i="8"/>
  <c r="L134" i="8" s="1"/>
  <c r="K5" i="14"/>
  <c r="L5" i="14" s="1"/>
  <c r="K6" i="14"/>
  <c r="L6" i="14"/>
  <c r="K7" i="14"/>
  <c r="L7" i="14" s="1"/>
  <c r="K8" i="14"/>
  <c r="L8" i="14"/>
  <c r="K9" i="14"/>
  <c r="L9" i="14" s="1"/>
  <c r="K10" i="14"/>
  <c r="L10" i="14"/>
  <c r="K11" i="14"/>
  <c r="L11" i="14" s="1"/>
  <c r="K12" i="14"/>
  <c r="L12" i="14" s="1"/>
  <c r="K13" i="14"/>
  <c r="L13" i="14" s="1"/>
  <c r="K14" i="14"/>
  <c r="L14" i="14" s="1"/>
  <c r="K15" i="14"/>
  <c r="L15" i="14" s="1"/>
  <c r="K16" i="14"/>
  <c r="L16" i="14"/>
  <c r="K17" i="14"/>
  <c r="L17" i="14" s="1"/>
  <c r="K18" i="14"/>
  <c r="L18" i="14"/>
  <c r="K19" i="14"/>
  <c r="L19" i="14" s="1"/>
  <c r="K20" i="14"/>
  <c r="L20" i="14" s="1"/>
  <c r="K21" i="14"/>
  <c r="L21" i="14" s="1"/>
  <c r="K22" i="14"/>
  <c r="L22" i="14"/>
  <c r="K23" i="14"/>
  <c r="L23" i="14" s="1"/>
  <c r="K24" i="14"/>
  <c r="L24" i="14"/>
  <c r="K25" i="14"/>
  <c r="L25" i="14" s="1"/>
  <c r="K26" i="14"/>
  <c r="L26" i="14"/>
  <c r="K27" i="14"/>
  <c r="L27" i="14" s="1"/>
  <c r="K28" i="14"/>
  <c r="L28" i="14" s="1"/>
  <c r="K29" i="14"/>
  <c r="L29" i="14" s="1"/>
  <c r="K30" i="14"/>
  <c r="L30" i="14" s="1"/>
  <c r="K31" i="14"/>
  <c r="L31" i="14" s="1"/>
  <c r="K32" i="14"/>
  <c r="L32" i="14"/>
  <c r="K33" i="14"/>
  <c r="L33" i="14" s="1"/>
  <c r="K34" i="14"/>
  <c r="L34" i="14"/>
  <c r="K35" i="14"/>
  <c r="L35" i="14" s="1"/>
  <c r="K36" i="14"/>
  <c r="L36" i="14" s="1"/>
  <c r="K37" i="14"/>
  <c r="L37" i="14"/>
  <c r="K38" i="14"/>
  <c r="L38" i="14" s="1"/>
  <c r="K39" i="14"/>
  <c r="L39" i="14" s="1"/>
  <c r="K40" i="14"/>
  <c r="L40" i="14" s="1"/>
  <c r="K41" i="14"/>
  <c r="L41" i="14"/>
  <c r="K42" i="14"/>
  <c r="L42" i="14"/>
  <c r="K43" i="14"/>
  <c r="L43" i="14"/>
  <c r="K44" i="14"/>
  <c r="L44" i="14" s="1"/>
  <c r="K45" i="14"/>
  <c r="L45" i="14"/>
  <c r="K46" i="14"/>
  <c r="L46" i="14"/>
  <c r="K47" i="14"/>
  <c r="L47" i="14"/>
  <c r="K48" i="14"/>
  <c r="L48" i="14" s="1"/>
  <c r="K49" i="14"/>
  <c r="L49" i="14"/>
  <c r="K50" i="14"/>
  <c r="L50" i="14"/>
  <c r="K51" i="14"/>
  <c r="L51" i="14"/>
  <c r="K52" i="14"/>
  <c r="L52" i="14" s="1"/>
  <c r="K53" i="14"/>
  <c r="L53" i="14"/>
  <c r="K54" i="14"/>
  <c r="L54" i="14"/>
  <c r="K55" i="14"/>
  <c r="L55" i="14"/>
  <c r="K56" i="14"/>
  <c r="L56" i="14" s="1"/>
  <c r="K57" i="14"/>
  <c r="L57" i="14"/>
  <c r="K58" i="14"/>
  <c r="L58" i="14"/>
  <c r="K59" i="14"/>
  <c r="L59" i="14"/>
  <c r="K60" i="14"/>
  <c r="L60" i="14" s="1"/>
  <c r="K61" i="14"/>
  <c r="L61" i="14"/>
  <c r="K62" i="14"/>
  <c r="L62" i="14"/>
  <c r="K63" i="14"/>
  <c r="L63" i="14"/>
  <c r="K64" i="14"/>
  <c r="L64" i="14" s="1"/>
  <c r="K65" i="14"/>
  <c r="L65" i="14"/>
  <c r="K66" i="14"/>
  <c r="L66" i="14"/>
  <c r="K67" i="14"/>
  <c r="L67" i="14"/>
  <c r="K68" i="14"/>
  <c r="L68" i="14" s="1"/>
  <c r="K69" i="14"/>
  <c r="L69" i="14"/>
  <c r="K70" i="14"/>
  <c r="L70" i="14"/>
  <c r="K71" i="14"/>
  <c r="L71" i="14"/>
  <c r="K72" i="14"/>
  <c r="L72" i="14" s="1"/>
  <c r="K73" i="14"/>
  <c r="L73" i="14"/>
  <c r="K74" i="14"/>
  <c r="L74" i="14"/>
  <c r="K75" i="14"/>
  <c r="L75" i="14"/>
  <c r="K76" i="14"/>
  <c r="L76" i="14" s="1"/>
  <c r="K77" i="14"/>
  <c r="L77" i="14"/>
  <c r="K78" i="14"/>
  <c r="L78" i="14"/>
  <c r="K79" i="14"/>
  <c r="L79" i="14"/>
  <c r="K80" i="14"/>
  <c r="L80" i="14" s="1"/>
  <c r="K81" i="14"/>
  <c r="L81" i="14"/>
  <c r="K82" i="14"/>
  <c r="L82" i="14"/>
  <c r="K83" i="14"/>
  <c r="L83" i="14"/>
  <c r="K84" i="14"/>
  <c r="L84" i="14" s="1"/>
  <c r="K85" i="14"/>
  <c r="L85" i="14"/>
  <c r="K86" i="14"/>
  <c r="L86" i="14"/>
  <c r="K87" i="14"/>
  <c r="L87" i="14"/>
  <c r="K88" i="14"/>
  <c r="L88" i="14" s="1"/>
  <c r="K89" i="14"/>
  <c r="L89" i="14"/>
  <c r="K90" i="14"/>
  <c r="L90" i="14"/>
  <c r="K91" i="14"/>
  <c r="L91" i="14"/>
  <c r="K92" i="14"/>
  <c r="L92" i="14" s="1"/>
  <c r="K93" i="14"/>
  <c r="L93" i="14"/>
  <c r="K94" i="14"/>
  <c r="L94" i="14"/>
  <c r="K95" i="14"/>
  <c r="L95" i="14"/>
  <c r="K96" i="14"/>
  <c r="L96" i="14" s="1"/>
  <c r="K97" i="14"/>
  <c r="L97" i="14"/>
  <c r="K98" i="14"/>
  <c r="L98" i="14"/>
  <c r="K99" i="14"/>
  <c r="L99" i="14"/>
  <c r="K100" i="14"/>
  <c r="L100" i="14" s="1"/>
  <c r="K101" i="14"/>
  <c r="L101" i="14"/>
  <c r="K102" i="14"/>
  <c r="L102" i="14"/>
  <c r="K103" i="14"/>
  <c r="L103" i="14"/>
  <c r="K104" i="14"/>
  <c r="L104" i="14" s="1"/>
  <c r="K105" i="14"/>
  <c r="L105" i="14"/>
  <c r="K106" i="14"/>
  <c r="L106" i="14"/>
  <c r="K107" i="14"/>
  <c r="L107" i="14"/>
  <c r="K108" i="14"/>
  <c r="L108" i="14" s="1"/>
  <c r="K109" i="14"/>
  <c r="L109" i="14"/>
  <c r="K110" i="14"/>
  <c r="L110" i="14"/>
  <c r="K111" i="14"/>
  <c r="L111" i="14"/>
  <c r="K112" i="14"/>
  <c r="L112" i="14" s="1"/>
  <c r="K113" i="14"/>
  <c r="L113" i="14"/>
  <c r="K114" i="14"/>
  <c r="L114" i="14"/>
  <c r="K115" i="14"/>
  <c r="L115" i="14"/>
  <c r="K116" i="14"/>
  <c r="L116" i="14" s="1"/>
  <c r="K117" i="14"/>
  <c r="L117" i="14"/>
  <c r="K118" i="14"/>
  <c r="L118" i="14"/>
  <c r="K119" i="14"/>
  <c r="L119" i="14"/>
  <c r="K120" i="14"/>
  <c r="L120" i="14" s="1"/>
  <c r="K121" i="14"/>
  <c r="L121" i="14"/>
  <c r="K122" i="14"/>
  <c r="L122" i="14"/>
  <c r="K123" i="14"/>
  <c r="L123" i="14"/>
  <c r="K124" i="14"/>
  <c r="L124" i="14" s="1"/>
  <c r="K125" i="14"/>
  <c r="L125" i="14"/>
  <c r="K126" i="14"/>
  <c r="L126" i="14"/>
  <c r="K127" i="14"/>
  <c r="L127" i="14"/>
  <c r="K128" i="14"/>
  <c r="L128" i="14" s="1"/>
  <c r="K129" i="14"/>
  <c r="L129" i="14"/>
  <c r="K130" i="14"/>
  <c r="L130" i="14"/>
  <c r="K131" i="14"/>
  <c r="L131" i="14"/>
  <c r="K132" i="14"/>
  <c r="L132" i="14" s="1"/>
  <c r="K133" i="14"/>
  <c r="L133" i="14"/>
  <c r="K134" i="14"/>
  <c r="L134" i="14"/>
  <c r="K5" i="19"/>
  <c r="L5" i="19"/>
  <c r="K6" i="19"/>
  <c r="L6" i="19" s="1"/>
  <c r="K7" i="19"/>
  <c r="L7" i="19"/>
  <c r="K8" i="19"/>
  <c r="L8" i="19"/>
  <c r="K9" i="19"/>
  <c r="L9" i="19"/>
  <c r="K10" i="19"/>
  <c r="L10" i="19" s="1"/>
  <c r="K11" i="19"/>
  <c r="L11" i="19"/>
  <c r="K12" i="19"/>
  <c r="L12" i="19"/>
  <c r="K13" i="19"/>
  <c r="L13" i="19"/>
  <c r="K14" i="19"/>
  <c r="L14" i="19" s="1"/>
  <c r="K15" i="19"/>
  <c r="L15" i="19"/>
  <c r="K16" i="19"/>
  <c r="L16" i="19"/>
  <c r="K17" i="19"/>
  <c r="L17" i="19"/>
  <c r="K18" i="19"/>
  <c r="L18" i="19" s="1"/>
  <c r="K19" i="19"/>
  <c r="L19" i="19"/>
  <c r="K20" i="19"/>
  <c r="L20" i="19"/>
  <c r="K21" i="19"/>
  <c r="L21" i="19"/>
  <c r="K22" i="19"/>
  <c r="L22" i="19" s="1"/>
  <c r="K23" i="19"/>
  <c r="L23" i="19"/>
  <c r="K24" i="19"/>
  <c r="L24" i="19"/>
  <c r="K25" i="19"/>
  <c r="L25" i="19"/>
  <c r="K26" i="19"/>
  <c r="L26" i="19" s="1"/>
  <c r="K27" i="19"/>
  <c r="L27" i="19"/>
  <c r="K28" i="19"/>
  <c r="L28" i="19"/>
  <c r="K29" i="19"/>
  <c r="L29" i="19"/>
  <c r="K30" i="19"/>
  <c r="L30" i="19" s="1"/>
  <c r="K31" i="19"/>
  <c r="L31" i="19"/>
  <c r="K32" i="19"/>
  <c r="L32" i="19"/>
  <c r="K33" i="19"/>
  <c r="L33" i="19"/>
  <c r="K34" i="19"/>
  <c r="L34" i="19" s="1"/>
  <c r="K35" i="19"/>
  <c r="L35" i="19"/>
  <c r="K36" i="19"/>
  <c r="L36" i="19"/>
  <c r="K37" i="19"/>
  <c r="L37" i="19"/>
  <c r="K38" i="19"/>
  <c r="L38" i="19" s="1"/>
  <c r="K39" i="19"/>
  <c r="L39" i="19"/>
  <c r="K40" i="19"/>
  <c r="L40" i="19"/>
  <c r="K41" i="19"/>
  <c r="L41" i="19"/>
  <c r="K42" i="19"/>
  <c r="L42" i="19" s="1"/>
  <c r="K43" i="19"/>
  <c r="L43" i="19"/>
  <c r="K44" i="19"/>
  <c r="L44" i="19"/>
  <c r="K45" i="19"/>
  <c r="L45" i="19"/>
  <c r="K46" i="19"/>
  <c r="L46" i="19" s="1"/>
  <c r="K47" i="19"/>
  <c r="L47" i="19"/>
  <c r="K48" i="19"/>
  <c r="L48" i="19"/>
  <c r="K49" i="19"/>
  <c r="L49" i="19"/>
  <c r="K50" i="19"/>
  <c r="L50" i="19" s="1"/>
  <c r="K51" i="19"/>
  <c r="L51" i="19"/>
  <c r="K52" i="19"/>
  <c r="L52" i="19"/>
  <c r="K53" i="19"/>
  <c r="L53" i="19"/>
  <c r="K54" i="19"/>
  <c r="L54" i="19" s="1"/>
  <c r="K55" i="19"/>
  <c r="L55" i="19"/>
  <c r="K56" i="19"/>
  <c r="L56" i="19"/>
  <c r="K57" i="19"/>
  <c r="L57" i="19"/>
  <c r="K58" i="19"/>
  <c r="L58" i="19" s="1"/>
  <c r="K59" i="19"/>
  <c r="L59" i="19"/>
  <c r="K60" i="19"/>
  <c r="L60" i="19"/>
  <c r="K61" i="19"/>
  <c r="L61" i="19"/>
  <c r="K62" i="19"/>
  <c r="L62" i="19" s="1"/>
  <c r="K63" i="19"/>
  <c r="L63" i="19"/>
  <c r="K64" i="19"/>
  <c r="L64" i="19"/>
  <c r="K65" i="19"/>
  <c r="L65" i="19"/>
  <c r="K66" i="19"/>
  <c r="L66" i="19" s="1"/>
  <c r="K67" i="19"/>
  <c r="L67" i="19"/>
  <c r="K68" i="19"/>
  <c r="L68" i="19"/>
  <c r="K69" i="19"/>
  <c r="L69" i="19"/>
  <c r="K70" i="19"/>
  <c r="L70" i="19" s="1"/>
  <c r="K71" i="19"/>
  <c r="L71" i="19"/>
  <c r="K72" i="19"/>
  <c r="L72" i="19"/>
  <c r="K73" i="19"/>
  <c r="L73" i="19"/>
  <c r="K74" i="19"/>
  <c r="L74" i="19" s="1"/>
  <c r="K75" i="19"/>
  <c r="L75" i="19"/>
  <c r="K76" i="19"/>
  <c r="L76" i="19"/>
  <c r="K77" i="19"/>
  <c r="L77" i="19"/>
  <c r="K78" i="19"/>
  <c r="L78" i="19" s="1"/>
  <c r="K79" i="19"/>
  <c r="L79" i="19"/>
  <c r="K80" i="19"/>
  <c r="L80" i="19"/>
  <c r="K81" i="19"/>
  <c r="L81" i="19"/>
  <c r="K82" i="19"/>
  <c r="L82" i="19" s="1"/>
  <c r="K83" i="19"/>
  <c r="L83" i="19"/>
  <c r="K84" i="19"/>
  <c r="L84" i="19"/>
  <c r="K85" i="19"/>
  <c r="L85" i="19"/>
  <c r="K86" i="19"/>
  <c r="L86" i="19" s="1"/>
  <c r="K87" i="19"/>
  <c r="L87" i="19"/>
  <c r="K88" i="19"/>
  <c r="L88" i="19"/>
  <c r="K89" i="19"/>
  <c r="L89" i="19"/>
  <c r="K90" i="19"/>
  <c r="L90" i="19" s="1"/>
  <c r="K91" i="19"/>
  <c r="L91" i="19"/>
  <c r="K92" i="19"/>
  <c r="L92" i="19"/>
  <c r="K93" i="19"/>
  <c r="L93" i="19"/>
  <c r="K94" i="19"/>
  <c r="L94" i="19" s="1"/>
  <c r="K95" i="19"/>
  <c r="L95" i="19"/>
  <c r="K96" i="19"/>
  <c r="L96" i="19"/>
  <c r="K97" i="19"/>
  <c r="L97" i="19"/>
  <c r="K98" i="19"/>
  <c r="L98" i="19" s="1"/>
  <c r="K99" i="19"/>
  <c r="L99" i="19"/>
  <c r="K100" i="19"/>
  <c r="L100" i="19"/>
  <c r="K101" i="19"/>
  <c r="L101" i="19"/>
  <c r="K102" i="19"/>
  <c r="L102" i="19" s="1"/>
  <c r="K103" i="19"/>
  <c r="L103" i="19"/>
  <c r="K104" i="19"/>
  <c r="L104" i="19"/>
  <c r="K105" i="19"/>
  <c r="L105" i="19"/>
  <c r="K106" i="19"/>
  <c r="L106" i="19" s="1"/>
  <c r="K107" i="19"/>
  <c r="L107" i="19"/>
  <c r="K108" i="19"/>
  <c r="L108" i="19"/>
  <c r="K109" i="19"/>
  <c r="L109" i="19"/>
  <c r="K110" i="19"/>
  <c r="L110" i="19" s="1"/>
  <c r="K111" i="19"/>
  <c r="L111" i="19"/>
  <c r="K112" i="19"/>
  <c r="L112" i="19"/>
  <c r="K113" i="19"/>
  <c r="L113" i="19"/>
  <c r="K114" i="19"/>
  <c r="L114" i="19" s="1"/>
  <c r="K115" i="19"/>
  <c r="L115" i="19"/>
  <c r="K116" i="19"/>
  <c r="L116" i="19"/>
  <c r="K117" i="19"/>
  <c r="L117" i="19"/>
  <c r="K118" i="19"/>
  <c r="L118" i="19" s="1"/>
  <c r="K119" i="19"/>
  <c r="L119" i="19"/>
  <c r="K120" i="19"/>
  <c r="L120" i="19"/>
  <c r="K121" i="19"/>
  <c r="L121" i="19"/>
  <c r="K122" i="19"/>
  <c r="L122" i="19" s="1"/>
  <c r="K123" i="19"/>
  <c r="L123" i="19"/>
  <c r="K124" i="19"/>
  <c r="L124" i="19"/>
  <c r="K125" i="19"/>
  <c r="L125" i="19"/>
  <c r="K126" i="19"/>
  <c r="L126" i="19" s="1"/>
  <c r="K127" i="19"/>
  <c r="L127" i="19"/>
  <c r="K128" i="19"/>
  <c r="L128" i="19"/>
  <c r="K129" i="19"/>
  <c r="L129" i="19"/>
  <c r="K130" i="19"/>
  <c r="L130" i="19" s="1"/>
  <c r="K131" i="19"/>
  <c r="L131" i="19"/>
  <c r="K132" i="19"/>
  <c r="L132" i="19"/>
  <c r="K133" i="19"/>
  <c r="L133" i="19"/>
  <c r="K134" i="19"/>
  <c r="L134" i="19" s="1"/>
  <c r="K88" i="5"/>
  <c r="L88" i="5"/>
  <c r="K89" i="5"/>
  <c r="L89" i="5"/>
  <c r="K90" i="5"/>
  <c r="L90" i="5"/>
  <c r="K91" i="5"/>
  <c r="L91" i="5" s="1"/>
  <c r="K92" i="5"/>
  <c r="L92" i="5" s="1"/>
  <c r="K93" i="5"/>
  <c r="L93" i="5" s="1"/>
  <c r="K94" i="5"/>
  <c r="L94" i="5" s="1"/>
  <c r="K95" i="5"/>
  <c r="L95" i="5" s="1"/>
  <c r="K96" i="5"/>
  <c r="L96" i="5" s="1"/>
  <c r="K97" i="5"/>
  <c r="L97" i="5"/>
  <c r="K98" i="5"/>
  <c r="L98" i="5"/>
  <c r="K99" i="5"/>
  <c r="L99" i="5" s="1"/>
  <c r="K100" i="5"/>
  <c r="L100" i="5"/>
  <c r="K101" i="5"/>
  <c r="L101" i="5" s="1"/>
  <c r="K102" i="5"/>
  <c r="L102" i="5" s="1"/>
  <c r="K103" i="5"/>
  <c r="L103" i="5" s="1"/>
  <c r="K104" i="5"/>
  <c r="L104" i="5"/>
  <c r="K105" i="5"/>
  <c r="L105" i="5" s="1"/>
  <c r="K106" i="5"/>
  <c r="L106" i="5"/>
  <c r="K107" i="5"/>
  <c r="L107" i="5" s="1"/>
  <c r="K108" i="5"/>
  <c r="L108" i="5" s="1"/>
  <c r="K109" i="5"/>
  <c r="L109" i="5" s="1"/>
  <c r="K110" i="5"/>
  <c r="L110" i="5" s="1"/>
  <c r="K111" i="5"/>
  <c r="L111" i="5" s="1"/>
  <c r="K112" i="5"/>
  <c r="L112" i="5"/>
  <c r="K113" i="5"/>
  <c r="L113" i="5"/>
  <c r="K114" i="5"/>
  <c r="L114" i="5" s="1"/>
  <c r="K115" i="5"/>
  <c r="L115" i="5" s="1"/>
  <c r="K116" i="5"/>
  <c r="L116" i="5" s="1"/>
  <c r="K117" i="5"/>
  <c r="L117" i="5" s="1"/>
  <c r="K118" i="5"/>
  <c r="L118" i="5"/>
  <c r="K119" i="5"/>
  <c r="L119" i="5" s="1"/>
  <c r="K120" i="5"/>
  <c r="L120" i="5"/>
  <c r="K121" i="5"/>
  <c r="L121" i="5"/>
  <c r="K122" i="5"/>
  <c r="L122" i="5"/>
  <c r="K123" i="5"/>
  <c r="L123" i="5" s="1"/>
  <c r="K124" i="5"/>
  <c r="L124" i="5" s="1"/>
  <c r="K125" i="5"/>
  <c r="L125" i="5" s="1"/>
  <c r="K126" i="5"/>
  <c r="L126" i="5" s="1"/>
  <c r="K127" i="5"/>
  <c r="L127" i="5" s="1"/>
  <c r="K128" i="5"/>
  <c r="L128" i="5" s="1"/>
  <c r="K129" i="5"/>
  <c r="L129" i="5"/>
  <c r="K130" i="5"/>
  <c r="L130" i="5"/>
  <c r="K131" i="5"/>
  <c r="L131" i="5" s="1"/>
  <c r="K132" i="5"/>
  <c r="L132" i="5" s="1"/>
  <c r="K133" i="5"/>
  <c r="L133" i="5" s="1"/>
  <c r="K134" i="5"/>
  <c r="L134" i="5" s="1"/>
  <c r="K135" i="5"/>
  <c r="L135" i="5" s="1"/>
  <c r="K136" i="5"/>
  <c r="L136" i="5"/>
  <c r="K137" i="5"/>
  <c r="L137" i="5" s="1"/>
  <c r="K138" i="5"/>
  <c r="L138" i="5"/>
  <c r="K139" i="5"/>
  <c r="L139" i="5" s="1"/>
  <c r="K140" i="5"/>
  <c r="L140" i="5" s="1"/>
  <c r="K5" i="5"/>
  <c r="L5" i="5"/>
  <c r="K6" i="5"/>
  <c r="L6" i="5" s="1"/>
  <c r="K7" i="5"/>
  <c r="L7" i="5" s="1"/>
  <c r="K8" i="5"/>
  <c r="L8" i="5" s="1"/>
  <c r="K9" i="5"/>
  <c r="L9" i="5"/>
  <c r="K10" i="5"/>
  <c r="L10" i="5" s="1"/>
  <c r="K11" i="5"/>
  <c r="L11" i="5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/>
  <c r="K18" i="5"/>
  <c r="L18" i="5"/>
  <c r="K19" i="5"/>
  <c r="L19" i="5" s="1"/>
  <c r="K20" i="5"/>
  <c r="L20" i="5" s="1"/>
  <c r="K21" i="5"/>
  <c r="L21" i="5" s="1"/>
  <c r="K22" i="5"/>
  <c r="L22" i="5" s="1"/>
  <c r="K23" i="5"/>
  <c r="L23" i="5"/>
  <c r="K24" i="5"/>
  <c r="L24" i="5" s="1"/>
  <c r="K25" i="5"/>
  <c r="L25" i="5"/>
  <c r="K26" i="5"/>
  <c r="L26" i="5"/>
  <c r="K27" i="5"/>
  <c r="L27" i="5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/>
  <c r="K34" i="5"/>
  <c r="L34" i="5"/>
  <c r="K35" i="5"/>
  <c r="L35" i="5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/>
  <c r="K42" i="5"/>
  <c r="L42" i="5" s="1"/>
  <c r="K43" i="5"/>
  <c r="L43" i="5"/>
  <c r="K44" i="5"/>
  <c r="L44" i="5" s="1"/>
  <c r="K45" i="5"/>
  <c r="L45" i="5" s="1"/>
  <c r="K46" i="5"/>
  <c r="L46" i="5"/>
  <c r="K47" i="5"/>
  <c r="L47" i="5" s="1"/>
  <c r="K48" i="5"/>
  <c r="L48" i="5" s="1"/>
  <c r="K49" i="5"/>
  <c r="L49" i="5"/>
  <c r="K50" i="5"/>
  <c r="L50" i="5"/>
  <c r="K51" i="5"/>
  <c r="L51" i="5"/>
  <c r="K52" i="5"/>
  <c r="L52" i="5" s="1"/>
  <c r="K53" i="5"/>
  <c r="L53" i="5" s="1"/>
  <c r="K54" i="5"/>
  <c r="L54" i="5" s="1"/>
  <c r="K55" i="5"/>
  <c r="L55" i="5"/>
  <c r="K56" i="5"/>
  <c r="L56" i="5" s="1"/>
  <c r="K57" i="5"/>
  <c r="L57" i="5"/>
  <c r="K58" i="5"/>
  <c r="L58" i="5"/>
  <c r="K59" i="5"/>
  <c r="L59" i="5"/>
  <c r="K60" i="5"/>
  <c r="L60" i="5" s="1"/>
  <c r="K61" i="5"/>
  <c r="L61" i="5" s="1"/>
  <c r="K62" i="5"/>
  <c r="L62" i="5" s="1"/>
  <c r="K63" i="5"/>
  <c r="L63" i="5" s="1"/>
  <c r="K64" i="5"/>
  <c r="L64" i="5" s="1"/>
  <c r="K65" i="5"/>
  <c r="L65" i="5" s="1"/>
  <c r="K66" i="5"/>
  <c r="L66" i="5" s="1"/>
  <c r="K67" i="5"/>
  <c r="L67" i="5" s="1"/>
  <c r="K68" i="5"/>
  <c r="L68" i="5" s="1"/>
  <c r="K69" i="5"/>
  <c r="L69" i="5" s="1"/>
  <c r="K70" i="5"/>
  <c r="L70" i="5"/>
  <c r="K71" i="5"/>
  <c r="L71" i="5" s="1"/>
  <c r="K72" i="5"/>
  <c r="L72" i="5" s="1"/>
  <c r="K73" i="5"/>
  <c r="L73" i="5" s="1"/>
  <c r="K74" i="5"/>
  <c r="L74" i="5" s="1"/>
  <c r="K75" i="5"/>
  <c r="L75" i="5"/>
  <c r="K76" i="5"/>
  <c r="L76" i="5" s="1"/>
  <c r="K77" i="5"/>
  <c r="L77" i="5" s="1"/>
  <c r="K78" i="5"/>
  <c r="L78" i="5" s="1"/>
  <c r="K79" i="5"/>
  <c r="L79" i="5" s="1"/>
  <c r="K80" i="5"/>
  <c r="L80" i="5" s="1"/>
  <c r="K81" i="5"/>
  <c r="L81" i="5" s="1"/>
  <c r="K82" i="5"/>
  <c r="L82" i="5" s="1"/>
  <c r="K83" i="5"/>
  <c r="L83" i="5" s="1"/>
  <c r="K84" i="5"/>
  <c r="L84" i="5" s="1"/>
  <c r="K85" i="5"/>
  <c r="L85" i="5" s="1"/>
  <c r="K5" i="6"/>
  <c r="L5" i="6" s="1"/>
  <c r="K6" i="6"/>
  <c r="L6" i="6" s="1"/>
  <c r="K7" i="6"/>
  <c r="L7" i="6" s="1"/>
  <c r="K8" i="6"/>
  <c r="L8" i="6" s="1"/>
  <c r="K9" i="6"/>
  <c r="L9" i="6" s="1"/>
  <c r="K10" i="6"/>
  <c r="L10" i="6"/>
  <c r="K11" i="6"/>
  <c r="L11" i="6" s="1"/>
  <c r="K12" i="6"/>
  <c r="L12" i="6" s="1"/>
  <c r="K13" i="6"/>
  <c r="L13" i="6" s="1"/>
  <c r="K14" i="6"/>
  <c r="L14" i="6"/>
  <c r="K15" i="6"/>
  <c r="L15" i="6" s="1"/>
  <c r="K16" i="6"/>
  <c r="L16" i="6" s="1"/>
  <c r="K17" i="6"/>
  <c r="L17" i="6" s="1"/>
  <c r="K18" i="6"/>
  <c r="L18" i="6"/>
  <c r="K19" i="6"/>
  <c r="L19" i="6" s="1"/>
  <c r="K20" i="6"/>
  <c r="L20" i="6" s="1"/>
  <c r="K21" i="6"/>
  <c r="L21" i="6" s="1"/>
  <c r="K22" i="6"/>
  <c r="L22" i="6" s="1"/>
  <c r="K23" i="6"/>
  <c r="L23" i="6" s="1"/>
  <c r="K24" i="6"/>
  <c r="L24" i="6" s="1"/>
  <c r="K25" i="6"/>
  <c r="L25" i="6" s="1"/>
  <c r="K26" i="6"/>
  <c r="L26" i="6"/>
  <c r="K27" i="6"/>
  <c r="L27" i="6" s="1"/>
  <c r="K28" i="6"/>
  <c r="L28" i="6" s="1"/>
  <c r="K29" i="6"/>
  <c r="L29" i="6" s="1"/>
  <c r="K30" i="6"/>
  <c r="L30" i="6"/>
  <c r="K31" i="6"/>
  <c r="L31" i="6" s="1"/>
  <c r="K32" i="6"/>
  <c r="L32" i="6"/>
  <c r="K33" i="6"/>
  <c r="L33" i="6" s="1"/>
  <c r="K34" i="6"/>
  <c r="L34" i="6"/>
  <c r="K35" i="6"/>
  <c r="L35" i="6" s="1"/>
  <c r="K36" i="6"/>
  <c r="L36" i="6" s="1"/>
  <c r="K37" i="6"/>
  <c r="L37" i="6" s="1"/>
  <c r="K38" i="6"/>
  <c r="L38" i="6"/>
  <c r="K39" i="6"/>
  <c r="L39" i="6" s="1"/>
  <c r="K40" i="6"/>
  <c r="L40" i="6" s="1"/>
  <c r="K41" i="6"/>
  <c r="L41" i="6" s="1"/>
  <c r="K42" i="6"/>
  <c r="L42" i="6"/>
  <c r="K43" i="6"/>
  <c r="L43" i="6" s="1"/>
  <c r="K44" i="6"/>
  <c r="L44" i="6" s="1"/>
  <c r="K45" i="6"/>
  <c r="L45" i="6" s="1"/>
  <c r="K46" i="6"/>
  <c r="L46" i="6"/>
  <c r="K47" i="6"/>
  <c r="L47" i="6" s="1"/>
  <c r="K48" i="6"/>
  <c r="L48" i="6" s="1"/>
  <c r="K49" i="6"/>
  <c r="L49" i="6" s="1"/>
  <c r="K50" i="6"/>
  <c r="L50" i="6"/>
  <c r="K51" i="6"/>
  <c r="L51" i="6" s="1"/>
  <c r="K52" i="6"/>
  <c r="L52" i="6" s="1"/>
  <c r="K53" i="6"/>
  <c r="L53" i="6" s="1"/>
  <c r="K54" i="6"/>
  <c r="L54" i="6" s="1"/>
  <c r="K55" i="6"/>
  <c r="L55" i="6" s="1"/>
  <c r="K56" i="6"/>
  <c r="L56" i="6" s="1"/>
  <c r="K57" i="6"/>
  <c r="L57" i="6" s="1"/>
  <c r="K58" i="6"/>
  <c r="L58" i="6"/>
  <c r="K59" i="6"/>
  <c r="L59" i="6" s="1"/>
  <c r="K60" i="6"/>
  <c r="L60" i="6" s="1"/>
  <c r="K61" i="6"/>
  <c r="L61" i="6" s="1"/>
  <c r="K62" i="6"/>
  <c r="L62" i="6"/>
  <c r="K63" i="6"/>
  <c r="L63" i="6" s="1"/>
  <c r="K64" i="6"/>
  <c r="L64" i="6"/>
  <c r="K65" i="6"/>
  <c r="L65" i="6" s="1"/>
  <c r="K66" i="6"/>
  <c r="L66" i="6"/>
  <c r="K67" i="6"/>
  <c r="L67" i="6" s="1"/>
  <c r="K68" i="6"/>
  <c r="L68" i="6" s="1"/>
  <c r="K69" i="6"/>
  <c r="L69" i="6" s="1"/>
  <c r="K70" i="6"/>
  <c r="L70" i="6"/>
  <c r="K71" i="6"/>
  <c r="L71" i="6" s="1"/>
  <c r="K72" i="6"/>
  <c r="L72" i="6" s="1"/>
  <c r="K73" i="6"/>
  <c r="L73" i="6" s="1"/>
  <c r="K74" i="6"/>
  <c r="L74" i="6"/>
  <c r="K75" i="6"/>
  <c r="L75" i="6" s="1"/>
  <c r="K76" i="6"/>
  <c r="L76" i="6"/>
  <c r="K77" i="6"/>
  <c r="L77" i="6" s="1"/>
  <c r="K78" i="6"/>
  <c r="L78" i="6" s="1"/>
  <c r="K79" i="6"/>
  <c r="L79" i="6" s="1"/>
  <c r="K80" i="6"/>
  <c r="L80" i="6"/>
  <c r="K81" i="6"/>
  <c r="L81" i="6" s="1"/>
  <c r="K82" i="6"/>
  <c r="L82" i="6" s="1"/>
  <c r="K83" i="6"/>
  <c r="L83" i="6" s="1"/>
  <c r="K84" i="6"/>
  <c r="L84" i="6"/>
  <c r="K85" i="6"/>
  <c r="L85" i="6" s="1"/>
  <c r="K86" i="6"/>
  <c r="L86" i="6"/>
  <c r="K87" i="6"/>
  <c r="L87" i="6" s="1"/>
  <c r="K88" i="6"/>
  <c r="L88" i="6" s="1"/>
  <c r="K89" i="6"/>
  <c r="L89" i="6" s="1"/>
  <c r="K90" i="6"/>
  <c r="L90" i="6"/>
  <c r="K91" i="6"/>
  <c r="L91" i="6" s="1"/>
  <c r="K92" i="6"/>
  <c r="L92" i="6"/>
  <c r="K93" i="6"/>
  <c r="L93" i="6" s="1"/>
  <c r="K94" i="6"/>
  <c r="L94" i="6" s="1"/>
  <c r="K95" i="6"/>
  <c r="L95" i="6" s="1"/>
  <c r="K96" i="6"/>
  <c r="L96" i="6"/>
  <c r="K97" i="6"/>
  <c r="L97" i="6" s="1"/>
  <c r="K98" i="6"/>
  <c r="L98" i="6" s="1"/>
  <c r="K99" i="6"/>
  <c r="L99" i="6" s="1"/>
  <c r="K100" i="6"/>
  <c r="L100" i="6"/>
  <c r="K101" i="6"/>
  <c r="L101" i="6" s="1"/>
  <c r="K102" i="6"/>
  <c r="L102" i="6" s="1"/>
  <c r="K103" i="6"/>
  <c r="L103" i="6" s="1"/>
  <c r="K104" i="6"/>
  <c r="L104" i="6" s="1"/>
  <c r="K105" i="6"/>
  <c r="L105" i="6" s="1"/>
  <c r="K106" i="6"/>
  <c r="L106" i="6"/>
  <c r="K107" i="6"/>
  <c r="L107" i="6" s="1"/>
  <c r="K108" i="6"/>
  <c r="L108" i="6" s="1"/>
  <c r="K109" i="6"/>
  <c r="L109" i="6" s="1"/>
  <c r="K110" i="6"/>
  <c r="L110" i="6" s="1"/>
  <c r="K111" i="6"/>
  <c r="L111" i="6" s="1"/>
  <c r="K112" i="6"/>
  <c r="L112" i="6"/>
  <c r="K113" i="6"/>
  <c r="L113" i="6" s="1"/>
  <c r="K114" i="6"/>
  <c r="L114" i="6" s="1"/>
  <c r="K115" i="6"/>
  <c r="L115" i="6" s="1"/>
  <c r="K116" i="6"/>
  <c r="L116" i="6"/>
  <c r="K117" i="6"/>
  <c r="L117" i="6" s="1"/>
  <c r="K118" i="6"/>
  <c r="L118" i="6"/>
  <c r="K119" i="6"/>
  <c r="L119" i="6" s="1"/>
  <c r="K120" i="6"/>
  <c r="L120" i="6" s="1"/>
  <c r="K121" i="6"/>
  <c r="L121" i="6" s="1"/>
  <c r="K122" i="6"/>
  <c r="L122" i="6"/>
  <c r="K123" i="6"/>
  <c r="L123" i="6" s="1"/>
  <c r="K124" i="6"/>
  <c r="L124" i="6"/>
  <c r="K125" i="6"/>
  <c r="L125" i="6" s="1"/>
  <c r="K126" i="6"/>
  <c r="L126" i="6" s="1"/>
  <c r="K127" i="6"/>
  <c r="L127" i="6" s="1"/>
  <c r="K128" i="6"/>
  <c r="L128" i="6"/>
  <c r="K129" i="6"/>
  <c r="L129" i="6" s="1"/>
  <c r="K130" i="6"/>
  <c r="L130" i="6" s="1"/>
  <c r="K131" i="6"/>
  <c r="L131" i="6" s="1"/>
  <c r="K132" i="6"/>
  <c r="L132" i="6"/>
  <c r="K133" i="6"/>
  <c r="L133" i="6" s="1"/>
  <c r="K134" i="6"/>
  <c r="L134" i="6" s="1"/>
  <c r="K5" i="7"/>
  <c r="L5" i="7" s="1"/>
  <c r="K6" i="7"/>
  <c r="L6" i="7" s="1"/>
  <c r="K7" i="7"/>
  <c r="L7" i="7"/>
  <c r="K8" i="7"/>
  <c r="L8" i="7" s="1"/>
  <c r="K9" i="7"/>
  <c r="L9" i="7" s="1"/>
  <c r="K10" i="7"/>
  <c r="L10" i="7" s="1"/>
  <c r="K11" i="7"/>
  <c r="L11" i="7"/>
  <c r="K12" i="7"/>
  <c r="L12" i="7" s="1"/>
  <c r="K13" i="7"/>
  <c r="L13" i="7"/>
  <c r="K14" i="7"/>
  <c r="L14" i="7" s="1"/>
  <c r="K15" i="7"/>
  <c r="L15" i="7" s="1"/>
  <c r="K16" i="7"/>
  <c r="L16" i="7" s="1"/>
  <c r="K17" i="7"/>
  <c r="L17" i="7"/>
  <c r="K18" i="7"/>
  <c r="L18" i="7"/>
  <c r="K19" i="7"/>
  <c r="L19" i="7" s="1"/>
  <c r="K20" i="7"/>
  <c r="L20" i="7" s="1"/>
  <c r="K21" i="7"/>
  <c r="L21" i="7"/>
  <c r="K22" i="7"/>
  <c r="L22" i="7" s="1"/>
  <c r="K23" i="7"/>
  <c r="L23" i="7" s="1"/>
  <c r="K24" i="7"/>
  <c r="L24" i="7" s="1"/>
  <c r="K25" i="7"/>
  <c r="L25" i="7"/>
  <c r="K26" i="7"/>
  <c r="L26" i="7"/>
  <c r="K27" i="7"/>
  <c r="L27" i="7" s="1"/>
  <c r="K28" i="7"/>
  <c r="L28" i="7" s="1"/>
  <c r="K29" i="7"/>
  <c r="L29" i="7" s="1"/>
  <c r="K30" i="7"/>
  <c r="L30" i="7"/>
  <c r="K31" i="7"/>
  <c r="L31" i="7" s="1"/>
  <c r="K32" i="7"/>
  <c r="L32" i="7" s="1"/>
  <c r="K33" i="7"/>
  <c r="L33" i="7" s="1"/>
  <c r="K34" i="7"/>
  <c r="L34" i="7"/>
  <c r="K35" i="7"/>
  <c r="L35" i="7"/>
  <c r="K36" i="7"/>
  <c r="L36" i="7" s="1"/>
  <c r="K37" i="7"/>
  <c r="L37" i="7" s="1"/>
  <c r="K38" i="7"/>
  <c r="L38" i="7" s="1"/>
  <c r="K39" i="7"/>
  <c r="L39" i="7"/>
  <c r="K40" i="7"/>
  <c r="L40" i="7" s="1"/>
  <c r="K41" i="7"/>
  <c r="L41" i="7" s="1"/>
  <c r="K42" i="7"/>
  <c r="L42" i="7" s="1"/>
  <c r="K43" i="7"/>
  <c r="L43" i="7"/>
  <c r="K44" i="7"/>
  <c r="L44" i="7" s="1"/>
  <c r="K45" i="7"/>
  <c r="L45" i="7"/>
  <c r="K46" i="7"/>
  <c r="L46" i="7" s="1"/>
  <c r="K47" i="7"/>
  <c r="L47" i="7" s="1"/>
  <c r="K48" i="7"/>
  <c r="L48" i="7" s="1"/>
  <c r="K49" i="7"/>
  <c r="L49" i="7"/>
  <c r="K50" i="7"/>
  <c r="L50" i="7"/>
  <c r="K51" i="7"/>
  <c r="L51" i="7" s="1"/>
  <c r="K52" i="7"/>
  <c r="L52" i="7" s="1"/>
  <c r="K53" i="7"/>
  <c r="L53" i="7"/>
  <c r="K54" i="7"/>
  <c r="L54" i="7"/>
  <c r="K55" i="7"/>
  <c r="L55" i="7" s="1"/>
  <c r="K56" i="7"/>
  <c r="L56" i="7" s="1"/>
  <c r="K57" i="7"/>
  <c r="L57" i="7"/>
  <c r="K58" i="7"/>
  <c r="L58" i="7"/>
  <c r="K59" i="7"/>
  <c r="L59" i="7"/>
  <c r="K60" i="7"/>
  <c r="L60" i="7" s="1"/>
  <c r="K61" i="7"/>
  <c r="L61" i="7" s="1"/>
  <c r="K62" i="7"/>
  <c r="L62" i="7"/>
  <c r="K63" i="7"/>
  <c r="L63" i="7" s="1"/>
  <c r="K64" i="7"/>
  <c r="L64" i="7" s="1"/>
  <c r="K65" i="7"/>
  <c r="L65" i="7" s="1"/>
  <c r="K66" i="7"/>
  <c r="L66" i="7"/>
  <c r="K67" i="7"/>
  <c r="L67" i="7"/>
  <c r="K68" i="7"/>
  <c r="L68" i="7" s="1"/>
  <c r="K69" i="7"/>
  <c r="L69" i="7" s="1"/>
  <c r="K70" i="7"/>
  <c r="L70" i="7" s="1"/>
  <c r="K71" i="7"/>
  <c r="L71" i="7"/>
  <c r="K72" i="7"/>
  <c r="L72" i="7" s="1"/>
  <c r="K73" i="7"/>
  <c r="L73" i="7" s="1"/>
  <c r="K74" i="7"/>
  <c r="L74" i="7" s="1"/>
  <c r="K75" i="7"/>
  <c r="L75" i="7"/>
  <c r="K76" i="7"/>
  <c r="L76" i="7" s="1"/>
  <c r="K77" i="7"/>
  <c r="L77" i="7"/>
  <c r="K78" i="7"/>
  <c r="L78" i="7" s="1"/>
  <c r="K79" i="7"/>
  <c r="L79" i="7" s="1"/>
  <c r="K80" i="7"/>
  <c r="L80" i="7" s="1"/>
  <c r="K81" i="7"/>
  <c r="L81" i="7"/>
  <c r="K82" i="7"/>
  <c r="L82" i="7" s="1"/>
  <c r="K83" i="7"/>
  <c r="L83" i="7" s="1"/>
  <c r="K84" i="7"/>
  <c r="L84" i="7" s="1"/>
  <c r="K85" i="7"/>
  <c r="L85" i="7"/>
  <c r="K86" i="7"/>
  <c r="L86" i="7" s="1"/>
  <c r="K87" i="7"/>
  <c r="L87" i="7" s="1"/>
  <c r="K88" i="7"/>
  <c r="L88" i="7" s="1"/>
  <c r="K89" i="7"/>
  <c r="L89" i="7"/>
  <c r="K90" i="7"/>
  <c r="L90" i="7"/>
  <c r="K91" i="7"/>
  <c r="L91" i="7" s="1"/>
  <c r="K92" i="7"/>
  <c r="L92" i="7" s="1"/>
  <c r="K93" i="7"/>
  <c r="L93" i="7" s="1"/>
  <c r="K94" i="7"/>
  <c r="L94" i="7"/>
  <c r="K95" i="7"/>
  <c r="L95" i="7" s="1"/>
  <c r="K96" i="7"/>
  <c r="L96" i="7" s="1"/>
  <c r="K97" i="7"/>
  <c r="L97" i="7" s="1"/>
  <c r="K98" i="7"/>
  <c r="L98" i="7"/>
  <c r="K99" i="7"/>
  <c r="L99" i="7"/>
  <c r="K100" i="7"/>
  <c r="L100" i="7" s="1"/>
  <c r="K101" i="7"/>
  <c r="L101" i="7" s="1"/>
  <c r="K102" i="7"/>
  <c r="L102" i="7" s="1"/>
  <c r="K103" i="7"/>
  <c r="L103" i="7"/>
  <c r="K104" i="7"/>
  <c r="L104" i="7" s="1"/>
  <c r="K105" i="7"/>
  <c r="L105" i="7"/>
  <c r="K106" i="7"/>
  <c r="L106" i="7" s="1"/>
  <c r="K107" i="7"/>
  <c r="L107" i="7"/>
  <c r="K108" i="7"/>
  <c r="L108" i="7" s="1"/>
  <c r="K109" i="7"/>
  <c r="L109" i="7" s="1"/>
  <c r="K110" i="7"/>
  <c r="L110" i="7" s="1"/>
  <c r="K111" i="7"/>
  <c r="L111" i="7" s="1"/>
  <c r="K112" i="7"/>
  <c r="L112" i="7" s="1"/>
  <c r="K113" i="7"/>
  <c r="L113" i="7"/>
  <c r="K114" i="7"/>
  <c r="L114" i="7"/>
  <c r="K115" i="7"/>
  <c r="L115" i="7" s="1"/>
  <c r="K116" i="7"/>
  <c r="L116" i="7" s="1"/>
  <c r="K117" i="7"/>
  <c r="L117" i="7"/>
  <c r="K118" i="7"/>
  <c r="L118" i="7" s="1"/>
  <c r="K119" i="7"/>
  <c r="L119" i="7" s="1"/>
  <c r="K120" i="7"/>
  <c r="L120" i="7" s="1"/>
  <c r="K121" i="7"/>
  <c r="L121" i="7"/>
  <c r="K122" i="7"/>
  <c r="L122" i="7"/>
  <c r="K123" i="7"/>
  <c r="L123" i="7" s="1"/>
  <c r="K124" i="7"/>
  <c r="L124" i="7" s="1"/>
  <c r="K125" i="7"/>
  <c r="L125" i="7" s="1"/>
  <c r="K126" i="7"/>
  <c r="L126" i="7"/>
  <c r="K127" i="7"/>
  <c r="L127" i="7"/>
  <c r="K128" i="7"/>
  <c r="L128" i="7" s="1"/>
  <c r="K129" i="7"/>
  <c r="L129" i="7" s="1"/>
  <c r="K130" i="7"/>
  <c r="L130" i="7"/>
  <c r="K131" i="7"/>
  <c r="L131" i="7"/>
  <c r="K132" i="7"/>
  <c r="L132" i="7" s="1"/>
  <c r="K133" i="7"/>
  <c r="L133" i="7" s="1"/>
  <c r="K134" i="7"/>
  <c r="L134" i="7" s="1"/>
  <c r="K5" i="9"/>
  <c r="L5" i="9" s="1"/>
  <c r="K6" i="9"/>
  <c r="L6" i="9"/>
  <c r="K7" i="9"/>
  <c r="L7" i="9"/>
  <c r="K8" i="9"/>
  <c r="L8" i="9" s="1"/>
  <c r="K9" i="9"/>
  <c r="L9" i="9" s="1"/>
  <c r="K10" i="9"/>
  <c r="L10" i="9"/>
  <c r="K11" i="9"/>
  <c r="L11" i="9"/>
  <c r="K12" i="9"/>
  <c r="L12" i="9" s="1"/>
  <c r="K13" i="9"/>
  <c r="L13" i="9" s="1"/>
  <c r="K14" i="9"/>
  <c r="L14" i="9"/>
  <c r="K15" i="9"/>
  <c r="L15" i="9"/>
  <c r="K16" i="9"/>
  <c r="L16" i="9"/>
  <c r="K17" i="9"/>
  <c r="L17" i="9" s="1"/>
  <c r="K18" i="9"/>
  <c r="L18" i="9" s="1"/>
  <c r="K19" i="9"/>
  <c r="L19" i="9"/>
  <c r="K20" i="9"/>
  <c r="L20" i="9" s="1"/>
  <c r="K21" i="9"/>
  <c r="L21" i="9" s="1"/>
  <c r="K22" i="9"/>
  <c r="L22" i="9" s="1"/>
  <c r="K23" i="9"/>
  <c r="L23" i="9"/>
  <c r="K24" i="9"/>
  <c r="L24" i="9"/>
  <c r="K25" i="9"/>
  <c r="L25" i="9" s="1"/>
  <c r="K26" i="9"/>
  <c r="L26" i="9" s="1"/>
  <c r="K27" i="9"/>
  <c r="L27" i="9" s="1"/>
  <c r="K28" i="9"/>
  <c r="L28" i="9"/>
  <c r="K29" i="9"/>
  <c r="L29" i="9" s="1"/>
  <c r="K30" i="9"/>
  <c r="L30" i="9"/>
  <c r="K31" i="9"/>
  <c r="L31" i="9" s="1"/>
  <c r="K32" i="9"/>
  <c r="L32" i="9"/>
  <c r="K33" i="9"/>
  <c r="L33" i="9" s="1"/>
  <c r="K34" i="9"/>
  <c r="L34" i="9"/>
  <c r="K35" i="9"/>
  <c r="L35" i="9" s="1"/>
  <c r="K36" i="9"/>
  <c r="L36" i="9" s="1"/>
  <c r="K37" i="9"/>
  <c r="L37" i="9" s="1"/>
  <c r="K38" i="9"/>
  <c r="L38" i="9"/>
  <c r="K39" i="9"/>
  <c r="L39" i="9" s="1"/>
  <c r="K40" i="9"/>
  <c r="L40" i="9" s="1"/>
  <c r="K41" i="9"/>
  <c r="L41" i="9" s="1"/>
  <c r="K42" i="9"/>
  <c r="L42" i="9"/>
  <c r="K43" i="9"/>
  <c r="L43" i="9" s="1"/>
  <c r="K44" i="9"/>
  <c r="L44" i="9" s="1"/>
  <c r="K45" i="9"/>
  <c r="L45" i="9" s="1"/>
  <c r="K46" i="9"/>
  <c r="L46" i="9"/>
  <c r="K47" i="9"/>
  <c r="L47" i="9"/>
  <c r="K48" i="9"/>
  <c r="L48" i="9" s="1"/>
  <c r="K49" i="9"/>
  <c r="L49" i="9" s="1"/>
  <c r="K50" i="9"/>
  <c r="L50" i="9" s="1"/>
  <c r="K51" i="9"/>
  <c r="L51" i="9"/>
  <c r="K52" i="9"/>
  <c r="L52" i="9" s="1"/>
  <c r="K53" i="9"/>
  <c r="L53" i="9" s="1"/>
  <c r="K54" i="9"/>
  <c r="L54" i="9" s="1"/>
  <c r="K55" i="9"/>
  <c r="L55" i="9"/>
  <c r="K56" i="9"/>
  <c r="L56" i="9"/>
  <c r="K57" i="9"/>
  <c r="L57" i="9" s="1"/>
  <c r="K58" i="9"/>
  <c r="L58" i="9" s="1"/>
  <c r="K59" i="9"/>
  <c r="L59" i="9" s="1"/>
  <c r="K60" i="9"/>
  <c r="L60" i="9"/>
  <c r="K61" i="9"/>
  <c r="L61" i="9" s="1"/>
  <c r="K62" i="9"/>
  <c r="L62" i="9"/>
  <c r="K63" i="9"/>
  <c r="L63" i="9" s="1"/>
  <c r="K64" i="9"/>
  <c r="L64" i="9"/>
  <c r="K65" i="9"/>
  <c r="L65" i="9" s="1"/>
  <c r="K66" i="9"/>
  <c r="L66" i="9" s="1"/>
  <c r="K67" i="9"/>
  <c r="L67" i="9" s="1"/>
  <c r="K68" i="9"/>
  <c r="L68" i="9" s="1"/>
  <c r="K69" i="9"/>
  <c r="L69" i="9" s="1"/>
  <c r="K70" i="9"/>
  <c r="L70" i="9"/>
  <c r="K71" i="9"/>
  <c r="L71" i="9"/>
  <c r="K72" i="9"/>
  <c r="L72" i="9" s="1"/>
  <c r="K73" i="9"/>
  <c r="L73" i="9" s="1"/>
  <c r="K74" i="9"/>
  <c r="L74" i="9"/>
  <c r="K75" i="9"/>
  <c r="L75" i="9" s="1"/>
  <c r="K76" i="9"/>
  <c r="L76" i="9" s="1"/>
  <c r="K77" i="9"/>
  <c r="L77" i="9" s="1"/>
  <c r="K78" i="9"/>
  <c r="L78" i="9"/>
  <c r="K79" i="9"/>
  <c r="L79" i="9"/>
  <c r="K80" i="9"/>
  <c r="L80" i="9" s="1"/>
  <c r="K81" i="9"/>
  <c r="L81" i="9" s="1"/>
  <c r="K82" i="9"/>
  <c r="L82" i="9" s="1"/>
  <c r="K83" i="9"/>
  <c r="L83" i="9"/>
  <c r="K84" i="9"/>
  <c r="L84" i="9"/>
  <c r="K85" i="9"/>
  <c r="L85" i="9" s="1"/>
  <c r="K86" i="9"/>
  <c r="L86" i="9" s="1"/>
  <c r="K87" i="9"/>
  <c r="L87" i="9"/>
  <c r="K88" i="9"/>
  <c r="L88" i="9"/>
  <c r="K89" i="9"/>
  <c r="L89" i="9" s="1"/>
  <c r="K90" i="9"/>
  <c r="L90" i="9" s="1"/>
  <c r="K91" i="9"/>
  <c r="L91" i="9" s="1"/>
  <c r="K92" i="9"/>
  <c r="L92" i="9"/>
  <c r="K93" i="9"/>
  <c r="L93" i="9" s="1"/>
  <c r="K94" i="9"/>
  <c r="L94" i="9"/>
  <c r="K95" i="9"/>
  <c r="L95" i="9" s="1"/>
  <c r="K96" i="9"/>
  <c r="L96" i="9"/>
  <c r="K97" i="9"/>
  <c r="L97" i="9" s="1"/>
  <c r="K98" i="9"/>
  <c r="L98" i="9"/>
  <c r="K99" i="9"/>
  <c r="L99" i="9" s="1"/>
  <c r="K100" i="9"/>
  <c r="L100" i="9" s="1"/>
  <c r="K101" i="9"/>
  <c r="L101" i="9" s="1"/>
  <c r="K102" i="9"/>
  <c r="L102" i="9"/>
  <c r="K103" i="9"/>
  <c r="L103" i="9" s="1"/>
  <c r="K104" i="9"/>
  <c r="L104" i="9" s="1"/>
  <c r="K105" i="9"/>
  <c r="L105" i="9" s="1"/>
  <c r="K106" i="9"/>
  <c r="L106" i="9"/>
  <c r="K107" i="9"/>
  <c r="L107" i="9" s="1"/>
  <c r="K108" i="9"/>
  <c r="L108" i="9" s="1"/>
  <c r="K109" i="9"/>
  <c r="L109" i="9" s="1"/>
  <c r="K110" i="9"/>
  <c r="L110" i="9"/>
  <c r="K111" i="9"/>
  <c r="L111" i="9"/>
  <c r="K112" i="9"/>
  <c r="L112" i="9" s="1"/>
  <c r="K113" i="9"/>
  <c r="L113" i="9" s="1"/>
  <c r="K114" i="9"/>
  <c r="L114" i="9" s="1"/>
  <c r="K115" i="9"/>
  <c r="L115" i="9"/>
  <c r="K116" i="9"/>
  <c r="L116" i="9"/>
  <c r="K117" i="9"/>
  <c r="L117" i="9" s="1"/>
  <c r="K118" i="9"/>
  <c r="L118" i="9" s="1"/>
  <c r="K119" i="9"/>
  <c r="L119" i="9"/>
  <c r="K120" i="9"/>
  <c r="L120" i="9"/>
  <c r="K121" i="9"/>
  <c r="L121" i="9" s="1"/>
  <c r="K122" i="9"/>
  <c r="L122" i="9" s="1"/>
  <c r="K123" i="9"/>
  <c r="L123" i="9" s="1"/>
  <c r="K124" i="9"/>
  <c r="L124" i="9"/>
  <c r="K125" i="9"/>
  <c r="L125" i="9" s="1"/>
  <c r="K126" i="9"/>
  <c r="L126" i="9" s="1"/>
  <c r="K127" i="9"/>
  <c r="L127" i="9" s="1"/>
  <c r="K128" i="9"/>
  <c r="L128" i="9"/>
  <c r="K129" i="9"/>
  <c r="L129" i="9" s="1"/>
  <c r="K130" i="9"/>
  <c r="L130" i="9" s="1"/>
  <c r="K131" i="9"/>
  <c r="L131" i="9" s="1"/>
  <c r="K132" i="9"/>
  <c r="L132" i="9" s="1"/>
  <c r="K133" i="9"/>
  <c r="L133" i="9" s="1"/>
  <c r="K134" i="9"/>
  <c r="L134" i="9"/>
  <c r="K5" i="10"/>
  <c r="L5" i="10" s="1"/>
  <c r="K6" i="10"/>
  <c r="L6" i="10" s="1"/>
  <c r="K7" i="10"/>
  <c r="L7" i="10" s="1"/>
  <c r="K8" i="10"/>
  <c r="L8" i="10" s="1"/>
  <c r="K9" i="10"/>
  <c r="L9" i="10" s="1"/>
  <c r="K10" i="10"/>
  <c r="L10" i="10"/>
  <c r="K11" i="10"/>
  <c r="L11" i="10" s="1"/>
  <c r="K12" i="10"/>
  <c r="L12" i="10" s="1"/>
  <c r="K13" i="10"/>
  <c r="L13" i="10" s="1"/>
  <c r="K14" i="10"/>
  <c r="L14" i="10"/>
  <c r="K15" i="10"/>
  <c r="L15" i="10"/>
  <c r="K16" i="10"/>
  <c r="L16" i="10" s="1"/>
  <c r="K17" i="10"/>
  <c r="L17" i="10" s="1"/>
  <c r="K18" i="10"/>
  <c r="L18" i="10"/>
  <c r="K19" i="10"/>
  <c r="L19" i="10"/>
  <c r="K20" i="10"/>
  <c r="L20" i="10" s="1"/>
  <c r="K21" i="10"/>
  <c r="L21" i="10" s="1"/>
  <c r="K22" i="10"/>
  <c r="L22" i="10" s="1"/>
  <c r="K23" i="10"/>
  <c r="L23" i="10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/>
  <c r="K31" i="10"/>
  <c r="L31" i="10"/>
  <c r="K32" i="10"/>
  <c r="L32" i="10" s="1"/>
  <c r="K33" i="10"/>
  <c r="L33" i="10" s="1"/>
  <c r="K34" i="10"/>
  <c r="L34" i="10"/>
  <c r="K35" i="10"/>
  <c r="L35" i="10"/>
  <c r="K36" i="10"/>
  <c r="L36" i="10" s="1"/>
  <c r="K37" i="10"/>
  <c r="L37" i="10" s="1"/>
  <c r="K38" i="10"/>
  <c r="L38" i="10" s="1"/>
  <c r="K39" i="10"/>
  <c r="L39" i="10"/>
  <c r="K40" i="10"/>
  <c r="L40" i="10" s="1"/>
  <c r="K41" i="10"/>
  <c r="L41" i="10" s="1"/>
  <c r="K42" i="10"/>
  <c r="L42" i="10" s="1"/>
  <c r="K43" i="10"/>
  <c r="L43" i="10" s="1"/>
  <c r="K44" i="10"/>
  <c r="L44" i="10" s="1"/>
  <c r="K45" i="10"/>
  <c r="L45" i="10" s="1"/>
  <c r="K46" i="10"/>
  <c r="L46" i="10"/>
  <c r="K47" i="10"/>
  <c r="L47" i="10" s="1"/>
  <c r="K48" i="10"/>
  <c r="L48" i="10" s="1"/>
  <c r="K49" i="10"/>
  <c r="L49" i="10" s="1"/>
  <c r="K50" i="10"/>
  <c r="L50" i="10"/>
  <c r="K51" i="10"/>
  <c r="L51" i="10"/>
  <c r="K52" i="10"/>
  <c r="L52" i="10" s="1"/>
  <c r="K53" i="10"/>
  <c r="L53" i="10" s="1"/>
  <c r="K54" i="10"/>
  <c r="L54" i="10" s="1"/>
  <c r="K55" i="10"/>
  <c r="L55" i="10"/>
  <c r="K56" i="10"/>
  <c r="L56" i="10" s="1"/>
  <c r="K57" i="10"/>
  <c r="L57" i="10" s="1"/>
  <c r="K58" i="10"/>
  <c r="L58" i="10" s="1"/>
  <c r="K59" i="10"/>
  <c r="L59" i="10" s="1"/>
  <c r="K60" i="10"/>
  <c r="L60" i="10" s="1"/>
  <c r="K61" i="10"/>
  <c r="L61" i="10" s="1"/>
  <c r="K62" i="10"/>
  <c r="L62" i="10"/>
  <c r="K63" i="10"/>
  <c r="L63" i="10"/>
  <c r="K64" i="10"/>
  <c r="L64" i="10" s="1"/>
  <c r="K65" i="10"/>
  <c r="L65" i="10" s="1"/>
  <c r="K66" i="10"/>
  <c r="L66" i="10"/>
  <c r="K67" i="10"/>
  <c r="L67" i="10"/>
  <c r="K68" i="10"/>
  <c r="L68" i="10" s="1"/>
  <c r="K69" i="10"/>
  <c r="L69" i="10" s="1"/>
  <c r="K70" i="10"/>
  <c r="L70" i="10" s="1"/>
  <c r="K71" i="10"/>
  <c r="L71" i="10"/>
  <c r="K72" i="10"/>
  <c r="L72" i="10" s="1"/>
  <c r="K73" i="10"/>
  <c r="L73" i="10" s="1"/>
  <c r="K74" i="10"/>
  <c r="L74" i="10"/>
  <c r="K75" i="10"/>
  <c r="L75" i="10" s="1"/>
  <c r="K76" i="10"/>
  <c r="L76" i="10" s="1"/>
  <c r="K77" i="10"/>
  <c r="L77" i="10" s="1"/>
  <c r="K78" i="10"/>
  <c r="L78" i="10"/>
  <c r="K79" i="10"/>
  <c r="L79" i="10"/>
  <c r="K80" i="10"/>
  <c r="L80" i="10" s="1"/>
  <c r="K81" i="10"/>
  <c r="L81" i="10" s="1"/>
  <c r="K82" i="10"/>
  <c r="L82" i="10"/>
  <c r="K83" i="10"/>
  <c r="L83" i="10"/>
  <c r="K84" i="10"/>
  <c r="L84" i="10" s="1"/>
  <c r="K85" i="10"/>
  <c r="L85" i="10" s="1"/>
  <c r="K86" i="10"/>
  <c r="L86" i="10" s="1"/>
  <c r="K87" i="10"/>
  <c r="L87" i="10"/>
  <c r="K88" i="10"/>
  <c r="L88" i="10" s="1"/>
  <c r="K89" i="10"/>
  <c r="L89" i="10"/>
  <c r="K90" i="10"/>
  <c r="L90" i="10"/>
  <c r="K91" i="10"/>
  <c r="L91" i="10" s="1"/>
  <c r="K92" i="10"/>
  <c r="L92" i="10" s="1"/>
  <c r="K93" i="10"/>
  <c r="L93" i="10"/>
  <c r="K94" i="10"/>
  <c r="L94" i="10"/>
  <c r="K95" i="10"/>
  <c r="L95" i="10" s="1"/>
  <c r="K96" i="10"/>
  <c r="L96" i="10" s="1"/>
  <c r="K97" i="10"/>
  <c r="L97" i="10" s="1"/>
  <c r="K98" i="10"/>
  <c r="L98" i="10"/>
  <c r="K99" i="10"/>
  <c r="L99" i="10" s="1"/>
  <c r="K100" i="10"/>
  <c r="L100" i="10" s="1"/>
  <c r="K101" i="10"/>
  <c r="L101" i="10"/>
  <c r="K102" i="10"/>
  <c r="L102" i="10"/>
  <c r="K103" i="10"/>
  <c r="L103" i="10" s="1"/>
  <c r="K104" i="10"/>
  <c r="L104" i="10" s="1"/>
  <c r="K105" i="10"/>
  <c r="L105" i="10" s="1"/>
  <c r="K106" i="10"/>
  <c r="L106" i="10" s="1"/>
  <c r="K107" i="10"/>
  <c r="L107" i="10"/>
  <c r="K108" i="10"/>
  <c r="L108" i="10" s="1"/>
  <c r="K109" i="10"/>
  <c r="L109" i="10" s="1"/>
  <c r="K110" i="10"/>
  <c r="L110" i="10"/>
  <c r="K111" i="10"/>
  <c r="L111" i="10"/>
  <c r="K112" i="10"/>
  <c r="L112" i="10" s="1"/>
  <c r="K113" i="10"/>
  <c r="L113" i="10" s="1"/>
  <c r="K114" i="10"/>
  <c r="L114" i="10" s="1"/>
  <c r="K115" i="10"/>
  <c r="L115" i="10" s="1"/>
  <c r="K116" i="10"/>
  <c r="L116" i="10" s="1"/>
  <c r="K117" i="10"/>
  <c r="L117" i="10" s="1"/>
  <c r="K118" i="10"/>
  <c r="L118" i="10" s="1"/>
  <c r="K119" i="10"/>
  <c r="L119" i="10"/>
  <c r="K120" i="10"/>
  <c r="L120" i="10" s="1"/>
  <c r="K121" i="10"/>
  <c r="L121" i="10"/>
  <c r="K122" i="10"/>
  <c r="L122" i="10" s="1"/>
  <c r="K123" i="10"/>
  <c r="L123" i="10" s="1"/>
  <c r="K124" i="10"/>
  <c r="L124" i="10" s="1"/>
  <c r="K125" i="10"/>
  <c r="L125" i="10"/>
  <c r="K126" i="10"/>
  <c r="L126" i="10" s="1"/>
  <c r="K127" i="10"/>
  <c r="L127" i="10" s="1"/>
  <c r="K128" i="10"/>
  <c r="L128" i="10" s="1"/>
  <c r="K129" i="10"/>
  <c r="L129" i="10" s="1"/>
  <c r="K130" i="10"/>
  <c r="L130" i="10"/>
  <c r="K131" i="10"/>
  <c r="L131" i="10" s="1"/>
  <c r="K132" i="10"/>
  <c r="L132" i="10" s="1"/>
  <c r="K133" i="10"/>
  <c r="L133" i="10"/>
  <c r="K134" i="10"/>
  <c r="L134" i="10"/>
  <c r="K135" i="10"/>
  <c r="L135" i="10" s="1"/>
  <c r="K136" i="10"/>
  <c r="L136" i="10" s="1"/>
  <c r="K137" i="10"/>
  <c r="L137" i="10" s="1"/>
  <c r="K138" i="10"/>
  <c r="L138" i="10" s="1"/>
  <c r="K139" i="10"/>
  <c r="L139" i="10"/>
  <c r="K140" i="10"/>
  <c r="L140" i="10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/>
  <c r="K11" i="11"/>
  <c r="L11" i="11" s="1"/>
  <c r="K12" i="11"/>
  <c r="L12" i="11" s="1"/>
  <c r="K13" i="11"/>
  <c r="L13" i="11" s="1"/>
  <c r="K14" i="11"/>
  <c r="L14" i="11"/>
  <c r="K15" i="11"/>
  <c r="L15" i="11"/>
  <c r="K16" i="11"/>
  <c r="L16" i="11" s="1"/>
  <c r="K17" i="11"/>
  <c r="L17" i="11" s="1"/>
  <c r="K18" i="11"/>
  <c r="L18" i="11" s="1"/>
  <c r="K19" i="11"/>
  <c r="L19" i="11"/>
  <c r="K20" i="11"/>
  <c r="L20" i="11" s="1"/>
  <c r="K21" i="11"/>
  <c r="L21" i="11" s="1"/>
  <c r="K22" i="11"/>
  <c r="L22" i="11"/>
  <c r="K23" i="11"/>
  <c r="L23" i="11" s="1"/>
  <c r="K24" i="11"/>
  <c r="L24" i="11" s="1"/>
  <c r="K25" i="11"/>
  <c r="L25" i="11" s="1"/>
  <c r="K26" i="11"/>
  <c r="L26" i="11"/>
  <c r="K27" i="11"/>
  <c r="L27" i="11" s="1"/>
  <c r="K28" i="11"/>
  <c r="L28" i="11" s="1"/>
  <c r="K29" i="11"/>
  <c r="L29" i="11" s="1"/>
  <c r="K30" i="11"/>
  <c r="L30" i="11"/>
  <c r="K31" i="11"/>
  <c r="L31" i="11"/>
  <c r="K32" i="11"/>
  <c r="L32" i="11" s="1"/>
  <c r="K33" i="11"/>
  <c r="L33" i="11" s="1"/>
  <c r="K34" i="11"/>
  <c r="L34" i="11" s="1"/>
  <c r="K35" i="11"/>
  <c r="L35" i="11"/>
  <c r="K36" i="11"/>
  <c r="L36" i="11" s="1"/>
  <c r="K37" i="11"/>
  <c r="L37" i="11" s="1"/>
  <c r="K38" i="11"/>
  <c r="L38" i="11"/>
  <c r="K39" i="11"/>
  <c r="L39" i="11" s="1"/>
  <c r="K40" i="11"/>
  <c r="L40" i="11" s="1"/>
  <c r="K41" i="11"/>
  <c r="L41" i="11" s="1"/>
  <c r="K42" i="11"/>
  <c r="L42" i="11"/>
  <c r="K43" i="11"/>
  <c r="L43" i="11" s="1"/>
  <c r="K44" i="11"/>
  <c r="L44" i="11" s="1"/>
  <c r="K45" i="11"/>
  <c r="L45" i="11" s="1"/>
  <c r="K46" i="11"/>
  <c r="L46" i="11"/>
  <c r="K47" i="11"/>
  <c r="L47" i="11"/>
  <c r="K48" i="11"/>
  <c r="L48" i="11" s="1"/>
  <c r="K49" i="11"/>
  <c r="L49" i="11" s="1"/>
  <c r="K50" i="11"/>
  <c r="L50" i="11" s="1"/>
  <c r="K51" i="11"/>
  <c r="L51" i="1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 s="1"/>
  <c r="K58" i="11"/>
  <c r="L58" i="11"/>
  <c r="K59" i="11"/>
  <c r="L59" i="11" s="1"/>
  <c r="K60" i="11"/>
  <c r="L60" i="11" s="1"/>
  <c r="K61" i="11"/>
  <c r="L61" i="11" s="1"/>
  <c r="K62" i="11"/>
  <c r="L62" i="11"/>
  <c r="K63" i="11"/>
  <c r="L63" i="11"/>
  <c r="K64" i="11"/>
  <c r="L64" i="11" s="1"/>
  <c r="K65" i="11"/>
  <c r="L65" i="11" s="1"/>
  <c r="K66" i="11"/>
  <c r="L66" i="11" s="1"/>
  <c r="K67" i="11"/>
  <c r="L67" i="11"/>
  <c r="K68" i="11"/>
  <c r="L68" i="11" s="1"/>
  <c r="K69" i="11"/>
  <c r="L69" i="11" s="1"/>
  <c r="K70" i="11"/>
  <c r="L70" i="11" s="1"/>
  <c r="K71" i="11"/>
  <c r="L71" i="11" s="1"/>
  <c r="K72" i="11"/>
  <c r="L72" i="11" s="1"/>
  <c r="K73" i="11"/>
  <c r="L73" i="11" s="1"/>
  <c r="K74" i="11"/>
  <c r="L74" i="11"/>
  <c r="K75" i="11"/>
  <c r="L75" i="11"/>
  <c r="K76" i="11"/>
  <c r="L76" i="11" s="1"/>
  <c r="K77" i="11"/>
  <c r="L77" i="11" s="1"/>
  <c r="K78" i="11"/>
  <c r="L78" i="11"/>
  <c r="K79" i="11"/>
  <c r="L79" i="11"/>
  <c r="K80" i="11"/>
  <c r="L80" i="11" s="1"/>
  <c r="K81" i="11"/>
  <c r="L81" i="11" s="1"/>
  <c r="K82" i="11"/>
  <c r="L82" i="11" s="1"/>
  <c r="K83" i="11"/>
  <c r="L83" i="11"/>
  <c r="K84" i="11"/>
  <c r="L84" i="11" s="1"/>
  <c r="K85" i="11"/>
  <c r="L85" i="11" s="1"/>
  <c r="K86" i="11"/>
  <c r="L86" i="11"/>
  <c r="K87" i="11"/>
  <c r="L87" i="11" s="1"/>
  <c r="K88" i="11"/>
  <c r="L88" i="11" s="1"/>
  <c r="K89" i="11"/>
  <c r="L89" i="11" s="1"/>
  <c r="K90" i="11"/>
  <c r="L90" i="11"/>
  <c r="K91" i="11"/>
  <c r="L91" i="11" s="1"/>
  <c r="K92" i="11"/>
  <c r="L92" i="11" s="1"/>
  <c r="K93" i="11"/>
  <c r="L93" i="11" s="1"/>
  <c r="K94" i="11"/>
  <c r="L94" i="11"/>
  <c r="K95" i="11"/>
  <c r="L95" i="11" s="1"/>
  <c r="K96" i="11"/>
  <c r="L96" i="11" s="1"/>
  <c r="K97" i="11"/>
  <c r="L97" i="11" s="1"/>
  <c r="K98" i="11"/>
  <c r="L98" i="11"/>
  <c r="K99" i="11"/>
  <c r="L99" i="11"/>
  <c r="K100" i="11"/>
  <c r="L100" i="11" s="1"/>
  <c r="K101" i="11"/>
  <c r="L101" i="11" s="1"/>
  <c r="K102" i="11"/>
  <c r="L102" i="11" s="1"/>
  <c r="K103" i="11"/>
  <c r="L103" i="11"/>
  <c r="K104" i="11"/>
  <c r="L104" i="11" s="1"/>
  <c r="K105" i="11"/>
  <c r="L105" i="11" s="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 s="1"/>
  <c r="K112" i="11"/>
  <c r="L112" i="11" s="1"/>
  <c r="K113" i="11"/>
  <c r="L113" i="11"/>
  <c r="K114" i="11"/>
  <c r="L114" i="11"/>
  <c r="K115" i="11"/>
  <c r="L115" i="11" s="1"/>
  <c r="K116" i="11"/>
  <c r="L116" i="11" s="1"/>
  <c r="K117" i="11"/>
  <c r="L117" i="11"/>
  <c r="K118" i="11"/>
  <c r="L118" i="11"/>
  <c r="K119" i="11"/>
  <c r="L119" i="11" s="1"/>
  <c r="K120" i="11"/>
  <c r="L120" i="11" s="1"/>
  <c r="K121" i="11"/>
  <c r="L121" i="11"/>
  <c r="K122" i="11"/>
  <c r="L122" i="11"/>
  <c r="K123" i="11"/>
  <c r="L123" i="11"/>
  <c r="K124" i="11"/>
  <c r="L124" i="11" s="1"/>
  <c r="K125" i="11"/>
  <c r="L125" i="11" s="1"/>
  <c r="K126" i="11"/>
  <c r="L126" i="11"/>
  <c r="K127" i="11"/>
  <c r="L127" i="11" s="1"/>
  <c r="K128" i="11"/>
  <c r="L128" i="11" s="1"/>
  <c r="K129" i="11"/>
  <c r="L129" i="11" s="1"/>
  <c r="K130" i="11"/>
  <c r="L130" i="11"/>
  <c r="K131" i="11"/>
  <c r="L131" i="11"/>
  <c r="K132" i="11"/>
  <c r="L132" i="11" s="1"/>
  <c r="K133" i="11"/>
  <c r="L133" i="11" s="1"/>
  <c r="K134" i="11"/>
  <c r="L134" i="11" s="1"/>
  <c r="K5" i="13"/>
  <c r="L5" i="13"/>
  <c r="K6" i="13"/>
  <c r="L6" i="13"/>
  <c r="K7" i="13"/>
  <c r="L7" i="13" s="1"/>
  <c r="K8" i="13"/>
  <c r="L8" i="13" s="1"/>
  <c r="K9" i="13"/>
  <c r="L9" i="13"/>
  <c r="K10" i="13"/>
  <c r="L10" i="13" s="1"/>
  <c r="K11" i="13"/>
  <c r="L11" i="13" s="1"/>
  <c r="K12" i="13"/>
  <c r="L12" i="13" s="1"/>
  <c r="K13" i="13"/>
  <c r="L13" i="13"/>
  <c r="K14" i="13"/>
  <c r="L14" i="13" s="1"/>
  <c r="K15" i="13"/>
  <c r="L15" i="13" s="1"/>
  <c r="K16" i="13"/>
  <c r="L16" i="13" s="1"/>
  <c r="K17" i="13"/>
  <c r="L17" i="13"/>
  <c r="K18" i="13"/>
  <c r="L18" i="13" s="1"/>
  <c r="K19" i="13"/>
  <c r="L19" i="13" s="1"/>
  <c r="K20" i="13"/>
  <c r="L20" i="13" s="1"/>
  <c r="K21" i="13"/>
  <c r="L21" i="13"/>
  <c r="K22" i="13"/>
  <c r="L22" i="13"/>
  <c r="K23" i="13"/>
  <c r="L23" i="13" s="1"/>
  <c r="K24" i="13"/>
  <c r="L24" i="13" s="1"/>
  <c r="K25" i="13"/>
  <c r="L25" i="13"/>
  <c r="K26" i="13"/>
  <c r="L26" i="13" s="1"/>
  <c r="K27" i="13"/>
  <c r="L27" i="13" s="1"/>
  <c r="K28" i="13"/>
  <c r="L28" i="13" s="1"/>
  <c r="K29" i="13"/>
  <c r="L29" i="13"/>
  <c r="K30" i="13"/>
  <c r="L30" i="13" s="1"/>
  <c r="K31" i="13"/>
  <c r="L31" i="13" s="1"/>
  <c r="K32" i="13"/>
  <c r="L32" i="13"/>
  <c r="K33" i="13"/>
  <c r="L33" i="13"/>
  <c r="K34" i="13"/>
  <c r="L34" i="13" s="1"/>
  <c r="K35" i="13"/>
  <c r="L35" i="13" s="1"/>
  <c r="K36" i="13"/>
  <c r="L36" i="13"/>
  <c r="K37" i="13"/>
  <c r="L37" i="13"/>
  <c r="K38" i="13"/>
  <c r="L38" i="13" s="1"/>
  <c r="K39" i="13"/>
  <c r="L39" i="13" s="1"/>
  <c r="K40" i="13"/>
  <c r="L40" i="13"/>
  <c r="K41" i="13"/>
  <c r="L41" i="13"/>
  <c r="K42" i="13"/>
  <c r="L42" i="13" s="1"/>
  <c r="K43" i="13"/>
  <c r="L43" i="13" s="1"/>
  <c r="K44" i="13"/>
  <c r="L44" i="13"/>
  <c r="K45" i="13"/>
  <c r="L45" i="13"/>
  <c r="K46" i="13"/>
  <c r="L46" i="13"/>
  <c r="K47" i="13"/>
  <c r="L47" i="13" s="1"/>
  <c r="K48" i="13"/>
  <c r="L48" i="13"/>
  <c r="K49" i="13"/>
  <c r="L49" i="13"/>
  <c r="K50" i="13"/>
  <c r="L50" i="13"/>
  <c r="K51" i="13"/>
  <c r="L51" i="13" s="1"/>
  <c r="K52" i="13"/>
  <c r="L52" i="13"/>
  <c r="K53" i="13"/>
  <c r="L53" i="13"/>
  <c r="K54" i="13"/>
  <c r="L54" i="13" s="1"/>
  <c r="K55" i="13"/>
  <c r="L55" i="13" s="1"/>
  <c r="K56" i="13"/>
  <c r="L56" i="13"/>
  <c r="K57" i="13"/>
  <c r="L57" i="13"/>
  <c r="K58" i="13"/>
  <c r="L58" i="13"/>
  <c r="K59" i="13"/>
  <c r="L59" i="13" s="1"/>
  <c r="K60" i="13"/>
  <c r="L60" i="13"/>
  <c r="K61" i="13"/>
  <c r="L61" i="13"/>
  <c r="K62" i="13"/>
  <c r="L62" i="13" s="1"/>
  <c r="K63" i="13"/>
  <c r="L63" i="13" s="1"/>
  <c r="K64" i="13"/>
  <c r="L64" i="13"/>
  <c r="K65" i="13"/>
  <c r="L65" i="13"/>
  <c r="K66" i="13"/>
  <c r="L66" i="13" s="1"/>
  <c r="K67" i="13"/>
  <c r="L67" i="13" s="1"/>
  <c r="K68" i="13"/>
  <c r="L68" i="13"/>
  <c r="K69" i="13"/>
  <c r="L69" i="13"/>
  <c r="K70" i="13"/>
  <c r="L70" i="13" s="1"/>
  <c r="K71" i="13"/>
  <c r="L71" i="13" s="1"/>
  <c r="K72" i="13"/>
  <c r="L72" i="13"/>
  <c r="K73" i="13"/>
  <c r="L73" i="13"/>
  <c r="K74" i="13"/>
  <c r="L74" i="13"/>
  <c r="K75" i="13"/>
  <c r="L75" i="13" s="1"/>
  <c r="K76" i="13"/>
  <c r="L76" i="13"/>
  <c r="K77" i="13"/>
  <c r="L77" i="13"/>
  <c r="K78" i="13"/>
  <c r="L78" i="13"/>
  <c r="K79" i="13"/>
  <c r="L79" i="13" s="1"/>
  <c r="K80" i="13"/>
  <c r="L80" i="13"/>
  <c r="K81" i="13"/>
  <c r="L81" i="13"/>
  <c r="K82" i="13"/>
  <c r="L82" i="13"/>
  <c r="K83" i="13"/>
  <c r="L83" i="13" s="1"/>
  <c r="K84" i="13"/>
  <c r="L84" i="13"/>
  <c r="K85" i="13"/>
  <c r="L85" i="13"/>
  <c r="K86" i="13"/>
  <c r="L86" i="13" s="1"/>
  <c r="K87" i="13"/>
  <c r="L87" i="13" s="1"/>
  <c r="K88" i="13"/>
  <c r="L88" i="13"/>
  <c r="K89" i="13"/>
  <c r="L89" i="13"/>
  <c r="K90" i="13"/>
  <c r="L90" i="13"/>
  <c r="K91" i="13"/>
  <c r="L91" i="13" s="1"/>
  <c r="K92" i="13"/>
  <c r="L92" i="13"/>
  <c r="K93" i="13"/>
  <c r="L93" i="13"/>
  <c r="K94" i="13"/>
  <c r="L94" i="13" s="1"/>
  <c r="K95" i="13"/>
  <c r="L95" i="13" s="1"/>
  <c r="K96" i="13"/>
  <c r="L96" i="13"/>
  <c r="K97" i="13"/>
  <c r="L97" i="13"/>
  <c r="K98" i="13"/>
  <c r="L98" i="13" s="1"/>
  <c r="K99" i="13"/>
  <c r="L99" i="13" s="1"/>
  <c r="K100" i="13"/>
  <c r="L100" i="13"/>
  <c r="K101" i="13"/>
  <c r="L101" i="13"/>
  <c r="K102" i="13"/>
  <c r="L102" i="13" s="1"/>
  <c r="K103" i="13"/>
  <c r="L103" i="13" s="1"/>
  <c r="K104" i="13"/>
  <c r="L104" i="13"/>
  <c r="K105" i="13"/>
  <c r="L105" i="13"/>
  <c r="K106" i="13"/>
  <c r="L106" i="13"/>
  <c r="K107" i="13"/>
  <c r="L107" i="13" s="1"/>
  <c r="K108" i="13"/>
  <c r="L108" i="13"/>
  <c r="K109" i="13"/>
  <c r="L109" i="13"/>
  <c r="K110" i="13"/>
  <c r="L110" i="13"/>
  <c r="K111" i="13"/>
  <c r="L111" i="13" s="1"/>
  <c r="K112" i="13"/>
  <c r="L112" i="13"/>
  <c r="K113" i="13"/>
  <c r="L113" i="13"/>
  <c r="K114" i="13"/>
  <c r="L114" i="13"/>
  <c r="K115" i="13"/>
  <c r="L115" i="13" s="1"/>
  <c r="K116" i="13"/>
  <c r="L116" i="13"/>
  <c r="K117" i="13"/>
  <c r="L117" i="13"/>
  <c r="K118" i="13"/>
  <c r="L118" i="13" s="1"/>
  <c r="K119" i="13"/>
  <c r="L119" i="13" s="1"/>
  <c r="K120" i="13"/>
  <c r="L120" i="13"/>
  <c r="K121" i="13"/>
  <c r="L121" i="13"/>
  <c r="K122" i="13"/>
  <c r="L122" i="13"/>
  <c r="K123" i="13"/>
  <c r="L123" i="13" s="1"/>
  <c r="K124" i="13"/>
  <c r="L124" i="13"/>
  <c r="K125" i="13"/>
  <c r="L125" i="13"/>
  <c r="K126" i="13"/>
  <c r="L126" i="13" s="1"/>
  <c r="K127" i="13"/>
  <c r="L127" i="13" s="1"/>
  <c r="K128" i="13"/>
  <c r="L128" i="13"/>
  <c r="K129" i="13"/>
  <c r="L129" i="13"/>
  <c r="K130" i="13"/>
  <c r="L130" i="13" s="1"/>
  <c r="K131" i="13"/>
  <c r="L131" i="13" s="1"/>
  <c r="K132" i="13"/>
  <c r="L132" i="13"/>
  <c r="K133" i="13"/>
  <c r="L133" i="13"/>
  <c r="K134" i="13"/>
  <c r="L134" i="13" s="1"/>
  <c r="L5" i="3"/>
  <c r="M5" i="3"/>
  <c r="L6" i="3"/>
  <c r="M6" i="3"/>
  <c r="L7" i="3"/>
  <c r="M7" i="3" s="1"/>
  <c r="L8" i="3"/>
  <c r="M8" i="3"/>
  <c r="L9" i="3"/>
  <c r="M9" i="3" s="1"/>
  <c r="L10" i="3"/>
  <c r="M10" i="3"/>
  <c r="L11" i="3"/>
  <c r="M11" i="3" s="1"/>
  <c r="L12" i="3"/>
  <c r="M12" i="3"/>
  <c r="L13" i="3"/>
  <c r="M13" i="3"/>
  <c r="L14" i="3"/>
  <c r="M14" i="3"/>
  <c r="L15" i="3"/>
  <c r="M15" i="3" s="1"/>
  <c r="L16" i="3"/>
  <c r="M16" i="3" s="1"/>
  <c r="L17" i="3"/>
  <c r="M17" i="3" s="1"/>
  <c r="L18" i="3"/>
  <c r="M18" i="3" s="1"/>
  <c r="L19" i="3"/>
  <c r="M19" i="3" s="1"/>
  <c r="L20" i="3"/>
  <c r="M20" i="3" s="1"/>
  <c r="L21" i="3"/>
  <c r="M21" i="3" s="1"/>
  <c r="L22" i="3"/>
  <c r="M22" i="3"/>
  <c r="L23" i="3"/>
  <c r="M23" i="3" s="1"/>
  <c r="L24" i="3"/>
  <c r="M24" i="3"/>
  <c r="L25" i="3"/>
  <c r="M25" i="3" s="1"/>
  <c r="L26" i="3"/>
  <c r="M26" i="3" s="1"/>
  <c r="L27" i="3"/>
  <c r="M27" i="3" s="1"/>
  <c r="L28" i="3"/>
  <c r="M28" i="3" s="1"/>
  <c r="L29" i="3"/>
  <c r="M29" i="3"/>
  <c r="L30" i="3"/>
  <c r="M30" i="3" s="1"/>
  <c r="L31" i="3"/>
  <c r="M31" i="3" s="1"/>
  <c r="L32" i="3"/>
  <c r="M32" i="3"/>
  <c r="L33" i="3"/>
  <c r="M33" i="3" s="1"/>
  <c r="L34" i="3"/>
  <c r="M34" i="3"/>
  <c r="L35" i="3"/>
  <c r="M35" i="3" s="1"/>
  <c r="L36" i="3"/>
  <c r="M36" i="3"/>
  <c r="L37" i="3"/>
  <c r="M37" i="3"/>
  <c r="L38" i="3"/>
  <c r="M38" i="3"/>
  <c r="L39" i="3"/>
  <c r="M39" i="3" s="1"/>
  <c r="L40" i="3"/>
  <c r="M40" i="3"/>
  <c r="L41" i="3"/>
  <c r="M41" i="3" s="1"/>
  <c r="L42" i="3"/>
  <c r="M42" i="3"/>
  <c r="L43" i="3"/>
  <c r="M43" i="3" s="1"/>
  <c r="L44" i="3"/>
  <c r="M44" i="3" s="1"/>
  <c r="L45" i="3"/>
  <c r="M45" i="3"/>
  <c r="L46" i="3"/>
  <c r="M46" i="3" s="1"/>
  <c r="L47" i="3"/>
  <c r="M47" i="3" s="1"/>
  <c r="L48" i="3"/>
  <c r="M48" i="3"/>
  <c r="L49" i="3"/>
  <c r="M49" i="3"/>
  <c r="L50" i="3"/>
  <c r="M50" i="3" s="1"/>
  <c r="L51" i="3"/>
  <c r="M51" i="3" s="1"/>
  <c r="L52" i="3"/>
  <c r="M52" i="3" s="1"/>
  <c r="L53" i="3"/>
  <c r="M53" i="3" s="1"/>
  <c r="L54" i="3"/>
  <c r="M54" i="3" s="1"/>
  <c r="L55" i="3"/>
  <c r="M55" i="3" s="1"/>
  <c r="L56" i="3"/>
  <c r="M56" i="3"/>
  <c r="L57" i="3"/>
  <c r="M57" i="3"/>
  <c r="L58" i="3"/>
  <c r="M58" i="3"/>
  <c r="L59" i="3"/>
  <c r="M59" i="3" s="1"/>
  <c r="L60" i="3"/>
  <c r="M60" i="3"/>
  <c r="L61" i="3"/>
  <c r="M61" i="3" s="1"/>
  <c r="L62" i="3"/>
  <c r="M62" i="3" s="1"/>
  <c r="L63" i="3"/>
  <c r="M63" i="3" s="1"/>
  <c r="L64" i="3"/>
  <c r="M64" i="3"/>
  <c r="L65" i="3"/>
  <c r="M65" i="3" s="1"/>
  <c r="L66" i="3"/>
  <c r="M66" i="3"/>
  <c r="L67" i="3"/>
  <c r="M67" i="3" s="1"/>
  <c r="L68" i="3"/>
  <c r="M68" i="3"/>
  <c r="L69" i="3"/>
  <c r="M69" i="3" s="1"/>
  <c r="L70" i="3"/>
  <c r="M70" i="3"/>
  <c r="L71" i="3"/>
  <c r="M71" i="3" s="1"/>
  <c r="L72" i="3"/>
  <c r="M72" i="3" s="1"/>
  <c r="L73" i="3"/>
  <c r="M73" i="3" s="1"/>
  <c r="L74" i="3"/>
  <c r="M74" i="3"/>
  <c r="L75" i="3"/>
  <c r="M75" i="3" s="1"/>
  <c r="L76" i="3"/>
  <c r="M76" i="3"/>
  <c r="L77" i="3"/>
  <c r="M77" i="3" s="1"/>
  <c r="L78" i="3"/>
  <c r="M78" i="3" s="1"/>
  <c r="L79" i="3"/>
  <c r="M79" i="3" s="1"/>
  <c r="L80" i="3"/>
  <c r="M80" i="3" s="1"/>
  <c r="L81" i="3"/>
  <c r="M81" i="3" s="1"/>
  <c r="L82" i="3"/>
  <c r="M82" i="3"/>
  <c r="L83" i="3"/>
  <c r="M83" i="3" s="1"/>
  <c r="L84" i="3"/>
  <c r="M84" i="3"/>
  <c r="L85" i="3"/>
  <c r="M85" i="3" s="1"/>
  <c r="L86" i="3"/>
  <c r="M86" i="3" s="1"/>
  <c r="L87" i="3"/>
  <c r="M87" i="3" s="1"/>
  <c r="L88" i="3"/>
  <c r="M88" i="3" s="1"/>
  <c r="L89" i="3"/>
  <c r="M89" i="3" s="1"/>
  <c r="L90" i="3"/>
  <c r="M90" i="3" s="1"/>
  <c r="L91" i="3"/>
  <c r="M91" i="3" s="1"/>
  <c r="L92" i="3"/>
  <c r="M92" i="3" s="1"/>
  <c r="L93" i="3"/>
  <c r="M93" i="3"/>
  <c r="L94" i="3"/>
  <c r="M94" i="3"/>
  <c r="L95" i="3"/>
  <c r="M95" i="3" s="1"/>
  <c r="L96" i="3"/>
  <c r="M96" i="3" s="1"/>
  <c r="L97" i="3"/>
  <c r="M97" i="3" s="1"/>
  <c r="L98" i="3"/>
  <c r="M98" i="3" s="1"/>
  <c r="L99" i="3"/>
  <c r="M99" i="3" s="1"/>
  <c r="L100" i="3"/>
  <c r="M100" i="3"/>
  <c r="L101" i="3"/>
  <c r="M101" i="3" s="1"/>
  <c r="L102" i="3"/>
  <c r="M102" i="3" s="1"/>
  <c r="L103" i="3"/>
  <c r="M103" i="3" s="1"/>
  <c r="L104" i="3"/>
  <c r="M104" i="3" s="1"/>
  <c r="L105" i="3"/>
  <c r="M105" i="3" s="1"/>
  <c r="L106" i="3"/>
  <c r="M106" i="3" s="1"/>
  <c r="L107" i="3"/>
  <c r="M107" i="3" s="1"/>
  <c r="L108" i="3"/>
  <c r="M108" i="3" s="1"/>
  <c r="L109" i="3"/>
  <c r="M109" i="3" s="1"/>
  <c r="L110" i="3"/>
  <c r="M110" i="3" s="1"/>
  <c r="L111" i="3"/>
  <c r="M111" i="3" s="1"/>
  <c r="L112" i="3"/>
  <c r="M112" i="3" s="1"/>
  <c r="L113" i="3"/>
  <c r="M113" i="3"/>
  <c r="L114" i="3"/>
  <c r="M114" i="3" s="1"/>
  <c r="L115" i="3"/>
  <c r="M115" i="3" s="1"/>
  <c r="L116" i="3"/>
  <c r="M116" i="3" s="1"/>
  <c r="L117" i="3"/>
  <c r="M117" i="3" s="1"/>
  <c r="L118" i="3"/>
  <c r="M118" i="3" s="1"/>
  <c r="L119" i="3"/>
  <c r="M119" i="3" s="1"/>
  <c r="L120" i="3"/>
  <c r="M120" i="3" s="1"/>
  <c r="L121" i="3"/>
  <c r="M121" i="3"/>
  <c r="L122" i="3"/>
  <c r="M122" i="3" s="1"/>
  <c r="L123" i="3"/>
  <c r="M123" i="3" s="1"/>
  <c r="L124" i="3"/>
  <c r="M124" i="3"/>
  <c r="L125" i="3"/>
  <c r="M125" i="3"/>
  <c r="L126" i="3"/>
  <c r="M126" i="3" s="1"/>
  <c r="L127" i="3"/>
  <c r="M127" i="3" s="1"/>
  <c r="L128" i="3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Q25" i="24"/>
  <c r="Q20" i="24"/>
  <c r="P47" i="24"/>
  <c r="P14" i="24"/>
  <c r="P12" i="24"/>
  <c r="Q28" i="24"/>
  <c r="P20" i="24"/>
  <c r="Q22" i="24"/>
  <c r="P43" i="24"/>
  <c r="P6" i="24"/>
  <c r="P40" i="24"/>
  <c r="Q26" i="24"/>
  <c r="P51" i="24"/>
  <c r="Q17" i="24"/>
  <c r="P32" i="24"/>
  <c r="Q23" i="24"/>
  <c r="Q16" i="24"/>
  <c r="P19" i="24"/>
  <c r="P33" i="24"/>
  <c r="P23" i="24"/>
  <c r="Q31" i="24"/>
  <c r="Q29" i="24"/>
  <c r="P36" i="24"/>
  <c r="P5" i="24"/>
  <c r="Q32" i="24"/>
  <c r="P15" i="24"/>
  <c r="P44" i="24"/>
  <c r="Q19" i="24"/>
  <c r="P28" i="24"/>
  <c r="P4" i="24"/>
  <c r="Q11" i="24"/>
  <c r="Q24" i="24"/>
  <c r="P50" i="24"/>
  <c r="P26" i="24"/>
  <c r="Q34" i="24"/>
  <c r="P37" i="24"/>
  <c r="P24" i="24"/>
  <c r="Q5" i="24"/>
  <c r="Q9" i="24"/>
  <c r="P35" i="24"/>
  <c r="Q10" i="24"/>
  <c r="P46" i="24"/>
  <c r="P48" i="24"/>
  <c r="P9" i="24"/>
  <c r="P10" i="24"/>
  <c r="P11" i="24"/>
  <c r="Q30" i="24"/>
  <c r="P42" i="24"/>
  <c r="P13" i="24"/>
  <c r="Q4" i="24"/>
  <c r="Q35" i="24"/>
  <c r="Q12" i="24"/>
  <c r="P38" i="24"/>
  <c r="Q8" i="24"/>
  <c r="P25" i="24"/>
  <c r="P30" i="24"/>
  <c r="Q7" i="24"/>
  <c r="P27" i="24"/>
  <c r="P31" i="24"/>
  <c r="P29" i="24"/>
  <c r="Q27" i="24"/>
  <c r="P8" i="24"/>
  <c r="P22" i="24"/>
  <c r="P39" i="24"/>
  <c r="P17" i="24"/>
  <c r="Q6" i="24"/>
  <c r="P16" i="24"/>
  <c r="P45" i="24"/>
  <c r="Q33" i="24"/>
  <c r="P18" i="24"/>
  <c r="P41" i="24"/>
  <c r="Q14" i="24"/>
  <c r="Q13" i="24"/>
  <c r="P21" i="24"/>
  <c r="P52" i="24"/>
  <c r="P49" i="24"/>
  <c r="Q21" i="24"/>
  <c r="Q18" i="24"/>
  <c r="P34" i="24"/>
  <c r="Q15" i="24"/>
  <c r="P7" i="24"/>
  <c r="D135" i="10" l="1"/>
  <c r="D136" i="10"/>
  <c r="D137" i="10"/>
  <c r="D138" i="10"/>
  <c r="D139" i="10"/>
  <c r="D140" i="10"/>
  <c r="D135" i="5"/>
  <c r="D136" i="5"/>
  <c r="D137" i="5"/>
  <c r="D138" i="5"/>
  <c r="D139" i="5"/>
  <c r="D140" i="5"/>
  <c r="M4" i="3"/>
  <c r="L4" i="3"/>
  <c r="K4" i="5"/>
  <c r="L4" i="5" s="1"/>
  <c r="M29" i="21"/>
  <c r="L29" i="21"/>
  <c r="E29" i="21"/>
  <c r="E30" i="21"/>
  <c r="L30" i="21"/>
  <c r="M30" i="21"/>
  <c r="E31" i="21"/>
  <c r="L31" i="21"/>
  <c r="M31" i="21"/>
  <c r="E32" i="21"/>
  <c r="L32" i="21"/>
  <c r="M32" i="21"/>
  <c r="E33" i="21"/>
  <c r="L33" i="21"/>
  <c r="M33" i="21"/>
  <c r="E34" i="21"/>
  <c r="L34" i="21"/>
  <c r="M34" i="21"/>
  <c r="E35" i="21"/>
  <c r="L35" i="21"/>
  <c r="M35" i="21"/>
  <c r="M35" i="22"/>
  <c r="L35" i="22"/>
  <c r="E35" i="22"/>
  <c r="M34" i="22"/>
  <c r="L34" i="22"/>
  <c r="E34" i="22"/>
  <c r="M33" i="22"/>
  <c r="L33" i="22"/>
  <c r="E33" i="22"/>
  <c r="M32" i="22"/>
  <c r="L32" i="22"/>
  <c r="E32" i="22"/>
  <c r="M31" i="22"/>
  <c r="L31" i="22"/>
  <c r="E31" i="22"/>
  <c r="M30" i="22"/>
  <c r="L30" i="22"/>
  <c r="E30" i="22"/>
  <c r="M29" i="22"/>
  <c r="L29" i="22"/>
  <c r="E29" i="22"/>
  <c r="M28" i="22"/>
  <c r="L28" i="22"/>
  <c r="E28" i="22"/>
  <c r="M27" i="22"/>
  <c r="L27" i="22"/>
  <c r="E27" i="22"/>
  <c r="M26" i="22"/>
  <c r="L26" i="22"/>
  <c r="E26" i="22"/>
  <c r="M25" i="22"/>
  <c r="L25" i="22"/>
  <c r="E25" i="22"/>
  <c r="M24" i="22"/>
  <c r="L24" i="22"/>
  <c r="E24" i="22"/>
  <c r="M23" i="22"/>
  <c r="L23" i="22"/>
  <c r="E23" i="22"/>
  <c r="M22" i="22"/>
  <c r="L22" i="22"/>
  <c r="E22" i="22"/>
  <c r="M21" i="22"/>
  <c r="L21" i="22"/>
  <c r="E21" i="22"/>
  <c r="M20" i="22"/>
  <c r="L20" i="22"/>
  <c r="E20" i="22"/>
  <c r="M19" i="22"/>
  <c r="L19" i="22"/>
  <c r="E19" i="22"/>
  <c r="M18" i="22"/>
  <c r="L18" i="22"/>
  <c r="E18" i="22"/>
  <c r="M17" i="22"/>
  <c r="L17" i="22"/>
  <c r="E17" i="22"/>
  <c r="L16" i="22"/>
  <c r="M16" i="22" s="1"/>
  <c r="E16" i="22"/>
  <c r="L15" i="22"/>
  <c r="M15" i="22" s="1"/>
  <c r="E15" i="22"/>
  <c r="M14" i="22"/>
  <c r="L14" i="22"/>
  <c r="E14" i="22"/>
  <c r="L13" i="22"/>
  <c r="M13" i="22" s="1"/>
  <c r="E13" i="22"/>
  <c r="M12" i="22"/>
  <c r="L12" i="22"/>
  <c r="E12" i="22"/>
  <c r="L11" i="22"/>
  <c r="M11" i="22" s="1"/>
  <c r="E11" i="22"/>
  <c r="L10" i="22"/>
  <c r="M10" i="22" s="1"/>
  <c r="E10" i="22"/>
  <c r="M9" i="22"/>
  <c r="L9" i="22"/>
  <c r="E9" i="22"/>
  <c r="M8" i="22"/>
  <c r="L8" i="22"/>
  <c r="E8" i="22"/>
  <c r="M7" i="22"/>
  <c r="L7" i="22"/>
  <c r="E7" i="22"/>
  <c r="M6" i="22"/>
  <c r="L6" i="22"/>
  <c r="E6" i="22"/>
  <c r="L5" i="22"/>
  <c r="M5" i="22" s="1"/>
  <c r="E5" i="22"/>
  <c r="M4" i="22"/>
  <c r="L4" i="22"/>
  <c r="E4" i="22"/>
  <c r="M28" i="21"/>
  <c r="L28" i="21"/>
  <c r="E28" i="21"/>
  <c r="M27" i="21"/>
  <c r="L27" i="21"/>
  <c r="E27" i="21"/>
  <c r="M26" i="21"/>
  <c r="L26" i="21"/>
  <c r="E26" i="21"/>
  <c r="M25" i="21"/>
  <c r="L25" i="21"/>
  <c r="E25" i="21"/>
  <c r="M24" i="21"/>
  <c r="L24" i="21"/>
  <c r="E24" i="21"/>
  <c r="M23" i="21"/>
  <c r="L23" i="21"/>
  <c r="E23" i="21"/>
  <c r="M22" i="21"/>
  <c r="L22" i="21"/>
  <c r="E22" i="21"/>
  <c r="M21" i="21"/>
  <c r="L21" i="21"/>
  <c r="E21" i="21"/>
  <c r="M20" i="21"/>
  <c r="L20" i="21"/>
  <c r="E20" i="21"/>
  <c r="M19" i="21"/>
  <c r="L19" i="21"/>
  <c r="E19" i="21"/>
  <c r="L18" i="21"/>
  <c r="M18" i="21" s="1"/>
  <c r="E18" i="21"/>
  <c r="L17" i="21"/>
  <c r="M17" i="21" s="1"/>
  <c r="E17" i="21"/>
  <c r="L16" i="21"/>
  <c r="M16" i="21" s="1"/>
  <c r="E16" i="21"/>
  <c r="M15" i="21"/>
  <c r="L15" i="21"/>
  <c r="E15" i="21"/>
  <c r="M14" i="21"/>
  <c r="L14" i="21"/>
  <c r="E14" i="21"/>
  <c r="L13" i="21"/>
  <c r="M13" i="21" s="1"/>
  <c r="E13" i="21"/>
  <c r="L12" i="21"/>
  <c r="M12" i="21" s="1"/>
  <c r="E12" i="21"/>
  <c r="L11" i="21"/>
  <c r="M11" i="21" s="1"/>
  <c r="E11" i="21"/>
  <c r="L10" i="21"/>
  <c r="M10" i="21" s="1"/>
  <c r="E10" i="21"/>
  <c r="L9" i="21"/>
  <c r="M9" i="21" s="1"/>
  <c r="E9" i="21"/>
  <c r="L8" i="21"/>
  <c r="M8" i="21" s="1"/>
  <c r="E8" i="21"/>
  <c r="L7" i="21"/>
  <c r="M7" i="21" s="1"/>
  <c r="E7" i="21"/>
  <c r="L5" i="21"/>
  <c r="M5" i="21" s="1"/>
  <c r="E5" i="21"/>
  <c r="L6" i="21"/>
  <c r="M6" i="21" s="1"/>
  <c r="E6" i="21"/>
  <c r="E4" i="21"/>
  <c r="M4" i="21"/>
  <c r="L4" i="21"/>
  <c r="D74" i="11"/>
  <c r="G2" i="17"/>
  <c r="H2" i="17"/>
  <c r="H2" i="16"/>
  <c r="G2" i="16"/>
  <c r="H2" i="22" a="1"/>
  <c r="H2" i="22" s="1"/>
  <c r="I2" i="22" a="1"/>
  <c r="I2" i="22" s="1"/>
  <c r="H2" i="21" a="1"/>
  <c r="H2" i="21" s="1"/>
  <c r="I2" i="21" a="1"/>
  <c r="I2" i="21" s="1"/>
  <c r="G2" i="19" a="1"/>
  <c r="G2" i="19" s="1"/>
  <c r="H2" i="19" a="1"/>
  <c r="H2" i="19" s="1"/>
  <c r="G2" i="14"/>
  <c r="H2" i="14"/>
  <c r="G2" i="13" a="1"/>
  <c r="G2" i="13" s="1"/>
  <c r="H2" i="13" a="1"/>
  <c r="H2" i="13" s="1"/>
  <c r="G2" i="11" a="1"/>
  <c r="G2" i="11" s="1"/>
  <c r="H2" i="11" a="1"/>
  <c r="H2" i="11" s="1"/>
  <c r="K4" i="10"/>
  <c r="L4" i="10" s="1"/>
  <c r="G2" i="10"/>
  <c r="H2" i="10"/>
  <c r="G2" i="9"/>
  <c r="H2" i="9"/>
  <c r="G2" i="8" a="1"/>
  <c r="G2" i="8" s="1"/>
  <c r="H2" i="8" a="1"/>
  <c r="H2" i="8" s="1"/>
  <c r="K4" i="7"/>
  <c r="L4" i="7" s="1"/>
  <c r="G2" i="7"/>
  <c r="H2" i="7"/>
  <c r="G2" i="6" a="1"/>
  <c r="G2" i="6" s="1"/>
  <c r="H2" i="6" a="1"/>
  <c r="H2" i="6" s="1"/>
  <c r="G2" i="5"/>
  <c r="H2" i="5"/>
  <c r="I2" i="3" l="1"/>
  <c r="H2" i="3"/>
  <c r="D5" i="16" l="1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4" i="16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4" i="19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4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4" i="13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4" i="11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4" i="10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4" i="7"/>
  <c r="K134" i="17"/>
  <c r="L134" i="17" s="1"/>
  <c r="K133" i="17"/>
  <c r="L133" i="17" s="1"/>
  <c r="K132" i="17"/>
  <c r="L132" i="17" s="1"/>
  <c r="K131" i="17"/>
  <c r="L131" i="17" s="1"/>
  <c r="K130" i="17"/>
  <c r="L130" i="17" s="1"/>
  <c r="K129" i="17"/>
  <c r="L129" i="17" s="1"/>
  <c r="K128" i="17"/>
  <c r="L128" i="17" s="1"/>
  <c r="K127" i="17"/>
  <c r="L127" i="17" s="1"/>
  <c r="K126" i="17"/>
  <c r="L126" i="17" s="1"/>
  <c r="K125" i="17"/>
  <c r="L125" i="17" s="1"/>
  <c r="K124" i="17"/>
  <c r="L124" i="17" s="1"/>
  <c r="K123" i="17"/>
  <c r="L123" i="17" s="1"/>
  <c r="K122" i="17"/>
  <c r="L122" i="17" s="1"/>
  <c r="K121" i="17"/>
  <c r="L121" i="17" s="1"/>
  <c r="K120" i="17"/>
  <c r="L120" i="17" s="1"/>
  <c r="K119" i="17"/>
  <c r="L119" i="17" s="1"/>
  <c r="K118" i="17"/>
  <c r="L118" i="17" s="1"/>
  <c r="K117" i="17"/>
  <c r="L117" i="17" s="1"/>
  <c r="K116" i="17"/>
  <c r="L116" i="17" s="1"/>
  <c r="K115" i="17"/>
  <c r="L115" i="17" s="1"/>
  <c r="K114" i="17"/>
  <c r="L114" i="17" s="1"/>
  <c r="K113" i="17"/>
  <c r="L113" i="17" s="1"/>
  <c r="K112" i="17"/>
  <c r="L112" i="17" s="1"/>
  <c r="K111" i="17"/>
  <c r="L111" i="17" s="1"/>
  <c r="K110" i="17"/>
  <c r="L110" i="17" s="1"/>
  <c r="K109" i="17"/>
  <c r="L109" i="17" s="1"/>
  <c r="K108" i="17"/>
  <c r="L108" i="17" s="1"/>
  <c r="K107" i="17"/>
  <c r="L107" i="17" s="1"/>
  <c r="K106" i="17"/>
  <c r="L106" i="17" s="1"/>
  <c r="K105" i="17"/>
  <c r="L105" i="17" s="1"/>
  <c r="K104" i="17"/>
  <c r="L104" i="17" s="1"/>
  <c r="K103" i="17"/>
  <c r="L103" i="17" s="1"/>
  <c r="K102" i="17"/>
  <c r="L102" i="17" s="1"/>
  <c r="K101" i="17"/>
  <c r="L101" i="17" s="1"/>
  <c r="K100" i="17"/>
  <c r="L100" i="17" s="1"/>
  <c r="K99" i="17"/>
  <c r="L99" i="17" s="1"/>
  <c r="K98" i="17"/>
  <c r="L98" i="17" s="1"/>
  <c r="K97" i="17"/>
  <c r="L97" i="17" s="1"/>
  <c r="K96" i="17"/>
  <c r="L96" i="17" s="1"/>
  <c r="K95" i="17"/>
  <c r="L95" i="17" s="1"/>
  <c r="K94" i="17"/>
  <c r="L94" i="17" s="1"/>
  <c r="K93" i="17"/>
  <c r="L93" i="17" s="1"/>
  <c r="K92" i="17"/>
  <c r="L92" i="17" s="1"/>
  <c r="K91" i="17"/>
  <c r="L91" i="17" s="1"/>
  <c r="K90" i="17"/>
  <c r="L90" i="17" s="1"/>
  <c r="K89" i="17"/>
  <c r="L89" i="17" s="1"/>
  <c r="K88" i="17"/>
  <c r="L88" i="17" s="1"/>
  <c r="K87" i="17"/>
  <c r="L87" i="17" s="1"/>
  <c r="K86" i="17"/>
  <c r="L86" i="17" s="1"/>
  <c r="K85" i="17"/>
  <c r="L85" i="17" s="1"/>
  <c r="K84" i="17"/>
  <c r="L84" i="17" s="1"/>
  <c r="K83" i="17"/>
  <c r="L83" i="17" s="1"/>
  <c r="K82" i="17"/>
  <c r="L82" i="17" s="1"/>
  <c r="K81" i="17"/>
  <c r="L81" i="17" s="1"/>
  <c r="K80" i="17"/>
  <c r="L80" i="17" s="1"/>
  <c r="K79" i="17"/>
  <c r="L79" i="17" s="1"/>
  <c r="K78" i="17"/>
  <c r="L78" i="17" s="1"/>
  <c r="K77" i="17"/>
  <c r="L77" i="17" s="1"/>
  <c r="K76" i="17"/>
  <c r="L76" i="17" s="1"/>
  <c r="K75" i="17"/>
  <c r="L75" i="17" s="1"/>
  <c r="K74" i="17"/>
  <c r="L74" i="17" s="1"/>
  <c r="K73" i="17"/>
  <c r="L73" i="17" s="1"/>
  <c r="K72" i="17"/>
  <c r="L72" i="17" s="1"/>
  <c r="K71" i="17"/>
  <c r="L71" i="17" s="1"/>
  <c r="K70" i="17"/>
  <c r="L70" i="17" s="1"/>
  <c r="K69" i="17"/>
  <c r="L69" i="17" s="1"/>
  <c r="K68" i="17"/>
  <c r="L68" i="17" s="1"/>
  <c r="K67" i="17"/>
  <c r="L67" i="17" s="1"/>
  <c r="K66" i="17"/>
  <c r="L66" i="17" s="1"/>
  <c r="K65" i="17"/>
  <c r="L65" i="17" s="1"/>
  <c r="K64" i="17"/>
  <c r="L64" i="17" s="1"/>
  <c r="K63" i="17"/>
  <c r="L63" i="17" s="1"/>
  <c r="K62" i="17"/>
  <c r="L62" i="17" s="1"/>
  <c r="K61" i="17"/>
  <c r="L61" i="17" s="1"/>
  <c r="K60" i="17"/>
  <c r="L60" i="17" s="1"/>
  <c r="K59" i="17"/>
  <c r="L59" i="17" s="1"/>
  <c r="K58" i="17"/>
  <c r="L58" i="17" s="1"/>
  <c r="K57" i="17"/>
  <c r="L57" i="17" s="1"/>
  <c r="K56" i="17"/>
  <c r="L56" i="17" s="1"/>
  <c r="K55" i="17"/>
  <c r="L55" i="17" s="1"/>
  <c r="K54" i="17"/>
  <c r="L54" i="17" s="1"/>
  <c r="K53" i="17"/>
  <c r="L53" i="17" s="1"/>
  <c r="K52" i="17"/>
  <c r="L52" i="17" s="1"/>
  <c r="K51" i="17"/>
  <c r="L51" i="17" s="1"/>
  <c r="K50" i="17"/>
  <c r="L50" i="17" s="1"/>
  <c r="K49" i="17"/>
  <c r="L49" i="17" s="1"/>
  <c r="K48" i="17"/>
  <c r="L48" i="17" s="1"/>
  <c r="K47" i="17"/>
  <c r="L47" i="17" s="1"/>
  <c r="K46" i="17"/>
  <c r="L46" i="17" s="1"/>
  <c r="K45" i="17"/>
  <c r="L45" i="17" s="1"/>
  <c r="K44" i="17"/>
  <c r="L44" i="17" s="1"/>
  <c r="K43" i="17"/>
  <c r="L43" i="17" s="1"/>
  <c r="K42" i="17"/>
  <c r="L42" i="17" s="1"/>
  <c r="K41" i="17"/>
  <c r="L41" i="17" s="1"/>
  <c r="K40" i="17"/>
  <c r="L40" i="17" s="1"/>
  <c r="K39" i="17"/>
  <c r="L39" i="17" s="1"/>
  <c r="K38" i="17"/>
  <c r="L38" i="17" s="1"/>
  <c r="K37" i="17"/>
  <c r="L37" i="17" s="1"/>
  <c r="K36" i="17"/>
  <c r="L36" i="17" s="1"/>
  <c r="K35" i="17"/>
  <c r="L35" i="17" s="1"/>
  <c r="K34" i="17"/>
  <c r="L34" i="17" s="1"/>
  <c r="K33" i="17"/>
  <c r="L33" i="17" s="1"/>
  <c r="K32" i="17"/>
  <c r="L32" i="17" s="1"/>
  <c r="K31" i="17"/>
  <c r="L31" i="17" s="1"/>
  <c r="K30" i="17"/>
  <c r="L30" i="17" s="1"/>
  <c r="K29" i="17"/>
  <c r="L29" i="17" s="1"/>
  <c r="K28" i="17"/>
  <c r="L28" i="17" s="1"/>
  <c r="K27" i="17"/>
  <c r="L27" i="17" s="1"/>
  <c r="K26" i="17"/>
  <c r="L26" i="17" s="1"/>
  <c r="K25" i="17"/>
  <c r="L25" i="17" s="1"/>
  <c r="K24" i="17"/>
  <c r="L24" i="17" s="1"/>
  <c r="K23" i="17"/>
  <c r="L23" i="17" s="1"/>
  <c r="K22" i="17"/>
  <c r="L22" i="17" s="1"/>
  <c r="K21" i="17"/>
  <c r="L21" i="17" s="1"/>
  <c r="K20" i="17"/>
  <c r="L20" i="17" s="1"/>
  <c r="K19" i="17"/>
  <c r="L19" i="17" s="1"/>
  <c r="K18" i="17"/>
  <c r="L18" i="17" s="1"/>
  <c r="K17" i="17"/>
  <c r="L17" i="17" s="1"/>
  <c r="K16" i="17"/>
  <c r="L16" i="17" s="1"/>
  <c r="K15" i="17"/>
  <c r="L15" i="17" s="1"/>
  <c r="K14" i="17"/>
  <c r="L14" i="17" s="1"/>
  <c r="K13" i="17"/>
  <c r="L13" i="17" s="1"/>
  <c r="K12" i="17"/>
  <c r="L12" i="17" s="1"/>
  <c r="K11" i="17"/>
  <c r="L11" i="17" s="1"/>
  <c r="K10" i="17"/>
  <c r="L10" i="17" s="1"/>
  <c r="K9" i="17"/>
  <c r="L9" i="17" s="1"/>
  <c r="K8" i="17"/>
  <c r="L8" i="17" s="1"/>
  <c r="K7" i="17"/>
  <c r="L7" i="17" s="1"/>
  <c r="K6" i="17"/>
  <c r="L6" i="17" s="1"/>
  <c r="K5" i="17"/>
  <c r="L5" i="17" s="1"/>
  <c r="K4" i="17"/>
  <c r="L4" i="17" s="1"/>
  <c r="O2" i="17"/>
  <c r="N2" i="17"/>
  <c r="M2" i="17"/>
  <c r="K134" i="16"/>
  <c r="L134" i="16" s="1"/>
  <c r="K133" i="16"/>
  <c r="L133" i="16" s="1"/>
  <c r="K132" i="16"/>
  <c r="L132" i="16" s="1"/>
  <c r="K131" i="16"/>
  <c r="L131" i="16" s="1"/>
  <c r="K130" i="16"/>
  <c r="L130" i="16" s="1"/>
  <c r="K129" i="16"/>
  <c r="L129" i="16" s="1"/>
  <c r="K128" i="16"/>
  <c r="L128" i="16" s="1"/>
  <c r="K127" i="16"/>
  <c r="L127" i="16" s="1"/>
  <c r="K126" i="16"/>
  <c r="L126" i="16" s="1"/>
  <c r="K125" i="16"/>
  <c r="L125" i="16" s="1"/>
  <c r="K124" i="16"/>
  <c r="L124" i="16" s="1"/>
  <c r="K123" i="16"/>
  <c r="L123" i="16" s="1"/>
  <c r="K122" i="16"/>
  <c r="L122" i="16" s="1"/>
  <c r="K121" i="16"/>
  <c r="L121" i="16" s="1"/>
  <c r="K120" i="16"/>
  <c r="L120" i="16" s="1"/>
  <c r="K119" i="16"/>
  <c r="L119" i="16" s="1"/>
  <c r="K118" i="16"/>
  <c r="L118" i="16" s="1"/>
  <c r="K117" i="16"/>
  <c r="L117" i="16" s="1"/>
  <c r="K116" i="16"/>
  <c r="L116" i="16" s="1"/>
  <c r="K115" i="16"/>
  <c r="L115" i="16" s="1"/>
  <c r="K114" i="16"/>
  <c r="L114" i="16" s="1"/>
  <c r="K113" i="16"/>
  <c r="L113" i="16" s="1"/>
  <c r="K112" i="16"/>
  <c r="L112" i="16" s="1"/>
  <c r="K111" i="16"/>
  <c r="L111" i="16" s="1"/>
  <c r="K110" i="16"/>
  <c r="L110" i="16" s="1"/>
  <c r="K109" i="16"/>
  <c r="L109" i="16" s="1"/>
  <c r="K108" i="16"/>
  <c r="L108" i="16" s="1"/>
  <c r="K107" i="16"/>
  <c r="L107" i="16" s="1"/>
  <c r="K106" i="16"/>
  <c r="L106" i="16" s="1"/>
  <c r="K105" i="16"/>
  <c r="L105" i="16" s="1"/>
  <c r="K104" i="16"/>
  <c r="L104" i="16" s="1"/>
  <c r="K103" i="16"/>
  <c r="L103" i="16" s="1"/>
  <c r="K102" i="16"/>
  <c r="L102" i="16" s="1"/>
  <c r="K101" i="16"/>
  <c r="L101" i="16" s="1"/>
  <c r="K100" i="16"/>
  <c r="L100" i="16" s="1"/>
  <c r="K99" i="16"/>
  <c r="L99" i="16" s="1"/>
  <c r="K98" i="16"/>
  <c r="L98" i="16" s="1"/>
  <c r="K97" i="16"/>
  <c r="L97" i="16" s="1"/>
  <c r="K96" i="16"/>
  <c r="L96" i="16" s="1"/>
  <c r="K95" i="16"/>
  <c r="L95" i="16" s="1"/>
  <c r="K94" i="16"/>
  <c r="L94" i="16" s="1"/>
  <c r="K93" i="16"/>
  <c r="L93" i="16" s="1"/>
  <c r="K92" i="16"/>
  <c r="L92" i="16" s="1"/>
  <c r="K91" i="16"/>
  <c r="L91" i="16" s="1"/>
  <c r="K90" i="16"/>
  <c r="L90" i="16" s="1"/>
  <c r="K89" i="16"/>
  <c r="L89" i="16" s="1"/>
  <c r="K88" i="16"/>
  <c r="L88" i="16" s="1"/>
  <c r="K87" i="16"/>
  <c r="L87" i="16" s="1"/>
  <c r="K86" i="16"/>
  <c r="L86" i="16" s="1"/>
  <c r="K85" i="16"/>
  <c r="L85" i="16" s="1"/>
  <c r="K84" i="16"/>
  <c r="L84" i="16" s="1"/>
  <c r="K83" i="16"/>
  <c r="L83" i="16" s="1"/>
  <c r="K82" i="16"/>
  <c r="L82" i="16" s="1"/>
  <c r="K81" i="16"/>
  <c r="L81" i="16" s="1"/>
  <c r="K80" i="16"/>
  <c r="L80" i="16" s="1"/>
  <c r="K79" i="16"/>
  <c r="L79" i="16" s="1"/>
  <c r="K78" i="16"/>
  <c r="L78" i="16" s="1"/>
  <c r="K77" i="16"/>
  <c r="L77" i="16" s="1"/>
  <c r="K76" i="16"/>
  <c r="L76" i="16" s="1"/>
  <c r="K75" i="16"/>
  <c r="L75" i="16" s="1"/>
  <c r="K74" i="16"/>
  <c r="L74" i="16" s="1"/>
  <c r="K73" i="16"/>
  <c r="L73" i="16" s="1"/>
  <c r="K72" i="16"/>
  <c r="L72" i="16" s="1"/>
  <c r="K71" i="16"/>
  <c r="L71" i="16" s="1"/>
  <c r="K70" i="16"/>
  <c r="L70" i="16" s="1"/>
  <c r="K69" i="16"/>
  <c r="L69" i="16" s="1"/>
  <c r="K68" i="16"/>
  <c r="L68" i="16" s="1"/>
  <c r="K67" i="16"/>
  <c r="L67" i="16" s="1"/>
  <c r="K66" i="16"/>
  <c r="L66" i="16" s="1"/>
  <c r="K65" i="16"/>
  <c r="L65" i="16" s="1"/>
  <c r="K64" i="16"/>
  <c r="L64" i="16" s="1"/>
  <c r="K63" i="16"/>
  <c r="L63" i="16" s="1"/>
  <c r="K62" i="16"/>
  <c r="L62" i="16" s="1"/>
  <c r="K61" i="16"/>
  <c r="L61" i="16" s="1"/>
  <c r="K60" i="16"/>
  <c r="L60" i="16" s="1"/>
  <c r="K59" i="16"/>
  <c r="L59" i="16" s="1"/>
  <c r="K58" i="16"/>
  <c r="L58" i="16" s="1"/>
  <c r="K57" i="16"/>
  <c r="L57" i="16" s="1"/>
  <c r="K56" i="16"/>
  <c r="L56" i="16" s="1"/>
  <c r="K55" i="16"/>
  <c r="L55" i="16" s="1"/>
  <c r="K54" i="16"/>
  <c r="L54" i="16" s="1"/>
  <c r="K53" i="16"/>
  <c r="L53" i="16" s="1"/>
  <c r="K52" i="16"/>
  <c r="L52" i="16" s="1"/>
  <c r="K51" i="16"/>
  <c r="L51" i="16" s="1"/>
  <c r="K50" i="16"/>
  <c r="L50" i="16" s="1"/>
  <c r="K49" i="16"/>
  <c r="L49" i="16" s="1"/>
  <c r="K48" i="16"/>
  <c r="L48" i="16" s="1"/>
  <c r="K47" i="16"/>
  <c r="L47" i="16" s="1"/>
  <c r="K46" i="16"/>
  <c r="L46" i="16" s="1"/>
  <c r="K45" i="16"/>
  <c r="L45" i="16" s="1"/>
  <c r="K44" i="16"/>
  <c r="L44" i="16" s="1"/>
  <c r="K43" i="16"/>
  <c r="L43" i="16" s="1"/>
  <c r="K42" i="16"/>
  <c r="L42" i="16" s="1"/>
  <c r="K41" i="16"/>
  <c r="L41" i="16" s="1"/>
  <c r="K40" i="16"/>
  <c r="L40" i="16" s="1"/>
  <c r="K39" i="16"/>
  <c r="L39" i="16" s="1"/>
  <c r="K38" i="16"/>
  <c r="L38" i="16" s="1"/>
  <c r="K37" i="16"/>
  <c r="L37" i="16" s="1"/>
  <c r="K36" i="16"/>
  <c r="L36" i="16" s="1"/>
  <c r="K35" i="16"/>
  <c r="L35" i="16" s="1"/>
  <c r="K34" i="16"/>
  <c r="L34" i="16" s="1"/>
  <c r="K33" i="16"/>
  <c r="L33" i="16" s="1"/>
  <c r="K32" i="16"/>
  <c r="L32" i="16" s="1"/>
  <c r="K31" i="16"/>
  <c r="L31" i="16" s="1"/>
  <c r="K30" i="16"/>
  <c r="L30" i="16" s="1"/>
  <c r="K29" i="16"/>
  <c r="L29" i="16" s="1"/>
  <c r="K28" i="16"/>
  <c r="L28" i="16" s="1"/>
  <c r="K27" i="16"/>
  <c r="L27" i="16" s="1"/>
  <c r="K26" i="16"/>
  <c r="L26" i="16" s="1"/>
  <c r="K25" i="16"/>
  <c r="L25" i="16" s="1"/>
  <c r="K24" i="16"/>
  <c r="L24" i="16" s="1"/>
  <c r="K23" i="16"/>
  <c r="L23" i="16" s="1"/>
  <c r="K22" i="16"/>
  <c r="L22" i="16" s="1"/>
  <c r="K21" i="16"/>
  <c r="L21" i="16" s="1"/>
  <c r="K20" i="16"/>
  <c r="L20" i="16" s="1"/>
  <c r="K19" i="16"/>
  <c r="L19" i="16" s="1"/>
  <c r="K18" i="16"/>
  <c r="L18" i="16" s="1"/>
  <c r="K17" i="16"/>
  <c r="L17" i="16" s="1"/>
  <c r="K16" i="16"/>
  <c r="L16" i="16" s="1"/>
  <c r="K15" i="16"/>
  <c r="L15" i="16" s="1"/>
  <c r="K14" i="16"/>
  <c r="L14" i="16" s="1"/>
  <c r="K13" i="16"/>
  <c r="L13" i="16" s="1"/>
  <c r="K12" i="16"/>
  <c r="L12" i="16" s="1"/>
  <c r="K11" i="16"/>
  <c r="L11" i="16" s="1"/>
  <c r="K10" i="16"/>
  <c r="L10" i="16" s="1"/>
  <c r="K9" i="16"/>
  <c r="L9" i="16" s="1"/>
  <c r="K8" i="16"/>
  <c r="L8" i="16" s="1"/>
  <c r="K7" i="16"/>
  <c r="L7" i="16" s="1"/>
  <c r="K6" i="16"/>
  <c r="L6" i="16" s="1"/>
  <c r="K5" i="16"/>
  <c r="L5" i="16" s="1"/>
  <c r="K4" i="16"/>
  <c r="L4" i="16" s="1"/>
  <c r="O2" i="16"/>
  <c r="N2" i="16"/>
  <c r="M2" i="16"/>
  <c r="L134" i="22"/>
  <c r="M134" i="22" s="1"/>
  <c r="L133" i="22"/>
  <c r="M133" i="22" s="1"/>
  <c r="L132" i="22"/>
  <c r="M132" i="22" s="1"/>
  <c r="L131" i="22"/>
  <c r="M131" i="22" s="1"/>
  <c r="L130" i="22"/>
  <c r="M130" i="22" s="1"/>
  <c r="L129" i="22"/>
  <c r="M129" i="22" s="1"/>
  <c r="L128" i="22"/>
  <c r="M128" i="22" s="1"/>
  <c r="L127" i="22"/>
  <c r="M127" i="22" s="1"/>
  <c r="L126" i="22"/>
  <c r="M126" i="22" s="1"/>
  <c r="L125" i="22"/>
  <c r="M125" i="22" s="1"/>
  <c r="L124" i="22"/>
  <c r="M124" i="22" s="1"/>
  <c r="L123" i="22"/>
  <c r="M123" i="22" s="1"/>
  <c r="L122" i="22"/>
  <c r="M122" i="22" s="1"/>
  <c r="L121" i="22"/>
  <c r="M121" i="22" s="1"/>
  <c r="L120" i="22"/>
  <c r="M120" i="22" s="1"/>
  <c r="L119" i="22"/>
  <c r="M119" i="22" s="1"/>
  <c r="L118" i="22"/>
  <c r="M118" i="22" s="1"/>
  <c r="L117" i="22"/>
  <c r="M117" i="22" s="1"/>
  <c r="L116" i="22"/>
  <c r="M116" i="22" s="1"/>
  <c r="L115" i="22"/>
  <c r="M115" i="22" s="1"/>
  <c r="L114" i="22"/>
  <c r="M114" i="22" s="1"/>
  <c r="L113" i="22"/>
  <c r="M113" i="22" s="1"/>
  <c r="L112" i="22"/>
  <c r="M112" i="22" s="1"/>
  <c r="L111" i="22"/>
  <c r="M111" i="22" s="1"/>
  <c r="L110" i="22"/>
  <c r="M110" i="22" s="1"/>
  <c r="L109" i="22"/>
  <c r="M109" i="22" s="1"/>
  <c r="L108" i="22"/>
  <c r="M108" i="22" s="1"/>
  <c r="L107" i="22"/>
  <c r="M107" i="22" s="1"/>
  <c r="L106" i="22"/>
  <c r="M106" i="22" s="1"/>
  <c r="L105" i="22"/>
  <c r="M105" i="22" s="1"/>
  <c r="L104" i="22"/>
  <c r="M104" i="22" s="1"/>
  <c r="L103" i="22"/>
  <c r="M103" i="22" s="1"/>
  <c r="L102" i="22"/>
  <c r="M102" i="22" s="1"/>
  <c r="L101" i="22"/>
  <c r="M101" i="22" s="1"/>
  <c r="L100" i="22"/>
  <c r="M100" i="22" s="1"/>
  <c r="L99" i="22"/>
  <c r="M99" i="22" s="1"/>
  <c r="L98" i="22"/>
  <c r="M98" i="22" s="1"/>
  <c r="L97" i="22"/>
  <c r="M97" i="22" s="1"/>
  <c r="L96" i="22"/>
  <c r="M96" i="22" s="1"/>
  <c r="L95" i="22"/>
  <c r="M95" i="22" s="1"/>
  <c r="L94" i="22"/>
  <c r="M94" i="22" s="1"/>
  <c r="L93" i="22"/>
  <c r="M93" i="22" s="1"/>
  <c r="L92" i="22"/>
  <c r="M92" i="22" s="1"/>
  <c r="L91" i="22"/>
  <c r="M91" i="22" s="1"/>
  <c r="L90" i="22"/>
  <c r="M90" i="22" s="1"/>
  <c r="L89" i="22"/>
  <c r="M89" i="22" s="1"/>
  <c r="L88" i="22"/>
  <c r="M88" i="22" s="1"/>
  <c r="L87" i="22"/>
  <c r="M87" i="22" s="1"/>
  <c r="L86" i="22"/>
  <c r="M86" i="22" s="1"/>
  <c r="L85" i="22"/>
  <c r="M85" i="22" s="1"/>
  <c r="L84" i="22"/>
  <c r="M84" i="22" s="1"/>
  <c r="L83" i="22"/>
  <c r="M83" i="22" s="1"/>
  <c r="L82" i="22"/>
  <c r="M82" i="22" s="1"/>
  <c r="L81" i="22"/>
  <c r="M81" i="22" s="1"/>
  <c r="L80" i="22"/>
  <c r="M80" i="22" s="1"/>
  <c r="L79" i="22"/>
  <c r="M79" i="22" s="1"/>
  <c r="L78" i="22"/>
  <c r="M78" i="22" s="1"/>
  <c r="L77" i="22"/>
  <c r="M77" i="22" s="1"/>
  <c r="L76" i="22"/>
  <c r="M76" i="22" s="1"/>
  <c r="L75" i="22"/>
  <c r="M75" i="22" s="1"/>
  <c r="L74" i="22"/>
  <c r="M74" i="22" s="1"/>
  <c r="L73" i="22"/>
  <c r="M73" i="22" s="1"/>
  <c r="L72" i="22"/>
  <c r="M72" i="22" s="1"/>
  <c r="L71" i="22"/>
  <c r="M71" i="22" s="1"/>
  <c r="L70" i="22"/>
  <c r="M70" i="22" s="1"/>
  <c r="L69" i="22"/>
  <c r="M69" i="22" s="1"/>
  <c r="L68" i="22"/>
  <c r="M68" i="22" s="1"/>
  <c r="L67" i="22"/>
  <c r="M67" i="22" s="1"/>
  <c r="L66" i="22"/>
  <c r="M66" i="22" s="1"/>
  <c r="L65" i="22"/>
  <c r="M65" i="22" s="1"/>
  <c r="L64" i="22"/>
  <c r="M64" i="22" s="1"/>
  <c r="L63" i="22"/>
  <c r="M63" i="22" s="1"/>
  <c r="L62" i="22"/>
  <c r="M62" i="22" s="1"/>
  <c r="L61" i="22"/>
  <c r="M61" i="22" s="1"/>
  <c r="L60" i="22"/>
  <c r="M60" i="22" s="1"/>
  <c r="L59" i="22"/>
  <c r="M59" i="22" s="1"/>
  <c r="L58" i="22"/>
  <c r="M58" i="22" s="1"/>
  <c r="L57" i="22"/>
  <c r="M57" i="22" s="1"/>
  <c r="L56" i="22"/>
  <c r="M56" i="22" s="1"/>
  <c r="L55" i="22"/>
  <c r="M55" i="22" s="1"/>
  <c r="L54" i="22"/>
  <c r="M54" i="22" s="1"/>
  <c r="L53" i="22"/>
  <c r="M53" i="22" s="1"/>
  <c r="L52" i="22"/>
  <c r="M52" i="22" s="1"/>
  <c r="L51" i="22"/>
  <c r="M51" i="22" s="1"/>
  <c r="L50" i="22"/>
  <c r="M50" i="22" s="1"/>
  <c r="L49" i="22"/>
  <c r="M49" i="22" s="1"/>
  <c r="L48" i="22"/>
  <c r="M48" i="22" s="1"/>
  <c r="L47" i="22"/>
  <c r="M47" i="22" s="1"/>
  <c r="L46" i="22"/>
  <c r="M46" i="22" s="1"/>
  <c r="L45" i="22"/>
  <c r="M45" i="22" s="1"/>
  <c r="L44" i="22"/>
  <c r="M44" i="22" s="1"/>
  <c r="L43" i="22"/>
  <c r="M43" i="22" s="1"/>
  <c r="L42" i="22"/>
  <c r="M42" i="22" s="1"/>
  <c r="L41" i="22"/>
  <c r="M41" i="22" s="1"/>
  <c r="L40" i="22"/>
  <c r="M40" i="22" s="1"/>
  <c r="L39" i="22"/>
  <c r="M39" i="22" s="1"/>
  <c r="L38" i="22"/>
  <c r="M38" i="22" s="1"/>
  <c r="L37" i="22"/>
  <c r="M37" i="22" s="1"/>
  <c r="L36" i="22"/>
  <c r="M36" i="22" s="1"/>
  <c r="P2" i="22"/>
  <c r="O2" i="22"/>
  <c r="N2" i="22"/>
  <c r="L134" i="21"/>
  <c r="M134" i="21" s="1"/>
  <c r="L133" i="21"/>
  <c r="M133" i="21" s="1"/>
  <c r="L132" i="21"/>
  <c r="M132" i="21" s="1"/>
  <c r="L131" i="21"/>
  <c r="M131" i="21" s="1"/>
  <c r="L130" i="21"/>
  <c r="M130" i="21" s="1"/>
  <c r="L129" i="21"/>
  <c r="M129" i="21" s="1"/>
  <c r="L128" i="21"/>
  <c r="M128" i="21" s="1"/>
  <c r="L127" i="21"/>
  <c r="M127" i="21" s="1"/>
  <c r="L126" i="21"/>
  <c r="M126" i="21" s="1"/>
  <c r="L125" i="21"/>
  <c r="M125" i="21" s="1"/>
  <c r="L124" i="21"/>
  <c r="M124" i="21" s="1"/>
  <c r="L123" i="21"/>
  <c r="M123" i="21" s="1"/>
  <c r="L122" i="21"/>
  <c r="M122" i="21" s="1"/>
  <c r="L121" i="21"/>
  <c r="M121" i="21" s="1"/>
  <c r="L120" i="21"/>
  <c r="M120" i="21" s="1"/>
  <c r="L119" i="21"/>
  <c r="M119" i="21" s="1"/>
  <c r="L118" i="21"/>
  <c r="M118" i="21" s="1"/>
  <c r="L117" i="21"/>
  <c r="M117" i="21" s="1"/>
  <c r="L116" i="21"/>
  <c r="M116" i="21" s="1"/>
  <c r="L115" i="21"/>
  <c r="M115" i="21" s="1"/>
  <c r="L114" i="21"/>
  <c r="M114" i="21" s="1"/>
  <c r="L113" i="21"/>
  <c r="M113" i="21" s="1"/>
  <c r="L112" i="21"/>
  <c r="M112" i="21" s="1"/>
  <c r="L111" i="21"/>
  <c r="M111" i="21" s="1"/>
  <c r="L110" i="21"/>
  <c r="M110" i="21" s="1"/>
  <c r="L109" i="21"/>
  <c r="M109" i="21" s="1"/>
  <c r="L108" i="21"/>
  <c r="M108" i="21" s="1"/>
  <c r="L107" i="21"/>
  <c r="M107" i="21" s="1"/>
  <c r="L106" i="21"/>
  <c r="M106" i="21" s="1"/>
  <c r="L105" i="21"/>
  <c r="M105" i="21" s="1"/>
  <c r="L104" i="21"/>
  <c r="M104" i="21" s="1"/>
  <c r="L103" i="21"/>
  <c r="M103" i="21" s="1"/>
  <c r="L102" i="21"/>
  <c r="M102" i="21" s="1"/>
  <c r="L101" i="21"/>
  <c r="M101" i="21" s="1"/>
  <c r="L100" i="21"/>
  <c r="M100" i="21" s="1"/>
  <c r="L99" i="21"/>
  <c r="M99" i="21" s="1"/>
  <c r="L98" i="21"/>
  <c r="M98" i="21" s="1"/>
  <c r="L97" i="21"/>
  <c r="M97" i="21" s="1"/>
  <c r="L96" i="21"/>
  <c r="M96" i="21" s="1"/>
  <c r="L95" i="21"/>
  <c r="M95" i="21" s="1"/>
  <c r="L94" i="21"/>
  <c r="M94" i="21" s="1"/>
  <c r="L93" i="21"/>
  <c r="M93" i="21" s="1"/>
  <c r="L92" i="21"/>
  <c r="M92" i="21" s="1"/>
  <c r="L91" i="21"/>
  <c r="M91" i="21" s="1"/>
  <c r="L90" i="21"/>
  <c r="M90" i="21" s="1"/>
  <c r="L89" i="21"/>
  <c r="M89" i="21" s="1"/>
  <c r="L88" i="21"/>
  <c r="M88" i="21" s="1"/>
  <c r="L87" i="21"/>
  <c r="M87" i="21" s="1"/>
  <c r="L86" i="21"/>
  <c r="M86" i="21" s="1"/>
  <c r="L85" i="21"/>
  <c r="M85" i="21" s="1"/>
  <c r="L84" i="21"/>
  <c r="M84" i="21" s="1"/>
  <c r="L83" i="21"/>
  <c r="M83" i="21" s="1"/>
  <c r="L82" i="21"/>
  <c r="M82" i="21" s="1"/>
  <c r="L81" i="21"/>
  <c r="M81" i="21" s="1"/>
  <c r="L80" i="21"/>
  <c r="M80" i="21" s="1"/>
  <c r="L79" i="21"/>
  <c r="M79" i="21" s="1"/>
  <c r="L78" i="21"/>
  <c r="M78" i="21" s="1"/>
  <c r="L77" i="21"/>
  <c r="M77" i="21" s="1"/>
  <c r="L76" i="21"/>
  <c r="M76" i="21" s="1"/>
  <c r="L75" i="21"/>
  <c r="M75" i="21" s="1"/>
  <c r="L74" i="21"/>
  <c r="M74" i="21" s="1"/>
  <c r="L73" i="21"/>
  <c r="M73" i="21" s="1"/>
  <c r="L72" i="21"/>
  <c r="M72" i="21" s="1"/>
  <c r="L71" i="21"/>
  <c r="M71" i="21" s="1"/>
  <c r="L70" i="21"/>
  <c r="M70" i="21" s="1"/>
  <c r="L69" i="21"/>
  <c r="M69" i="21" s="1"/>
  <c r="L68" i="21"/>
  <c r="M68" i="21" s="1"/>
  <c r="L67" i="21"/>
  <c r="M67" i="21" s="1"/>
  <c r="L66" i="21"/>
  <c r="M66" i="21" s="1"/>
  <c r="L65" i="21"/>
  <c r="M65" i="21" s="1"/>
  <c r="L64" i="21"/>
  <c r="M64" i="21" s="1"/>
  <c r="L63" i="21"/>
  <c r="M63" i="21" s="1"/>
  <c r="L62" i="21"/>
  <c r="M62" i="21" s="1"/>
  <c r="L61" i="21"/>
  <c r="M61" i="21" s="1"/>
  <c r="L60" i="21"/>
  <c r="M60" i="21" s="1"/>
  <c r="L59" i="21"/>
  <c r="M59" i="21" s="1"/>
  <c r="L58" i="21"/>
  <c r="M58" i="21" s="1"/>
  <c r="L57" i="21"/>
  <c r="M57" i="21" s="1"/>
  <c r="L56" i="21"/>
  <c r="M56" i="21" s="1"/>
  <c r="L55" i="21"/>
  <c r="M55" i="21" s="1"/>
  <c r="L54" i="21"/>
  <c r="M54" i="21" s="1"/>
  <c r="L53" i="21"/>
  <c r="M53" i="21" s="1"/>
  <c r="L52" i="21"/>
  <c r="M52" i="21" s="1"/>
  <c r="L51" i="21"/>
  <c r="M51" i="21" s="1"/>
  <c r="L50" i="21"/>
  <c r="M50" i="21" s="1"/>
  <c r="L49" i="21"/>
  <c r="M49" i="21" s="1"/>
  <c r="L48" i="21"/>
  <c r="M48" i="21" s="1"/>
  <c r="L47" i="21"/>
  <c r="M47" i="21" s="1"/>
  <c r="L46" i="21"/>
  <c r="M46" i="21" s="1"/>
  <c r="L45" i="21"/>
  <c r="M45" i="21" s="1"/>
  <c r="L44" i="21"/>
  <c r="M44" i="21" s="1"/>
  <c r="L43" i="21"/>
  <c r="M43" i="21" s="1"/>
  <c r="L42" i="21"/>
  <c r="M42" i="21" s="1"/>
  <c r="L41" i="21"/>
  <c r="M41" i="21" s="1"/>
  <c r="L40" i="21"/>
  <c r="M40" i="21" s="1"/>
  <c r="L39" i="21"/>
  <c r="M39" i="21" s="1"/>
  <c r="L38" i="21"/>
  <c r="M38" i="21" s="1"/>
  <c r="L37" i="21"/>
  <c r="M37" i="21" s="1"/>
  <c r="L36" i="21"/>
  <c r="M36" i="21" s="1"/>
  <c r="P2" i="21"/>
  <c r="O2" i="21"/>
  <c r="N2" i="21"/>
  <c r="K4" i="19"/>
  <c r="L4" i="19" s="1"/>
  <c r="O2" i="19"/>
  <c r="N2" i="19"/>
  <c r="M2" i="19"/>
  <c r="K4" i="14"/>
  <c r="L4" i="14" s="1"/>
  <c r="O2" i="14"/>
  <c r="N2" i="14"/>
  <c r="M2" i="14"/>
  <c r="K4" i="13"/>
  <c r="L4" i="13" s="1"/>
  <c r="O2" i="13"/>
  <c r="N2" i="13"/>
  <c r="M2" i="13"/>
  <c r="L4" i="12"/>
  <c r="M4" i="12" s="1"/>
  <c r="P2" i="12"/>
  <c r="O2" i="12"/>
  <c r="N2" i="12"/>
  <c r="K4" i="11"/>
  <c r="L4" i="11" s="1"/>
  <c r="O2" i="11"/>
  <c r="N2" i="11"/>
  <c r="M2" i="11"/>
  <c r="O2" i="10"/>
  <c r="N2" i="10"/>
  <c r="M2" i="10"/>
  <c r="K4" i="9"/>
  <c r="L4" i="9" s="1"/>
  <c r="O2" i="9"/>
  <c r="N2" i="9"/>
  <c r="M2" i="9"/>
  <c r="K4" i="8"/>
  <c r="L4" i="8" s="1"/>
  <c r="O2" i="8"/>
  <c r="N2" i="8"/>
  <c r="M2" i="8"/>
  <c r="O2" i="7"/>
  <c r="N2" i="7"/>
  <c r="M2" i="7"/>
  <c r="K4" i="6"/>
  <c r="L4" i="6" s="1"/>
  <c r="O2" i="6"/>
  <c r="N2" i="6"/>
  <c r="M2" i="6"/>
  <c r="K87" i="5"/>
  <c r="L87" i="5" s="1"/>
  <c r="K86" i="5"/>
  <c r="L86" i="5" s="1"/>
  <c r="O2" i="5"/>
  <c r="N2" i="5"/>
  <c r="M2" i="5"/>
  <c r="N2" i="3"/>
  <c r="P2" i="3"/>
  <c r="O2" i="3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K2" i="22" a="1"/>
  <c r="K2" i="22" s="1"/>
  <c r="J2" i="22" a="1"/>
  <c r="J2" i="22" s="1"/>
  <c r="G2" i="22" a="1"/>
  <c r="G2" i="22" s="1"/>
  <c r="F2" i="22" a="1"/>
  <c r="F2" i="22" s="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E116" i="21"/>
  <c r="E115" i="21"/>
  <c r="E114" i="21"/>
  <c r="E113" i="21"/>
  <c r="E112" i="21"/>
  <c r="E111" i="21"/>
  <c r="E110" i="21"/>
  <c r="E109" i="21"/>
  <c r="E108" i="21"/>
  <c r="E107" i="21"/>
  <c r="E106" i="21"/>
  <c r="E105" i="21"/>
  <c r="E104" i="21"/>
  <c r="E103" i="21"/>
  <c r="E102" i="21"/>
  <c r="E101" i="21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E87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3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9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5" i="21"/>
  <c r="E44" i="21"/>
  <c r="E43" i="21"/>
  <c r="E42" i="21"/>
  <c r="E41" i="21"/>
  <c r="E40" i="21"/>
  <c r="E39" i="21"/>
  <c r="E38" i="21"/>
  <c r="E37" i="21"/>
  <c r="E36" i="21"/>
  <c r="K2" i="21" a="1"/>
  <c r="K2" i="21" s="1"/>
  <c r="J2" i="21" a="1"/>
  <c r="J2" i="21" s="1"/>
  <c r="G2" i="21" a="1"/>
  <c r="G2" i="21" s="1"/>
  <c r="F2" i="21" a="1"/>
  <c r="F2" i="21" s="1"/>
  <c r="K2" i="3"/>
  <c r="F2" i="3"/>
  <c r="D84" i="5"/>
  <c r="M2" i="21" l="1"/>
  <c r="E2" i="22"/>
  <c r="L2" i="22"/>
  <c r="M2" i="22" s="1"/>
  <c r="L2" i="21"/>
  <c r="E2" i="21"/>
  <c r="J2" i="19" a="1"/>
  <c r="J2" i="19" s="1"/>
  <c r="I2" i="19" a="1"/>
  <c r="I2" i="19" s="1"/>
  <c r="F2" i="19" a="1"/>
  <c r="F2" i="19" s="1"/>
  <c r="E2" i="19" a="1"/>
  <c r="E2" i="19" s="1"/>
  <c r="J2" i="13" a="1"/>
  <c r="J2" i="13" s="1"/>
  <c r="I2" i="13" a="1"/>
  <c r="I2" i="13" s="1"/>
  <c r="F2" i="13" a="1"/>
  <c r="F2" i="13" s="1"/>
  <c r="E2" i="13" a="1"/>
  <c r="E2" i="13" s="1"/>
  <c r="K2" i="12" a="1"/>
  <c r="K2" i="12" s="1"/>
  <c r="J2" i="12" a="1"/>
  <c r="J2" i="12" s="1"/>
  <c r="G2" i="12" a="1"/>
  <c r="G2" i="12" s="1"/>
  <c r="F2" i="12" a="1"/>
  <c r="F2" i="12" s="1"/>
  <c r="D2" i="19" l="1"/>
  <c r="K2" i="19"/>
  <c r="L2" i="19" s="1"/>
  <c r="K2" i="13"/>
  <c r="L2" i="13" s="1"/>
  <c r="M2" i="12"/>
  <c r="E2" i="12"/>
  <c r="L2" i="12"/>
  <c r="D2" i="13"/>
  <c r="E2" i="10"/>
  <c r="F2" i="10"/>
  <c r="D2" i="10" l="1"/>
  <c r="K2" i="10"/>
  <c r="J2" i="14"/>
  <c r="I2" i="14"/>
  <c r="F2" i="14"/>
  <c r="E2" i="14"/>
  <c r="K2" i="14" l="1"/>
  <c r="L2" i="14" s="1"/>
  <c r="D2" i="14"/>
  <c r="D23" i="17"/>
  <c r="D24" i="17"/>
  <c r="D25" i="17"/>
  <c r="D26" i="17"/>
  <c r="D27" i="17"/>
  <c r="D28" i="17"/>
  <c r="D29" i="17"/>
  <c r="D30" i="17"/>
  <c r="D31" i="17"/>
  <c r="D32" i="17"/>
  <c r="J2" i="11" l="1" a="1"/>
  <c r="J2" i="11" s="1"/>
  <c r="I2" i="11" a="1"/>
  <c r="I2" i="11" s="1"/>
  <c r="F2" i="11" a="1"/>
  <c r="F2" i="11" s="1"/>
  <c r="E2" i="11" a="1"/>
  <c r="E2" i="11" s="1"/>
  <c r="J2" i="10"/>
  <c r="I2" i="10"/>
  <c r="L2" i="10" s="1"/>
  <c r="K2" i="11" l="1"/>
  <c r="L2" i="11"/>
  <c r="D2" i="11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J2" i="17"/>
  <c r="I2" i="17"/>
  <c r="F2" i="17"/>
  <c r="E2" i="17"/>
  <c r="J2" i="16"/>
  <c r="I2" i="16"/>
  <c r="F2" i="16"/>
  <c r="E2" i="16"/>
  <c r="K2" i="17" l="1"/>
  <c r="L2" i="17" s="1"/>
  <c r="K2" i="16"/>
  <c r="L2" i="16" s="1"/>
  <c r="D2" i="17"/>
  <c r="D2" i="16"/>
  <c r="D134" i="9" l="1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J2" i="9"/>
  <c r="I2" i="9"/>
  <c r="F2" i="9"/>
  <c r="E2" i="9"/>
  <c r="D4" i="8"/>
  <c r="J2" i="8" a="1"/>
  <c r="J2" i="8" s="1"/>
  <c r="I2" i="8" a="1"/>
  <c r="I2" i="8" s="1"/>
  <c r="F2" i="8" a="1"/>
  <c r="F2" i="8" s="1"/>
  <c r="E2" i="8" a="1"/>
  <c r="E2" i="8" s="1"/>
  <c r="L2" i="9" l="1"/>
  <c r="K2" i="9"/>
  <c r="K2" i="8"/>
  <c r="L2" i="8" s="1"/>
  <c r="D2" i="9"/>
  <c r="D2" i="8"/>
  <c r="J2" i="7" l="1"/>
  <c r="I2" i="7"/>
  <c r="F2" i="7"/>
  <c r="E2" i="7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J2" i="6" a="1"/>
  <c r="J2" i="6" s="1"/>
  <c r="I2" i="6" a="1"/>
  <c r="I2" i="6" s="1"/>
  <c r="F2" i="6" a="1"/>
  <c r="F2" i="6" s="1"/>
  <c r="E2" i="6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J2" i="5"/>
  <c r="I2" i="5"/>
  <c r="F2" i="5"/>
  <c r="E2" i="5"/>
  <c r="K2" i="5" l="1"/>
  <c r="L2" i="5" s="1"/>
  <c r="K2" i="6"/>
  <c r="L2" i="6"/>
  <c r="K2" i="7"/>
  <c r="L2" i="7" s="1"/>
  <c r="D2" i="6"/>
  <c r="D2" i="5"/>
  <c r="D2" i="7"/>
  <c r="J2" i="3"/>
  <c r="G2" i="3"/>
  <c r="L2" i="3" l="1"/>
  <c r="M2" i="3" s="1"/>
  <c r="E2" i="3"/>
</calcChain>
</file>

<file path=xl/sharedStrings.xml><?xml version="1.0" encoding="utf-8"?>
<sst xmlns="http://schemas.openxmlformats.org/spreadsheetml/2006/main" count="6686" uniqueCount="2631">
  <si>
    <t>打数</t>
    <rPh sb="0" eb="2">
      <t>ダスウ</t>
    </rPh>
    <phoneticPr fontId="1"/>
  </si>
  <si>
    <t>安打</t>
    <rPh sb="0" eb="2">
      <t>アンダ</t>
    </rPh>
    <phoneticPr fontId="1"/>
  </si>
  <si>
    <t>本塁打</t>
    <rPh sb="0" eb="3">
      <t>ホンルイダ</t>
    </rPh>
    <phoneticPr fontId="1"/>
  </si>
  <si>
    <t>打点</t>
    <rPh sb="0" eb="2">
      <t>ダテン</t>
    </rPh>
    <phoneticPr fontId="1"/>
  </si>
  <si>
    <r>
      <rPr>
        <sz val="11"/>
        <color theme="1"/>
        <rFont val="ＭＳ Ｐゴシック"/>
        <family val="2"/>
        <charset val="128"/>
      </rPr>
      <t>背番号</t>
    </r>
    <rPh sb="0" eb="3">
      <t>セバンゴウ</t>
    </rPh>
    <phoneticPr fontId="1"/>
  </si>
  <si>
    <t>選手名</t>
    <rPh sb="0" eb="3">
      <t>センシュメイ</t>
    </rPh>
    <phoneticPr fontId="1"/>
  </si>
  <si>
    <r>
      <rPr>
        <sz val="11"/>
        <color theme="0"/>
        <rFont val="ＭＳ Ｐゴシック"/>
        <family val="2"/>
        <charset val="128"/>
      </rPr>
      <t>打率</t>
    </r>
    <rPh sb="0" eb="2">
      <t>ダリツ</t>
    </rPh>
    <phoneticPr fontId="1"/>
  </si>
  <si>
    <r>
      <rPr>
        <sz val="11"/>
        <color theme="1"/>
        <rFont val="ＭＳ Ｐゴシック"/>
        <family val="2"/>
        <charset val="128"/>
      </rPr>
      <t>打数</t>
    </r>
    <rPh sb="0" eb="2">
      <t>ダスウ</t>
    </rPh>
    <phoneticPr fontId="1"/>
  </si>
  <si>
    <r>
      <rPr>
        <sz val="11"/>
        <color theme="1"/>
        <rFont val="ＭＳ Ｐゴシック"/>
        <family val="2"/>
        <charset val="128"/>
      </rPr>
      <t>安打</t>
    </r>
    <rPh sb="0" eb="2">
      <t>アンダ</t>
    </rPh>
    <phoneticPr fontId="1"/>
  </si>
  <si>
    <r>
      <rPr>
        <sz val="11"/>
        <color theme="0"/>
        <rFont val="ＭＳ Ｐゴシック"/>
        <family val="2"/>
        <charset val="128"/>
      </rPr>
      <t>本塁打</t>
    </r>
    <rPh sb="0" eb="3">
      <t>ホンルイダ</t>
    </rPh>
    <phoneticPr fontId="1"/>
  </si>
  <si>
    <r>
      <rPr>
        <sz val="11"/>
        <color theme="0"/>
        <rFont val="ＭＳ Ｐゴシック"/>
        <family val="3"/>
        <charset val="128"/>
      </rPr>
      <t>打点</t>
    </r>
    <rPh sb="0" eb="2">
      <t>ダテン</t>
    </rPh>
    <phoneticPr fontId="1"/>
  </si>
  <si>
    <t>00</t>
    <phoneticPr fontId="1"/>
  </si>
  <si>
    <t>佐々木</t>
    <rPh sb="0" eb="3">
      <t>ササキ</t>
    </rPh>
    <phoneticPr fontId="1"/>
  </si>
  <si>
    <t>岡田</t>
    <rPh sb="0" eb="1">
      <t>オカ</t>
    </rPh>
    <rPh sb="1" eb="2">
      <t>ダ</t>
    </rPh>
    <phoneticPr fontId="1"/>
  </si>
  <si>
    <t>西川</t>
    <rPh sb="0" eb="1">
      <t>ニシ</t>
    </rPh>
    <rPh sb="1" eb="2">
      <t>カワ</t>
    </rPh>
    <phoneticPr fontId="1"/>
  </si>
  <si>
    <t>三好</t>
    <rPh sb="0" eb="2">
      <t>ミヨシ</t>
    </rPh>
    <phoneticPr fontId="1"/>
  </si>
  <si>
    <r>
      <rPr>
        <sz val="11"/>
        <color theme="1"/>
        <rFont val="ＭＳ Ｐゴシック"/>
        <family val="2"/>
        <charset val="128"/>
      </rPr>
      <t>選手名</t>
    </r>
    <rPh sb="0" eb="3">
      <t>センシュメイ</t>
    </rPh>
    <phoneticPr fontId="1"/>
  </si>
  <si>
    <t>吉川尚</t>
    <rPh sb="0" eb="2">
      <t>ヨシカワ</t>
    </rPh>
    <rPh sb="2" eb="3">
      <t>ナオ</t>
    </rPh>
    <phoneticPr fontId="1"/>
  </si>
  <si>
    <t>坂本</t>
    <rPh sb="0" eb="1">
      <t>サカ</t>
    </rPh>
    <rPh sb="1" eb="2">
      <t>モト</t>
    </rPh>
    <phoneticPr fontId="1"/>
  </si>
  <si>
    <t>丸</t>
    <rPh sb="0" eb="1">
      <t>マル</t>
    </rPh>
    <phoneticPr fontId="1"/>
  </si>
  <si>
    <t>阿部</t>
    <rPh sb="0" eb="1">
      <t>ア</t>
    </rPh>
    <rPh sb="1" eb="2">
      <t>ブ</t>
    </rPh>
    <phoneticPr fontId="1"/>
  </si>
  <si>
    <t>菅野</t>
    <rPh sb="0" eb="1">
      <t>スガ</t>
    </rPh>
    <rPh sb="1" eb="2">
      <t>ノ</t>
    </rPh>
    <phoneticPr fontId="1"/>
  </si>
  <si>
    <t>小林</t>
    <rPh sb="0" eb="1">
      <t>コ</t>
    </rPh>
    <rPh sb="1" eb="2">
      <t>ハヤシ</t>
    </rPh>
    <phoneticPr fontId="1"/>
  </si>
  <si>
    <t>岡本</t>
    <rPh sb="0" eb="1">
      <t>オカ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</si>
  <si>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</si>
  <si>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</si>
  <si>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石川</t>
    <rPh sb="0" eb="1">
      <t>イシ</t>
    </rPh>
    <rPh sb="1" eb="2">
      <t>カワ</t>
    </rPh>
    <phoneticPr fontId="1"/>
  </si>
  <si>
    <t>戸根</t>
    <rPh sb="0" eb="1">
      <t>ト</t>
    </rPh>
    <rPh sb="1" eb="2">
      <t>ネ</t>
    </rPh>
    <phoneticPr fontId="1"/>
  </si>
  <si>
    <t>北村</t>
    <rPh sb="0" eb="1">
      <t>キタ</t>
    </rPh>
    <rPh sb="1" eb="2">
      <t>ムラ</t>
    </rPh>
    <phoneticPr fontId="1"/>
  </si>
  <si>
    <t>山本</t>
    <rPh sb="0" eb="1">
      <t>ヤマ</t>
    </rPh>
    <rPh sb="1" eb="2">
      <t>モト</t>
    </rPh>
    <phoneticPr fontId="1"/>
  </si>
  <si>
    <t>若林</t>
    <rPh sb="0" eb="1">
      <t>ワカ</t>
    </rPh>
    <rPh sb="1" eb="2">
      <t>ハヤシ</t>
    </rPh>
    <phoneticPr fontId="1"/>
  </si>
  <si>
    <t>大江</t>
    <rPh sb="0" eb="1">
      <t>ダイ</t>
    </rPh>
    <rPh sb="1" eb="2">
      <t>エ</t>
    </rPh>
    <phoneticPr fontId="1"/>
  </si>
  <si>
    <t>村上</t>
    <rPh sb="0" eb="1">
      <t>ムラ</t>
    </rPh>
    <rPh sb="1" eb="2">
      <t>ウエ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</si>
  <si>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</si>
  <si>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</si>
  <si>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</si>
  <si>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</si>
  <si>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</si>
  <si>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山田</t>
    <rPh sb="0" eb="1">
      <t>ヤマ</t>
    </rPh>
    <rPh sb="1" eb="2">
      <t>ダ</t>
    </rPh>
    <phoneticPr fontId="1"/>
  </si>
  <si>
    <t>西浦</t>
    <rPh sb="0" eb="1">
      <t>ニシ</t>
    </rPh>
    <rPh sb="1" eb="2">
      <t>ウラ</t>
    </rPh>
    <phoneticPr fontId="1"/>
  </si>
  <si>
    <t>川端</t>
    <rPh sb="0" eb="1">
      <t>カワ</t>
    </rPh>
    <rPh sb="1" eb="2">
      <t>ハタ</t>
    </rPh>
    <phoneticPr fontId="1"/>
  </si>
  <si>
    <t>塩見</t>
    <rPh sb="0" eb="1">
      <t>シオ</t>
    </rPh>
    <rPh sb="1" eb="2">
      <t>ミ</t>
    </rPh>
    <phoneticPr fontId="1"/>
  </si>
  <si>
    <t>荒木</t>
    <rPh sb="0" eb="1">
      <t>コウ</t>
    </rPh>
    <rPh sb="1" eb="2">
      <t>キ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</si>
  <si>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</si>
  <si>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寺島</t>
    <rPh sb="0" eb="1">
      <t>テラ</t>
    </rPh>
    <rPh sb="1" eb="2">
      <t>シマ</t>
    </rPh>
    <phoneticPr fontId="1"/>
  </si>
  <si>
    <t>石山</t>
    <rPh sb="0" eb="1">
      <t>イシ</t>
    </rPh>
    <rPh sb="1" eb="2">
      <t>ヤマ</t>
    </rPh>
    <phoneticPr fontId="1"/>
  </si>
  <si>
    <t>小川</t>
    <rPh sb="0" eb="1">
      <t>コ</t>
    </rPh>
    <rPh sb="1" eb="2">
      <t>カワ</t>
    </rPh>
    <phoneticPr fontId="1"/>
  </si>
  <si>
    <t>西田</t>
    <rPh sb="0" eb="1">
      <t>ニシ</t>
    </rPh>
    <rPh sb="1" eb="2">
      <t>ダ</t>
    </rPh>
    <phoneticPr fontId="1"/>
  </si>
  <si>
    <t>山崎</t>
    <rPh sb="0" eb="1">
      <t>ヤマ</t>
    </rPh>
    <rPh sb="1" eb="2">
      <t>ザキ</t>
    </rPh>
    <phoneticPr fontId="1"/>
  </si>
  <si>
    <t>梅野</t>
    <rPh sb="0" eb="1">
      <t>ウメ</t>
    </rPh>
    <rPh sb="1" eb="2">
      <t>ノ</t>
    </rPh>
    <phoneticPr fontId="1"/>
  </si>
  <si>
    <t>宮本</t>
    <rPh sb="0" eb="1">
      <t>ミヤ</t>
    </rPh>
    <rPh sb="1" eb="2">
      <t>モト</t>
    </rPh>
    <phoneticPr fontId="1"/>
  </si>
  <si>
    <t>坂口</t>
    <rPh sb="0" eb="1">
      <t>サカ</t>
    </rPh>
    <rPh sb="1" eb="2">
      <t>クチ</t>
    </rPh>
    <phoneticPr fontId="1"/>
  </si>
  <si>
    <t>古賀</t>
    <rPh sb="0" eb="1">
      <t>フル</t>
    </rPh>
    <rPh sb="1" eb="2">
      <t>ガ</t>
    </rPh>
    <phoneticPr fontId="1"/>
  </si>
  <si>
    <t>中村</t>
    <rPh sb="0" eb="1">
      <t>ナカ</t>
    </rPh>
    <rPh sb="1" eb="2">
      <t>ムラ</t>
    </rPh>
    <phoneticPr fontId="1"/>
  </si>
  <si>
    <t>渡邉</t>
    <rPh sb="0" eb="1">
      <t>ワタル</t>
    </rPh>
    <rPh sb="1" eb="2">
      <t>ヘン</t>
    </rPh>
    <phoneticPr fontId="1"/>
  </si>
  <si>
    <t>高橋</t>
    <rPh sb="0" eb="1">
      <t>コウ</t>
    </rPh>
    <rPh sb="1" eb="2">
      <t>ハシ</t>
    </rPh>
    <phoneticPr fontId="1"/>
  </si>
  <si>
    <t>平井</t>
    <rPh sb="0" eb="1">
      <t>ヒラ</t>
    </rPh>
    <rPh sb="1" eb="2">
      <t>イ</t>
    </rPh>
    <phoneticPr fontId="1"/>
  </si>
  <si>
    <t>東</t>
    <rPh sb="0" eb="1">
      <t>アズマ</t>
    </rPh>
    <phoneticPr fontId="1"/>
  </si>
  <si>
    <t>山﨑康</t>
    <rPh sb="0" eb="2">
      <t>ヤマサキ</t>
    </rPh>
    <rPh sb="2" eb="3">
      <t>ヤス</t>
    </rPh>
    <phoneticPr fontId="1"/>
  </si>
  <si>
    <r>
      <rPr>
        <sz val="11"/>
        <color theme="1"/>
        <rFont val="ＭＳ Ｐゴシック"/>
        <family val="3"/>
        <charset val="128"/>
      </rPr>
      <t>宮</t>
    </r>
    <r>
      <rPr>
        <sz val="11"/>
        <color theme="1"/>
        <rFont val="ＭＳ Ｐゴシック"/>
        <family val="3"/>
        <charset val="128"/>
      </rPr>
      <t>本</t>
    </r>
    <rPh sb="0" eb="1">
      <t>ミヤ</t>
    </rPh>
    <rPh sb="1" eb="2">
      <t>モト</t>
    </rPh>
    <phoneticPr fontId="1"/>
  </si>
  <si>
    <t>桑原</t>
    <rPh sb="0" eb="1">
      <t>クワ</t>
    </rPh>
    <rPh sb="1" eb="2">
      <t>ハラ</t>
    </rPh>
    <phoneticPr fontId="1"/>
  </si>
  <si>
    <t>倉本</t>
    <rPh sb="0" eb="1">
      <t>クラ</t>
    </rPh>
    <rPh sb="1" eb="2">
      <t>モト</t>
    </rPh>
    <phoneticPr fontId="1"/>
  </si>
  <si>
    <t>神里</t>
    <rPh sb="0" eb="1">
      <t>カミ</t>
    </rPh>
    <rPh sb="1" eb="2">
      <t>リ</t>
    </rPh>
    <phoneticPr fontId="1"/>
  </si>
  <si>
    <t>大和</t>
    <rPh sb="0" eb="1">
      <t>ダイ</t>
    </rPh>
    <rPh sb="1" eb="2">
      <t>ワ</t>
    </rPh>
    <phoneticPr fontId="1"/>
  </si>
  <si>
    <t>戸柱</t>
    <rPh sb="0" eb="1">
      <t>ト</t>
    </rPh>
    <rPh sb="1" eb="2">
      <t>ハシラ</t>
    </rPh>
    <phoneticPr fontId="1"/>
  </si>
  <si>
    <t>阪口</t>
    <rPh sb="0" eb="1">
      <t>サカ</t>
    </rPh>
    <rPh sb="1" eb="2">
      <t>クチ</t>
    </rPh>
    <phoneticPr fontId="1"/>
  </si>
  <si>
    <t>石田</t>
    <rPh sb="0" eb="1">
      <t>イシ</t>
    </rPh>
    <rPh sb="1" eb="2">
      <t>ダ</t>
    </rPh>
    <phoneticPr fontId="1"/>
  </si>
  <si>
    <t>三嶋</t>
    <rPh sb="0" eb="1">
      <t>サン</t>
    </rPh>
    <rPh sb="1" eb="2">
      <t>シマ</t>
    </rPh>
    <phoneticPr fontId="1"/>
  </si>
  <si>
    <t>今永</t>
    <rPh sb="0" eb="1">
      <t>イマ</t>
    </rPh>
    <rPh sb="1" eb="2">
      <t>ナガ</t>
    </rPh>
    <phoneticPr fontId="1"/>
  </si>
  <si>
    <t>濵口</t>
    <rPh sb="0" eb="1">
      <t>ハマ</t>
    </rPh>
    <rPh sb="1" eb="2">
      <t>クチ</t>
    </rPh>
    <phoneticPr fontId="1"/>
  </si>
  <si>
    <t>柴田</t>
    <rPh sb="0" eb="1">
      <t>シバ</t>
    </rPh>
    <rPh sb="1" eb="2">
      <t>ダ</t>
    </rPh>
    <phoneticPr fontId="1"/>
  </si>
  <si>
    <t>平田</t>
    <rPh sb="0" eb="1">
      <t>ヒラ</t>
    </rPh>
    <rPh sb="1" eb="2">
      <t>ダ</t>
    </rPh>
    <phoneticPr fontId="1"/>
  </si>
  <si>
    <t>三上</t>
    <rPh sb="0" eb="1">
      <t>サン</t>
    </rPh>
    <rPh sb="1" eb="2">
      <t>ウエ</t>
    </rPh>
    <phoneticPr fontId="1"/>
  </si>
  <si>
    <t>楠本</t>
    <rPh sb="0" eb="1">
      <t>クスノキ</t>
    </rPh>
    <rPh sb="1" eb="2">
      <t>モト</t>
    </rPh>
    <phoneticPr fontId="1"/>
  </si>
  <si>
    <t>嶺井</t>
    <rPh sb="0" eb="1">
      <t>ミネ</t>
    </rPh>
    <rPh sb="1" eb="2">
      <t>イ</t>
    </rPh>
    <phoneticPr fontId="1"/>
  </si>
  <si>
    <t>櫻井</t>
    <rPh sb="0" eb="1">
      <t>サクラ</t>
    </rPh>
    <rPh sb="1" eb="2">
      <t>イ</t>
    </rPh>
    <phoneticPr fontId="1"/>
  </si>
  <si>
    <t>佐野</t>
    <rPh sb="0" eb="1">
      <t>サ</t>
    </rPh>
    <rPh sb="1" eb="2">
      <t>ノ</t>
    </rPh>
    <phoneticPr fontId="1"/>
  </si>
  <si>
    <t>砂田</t>
    <rPh sb="0" eb="1">
      <t>スナ</t>
    </rPh>
    <rPh sb="1" eb="2">
      <t>ダ</t>
    </rPh>
    <phoneticPr fontId="1"/>
  </si>
  <si>
    <t>京山</t>
    <rPh sb="0" eb="1">
      <t>キョウ</t>
    </rPh>
    <rPh sb="1" eb="2">
      <t>ヤマ</t>
    </rPh>
    <phoneticPr fontId="1"/>
  </si>
  <si>
    <t>宮﨑</t>
    <rPh sb="0" eb="1">
      <t>ミヤ</t>
    </rPh>
    <rPh sb="1" eb="2">
      <t>サキ</t>
    </rPh>
    <phoneticPr fontId="1"/>
  </si>
  <si>
    <t>細川</t>
    <rPh sb="0" eb="1">
      <t>ホソ</t>
    </rPh>
    <rPh sb="1" eb="2">
      <t>カワ</t>
    </rPh>
    <phoneticPr fontId="1"/>
  </si>
  <si>
    <t>平良</t>
    <rPh sb="0" eb="1">
      <t>ヒラ</t>
    </rPh>
    <rPh sb="1" eb="2">
      <t>リョウ</t>
    </rPh>
    <phoneticPr fontId="1"/>
  </si>
  <si>
    <t>関根</t>
    <rPh sb="0" eb="1">
      <t>カン</t>
    </rPh>
    <rPh sb="1" eb="2">
      <t>ネ</t>
    </rPh>
    <phoneticPr fontId="1"/>
  </si>
  <si>
    <t>田村</t>
    <rPh sb="0" eb="1">
      <t>タ</t>
    </rPh>
    <rPh sb="1" eb="2">
      <t>ムラ</t>
    </rPh>
    <phoneticPr fontId="1"/>
  </si>
  <si>
    <t>鈴木</t>
    <rPh sb="0" eb="2">
      <t>スズキ</t>
    </rPh>
    <phoneticPr fontId="1"/>
  </si>
  <si>
    <t>00</t>
    <phoneticPr fontId="1"/>
  </si>
  <si>
    <t>00</t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</si>
  <si>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</si>
  <si>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伊藤裕</t>
    <rPh sb="0" eb="2">
      <t>イトウ</t>
    </rPh>
    <rPh sb="2" eb="3">
      <t>ユウ</t>
    </rPh>
    <phoneticPr fontId="1"/>
  </si>
  <si>
    <t>小笠原</t>
    <rPh sb="0" eb="3">
      <t>オガサワラ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</si>
  <si>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</si>
  <si>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</si>
  <si>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</si>
  <si>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</si>
  <si>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鈴木博</t>
    <rPh sb="0" eb="2">
      <t>スズキ</t>
    </rPh>
    <rPh sb="2" eb="3">
      <t>ヒロシ</t>
    </rPh>
    <phoneticPr fontId="1"/>
  </si>
  <si>
    <t>伊藤康</t>
    <rPh sb="0" eb="2">
      <t>イトウ</t>
    </rPh>
    <rPh sb="2" eb="3">
      <t>ヤス</t>
    </rPh>
    <phoneticPr fontId="1"/>
  </si>
  <si>
    <t>ビシエド</t>
    <phoneticPr fontId="1"/>
  </si>
  <si>
    <t>桂</t>
    <rPh sb="0" eb="1">
      <t>カツラ</t>
    </rPh>
    <phoneticPr fontId="1"/>
  </si>
  <si>
    <t>京田</t>
    <rPh sb="0" eb="2">
      <t>キョウダ</t>
    </rPh>
    <phoneticPr fontId="1"/>
  </si>
  <si>
    <t>大島</t>
    <rPh sb="0" eb="1">
      <t>ダイ</t>
    </rPh>
    <rPh sb="1" eb="2">
      <t>シマ</t>
    </rPh>
    <phoneticPr fontId="1"/>
  </si>
  <si>
    <t>谷元</t>
    <rPh sb="0" eb="1">
      <t>タニ</t>
    </rPh>
    <rPh sb="1" eb="2">
      <t>モト</t>
    </rPh>
    <phoneticPr fontId="1"/>
  </si>
  <si>
    <t>又吉</t>
    <rPh sb="0" eb="1">
      <t>マタ</t>
    </rPh>
    <rPh sb="1" eb="2">
      <t>キチ</t>
    </rPh>
    <phoneticPr fontId="1"/>
  </si>
  <si>
    <t>福谷</t>
    <rPh sb="0" eb="1">
      <t>フク</t>
    </rPh>
    <rPh sb="1" eb="2">
      <t>タニ</t>
    </rPh>
    <phoneticPr fontId="1"/>
  </si>
  <si>
    <t>佐藤</t>
    <rPh sb="0" eb="1">
      <t>サ</t>
    </rPh>
    <rPh sb="1" eb="2">
      <t>フジ</t>
    </rPh>
    <phoneticPr fontId="1"/>
  </si>
  <si>
    <t>石垣</t>
    <rPh sb="0" eb="1">
      <t>イシ</t>
    </rPh>
    <rPh sb="1" eb="2">
      <t>カキ</t>
    </rPh>
    <phoneticPr fontId="1"/>
  </si>
  <si>
    <t>笠原</t>
    <rPh sb="0" eb="1">
      <t>カサ</t>
    </rPh>
    <rPh sb="1" eb="2">
      <t>ハラ</t>
    </rPh>
    <phoneticPr fontId="1"/>
  </si>
  <si>
    <t>溝脇</t>
    <rPh sb="0" eb="1">
      <t>ミゾ</t>
    </rPh>
    <rPh sb="1" eb="2">
      <t>ワキ</t>
    </rPh>
    <phoneticPr fontId="1"/>
  </si>
  <si>
    <t>清水</t>
    <rPh sb="0" eb="1">
      <t>キヨ</t>
    </rPh>
    <rPh sb="1" eb="2">
      <t>ミズ</t>
    </rPh>
    <phoneticPr fontId="1"/>
  </si>
  <si>
    <t>藤嶋</t>
    <rPh sb="0" eb="1">
      <t>フジ</t>
    </rPh>
    <rPh sb="1" eb="2">
      <t>シマ</t>
    </rPh>
    <phoneticPr fontId="1"/>
  </si>
  <si>
    <t>福田</t>
    <rPh sb="0" eb="1">
      <t>フク</t>
    </rPh>
    <rPh sb="1" eb="2">
      <t>タ</t>
    </rPh>
    <phoneticPr fontId="1"/>
  </si>
  <si>
    <t>堂上</t>
    <rPh sb="0" eb="1">
      <t>ドウ</t>
    </rPh>
    <rPh sb="1" eb="2">
      <t>ウエ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</si>
  <si>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</si>
  <si>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</si>
  <si>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島内</t>
    <rPh sb="0" eb="2">
      <t>シマウチ</t>
    </rPh>
    <phoneticPr fontId="1"/>
  </si>
  <si>
    <t>124</t>
    <phoneticPr fontId="1"/>
  </si>
  <si>
    <t>144</t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</si>
  <si>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</si>
  <si>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</si>
  <si>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鍵谷</t>
    <rPh sb="0" eb="2">
      <t>カギヤ</t>
    </rPh>
    <phoneticPr fontId="1"/>
  </si>
  <si>
    <t>桜井</t>
    <rPh sb="0" eb="2">
      <t>サクライ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</si>
  <si>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</si>
  <si>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</si>
  <si>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中島</t>
    <rPh sb="0" eb="2">
      <t>ナカジマ</t>
    </rPh>
    <phoneticPr fontId="1"/>
  </si>
  <si>
    <t>石川</t>
    <rPh sb="0" eb="2">
      <t>イシカワ</t>
    </rPh>
    <phoneticPr fontId="1"/>
  </si>
  <si>
    <t>松原</t>
    <rPh sb="0" eb="2">
      <t>マツバラ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</si>
  <si>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</si>
  <si>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</si>
  <si>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松井</t>
    <rPh sb="0" eb="2">
      <t>マツイ</t>
    </rPh>
    <phoneticPr fontId="1"/>
  </si>
  <si>
    <t>加藤</t>
    <rPh sb="0" eb="2">
      <t>カトウ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</si>
  <si>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</si>
  <si>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</si>
  <si>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清水</t>
    <rPh sb="0" eb="2">
      <t>シミズ</t>
    </rPh>
    <phoneticPr fontId="1"/>
  </si>
  <si>
    <t>近藤</t>
    <rPh sb="0" eb="2">
      <t>コンドウ</t>
    </rPh>
    <phoneticPr fontId="1"/>
  </si>
  <si>
    <t>坂本</t>
    <rPh sb="0" eb="2">
      <t>サカモト</t>
    </rPh>
    <phoneticPr fontId="1"/>
  </si>
  <si>
    <t>マクガフ</t>
    <phoneticPr fontId="1"/>
  </si>
  <si>
    <t>市川</t>
    <rPh sb="0" eb="2">
      <t>イチカワ</t>
    </rPh>
    <phoneticPr fontId="1"/>
  </si>
  <si>
    <t>久保</t>
    <rPh sb="0" eb="2">
      <t>クボ</t>
    </rPh>
    <phoneticPr fontId="1"/>
  </si>
  <si>
    <t>奥村</t>
    <rPh sb="0" eb="2">
      <t>オクムラ</t>
    </rPh>
    <phoneticPr fontId="1"/>
  </si>
  <si>
    <t>中山</t>
    <rPh sb="0" eb="2">
      <t>ナカヤマ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</si>
  <si>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</si>
  <si>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</si>
  <si>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松本</t>
    <rPh sb="0" eb="2">
      <t>マツモト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</si>
  <si>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</si>
  <si>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</si>
  <si>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</si>
  <si>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中井</t>
    <rPh sb="0" eb="2">
      <t>ナカイ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</si>
  <si>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</si>
  <si>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</si>
  <si>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</si>
  <si>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横山</t>
    <rPh sb="0" eb="2">
      <t>ヨコヤマ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</si>
  <si>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</si>
  <si>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</si>
  <si>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</si>
  <si>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渡辺</t>
    <rPh sb="0" eb="2">
      <t>ワタナベ</t>
    </rPh>
    <phoneticPr fontId="1"/>
  </si>
  <si>
    <t>滝野</t>
    <rPh sb="0" eb="2">
      <t>タキノ</t>
    </rPh>
    <phoneticPr fontId="1"/>
  </si>
  <si>
    <t>石橋</t>
    <rPh sb="0" eb="2">
      <t>イシバシ</t>
    </rPh>
    <phoneticPr fontId="1"/>
  </si>
  <si>
    <t>大野奨太</t>
    <rPh sb="0" eb="2">
      <t>オオノ</t>
    </rPh>
    <rPh sb="2" eb="3">
      <t>ショウ</t>
    </rPh>
    <rPh sb="3" eb="4">
      <t>タ</t>
    </rPh>
    <phoneticPr fontId="1"/>
  </si>
  <si>
    <t>背番号</t>
    <rPh sb="0" eb="3">
      <t>セバンゴウ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</si>
  <si>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</si>
  <si>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</si>
  <si>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高橋礼</t>
    <rPh sb="0" eb="1">
      <t>コウ</t>
    </rPh>
    <rPh sb="1" eb="2">
      <t>ハシ</t>
    </rPh>
    <rPh sb="2" eb="3">
      <t>レイ</t>
    </rPh>
    <phoneticPr fontId="1"/>
  </si>
  <si>
    <t>森</t>
    <rPh sb="0" eb="1">
      <t>モリ</t>
    </rPh>
    <phoneticPr fontId="1"/>
  </si>
  <si>
    <t>谷川原</t>
    <rPh sb="0" eb="3">
      <t>タニガワラ</t>
    </rPh>
    <phoneticPr fontId="1"/>
  </si>
  <si>
    <t>髙橋純</t>
    <rPh sb="0" eb="1">
      <t>タカ</t>
    </rPh>
    <rPh sb="1" eb="2">
      <t>ハシ</t>
    </rPh>
    <rPh sb="2" eb="3">
      <t>ジュン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</si>
  <si>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</si>
  <si>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</si>
  <si>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</si>
  <si>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髙橋光成</t>
    <rPh sb="0" eb="2">
      <t>タカハシ</t>
    </rPh>
    <rPh sb="2" eb="3">
      <t>ヒカリ</t>
    </rPh>
    <rPh sb="3" eb="4">
      <t>セイ</t>
    </rPh>
    <phoneticPr fontId="1"/>
  </si>
  <si>
    <t>呉</t>
    <rPh sb="0" eb="1">
      <t>クレ</t>
    </rPh>
    <phoneticPr fontId="1"/>
  </si>
  <si>
    <t>フルネーム</t>
    <phoneticPr fontId="1"/>
  </si>
  <si>
    <t>本田</t>
    <rPh sb="0" eb="2">
      <t>ホンダ</t>
    </rPh>
    <phoneticPr fontId="1"/>
  </si>
  <si>
    <t>伊藤 裕季也</t>
  </si>
  <si>
    <t>大和</t>
  </si>
  <si>
    <t>上茶谷 大河</t>
  </si>
  <si>
    <t>エスコバー</t>
  </si>
  <si>
    <t>大竹 耕太郎</t>
  </si>
  <si>
    <t>谷川原 健太</t>
  </si>
  <si>
    <t>嘉弥真 新也</t>
  </si>
  <si>
    <t>川瀬</t>
    <rPh sb="0" eb="1">
      <t>カワ</t>
    </rPh>
    <rPh sb="1" eb="2">
      <t>セ</t>
    </rPh>
    <phoneticPr fontId="1"/>
  </si>
  <si>
    <t>髙田</t>
    <rPh sb="0" eb="1">
      <t>タカ</t>
    </rPh>
    <rPh sb="1" eb="2">
      <t>ダ</t>
    </rPh>
    <phoneticPr fontId="1"/>
  </si>
  <si>
    <t>松田</t>
    <rPh sb="0" eb="2">
      <t>マツダ</t>
    </rPh>
    <phoneticPr fontId="1"/>
  </si>
  <si>
    <t>今宮</t>
    <rPh sb="0" eb="2">
      <t>イマミヤ</t>
    </rPh>
    <phoneticPr fontId="1"/>
  </si>
  <si>
    <t>明石</t>
    <rPh sb="0" eb="1">
      <t>メイ</t>
    </rPh>
    <rPh sb="1" eb="2">
      <t>イシ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</si>
  <si>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</si>
  <si>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</si>
  <si>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武田</t>
    <rPh sb="0" eb="1">
      <t>タケ</t>
    </rPh>
    <rPh sb="1" eb="2">
      <t>ダ</t>
    </rPh>
    <phoneticPr fontId="1"/>
  </si>
  <si>
    <t>甲斐野</t>
    <rPh sb="0" eb="3">
      <t>カイノ</t>
    </rPh>
    <phoneticPr fontId="1"/>
  </si>
  <si>
    <t>周東</t>
    <rPh sb="0" eb="2">
      <t>シュウトウ</t>
    </rPh>
    <phoneticPr fontId="1"/>
  </si>
  <si>
    <t>和田</t>
    <rPh sb="0" eb="1">
      <t>ワ</t>
    </rPh>
    <rPh sb="1" eb="2">
      <t>ダ</t>
    </rPh>
    <phoneticPr fontId="1"/>
  </si>
  <si>
    <t>栗原</t>
    <rPh sb="0" eb="1">
      <t>クリ</t>
    </rPh>
    <rPh sb="1" eb="2">
      <t>ハラ</t>
    </rPh>
    <phoneticPr fontId="1"/>
  </si>
  <si>
    <t>増田</t>
    <rPh sb="0" eb="1">
      <t>ゾウ</t>
    </rPh>
    <rPh sb="1" eb="2">
      <t>ダ</t>
    </rPh>
    <phoneticPr fontId="1"/>
  </si>
  <si>
    <t>椎野</t>
    <rPh sb="0" eb="1">
      <t>シイ</t>
    </rPh>
    <rPh sb="1" eb="2">
      <t>ノ</t>
    </rPh>
    <phoneticPr fontId="1"/>
  </si>
  <si>
    <t>千賀</t>
    <rPh sb="0" eb="1">
      <t>セン</t>
    </rPh>
    <rPh sb="1" eb="2">
      <t>ガ</t>
    </rPh>
    <phoneticPr fontId="1"/>
  </si>
  <si>
    <t>上林</t>
    <rPh sb="0" eb="1">
      <t>ウエ</t>
    </rPh>
    <rPh sb="1" eb="2">
      <t>ハヤシ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</si>
  <si>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</si>
  <si>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</si>
  <si>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野村</t>
    <rPh sb="0" eb="2">
      <t>ノムラ</t>
    </rPh>
    <phoneticPr fontId="1"/>
  </si>
  <si>
    <t>田浦</t>
    <rPh sb="0" eb="1">
      <t>タ</t>
    </rPh>
    <rPh sb="1" eb="2">
      <t>ウラ</t>
    </rPh>
    <phoneticPr fontId="1"/>
  </si>
  <si>
    <t>水谷</t>
    <rPh sb="0" eb="2">
      <t>ミズタニ</t>
    </rPh>
    <phoneticPr fontId="1"/>
  </si>
  <si>
    <t>真砂</t>
    <rPh sb="0" eb="1">
      <t>マ</t>
    </rPh>
    <rPh sb="1" eb="2">
      <t>スナ</t>
    </rPh>
    <phoneticPr fontId="1"/>
  </si>
  <si>
    <t>九鬼</t>
    <rPh sb="0" eb="1">
      <t>ク</t>
    </rPh>
    <rPh sb="1" eb="2">
      <t>オニ</t>
    </rPh>
    <phoneticPr fontId="1"/>
  </si>
  <si>
    <t>笠谷</t>
    <rPh sb="0" eb="1">
      <t>カサ</t>
    </rPh>
    <rPh sb="1" eb="2">
      <t>タニ</t>
    </rPh>
    <phoneticPr fontId="1"/>
  </si>
  <si>
    <t>三森</t>
    <rPh sb="0" eb="1">
      <t>サン</t>
    </rPh>
    <rPh sb="1" eb="2">
      <t>モリ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</si>
  <si>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</si>
  <si>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</si>
  <si>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</si>
  <si>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今井</t>
    <rPh sb="0" eb="1">
      <t>イマ</t>
    </rPh>
    <rPh sb="1" eb="2">
      <t>イ</t>
    </rPh>
    <phoneticPr fontId="1"/>
  </si>
  <si>
    <t>十亀</t>
    <rPh sb="0" eb="1">
      <t>ジュッ</t>
    </rPh>
    <rPh sb="1" eb="2">
      <t>カメ</t>
    </rPh>
    <phoneticPr fontId="1"/>
  </si>
  <si>
    <t>フルネーム</t>
    <phoneticPr fontId="1"/>
  </si>
  <si>
    <t>ビエイラ</t>
  </si>
  <si>
    <t>大城</t>
    <rPh sb="0" eb="2">
      <t>オオシロ</t>
    </rPh>
    <phoneticPr fontId="1"/>
  </si>
  <si>
    <t>髙橋</t>
    <rPh sb="0" eb="2">
      <t>タカハシ</t>
    </rPh>
    <phoneticPr fontId="1"/>
  </si>
  <si>
    <t>堀田</t>
    <rPh sb="0" eb="2">
      <t>ホッタ</t>
    </rPh>
    <phoneticPr fontId="1"/>
  </si>
  <si>
    <t>立岡</t>
    <rPh sb="0" eb="2">
      <t>タテオカ</t>
    </rPh>
    <phoneticPr fontId="1"/>
  </si>
  <si>
    <t>菊田</t>
    <rPh sb="0" eb="2">
      <t>キクタ</t>
    </rPh>
    <phoneticPr fontId="1"/>
  </si>
  <si>
    <t>坂本 誠志郎</t>
  </si>
  <si>
    <t>板山 祐太郎</t>
  </si>
  <si>
    <t>フルネーム</t>
    <phoneticPr fontId="1"/>
  </si>
  <si>
    <t>中田</t>
    <rPh sb="0" eb="2">
      <t>ナカタ</t>
    </rPh>
    <phoneticPr fontId="1"/>
  </si>
  <si>
    <t>井上</t>
    <rPh sb="0" eb="2">
      <t>イノウエ</t>
    </rPh>
    <phoneticPr fontId="1"/>
  </si>
  <si>
    <t>奥川</t>
    <rPh sb="0" eb="2">
      <t>オクガワ</t>
    </rPh>
    <phoneticPr fontId="1"/>
  </si>
  <si>
    <t>大西</t>
    <rPh sb="0" eb="2">
      <t>オオニシ</t>
    </rPh>
    <phoneticPr fontId="1"/>
  </si>
  <si>
    <t>嶋</t>
    <rPh sb="0" eb="1">
      <t>シマ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</si>
  <si>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</si>
  <si>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</si>
  <si>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吉田大成</t>
    <rPh sb="0" eb="2">
      <t>ヨシダ</t>
    </rPh>
    <rPh sb="2" eb="4">
      <t>タイセイ</t>
    </rPh>
    <phoneticPr fontId="1"/>
  </si>
  <si>
    <t>今野</t>
    <rPh sb="0" eb="2">
      <t>コンノ</t>
    </rPh>
    <phoneticPr fontId="1"/>
  </si>
  <si>
    <t>長谷川</t>
    <rPh sb="0" eb="3">
      <t>ハセガワ</t>
    </rPh>
    <phoneticPr fontId="1"/>
  </si>
  <si>
    <t>98</t>
    <rPh sb="0" eb="2">
      <t>クラモト</t>
    </rPh>
    <phoneticPr fontId="1"/>
  </si>
  <si>
    <t>杉山</t>
    <rPh sb="0" eb="2">
      <t>スギヤマ</t>
    </rPh>
    <phoneticPr fontId="1"/>
  </si>
  <si>
    <t>フルネーム</t>
    <phoneticPr fontId="1"/>
  </si>
  <si>
    <t>小笠原 慎之介</t>
  </si>
  <si>
    <t>祖父江 大輔</t>
  </si>
  <si>
    <t>岡野 祐一郎</t>
  </si>
  <si>
    <t>三ツ俣 大樹</t>
  </si>
  <si>
    <t>笠原 祥太郎</t>
  </si>
  <si>
    <t>ビシエド</t>
  </si>
  <si>
    <t>R.マルティネス</t>
  </si>
  <si>
    <t>鈴木翔</t>
    <rPh sb="0" eb="2">
      <t>スズキ</t>
    </rPh>
    <rPh sb="2" eb="3">
      <t>ショウ</t>
    </rPh>
    <phoneticPr fontId="1"/>
  </si>
  <si>
    <t>マルク</t>
    <phoneticPr fontId="1"/>
  </si>
  <si>
    <t>橋本</t>
    <rPh sb="0" eb="2">
      <t>ハシモト</t>
    </rPh>
    <phoneticPr fontId="1"/>
  </si>
  <si>
    <t>岡野</t>
    <rPh sb="0" eb="2">
      <t>オカノ</t>
    </rPh>
    <phoneticPr fontId="1"/>
  </si>
  <si>
    <t>郡司</t>
    <rPh sb="0" eb="2">
      <t>グンジ</t>
    </rPh>
    <phoneticPr fontId="1"/>
  </si>
  <si>
    <t>岡林</t>
    <rPh sb="0" eb="2">
      <t>オカバヤシ</t>
    </rPh>
    <phoneticPr fontId="1"/>
  </si>
  <si>
    <t>竹内</t>
    <rPh sb="0" eb="2">
      <t>タケウチ</t>
    </rPh>
    <phoneticPr fontId="1"/>
  </si>
  <si>
    <t>髙松</t>
    <rPh sb="0" eb="1">
      <t>タカ</t>
    </rPh>
    <rPh sb="1" eb="2">
      <t>マツ</t>
    </rPh>
    <phoneticPr fontId="1"/>
  </si>
  <si>
    <t>フルネーム</t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</si>
  <si>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</si>
  <si>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</si>
  <si>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佐藤</t>
    <rPh sb="0" eb="2">
      <t>サトウ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</si>
  <si>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</si>
  <si>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</si>
  <si>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</si>
  <si>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川島</t>
    <rPh sb="0" eb="2">
      <t>カワシマ</t>
    </rPh>
    <phoneticPr fontId="1"/>
  </si>
  <si>
    <t>小林</t>
    <rPh sb="0" eb="2">
      <t>コバヤシ</t>
    </rPh>
    <phoneticPr fontId="1"/>
  </si>
  <si>
    <t>右</t>
  </si>
  <si>
    <t>左</t>
  </si>
  <si>
    <t>投</t>
  </si>
  <si>
    <t>打</t>
  </si>
  <si>
    <t>備考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</si>
  <si>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</si>
  <si>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</si>
  <si>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</si>
  <si>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</si>
  <si>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福田</t>
    <rPh sb="0" eb="2">
      <t>フクダ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</si>
  <si>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</si>
  <si>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</si>
  <si>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後藤</t>
    <rPh sb="0" eb="2">
      <t>ゴトウ</t>
    </rPh>
    <phoneticPr fontId="1"/>
  </si>
  <si>
    <t>山﨑福</t>
    <rPh sb="0" eb="2">
      <t>ヤマサキ</t>
    </rPh>
    <rPh sb="2" eb="3">
      <t>フク</t>
    </rPh>
    <phoneticPr fontId="1"/>
  </si>
  <si>
    <t>宮城</t>
    <rPh sb="0" eb="2">
      <t>ミヤギ</t>
    </rPh>
    <phoneticPr fontId="1"/>
  </si>
  <si>
    <t>増井</t>
    <rPh sb="0" eb="2">
      <t>マスイ</t>
    </rPh>
    <phoneticPr fontId="1"/>
  </si>
  <si>
    <t>山本</t>
    <rPh sb="0" eb="2">
      <t>ヤマモト</t>
    </rPh>
    <phoneticPr fontId="1"/>
  </si>
  <si>
    <t>山岡</t>
    <rPh sb="0" eb="2">
      <t>ヤマオカ</t>
    </rPh>
    <phoneticPr fontId="1"/>
  </si>
  <si>
    <t>竹安</t>
    <rPh sb="0" eb="2">
      <t>タケヤス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</si>
  <si>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</si>
  <si>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</si>
  <si>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</si>
  <si>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西村</t>
    <rPh sb="0" eb="2">
      <t>ニシムラ</t>
    </rPh>
    <phoneticPr fontId="1"/>
  </si>
  <si>
    <t>富山</t>
    <rPh sb="0" eb="2">
      <t>トヤマ</t>
    </rPh>
    <phoneticPr fontId="1"/>
  </si>
  <si>
    <t>田嶋</t>
    <rPh sb="0" eb="2">
      <t>タジマ</t>
    </rPh>
    <phoneticPr fontId="1"/>
  </si>
  <si>
    <t>吉田正</t>
    <rPh sb="0" eb="2">
      <t>ヨシダ</t>
    </rPh>
    <rPh sb="2" eb="3">
      <t>マサ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</si>
  <si>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</si>
  <si>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</si>
  <si>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</si>
  <si>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</si>
  <si>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澤田</t>
    <rPh sb="0" eb="2">
      <t>サワダ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</si>
  <si>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</si>
  <si>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</si>
  <si>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松井雅</t>
    <rPh sb="0" eb="2">
      <t>マツイ</t>
    </rPh>
    <rPh sb="2" eb="3">
      <t>マサ</t>
    </rPh>
    <phoneticPr fontId="1"/>
  </si>
  <si>
    <t>山田</t>
    <rPh sb="0" eb="2">
      <t>ヤマダ</t>
    </rPh>
    <phoneticPr fontId="1"/>
  </si>
  <si>
    <t>根本</t>
    <rPh sb="0" eb="2">
      <t>ネモト</t>
    </rPh>
    <phoneticPr fontId="1"/>
  </si>
  <si>
    <t>吉田凌</t>
    <rPh sb="0" eb="2">
      <t>ヨシダ</t>
    </rPh>
    <rPh sb="2" eb="3">
      <t>リョウ</t>
    </rPh>
    <phoneticPr fontId="1"/>
  </si>
  <si>
    <t>中川</t>
    <rPh sb="0" eb="2">
      <t>ナカガワ</t>
    </rPh>
    <phoneticPr fontId="1"/>
  </si>
  <si>
    <t>杉本</t>
    <rPh sb="0" eb="2">
      <t>スギモト</t>
    </rPh>
    <phoneticPr fontId="1"/>
  </si>
  <si>
    <t>谷岡</t>
    <rPh sb="0" eb="2">
      <t>タニオカ</t>
    </rPh>
    <phoneticPr fontId="1"/>
  </si>
  <si>
    <t>大下</t>
    <rPh sb="0" eb="2">
      <t>オオシタ</t>
    </rPh>
    <phoneticPr fontId="1"/>
  </si>
  <si>
    <t>佐藤一</t>
    <rPh sb="0" eb="2">
      <t>サトウ</t>
    </rPh>
    <rPh sb="2" eb="3">
      <t>イチ</t>
    </rPh>
    <phoneticPr fontId="1"/>
  </si>
  <si>
    <t>Tー岡田</t>
    <rPh sb="2" eb="4">
      <t>オカダ</t>
    </rPh>
    <phoneticPr fontId="1"/>
  </si>
  <si>
    <t>Kー鈴木</t>
    <rPh sb="2" eb="4">
      <t>スズキ</t>
    </rPh>
    <phoneticPr fontId="1"/>
  </si>
  <si>
    <t>フルネーム</t>
    <phoneticPr fontId="1"/>
  </si>
  <si>
    <t>本田</t>
    <rPh sb="0" eb="1">
      <t>ホン</t>
    </rPh>
    <rPh sb="1" eb="2">
      <t>ダ</t>
    </rPh>
    <phoneticPr fontId="1"/>
  </si>
  <si>
    <t>鈴木</t>
    <rPh sb="0" eb="1">
      <t>スズ</t>
    </rPh>
    <rPh sb="1" eb="2">
      <t>キ</t>
    </rPh>
    <phoneticPr fontId="1"/>
  </si>
  <si>
    <t>武隈</t>
    <rPh sb="0" eb="1">
      <t>タケ</t>
    </rPh>
    <rPh sb="1" eb="2">
      <t>クマ</t>
    </rPh>
    <phoneticPr fontId="1"/>
  </si>
  <si>
    <t>愛斗</t>
  </si>
  <si>
    <t>愛斗</t>
    <rPh sb="0" eb="1">
      <t>アイ</t>
    </rPh>
    <rPh sb="1" eb="2">
      <t>ト</t>
    </rPh>
    <phoneticPr fontId="1"/>
  </si>
  <si>
    <t>熊代</t>
    <rPh sb="0" eb="1">
      <t>クマ</t>
    </rPh>
    <rPh sb="1" eb="2">
      <t>ダイ</t>
    </rPh>
    <phoneticPr fontId="1"/>
  </si>
  <si>
    <t>渡邉 勇太朗</t>
  </si>
  <si>
    <t>田村 伊知郎</t>
  </si>
  <si>
    <t>岡田</t>
    <rPh sb="0" eb="2">
      <t>オカダ</t>
    </rPh>
    <phoneticPr fontId="1"/>
  </si>
  <si>
    <t>山川</t>
    <rPh sb="0" eb="2">
      <t>ヤマカワ</t>
    </rPh>
    <phoneticPr fontId="1"/>
  </si>
  <si>
    <t>山野辺</t>
    <rPh sb="0" eb="3">
      <t>ヤマノベ</t>
    </rPh>
    <phoneticPr fontId="1"/>
  </si>
  <si>
    <t>渡邉</t>
    <rPh sb="0" eb="2">
      <t>ワタナベ</t>
    </rPh>
    <phoneticPr fontId="1"/>
  </si>
  <si>
    <t>宮川</t>
    <rPh sb="0" eb="2">
      <t>ミヤガワ</t>
    </rPh>
    <phoneticPr fontId="1"/>
  </si>
  <si>
    <t>浜屋</t>
    <rPh sb="0" eb="2">
      <t>ハマヤ</t>
    </rPh>
    <phoneticPr fontId="1"/>
  </si>
  <si>
    <t>内海</t>
    <rPh sb="0" eb="2">
      <t>ウツミ</t>
    </rPh>
    <phoneticPr fontId="1"/>
  </si>
  <si>
    <t>森脇</t>
    <rPh sb="0" eb="2">
      <t>モリワキ</t>
    </rPh>
    <phoneticPr fontId="1"/>
  </si>
  <si>
    <t>柘植</t>
    <rPh sb="0" eb="2">
      <t>ツゲ</t>
    </rPh>
    <phoneticPr fontId="1"/>
  </si>
  <si>
    <t>牧野</t>
    <rPh sb="0" eb="2">
      <t>マキノ</t>
    </rPh>
    <phoneticPr fontId="1"/>
  </si>
  <si>
    <t>與座</t>
    <rPh sb="0" eb="2">
      <t>ヨザ</t>
    </rPh>
    <phoneticPr fontId="1"/>
  </si>
  <si>
    <t>松岡</t>
    <rPh sb="0" eb="2">
      <t>マツオカ</t>
    </rPh>
    <phoneticPr fontId="1"/>
  </si>
  <si>
    <t>川野</t>
    <rPh sb="0" eb="2">
      <t>カワノ</t>
    </rPh>
    <phoneticPr fontId="1"/>
  </si>
  <si>
    <t>戸川</t>
    <rPh sb="0" eb="2">
      <t>トガワ</t>
    </rPh>
    <phoneticPr fontId="1"/>
  </si>
  <si>
    <t>岸</t>
    <rPh sb="0" eb="1">
      <t>キシ</t>
    </rPh>
    <phoneticPr fontId="1"/>
  </si>
  <si>
    <t>フルネーム</t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</si>
  <si>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</si>
  <si>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</si>
  <si>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</si>
  <si>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</si>
  <si>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吉田輝</t>
    <rPh sb="0" eb="2">
      <t>ヨシダ</t>
    </rPh>
    <rPh sb="2" eb="3">
      <t>テル</t>
    </rPh>
    <phoneticPr fontId="1"/>
  </si>
  <si>
    <t>上原</t>
    <rPh sb="0" eb="2">
      <t>ウエハラ</t>
    </rPh>
    <phoneticPr fontId="1"/>
  </si>
  <si>
    <t>清宮</t>
    <rPh sb="0" eb="2">
      <t>キヨミヤ</t>
    </rPh>
    <phoneticPr fontId="1"/>
  </si>
  <si>
    <t>宮西</t>
    <rPh sb="0" eb="2">
      <t>ミヤニシ</t>
    </rPh>
    <phoneticPr fontId="1"/>
  </si>
  <si>
    <t>河野</t>
    <rPh sb="0" eb="2">
      <t>カワノ</t>
    </rPh>
    <phoneticPr fontId="1"/>
  </si>
  <si>
    <t>井口</t>
    <rPh sb="0" eb="2">
      <t>イグチ</t>
    </rPh>
    <phoneticPr fontId="1"/>
  </si>
  <si>
    <t>谷内</t>
    <rPh sb="0" eb="2">
      <t>ヤチ</t>
    </rPh>
    <phoneticPr fontId="1"/>
  </si>
  <si>
    <t>立野</t>
    <rPh sb="0" eb="2">
      <t>タチノ</t>
    </rPh>
    <phoneticPr fontId="1"/>
  </si>
  <si>
    <t>堀</t>
    <rPh sb="0" eb="1">
      <t>ホリ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</si>
  <si>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</si>
  <si>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</si>
  <si>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宮台</t>
    <rPh sb="0" eb="2">
      <t>ミヤダイ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</si>
  <si>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</si>
  <si>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</si>
  <si>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</si>
  <si>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梅林</t>
    <rPh sb="0" eb="2">
      <t>ウメバヤシ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</si>
  <si>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</si>
  <si>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</si>
  <si>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</si>
  <si>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</si>
  <si>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銀次</t>
  </si>
  <si>
    <t>津留崎 大成</t>
  </si>
  <si>
    <t>小深田</t>
    <rPh sb="0" eb="3">
      <t>コブカタ</t>
    </rPh>
    <phoneticPr fontId="1"/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</si>
  <si>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</si>
  <si>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</si>
  <si>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</si>
  <si>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森原</t>
    <rPh sb="0" eb="2">
      <t>モリハラ</t>
    </rPh>
    <phoneticPr fontId="1"/>
  </si>
  <si>
    <t>則本</t>
    <rPh sb="0" eb="2">
      <t>ノリモト</t>
    </rPh>
    <phoneticPr fontId="1"/>
  </si>
  <si>
    <t>涌井</t>
    <rPh sb="0" eb="2">
      <t>ワクイ</t>
    </rPh>
    <phoneticPr fontId="1"/>
  </si>
  <si>
    <t>塩見</t>
    <rPh sb="0" eb="2">
      <t>シオミ</t>
    </rPh>
    <phoneticPr fontId="1"/>
  </si>
  <si>
    <t>安樂</t>
    <rPh sb="0" eb="2">
      <t>アンラク</t>
    </rPh>
    <phoneticPr fontId="1"/>
  </si>
  <si>
    <t>釜田</t>
    <rPh sb="0" eb="2">
      <t>カマタ</t>
    </rPh>
    <phoneticPr fontId="1"/>
  </si>
  <si>
    <t>弓削</t>
    <rPh sb="0" eb="2">
      <t>ユゲ</t>
    </rPh>
    <phoneticPr fontId="1"/>
  </si>
  <si>
    <t>黒川</t>
    <rPh sb="0" eb="2">
      <t>クロカワ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</si>
  <si>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</si>
  <si>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</si>
  <si>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山下</t>
    <rPh sb="0" eb="2">
      <t>ヤマシタ</t>
    </rPh>
    <phoneticPr fontId="1"/>
  </si>
  <si>
    <t>福井</t>
    <rPh sb="0" eb="2">
      <t>フクイ</t>
    </rPh>
    <phoneticPr fontId="1"/>
  </si>
  <si>
    <t>銀次</t>
    <rPh sb="0" eb="2">
      <t>ギンジ</t>
    </rPh>
    <phoneticPr fontId="1"/>
  </si>
  <si>
    <t>山﨑</t>
    <rPh sb="0" eb="2">
      <t>ヤマサキ</t>
    </rPh>
    <phoneticPr fontId="1"/>
  </si>
  <si>
    <t>岩見</t>
    <rPh sb="0" eb="2">
      <t>イワミ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</si>
  <si>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</si>
  <si>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</si>
  <si>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</si>
  <si>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</si>
  <si>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</si>
  <si>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</si>
  <si>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西口</t>
    <rPh sb="0" eb="2">
      <t>ニシグチ</t>
    </rPh>
    <phoneticPr fontId="1"/>
  </si>
  <si>
    <t>村林</t>
    <rPh sb="0" eb="2">
      <t>ムラバヤシ</t>
    </rPh>
    <phoneticPr fontId="1"/>
  </si>
  <si>
    <t>石原</t>
    <rPh sb="0" eb="2">
      <t>イシハラ</t>
    </rPh>
    <phoneticPr fontId="1"/>
  </si>
  <si>
    <t>小峯</t>
    <rPh sb="0" eb="2">
      <t>コミネ</t>
    </rPh>
    <phoneticPr fontId="1"/>
  </si>
  <si>
    <t>中村</t>
    <rPh sb="0" eb="2">
      <t>ナカムラ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</si>
  <si>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</si>
  <si>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</si>
  <si>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</si>
  <si>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</si>
  <si>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藤原</t>
    <rPh sb="0" eb="2">
      <t>フジワラ</t>
    </rPh>
    <phoneticPr fontId="1"/>
  </si>
  <si>
    <t>角中</t>
    <rPh sb="0" eb="1">
      <t>カク</t>
    </rPh>
    <rPh sb="1" eb="2">
      <t>ナカ</t>
    </rPh>
    <phoneticPr fontId="1"/>
  </si>
  <si>
    <t>藤岡</t>
    <rPh sb="0" eb="2">
      <t>フジオカ</t>
    </rPh>
    <phoneticPr fontId="1"/>
  </si>
  <si>
    <t>安田</t>
    <rPh sb="0" eb="2">
      <t>ヤスダ</t>
    </rPh>
    <phoneticPr fontId="1"/>
  </si>
  <si>
    <t>福田秀</t>
    <rPh sb="0" eb="3">
      <t>フクダヒデ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</si>
  <si>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</si>
  <si>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</si>
  <si>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</si>
  <si>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</si>
  <si>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</si>
  <si>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</si>
  <si>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</si>
  <si>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田村</t>
    <rPh sb="0" eb="2">
      <t>タムラ</t>
    </rPh>
    <phoneticPr fontId="1"/>
  </si>
  <si>
    <t>三木</t>
    <rPh sb="0" eb="2">
      <t>ミキ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</si>
  <si>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</si>
  <si>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</si>
  <si>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菅野</t>
    <rPh sb="0" eb="2">
      <t>スガノ</t>
    </rPh>
    <phoneticPr fontId="1"/>
  </si>
  <si>
    <t>土肥</t>
    <rPh sb="0" eb="2">
      <t>ドヒ</t>
    </rPh>
    <phoneticPr fontId="1"/>
  </si>
  <si>
    <t>小野</t>
    <rPh sb="0" eb="2">
      <t>オノ</t>
    </rPh>
    <phoneticPr fontId="1"/>
  </si>
  <si>
    <t>吉田</t>
    <rPh sb="0" eb="2">
      <t>ヨシダ</t>
    </rPh>
    <phoneticPr fontId="1"/>
  </si>
  <si>
    <t>福田光</t>
    <rPh sb="0" eb="2">
      <t>フクダ</t>
    </rPh>
    <rPh sb="2" eb="3">
      <t>ヒカリ</t>
    </rPh>
    <phoneticPr fontId="1"/>
  </si>
  <si>
    <t>成田</t>
    <rPh sb="0" eb="2">
      <t>ナリタ</t>
    </rPh>
    <phoneticPr fontId="1"/>
  </si>
  <si>
    <t>宗接</t>
    <rPh sb="0" eb="1">
      <t>ムネ</t>
    </rPh>
    <rPh sb="1" eb="2">
      <t>セツ</t>
    </rPh>
    <phoneticPr fontId="1"/>
  </si>
  <si>
    <t>岩下</t>
    <rPh sb="0" eb="2">
      <t>イワシタ</t>
    </rPh>
    <phoneticPr fontId="1"/>
  </si>
  <si>
    <t>田中靖</t>
    <rPh sb="0" eb="2">
      <t>タナカ</t>
    </rPh>
    <rPh sb="2" eb="3">
      <t>ヤス</t>
    </rPh>
    <phoneticPr fontId="1"/>
  </si>
  <si>
    <t>中村稔</t>
    <rPh sb="0" eb="2">
      <t>ナカムラ</t>
    </rPh>
    <rPh sb="2" eb="3">
      <t>トシ</t>
    </rPh>
    <phoneticPr fontId="1"/>
  </si>
  <si>
    <t>山口</t>
    <rPh sb="0" eb="2">
      <t>ヤマグチ</t>
    </rPh>
    <phoneticPr fontId="1"/>
  </si>
  <si>
    <t>益田</t>
    <rPh sb="0" eb="2">
      <t>マスダ</t>
    </rPh>
    <phoneticPr fontId="1"/>
  </si>
  <si>
    <t>江村</t>
    <rPh sb="0" eb="2">
      <t>エムラ</t>
    </rPh>
    <phoneticPr fontId="1"/>
  </si>
  <si>
    <t>香月</t>
    <rPh sb="0" eb="2">
      <t>カツキ</t>
    </rPh>
    <phoneticPr fontId="1"/>
  </si>
  <si>
    <t>古谷</t>
    <rPh sb="0" eb="2">
      <t>フルヤ</t>
    </rPh>
    <phoneticPr fontId="1"/>
  </si>
  <si>
    <t>茶谷</t>
    <rPh sb="0" eb="2">
      <t>チャタニ</t>
    </rPh>
    <phoneticPr fontId="1"/>
  </si>
  <si>
    <t>西巻</t>
    <rPh sb="0" eb="2">
      <t>ニシマキ</t>
    </rPh>
    <phoneticPr fontId="1"/>
  </si>
  <si>
    <t>土居</t>
    <rPh sb="0" eb="2">
      <t>ドイ</t>
    </rPh>
    <phoneticPr fontId="1"/>
  </si>
  <si>
    <t>柿沼</t>
    <rPh sb="0" eb="2">
      <t>カキヌマ</t>
    </rPh>
    <phoneticPr fontId="1"/>
  </si>
  <si>
    <t>サントス</t>
  </si>
  <si>
    <t>伊勢</t>
    <rPh sb="0" eb="2">
      <t>イセ</t>
    </rPh>
    <phoneticPr fontId="1"/>
  </si>
  <si>
    <t>髙城</t>
    <rPh sb="0" eb="1">
      <t>タカ</t>
    </rPh>
    <rPh sb="1" eb="2">
      <t>ジョウ</t>
    </rPh>
    <phoneticPr fontId="1"/>
  </si>
  <si>
    <t>浅田</t>
    <rPh sb="0" eb="2">
      <t>アサダ</t>
    </rPh>
    <phoneticPr fontId="1"/>
  </si>
  <si>
    <t>田部</t>
    <rPh sb="0" eb="2">
      <t>タベ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</si>
  <si>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</si>
  <si>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</si>
  <si>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</si>
  <si>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ウィーラー</t>
    <phoneticPr fontId="1"/>
  </si>
  <si>
    <t>萩原</t>
    <rPh sb="0" eb="2">
      <t>ハギワラ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</si>
  <si>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</si>
  <si>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</si>
  <si>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</si>
  <si>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番号</t>
    <rPh sb="0" eb="2">
      <t>バンゴウ</t>
    </rPh>
    <phoneticPr fontId="1"/>
  </si>
  <si>
    <t>1</t>
    <phoneticPr fontId="1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</si>
  <si>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</si>
  <si>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</si>
  <si>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</si>
  <si>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</si>
  <si>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</si>
  <si>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</si>
  <si>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</si>
  <si>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</si>
  <si>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</si>
  <si>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</si>
  <si>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</si>
  <si>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</si>
  <si>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</si>
  <si>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</si>
  <si>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</si>
  <si>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</si>
  <si>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</si>
  <si>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</si>
  <si>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</si>
  <si>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</si>
  <si>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</si>
  <si>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</si>
  <si>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</si>
  <si>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</si>
  <si>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</si>
  <si>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</si>
  <si>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</si>
  <si>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</si>
  <si>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</si>
  <si>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</si>
  <si>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</si>
  <si>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</si>
  <si>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</si>
  <si>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</si>
  <si>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</si>
  <si>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</si>
  <si>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</si>
  <si>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</si>
  <si>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</si>
  <si>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</si>
  <si>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</si>
  <si>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</si>
  <si>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</si>
  <si>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</si>
  <si>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</si>
  <si>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</si>
  <si>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</si>
  <si>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</si>
  <si>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</si>
  <si>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</si>
  <si>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</si>
  <si>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</si>
  <si>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</si>
  <si>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</si>
  <si>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</si>
  <si>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</si>
  <si>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</si>
  <si>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</si>
  <si>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</si>
  <si>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</si>
  <si>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</si>
  <si>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</si>
  <si>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</si>
  <si>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</si>
  <si>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</si>
  <si>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</si>
  <si>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</si>
  <si>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</si>
  <si>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</si>
  <si>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</si>
  <si>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</si>
  <si>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</si>
  <si>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</si>
  <si>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</si>
  <si>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</si>
  <si>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</si>
  <si>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</si>
  <si>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</si>
  <si>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</si>
  <si>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</si>
  <si>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</si>
  <si>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</si>
  <si>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</si>
  <si>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</si>
  <si>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</si>
  <si>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</si>
  <si>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</si>
  <si>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</si>
  <si>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</si>
  <si>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</si>
  <si>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</si>
  <si>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</si>
  <si>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</si>
  <si>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</si>
  <si>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</si>
  <si>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</si>
  <si>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</si>
  <si>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</si>
  <si>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</si>
  <si>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</si>
  <si>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</si>
  <si>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</si>
  <si>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</si>
  <si>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</si>
  <si>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</si>
  <si>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</si>
  <si>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</si>
  <si>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</si>
  <si>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</si>
  <si>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</si>
  <si>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</si>
  <si>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</si>
  <si>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</si>
  <si>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</si>
  <si>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</si>
  <si>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</si>
  <si>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</si>
  <si>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</si>
  <si>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</si>
  <si>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</si>
  <si>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</si>
  <si>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</si>
  <si>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</si>
  <si>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</si>
  <si>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</si>
  <si>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</si>
  <si>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</si>
  <si>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</si>
  <si>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</si>
  <si>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</si>
  <si>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デラロサ</t>
  </si>
  <si>
    <t>ウィーラー</t>
  </si>
  <si>
    <t>ウレーニャ</t>
  </si>
  <si>
    <t>※育成契約</t>
  </si>
  <si>
    <t>オスナ</t>
  </si>
  <si>
    <t>サンタナ</t>
  </si>
  <si>
    <t>サイスニード</t>
  </si>
  <si>
    <t>山崎</t>
    <rPh sb="0" eb="2">
      <t>ヤマサキ</t>
    </rPh>
    <phoneticPr fontId="1"/>
  </si>
  <si>
    <t>井納</t>
    <rPh sb="0" eb="2">
      <t>イノウ</t>
    </rPh>
    <phoneticPr fontId="1"/>
  </si>
  <si>
    <t>廣岡</t>
    <rPh sb="0" eb="2">
      <t>ヒロオカ</t>
    </rPh>
    <phoneticPr fontId="1"/>
  </si>
  <si>
    <t>八百板</t>
    <rPh sb="0" eb="3">
      <t>ヤオイタ</t>
    </rPh>
    <phoneticPr fontId="1"/>
  </si>
  <si>
    <t>並木</t>
    <rPh sb="0" eb="2">
      <t>ナミキ</t>
    </rPh>
    <phoneticPr fontId="1"/>
  </si>
  <si>
    <t>元山</t>
    <rPh sb="0" eb="2">
      <t>モトヤマ</t>
    </rPh>
    <phoneticPr fontId="1"/>
  </si>
  <si>
    <t>内川</t>
    <rPh sb="0" eb="2">
      <t>ウチカワ</t>
    </rPh>
    <phoneticPr fontId="1"/>
  </si>
  <si>
    <t>オスナ</t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</si>
  <si>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</si>
  <si>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</si>
  <si>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サンタナ</t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</si>
  <si>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</si>
  <si>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サイスニード</t>
    <phoneticPr fontId="1"/>
  </si>
  <si>
    <t>松本友</t>
    <rPh sb="0" eb="2">
      <t>マツモト</t>
    </rPh>
    <rPh sb="2" eb="3">
      <t>トモ</t>
    </rPh>
    <phoneticPr fontId="1"/>
  </si>
  <si>
    <t>嘉手苅</t>
    <rPh sb="0" eb="3">
      <t>カデカル</t>
    </rPh>
    <phoneticPr fontId="1"/>
  </si>
  <si>
    <t xml:space="preserve"> </t>
    <phoneticPr fontId="1"/>
  </si>
  <si>
    <t>オースティン</t>
  </si>
  <si>
    <t>ロメロ</t>
  </si>
  <si>
    <t>ピープルズ</t>
  </si>
  <si>
    <t>ソト</t>
  </si>
  <si>
    <t>ディアス</t>
  </si>
  <si>
    <t>スターリン</t>
  </si>
  <si>
    <t>牧</t>
  </si>
  <si>
    <t>佐野</t>
  </si>
  <si>
    <t>入江</t>
  </si>
  <si>
    <t>田中俊</t>
  </si>
  <si>
    <t>松本</t>
  </si>
  <si>
    <t>松本 隆之介</t>
  </si>
  <si>
    <t>小深田</t>
  </si>
  <si>
    <t>小深田 大地</t>
  </si>
  <si>
    <t>池谷</t>
  </si>
  <si>
    <t>髙田</t>
  </si>
  <si>
    <t>山下 幸輝</t>
  </si>
  <si>
    <t>046</t>
  </si>
  <si>
    <t>チェン</t>
  </si>
  <si>
    <t>鈴木</t>
  </si>
  <si>
    <t>村上</t>
  </si>
  <si>
    <t>A.マルティネス</t>
  </si>
  <si>
    <t>ロドリゲス</t>
  </si>
  <si>
    <t>ロドリゲス</t>
    <phoneticPr fontId="1"/>
  </si>
  <si>
    <t>山下</t>
  </si>
  <si>
    <t>松田</t>
    <rPh sb="0" eb="2">
      <t>マツダ</t>
    </rPh>
    <phoneticPr fontId="1"/>
  </si>
  <si>
    <t>松木平</t>
    <rPh sb="0" eb="3">
      <t>マツキダイラ</t>
    </rPh>
    <phoneticPr fontId="1"/>
  </si>
  <si>
    <t>加藤翼</t>
    <rPh sb="0" eb="2">
      <t>カトウ</t>
    </rPh>
    <rPh sb="2" eb="3">
      <t>ツバサ</t>
    </rPh>
    <phoneticPr fontId="1"/>
  </si>
  <si>
    <t>福島</t>
    <rPh sb="0" eb="2">
      <t>フクシマ</t>
    </rPh>
    <phoneticPr fontId="1"/>
  </si>
  <si>
    <t>土田</t>
    <rPh sb="0" eb="2">
      <t>ツチダ</t>
    </rPh>
    <phoneticPr fontId="1"/>
  </si>
  <si>
    <t>高橋</t>
    <rPh sb="0" eb="2">
      <t>タカハシ</t>
    </rPh>
    <phoneticPr fontId="1"/>
  </si>
  <si>
    <t>梅津</t>
    <rPh sb="0" eb="2">
      <t>ウメツ</t>
    </rPh>
    <phoneticPr fontId="1"/>
  </si>
  <si>
    <t>福留</t>
    <rPh sb="0" eb="2">
      <t>フクドメ</t>
    </rPh>
    <phoneticPr fontId="1"/>
  </si>
  <si>
    <t>スチュワート</t>
  </si>
  <si>
    <t>牧原巧</t>
  </si>
  <si>
    <t>レイ</t>
  </si>
  <si>
    <t>グラシアル</t>
  </si>
  <si>
    <t>モイネロ</t>
  </si>
  <si>
    <t>牧原大</t>
    <rPh sb="0" eb="1">
      <t>マキ</t>
    </rPh>
    <rPh sb="1" eb="2">
      <t>ハラ</t>
    </rPh>
    <rPh sb="2" eb="3">
      <t>ダイ</t>
    </rPh>
    <phoneticPr fontId="1"/>
  </si>
  <si>
    <t>尾形</t>
  </si>
  <si>
    <t>井上</t>
  </si>
  <si>
    <t>笹川</t>
  </si>
  <si>
    <t>川原田</t>
  </si>
  <si>
    <t>川原田 純平</t>
  </si>
  <si>
    <t>渡邉</t>
  </si>
  <si>
    <t>デスパイネ</t>
  </si>
  <si>
    <t>田上</t>
  </si>
  <si>
    <t>石塚</t>
  </si>
  <si>
    <t>中道</t>
  </si>
  <si>
    <t>桑原</t>
  </si>
  <si>
    <t>早</t>
  </si>
  <si>
    <t>黒瀬</t>
  </si>
  <si>
    <t>緒方</t>
  </si>
  <si>
    <t>伊藤</t>
  </si>
  <si>
    <t>居谷</t>
  </si>
  <si>
    <t>勝連</t>
  </si>
  <si>
    <t>舟越</t>
  </si>
  <si>
    <t>132</t>
  </si>
  <si>
    <t>133</t>
  </si>
  <si>
    <t>岡本</t>
  </si>
  <si>
    <t>134</t>
  </si>
  <si>
    <t>大城</t>
  </si>
  <si>
    <t>135</t>
  </si>
  <si>
    <t>136</t>
  </si>
  <si>
    <t>荒木</t>
  </si>
  <si>
    <t>137</t>
  </si>
  <si>
    <t>中村亮</t>
  </si>
  <si>
    <t>138</t>
  </si>
  <si>
    <t>重田</t>
  </si>
  <si>
    <t>139</t>
  </si>
  <si>
    <t>140</t>
  </si>
  <si>
    <t>141</t>
  </si>
  <si>
    <t>142</t>
  </si>
  <si>
    <t>中村宜</t>
    <rPh sb="2" eb="3">
      <t>ギ</t>
    </rPh>
    <phoneticPr fontId="1"/>
  </si>
  <si>
    <t>143</t>
  </si>
  <si>
    <t>144</t>
  </si>
  <si>
    <t>渡部</t>
  </si>
  <si>
    <t>佐々木</t>
  </si>
  <si>
    <t>山村</t>
  </si>
  <si>
    <t>若林</t>
  </si>
  <si>
    <t>ブランドン</t>
  </si>
  <si>
    <t>大曲</t>
  </si>
  <si>
    <t>仲三河</t>
  </si>
  <si>
    <t>仲三河 優太</t>
  </si>
  <si>
    <t>川越</t>
  </si>
  <si>
    <t>齊藤誠</t>
  </si>
  <si>
    <t>ジョセフ</t>
  </si>
  <si>
    <t>五十幡</t>
  </si>
  <si>
    <t>五十幡 亮汰</t>
  </si>
  <si>
    <t>池田</t>
  </si>
  <si>
    <t>細川</t>
  </si>
  <si>
    <t>今川</t>
    <rPh sb="0" eb="2">
      <t>イマガワ</t>
    </rPh>
    <phoneticPr fontId="1"/>
  </si>
  <si>
    <t>150</t>
  </si>
  <si>
    <t>161</t>
  </si>
  <si>
    <t>レアード</t>
  </si>
  <si>
    <t>エチェバリア</t>
  </si>
  <si>
    <t>中森</t>
  </si>
  <si>
    <t>小川</t>
  </si>
  <si>
    <t>河村</t>
  </si>
  <si>
    <t>西川</t>
  </si>
  <si>
    <t>和田</t>
  </si>
  <si>
    <t>和田 康士朗</t>
  </si>
  <si>
    <t>マーティン</t>
  </si>
  <si>
    <t>ペラルタ</t>
  </si>
  <si>
    <t>若月</t>
  </si>
  <si>
    <t>山下 舜平大</t>
  </si>
  <si>
    <t>平野佳</t>
  </si>
  <si>
    <t>能見</t>
  </si>
  <si>
    <t>元</t>
  </si>
  <si>
    <t>中川颯</t>
  </si>
  <si>
    <t>来田</t>
  </si>
  <si>
    <t>大下</t>
  </si>
  <si>
    <t>大下 誠一郎</t>
  </si>
  <si>
    <t>阿部</t>
  </si>
  <si>
    <t>黒木</t>
  </si>
  <si>
    <t>Tー岡田</t>
  </si>
  <si>
    <t>中川拓</t>
  </si>
  <si>
    <t>山﨑颯</t>
  </si>
  <si>
    <t>山﨑 颯一郎</t>
  </si>
  <si>
    <t>漆原</t>
  </si>
  <si>
    <t>張 奕</t>
  </si>
  <si>
    <t>001</t>
  </si>
  <si>
    <t>002</t>
  </si>
  <si>
    <t>003</t>
  </si>
  <si>
    <t>008</t>
  </si>
  <si>
    <t>005</t>
  </si>
  <si>
    <t>004</t>
  </si>
  <si>
    <t>006</t>
  </si>
  <si>
    <t>007</t>
  </si>
  <si>
    <t>011</t>
  </si>
  <si>
    <t>012</t>
  </si>
  <si>
    <t>013</t>
  </si>
  <si>
    <t>オコエ</t>
  </si>
  <si>
    <t>田中</t>
  </si>
  <si>
    <t>早川</t>
  </si>
  <si>
    <t>田中和</t>
    <rPh sb="0" eb="2">
      <t>タナカ</t>
    </rPh>
    <rPh sb="2" eb="3">
      <t>ワ</t>
    </rPh>
    <phoneticPr fontId="1"/>
  </si>
  <si>
    <t>高田</t>
  </si>
  <si>
    <t>ブセニッツ</t>
  </si>
  <si>
    <t>内間</t>
  </si>
  <si>
    <t>藤井</t>
  </si>
  <si>
    <t>武藤</t>
  </si>
  <si>
    <t>髙田萌</t>
  </si>
  <si>
    <t>福山</t>
  </si>
  <si>
    <t>寺岡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</si>
  <si>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</si>
  <si>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</si>
  <si>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</si>
  <si>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</si>
  <si>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</si>
  <si>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t/>
  </si>
  <si>
    <t>出塁率</t>
    <rPh sb="0" eb="3">
      <t>シュツルイリツ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</si>
  <si>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</si>
  <si>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</si>
  <si>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</si>
  <si>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</si>
  <si>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</si>
  <si>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犠飛</t>
    <rPh sb="0" eb="2">
      <t>ギヒ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</si>
  <si>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</si>
  <si>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</si>
  <si>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</si>
  <si>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</si>
  <si>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山本</t>
    </r>
    <rPh sb="0" eb="2">
      <t>ヤマモト</t>
    </rPh>
    <phoneticPr fontId="1"/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</si>
  <si>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</si>
  <si>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</si>
  <si>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</si>
  <si>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</si>
  <si>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</si>
  <si>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3"/>
        <charset val="128"/>
      </rPr>
      <t>糸井</t>
    </r>
    <rPh sb="0" eb="1">
      <t>イト</t>
    </rPh>
    <rPh sb="1" eb="2">
      <t>イ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</si>
  <si>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</si>
  <si>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髙山</t>
    </r>
    <rPh sb="0" eb="1">
      <t>タカ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</si>
  <si>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</si>
  <si>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</si>
  <si>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</si>
  <si>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岩貞</t>
    </r>
    <rPh sb="0" eb="1">
      <t>イワ</t>
    </rPh>
    <rPh sb="1" eb="2">
      <t>サダ</t>
    </rPh>
    <phoneticPr fontId="1"/>
  </si>
  <si>
    <r>
      <rPr>
        <sz val="11"/>
        <color theme="1"/>
        <rFont val="ＭＳ Ｐゴシック"/>
        <family val="3"/>
        <charset val="128"/>
      </rPr>
      <t>馬場</t>
    </r>
    <rPh sb="0" eb="1">
      <t>ウマ</t>
    </rPh>
    <rPh sb="1" eb="2">
      <t>バ</t>
    </rPh>
    <phoneticPr fontId="1"/>
  </si>
  <si>
    <r>
      <rPr>
        <sz val="11"/>
        <color theme="1"/>
        <rFont val="ＭＳ Ｐゴシック"/>
        <family val="3"/>
        <charset val="128"/>
      </rPr>
      <t>藤浪</t>
    </r>
    <rPh sb="0" eb="1">
      <t>フジ</t>
    </rPh>
    <rPh sb="1" eb="2">
      <t>ナミ</t>
    </rPh>
    <phoneticPr fontId="1"/>
  </si>
  <si>
    <r>
      <rPr>
        <sz val="11"/>
        <color theme="1"/>
        <rFont val="ＭＳ Ｐゴシック"/>
        <family val="3"/>
        <charset val="128"/>
      </rPr>
      <t>江越</t>
    </r>
    <rPh sb="0" eb="1">
      <t>エ</t>
    </rPh>
    <rPh sb="1" eb="2">
      <t>エツ</t>
    </rPh>
    <phoneticPr fontId="1"/>
  </si>
  <si>
    <r>
      <rPr>
        <sz val="11"/>
        <color theme="1"/>
        <rFont val="ＭＳ Ｐゴシック"/>
        <family val="3"/>
        <charset val="128"/>
      </rPr>
      <t>北條</t>
    </r>
    <rPh sb="0" eb="2">
      <t>ホウジョウ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</si>
  <si>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</si>
  <si>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髙橋遥</t>
    </r>
    <rPh sb="0" eb="2">
      <t>タカハシ</t>
    </rPh>
    <rPh sb="2" eb="3">
      <t>ハルカ</t>
    </rPh>
    <phoneticPr fontId="1"/>
  </si>
  <si>
    <r>
      <rPr>
        <sz val="11"/>
        <color theme="1"/>
        <rFont val="ＭＳ Ｐゴシック"/>
        <family val="3"/>
        <charset val="128"/>
      </rPr>
      <t>佐藤蓮</t>
    </r>
    <rPh sb="0" eb="2">
      <t>サトウ</t>
    </rPh>
    <rPh sb="2" eb="3">
      <t>レン</t>
    </rPh>
    <phoneticPr fontId="1"/>
  </si>
  <si>
    <r>
      <rPr>
        <sz val="11"/>
        <color theme="1"/>
        <rFont val="ＭＳ Ｐゴシック"/>
        <family val="3"/>
        <charset val="128"/>
      </rPr>
      <t>マルテ</t>
    </r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</si>
  <si>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</si>
  <si>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</si>
  <si>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</si>
  <si>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</si>
  <si>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</si>
  <si>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</si>
  <si>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尾仲</t>
    </r>
    <rPh sb="0" eb="1">
      <t>オ</t>
    </rPh>
    <rPh sb="1" eb="2">
      <t>ナカ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</si>
  <si>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</si>
  <si>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守屋</t>
    </r>
    <rPh sb="0" eb="1">
      <t>モリ</t>
    </rPh>
    <rPh sb="1" eb="2">
      <t>ヤ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</si>
  <si>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</si>
  <si>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齋藤</t>
    </r>
    <rPh sb="0" eb="2">
      <t>サイトウ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</si>
  <si>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</si>
  <si>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</si>
  <si>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</si>
  <si>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</si>
  <si>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陽川</t>
    </r>
    <rPh sb="0" eb="1">
      <t>ヨウ</t>
    </rPh>
    <rPh sb="1" eb="2">
      <t>カワ</t>
    </rPh>
    <phoneticPr fontId="1"/>
  </si>
  <si>
    <r>
      <rPr>
        <sz val="11"/>
        <color theme="1"/>
        <rFont val="ＭＳ Ｐゴシック"/>
        <family val="3"/>
        <charset val="128"/>
      </rPr>
      <t>小林</t>
    </r>
    <rPh sb="0" eb="2">
      <t>コバヤシ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</si>
  <si>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</si>
  <si>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</si>
  <si>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</si>
  <si>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板山</t>
    </r>
    <rPh sb="0" eb="1">
      <t>イタ</t>
    </rPh>
    <rPh sb="1" eb="2">
      <t>ヤマ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</si>
  <si>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</si>
  <si>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小川</t>
    </r>
    <rPh sb="0" eb="2">
      <t>オガワ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</si>
  <si>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</si>
  <si>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</si>
  <si>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スアレス</t>
    </r>
    <phoneticPr fontId="1"/>
  </si>
  <si>
    <r>
      <rPr>
        <sz val="11"/>
        <color theme="1"/>
        <rFont val="ＭＳ Ｐゴシック"/>
        <family val="3"/>
        <charset val="128"/>
      </rPr>
      <t>伊藤和</t>
    </r>
    <rPh sb="0" eb="2">
      <t>イトウ</t>
    </rPh>
    <rPh sb="2" eb="3">
      <t>ワ</t>
    </rPh>
    <phoneticPr fontId="1"/>
  </si>
  <si>
    <r>
      <rPr>
        <sz val="11"/>
        <color theme="1"/>
        <rFont val="ＭＳ Ｐゴシック"/>
        <family val="3"/>
        <charset val="128"/>
      </rPr>
      <t>石井将</t>
    </r>
    <rPh sb="0" eb="2">
      <t>イシイ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</si>
  <si>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</si>
  <si>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</si>
  <si>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r>
      <rPr>
        <sz val="11"/>
        <color theme="1"/>
        <rFont val="ＭＳ Ｐゴシック"/>
        <family val="2"/>
        <charset val="128"/>
      </rPr>
      <t>島本</t>
    </r>
    <rPh sb="0" eb="2">
      <t>シマモト</t>
    </rPh>
    <phoneticPr fontId="1"/>
  </si>
  <si>
    <r>
      <rPr>
        <sz val="11"/>
        <color theme="1"/>
        <rFont val="ＭＳ Ｐゴシック"/>
        <family val="2"/>
        <charset val="128"/>
      </rPr>
      <t>才木</t>
    </r>
    <rPh sb="0" eb="2">
      <t>サイキ</t>
    </rPh>
    <phoneticPr fontId="1"/>
  </si>
  <si>
    <r>
      <rPr>
        <sz val="11"/>
        <color theme="1"/>
        <rFont val="ＭＳ Ｐゴシック"/>
        <family val="2"/>
        <charset val="128"/>
      </rPr>
      <t>岩田将</t>
    </r>
    <rPh sb="0" eb="2">
      <t>イワタ</t>
    </rPh>
    <rPh sb="2" eb="3">
      <t>ショウ</t>
    </rPh>
    <phoneticPr fontId="1"/>
  </si>
  <si>
    <r>
      <rPr>
        <sz val="11"/>
        <color theme="1"/>
        <rFont val="ＭＳ Ｐゴシック"/>
        <family val="2"/>
        <charset val="128"/>
      </rPr>
      <t>牧</t>
    </r>
    <rPh sb="0" eb="1">
      <t>マキ</t>
    </rPh>
    <phoneticPr fontId="1"/>
  </si>
  <si>
    <t>大瀬良 大地</t>
  </si>
  <si>
    <t>島内 颯太郎</t>
  </si>
  <si>
    <t>アドゥワ 誠</t>
  </si>
  <si>
    <t>羽月 隆太郎</t>
  </si>
  <si>
    <t>メルセデス</t>
  </si>
  <si>
    <t>マクガフ</t>
  </si>
  <si>
    <t>スアレス</t>
  </si>
  <si>
    <t>藤浪 晋太郎</t>
  </si>
  <si>
    <t>アルカンタラ</t>
  </si>
  <si>
    <t>齋藤 友貴哉</t>
  </si>
  <si>
    <t>ガンケル</t>
  </si>
  <si>
    <t>マルク</t>
  </si>
  <si>
    <t>Kー鈴木</t>
  </si>
  <si>
    <t>横尾</t>
    <rPh sb="0" eb="2">
      <t>ヨコオ</t>
    </rPh>
    <phoneticPr fontId="1"/>
  </si>
  <si>
    <t>水上</t>
    <phoneticPr fontId="1"/>
  </si>
  <si>
    <t>石田</t>
    <rPh sb="0" eb="2">
      <t>イシダ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</si>
  <si>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</si>
  <si>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</si>
  <si>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背番号</t>
  </si>
  <si>
    <t>選手名</t>
  </si>
  <si>
    <t>打　率</t>
  </si>
  <si>
    <t>試　合</t>
  </si>
  <si>
    <t>打　席</t>
  </si>
  <si>
    <t>打　数</t>
  </si>
  <si>
    <t>安　打</t>
  </si>
  <si>
    <t>二塁打</t>
  </si>
  <si>
    <t>三塁打</t>
  </si>
  <si>
    <t>本塁打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</si>
  <si>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</si>
  <si>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</si>
  <si>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</si>
  <si>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</si>
  <si>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</si>
  <si>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</si>
  <si>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</si>
  <si>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</si>
  <si>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</si>
  <si>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盗塁死</t>
  </si>
  <si>
    <t>併殺打</t>
  </si>
  <si>
    <t>出塁率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</si>
  <si>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</si>
  <si>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</si>
  <si>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</si>
  <si>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</si>
  <si>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</si>
  <si>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</si>
  <si>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</si>
  <si>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</si>
  <si>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</si>
  <si>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</si>
  <si>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</si>
  <si>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</si>
  <si>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</si>
  <si>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三好 匠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</si>
  <si>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</si>
  <si>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</si>
  <si>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</si>
  <si>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</si>
  <si>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</si>
  <si>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</si>
  <si>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</si>
  <si>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</si>
  <si>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</si>
  <si>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</si>
  <si>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西川 龍馬</t>
  </si>
  <si>
    <t>二俣 翔一</t>
  </si>
  <si>
    <t>持丸 泰輝</t>
  </si>
  <si>
    <t>木下 元秀</t>
  </si>
  <si>
    <t>二塁打</t>
    <rPh sb="0" eb="3">
      <t>ニルイダ</t>
    </rPh>
    <phoneticPr fontId="1"/>
  </si>
  <si>
    <t>三塁打</t>
    <rPh sb="0" eb="3">
      <t>サンルイダ</t>
    </rPh>
    <phoneticPr fontId="1"/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</si>
  <si>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</si>
  <si>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</si>
  <si>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</si>
  <si>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</si>
  <si>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</si>
  <si>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</si>
  <si>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</si>
  <si>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薮田 和樹</t>
  </si>
  <si>
    <t>床田 寛樹</t>
  </si>
  <si>
    <t>ケムナ 誠</t>
  </si>
  <si>
    <t>一岡 竜司</t>
  </si>
  <si>
    <t>高橋 昂也</t>
  </si>
  <si>
    <t>塹江 敦哉</t>
  </si>
  <si>
    <t>矢崎 拓也</t>
  </si>
  <si>
    <t>小林 樹斗</t>
  </si>
  <si>
    <t>藤井 黎來</t>
  </si>
  <si>
    <t>玉村 昇悟</t>
  </si>
  <si>
    <t>遠藤 淳志</t>
  </si>
  <si>
    <t>中村 祐太</t>
  </si>
  <si>
    <t>行木 俊</t>
  </si>
  <si>
    <t>佐々木 健</t>
  </si>
  <si>
    <t>OPS</t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</si>
  <si>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</si>
  <si>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</si>
  <si>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王 柏融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</si>
  <si>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</si>
  <si>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</si>
  <si>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</si>
  <si>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</si>
  <si>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</si>
  <si>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</si>
  <si>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</si>
  <si>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</si>
  <si>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吉田 輝星</t>
  </si>
  <si>
    <t>上原 健太</t>
  </si>
  <si>
    <t>野村 佑希</t>
  </si>
  <si>
    <t>宮西 尚生</t>
  </si>
  <si>
    <t>淺間 大基</t>
  </si>
  <si>
    <t>古川 裕大</t>
  </si>
  <si>
    <t>河野 竜生</t>
  </si>
  <si>
    <t>井口 和朋</t>
  </si>
  <si>
    <t>谷内 亮太</t>
  </si>
  <si>
    <t>立野 和明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</si>
  <si>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</si>
  <si>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</si>
  <si>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</si>
  <si>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</si>
  <si>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</si>
  <si>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</si>
  <si>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</si>
  <si>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</si>
  <si>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</si>
  <si>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</si>
  <si>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</si>
  <si>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</si>
  <si>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</si>
  <si>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</si>
  <si>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</si>
  <si>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梅林 優貴</t>
  </si>
  <si>
    <t>万波 中正</t>
  </si>
  <si>
    <t>OPS</t>
    <phoneticPr fontId="1"/>
  </si>
  <si>
    <t>中﨑 翔太</t>
    <rPh sb="0" eb="2">
      <t>ナカザキ</t>
    </rPh>
    <phoneticPr fontId="1"/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</si>
  <si>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</si>
  <si>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</si>
  <si>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</si>
  <si>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</si>
  <si>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</si>
  <si>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</si>
  <si>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</si>
  <si>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</si>
  <si>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</si>
  <si>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</si>
  <si>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</si>
  <si>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</si>
  <si>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</si>
  <si>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</si>
  <si>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</si>
  <si>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</si>
  <si>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</si>
  <si>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</si>
  <si>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塩見 貴洋</t>
  </si>
  <si>
    <t>田中 将大</t>
  </si>
  <si>
    <t>安樂 智大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</si>
  <si>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</si>
  <si>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</si>
  <si>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</si>
  <si>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</si>
  <si>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</si>
  <si>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</si>
  <si>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</si>
  <si>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福井 優也</t>
  </si>
  <si>
    <t>山崎 剛</t>
  </si>
  <si>
    <t>島内 宏明</t>
  </si>
  <si>
    <t>岩見 雅紀</t>
  </si>
  <si>
    <t>内間 拓馬</t>
  </si>
  <si>
    <t>釜田 佳直</t>
  </si>
  <si>
    <t>宋 家豪</t>
  </si>
  <si>
    <t>藤井 聖</t>
  </si>
  <si>
    <t>渡辺 佳明</t>
  </si>
  <si>
    <t>武藤 敦貴</t>
  </si>
  <si>
    <t>小郷 裕哉</t>
  </si>
  <si>
    <t>髙田 萌生</t>
  </si>
  <si>
    <t>和田 恋</t>
  </si>
  <si>
    <t>鈴木 翔天</t>
  </si>
  <si>
    <t>瀧中 瞭太</t>
  </si>
  <si>
    <t>辛島 航</t>
  </si>
  <si>
    <t>石橋 良太</t>
  </si>
  <si>
    <t>西口 直人</t>
  </si>
  <si>
    <t>入江 大樹</t>
  </si>
  <si>
    <t>福山 博之</t>
  </si>
  <si>
    <t>堀内 謙伍</t>
  </si>
  <si>
    <t>村林 一輝</t>
  </si>
  <si>
    <t>寺岡 寛治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</si>
  <si>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</si>
  <si>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</si>
  <si>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</si>
  <si>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</si>
  <si>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</si>
  <si>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</si>
  <si>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</si>
  <si>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</si>
  <si>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山﨑 福也</t>
  </si>
  <si>
    <t>宮城 大弥</t>
  </si>
  <si>
    <t>平野 佳寿</t>
  </si>
  <si>
    <t>増井 浩俊</t>
  </si>
  <si>
    <t>山本 由伸</t>
  </si>
  <si>
    <t>山岡 泰輔</t>
  </si>
  <si>
    <t>竹安 大知</t>
  </si>
  <si>
    <t>村西 良太</t>
  </si>
  <si>
    <t>伏見 寅威</t>
  </si>
  <si>
    <t>西村 凌</t>
  </si>
  <si>
    <t>能見 篤史</t>
  </si>
  <si>
    <t>元 謙太</t>
  </si>
  <si>
    <t>富山 凌雅</t>
  </si>
  <si>
    <t>田嶋 大樹</t>
  </si>
  <si>
    <t>太田 椋</t>
  </si>
  <si>
    <t>松井 雅人</t>
  </si>
  <si>
    <t>吉田 正尚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</si>
  <si>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</si>
  <si>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</si>
  <si>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</si>
  <si>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</si>
  <si>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</si>
  <si>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</si>
  <si>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</si>
  <si>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</si>
  <si>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</si>
  <si>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</si>
  <si>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</si>
  <si>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</si>
  <si>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</si>
  <si>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</si>
  <si>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黒木 優太</t>
  </si>
  <si>
    <t>山田 修義</t>
  </si>
  <si>
    <t>中川 拓真</t>
  </si>
  <si>
    <t>漆原 大晟</t>
  </si>
  <si>
    <t>吉田 凌</t>
  </si>
  <si>
    <t>中川 圭太</t>
  </si>
  <si>
    <t>佐藤 一磨</t>
  </si>
  <si>
    <t>谷岡 楓太</t>
  </si>
  <si>
    <t>中田 惟斗</t>
  </si>
  <si>
    <t>荻野 貴司</t>
  </si>
  <si>
    <t>角中 勝也</t>
  </si>
  <si>
    <t>藤岡 裕大</t>
  </si>
  <si>
    <t>安田 尚憲</t>
  </si>
  <si>
    <t>福田 秀平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</si>
  <si>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</si>
  <si>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</si>
  <si>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</si>
  <si>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</si>
  <si>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</si>
  <si>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</si>
  <si>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</si>
  <si>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</si>
  <si>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</si>
  <si>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三木 亮</t>
  </si>
  <si>
    <t>東妻 勇輔</t>
  </si>
  <si>
    <t>岡 大海</t>
  </si>
  <si>
    <t>山本 大貴</t>
  </si>
  <si>
    <t>西野 勇士</t>
  </si>
  <si>
    <t>菅野 剛士</t>
  </si>
  <si>
    <t>土肥 星也</t>
  </si>
  <si>
    <t>鈴木 昭汰</t>
  </si>
  <si>
    <t>小野 郁</t>
  </si>
  <si>
    <t>吉田 裕太</t>
  </si>
  <si>
    <t>福田 光輝</t>
  </si>
  <si>
    <t>成田 翔</t>
  </si>
  <si>
    <t>井上 晴哉</t>
  </si>
  <si>
    <t>岩下 大輝</t>
  </si>
  <si>
    <t>田中 靖洋</t>
  </si>
  <si>
    <t>中村 稔弥</t>
  </si>
  <si>
    <t>山口 航輝</t>
  </si>
  <si>
    <t>益田 直也</t>
  </si>
  <si>
    <t>江村 直也</t>
  </si>
  <si>
    <t>中森 俊介</t>
  </si>
  <si>
    <t>小川 龍成</t>
  </si>
  <si>
    <t>河村 説人</t>
  </si>
  <si>
    <t>西川 僚祐</t>
  </si>
  <si>
    <t>横山 陸人</t>
  </si>
  <si>
    <t>古谷 拓郎</t>
  </si>
  <si>
    <t>茶谷 健太</t>
  </si>
  <si>
    <t>西巻 賢二</t>
  </si>
  <si>
    <t>土居 豪人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</si>
  <si>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</si>
  <si>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</si>
  <si>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</si>
  <si>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</si>
  <si>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</si>
  <si>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</si>
  <si>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</si>
  <si>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</si>
  <si>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</si>
  <si>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</si>
  <si>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</si>
  <si>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</si>
  <si>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</si>
  <si>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</si>
  <si>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宮川 哲</t>
  </si>
  <si>
    <t>松本 航</t>
  </si>
  <si>
    <t>浜屋 将太</t>
  </si>
  <si>
    <t>十亀 剣</t>
  </si>
  <si>
    <t>平井 克典</t>
  </si>
  <si>
    <t>内海 哲也</t>
  </si>
  <si>
    <t>森脇 亮介</t>
  </si>
  <si>
    <t>山村 崇嘉</t>
  </si>
  <si>
    <t>佐野 泰雄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</si>
  <si>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</si>
  <si>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</si>
  <si>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</si>
  <si>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</si>
  <si>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</si>
  <si>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</si>
  <si>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</si>
  <si>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</si>
  <si>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松岡 洸希</t>
  </si>
  <si>
    <t>武隈 祥太</t>
  </si>
  <si>
    <t>西川 愛也</t>
  </si>
  <si>
    <t>山田 遥楓</t>
  </si>
  <si>
    <t>川野 涼多</t>
  </si>
  <si>
    <t>熊代 聖人</t>
  </si>
  <si>
    <t>大曲 錬</t>
  </si>
  <si>
    <t>中村 剛也</t>
  </si>
  <si>
    <t>平良 海馬</t>
  </si>
  <si>
    <t>戸川 大輔</t>
  </si>
  <si>
    <t>岸 潤一郎</t>
  </si>
  <si>
    <t>川越 誠司</t>
  </si>
  <si>
    <t>高木 渉</t>
  </si>
  <si>
    <t>齊藤 誠人</t>
  </si>
  <si>
    <t>川瀬 晃</t>
  </si>
  <si>
    <t>髙田 知季</t>
  </si>
  <si>
    <t>松田 宣浩</t>
  </si>
  <si>
    <t>今宮 健太</t>
  </si>
  <si>
    <t>中村 晃</t>
  </si>
  <si>
    <t>明石 健志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</si>
  <si>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</si>
  <si>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</si>
  <si>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</si>
  <si>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</si>
  <si>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</si>
  <si>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</si>
  <si>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</si>
  <si>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</si>
  <si>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</si>
  <si>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</si>
  <si>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田中 正義</t>
  </si>
  <si>
    <t>高橋 礼</t>
  </si>
  <si>
    <t>石川 柊太</t>
  </si>
  <si>
    <t>佐藤 直樹</t>
  </si>
  <si>
    <t>栗原 陵矢</t>
  </si>
  <si>
    <t>柳町 達</t>
  </si>
  <si>
    <t>増田 珠</t>
  </si>
  <si>
    <t>椎野 新</t>
  </si>
  <si>
    <t>牧原 大成</t>
  </si>
  <si>
    <t>森 唯斗</t>
  </si>
  <si>
    <t>尾形 崇斗</t>
  </si>
  <si>
    <t>杉山 一樹</t>
  </si>
  <si>
    <t>千賀 滉大</t>
  </si>
  <si>
    <t>井上 朋也</t>
  </si>
  <si>
    <t>笹川 吉康</t>
  </si>
  <si>
    <t>高橋 純平</t>
  </si>
  <si>
    <t>渡邉 雄大</t>
  </si>
  <si>
    <t>板東 湧梧</t>
  </si>
  <si>
    <t>上林 誠知</t>
  </si>
  <si>
    <t>泉 圭輔</t>
  </si>
  <si>
    <t>野村 大樹</t>
  </si>
  <si>
    <t>田浦 文丸</t>
  </si>
  <si>
    <t>水谷 瞬</t>
  </si>
  <si>
    <t>奥村 政稔</t>
  </si>
  <si>
    <t>海野 隆司</t>
  </si>
  <si>
    <t>真砂 勇介</t>
  </si>
  <si>
    <t>九鬼 隆平</t>
  </si>
  <si>
    <t>松本 裕樹</t>
  </si>
  <si>
    <t>笠谷 俊介</t>
  </si>
  <si>
    <t>三森 大貴</t>
  </si>
  <si>
    <t>小林 珠維</t>
  </si>
  <si>
    <t>田上 奏大</t>
  </si>
  <si>
    <t>川島 慶三</t>
  </si>
  <si>
    <t>髙松 渡</t>
  </si>
  <si>
    <t>京田 陽太</t>
  </si>
  <si>
    <t>石川 昂弥</t>
  </si>
  <si>
    <t>高橋 周平</t>
  </si>
  <si>
    <t>阿部 寿樹</t>
  </si>
  <si>
    <t>平田 良介</t>
  </si>
  <si>
    <t>根尾 昂</t>
  </si>
  <si>
    <t>大島 洋平</t>
  </si>
  <si>
    <t>福留 孝介</t>
  </si>
  <si>
    <t>田島 慎二</t>
  </si>
  <si>
    <t>橋本 侑樹</t>
  </si>
  <si>
    <t>谷元 圭介</t>
  </si>
  <si>
    <t>又吉 克樹</t>
  </si>
  <si>
    <t>柳 裕也</t>
  </si>
  <si>
    <t>梅津 晃大</t>
  </si>
  <si>
    <t>高橋 宏斗</t>
  </si>
  <si>
    <t>岡田 俊哉</t>
  </si>
  <si>
    <t>福谷 浩司</t>
  </si>
  <si>
    <t>佐藤 優</t>
  </si>
  <si>
    <t>森 博人</t>
  </si>
  <si>
    <t>三好 大倫</t>
  </si>
  <si>
    <t>渡辺 勝</t>
  </si>
  <si>
    <t>石垣 雅海</t>
  </si>
  <si>
    <t>福 敬登</t>
  </si>
  <si>
    <t>木下 拓哉</t>
  </si>
  <si>
    <t>松葉 貴大</t>
  </si>
  <si>
    <t>勝野 昌慶</t>
  </si>
  <si>
    <t>郡司 裕也</t>
  </si>
  <si>
    <t>土田 龍空</t>
  </si>
  <si>
    <t>鈴木 博志</t>
  </si>
  <si>
    <t>溝脇 隼人</t>
  </si>
  <si>
    <t>伊藤 康祐</t>
  </si>
  <si>
    <t>清水 達也</t>
  </si>
  <si>
    <t>滝野 要</t>
  </si>
  <si>
    <t>藤嶋 健人</t>
  </si>
  <si>
    <t>福田 永将</t>
  </si>
  <si>
    <t>石橋 康太</t>
  </si>
  <si>
    <t>山本 拓実</t>
  </si>
  <si>
    <t>岡林 勇希</t>
  </si>
  <si>
    <t>堂上 直倫</t>
  </si>
  <si>
    <t>加藤 翼</t>
  </si>
  <si>
    <t>桂 依央利</t>
  </si>
  <si>
    <t>山本 泰寛</t>
  </si>
  <si>
    <t>木浪 聖也</t>
  </si>
  <si>
    <t>大山 悠輔</t>
  </si>
  <si>
    <t>熊谷 敬宥</t>
  </si>
  <si>
    <t>近本 光司</t>
  </si>
  <si>
    <t>糸井 嘉男</t>
  </si>
  <si>
    <t>佐藤 輝明</t>
  </si>
  <si>
    <t>髙山 俊</t>
  </si>
  <si>
    <t>岩崎 優</t>
  </si>
  <si>
    <t>西 純矢</t>
  </si>
  <si>
    <t>西 勇輝</t>
  </si>
  <si>
    <t>岩貞 祐太</t>
  </si>
  <si>
    <t>馬場 皐輔</t>
  </si>
  <si>
    <t>江越 大賀</t>
  </si>
  <si>
    <t>北條 史也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</si>
  <si>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</si>
  <si>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</si>
  <si>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</si>
  <si>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</si>
  <si>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</si>
  <si>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</si>
  <si>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</si>
  <si>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</si>
  <si>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</si>
  <si>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</si>
  <si>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尾仲 祐哉</t>
  </si>
  <si>
    <t>村上 頌樹</t>
  </si>
  <si>
    <t>守屋 功輝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</si>
  <si>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</si>
  <si>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</si>
  <si>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</si>
  <si>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</si>
  <si>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</si>
  <si>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</si>
  <si>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</si>
  <si>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</si>
  <si>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小林 慶祐</t>
  </si>
  <si>
    <t>長坂 拳弥</t>
  </si>
  <si>
    <t>藤田 健斗</t>
  </si>
  <si>
    <t>望月 惇志</t>
  </si>
  <si>
    <t>植田 海</t>
  </si>
  <si>
    <t>湯浅 京己</t>
  </si>
  <si>
    <t>小川 一平</t>
  </si>
  <si>
    <t>髙寺 望夢</t>
  </si>
  <si>
    <t>石井 大智</t>
  </si>
  <si>
    <t>伊藤 和雄</t>
  </si>
  <si>
    <t>石井 将希</t>
  </si>
  <si>
    <t>原口 文仁</t>
  </si>
  <si>
    <t>片山 雄哉</t>
  </si>
  <si>
    <t>島本 浩也</t>
  </si>
  <si>
    <t>才木 浩人</t>
  </si>
  <si>
    <t>岩田 将貴</t>
  </si>
  <si>
    <t>牧 丈一郎</t>
  </si>
  <si>
    <t>小野寺 暖</t>
  </si>
  <si>
    <t>宮本 秀明</t>
  </si>
  <si>
    <t>中井 大介</t>
  </si>
  <si>
    <t>桑原 将志</t>
  </si>
  <si>
    <t>牧 秀悟</t>
  </si>
  <si>
    <t>倉本 寿彦</t>
  </si>
  <si>
    <t>森 敬斗</t>
  </si>
  <si>
    <t>佐野 恵太</t>
  </si>
  <si>
    <t>神里 和毅</t>
  </si>
  <si>
    <t>戸柱 恭孝</t>
  </si>
  <si>
    <t>東 克樹</t>
  </si>
  <si>
    <t>阪口 皓亮</t>
  </si>
  <si>
    <t>伊勢 大夢</t>
  </si>
  <si>
    <t>石田 健大</t>
  </si>
  <si>
    <t>大貫 晋一</t>
  </si>
  <si>
    <t>三嶋 一輝</t>
  </si>
  <si>
    <t>山﨑 康晃</t>
  </si>
  <si>
    <t>坂本 裕哉</t>
  </si>
  <si>
    <t>今永 昇太</t>
  </si>
  <si>
    <t>入江 大生</t>
  </si>
  <si>
    <t>濵口 遥大</t>
  </si>
  <si>
    <t>伊藤 光</t>
  </si>
  <si>
    <t>柴田 竜拓</t>
  </si>
  <si>
    <t>益子 京右</t>
  </si>
  <si>
    <t>平田 真吾</t>
  </si>
  <si>
    <t>三上 朋也</t>
  </si>
  <si>
    <t>髙城 俊人</t>
  </si>
  <si>
    <t>楠本 泰史</t>
  </si>
  <si>
    <t>田中 俊太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</si>
  <si>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</si>
  <si>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</si>
  <si>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</si>
  <si>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</si>
  <si>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</si>
  <si>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</si>
  <si>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</si>
  <si>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池谷 蒼大</t>
  </si>
  <si>
    <t>浅田 将汰</t>
  </si>
  <si>
    <t>田部 隼人</t>
  </si>
  <si>
    <t>髙田 琢登</t>
  </si>
  <si>
    <t>東妻 純平</t>
  </si>
  <si>
    <t>知野 直人</t>
  </si>
  <si>
    <t>蝦名 達夫</t>
  </si>
  <si>
    <t>関根 大気</t>
  </si>
  <si>
    <t>国吉 佑樹</t>
  </si>
  <si>
    <t>山田 哲人</t>
  </si>
  <si>
    <t>中村 悠平</t>
  </si>
  <si>
    <t>清水 昇</t>
  </si>
  <si>
    <t>村上 宗隆</t>
  </si>
  <si>
    <t>坂本 勇人</t>
  </si>
  <si>
    <t>戸郷 翔征</t>
  </si>
  <si>
    <t>岡本 和真</t>
  </si>
  <si>
    <t>髙橋 優貴</t>
  </si>
  <si>
    <t>高梨 雄平</t>
  </si>
  <si>
    <t>加藤翔</t>
    <rPh sb="0" eb="1">
      <t>カ</t>
    </rPh>
    <rPh sb="1" eb="2">
      <t>フジ</t>
    </rPh>
    <rPh sb="2" eb="3">
      <t>ショウ</t>
    </rPh>
    <phoneticPr fontId="1"/>
  </si>
  <si>
    <t>加藤 翔平</t>
    <rPh sb="3" eb="5">
      <t>ショウヘイ</t>
    </rPh>
    <phoneticPr fontId="1"/>
  </si>
  <si>
    <t>髙部</t>
    <rPh sb="0" eb="2">
      <t>タカベ</t>
    </rPh>
    <phoneticPr fontId="1"/>
  </si>
  <si>
    <t>炭谷</t>
    <rPh sb="0" eb="2">
      <t>スミタニ</t>
    </rPh>
    <phoneticPr fontId="1"/>
  </si>
  <si>
    <t>炭谷 銀仁朗</t>
    <rPh sb="0" eb="2">
      <t>スミタニ</t>
    </rPh>
    <rPh sb="3" eb="6">
      <t>ギンジロウ</t>
    </rPh>
    <phoneticPr fontId="1"/>
  </si>
  <si>
    <t>水上</t>
    <phoneticPr fontId="1"/>
  </si>
  <si>
    <t>水上 由伸</t>
    <phoneticPr fontId="1"/>
  </si>
  <si>
    <t>加藤</t>
    <rPh sb="0" eb="2">
      <t>カトウ</t>
    </rPh>
    <phoneticPr fontId="1"/>
  </si>
  <si>
    <t>山下</t>
    <phoneticPr fontId="1"/>
  </si>
  <si>
    <t>岩崎</t>
    <rPh sb="0" eb="2">
      <t>イワザキ</t>
    </rPh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</si>
  <si>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</si>
  <si>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中村奨</t>
    <rPh sb="0" eb="2">
      <t>ナカムラ</t>
    </rPh>
    <rPh sb="2" eb="3">
      <t>ショウ</t>
    </rPh>
    <phoneticPr fontId="1"/>
  </si>
  <si>
    <t>加藤 匠馬</t>
  </si>
  <si>
    <t>髙部 瑛斗</t>
    <rPh sb="0" eb="1">
      <t>タカ</t>
    </rPh>
    <phoneticPr fontId="1"/>
  </si>
  <si>
    <t>ロメロ</t>
    <phoneticPr fontId="1"/>
  </si>
  <si>
    <t>国吉</t>
    <rPh sb="0" eb="2">
      <t>クニヨシ</t>
    </rPh>
    <phoneticPr fontId="1"/>
  </si>
  <si>
    <t>植田</t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</si>
  <si>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</si>
  <si>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</si>
  <si>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</si>
  <si>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</si>
  <si>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秋山</t>
  </si>
  <si>
    <t>ロハスＪｒ.</t>
  </si>
  <si>
    <t>二保</t>
  </si>
  <si>
    <t>ケラー</t>
  </si>
  <si>
    <t>桐敷</t>
  </si>
  <si>
    <t>ウィルカーソン</t>
  </si>
  <si>
    <t>前川</t>
  </si>
  <si>
    <t>豊田</t>
  </si>
  <si>
    <t>岡留</t>
  </si>
  <si>
    <t>中川</t>
  </si>
  <si>
    <t>望月</t>
  </si>
  <si>
    <t>川原</t>
  </si>
  <si>
    <t>森木 大智</t>
  </si>
  <si>
    <t>ロハス・ジュニア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</si>
  <si>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</si>
  <si>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</si>
  <si>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</si>
  <si>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</si>
  <si>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</si>
  <si>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</si>
  <si>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</si>
  <si>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マクブルーム</t>
  </si>
  <si>
    <t>森</t>
  </si>
  <si>
    <t>黒原</t>
  </si>
  <si>
    <t>ケムナ</t>
  </si>
  <si>
    <t>アンダーソン</t>
  </si>
  <si>
    <t>アドゥワ</t>
  </si>
  <si>
    <t>中村健</t>
  </si>
  <si>
    <t>末包</t>
  </si>
  <si>
    <t>田村</t>
  </si>
  <si>
    <t>髙木</t>
  </si>
  <si>
    <t>ターリー</t>
  </si>
  <si>
    <t>コルニエル</t>
  </si>
  <si>
    <t>行木</t>
  </si>
  <si>
    <t>二俣</t>
  </si>
  <si>
    <t>坂田</t>
  </si>
  <si>
    <t>持丸</t>
  </si>
  <si>
    <t>木下</t>
  </si>
  <si>
    <t>新家</t>
  </si>
  <si>
    <t>中村来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</si>
  <si>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</si>
  <si>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</si>
  <si>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</si>
  <si>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</si>
  <si>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</si>
  <si>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</si>
  <si>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</si>
  <si>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</si>
  <si>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</si>
  <si>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</si>
  <si>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中村 来生</t>
  </si>
  <si>
    <t>0</t>
  </si>
  <si>
    <t>017</t>
  </si>
  <si>
    <t>018</t>
  </si>
  <si>
    <t>019</t>
  </si>
  <si>
    <t>021</t>
  </si>
  <si>
    <t>024</t>
  </si>
  <si>
    <t>025</t>
  </si>
  <si>
    <t>030</t>
  </si>
  <si>
    <t>040</t>
  </si>
  <si>
    <t>051</t>
  </si>
  <si>
    <t>055</t>
  </si>
  <si>
    <t>ウォーカー</t>
  </si>
  <si>
    <t>ウォーカー</t>
    <phoneticPr fontId="1"/>
  </si>
  <si>
    <t>大勢</t>
  </si>
  <si>
    <t>ポランコ</t>
  </si>
  <si>
    <t>アンドリース</t>
  </si>
  <si>
    <t>シューメーカー</t>
  </si>
  <si>
    <t>ダニエル</t>
  </si>
  <si>
    <t>デラクルーズ</t>
  </si>
  <si>
    <t>ティマ</t>
  </si>
  <si>
    <t>湯浅 大</t>
    <phoneticPr fontId="1"/>
  </si>
  <si>
    <t>増田 大輝</t>
    <phoneticPr fontId="1"/>
  </si>
  <si>
    <t>吉川 尚輝</t>
    <phoneticPr fontId="1"/>
  </si>
  <si>
    <t>中島 宏之</t>
    <phoneticPr fontId="1"/>
  </si>
  <si>
    <t>坂本 勇人</t>
    <phoneticPr fontId="1"/>
  </si>
  <si>
    <t>丸 佳浩</t>
    <phoneticPr fontId="1"/>
  </si>
  <si>
    <t>松原 聖弥</t>
    <phoneticPr fontId="1"/>
  </si>
  <si>
    <t>中田 翔</t>
    <phoneticPr fontId="1"/>
  </si>
  <si>
    <t>平内 龍太</t>
    <phoneticPr fontId="1"/>
  </si>
  <si>
    <t>梶谷 隆幸</t>
    <phoneticPr fontId="1"/>
  </si>
  <si>
    <t>山口 俊</t>
    <phoneticPr fontId="1"/>
  </si>
  <si>
    <t>菅野 智之</t>
    <phoneticPr fontId="1"/>
  </si>
  <si>
    <t>山崎 伊織</t>
    <phoneticPr fontId="1"/>
  </si>
  <si>
    <t>戸郷 翔征</t>
    <phoneticPr fontId="1"/>
  </si>
  <si>
    <t>井納 翔一</t>
    <phoneticPr fontId="1"/>
  </si>
  <si>
    <t>小林 誠司</t>
    <phoneticPr fontId="1"/>
  </si>
  <si>
    <t>大城 卓三</t>
    <phoneticPr fontId="1"/>
  </si>
  <si>
    <t>岡本 和真</t>
    <phoneticPr fontId="1"/>
  </si>
  <si>
    <t>今村 信貴</t>
    <phoneticPr fontId="1"/>
  </si>
  <si>
    <t>岸田 行倫</t>
    <phoneticPr fontId="1"/>
  </si>
  <si>
    <t>山田 龍聖</t>
    <phoneticPr fontId="1"/>
  </si>
  <si>
    <t>鍵谷 陽平</t>
    <phoneticPr fontId="1"/>
  </si>
  <si>
    <t>赤星 優志</t>
    <phoneticPr fontId="1"/>
  </si>
  <si>
    <t>廣岡 大志</t>
    <phoneticPr fontId="1"/>
  </si>
  <si>
    <t>太田 龍</t>
    <phoneticPr fontId="1"/>
  </si>
  <si>
    <t>桜井 俊貴</t>
    <phoneticPr fontId="1"/>
  </si>
  <si>
    <t>石川 慎吾</t>
    <phoneticPr fontId="1"/>
  </si>
  <si>
    <t>若林 晃弘</t>
    <phoneticPr fontId="1"/>
  </si>
  <si>
    <t>岡田 悠希</t>
    <phoneticPr fontId="1"/>
  </si>
  <si>
    <t>立岡 宗一郎</t>
    <phoneticPr fontId="1"/>
  </si>
  <si>
    <t>中山 礼都</t>
    <phoneticPr fontId="1"/>
  </si>
  <si>
    <t>中川 皓太</t>
    <phoneticPr fontId="1"/>
  </si>
  <si>
    <t>重信 慎之介</t>
    <phoneticPr fontId="1"/>
  </si>
  <si>
    <t>畠 世周</t>
    <phoneticPr fontId="1"/>
  </si>
  <si>
    <t>鍬原 拓也</t>
    <phoneticPr fontId="1"/>
  </si>
  <si>
    <t>髙橋 優貴</t>
    <phoneticPr fontId="1"/>
  </si>
  <si>
    <t>戸根 千明</t>
    <phoneticPr fontId="1"/>
  </si>
  <si>
    <t>八百板 卓丸</t>
    <phoneticPr fontId="1"/>
  </si>
  <si>
    <t>北村 拓己</t>
    <phoneticPr fontId="1"/>
  </si>
  <si>
    <t>高梨 雄平</t>
    <phoneticPr fontId="1"/>
  </si>
  <si>
    <t>直江 大輔</t>
    <phoneticPr fontId="1"/>
  </si>
  <si>
    <t>秋広 優人</t>
    <phoneticPr fontId="1"/>
  </si>
  <si>
    <t>石田 隼都</t>
    <phoneticPr fontId="1"/>
  </si>
  <si>
    <t>高木 京介</t>
    <phoneticPr fontId="1"/>
  </si>
  <si>
    <t>山本 一輝</t>
    <phoneticPr fontId="1"/>
  </si>
  <si>
    <t>菊田 拡和</t>
    <phoneticPr fontId="1"/>
  </si>
  <si>
    <t>増田 陸</t>
    <phoneticPr fontId="1"/>
  </si>
  <si>
    <t>横川 凱</t>
    <phoneticPr fontId="1"/>
  </si>
  <si>
    <t>花田 侑樹</t>
    <phoneticPr fontId="1"/>
  </si>
  <si>
    <t>大江 竜聖</t>
    <phoneticPr fontId="1"/>
  </si>
  <si>
    <t>香月 一也</t>
    <phoneticPr fontId="1"/>
  </si>
  <si>
    <t>山瀬 慎之助</t>
    <phoneticPr fontId="1"/>
  </si>
  <si>
    <t>代木 大和</t>
    <phoneticPr fontId="1"/>
  </si>
  <si>
    <t>萩原 哲</t>
    <phoneticPr fontId="1"/>
  </si>
  <si>
    <t>戸田 懐生</t>
    <phoneticPr fontId="1"/>
  </si>
  <si>
    <t>堀田 賢慎</t>
    <phoneticPr fontId="1"/>
  </si>
  <si>
    <t>喜多 隆介</t>
    <phoneticPr fontId="1"/>
  </si>
  <si>
    <t>009</t>
  </si>
  <si>
    <t>010</t>
  </si>
  <si>
    <t>014</t>
  </si>
  <si>
    <t>015</t>
  </si>
  <si>
    <t>016</t>
  </si>
  <si>
    <t>022</t>
  </si>
  <si>
    <t>028</t>
  </si>
  <si>
    <t>047</t>
  </si>
  <si>
    <t>056</t>
  </si>
  <si>
    <t>059</t>
  </si>
  <si>
    <t>068</t>
  </si>
  <si>
    <t>091</t>
  </si>
  <si>
    <t>092</t>
  </si>
  <si>
    <t>093</t>
  </si>
  <si>
    <t>095</t>
  </si>
  <si>
    <t>097</t>
  </si>
  <si>
    <t>098</t>
  </si>
  <si>
    <t>加藤 廉</t>
    <phoneticPr fontId="1"/>
  </si>
  <si>
    <t>鈴木 大和</t>
    <phoneticPr fontId="1"/>
  </si>
  <si>
    <t>勝俣 翔貴</t>
    <phoneticPr fontId="1"/>
  </si>
  <si>
    <t>笹原 操希</t>
    <phoneticPr fontId="1"/>
  </si>
  <si>
    <t>大津 綾也</t>
    <phoneticPr fontId="1"/>
  </si>
  <si>
    <t>笠島 尚樹</t>
    <phoneticPr fontId="1"/>
  </si>
  <si>
    <t>京本 眞</t>
    <phoneticPr fontId="1"/>
  </si>
  <si>
    <t>川嵜 陽仁</t>
    <phoneticPr fontId="1"/>
  </si>
  <si>
    <t>髙田 竜星</t>
    <phoneticPr fontId="1"/>
  </si>
  <si>
    <t>奈良木 陸</t>
    <phoneticPr fontId="1"/>
  </si>
  <si>
    <t>木下 幹也</t>
    <phoneticPr fontId="1"/>
  </si>
  <si>
    <t>菊地 大稀</t>
    <phoneticPr fontId="1"/>
  </si>
  <si>
    <t>黒田 響生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</si>
  <si>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</si>
  <si>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</si>
  <si>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</si>
  <si>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</si>
  <si>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</si>
  <si>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谷岡 竜平</t>
    <phoneticPr fontId="1"/>
  </si>
  <si>
    <t>與那原 大剛</t>
    <phoneticPr fontId="1"/>
  </si>
  <si>
    <t>鴨打 瑛二</t>
    <phoneticPr fontId="1"/>
  </si>
  <si>
    <t>阿部 剣友</t>
    <phoneticPr fontId="1"/>
  </si>
  <si>
    <t>保科 広一</t>
    <phoneticPr fontId="1"/>
  </si>
  <si>
    <t>伊藤 優輔</t>
    <phoneticPr fontId="1"/>
  </si>
  <si>
    <t>田中 豊樹</t>
    <phoneticPr fontId="1"/>
  </si>
  <si>
    <t>鈴木 優</t>
    <phoneticPr fontId="1"/>
  </si>
  <si>
    <t>井上 温大</t>
    <phoneticPr fontId="1"/>
  </si>
  <si>
    <t>沼田 翔平</t>
    <phoneticPr fontId="1"/>
  </si>
  <si>
    <t>平間 隼人</t>
    <phoneticPr fontId="1"/>
  </si>
  <si>
    <t>堀岡 隼人</t>
    <phoneticPr fontId="1"/>
  </si>
  <si>
    <t>伊藤 海斗</t>
    <phoneticPr fontId="1"/>
  </si>
  <si>
    <t>加藤</t>
    <phoneticPr fontId="1"/>
  </si>
  <si>
    <t>勝俣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</si>
  <si>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</si>
  <si>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</si>
  <si>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</si>
  <si>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</si>
  <si>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</si>
  <si>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</si>
  <si>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</si>
  <si>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奈良木</t>
    <phoneticPr fontId="1"/>
  </si>
  <si>
    <t>木下</t>
    <phoneticPr fontId="1"/>
  </si>
  <si>
    <t>菊地</t>
    <phoneticPr fontId="1"/>
  </si>
  <si>
    <t>黒田</t>
    <phoneticPr fontId="1"/>
  </si>
  <si>
    <t>亀田</t>
    <phoneticPr fontId="1"/>
  </si>
  <si>
    <t>前田</t>
    <phoneticPr fontId="1"/>
  </si>
  <si>
    <t>岡本大</t>
    <phoneticPr fontId="1"/>
  </si>
  <si>
    <t>富田</t>
    <phoneticPr fontId="1"/>
  </si>
  <si>
    <t>山﨑友</t>
    <phoneticPr fontId="1"/>
  </si>
  <si>
    <t>谷岡</t>
    <phoneticPr fontId="1"/>
  </si>
  <si>
    <t>與那原</t>
    <phoneticPr fontId="1"/>
  </si>
  <si>
    <t>鴨打</t>
    <phoneticPr fontId="1"/>
  </si>
  <si>
    <t>阿部</t>
    <phoneticPr fontId="1"/>
  </si>
  <si>
    <t>保科</t>
    <phoneticPr fontId="1"/>
  </si>
  <si>
    <t>伊藤</t>
    <phoneticPr fontId="1"/>
  </si>
  <si>
    <t>田中</t>
    <phoneticPr fontId="1"/>
  </si>
  <si>
    <t>鈴木大</t>
    <rPh sb="2" eb="3">
      <t>オオ</t>
    </rPh>
    <phoneticPr fontId="1"/>
  </si>
  <si>
    <t>鈴木優</t>
    <phoneticPr fontId="1"/>
  </si>
  <si>
    <t>井上</t>
    <phoneticPr fontId="1"/>
  </si>
  <si>
    <t>沼田</t>
    <phoneticPr fontId="1"/>
  </si>
  <si>
    <t>平間</t>
    <phoneticPr fontId="1"/>
  </si>
  <si>
    <t>堀岡</t>
    <phoneticPr fontId="1"/>
  </si>
  <si>
    <t>A.J.コール</t>
  </si>
  <si>
    <t>023</t>
  </si>
  <si>
    <t>大勢</t>
    <rPh sb="0" eb="2">
      <t>オオゼイ</t>
    </rPh>
    <phoneticPr fontId="1"/>
  </si>
  <si>
    <t>ポランコ</t>
    <phoneticPr fontId="1"/>
  </si>
  <si>
    <t>岸田</t>
    <rPh sb="0" eb="2">
      <t>キシダ</t>
    </rPh>
    <phoneticPr fontId="1"/>
  </si>
  <si>
    <t>山田</t>
    <rPh sb="0" eb="2">
      <t>ヤマダ</t>
    </rPh>
    <phoneticPr fontId="1"/>
  </si>
  <si>
    <t>アンドリース</t>
    <phoneticPr fontId="1"/>
  </si>
  <si>
    <t>赤星</t>
    <rPh sb="0" eb="2">
      <t>アカホシ</t>
    </rPh>
    <phoneticPr fontId="1"/>
  </si>
  <si>
    <t>鍬原</t>
    <phoneticPr fontId="1"/>
  </si>
  <si>
    <t>直江</t>
    <rPh sb="0" eb="2">
      <t>ナオエ</t>
    </rPh>
    <phoneticPr fontId="1"/>
  </si>
  <si>
    <t>秋広</t>
    <rPh sb="0" eb="2">
      <t>アキヒロ</t>
    </rPh>
    <phoneticPr fontId="1"/>
  </si>
  <si>
    <t>花田</t>
    <rPh sb="0" eb="2">
      <t>ハナダ</t>
    </rPh>
    <phoneticPr fontId="1"/>
  </si>
  <si>
    <t>山瀬</t>
    <phoneticPr fontId="1"/>
  </si>
  <si>
    <t>代木</t>
    <rPh sb="0" eb="1">
      <t>ダイ</t>
    </rPh>
    <rPh sb="1" eb="2">
      <t>キ</t>
    </rPh>
    <phoneticPr fontId="1"/>
  </si>
  <si>
    <t>戸田</t>
    <rPh sb="0" eb="2">
      <t>トダ</t>
    </rPh>
    <phoneticPr fontId="1"/>
  </si>
  <si>
    <t>喜多</t>
    <rPh sb="0" eb="2">
      <t>キタ</t>
    </rPh>
    <phoneticPr fontId="1"/>
  </si>
  <si>
    <t>シューメーカー</t>
    <phoneticPr fontId="1"/>
  </si>
  <si>
    <t>奥村 展征</t>
    <phoneticPr fontId="1"/>
  </si>
  <si>
    <t>並木 秀尊</t>
    <phoneticPr fontId="1"/>
  </si>
  <si>
    <t>山田 哲人</t>
    <phoneticPr fontId="1"/>
  </si>
  <si>
    <t>西浦 直亨</t>
    <phoneticPr fontId="1"/>
  </si>
  <si>
    <t>丸山 和郁</t>
    <phoneticPr fontId="1"/>
  </si>
  <si>
    <t>川端 慎吾</t>
    <phoneticPr fontId="1"/>
  </si>
  <si>
    <t>元山 飛優</t>
    <phoneticPr fontId="1"/>
  </si>
  <si>
    <t>内川 聖一</t>
    <phoneticPr fontId="1"/>
  </si>
  <si>
    <t>中山 翔太</t>
    <phoneticPr fontId="1"/>
  </si>
  <si>
    <t>塩見 泰隆</t>
    <phoneticPr fontId="1"/>
  </si>
  <si>
    <t>杉山 晃基</t>
    <phoneticPr fontId="1"/>
  </si>
  <si>
    <t>荒木 貴裕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</si>
  <si>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</si>
  <si>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</si>
  <si>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</si>
  <si>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</si>
  <si>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</si>
  <si>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</si>
  <si>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寺島 成輝</t>
    <phoneticPr fontId="1"/>
  </si>
  <si>
    <t>石川 雅規</t>
    <phoneticPr fontId="1"/>
  </si>
  <si>
    <t>木澤 尚文</t>
    <phoneticPr fontId="1"/>
  </si>
  <si>
    <t>山野 太一</t>
    <phoneticPr fontId="1"/>
  </si>
  <si>
    <t>青木 宣親</t>
    <phoneticPr fontId="1"/>
  </si>
  <si>
    <t>星 知弥</t>
    <phoneticPr fontId="1"/>
  </si>
  <si>
    <t>坂本 光士郎</t>
    <phoneticPr fontId="1"/>
  </si>
  <si>
    <t>中村 悠平</t>
    <phoneticPr fontId="1"/>
  </si>
  <si>
    <t>吉田 大喜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</si>
  <si>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</si>
  <si>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</si>
  <si>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</si>
  <si>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</si>
  <si>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</si>
  <si>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</si>
  <si>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梅野 雄吾</t>
    <phoneticPr fontId="1"/>
  </si>
  <si>
    <t>宮本 丈</t>
    <phoneticPr fontId="1"/>
  </si>
  <si>
    <t>市川 悠太</t>
    <phoneticPr fontId="1"/>
  </si>
  <si>
    <t>柴田 大地</t>
    <phoneticPr fontId="1"/>
  </si>
  <si>
    <t>坂口 智隆</t>
    <phoneticPr fontId="1"/>
  </si>
  <si>
    <t>大西 広樹</t>
    <phoneticPr fontId="1"/>
  </si>
  <si>
    <t>嶋 基宏</t>
    <phoneticPr fontId="1"/>
  </si>
  <si>
    <t>太田 賢吾</t>
    <phoneticPr fontId="1"/>
  </si>
  <si>
    <t>高橋 奎二</t>
    <phoneticPr fontId="1"/>
  </si>
  <si>
    <t>金久保 優斗</t>
    <phoneticPr fontId="1"/>
  </si>
  <si>
    <t>渡邉 大樹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</si>
  <si>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</si>
  <si>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</si>
  <si>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</si>
  <si>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</si>
  <si>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鈴木 裕太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</si>
  <si>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</si>
  <si>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</si>
  <si>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</si>
  <si>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</si>
  <si>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久保 拓眞</t>
    <phoneticPr fontId="1"/>
  </si>
  <si>
    <t>竹山 日向</t>
    <phoneticPr fontId="1"/>
  </si>
  <si>
    <t>大下 佑馬</t>
    <phoneticPr fontId="1"/>
  </si>
  <si>
    <t>松本 友</t>
    <phoneticPr fontId="1"/>
  </si>
  <si>
    <t>吉田 大成</t>
    <phoneticPr fontId="1"/>
  </si>
  <si>
    <t>嘉手苅 浩太</t>
    <phoneticPr fontId="1"/>
  </si>
  <si>
    <t>宮台 康平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</si>
  <si>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</si>
  <si>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</si>
  <si>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</si>
  <si>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</si>
  <si>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松井 聖</t>
    <phoneticPr fontId="1"/>
  </si>
  <si>
    <t>赤羽 由紘</t>
    <phoneticPr fontId="1"/>
  </si>
  <si>
    <t>岩田 幸宏</t>
    <phoneticPr fontId="1"/>
  </si>
  <si>
    <t>内山 太嗣</t>
    <phoneticPr fontId="1"/>
  </si>
  <si>
    <t>丸山和</t>
    <rPh sb="0" eb="2">
      <t>マルヤマ</t>
    </rPh>
    <rPh sb="2" eb="3">
      <t>ワ</t>
    </rPh>
    <phoneticPr fontId="1"/>
  </si>
  <si>
    <t>中村</t>
    <rPh sb="0" eb="2">
      <t>ナカムラ</t>
    </rPh>
    <phoneticPr fontId="1"/>
  </si>
  <si>
    <t>吉田大喜</t>
    <phoneticPr fontId="1"/>
  </si>
  <si>
    <t>柴田</t>
    <rPh sb="0" eb="2">
      <t>シバタ</t>
    </rPh>
    <phoneticPr fontId="1"/>
  </si>
  <si>
    <t>スアレス</t>
    <phoneticPr fontId="1"/>
  </si>
  <si>
    <t>近藤</t>
    <rPh sb="0" eb="2">
      <t>コンドウ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</si>
  <si>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</si>
  <si>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</si>
  <si>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コール</t>
    <phoneticPr fontId="1"/>
  </si>
  <si>
    <t>小澤</t>
    <rPh sb="0" eb="2">
      <t>オザワ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</si>
  <si>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</si>
  <si>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</si>
  <si>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</si>
  <si>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赤羽</t>
    <rPh sb="0" eb="2">
      <t>アカバネ</t>
    </rPh>
    <phoneticPr fontId="1"/>
  </si>
  <si>
    <t>岩田</t>
    <rPh sb="0" eb="2">
      <t>イワタ</t>
    </rPh>
    <phoneticPr fontId="1"/>
  </si>
  <si>
    <t>内山太</t>
    <rPh sb="0" eb="2">
      <t>ウチヤマ</t>
    </rPh>
    <rPh sb="2" eb="3">
      <t>タイ</t>
    </rPh>
    <phoneticPr fontId="1"/>
  </si>
  <si>
    <t>勝又</t>
    <phoneticPr fontId="1"/>
  </si>
  <si>
    <t>平良</t>
    <phoneticPr fontId="1"/>
  </si>
  <si>
    <t>宮城</t>
    <phoneticPr fontId="1"/>
  </si>
  <si>
    <t>石川</t>
    <phoneticPr fontId="1"/>
  </si>
  <si>
    <t>加藤</t>
    <phoneticPr fontId="1"/>
  </si>
  <si>
    <t>村川</t>
    <phoneticPr fontId="1"/>
  </si>
  <si>
    <t>東出</t>
    <phoneticPr fontId="1"/>
  </si>
  <si>
    <t>大橋</t>
    <phoneticPr fontId="1"/>
  </si>
  <si>
    <t>勝又 温史</t>
    <phoneticPr fontId="1"/>
  </si>
  <si>
    <t>平良 拳太郎</t>
    <phoneticPr fontId="1"/>
  </si>
  <si>
    <t>宮城 滝太</t>
    <phoneticPr fontId="1"/>
  </si>
  <si>
    <t>石川 達也</t>
    <phoneticPr fontId="1"/>
  </si>
  <si>
    <t>加藤 大</t>
    <phoneticPr fontId="1"/>
  </si>
  <si>
    <t>村川 凪</t>
    <phoneticPr fontId="1"/>
  </si>
  <si>
    <t>東出 直也</t>
    <phoneticPr fontId="1"/>
  </si>
  <si>
    <t>大橋 武尊</t>
    <phoneticPr fontId="1"/>
  </si>
  <si>
    <t>有吉 優樹</t>
    <phoneticPr fontId="1"/>
  </si>
  <si>
    <t>宮國 椋丞</t>
    <phoneticPr fontId="1"/>
  </si>
  <si>
    <t>中川 虎大</t>
    <phoneticPr fontId="1"/>
  </si>
  <si>
    <t>梶原 昂希</t>
    <phoneticPr fontId="1"/>
  </si>
  <si>
    <t>田中 健二朗</t>
    <phoneticPr fontId="1"/>
  </si>
  <si>
    <t>深沢 鳳介</t>
    <phoneticPr fontId="1"/>
  </si>
  <si>
    <t>粟飯原 龍之介</t>
    <phoneticPr fontId="1"/>
  </si>
  <si>
    <t>三浦 銀二</t>
    <phoneticPr fontId="1"/>
  </si>
  <si>
    <t>小園 健太</t>
    <phoneticPr fontId="1"/>
  </si>
  <si>
    <t>徳山 壮磨</t>
    <phoneticPr fontId="1"/>
  </si>
  <si>
    <t>藤田 一也</t>
    <phoneticPr fontId="1"/>
  </si>
  <si>
    <t>藤田</t>
    <rPh sb="0" eb="2">
      <t>フジタ</t>
    </rPh>
    <phoneticPr fontId="1"/>
  </si>
  <si>
    <t>徳山</t>
    <rPh sb="0" eb="2">
      <t>トクヤマ</t>
    </rPh>
    <phoneticPr fontId="1"/>
  </si>
  <si>
    <t>小園</t>
    <rPh sb="0" eb="2">
      <t>コゾノ</t>
    </rPh>
    <phoneticPr fontId="1"/>
  </si>
  <si>
    <t>三浦</t>
    <rPh sb="0" eb="2">
      <t>ミウラ</t>
    </rPh>
    <phoneticPr fontId="1"/>
  </si>
  <si>
    <t>粟飯原</t>
    <rPh sb="0" eb="3">
      <t>アイバラ</t>
    </rPh>
    <phoneticPr fontId="1"/>
  </si>
  <si>
    <t>深沢</t>
    <rPh sb="0" eb="2">
      <t>フカザワ</t>
    </rPh>
    <phoneticPr fontId="1"/>
  </si>
  <si>
    <t>田中健</t>
    <rPh sb="2" eb="3">
      <t>ケン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</si>
  <si>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</si>
  <si>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</si>
  <si>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宮國</t>
    <rPh sb="0" eb="2">
      <t>ミヤグニ</t>
    </rPh>
    <phoneticPr fontId="1"/>
  </si>
  <si>
    <t>有吉</t>
    <rPh sb="0" eb="2">
      <t>アリヨシ</t>
    </rPh>
    <phoneticPr fontId="1"/>
  </si>
  <si>
    <t>小野寺</t>
    <rPh sb="0" eb="3">
      <t>オノデラ</t>
    </rPh>
    <phoneticPr fontId="1"/>
  </si>
  <si>
    <t>小野</t>
    <rPh sb="0" eb="2">
      <t>オノ</t>
    </rPh>
    <phoneticPr fontId="1"/>
  </si>
  <si>
    <t>201</t>
  </si>
  <si>
    <t>202</t>
  </si>
  <si>
    <t>アルバレス</t>
  </si>
  <si>
    <t>203</t>
  </si>
  <si>
    <t>204</t>
  </si>
  <si>
    <t>205</t>
  </si>
  <si>
    <t>ガルシア</t>
  </si>
  <si>
    <t>206</t>
  </si>
  <si>
    <t>207</t>
  </si>
  <si>
    <t>208</t>
  </si>
  <si>
    <t>209</t>
  </si>
  <si>
    <t>210</t>
  </si>
  <si>
    <t>ワカマツ</t>
  </si>
  <si>
    <t>211</t>
  </si>
  <si>
    <t>ロドリゲス</t>
    <phoneticPr fontId="1"/>
  </si>
  <si>
    <t>近藤 廉</t>
    <phoneticPr fontId="1"/>
  </si>
  <si>
    <t>垣越 建伸</t>
    <phoneticPr fontId="1"/>
  </si>
  <si>
    <t>星野 真生</t>
    <phoneticPr fontId="1"/>
  </si>
  <si>
    <t>ブライト 健太</t>
    <phoneticPr fontId="1"/>
  </si>
  <si>
    <t>山下 斐紹</t>
    <phoneticPr fontId="1"/>
  </si>
  <si>
    <t>大野 奨太</t>
    <phoneticPr fontId="1"/>
  </si>
  <si>
    <t>石森 大誠</t>
    <phoneticPr fontId="1"/>
  </si>
  <si>
    <t>福元 悠真</t>
    <phoneticPr fontId="1"/>
  </si>
  <si>
    <t>大野 雄大</t>
    <phoneticPr fontId="1"/>
  </si>
  <si>
    <t>鵜飼 航丞</t>
    <phoneticPr fontId="1"/>
  </si>
  <si>
    <t>石岡 諒太</t>
    <phoneticPr fontId="1"/>
  </si>
  <si>
    <t>石岡</t>
    <rPh sb="0" eb="2">
      <t>イシオカ</t>
    </rPh>
    <phoneticPr fontId="1"/>
  </si>
  <si>
    <t>鵜飼</t>
    <rPh sb="0" eb="2">
      <t>ウカイ</t>
    </rPh>
    <phoneticPr fontId="1"/>
  </si>
  <si>
    <t>岩嵜 翔</t>
    <phoneticPr fontId="1"/>
  </si>
  <si>
    <t>岩嵜</t>
    <rPh sb="0" eb="2">
      <t>イワサキ</t>
    </rPh>
    <phoneticPr fontId="1"/>
  </si>
  <si>
    <t>福元</t>
    <rPh sb="0" eb="2">
      <t>フクモト</t>
    </rPh>
    <phoneticPr fontId="1"/>
  </si>
  <si>
    <t>石森</t>
    <rPh sb="0" eb="2">
      <t>イシモリ</t>
    </rPh>
    <phoneticPr fontId="1"/>
  </si>
  <si>
    <t>山下</t>
    <rPh sb="0" eb="2">
      <t>ヤマシタ</t>
    </rPh>
    <phoneticPr fontId="1"/>
  </si>
  <si>
    <t>ブライト</t>
    <phoneticPr fontId="1"/>
  </si>
  <si>
    <t>味谷</t>
    <rPh sb="0" eb="1">
      <t>アジ</t>
    </rPh>
    <rPh sb="1" eb="2">
      <t>タニ</t>
    </rPh>
    <phoneticPr fontId="1"/>
  </si>
  <si>
    <t>味谷 大誠</t>
    <phoneticPr fontId="1"/>
  </si>
  <si>
    <t>星野</t>
    <rPh sb="0" eb="2">
      <t>ホシノ</t>
    </rPh>
    <phoneticPr fontId="1"/>
  </si>
  <si>
    <t>垣越</t>
    <rPh sb="0" eb="2">
      <t>カキコシ</t>
    </rPh>
    <phoneticPr fontId="1"/>
  </si>
  <si>
    <t>近藤</t>
    <rPh sb="0" eb="2">
      <t>コンドウ</t>
    </rPh>
    <phoneticPr fontId="1"/>
  </si>
  <si>
    <t>竹内 龍臣</t>
    <phoneticPr fontId="1"/>
  </si>
  <si>
    <t>上田 洸太朗</t>
    <phoneticPr fontId="1"/>
  </si>
  <si>
    <t>濱田 達郎</t>
    <phoneticPr fontId="1"/>
  </si>
  <si>
    <t>松木平 優太</t>
    <phoneticPr fontId="1"/>
  </si>
  <si>
    <t>松田 亘哲</t>
    <phoneticPr fontId="1"/>
  </si>
  <si>
    <t>石川 翔</t>
    <phoneticPr fontId="1"/>
  </si>
  <si>
    <t>福島 章太</t>
    <phoneticPr fontId="1"/>
  </si>
  <si>
    <t>大嶺 祐太</t>
    <phoneticPr fontId="1"/>
  </si>
  <si>
    <t>アルバレス</t>
    <phoneticPr fontId="1"/>
  </si>
  <si>
    <t>上田</t>
    <phoneticPr fontId="1"/>
  </si>
  <si>
    <t>ガルシア</t>
    <phoneticPr fontId="1"/>
  </si>
  <si>
    <t>ワカマツ</t>
    <phoneticPr fontId="1"/>
  </si>
  <si>
    <t>大嶺</t>
    <rPh sb="0" eb="2">
      <t>オオミネ</t>
    </rPh>
    <phoneticPr fontId="1"/>
  </si>
  <si>
    <t>ガルビス</t>
  </si>
  <si>
    <t>チャトウッド</t>
  </si>
  <si>
    <t>アルメンタ</t>
  </si>
  <si>
    <t>フェリックス</t>
  </si>
  <si>
    <t>シモン</t>
  </si>
  <si>
    <t>145</t>
  </si>
  <si>
    <t>146</t>
  </si>
  <si>
    <t>ヘラルディーノ</t>
  </si>
  <si>
    <t>147</t>
  </si>
  <si>
    <t>148</t>
  </si>
  <si>
    <t>149</t>
  </si>
  <si>
    <t>151</t>
  </si>
  <si>
    <t>152</t>
  </si>
  <si>
    <t>153</t>
  </si>
  <si>
    <t>154</t>
  </si>
  <si>
    <t>155</t>
  </si>
  <si>
    <t>佐藤 宏樹</t>
    <phoneticPr fontId="1"/>
  </si>
  <si>
    <t>石塚 綜一郎</t>
    <phoneticPr fontId="1"/>
  </si>
  <si>
    <t>藤野 恵音</t>
    <phoneticPr fontId="1"/>
  </si>
  <si>
    <t>中道 佑哉</t>
    <phoneticPr fontId="1"/>
  </si>
  <si>
    <t>桑原 秀侍</t>
    <phoneticPr fontId="1"/>
  </si>
  <si>
    <t>早 真之介</t>
    <phoneticPr fontId="1"/>
  </si>
  <si>
    <t>黒瀬 健太</t>
    <phoneticPr fontId="1"/>
  </si>
  <si>
    <t>緒方 理貢</t>
    <phoneticPr fontId="1"/>
  </si>
  <si>
    <t>伊藤 大将</t>
    <phoneticPr fontId="1"/>
  </si>
  <si>
    <t>居谷 匠真</t>
    <phoneticPr fontId="1"/>
  </si>
  <si>
    <t>勝連 大稀</t>
    <phoneticPr fontId="1"/>
  </si>
  <si>
    <t>舟越 秀虎</t>
    <phoneticPr fontId="1"/>
  </si>
  <si>
    <t>川村 友斗</t>
    <phoneticPr fontId="1"/>
  </si>
  <si>
    <t>岡本 直也</t>
    <phoneticPr fontId="1"/>
  </si>
  <si>
    <t>大城 真乃</t>
    <phoneticPr fontId="1"/>
  </si>
  <si>
    <t>荒木 翔太</t>
    <phoneticPr fontId="1"/>
  </si>
  <si>
    <t>中村 亮太</t>
    <phoneticPr fontId="1"/>
  </si>
  <si>
    <t>重田 倫明</t>
    <phoneticPr fontId="1"/>
  </si>
  <si>
    <t>井崎 燦志郎</t>
    <phoneticPr fontId="1"/>
  </si>
  <si>
    <t>三浦 瑞樹</t>
    <phoneticPr fontId="1"/>
  </si>
  <si>
    <t>中村 宜聖</t>
    <phoneticPr fontId="1"/>
  </si>
  <si>
    <t>村上 舜</t>
    <phoneticPr fontId="1"/>
  </si>
  <si>
    <t>田中 怜利 ハモンド</t>
    <phoneticPr fontId="1"/>
  </si>
  <si>
    <t>加藤 洸稀</t>
    <phoneticPr fontId="1"/>
  </si>
  <si>
    <t>山崎 琢磨</t>
    <phoneticPr fontId="1"/>
  </si>
  <si>
    <t>佐久間 拓斗</t>
    <phoneticPr fontId="1"/>
  </si>
  <si>
    <t>山本 恵大</t>
    <phoneticPr fontId="1"/>
  </si>
  <si>
    <t>加藤 晴空</t>
    <phoneticPr fontId="1"/>
  </si>
  <si>
    <t>瀧本 将生</t>
    <phoneticPr fontId="1"/>
  </si>
  <si>
    <t>三代 祥貴</t>
    <phoneticPr fontId="1"/>
  </si>
  <si>
    <t>佐藤 琢磨</t>
    <phoneticPr fontId="1"/>
  </si>
  <si>
    <t>仲田 慶介</t>
    <phoneticPr fontId="1"/>
  </si>
  <si>
    <t>渡邉 陸</t>
    <phoneticPr fontId="1"/>
  </si>
  <si>
    <t>風間 球打</t>
    <phoneticPr fontId="1"/>
  </si>
  <si>
    <t>中谷 将大</t>
    <phoneticPr fontId="1"/>
  </si>
  <si>
    <t>又吉 克樹</t>
    <phoneticPr fontId="1"/>
  </si>
  <si>
    <t>栗原 陵矢</t>
    <phoneticPr fontId="1"/>
  </si>
  <si>
    <t>正木 智也</t>
    <phoneticPr fontId="1"/>
  </si>
  <si>
    <t>大関 友久</t>
    <phoneticPr fontId="1"/>
  </si>
  <si>
    <t>藤井 皓哉</t>
    <phoneticPr fontId="1"/>
  </si>
  <si>
    <t>木村 大成</t>
    <phoneticPr fontId="1"/>
  </si>
  <si>
    <t>大竹 風雅</t>
    <phoneticPr fontId="1"/>
  </si>
  <si>
    <t>風間</t>
    <rPh sb="0" eb="2">
      <t>カザマ</t>
    </rPh>
    <phoneticPr fontId="1"/>
  </si>
  <si>
    <t>ガルビス</t>
    <phoneticPr fontId="1"/>
  </si>
  <si>
    <t>中谷</t>
    <rPh sb="0" eb="2">
      <t>ナカタニ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</si>
  <si>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</si>
  <si>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</si>
  <si>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田中正義</t>
    <rPh sb="0" eb="1">
      <t>タ</t>
    </rPh>
    <rPh sb="1" eb="2">
      <t>ナカ</t>
    </rPh>
    <rPh sb="2" eb="4">
      <t>セイギ</t>
    </rPh>
    <phoneticPr fontId="1"/>
  </si>
  <si>
    <t>正木</t>
    <rPh sb="0" eb="2">
      <t>マサキ</t>
    </rPh>
    <phoneticPr fontId="1"/>
  </si>
  <si>
    <t>大関</t>
    <rPh sb="0" eb="2">
      <t>オオゼキ</t>
    </rPh>
    <phoneticPr fontId="1"/>
  </si>
  <si>
    <t>藤井</t>
    <rPh sb="0" eb="2">
      <t>フジイ</t>
    </rPh>
    <phoneticPr fontId="1"/>
  </si>
  <si>
    <t>木村</t>
    <rPh sb="0" eb="2">
      <t>キムラ</t>
    </rPh>
    <phoneticPr fontId="1"/>
  </si>
  <si>
    <t>大竹風</t>
    <rPh sb="0" eb="2">
      <t>オオタケ</t>
    </rPh>
    <rPh sb="2" eb="3">
      <t>フウ</t>
    </rPh>
    <phoneticPr fontId="1"/>
  </si>
  <si>
    <t>大竹耕</t>
    <rPh sb="0" eb="1">
      <t>ダイ</t>
    </rPh>
    <rPh sb="1" eb="2">
      <t>タケ</t>
    </rPh>
    <rPh sb="2" eb="3">
      <t>コウ</t>
    </rPh>
    <phoneticPr fontId="1"/>
  </si>
  <si>
    <t>渡邉</t>
    <phoneticPr fontId="1"/>
  </si>
  <si>
    <t>藤野</t>
    <rPh sb="0" eb="2">
      <t>フジノ</t>
    </rPh>
    <phoneticPr fontId="1"/>
  </si>
  <si>
    <t>川村</t>
    <rPh sb="0" eb="2">
      <t>カワムラ</t>
    </rPh>
    <phoneticPr fontId="1"/>
  </si>
  <si>
    <t>アルメンタ</t>
    <phoneticPr fontId="1"/>
  </si>
  <si>
    <t>井崎</t>
    <rPh sb="0" eb="2">
      <t>イサキ</t>
    </rPh>
    <phoneticPr fontId="1"/>
  </si>
  <si>
    <t>三浦</t>
    <rPh sb="0" eb="2">
      <t>ミウラ</t>
    </rPh>
    <phoneticPr fontId="1"/>
  </si>
  <si>
    <t>フェリックス</t>
    <phoneticPr fontId="1"/>
  </si>
  <si>
    <t>シモン</t>
    <phoneticPr fontId="1"/>
  </si>
  <si>
    <t>田中</t>
    <rPh sb="0" eb="2">
      <t>タナカ</t>
    </rPh>
    <phoneticPr fontId="1"/>
  </si>
  <si>
    <t>佐久間</t>
    <rPh sb="0" eb="3">
      <t>サクマ</t>
    </rPh>
    <phoneticPr fontId="1"/>
  </si>
  <si>
    <t>山崎</t>
    <rPh sb="0" eb="2">
      <t>ヤマサキ</t>
    </rPh>
    <phoneticPr fontId="1"/>
  </si>
  <si>
    <t>山本</t>
    <rPh sb="0" eb="2">
      <t>ヤマモト</t>
    </rPh>
    <phoneticPr fontId="1"/>
  </si>
  <si>
    <t>加藤洸</t>
    <phoneticPr fontId="1"/>
  </si>
  <si>
    <t>加藤晴</t>
    <phoneticPr fontId="1"/>
  </si>
  <si>
    <t>瀧本将</t>
    <phoneticPr fontId="1"/>
  </si>
  <si>
    <t>三代</t>
    <rPh sb="0" eb="2">
      <t>ミシロ</t>
    </rPh>
    <phoneticPr fontId="1"/>
  </si>
  <si>
    <t>佐藤宏</t>
    <rPh sb="2" eb="3">
      <t>ヒロ</t>
    </rPh>
    <phoneticPr fontId="1"/>
  </si>
  <si>
    <t>佐藤琢</t>
    <rPh sb="0" eb="2">
      <t>サトウ</t>
    </rPh>
    <rPh sb="2" eb="3">
      <t>タク</t>
    </rPh>
    <phoneticPr fontId="1"/>
  </si>
  <si>
    <t>仲田</t>
    <rPh sb="0" eb="2">
      <t>ナカタ</t>
    </rPh>
    <phoneticPr fontId="1"/>
  </si>
  <si>
    <t>1</t>
  </si>
  <si>
    <t>外野手</t>
  </si>
  <si>
    <t>栗山巧</t>
  </si>
  <si>
    <t>捕手</t>
  </si>
  <si>
    <t>岡田雅利</t>
  </si>
  <si>
    <t>内野手</t>
  </si>
  <si>
    <t>山川穂高</t>
  </si>
  <si>
    <t>山野辺翔</t>
  </si>
  <si>
    <t>外崎修汰</t>
  </si>
  <si>
    <t>源田壮亮</t>
  </si>
  <si>
    <t>キャプテン</t>
  </si>
  <si>
    <t>金子侑司</t>
  </si>
  <si>
    <t>渡部健人</t>
  </si>
  <si>
    <t>森友哉</t>
  </si>
  <si>
    <t>投手</t>
  </si>
  <si>
    <t>今井達也</t>
  </si>
  <si>
    <t>渡邉勇太朗</t>
  </si>
  <si>
    <t>髙橋光成</t>
  </si>
  <si>
    <t>選手会長</t>
  </si>
  <si>
    <t>増田達至</t>
  </si>
  <si>
    <t>宮川哲</t>
  </si>
  <si>
    <t>隅田知一郎</t>
  </si>
  <si>
    <t>松本航</t>
  </si>
  <si>
    <t>佐藤隼輔</t>
  </si>
  <si>
    <t>浜屋将太</t>
  </si>
  <si>
    <t>十亀剣</t>
  </si>
  <si>
    <t>古賀悠斗</t>
  </si>
  <si>
    <t>公文克彦</t>
  </si>
  <si>
    <t>永久欠番</t>
  </si>
  <si>
    <t>稲尾和久</t>
  </si>
  <si>
    <t>平井克典</t>
  </si>
  <si>
    <t>佐々木健</t>
  </si>
  <si>
    <t>内海哲也</t>
  </si>
  <si>
    <t>投手コーチ兼任</t>
  </si>
  <si>
    <t>森脇亮介</t>
  </si>
  <si>
    <t>オグレディ</t>
  </si>
  <si>
    <t>平沼翔太</t>
  </si>
  <si>
    <t>山村崇嘉</t>
  </si>
  <si>
    <t>ジャンセン</t>
  </si>
  <si>
    <t>佐野泰雄</t>
  </si>
  <si>
    <t>若林楽人</t>
  </si>
  <si>
    <t>柘植世那</t>
  </si>
  <si>
    <t>牧野翔矢</t>
  </si>
  <si>
    <t>呉念庭</t>
  </si>
  <si>
    <t>田村伊知郎</t>
  </si>
  <si>
    <t>井上広輝</t>
  </si>
  <si>
    <t>タカハシ</t>
  </si>
  <si>
    <t>羽田慎之介</t>
  </si>
  <si>
    <t>與座海人</t>
  </si>
  <si>
    <t>本田圭佑</t>
  </si>
  <si>
    <t>鈴木将平</t>
  </si>
  <si>
    <t>松岡洸希</t>
  </si>
  <si>
    <t>武隈祥太</t>
  </si>
  <si>
    <t>中山誠吾</t>
  </si>
  <si>
    <t>西川愛也</t>
  </si>
  <si>
    <t>山田遥楓</t>
  </si>
  <si>
    <t>スミス</t>
  </si>
  <si>
    <t>川野涼多</t>
  </si>
  <si>
    <t>黒田将矢</t>
  </si>
  <si>
    <t>熊代聖人</t>
  </si>
  <si>
    <t>大曲錬</t>
  </si>
  <si>
    <t>中村剛也</t>
  </si>
  <si>
    <t>平良海馬</t>
  </si>
  <si>
    <t>戸川大輔</t>
  </si>
  <si>
    <t>仲三河優太</t>
  </si>
  <si>
    <t>岸潤一郎</t>
  </si>
  <si>
    <t>水上由伸</t>
  </si>
  <si>
    <t>一軍コーチ</t>
  </si>
  <si>
    <t>佐藤友亮</t>
  </si>
  <si>
    <t>外野守備・走塁コーチ</t>
  </si>
  <si>
    <t>二軍コーチ</t>
  </si>
  <si>
    <t>田邊徳雄</t>
  </si>
  <si>
    <t>野手特命コーチ</t>
  </si>
  <si>
    <t>川越誠司</t>
  </si>
  <si>
    <t>高木渉</t>
  </si>
  <si>
    <t>二軍監督</t>
  </si>
  <si>
    <t>西口文也</t>
  </si>
  <si>
    <t>エンス</t>
  </si>
  <si>
    <t>阿部真宏</t>
  </si>
  <si>
    <t>内野守備・走塁コーチ</t>
  </si>
  <si>
    <t>松井稼頭央</t>
  </si>
  <si>
    <t>ヘッドコーチ</t>
  </si>
  <si>
    <t>齊藤誠人</t>
  </si>
  <si>
    <t>小関竜也</t>
  </si>
  <si>
    <t>野手総合コーチ兼打撃コーチ</t>
  </si>
  <si>
    <t>嶋重宣</t>
  </si>
  <si>
    <t>野手コーチ</t>
  </si>
  <si>
    <t>豊田清</t>
  </si>
  <si>
    <t>投手コーチ</t>
  </si>
  <si>
    <t>野田浩輔</t>
  </si>
  <si>
    <t>バッテリーコーチ</t>
  </si>
  <si>
    <t>平石洋介</t>
  </si>
  <si>
    <t>打撃コーチ</t>
  </si>
  <si>
    <t>一軍監督</t>
  </si>
  <si>
    <t>辻発彦</t>
  </si>
  <si>
    <t>赤田将吾</t>
  </si>
  <si>
    <t>黒田哲史</t>
  </si>
  <si>
    <t>上本達之</t>
  </si>
  <si>
    <t>長田秀一郎</t>
  </si>
  <si>
    <t>高山久</t>
  </si>
  <si>
    <t>清川栄治</t>
  </si>
  <si>
    <t>投手総合コーチ</t>
  </si>
  <si>
    <t>青木勇人</t>
  </si>
  <si>
    <t>大石達也</t>
  </si>
  <si>
    <t>中田祥多</t>
  </si>
  <si>
    <t>01</t>
  </si>
  <si>
    <t>スタッフ</t>
  </si>
  <si>
    <t>神野信也</t>
  </si>
  <si>
    <t>打撃投手</t>
  </si>
  <si>
    <t>02</t>
  </si>
  <si>
    <t>武藤幸司</t>
  </si>
  <si>
    <t>03</t>
  </si>
  <si>
    <t>岩尾利弘</t>
  </si>
  <si>
    <t>04</t>
  </si>
  <si>
    <t>山下英</t>
  </si>
  <si>
    <t>05</t>
  </si>
  <si>
    <t>小島紳二郎</t>
  </si>
  <si>
    <t>06</t>
  </si>
  <si>
    <t>南和彰</t>
  </si>
  <si>
    <t>07</t>
  </si>
  <si>
    <t>山崎敏</t>
  </si>
  <si>
    <t>08</t>
  </si>
  <si>
    <t>國場翼</t>
  </si>
  <si>
    <t>打撃投手兼スコアラー</t>
  </si>
  <si>
    <t>田原晃司</t>
  </si>
  <si>
    <t>ブルペン捕手</t>
  </si>
  <si>
    <t>駒月仁人</t>
  </si>
  <si>
    <t>藤澤亨明</t>
  </si>
  <si>
    <t>荒川雄太</t>
  </si>
  <si>
    <t>小川真希</t>
  </si>
  <si>
    <t>齊藤大将</t>
  </si>
  <si>
    <t>粟津凱士</t>
  </si>
  <si>
    <t>伊藤翔</t>
  </si>
  <si>
    <t>上間永遠</t>
  </si>
  <si>
    <t>出井敏博</t>
  </si>
  <si>
    <t>赤上優人</t>
  </si>
  <si>
    <t>長谷川信哉</t>
  </si>
  <si>
    <t>豆田泰志</t>
  </si>
  <si>
    <t>古市尊</t>
  </si>
  <si>
    <t>滝澤夏央</t>
  </si>
  <si>
    <t>中熊大智</t>
  </si>
  <si>
    <t>菅井信也</t>
  </si>
  <si>
    <t>川村啓真</t>
  </si>
  <si>
    <t>齊藤 大将</t>
    <phoneticPr fontId="1"/>
  </si>
  <si>
    <t>粟津 凱士</t>
    <phoneticPr fontId="1"/>
  </si>
  <si>
    <t>伊藤 翔</t>
    <phoneticPr fontId="1"/>
  </si>
  <si>
    <t>上間 永遠</t>
    <phoneticPr fontId="1"/>
  </si>
  <si>
    <t>出井 敏博</t>
    <phoneticPr fontId="1"/>
  </si>
  <si>
    <t>赤上 優人</t>
    <phoneticPr fontId="1"/>
  </si>
  <si>
    <t>長谷川 信哉</t>
    <phoneticPr fontId="1"/>
  </si>
  <si>
    <t>豆田 泰志</t>
    <phoneticPr fontId="1"/>
  </si>
  <si>
    <t>古市 尊</t>
    <phoneticPr fontId="1"/>
  </si>
  <si>
    <t>滝澤 夏央</t>
    <phoneticPr fontId="1"/>
  </si>
  <si>
    <t>中熊 大智</t>
    <phoneticPr fontId="1"/>
  </si>
  <si>
    <t>菅井 信也</t>
    <phoneticPr fontId="1"/>
  </si>
  <si>
    <t>川村 啓真</t>
    <phoneticPr fontId="1"/>
  </si>
  <si>
    <t>粟津</t>
    <phoneticPr fontId="1"/>
  </si>
  <si>
    <t>伊藤</t>
    <phoneticPr fontId="1"/>
  </si>
  <si>
    <t>上間</t>
    <phoneticPr fontId="1"/>
  </si>
  <si>
    <t>出井</t>
    <phoneticPr fontId="1"/>
  </si>
  <si>
    <t>赤上</t>
    <phoneticPr fontId="1"/>
  </si>
  <si>
    <t>長谷川</t>
    <phoneticPr fontId="1"/>
  </si>
  <si>
    <t>豆田</t>
    <phoneticPr fontId="1"/>
  </si>
  <si>
    <t>古市</t>
    <phoneticPr fontId="1"/>
  </si>
  <si>
    <t>滝澤</t>
    <phoneticPr fontId="1"/>
  </si>
  <si>
    <t>中熊</t>
    <phoneticPr fontId="1"/>
  </si>
  <si>
    <t>菅井</t>
    <phoneticPr fontId="1"/>
  </si>
  <si>
    <t>川村</t>
    <phoneticPr fontId="1"/>
  </si>
  <si>
    <t>齊藤大</t>
    <rPh sb="2" eb="3">
      <t>オオ</t>
    </rPh>
    <phoneticPr fontId="1"/>
  </si>
  <si>
    <t>隅田 知一郎</t>
    <phoneticPr fontId="1"/>
  </si>
  <si>
    <t>佐藤 隼輔</t>
    <phoneticPr fontId="1"/>
  </si>
  <si>
    <t>公文 克彦</t>
    <phoneticPr fontId="1"/>
  </si>
  <si>
    <t>古賀 悠斗</t>
    <phoneticPr fontId="1"/>
  </si>
  <si>
    <t>平沼 翔太</t>
    <phoneticPr fontId="1"/>
  </si>
  <si>
    <t>羽田 慎之介</t>
    <phoneticPr fontId="1"/>
  </si>
  <si>
    <t>中山 誠吾</t>
    <phoneticPr fontId="1"/>
  </si>
  <si>
    <t>黒田 将矢</t>
    <phoneticPr fontId="1"/>
  </si>
  <si>
    <t>隅田</t>
    <rPh sb="0" eb="2">
      <t>スミダ</t>
    </rPh>
    <phoneticPr fontId="1"/>
  </si>
  <si>
    <t>佐藤</t>
    <rPh sb="0" eb="2">
      <t>サトウ</t>
    </rPh>
    <phoneticPr fontId="1"/>
  </si>
  <si>
    <t>古賀</t>
    <rPh sb="0" eb="2">
      <t>コガ</t>
    </rPh>
    <phoneticPr fontId="1"/>
  </si>
  <si>
    <t>公文</t>
    <rPh sb="0" eb="2">
      <t>クモン</t>
    </rPh>
    <phoneticPr fontId="1"/>
  </si>
  <si>
    <t>オグレディ</t>
    <phoneticPr fontId="1"/>
  </si>
  <si>
    <t>平沼</t>
    <rPh sb="0" eb="2">
      <t>ヒラヌマ</t>
    </rPh>
    <phoneticPr fontId="1"/>
  </si>
  <si>
    <t>ジャンセン</t>
    <phoneticPr fontId="1"/>
  </si>
  <si>
    <t>羽田</t>
    <rPh sb="0" eb="2">
      <t>ハネダ</t>
    </rPh>
    <phoneticPr fontId="1"/>
  </si>
  <si>
    <t>スミス</t>
    <phoneticPr fontId="1"/>
  </si>
  <si>
    <t>黒田</t>
    <rPh sb="0" eb="2">
      <t>クロダ</t>
    </rPh>
    <phoneticPr fontId="1"/>
  </si>
  <si>
    <t>準永久欠番</t>
  </si>
  <si>
    <t>ガント</t>
  </si>
  <si>
    <t>ポンセ</t>
  </si>
  <si>
    <t>石井</t>
    <rPh sb="0" eb="2">
      <t>イシイ</t>
    </rPh>
    <phoneticPr fontId="1"/>
  </si>
  <si>
    <t>池田来翔</t>
  </si>
  <si>
    <t>荻野貴司</t>
  </si>
  <si>
    <t>藤原恭大</t>
  </si>
  <si>
    <t>松川虎生</t>
  </si>
  <si>
    <t>角中勝也</t>
  </si>
  <si>
    <t>藤岡裕大</t>
  </si>
  <si>
    <t>安田尚憲</t>
  </si>
  <si>
    <t>井口資仁</t>
  </si>
  <si>
    <t>福田秀平</t>
  </si>
  <si>
    <t>中村奨吾</t>
  </si>
  <si>
    <t>福浦和也</t>
  </si>
  <si>
    <t>佐々木千隼</t>
  </si>
  <si>
    <t>石川歩</t>
  </si>
  <si>
    <t>平沢大河</t>
  </si>
  <si>
    <t>小島和哉</t>
  </si>
  <si>
    <t>美馬学</t>
  </si>
  <si>
    <t>種市篤暉</t>
  </si>
  <si>
    <t>佐々木朗希</t>
  </si>
  <si>
    <t>二木康太</t>
  </si>
  <si>
    <t>唐川侑己</t>
  </si>
  <si>
    <t>東條大樹</t>
  </si>
  <si>
    <t>田村龍弘</t>
  </si>
  <si>
    <t>三木亮</t>
  </si>
  <si>
    <t>東妻勇輔</t>
  </si>
  <si>
    <t>岡大海</t>
  </si>
  <si>
    <t>マリーンズファン</t>
  </si>
  <si>
    <t>山本大貴</t>
  </si>
  <si>
    <t>西野勇士</t>
  </si>
  <si>
    <t>廣畑敦也</t>
  </si>
  <si>
    <t>菅野剛士</t>
  </si>
  <si>
    <t>佐藤都志也</t>
  </si>
  <si>
    <t>八木彬</t>
  </si>
  <si>
    <t>土肥星也</t>
  </si>
  <si>
    <t>鈴木昭汰</t>
  </si>
  <si>
    <t>小野郁</t>
  </si>
  <si>
    <t>髙部瑛斗</t>
  </si>
  <si>
    <t>吉田裕太</t>
  </si>
  <si>
    <t>福田光輝</t>
  </si>
  <si>
    <t>成田翔</t>
  </si>
  <si>
    <t>秋山正雲</t>
  </si>
  <si>
    <t>井上晴哉</t>
  </si>
  <si>
    <t>ゲレーロ</t>
  </si>
  <si>
    <t>岩下大輝</t>
  </si>
  <si>
    <t>田中靖洋</t>
  </si>
  <si>
    <t>中村稔弥</t>
  </si>
  <si>
    <t>本前郁也</t>
  </si>
  <si>
    <t>小沼健太</t>
  </si>
  <si>
    <t>山口航輝</t>
  </si>
  <si>
    <t>益田直也</t>
  </si>
  <si>
    <t>江村直也</t>
  </si>
  <si>
    <t>中森俊介</t>
  </si>
  <si>
    <t>小川龍成</t>
  </si>
  <si>
    <t>河村説人</t>
  </si>
  <si>
    <t>西川僚祐</t>
  </si>
  <si>
    <t>横山陸人</t>
  </si>
  <si>
    <t>森遼大朗</t>
  </si>
  <si>
    <t>和田康士朗</t>
  </si>
  <si>
    <t>佐藤奨真</t>
  </si>
  <si>
    <t>古谷拓郎</t>
  </si>
  <si>
    <t>加藤匠馬</t>
  </si>
  <si>
    <t>茶谷健太</t>
  </si>
  <si>
    <t>西巻賢二</t>
  </si>
  <si>
    <t>土居豪人</t>
  </si>
  <si>
    <t>的場直樹</t>
  </si>
  <si>
    <t>戦略コーチ兼バッテリーコーチ補佐</t>
  </si>
  <si>
    <t>金澤岳</t>
  </si>
  <si>
    <t>小坂誠</t>
  </si>
  <si>
    <t>打撃コーチ兼内野守備コーチ兼走塁コーチ</t>
  </si>
  <si>
    <t>堀幸一</t>
  </si>
  <si>
    <t>チーフ打撃コーチ</t>
  </si>
  <si>
    <t>木村龍治</t>
  </si>
  <si>
    <t>大隣憲司</t>
  </si>
  <si>
    <t>大塚明</t>
  </si>
  <si>
    <t>外野守備コーチ兼走塁コーチ</t>
  </si>
  <si>
    <t>伊志嶺翔大</t>
  </si>
  <si>
    <t>走塁コーチ兼外野守備コーチ補佐兼打撃コーチ補佐</t>
  </si>
  <si>
    <t>小野晋吾</t>
  </si>
  <si>
    <t>諸積兼司</t>
  </si>
  <si>
    <t>清水将海</t>
  </si>
  <si>
    <t>大谷智久</t>
  </si>
  <si>
    <t>森脇浩司</t>
  </si>
  <si>
    <t>ヘッドコーチ兼内野守備コーチ</t>
  </si>
  <si>
    <t>根元俊一</t>
  </si>
  <si>
    <t>内野守備コーチ兼走塁コーチ</t>
  </si>
  <si>
    <t>鳥越裕介</t>
  </si>
  <si>
    <t>川越英隆</t>
  </si>
  <si>
    <t>チーフ投手コーチ</t>
  </si>
  <si>
    <t>前里史朗</t>
  </si>
  <si>
    <t>国吉佑樹</t>
  </si>
  <si>
    <t>味園博和</t>
  </si>
  <si>
    <t>小池翔大</t>
  </si>
  <si>
    <t>植田将太</t>
  </si>
  <si>
    <t>河野亮</t>
  </si>
  <si>
    <t>菊地大祐</t>
  </si>
  <si>
    <t>トレーニングコーチ</t>
  </si>
  <si>
    <t>根本淳平</t>
  </si>
  <si>
    <t>柿沼友哉</t>
  </si>
  <si>
    <t>中郷大樹</t>
  </si>
  <si>
    <t>手嶌智</t>
  </si>
  <si>
    <t>川崎雄介</t>
  </si>
  <si>
    <t>福嶋明弘</t>
  </si>
  <si>
    <t>関谷亮太</t>
  </si>
  <si>
    <t>石田雅彦</t>
  </si>
  <si>
    <t>末吉恭平</t>
  </si>
  <si>
    <t>吉原正平</t>
  </si>
  <si>
    <t>中溝雄也</t>
  </si>
  <si>
    <t>阿部和成</t>
  </si>
  <si>
    <t>渡辺靖彬</t>
  </si>
  <si>
    <t>渡邉啓太</t>
  </si>
  <si>
    <t>志茂友哉</t>
  </si>
  <si>
    <t>田中楓基</t>
  </si>
  <si>
    <t>谷川唯人</t>
  </si>
  <si>
    <t>速水将大</t>
  </si>
  <si>
    <t>山本大斗</t>
  </si>
  <si>
    <t>永島田輝斗</t>
  </si>
  <si>
    <t>村山亮介</t>
  </si>
  <si>
    <t>松永昂大</t>
  </si>
  <si>
    <t>田中 楓基</t>
    <phoneticPr fontId="1"/>
  </si>
  <si>
    <t>谷川 唯人</t>
    <phoneticPr fontId="1"/>
  </si>
  <si>
    <t>速水 将大</t>
    <phoneticPr fontId="1"/>
  </si>
  <si>
    <t>山本 大斗</t>
    <phoneticPr fontId="1"/>
  </si>
  <si>
    <t>永島田 輝斗</t>
    <phoneticPr fontId="1"/>
  </si>
  <si>
    <t>村山 亮介</t>
    <phoneticPr fontId="1"/>
  </si>
  <si>
    <t>松永 昂大</t>
    <phoneticPr fontId="1"/>
  </si>
  <si>
    <t>谷川</t>
    <phoneticPr fontId="1"/>
  </si>
  <si>
    <t>速水</t>
    <phoneticPr fontId="1"/>
  </si>
  <si>
    <t>山本</t>
    <phoneticPr fontId="1"/>
  </si>
  <si>
    <t>永島田</t>
    <phoneticPr fontId="1"/>
  </si>
  <si>
    <t>村山</t>
    <phoneticPr fontId="1"/>
  </si>
  <si>
    <t>松永</t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</si>
  <si>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</si>
  <si>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</si>
  <si>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</si>
  <si>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</si>
  <si>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</si>
  <si>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</si>
  <si>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</si>
  <si>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</si>
  <si>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</si>
  <si>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佐藤 奨真</t>
    <phoneticPr fontId="1"/>
  </si>
  <si>
    <t>池田</t>
    <rPh sb="0" eb="2">
      <t>イケダ</t>
    </rPh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</si>
  <si>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</si>
  <si>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</si>
  <si>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</si>
  <si>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</si>
  <si>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</si>
  <si>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小沼</t>
    <rPh sb="0" eb="2">
      <t>オヌマ</t>
    </rPh>
    <phoneticPr fontId="1"/>
  </si>
  <si>
    <t>佐藤奨</t>
    <rPh sb="0" eb="2">
      <t>サトウ</t>
    </rPh>
    <rPh sb="2" eb="3">
      <t>ショウ</t>
    </rPh>
    <phoneticPr fontId="1"/>
  </si>
  <si>
    <t>田中楓</t>
    <rPh sb="2" eb="3">
      <t>カエデ</t>
    </rPh>
    <phoneticPr fontId="1"/>
  </si>
  <si>
    <t>マスコット</t>
  </si>
  <si>
    <t>マルモレホス</t>
  </si>
  <si>
    <t>ギッテンス</t>
  </si>
  <si>
    <t>マーキ</t>
  </si>
  <si>
    <t>石田 駿</t>
    <phoneticPr fontId="1"/>
  </si>
  <si>
    <t>大河原 翔</t>
    <phoneticPr fontId="1"/>
  </si>
  <si>
    <t>柳澤 大空</t>
    <phoneticPr fontId="1"/>
  </si>
  <si>
    <t>佐藤 智輝</t>
    <phoneticPr fontId="1"/>
  </si>
  <si>
    <t>引地 秀一郎</t>
    <phoneticPr fontId="1"/>
  </si>
  <si>
    <t>福森 耀真</t>
    <phoneticPr fontId="1"/>
  </si>
  <si>
    <t>吉持 亮汰</t>
    <phoneticPr fontId="1"/>
  </si>
  <si>
    <t>森 雄大</t>
    <phoneticPr fontId="1"/>
  </si>
  <si>
    <t>王 彦程</t>
    <phoneticPr fontId="1"/>
  </si>
  <si>
    <t>釜元 豪</t>
    <phoneticPr fontId="1"/>
  </si>
  <si>
    <t>宮森 智志</t>
    <phoneticPr fontId="1"/>
  </si>
  <si>
    <t>清宮 虎多朗</t>
    <phoneticPr fontId="1"/>
  </si>
  <si>
    <t>江川 侑斗</t>
    <phoneticPr fontId="1"/>
  </si>
  <si>
    <t>澤野 聖悠</t>
    <phoneticPr fontId="1"/>
  </si>
  <si>
    <t>佐藤</t>
    <phoneticPr fontId="1"/>
  </si>
  <si>
    <t>引地</t>
    <phoneticPr fontId="1"/>
  </si>
  <si>
    <t>福森</t>
    <phoneticPr fontId="1"/>
  </si>
  <si>
    <t>吉持</t>
    <phoneticPr fontId="1"/>
  </si>
  <si>
    <t>森</t>
    <phoneticPr fontId="1"/>
  </si>
  <si>
    <t>王</t>
    <phoneticPr fontId="1"/>
  </si>
  <si>
    <t>釜元</t>
    <phoneticPr fontId="1"/>
  </si>
  <si>
    <t>宮森</t>
    <phoneticPr fontId="1"/>
  </si>
  <si>
    <t>清宮</t>
    <phoneticPr fontId="1"/>
  </si>
  <si>
    <t>江川</t>
    <phoneticPr fontId="1"/>
  </si>
  <si>
    <t>澤野</t>
    <phoneticPr fontId="1"/>
  </si>
  <si>
    <t>柳澤</t>
    <phoneticPr fontId="1"/>
  </si>
  <si>
    <t>大河原</t>
    <phoneticPr fontId="1"/>
  </si>
  <si>
    <t>石田</t>
    <phoneticPr fontId="1"/>
  </si>
  <si>
    <t>渡邊 佑樹</t>
    <phoneticPr fontId="1"/>
  </si>
  <si>
    <t>吉川 雄大</t>
    <phoneticPr fontId="1"/>
  </si>
  <si>
    <t>内田 靖人</t>
    <phoneticPr fontId="1"/>
  </si>
  <si>
    <t>横尾 俊建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</si>
  <si>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</si>
  <si>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</si>
  <si>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</si>
  <si>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</si>
  <si>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</si>
  <si>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</si>
  <si>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</si>
  <si>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小峯 新陸</t>
    <phoneticPr fontId="1"/>
  </si>
  <si>
    <t>川島 慶三</t>
    <phoneticPr fontId="1"/>
  </si>
  <si>
    <t>西川 遥輝</t>
    <phoneticPr fontId="1"/>
  </si>
  <si>
    <t>西川</t>
    <rPh sb="0" eb="2">
      <t>ニシカワ</t>
    </rPh>
    <phoneticPr fontId="1"/>
  </si>
  <si>
    <t>吉野 創士</t>
    <phoneticPr fontId="1"/>
  </si>
  <si>
    <t>吉野</t>
    <rPh sb="0" eb="2">
      <t>ヨシノ</t>
    </rPh>
    <phoneticPr fontId="1"/>
  </si>
  <si>
    <t>マルモレホス</t>
    <phoneticPr fontId="1"/>
  </si>
  <si>
    <t>前田</t>
    <rPh sb="0" eb="2">
      <t>マエダ</t>
    </rPh>
    <phoneticPr fontId="1"/>
  </si>
  <si>
    <t>ギッテンス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</si>
  <si>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</si>
  <si>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</si>
  <si>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松井裕</t>
    <rPh sb="0" eb="2">
      <t>マツイ</t>
    </rPh>
    <rPh sb="2" eb="3">
      <t>ユウ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</si>
  <si>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</si>
  <si>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</si>
  <si>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</si>
  <si>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</si>
  <si>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内田</t>
    <rPh sb="0" eb="2">
      <t>ウチダ</t>
    </rPh>
    <phoneticPr fontId="1"/>
  </si>
  <si>
    <t>吉川</t>
    <rPh sb="0" eb="2">
      <t>ヨシカワ</t>
    </rPh>
    <phoneticPr fontId="1"/>
  </si>
  <si>
    <t>渡邊佑</t>
    <rPh sb="0" eb="2">
      <t>ワタナベ</t>
    </rPh>
    <rPh sb="2" eb="3">
      <t>ユウ</t>
    </rPh>
    <phoneticPr fontId="1"/>
  </si>
  <si>
    <t>渡部遼人</t>
  </si>
  <si>
    <t>福田周平</t>
  </si>
  <si>
    <t>若月健矢</t>
  </si>
  <si>
    <t>安達了一</t>
  </si>
  <si>
    <t>バレラ</t>
  </si>
  <si>
    <t>西野真弘</t>
  </si>
  <si>
    <t>宗佑磨</t>
  </si>
  <si>
    <t>吉田正尚</t>
  </si>
  <si>
    <t>後藤駿太</t>
  </si>
  <si>
    <t>野口智哉</t>
  </si>
  <si>
    <t>大城滉二</t>
  </si>
  <si>
    <t>山﨑福也</t>
  </si>
  <si>
    <t>山下舜平大</t>
  </si>
  <si>
    <t>宮城大弥</t>
  </si>
  <si>
    <t>椋木蓮</t>
  </si>
  <si>
    <t>平野佳寿</t>
  </si>
  <si>
    <t>増井浩俊</t>
  </si>
  <si>
    <t>山本由伸</t>
  </si>
  <si>
    <t>山岡泰輔</t>
  </si>
  <si>
    <t>竹安大知</t>
  </si>
  <si>
    <t>村西良太</t>
  </si>
  <si>
    <t>伏見寅威</t>
  </si>
  <si>
    <t>紅林弘太郎</t>
  </si>
  <si>
    <t>西村凌</t>
  </si>
  <si>
    <t>能見篤史</t>
  </si>
  <si>
    <t>元謙太</t>
  </si>
  <si>
    <t>富山凌雅</t>
  </si>
  <si>
    <t>田嶋大樹</t>
  </si>
  <si>
    <t>K-鈴木</t>
  </si>
  <si>
    <t>太田椋</t>
  </si>
  <si>
    <t>福永奨</t>
  </si>
  <si>
    <t>松井雅人</t>
  </si>
  <si>
    <t>比嘉幹貴</t>
  </si>
  <si>
    <t>山足達也</t>
  </si>
  <si>
    <t>来田涼斗</t>
  </si>
  <si>
    <t>池田陵真</t>
  </si>
  <si>
    <t>大下誠一郎</t>
  </si>
  <si>
    <t>佐野皓大</t>
  </si>
  <si>
    <t>ラベロ</t>
  </si>
  <si>
    <t>前佑囲斗</t>
  </si>
  <si>
    <t>頓宮裕真</t>
  </si>
  <si>
    <t>阿部翔太</t>
  </si>
  <si>
    <t>本田仁海</t>
  </si>
  <si>
    <t>海田智行</t>
  </si>
  <si>
    <t>齋藤綱記</t>
  </si>
  <si>
    <t>澤田圭佑</t>
  </si>
  <si>
    <t>小田裕也</t>
  </si>
  <si>
    <t>イチロー</t>
  </si>
  <si>
    <t>横山楓</t>
  </si>
  <si>
    <t>宜保翔</t>
  </si>
  <si>
    <t>黒木優太</t>
  </si>
  <si>
    <t>T-岡田</t>
  </si>
  <si>
    <t>小木田敦也</t>
  </si>
  <si>
    <t>山田修義</t>
  </si>
  <si>
    <t>ワゲスパック</t>
  </si>
  <si>
    <t>バルガス</t>
  </si>
  <si>
    <t>佐野如一</t>
  </si>
  <si>
    <t>中川拓真</t>
  </si>
  <si>
    <t>山﨑颯一郎</t>
  </si>
  <si>
    <t>漆原大晟</t>
  </si>
  <si>
    <t>吉田凌</t>
  </si>
  <si>
    <t>中川圭太</t>
  </si>
  <si>
    <t>ビドル</t>
  </si>
  <si>
    <t>コーチ</t>
  </si>
  <si>
    <t>松井佑介</t>
  </si>
  <si>
    <t>岸田護</t>
  </si>
  <si>
    <t>平井正史</t>
  </si>
  <si>
    <t>育成コーチ</t>
  </si>
  <si>
    <t>高山郁夫</t>
  </si>
  <si>
    <t>山崎勝己</t>
  </si>
  <si>
    <t>厚澤和幸</t>
  </si>
  <si>
    <t>風岡尚幸</t>
  </si>
  <si>
    <t>梵英心</t>
  </si>
  <si>
    <t>中嶋聡</t>
  </si>
  <si>
    <t>辻竜太郎</t>
  </si>
  <si>
    <t>小島脩平</t>
  </si>
  <si>
    <t>田口壮</t>
  </si>
  <si>
    <t>入来祐作</t>
  </si>
  <si>
    <t>小谷野栄一</t>
  </si>
  <si>
    <t>野手総合打撃コーチ</t>
  </si>
  <si>
    <t>鈴木昂平</t>
  </si>
  <si>
    <t>髙橋信二</t>
  </si>
  <si>
    <t>由田慎太郎</t>
  </si>
  <si>
    <t>齋藤俊雄</t>
  </si>
  <si>
    <t>水本勝己</t>
  </si>
  <si>
    <t>小林宏</t>
  </si>
  <si>
    <t>別府修作</t>
  </si>
  <si>
    <t>育成総括コーチ</t>
  </si>
  <si>
    <t>飯田大祐</t>
  </si>
  <si>
    <t>張奕</t>
  </si>
  <si>
    <t>杉本裕太郎</t>
  </si>
  <si>
    <t>佐藤一磨</t>
  </si>
  <si>
    <t>谷岡楓太</t>
  </si>
  <si>
    <t>中田惟斗</t>
  </si>
  <si>
    <t>平野大和</t>
  </si>
  <si>
    <t>鶴見凌也</t>
  </si>
  <si>
    <t>松山真之</t>
  </si>
  <si>
    <t>川瀬堅斗</t>
  </si>
  <si>
    <t>辻垣高良</t>
  </si>
  <si>
    <t>宇田川優希</t>
  </si>
  <si>
    <t>釣寿生</t>
  </si>
  <si>
    <t>020</t>
  </si>
  <si>
    <t>山中尭之</t>
  </si>
  <si>
    <t>園部佳太</t>
  </si>
  <si>
    <t>大里昂生</t>
  </si>
  <si>
    <t>岩橋慶侍</t>
  </si>
  <si>
    <t>左澤優</t>
  </si>
  <si>
    <t>山岡洋之</t>
  </si>
  <si>
    <t>久保聖也</t>
  </si>
  <si>
    <t>古川秀一</t>
  </si>
  <si>
    <t>比屋根彰人</t>
  </si>
  <si>
    <t>太田暁</t>
  </si>
  <si>
    <t>稲富宏樹</t>
  </si>
  <si>
    <t>杉本尚文</t>
  </si>
  <si>
    <t>瓜野純嗣</t>
  </si>
  <si>
    <t>バファローブル</t>
  </si>
  <si>
    <t>清田文章</t>
  </si>
  <si>
    <t>大嶋達也</t>
  </si>
  <si>
    <t>漆戸駿</t>
  </si>
  <si>
    <t>宮川祥</t>
  </si>
  <si>
    <t>廣澤伸哉</t>
  </si>
  <si>
    <t>中村勝</t>
  </si>
  <si>
    <t>近藤大亮</t>
  </si>
  <si>
    <t>榊原翼</t>
  </si>
  <si>
    <t>東晃平</t>
  </si>
  <si>
    <t>平野大</t>
    <phoneticPr fontId="1"/>
  </si>
  <si>
    <t>鶴見</t>
    <phoneticPr fontId="1"/>
  </si>
  <si>
    <t>松山</t>
    <phoneticPr fontId="1"/>
  </si>
  <si>
    <t>川瀬</t>
    <phoneticPr fontId="1"/>
  </si>
  <si>
    <t>辻垣</t>
    <phoneticPr fontId="1"/>
  </si>
  <si>
    <t>宇田川</t>
    <phoneticPr fontId="1"/>
  </si>
  <si>
    <t>釣</t>
    <phoneticPr fontId="1"/>
  </si>
  <si>
    <t>山中</t>
    <phoneticPr fontId="1"/>
  </si>
  <si>
    <t>園部</t>
    <phoneticPr fontId="1"/>
  </si>
  <si>
    <t>大里</t>
    <phoneticPr fontId="1"/>
  </si>
  <si>
    <t>廣澤</t>
    <phoneticPr fontId="1"/>
  </si>
  <si>
    <t>中村勝</t>
    <phoneticPr fontId="1"/>
  </si>
  <si>
    <t>近藤</t>
    <phoneticPr fontId="1"/>
  </si>
  <si>
    <t>榊原</t>
    <phoneticPr fontId="1"/>
  </si>
  <si>
    <t>東</t>
    <phoneticPr fontId="1"/>
  </si>
  <si>
    <t>東 晃平</t>
    <phoneticPr fontId="1"/>
  </si>
  <si>
    <t>榊原 翼</t>
    <phoneticPr fontId="1"/>
  </si>
  <si>
    <t>近藤 大亮</t>
    <phoneticPr fontId="1"/>
  </si>
  <si>
    <t>中村 勝</t>
    <phoneticPr fontId="1"/>
  </si>
  <si>
    <t>廣澤 伸哉</t>
    <phoneticPr fontId="1"/>
  </si>
  <si>
    <t>大里 昂生</t>
    <phoneticPr fontId="1"/>
  </si>
  <si>
    <t>園部 佳太</t>
    <phoneticPr fontId="1"/>
  </si>
  <si>
    <t>山中 尭之</t>
    <phoneticPr fontId="1"/>
  </si>
  <si>
    <t>釣 寿生</t>
    <phoneticPr fontId="1"/>
  </si>
  <si>
    <t>宇田川 優希</t>
    <phoneticPr fontId="1"/>
  </si>
  <si>
    <t>辻垣 高良</t>
    <phoneticPr fontId="1"/>
  </si>
  <si>
    <t>川瀬 堅斗</t>
    <phoneticPr fontId="1"/>
  </si>
  <si>
    <t>松山 真之</t>
    <phoneticPr fontId="1"/>
  </si>
  <si>
    <t>鶴見 凌也</t>
    <phoneticPr fontId="1"/>
  </si>
  <si>
    <t>平野 大和</t>
    <phoneticPr fontId="1"/>
  </si>
  <si>
    <t>渡部 遼人</t>
    <phoneticPr fontId="1"/>
  </si>
  <si>
    <t>福田 周平</t>
    <phoneticPr fontId="1"/>
  </si>
  <si>
    <t>吉田 正尚</t>
    <phoneticPr fontId="1"/>
  </si>
  <si>
    <t>野口 智哉</t>
    <phoneticPr fontId="1"/>
  </si>
  <si>
    <t>大城 滉二</t>
    <phoneticPr fontId="1"/>
  </si>
  <si>
    <t>椋木 蓮</t>
    <phoneticPr fontId="1"/>
  </si>
  <si>
    <t>福永 奨</t>
    <phoneticPr fontId="1"/>
  </si>
  <si>
    <t>池田 陵真</t>
    <phoneticPr fontId="1"/>
  </si>
  <si>
    <t>横山 楓</t>
    <phoneticPr fontId="1"/>
  </si>
  <si>
    <t>小木田 敦也</t>
    <phoneticPr fontId="1"/>
  </si>
  <si>
    <t>佐野 如一</t>
    <phoneticPr fontId="1"/>
  </si>
  <si>
    <t>ビドル</t>
    <phoneticPr fontId="1"/>
  </si>
  <si>
    <t>佐野如</t>
    <rPh sb="0" eb="2">
      <t>サノ</t>
    </rPh>
    <rPh sb="2" eb="3">
      <t>ゴト</t>
    </rPh>
    <phoneticPr fontId="1"/>
  </si>
  <si>
    <t>バルガス</t>
    <phoneticPr fontId="1"/>
  </si>
  <si>
    <t>ワゲスパック</t>
    <phoneticPr fontId="1"/>
  </si>
  <si>
    <t>小木田</t>
    <rPh sb="0" eb="3">
      <t>オキダ</t>
    </rPh>
    <phoneticPr fontId="1"/>
  </si>
  <si>
    <t>横山</t>
    <rPh sb="0" eb="2">
      <t>ヨコヤマ</t>
    </rPh>
    <phoneticPr fontId="1"/>
  </si>
  <si>
    <t>ラベロ</t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</si>
  <si>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</si>
  <si>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</si>
  <si>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福永</t>
    <rPh sb="0" eb="2">
      <t>フクナガ</t>
    </rPh>
    <phoneticPr fontId="1"/>
  </si>
  <si>
    <t>椋木</t>
    <rPh sb="0" eb="2">
      <t>ムクノキ</t>
    </rPh>
    <phoneticPr fontId="1"/>
  </si>
  <si>
    <t>大城</t>
    <rPh sb="0" eb="2">
      <t>オオシロ</t>
    </rPh>
    <phoneticPr fontId="1"/>
  </si>
  <si>
    <t>野口</t>
    <rPh sb="0" eb="2">
      <t>ノグチ</t>
    </rPh>
    <phoneticPr fontId="1"/>
  </si>
  <si>
    <t>吉田正</t>
    <rPh sb="0" eb="2">
      <t>ヨシダ</t>
    </rPh>
    <rPh sb="2" eb="3">
      <t>タダシ</t>
    </rPh>
    <phoneticPr fontId="1"/>
  </si>
  <si>
    <t>バレラ</t>
    <phoneticPr fontId="1"/>
  </si>
  <si>
    <t>福田</t>
    <rPh sb="0" eb="2">
      <t>フクダ</t>
    </rPh>
    <phoneticPr fontId="1"/>
  </si>
  <si>
    <t>渡部</t>
    <rPh sb="0" eb="2">
      <t>ワタベ</t>
    </rPh>
    <phoneticPr fontId="1"/>
  </si>
  <si>
    <t>ID</t>
    <phoneticPr fontId="1"/>
  </si>
  <si>
    <t>ID</t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</si>
  <si>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</si>
  <si>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</si>
  <si>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</si>
  <si>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</si>
  <si>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</si>
  <si>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色</t>
    <rPh sb="0" eb="1">
      <t>イロ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</si>
  <si>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</si>
  <si>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</si>
  <si>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</si>
  <si>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</si>
  <si>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位置</t>
    <rPh sb="0" eb="2">
      <t>イチ</t>
    </rPh>
    <phoneticPr fontId="1"/>
  </si>
  <si>
    <t>チーム名</t>
    <rPh sb="3" eb="4">
      <t>メイ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</si>
  <si>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</si>
  <si>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</si>
  <si>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</si>
  <si>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</si>
  <si>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</si>
  <si>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</si>
  <si>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</si>
  <si>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</si>
  <si>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</si>
  <si>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</si>
  <si>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</si>
  <si>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</si>
  <si>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</si>
  <si>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</si>
  <si>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</si>
  <si>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</si>
  <si>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</si>
  <si>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</si>
  <si>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</si>
  <si>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</si>
  <si>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</si>
  <si>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背景</t>
    <rPh sb="0" eb="2">
      <t>ハイケイ</t>
    </rPh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</si>
  <si>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</si>
  <si>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</si>
  <si>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広島</t>
    <rPh sb="0" eb="2">
      <t>ヒロシマ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</si>
  <si>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</si>
  <si>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</si>
  <si>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</si>
  <si>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しない</t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</si>
  <si>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</si>
  <si>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</si>
  <si>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</si>
  <si>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</si>
  <si>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</si>
  <si>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色</t>
    <rPh sb="0" eb="1">
      <t>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</si>
  <si>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</si>
  <si>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</si>
  <si>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</si>
  <si>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</si>
  <si>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</si>
  <si>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</si>
  <si>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</si>
  <si>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</si>
  <si>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</si>
  <si>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</si>
  <si>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>CARP</t>
    <phoneticPr fontId="1"/>
  </si>
  <si>
    <t>FIGHTERS</t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</si>
  <si>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</si>
  <si>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</si>
  <si>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守備位置
（次回先頭）</t>
    <rPh sb="0" eb="4">
      <t>シュビイチ</t>
    </rPh>
    <rPh sb="6" eb="8">
      <t>ジカイ</t>
    </rPh>
    <rPh sb="8" eb="10">
      <t>セントウ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</si>
  <si>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</si>
  <si>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</si>
  <si>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</si>
  <si>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</si>
  <si>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</si>
  <si>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</si>
  <si>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</si>
  <si>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</si>
  <si>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</si>
  <si>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</si>
  <si>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</si>
  <si>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</si>
  <si>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</si>
  <si>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r>
      <rPr>
        <sz val="11"/>
        <color theme="1"/>
        <rFont val="ＭＳ Ｐゴシック"/>
        <family val="3"/>
        <charset val="128"/>
      </rPr>
      <t>曽根</t>
    </r>
    <rPh sb="0" eb="2">
      <t>ソネ</t>
    </rPh>
    <phoneticPr fontId="1"/>
  </si>
  <si>
    <r>
      <rPr>
        <sz val="11"/>
        <color theme="1"/>
        <rFont val="ＭＳ Ｐゴシック"/>
        <family val="2"/>
        <charset val="128"/>
      </rPr>
      <t>上本</t>
    </r>
    <rPh sb="0" eb="1">
      <t>ウエ</t>
    </rPh>
    <rPh sb="1" eb="2">
      <t>モト</t>
    </rPh>
    <phoneticPr fontId="1"/>
  </si>
  <si>
    <r>
      <rPr>
        <sz val="11"/>
        <color theme="1"/>
        <rFont val="ＭＳ Ｐゴシック"/>
        <family val="2"/>
        <charset val="128"/>
      </rPr>
      <t>田中</t>
    </r>
    <rPh sb="0" eb="1">
      <t>タ</t>
    </rPh>
    <rPh sb="1" eb="2">
      <t>ナカ</t>
    </rPh>
    <phoneticPr fontId="1"/>
  </si>
  <si>
    <r>
      <rPr>
        <sz val="11"/>
        <color theme="1"/>
        <rFont val="ＭＳ Ｐゴシック"/>
        <family val="2"/>
        <charset val="128"/>
      </rPr>
      <t>堂林</t>
    </r>
    <rPh sb="0" eb="1">
      <t>ドウ</t>
    </rPh>
    <rPh sb="1" eb="2">
      <t>バヤシ</t>
    </rPh>
    <phoneticPr fontId="1"/>
  </si>
  <si>
    <r>
      <rPr>
        <sz val="11"/>
        <color theme="1"/>
        <rFont val="ＭＳ Ｐゴシック"/>
        <family val="2"/>
        <charset val="128"/>
      </rPr>
      <t>九里</t>
    </r>
    <rPh sb="0" eb="2">
      <t>クリ</t>
    </rPh>
    <phoneticPr fontId="1"/>
  </si>
  <si>
    <r>
      <rPr>
        <sz val="11"/>
        <color theme="1"/>
        <rFont val="ＭＳ Ｐゴシック"/>
        <family val="2"/>
        <charset val="128"/>
      </rPr>
      <t>大道</t>
    </r>
    <rPh sb="0" eb="2">
      <t>オオミチ</t>
    </rPh>
    <phoneticPr fontId="1"/>
  </si>
  <si>
    <r>
      <rPr>
        <sz val="11"/>
        <color theme="1"/>
        <rFont val="ＭＳ Ｐゴシック"/>
        <family val="3"/>
        <charset val="128"/>
      </rPr>
      <t>森浦</t>
    </r>
    <rPh sb="0" eb="1">
      <t>モリ</t>
    </rPh>
    <rPh sb="1" eb="2">
      <t>ウラ</t>
    </rPh>
    <phoneticPr fontId="1"/>
  </si>
  <si>
    <r>
      <rPr>
        <sz val="11"/>
        <color theme="1"/>
        <rFont val="ＭＳ Ｐゴシック"/>
        <family val="2"/>
        <charset val="128"/>
      </rPr>
      <t>大瀬良</t>
    </r>
    <rPh sb="0" eb="2">
      <t>オオセ</t>
    </rPh>
    <rPh sb="2" eb="3">
      <t>ラ</t>
    </rPh>
    <phoneticPr fontId="1"/>
  </si>
  <si>
    <r>
      <rPr>
        <sz val="11"/>
        <color theme="1"/>
        <rFont val="ＭＳ Ｐゴシック"/>
        <family val="2"/>
        <charset val="128"/>
      </rPr>
      <t>岡田</t>
    </r>
    <rPh sb="0" eb="1">
      <t>オカ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</si>
  <si>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野村</t>
    </r>
    <rPh sb="0" eb="1">
      <t>ノ</t>
    </rPh>
    <rPh sb="1" eb="2">
      <t>ムラ</t>
    </rPh>
    <phoneticPr fontId="1"/>
  </si>
  <si>
    <r>
      <rPr>
        <sz val="11"/>
        <color theme="1"/>
        <rFont val="ＭＳ Ｐゴシック"/>
        <family val="2"/>
        <charset val="128"/>
      </rPr>
      <t>中﨑</t>
    </r>
    <rPh sb="0" eb="1">
      <t>ナカ</t>
    </rPh>
    <rPh sb="1" eb="2">
      <t>サキ</t>
    </rPh>
    <phoneticPr fontId="1"/>
  </si>
  <si>
    <r>
      <rPr>
        <sz val="11"/>
        <color theme="1"/>
        <rFont val="ＭＳ Ｐゴシック"/>
        <family val="2"/>
        <charset val="128"/>
      </rPr>
      <t>中村奨</t>
    </r>
    <rPh sb="0" eb="2">
      <t>ナカムラ</t>
    </rPh>
    <rPh sb="2" eb="3">
      <t>ショウ</t>
    </rPh>
    <phoneticPr fontId="1"/>
  </si>
  <si>
    <r>
      <rPr>
        <sz val="11"/>
        <color theme="1"/>
        <rFont val="ＭＳ Ｐゴシック"/>
        <family val="2"/>
        <charset val="128"/>
      </rPr>
      <t>薮田</t>
    </r>
    <rPh sb="0" eb="1">
      <t>ヤブ</t>
    </rPh>
    <rPh sb="1" eb="2">
      <t>ダ</t>
    </rPh>
    <phoneticPr fontId="1"/>
  </si>
  <si>
    <t>益田</t>
  </si>
  <si>
    <r>
      <rPr>
        <sz val="11"/>
        <color theme="1"/>
        <rFont val="ＭＳ Ｐゴシック"/>
        <family val="2"/>
        <charset val="128"/>
      </rPr>
      <t>會澤</t>
    </r>
    <rPh sb="0" eb="1">
      <t>アイ</t>
    </rPh>
    <rPh sb="1" eb="2">
      <t>サワ</t>
    </rPh>
    <phoneticPr fontId="1"/>
  </si>
  <si>
    <r>
      <rPr>
        <sz val="11"/>
        <color theme="1"/>
        <rFont val="ＭＳ Ｐゴシック"/>
        <family val="3"/>
        <charset val="128"/>
      </rPr>
      <t>床田</t>
    </r>
    <rPh sb="0" eb="1">
      <t>ユカ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</si>
  <si>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一岡</t>
    </r>
    <rPh sb="0" eb="1">
      <t>イチ</t>
    </rPh>
    <rPh sb="1" eb="2">
      <t>オカ</t>
    </rPh>
    <phoneticPr fontId="1"/>
  </si>
  <si>
    <r>
      <rPr>
        <sz val="11"/>
        <color theme="1"/>
        <rFont val="ＭＳ Ｐゴシック"/>
        <family val="2"/>
        <charset val="128"/>
      </rPr>
      <t>坂倉</t>
    </r>
    <rPh sb="0" eb="1">
      <t>サカ</t>
    </rPh>
    <rPh sb="1" eb="2">
      <t>クラ</t>
    </rPh>
    <phoneticPr fontId="1"/>
  </si>
  <si>
    <t>石原</t>
  </si>
  <si>
    <r>
      <rPr>
        <sz val="11"/>
        <color theme="1"/>
        <rFont val="ＭＳ Ｐゴシック"/>
        <family val="3"/>
        <charset val="128"/>
      </rPr>
      <t>高橋昂</t>
    </r>
    <rPh sb="0" eb="2">
      <t>タカハシ</t>
    </rPh>
    <rPh sb="2" eb="3">
      <t>コウ</t>
    </rPh>
    <phoneticPr fontId="1"/>
  </si>
  <si>
    <r>
      <rPr>
        <sz val="11"/>
        <color theme="1"/>
        <rFont val="ＭＳ Ｐゴシック"/>
        <family val="2"/>
        <charset val="128"/>
      </rPr>
      <t>三好</t>
    </r>
    <rPh sb="0" eb="2">
      <t>ミヨシ</t>
    </rPh>
    <phoneticPr fontId="1"/>
  </si>
  <si>
    <r>
      <rPr>
        <sz val="11"/>
        <color theme="1"/>
        <rFont val="ＭＳ Ｐゴシック"/>
        <family val="2"/>
        <charset val="128"/>
      </rPr>
      <t>塹江</t>
    </r>
    <rPh sb="0" eb="1">
      <t>ザン</t>
    </rPh>
    <rPh sb="1" eb="2">
      <t>エ</t>
    </rPh>
    <phoneticPr fontId="1"/>
  </si>
  <si>
    <r>
      <rPr>
        <sz val="11"/>
        <color theme="1"/>
        <rFont val="ＭＳ Ｐゴシック"/>
        <family val="2"/>
        <charset val="128"/>
      </rPr>
      <t>野間</t>
    </r>
    <rPh sb="0" eb="1">
      <t>ノ</t>
    </rPh>
    <rPh sb="1" eb="2">
      <t>アイダ</t>
    </rPh>
    <phoneticPr fontId="1"/>
  </si>
  <si>
    <r>
      <rPr>
        <sz val="11"/>
        <color theme="1"/>
        <rFont val="ＭＳ Ｐゴシック"/>
        <family val="2"/>
        <charset val="128"/>
      </rPr>
      <t>宇草</t>
    </r>
    <rPh sb="0" eb="2">
      <t>ウグサ</t>
    </rPh>
    <phoneticPr fontId="1"/>
  </si>
  <si>
    <t>長谷部</t>
  </si>
  <si>
    <r>
      <rPr>
        <sz val="11"/>
        <color theme="1"/>
        <rFont val="ＭＳ Ｐゴシック"/>
        <family val="2"/>
        <charset val="128"/>
      </rPr>
      <t>磯村</t>
    </r>
    <rPh sb="0" eb="1">
      <t>イソ</t>
    </rPh>
    <rPh sb="1" eb="2">
      <t>ムラ</t>
    </rPh>
    <phoneticPr fontId="1"/>
  </si>
  <si>
    <r>
      <rPr>
        <sz val="11"/>
        <color theme="1"/>
        <rFont val="ＭＳ Ｐゴシック"/>
        <family val="2"/>
        <charset val="128"/>
      </rPr>
      <t>矢崎</t>
    </r>
    <rPh sb="0" eb="2">
      <t>ヤサキ</t>
    </rPh>
    <phoneticPr fontId="1"/>
  </si>
  <si>
    <r>
      <rPr>
        <sz val="11"/>
        <color theme="1"/>
        <rFont val="ＭＳ Ｐゴシック"/>
        <family val="2"/>
        <charset val="128"/>
      </rPr>
      <t>島内</t>
    </r>
    <rPh sb="0" eb="2">
      <t>シマウチ</t>
    </rPh>
    <phoneticPr fontId="1"/>
  </si>
  <si>
    <r>
      <rPr>
        <sz val="11"/>
        <color theme="1"/>
        <rFont val="ＭＳ Ｐゴシック"/>
        <family val="2"/>
        <charset val="128"/>
      </rPr>
      <t>林</t>
    </r>
    <rPh sb="0" eb="1">
      <t>ハヤシ</t>
    </rPh>
    <phoneticPr fontId="1"/>
  </si>
  <si>
    <t>河野</t>
  </si>
  <si>
    <t>斉藤</t>
  </si>
  <si>
    <t>戸根</t>
  </si>
  <si>
    <r>
      <rPr>
        <sz val="11"/>
        <color theme="1"/>
        <rFont val="ＭＳ Ｐゴシック"/>
        <family val="2"/>
        <charset val="128"/>
      </rPr>
      <t>小園</t>
    </r>
    <rPh sb="0" eb="2">
      <t>コゾノ</t>
    </rPh>
    <phoneticPr fontId="1"/>
  </si>
  <si>
    <r>
      <rPr>
        <sz val="11"/>
        <color theme="1"/>
        <rFont val="ＭＳ Ｐゴシック"/>
        <family val="2"/>
        <charset val="128"/>
      </rPr>
      <t>小林</t>
    </r>
    <rPh sb="0" eb="2">
      <t>コバヤシ</t>
    </rPh>
    <phoneticPr fontId="1"/>
  </si>
  <si>
    <r>
      <rPr>
        <sz val="11"/>
        <color theme="1"/>
        <rFont val="ＭＳ Ｐゴシック"/>
        <family val="2"/>
        <charset val="128"/>
      </rPr>
      <t>韮澤</t>
    </r>
    <rPh sb="0" eb="2">
      <t>ニラサワ</t>
    </rPh>
    <phoneticPr fontId="1"/>
  </si>
  <si>
    <r>
      <rPr>
        <sz val="11"/>
        <color theme="1"/>
        <rFont val="ＭＳ Ｐゴシック"/>
        <family val="3"/>
        <charset val="128"/>
      </rPr>
      <t>松山</t>
    </r>
    <rPh sb="0" eb="1">
      <t>マツ</t>
    </rPh>
    <rPh sb="1" eb="2">
      <t>ヤマ</t>
    </rPh>
    <phoneticPr fontId="1"/>
  </si>
  <si>
    <t>久保</t>
  </si>
  <si>
    <r>
      <rPr>
        <sz val="11"/>
        <color theme="1"/>
        <rFont val="ＭＳ Ｐゴシック"/>
        <family val="2"/>
        <charset val="128"/>
      </rPr>
      <t>藤井</t>
    </r>
    <rPh sb="0" eb="2">
      <t>フジイ</t>
    </rPh>
    <phoneticPr fontId="1"/>
  </si>
  <si>
    <r>
      <rPr>
        <sz val="11"/>
        <color theme="1"/>
        <rFont val="ＭＳ Ｐゴシック"/>
        <family val="2"/>
        <charset val="128"/>
      </rPr>
      <t>大盛</t>
    </r>
    <rPh sb="0" eb="2">
      <t>オオモリ</t>
    </rPh>
    <phoneticPr fontId="1"/>
  </si>
  <si>
    <r>
      <rPr>
        <sz val="11"/>
        <color theme="1"/>
        <rFont val="ＭＳ Ｐゴシック"/>
        <family val="3"/>
        <charset val="128"/>
      </rPr>
      <t>矢野</t>
    </r>
    <rPh sb="0" eb="2">
      <t>ヤノ</t>
    </rPh>
    <phoneticPr fontId="1"/>
  </si>
  <si>
    <t>清水</t>
  </si>
  <si>
    <t>内田</t>
  </si>
  <si>
    <r>
      <rPr>
        <sz val="11"/>
        <color theme="1"/>
        <rFont val="ＭＳ Ｐゴシック"/>
        <family val="2"/>
        <charset val="128"/>
      </rPr>
      <t>長井</t>
    </r>
    <rPh sb="0" eb="1">
      <t>ナガ</t>
    </rPh>
    <rPh sb="1" eb="2">
      <t>イ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</si>
  <si>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1">
      <t>エン</t>
    </rPh>
    <rPh sb="1" eb="2">
      <t>フジ</t>
    </rPh>
    <phoneticPr fontId="1"/>
  </si>
  <si>
    <r>
      <rPr>
        <sz val="11"/>
        <color theme="1"/>
        <rFont val="ＭＳ Ｐゴシック"/>
        <family val="2"/>
        <charset val="128"/>
      </rPr>
      <t>中村祐</t>
    </r>
    <rPh sb="0" eb="2">
      <t>ナカムラ</t>
    </rPh>
    <rPh sb="2" eb="3">
      <t>ユウ</t>
    </rPh>
    <phoneticPr fontId="1"/>
  </si>
  <si>
    <r>
      <rPr>
        <sz val="11"/>
        <color theme="1"/>
        <rFont val="ＭＳ Ｐゴシック"/>
        <family val="2"/>
        <charset val="128"/>
      </rPr>
      <t>羽月</t>
    </r>
    <rPh sb="0" eb="2">
      <t>ハツキ</t>
    </rPh>
    <phoneticPr fontId="1"/>
  </si>
  <si>
    <t>デビッドソン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</si>
  <si>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</si>
  <si>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</si>
  <si>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</si>
  <si>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</si>
  <si>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</si>
  <si>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</si>
  <si>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</si>
  <si>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</si>
  <si>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</si>
  <si>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</si>
  <si>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</si>
  <si>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</si>
  <si>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</si>
  <si>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</si>
  <si>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内田 湘大</t>
    <rPh sb="3" eb="4">
      <t>ショウ</t>
    </rPh>
    <rPh sb="4" eb="5">
      <t>ダイ</t>
    </rPh>
    <phoneticPr fontId="1"/>
  </si>
  <si>
    <t>マルティネス</t>
  </si>
  <si>
    <t>加藤豪</t>
  </si>
  <si>
    <t>上川畑</t>
  </si>
  <si>
    <t>野村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</si>
  <si>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</si>
  <si>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</si>
  <si>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</si>
  <si>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</si>
  <si>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</si>
  <si>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</si>
  <si>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</si>
  <si>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</si>
  <si>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</si>
  <si>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</si>
  <si>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木村</t>
  </si>
  <si>
    <t>江越</t>
  </si>
  <si>
    <t>有薗</t>
  </si>
  <si>
    <t>Bロドリゲス</t>
  </si>
  <si>
    <t>水野</t>
  </si>
  <si>
    <t>阪口</t>
  </si>
  <si>
    <t>畔柳</t>
  </si>
  <si>
    <t>山田</t>
  </si>
  <si>
    <t>長谷川威</t>
  </si>
  <si>
    <t>安西 叶翔</t>
  </si>
  <si>
    <t>松浦</t>
  </si>
  <si>
    <t>北山</t>
  </si>
  <si>
    <t>奈良間</t>
  </si>
  <si>
    <t>宮内</t>
    <rPh sb="0" eb="2">
      <t>ミヤウチ</t>
    </rPh>
    <phoneticPr fontId="1"/>
  </si>
  <si>
    <t>山本拓</t>
    <rPh sb="0" eb="2">
      <t>ヤマモト</t>
    </rPh>
    <rPh sb="2" eb="3">
      <t>タク</t>
    </rPh>
    <phoneticPr fontId="1"/>
  </si>
  <si>
    <t>松岡</t>
  </si>
  <si>
    <t>メネズ</t>
  </si>
  <si>
    <t>田中瑛</t>
  </si>
  <si>
    <t>ハンソン</t>
  </si>
  <si>
    <t>樋口</t>
  </si>
  <si>
    <t>長谷川凌</t>
  </si>
  <si>
    <t>松本遼</t>
  </si>
  <si>
    <t>齊藤伸</t>
  </si>
  <si>
    <t>福島</t>
  </si>
  <si>
    <t>柳川</t>
  </si>
  <si>
    <t>藤田</t>
  </si>
  <si>
    <t>中山</t>
  </si>
  <si>
    <t>山口</t>
  </si>
  <si>
    <t>山本</t>
  </si>
  <si>
    <t>柿木</t>
  </si>
  <si>
    <t>姫野</t>
  </si>
  <si>
    <t>199</t>
  </si>
  <si>
    <t>王柏融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</si>
  <si>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</si>
  <si>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</si>
  <si>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</si>
  <si>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</si>
  <si>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</si>
  <si>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</si>
  <si>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</si>
  <si>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</si>
  <si>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木村 文紀</t>
  </si>
  <si>
    <t>有薗 直輝</t>
  </si>
  <si>
    <t>水野 達稀</t>
  </si>
  <si>
    <t>阪口 樂</t>
  </si>
  <si>
    <t>畔柳 亨丞</t>
  </si>
  <si>
    <t>長谷川 威展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</si>
  <si>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</si>
  <si>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</si>
  <si>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</si>
  <si>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</si>
  <si>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宮内 春輝</t>
    <rPh sb="0" eb="2">
      <t>ミヤウチ</t>
    </rPh>
    <rPh sb="3" eb="4">
      <t>ハル</t>
    </rPh>
    <rPh sb="4" eb="5">
      <t>カガヤ</t>
    </rPh>
    <phoneticPr fontId="1"/>
  </si>
  <si>
    <t>樋口 龍之介</t>
  </si>
  <si>
    <t>長谷川 凌汰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</si>
  <si>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</si>
  <si>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</si>
  <si>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</si>
  <si>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</si>
  <si>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</si>
  <si>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</si>
  <si>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</si>
  <si>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</si>
  <si>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</si>
  <si>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姫野 優也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</si>
</sst>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1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Arial"/>
      <family val="3"/>
      <charset val="128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6" fontId="3" fillId="2" borderId="4" xfId="0" applyNumberFormat="1" applyFont="1" applyFill="1" applyBorder="1" applyAlignment="1">
      <alignment horizontal="right"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8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2" fillId="0" borderId="1" xfId="0" applyFont="1" applyBorder="1">
      <alignment vertical="center"/>
    </xf>
    <xf numFmtId="0" fontId="11" fillId="11" borderId="4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6" fillId="15" borderId="4" xfId="0" applyFont="1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19" borderId="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7F7F7F"/>
      <color rgb="FFB4A169"/>
      <color rgb="FF004468"/>
      <color rgb="FF006298"/>
      <color rgb="FF00FF00"/>
      <color rgb="FF282828"/>
      <color rgb="FF1E1E1E"/>
      <color rgb="FF3B3B3B"/>
      <color rgb="FFCC0000"/>
      <color rgb="FF1E44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209550</xdr:colOff>
      <xdr:row>3</xdr:row>
      <xdr:rowOff>123825</xdr:rowOff>
    </xdr:from>
    <xdr:to>
      <xdr:col>20</xdr:col>
      <xdr:colOff>123825</xdr:colOff>
      <xdr:row>11</xdr:row>
      <xdr:rowOff>161925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900863" y="642938"/>
          <a:ext cx="1743075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オールスターについて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同じ背番号の選手が複数人いることがあるため、スコアボードの方では番号の数字を入力してください。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176212</xdr:colOff>
      <xdr:row>4</xdr:row>
      <xdr:rowOff>14288</xdr:rowOff>
    </xdr:from>
    <xdr:to>
      <xdr:col>20</xdr:col>
      <xdr:colOff>90487</xdr:colOff>
      <xdr:row>12</xdr:row>
      <xdr:rowOff>52388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867525" y="709613"/>
          <a:ext cx="1743075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オールスターについて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同じ背番号の選手が複数人いることがあるため、スコアボードの方では番号の数字を入力してください。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77"/>
  <sheetViews>
    <sheetView zoomScaleNormal="100" workbookViewId="0">
      <selection activeCell="L12" sqref="L12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</cols>
  <sheetData>
    <row r="3" spans="2:18" x14ac:dyDescent="0.2">
      <c r="D3" s="2" t="s">
        <v>2428</v>
      </c>
      <c r="E3" s="2" t="s">
        <v>2429</v>
      </c>
      <c r="P3" s="2" t="s">
        <v>2457</v>
      </c>
      <c r="Q3" s="2" t="s">
        <v>2458</v>
      </c>
    </row>
    <row r="4" spans="2:18" ht="13.2" customHeight="1" x14ac:dyDescent="0.2">
      <c r="B4" s="81" t="s">
        <v>2419</v>
      </c>
      <c r="C4" s="2" t="s">
        <v>2422</v>
      </c>
      <c r="D4" s="49" t="s">
        <v>2427</v>
      </c>
      <c r="E4" s="53" t="s">
        <v>2427</v>
      </c>
      <c r="G4" s="80" t="s">
        <v>2443</v>
      </c>
      <c r="H4" s="2" t="s">
        <v>2422</v>
      </c>
      <c r="I4" s="59" t="s">
        <v>2444</v>
      </c>
      <c r="K4" s="3" t="s">
        <v>2450</v>
      </c>
      <c r="L4" s="3" t="s">
        <v>2452</v>
      </c>
      <c r="N4" s="72" t="s">
        <v>2419</v>
      </c>
      <c r="O4" s="63" t="s">
        <v>2459</v>
      </c>
      <c r="P4" s="3" t="str">
        <f>textcolor(D4)</f>
        <v>#FFFFFF</v>
      </c>
      <c r="Q4" s="3" t="str">
        <f>textcolor(E4)</f>
        <v>#FFFFFF</v>
      </c>
      <c r="R4" t="s">
        <v>2475</v>
      </c>
    </row>
    <row r="5" spans="2:18" x14ac:dyDescent="0.2">
      <c r="B5" s="82"/>
      <c r="C5" s="2" t="s">
        <v>2423</v>
      </c>
      <c r="D5" s="48"/>
      <c r="E5" s="54"/>
      <c r="G5" s="84"/>
      <c r="H5" s="2" t="s">
        <v>2423</v>
      </c>
      <c r="I5" s="56"/>
      <c r="K5" s="3" t="s">
        <v>2471</v>
      </c>
      <c r="L5" s="3" t="s">
        <v>2473</v>
      </c>
      <c r="N5" s="73"/>
      <c r="O5" s="63" t="s">
        <v>2449</v>
      </c>
      <c r="P5" s="3" t="str">
        <f>BackGroundColor(D4,D5,D6,D7,D8,FALSE)</f>
        <v>linear-gradient(to bottom, #FF0000 0%, #FF0000 40%, #CC0000 60%, #CC0000 100%)</v>
      </c>
      <c r="Q5" s="3" t="str">
        <f>BackGroundColor(E4,E5,E6,E7,E8,FALSE)</f>
        <v>linear-gradient(to bottom, #006298 0%, #006298 40%, #004468 60%, #004468 100%)</v>
      </c>
      <c r="R5" t="s">
        <v>2475</v>
      </c>
    </row>
    <row r="6" spans="2:18" x14ac:dyDescent="0.2">
      <c r="B6" s="82"/>
      <c r="C6" s="2" t="s">
        <v>2417</v>
      </c>
      <c r="D6" s="2" t="s">
        <v>2418</v>
      </c>
      <c r="E6" s="2" t="s">
        <v>2418</v>
      </c>
      <c r="G6" s="84"/>
      <c r="H6" s="2" t="s">
        <v>2417</v>
      </c>
      <c r="I6" s="2"/>
      <c r="K6" s="3" t="s">
        <v>2489</v>
      </c>
      <c r="L6" s="62">
        <v>113</v>
      </c>
      <c r="N6" s="78" t="s">
        <v>2440</v>
      </c>
      <c r="O6" s="63" t="s">
        <v>2459</v>
      </c>
      <c r="P6" s="3" t="str">
        <f>textcolor(D9)</f>
        <v>#FFFFFF</v>
      </c>
      <c r="Q6" s="3" t="str">
        <f>textcolor(E9)</f>
        <v>#FFFFFF</v>
      </c>
      <c r="R6" t="s">
        <v>2475</v>
      </c>
    </row>
    <row r="7" spans="2:18" x14ac:dyDescent="0.2">
      <c r="B7" s="82"/>
      <c r="C7" s="2" t="s">
        <v>2430</v>
      </c>
      <c r="D7" s="50">
        <v>0.4</v>
      </c>
      <c r="E7" s="50">
        <v>0.4</v>
      </c>
      <c r="G7" s="84"/>
      <c r="H7" s="2" t="s">
        <v>2430</v>
      </c>
      <c r="I7" s="50"/>
      <c r="K7" s="3" t="s">
        <v>2451</v>
      </c>
      <c r="L7" s="3" t="s">
        <v>2453</v>
      </c>
      <c r="N7" s="79"/>
      <c r="O7" s="63" t="s">
        <v>2449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2475</v>
      </c>
    </row>
    <row r="8" spans="2:18" x14ac:dyDescent="0.2">
      <c r="B8" s="83"/>
      <c r="C8" s="2" t="s">
        <v>2431</v>
      </c>
      <c r="D8" s="50">
        <v>0.6</v>
      </c>
      <c r="E8" s="50">
        <v>0.6</v>
      </c>
      <c r="G8" s="84"/>
      <c r="H8" s="2" t="s">
        <v>2431</v>
      </c>
      <c r="I8" s="50"/>
      <c r="K8" s="3" t="s">
        <v>2472</v>
      </c>
      <c r="L8" s="3" t="s">
        <v>2474</v>
      </c>
      <c r="N8" s="67" t="s">
        <v>2420</v>
      </c>
      <c r="O8" s="63" t="s">
        <v>2421</v>
      </c>
      <c r="P8" s="3" t="str">
        <f t="shared" ref="P8:Q10" si="0">BackGroundColorSingle(D14)</f>
        <v>#FF0000</v>
      </c>
      <c r="Q8" s="3" t="str">
        <f t="shared" si="0"/>
        <v>#B4A169</v>
      </c>
      <c r="R8" t="s">
        <v>2475</v>
      </c>
    </row>
    <row r="9" spans="2:18" x14ac:dyDescent="0.2">
      <c r="B9" s="81" t="s">
        <v>2440</v>
      </c>
      <c r="C9" s="2" t="s">
        <v>2422</v>
      </c>
      <c r="D9" s="44" t="s">
        <v>2427</v>
      </c>
      <c r="E9" s="44" t="s">
        <v>2427</v>
      </c>
      <c r="G9" s="80" t="s">
        <v>2445</v>
      </c>
      <c r="H9" s="2" t="s">
        <v>2422</v>
      </c>
      <c r="I9" s="60" t="s">
        <v>2444</v>
      </c>
      <c r="K9" s="3" t="s">
        <v>2490</v>
      </c>
      <c r="L9" s="62">
        <v>117</v>
      </c>
      <c r="N9" s="67" t="s">
        <v>2481</v>
      </c>
      <c r="O9" s="63" t="s">
        <v>2421</v>
      </c>
      <c r="P9" s="3" t="str">
        <f t="shared" si="0"/>
        <v>#7F7F7F</v>
      </c>
      <c r="Q9" s="3" t="str">
        <f t="shared" si="0"/>
        <v>#7F7F7F</v>
      </c>
      <c r="R9" t="s">
        <v>2475</v>
      </c>
    </row>
    <row r="10" spans="2:18" x14ac:dyDescent="0.2">
      <c r="B10" s="82"/>
      <c r="C10" s="2" t="s">
        <v>2423</v>
      </c>
      <c r="D10" s="56"/>
      <c r="E10" s="56"/>
      <c r="G10" s="84"/>
      <c r="H10" s="2" t="s">
        <v>2423</v>
      </c>
      <c r="I10" s="56"/>
      <c r="K10" s="3" t="s">
        <v>2454</v>
      </c>
      <c r="L10" s="62">
        <v>12</v>
      </c>
      <c r="N10" s="67" t="s">
        <v>2480</v>
      </c>
      <c r="O10" s="63" t="s">
        <v>2462</v>
      </c>
      <c r="P10" s="3" t="str">
        <f t="shared" si="0"/>
        <v>#FFFFFF</v>
      </c>
      <c r="Q10" s="3" t="str">
        <f t="shared" si="0"/>
        <v>#FFFFFF</v>
      </c>
      <c r="R10" t="s">
        <v>586</v>
      </c>
    </row>
    <row r="11" spans="2:18" x14ac:dyDescent="0.2">
      <c r="B11" s="82"/>
      <c r="C11" s="2" t="s">
        <v>2417</v>
      </c>
      <c r="D11" s="2"/>
      <c r="E11" s="2"/>
      <c r="G11" s="84"/>
      <c r="H11" s="2" t="s">
        <v>2417</v>
      </c>
      <c r="I11" s="2"/>
      <c r="K11" s="3" t="s">
        <v>2455</v>
      </c>
      <c r="L11" s="3" t="s">
        <v>2456</v>
      </c>
      <c r="N11" s="72" t="s">
        <v>2424</v>
      </c>
      <c r="O11" s="63" t="s">
        <v>2459</v>
      </c>
      <c r="P11" s="3" t="str">
        <f>textcolor(D17)</f>
        <v>#FFFFFF</v>
      </c>
      <c r="Q11" s="3" t="str">
        <f>textcolor(E16)</f>
        <v>#FFFFFF</v>
      </c>
      <c r="R11" t="s">
        <v>586</v>
      </c>
    </row>
    <row r="12" spans="2:18" x14ac:dyDescent="0.2">
      <c r="B12" s="82"/>
      <c r="C12" s="2" t="s">
        <v>2430</v>
      </c>
      <c r="D12" s="50"/>
      <c r="E12" s="50"/>
      <c r="G12" s="84"/>
      <c r="H12" s="2" t="s">
        <v>2430</v>
      </c>
      <c r="I12" s="50"/>
      <c r="K12" s="3" t="s">
        <v>2487</v>
      </c>
      <c r="L12" s="3" t="s">
        <v>2488</v>
      </c>
      <c r="N12" s="73"/>
      <c r="O12" s="63" t="s">
        <v>2449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2475</v>
      </c>
    </row>
    <row r="13" spans="2:18" x14ac:dyDescent="0.2">
      <c r="B13" s="83"/>
      <c r="C13" s="2" t="s">
        <v>2431</v>
      </c>
      <c r="D13" s="50"/>
      <c r="E13" s="50"/>
      <c r="G13" s="84"/>
      <c r="H13" s="2" t="s">
        <v>2431</v>
      </c>
      <c r="I13" s="50"/>
      <c r="N13" s="72" t="s">
        <v>2425</v>
      </c>
      <c r="O13" s="63" t="s">
        <v>2459</v>
      </c>
      <c r="P13" s="3" t="str">
        <f>textcolor(D22)</f>
        <v>#FFFFFF</v>
      </c>
      <c r="Q13" s="3" t="str">
        <f>textcolor(E22)</f>
        <v>#FFFFFF</v>
      </c>
      <c r="R13" t="s">
        <v>2475</v>
      </c>
    </row>
    <row r="14" spans="2:18" ht="13.2" customHeight="1" x14ac:dyDescent="0.2">
      <c r="B14" s="43" t="s">
        <v>2420</v>
      </c>
      <c r="C14" s="2" t="s">
        <v>2421</v>
      </c>
      <c r="D14" s="42"/>
      <c r="E14" s="55"/>
      <c r="G14" s="80" t="s">
        <v>2446</v>
      </c>
      <c r="H14" s="2" t="s">
        <v>2422</v>
      </c>
      <c r="I14" s="57" t="s">
        <v>2444</v>
      </c>
      <c r="N14" s="73"/>
      <c r="O14" s="63" t="s">
        <v>2449</v>
      </c>
      <c r="P14" s="3" t="str">
        <f>BackGroundColor(D22,D23,D24,D25,D26,TRUE)</f>
        <v>#282828</v>
      </c>
      <c r="Q14" s="3" t="str">
        <f>BackGroundColor(E22,E23,E24,E25,E26,TRUE)</f>
        <v>#282828</v>
      </c>
      <c r="R14" t="s">
        <v>2475</v>
      </c>
    </row>
    <row r="15" spans="2:18" ht="13.2" customHeight="1" x14ac:dyDescent="0.2">
      <c r="B15" s="43" t="s">
        <v>2481</v>
      </c>
      <c r="C15" s="2" t="s">
        <v>2421</v>
      </c>
      <c r="D15" s="71"/>
      <c r="E15" s="71"/>
      <c r="G15" s="84"/>
      <c r="H15" s="2" t="s">
        <v>2423</v>
      </c>
      <c r="I15" s="56"/>
      <c r="N15" s="72" t="s">
        <v>2433</v>
      </c>
      <c r="O15" s="63" t="s">
        <v>2459</v>
      </c>
      <c r="P15" s="3" t="str">
        <f>textcolor(D27)</f>
        <v>#FFFFFF</v>
      </c>
      <c r="Q15" s="3" t="str">
        <f>textcolor(E27)</f>
        <v>#FFFFFF</v>
      </c>
      <c r="R15" t="s">
        <v>2475</v>
      </c>
    </row>
    <row r="16" spans="2:18" x14ac:dyDescent="0.2">
      <c r="B16" s="43" t="s">
        <v>2480</v>
      </c>
      <c r="C16" s="2" t="s">
        <v>2421</v>
      </c>
      <c r="D16" s="70"/>
      <c r="E16" s="70"/>
      <c r="G16" s="84"/>
      <c r="H16" s="2" t="s">
        <v>2417</v>
      </c>
      <c r="I16" s="2"/>
      <c r="N16" s="73"/>
      <c r="O16" s="63" t="s">
        <v>2449</v>
      </c>
      <c r="P16" s="3" t="str">
        <f>BackGroundColor(D27,D28,D29,D30,D31,FALSE)</f>
        <v>linear-gradient(to bottom, #FF0000 0%, #FF0000 40%, #CC0000 60%, #CC0000 100%)</v>
      </c>
      <c r="Q16" s="3" t="str">
        <f>BackGroundColor(E27,E28,E29,E30,E31,FALSE)</f>
        <v>linear-gradient(to bottom, #006298 0%, #006298 40%, #004468 60%, #004468 100%)</v>
      </c>
      <c r="R16" t="s">
        <v>2475</v>
      </c>
    </row>
    <row r="17" spans="2:18" x14ac:dyDescent="0.2">
      <c r="B17" s="81" t="s">
        <v>2424</v>
      </c>
      <c r="C17" s="2" t="s">
        <v>2422</v>
      </c>
      <c r="D17" s="44" t="s">
        <v>2426</v>
      </c>
      <c r="E17" s="44" t="s">
        <v>2426</v>
      </c>
      <c r="G17" s="84"/>
      <c r="H17" s="2" t="s">
        <v>2430</v>
      </c>
      <c r="I17" s="50"/>
      <c r="N17" s="72" t="s">
        <v>2434</v>
      </c>
      <c r="O17" s="63" t="s">
        <v>2459</v>
      </c>
      <c r="P17" s="3" t="str">
        <f>textcolor(D32)</f>
        <v>#FFFFFF</v>
      </c>
      <c r="Q17" s="3" t="str">
        <f>textcolor(E32)</f>
        <v>#FFFFFF</v>
      </c>
      <c r="R17" t="s">
        <v>2475</v>
      </c>
    </row>
    <row r="18" spans="2:18" x14ac:dyDescent="0.2">
      <c r="B18" s="82"/>
      <c r="C18" s="2" t="s">
        <v>2423</v>
      </c>
      <c r="D18" s="45"/>
      <c r="E18" s="45"/>
      <c r="G18" s="84"/>
      <c r="H18" s="2" t="s">
        <v>2431</v>
      </c>
      <c r="I18" s="50"/>
      <c r="N18" s="73"/>
      <c r="O18" s="63" t="s">
        <v>2449</v>
      </c>
      <c r="P18" s="3" t="str">
        <f>BackGroundColor(D27,D28,D29,D30,D31,FALSE)</f>
        <v>linear-gradient(to bottom, #FF0000 0%, #FF0000 40%, #CC0000 60%, #CC0000 100%)</v>
      </c>
      <c r="Q18" s="3" t="str">
        <f>BackGroundColor(E27,E28,E29,E30,E31,FALSE)</f>
        <v>linear-gradient(to bottom, #006298 0%, #006298 40%, #004468 60%, #004468 100%)</v>
      </c>
      <c r="R18" t="s">
        <v>2475</v>
      </c>
    </row>
    <row r="19" spans="2:18" x14ac:dyDescent="0.2">
      <c r="B19" s="82"/>
      <c r="C19" s="2" t="s">
        <v>2417</v>
      </c>
      <c r="D19" s="2" t="s">
        <v>2418</v>
      </c>
      <c r="E19" s="2" t="s">
        <v>2418</v>
      </c>
      <c r="G19" s="80" t="s">
        <v>2468</v>
      </c>
      <c r="H19" s="2" t="s">
        <v>2422</v>
      </c>
      <c r="I19" s="44">
        <v>1</v>
      </c>
      <c r="N19" s="72" t="s">
        <v>2436</v>
      </c>
      <c r="O19" s="63" t="s">
        <v>2459</v>
      </c>
      <c r="P19" s="3" t="str">
        <f>textcolor(D37)</f>
        <v>#FFFFFF</v>
      </c>
      <c r="Q19" s="3" t="str">
        <f>textcolor(E37)</f>
        <v>#FFFFFF</v>
      </c>
      <c r="R19" t="s">
        <v>2475</v>
      </c>
    </row>
    <row r="20" spans="2:18" ht="13.2" customHeight="1" x14ac:dyDescent="0.2">
      <c r="B20" s="82"/>
      <c r="C20" s="2" t="s">
        <v>2430</v>
      </c>
      <c r="D20" s="50">
        <v>0.4</v>
      </c>
      <c r="E20" s="50">
        <v>0.4</v>
      </c>
      <c r="G20" s="84"/>
      <c r="H20" s="2" t="s">
        <v>2423</v>
      </c>
      <c r="I20" s="56"/>
      <c r="N20" s="73"/>
      <c r="O20" s="63" t="s">
        <v>2449</v>
      </c>
      <c r="P20" s="3" t="str">
        <f>BackGroundColor(D37,D38,D39,D40,D41,FALSE)</f>
        <v>linear-gradient(to bottom, #3B3B3B 0%, #3B3B3B 40%, #1E1E1E 60%, #1E1E1E 100%)</v>
      </c>
      <c r="Q20" s="3" t="str">
        <f>BackGroundColor(E37,E38,E39,E40,E41,FALSE)</f>
        <v>linear-gradient(to bottom, #3B3B3B 0%, #3B3B3B 40%, #1E1E1E 60%, #1E1E1E 100%)</v>
      </c>
      <c r="R20" t="s">
        <v>2475</v>
      </c>
    </row>
    <row r="21" spans="2:18" x14ac:dyDescent="0.2">
      <c r="B21" s="83"/>
      <c r="C21" s="2" t="s">
        <v>2431</v>
      </c>
      <c r="D21" s="50">
        <v>0.6</v>
      </c>
      <c r="E21" s="50">
        <v>0.6</v>
      </c>
      <c r="G21" s="84"/>
      <c r="H21" s="2" t="s">
        <v>2417</v>
      </c>
      <c r="I21" s="2"/>
      <c r="N21" s="72" t="s">
        <v>2437</v>
      </c>
      <c r="O21" s="63" t="s">
        <v>2459</v>
      </c>
      <c r="P21" s="3" t="str">
        <f>textcolor(D42)</f>
        <v>#00FF00</v>
      </c>
      <c r="Q21" s="3" t="str">
        <f>textcolor(E42)</f>
        <v>#00FF00</v>
      </c>
      <c r="R21" t="s">
        <v>2475</v>
      </c>
    </row>
    <row r="22" spans="2:18" x14ac:dyDescent="0.2">
      <c r="B22" s="80" t="s">
        <v>2425</v>
      </c>
      <c r="C22" s="2" t="s">
        <v>2422</v>
      </c>
      <c r="D22" s="46" t="s">
        <v>2432</v>
      </c>
      <c r="E22" s="46" t="s">
        <v>2432</v>
      </c>
      <c r="G22" s="84"/>
      <c r="H22" s="2" t="s">
        <v>2430</v>
      </c>
      <c r="I22" s="50"/>
      <c r="N22" s="73"/>
      <c r="O22" s="63" t="s">
        <v>2449</v>
      </c>
      <c r="P22" s="3" t="str">
        <f>BackGroundColor(D42,D43,D44,D45,D46,TRUE)</f>
        <v>#282828</v>
      </c>
      <c r="Q22" s="3" t="str">
        <f>BackGroundColor(E42,E43,E44,E45,E46,TRUE)</f>
        <v>#282828</v>
      </c>
      <c r="R22" t="s">
        <v>2475</v>
      </c>
    </row>
    <row r="23" spans="2:18" x14ac:dyDescent="0.2">
      <c r="B23" s="80"/>
      <c r="C23" s="2" t="s">
        <v>2423</v>
      </c>
      <c r="D23" s="52" t="s">
        <v>2432</v>
      </c>
      <c r="E23" s="52" t="s">
        <v>2432</v>
      </c>
      <c r="G23" s="84"/>
      <c r="H23" s="2" t="s">
        <v>2431</v>
      </c>
      <c r="I23" s="50"/>
      <c r="N23" s="72" t="s">
        <v>2479</v>
      </c>
      <c r="O23" s="63" t="s">
        <v>2459</v>
      </c>
      <c r="P23" s="3" t="str">
        <f>textcolor(D47)</f>
        <v>#FFFFFF</v>
      </c>
      <c r="Q23" s="3" t="str">
        <f>textcolor(E47)</f>
        <v>#FFFFFF</v>
      </c>
      <c r="R23" t="s">
        <v>2475</v>
      </c>
    </row>
    <row r="24" spans="2:18" x14ac:dyDescent="0.2">
      <c r="B24" s="80"/>
      <c r="C24" s="2" t="s">
        <v>2417</v>
      </c>
      <c r="D24" s="2"/>
      <c r="E24" s="2"/>
      <c r="G24" s="80" t="s">
        <v>2447</v>
      </c>
      <c r="H24" s="2" t="s">
        <v>2422</v>
      </c>
      <c r="I24" s="58" t="s">
        <v>2448</v>
      </c>
      <c r="N24" s="73"/>
      <c r="O24" s="63" t="s">
        <v>2449</v>
      </c>
      <c r="P24" s="3" t="str">
        <f>BackGroundColor(D47,D48,D49,D50,D51,FALSE)</f>
        <v>linear-gradient(to bottom, #FF0000 0%, #FF0000 40%, #CC0000 60%, #CC0000 100%)</v>
      </c>
      <c r="Q24" s="3" t="str">
        <f>BackGroundColor(E47,E48,E49,E50,E51,FALSE)</f>
        <v>linear-gradient(to bottom, #006298 0%, #006298 40%, #004468 60%, #004468 100%)</v>
      </c>
      <c r="R24" t="s">
        <v>2475</v>
      </c>
    </row>
    <row r="25" spans="2:18" ht="13.2" customHeight="1" x14ac:dyDescent="0.2">
      <c r="B25" s="80"/>
      <c r="C25" s="2" t="s">
        <v>2430</v>
      </c>
      <c r="D25" s="50"/>
      <c r="E25" s="50"/>
      <c r="G25" s="84"/>
      <c r="H25" s="2" t="s">
        <v>2423</v>
      </c>
      <c r="I25" s="56"/>
      <c r="N25" s="72" t="s">
        <v>2478</v>
      </c>
      <c r="O25" s="63" t="s">
        <v>2459</v>
      </c>
      <c r="P25" s="3" t="str">
        <f>textcolor(D52)</f>
        <v>#FFFFFF</v>
      </c>
      <c r="Q25" s="3" t="str">
        <f>textcolor(E52)</f>
        <v>#FFFFFF</v>
      </c>
      <c r="R25" t="s">
        <v>2475</v>
      </c>
    </row>
    <row r="26" spans="2:18" x14ac:dyDescent="0.2">
      <c r="B26" s="80"/>
      <c r="C26" s="2" t="s">
        <v>2431</v>
      </c>
      <c r="D26" s="50"/>
      <c r="E26" s="50"/>
      <c r="G26" s="84"/>
      <c r="H26" s="2" t="s">
        <v>2417</v>
      </c>
      <c r="I26" s="2"/>
      <c r="N26" s="73"/>
      <c r="O26" s="63" t="s">
        <v>2449</v>
      </c>
      <c r="P26" s="3" t="str">
        <f>BackGroundColor(D52,D53,D54,D55,D56,TRUE)</f>
        <v>#282828</v>
      </c>
      <c r="Q26" s="3" t="str">
        <f>BackGroundColor(E52,E53,E54,E55,E56,TRUE)</f>
        <v>#282828</v>
      </c>
      <c r="R26" t="s">
        <v>2475</v>
      </c>
    </row>
    <row r="27" spans="2:18" x14ac:dyDescent="0.2">
      <c r="B27" s="81" t="s">
        <v>2433</v>
      </c>
      <c r="C27" s="2" t="s">
        <v>2422</v>
      </c>
      <c r="D27" s="49" t="s">
        <v>2435</v>
      </c>
      <c r="E27" s="53" t="s">
        <v>2435</v>
      </c>
      <c r="G27" s="84"/>
      <c r="H27" s="2" t="s">
        <v>2430</v>
      </c>
      <c r="I27" s="50"/>
      <c r="N27" s="74" t="s">
        <v>2438</v>
      </c>
      <c r="O27" s="63" t="s">
        <v>2459</v>
      </c>
      <c r="P27" s="3" t="str">
        <f>textcolor(D57)</f>
        <v>#FFFFFF</v>
      </c>
      <c r="Q27" s="3" t="str">
        <f>textcolor(E57)</f>
        <v>#FFFFFF</v>
      </c>
      <c r="R27" t="s">
        <v>2475</v>
      </c>
    </row>
    <row r="28" spans="2:18" x14ac:dyDescent="0.2">
      <c r="B28" s="82"/>
      <c r="C28" s="2" t="s">
        <v>2423</v>
      </c>
      <c r="D28" s="48"/>
      <c r="E28" s="54"/>
      <c r="G28" s="84"/>
      <c r="H28" s="2" t="s">
        <v>2431</v>
      </c>
      <c r="I28" s="50"/>
      <c r="N28" s="75"/>
      <c r="O28" s="63" t="s">
        <v>2449</v>
      </c>
      <c r="P28" s="3" t="str">
        <f>BackGroundColor(D57,D58,D59,D60,D61,TRUE)</f>
        <v>linear-gradient(to bottom, #FF0000 0%, #FF0000 40%, #CC0000 60%, #CC0000 100%)</v>
      </c>
      <c r="Q28" s="3" t="str">
        <f>BackGroundColor(E57,E58,E59,E60,E61,TRUE)</f>
        <v>linear-gradient(to bottom, #006298 0%, #006298 40%, #004468 60%, #004468 100%)</v>
      </c>
      <c r="R28" t="s">
        <v>2475</v>
      </c>
    </row>
    <row r="29" spans="2:18" x14ac:dyDescent="0.2">
      <c r="B29" s="82"/>
      <c r="C29" s="2" t="s">
        <v>2417</v>
      </c>
      <c r="D29" s="2" t="s">
        <v>2418</v>
      </c>
      <c r="E29" s="2" t="s">
        <v>2418</v>
      </c>
      <c r="G29" s="81" t="s">
        <v>2449</v>
      </c>
      <c r="H29" s="2" t="s">
        <v>2422</v>
      </c>
      <c r="I29" s="61"/>
      <c r="N29" s="76" t="s">
        <v>2441</v>
      </c>
      <c r="O29" s="63" t="s">
        <v>2459</v>
      </c>
      <c r="P29" s="3" t="str">
        <f>textcolor(D62)</f>
        <v>#FFFFFF</v>
      </c>
      <c r="Q29" s="3" t="str">
        <f>textcolor(E62)</f>
        <v>#FFFFFF</v>
      </c>
      <c r="R29" t="s">
        <v>2475</v>
      </c>
    </row>
    <row r="30" spans="2:18" ht="13.2" customHeight="1" x14ac:dyDescent="0.2">
      <c r="B30" s="82"/>
      <c r="C30" s="2" t="s">
        <v>2430</v>
      </c>
      <c r="D30" s="50">
        <v>0.4</v>
      </c>
      <c r="E30" s="50">
        <v>0.4</v>
      </c>
      <c r="G30" s="82"/>
      <c r="H30" s="2" t="s">
        <v>2423</v>
      </c>
      <c r="I30" s="56"/>
      <c r="N30" s="77"/>
      <c r="O30" s="63" t="s">
        <v>2449</v>
      </c>
      <c r="P30" s="3" t="str">
        <f>BackGroundColor(D62,D63,D64,D65,D66,FALSE)</f>
        <v>linear-gradient(to bottom, #FF0000 0%, #FF0000 40%, #CC0000 60%, #CC0000 100%)</v>
      </c>
      <c r="Q30" s="3" t="str">
        <f>BackGroundColor(E62,E63,E64,E65,E66,FALSE)</f>
        <v>linear-gradient(to bottom, #006298 0%, #006298 40%, #004468 60%, #004468 100%)</v>
      </c>
      <c r="R30" t="s">
        <v>586</v>
      </c>
    </row>
    <row r="31" spans="2:18" x14ac:dyDescent="0.2">
      <c r="B31" s="83"/>
      <c r="C31" s="2" t="s">
        <v>2431</v>
      </c>
      <c r="D31" s="50">
        <v>0.6</v>
      </c>
      <c r="E31" s="50">
        <v>0.6</v>
      </c>
      <c r="G31" s="82"/>
      <c r="H31" s="2" t="s">
        <v>2417</v>
      </c>
      <c r="I31" s="2"/>
      <c r="N31" s="76" t="s">
        <v>2442</v>
      </c>
      <c r="O31" s="63" t="s">
        <v>2459</v>
      </c>
      <c r="P31" s="3" t="str">
        <f>textcolor(D67)</f>
        <v>#00FF00</v>
      </c>
      <c r="Q31" s="3" t="str">
        <f>textcolor(E67)</f>
        <v>#00FF00</v>
      </c>
      <c r="R31" t="s">
        <v>586</v>
      </c>
    </row>
    <row r="32" spans="2:18" x14ac:dyDescent="0.2">
      <c r="B32" s="80" t="s">
        <v>2434</v>
      </c>
      <c r="C32" s="2" t="s">
        <v>2422</v>
      </c>
      <c r="D32" s="49" t="s">
        <v>2432</v>
      </c>
      <c r="E32" s="53" t="s">
        <v>2432</v>
      </c>
      <c r="G32" s="82"/>
      <c r="H32" s="2" t="s">
        <v>2430</v>
      </c>
      <c r="I32" s="50"/>
      <c r="N32" s="77"/>
      <c r="O32" s="63" t="s">
        <v>2449</v>
      </c>
      <c r="P32" s="3" t="str">
        <f>BackGroundColor(D67,D68,D69,D70,D71,FALSE)</f>
        <v>#282828</v>
      </c>
      <c r="Q32" s="3" t="str">
        <f>BackGroundColor(E67,E68,E69,E70,E71,FALSE)</f>
        <v>#282828</v>
      </c>
      <c r="R32" t="s">
        <v>586</v>
      </c>
    </row>
    <row r="33" spans="2:18" x14ac:dyDescent="0.2">
      <c r="B33" s="80"/>
      <c r="C33" s="2" t="s">
        <v>2423</v>
      </c>
      <c r="D33" s="48"/>
      <c r="E33" s="54"/>
      <c r="G33" s="83"/>
      <c r="H33" s="2" t="s">
        <v>2431</v>
      </c>
      <c r="I33" s="50"/>
      <c r="N33" s="85" t="s">
        <v>2439</v>
      </c>
      <c r="O33" s="63" t="s">
        <v>2459</v>
      </c>
      <c r="P33" s="3" t="str">
        <f>textcolor(D72)</f>
        <v>#FFFFFF</v>
      </c>
      <c r="Q33" s="3" t="str">
        <f>textcolor(E72)</f>
        <v>#FFFFFF</v>
      </c>
      <c r="R33" t="s">
        <v>586</v>
      </c>
    </row>
    <row r="34" spans="2:18" x14ac:dyDescent="0.2">
      <c r="B34" s="80"/>
      <c r="C34" s="2" t="s">
        <v>2417</v>
      </c>
      <c r="D34" s="2" t="s">
        <v>2418</v>
      </c>
      <c r="E34" s="2" t="s">
        <v>2418</v>
      </c>
      <c r="G34" s="2" t="s">
        <v>2469</v>
      </c>
      <c r="H34" s="2" t="s">
        <v>2470</v>
      </c>
      <c r="I34" s="66"/>
      <c r="N34" s="86"/>
      <c r="O34" s="63" t="s">
        <v>2449</v>
      </c>
      <c r="P34" s="3" t="str">
        <f>BackGroundColor(D72,D73,D74,D75,D76,TRUE)</f>
        <v>linear-gradient(to bottom, #FF0000 0%, #FF0000 40%, #CC0000 60%, #CC0000 100%)</v>
      </c>
      <c r="Q34" s="3" t="str">
        <f>BackGroundColor(E72,E73,E74,E75,E76,TRUE)</f>
        <v>linear-gradient(to bottom, #006298 0%, #006298 40%, #004468 60%, #004468 100%)</v>
      </c>
      <c r="R34" t="s">
        <v>586</v>
      </c>
    </row>
    <row r="35" spans="2:18" ht="13.2" customHeight="1" x14ac:dyDescent="0.2">
      <c r="B35" s="80"/>
      <c r="C35" s="2" t="s">
        <v>2430</v>
      </c>
      <c r="D35" s="50">
        <v>0.4</v>
      </c>
      <c r="E35" s="50">
        <v>0.4</v>
      </c>
      <c r="G35" s="2" t="s">
        <v>2482</v>
      </c>
      <c r="H35" s="2" t="s">
        <v>2421</v>
      </c>
      <c r="I35" s="71"/>
      <c r="N35" s="67" t="s">
        <v>2460</v>
      </c>
      <c r="O35" s="63" t="s">
        <v>2459</v>
      </c>
      <c r="P35" s="3" t="str">
        <f>textcolor(D77)</f>
        <v>#FFFF00</v>
      </c>
      <c r="Q35" s="3" t="str">
        <f>textcolor(E77)</f>
        <v>#FFFF00</v>
      </c>
      <c r="R35" t="s">
        <v>586</v>
      </c>
    </row>
    <row r="36" spans="2:18" x14ac:dyDescent="0.2">
      <c r="B36" s="80"/>
      <c r="C36" s="2" t="s">
        <v>2431</v>
      </c>
      <c r="D36" s="50">
        <v>0.6</v>
      </c>
      <c r="E36" s="50">
        <v>0.6</v>
      </c>
      <c r="G36" s="81" t="s">
        <v>2483</v>
      </c>
      <c r="H36" s="2" t="s">
        <v>2422</v>
      </c>
      <c r="I36" s="58" t="s">
        <v>2426</v>
      </c>
      <c r="N36" s="78" t="s">
        <v>2463</v>
      </c>
      <c r="O36" s="63" t="s">
        <v>2459</v>
      </c>
      <c r="P36" s="3" t="str">
        <f>textcolor(I4)</f>
        <v>#000000</v>
      </c>
      <c r="Q36" t="s">
        <v>586</v>
      </c>
      <c r="R36" t="s">
        <v>586</v>
      </c>
    </row>
    <row r="37" spans="2:18" x14ac:dyDescent="0.2">
      <c r="B37" s="81" t="s">
        <v>2436</v>
      </c>
      <c r="C37" s="2" t="s">
        <v>2422</v>
      </c>
      <c r="D37" s="44" t="s">
        <v>2426</v>
      </c>
      <c r="E37" s="44" t="s">
        <v>2426</v>
      </c>
      <c r="G37" s="82"/>
      <c r="H37" s="2" t="s">
        <v>2423</v>
      </c>
      <c r="I37" s="56"/>
      <c r="N37" s="79"/>
      <c r="O37" s="63" t="s">
        <v>2449</v>
      </c>
      <c r="P37" s="3" t="str">
        <f>BackGroundColor(I4,I5,I6,I7,I8,TRUE)</f>
        <v>#FFFFFF</v>
      </c>
      <c r="Q37" t="s">
        <v>586</v>
      </c>
    </row>
    <row r="38" spans="2:18" x14ac:dyDescent="0.2">
      <c r="B38" s="82"/>
      <c r="C38" s="2" t="s">
        <v>2423</v>
      </c>
      <c r="D38" s="45"/>
      <c r="E38" s="45"/>
      <c r="G38" s="82"/>
      <c r="H38" s="2" t="s">
        <v>2417</v>
      </c>
      <c r="I38" s="2"/>
      <c r="N38" s="78" t="s">
        <v>2464</v>
      </c>
      <c r="O38" s="63" t="s">
        <v>2459</v>
      </c>
      <c r="P38" s="3" t="str">
        <f>textcolor(I9)</f>
        <v>#000000</v>
      </c>
      <c r="Q38" t="s">
        <v>586</v>
      </c>
    </row>
    <row r="39" spans="2:18" x14ac:dyDescent="0.2">
      <c r="B39" s="82"/>
      <c r="C39" s="2" t="s">
        <v>2417</v>
      </c>
      <c r="D39" s="2" t="s">
        <v>2418</v>
      </c>
      <c r="E39" s="2" t="s">
        <v>2418</v>
      </c>
      <c r="G39" s="82"/>
      <c r="H39" s="2" t="s">
        <v>2430</v>
      </c>
      <c r="I39" s="50"/>
      <c r="N39" s="79"/>
      <c r="O39" s="63" t="s">
        <v>2449</v>
      </c>
      <c r="P39" s="3" t="str">
        <f>BackGroundColor(I9,I10,I11,I12,I13,TRUE)</f>
        <v>#F2F2F2</v>
      </c>
      <c r="Q39" t="s">
        <v>586</v>
      </c>
    </row>
    <row r="40" spans="2:18" ht="13.2" customHeight="1" x14ac:dyDescent="0.2">
      <c r="B40" s="82"/>
      <c r="C40" s="2" t="s">
        <v>2430</v>
      </c>
      <c r="D40" s="50">
        <v>0.4</v>
      </c>
      <c r="E40" s="50">
        <v>0.4</v>
      </c>
      <c r="G40" s="83"/>
      <c r="H40" s="2" t="s">
        <v>2431</v>
      </c>
      <c r="I40" s="50"/>
      <c r="N40" s="78" t="s">
        <v>2465</v>
      </c>
      <c r="O40" s="63" t="s">
        <v>2459</v>
      </c>
      <c r="P40" s="3" t="str">
        <f>textcolor(I14)</f>
        <v>#FFFF00</v>
      </c>
      <c r="Q40" t="s">
        <v>2475</v>
      </c>
    </row>
    <row r="41" spans="2:18" x14ac:dyDescent="0.2">
      <c r="B41" s="83"/>
      <c r="C41" s="2" t="s">
        <v>2431</v>
      </c>
      <c r="D41" s="50">
        <v>0.6</v>
      </c>
      <c r="E41" s="50">
        <v>0.6</v>
      </c>
      <c r="G41" s="80" t="s">
        <v>2484</v>
      </c>
      <c r="H41" s="2" t="s">
        <v>2422</v>
      </c>
      <c r="I41" s="46" t="s">
        <v>2432</v>
      </c>
      <c r="N41" s="79"/>
      <c r="O41" s="63" t="s">
        <v>2449</v>
      </c>
      <c r="P41" s="3" t="str">
        <f>BackGroundColor(I14,I15,I16,I17,I18,TRUE)</f>
        <v>#000000</v>
      </c>
      <c r="Q41" t="s">
        <v>2475</v>
      </c>
    </row>
    <row r="42" spans="2:18" x14ac:dyDescent="0.2">
      <c r="B42" s="80" t="s">
        <v>2437</v>
      </c>
      <c r="C42" s="2" t="s">
        <v>2422</v>
      </c>
      <c r="D42" s="51" t="s">
        <v>2432</v>
      </c>
      <c r="E42" s="51" t="s">
        <v>2432</v>
      </c>
      <c r="G42" s="80"/>
      <c r="H42" s="2" t="s">
        <v>2423</v>
      </c>
      <c r="I42" s="56"/>
      <c r="N42" s="78" t="s">
        <v>2476</v>
      </c>
      <c r="O42" s="63" t="s">
        <v>2459</v>
      </c>
      <c r="P42" s="3" t="str">
        <f>textcolor(I19)</f>
        <v>#FFFFFF</v>
      </c>
      <c r="Q42" t="s">
        <v>586</v>
      </c>
    </row>
    <row r="43" spans="2:18" x14ac:dyDescent="0.2">
      <c r="B43" s="80"/>
      <c r="C43" s="2" t="s">
        <v>2423</v>
      </c>
      <c r="D43" s="47" t="s">
        <v>2432</v>
      </c>
      <c r="E43" s="47" t="s">
        <v>2432</v>
      </c>
      <c r="G43" s="80"/>
      <c r="H43" s="2" t="s">
        <v>2417</v>
      </c>
      <c r="I43" s="2"/>
      <c r="N43" s="79"/>
      <c r="O43" s="63" t="s">
        <v>2449</v>
      </c>
      <c r="P43" s="3" t="str">
        <f>BackGroundColor(I19,I20,I21,I22,I23,FALSE)</f>
        <v>#3B3B3B</v>
      </c>
      <c r="Q43" t="s">
        <v>586</v>
      </c>
    </row>
    <row r="44" spans="2:18" x14ac:dyDescent="0.2">
      <c r="B44" s="80"/>
      <c r="C44" s="2" t="s">
        <v>2417</v>
      </c>
      <c r="D44" s="2"/>
      <c r="E44" s="2"/>
      <c r="G44" s="80"/>
      <c r="H44" s="2" t="s">
        <v>2430</v>
      </c>
      <c r="I44" s="50"/>
      <c r="N44" s="78" t="s">
        <v>2466</v>
      </c>
      <c r="O44" s="63" t="s">
        <v>2459</v>
      </c>
      <c r="P44" s="3" t="str">
        <f>textcolor(I24)</f>
        <v>#000000</v>
      </c>
      <c r="Q44" t="s">
        <v>586</v>
      </c>
    </row>
    <row r="45" spans="2:18" ht="13.2" customHeight="1" x14ac:dyDescent="0.2">
      <c r="B45" s="80"/>
      <c r="C45" s="2" t="s">
        <v>2430</v>
      </c>
      <c r="D45" s="50"/>
      <c r="E45" s="50"/>
      <c r="G45" s="80"/>
      <c r="H45" s="2" t="s">
        <v>2431</v>
      </c>
      <c r="I45" s="50"/>
      <c r="N45" s="79"/>
      <c r="O45" s="63" t="s">
        <v>2449</v>
      </c>
      <c r="P45" s="3" t="str">
        <f>BackGroundColor(I24,I25,I26,I27,I28,FALSE)</f>
        <v>#FFFFFF</v>
      </c>
      <c r="Q45" t="s">
        <v>586</v>
      </c>
    </row>
    <row r="46" spans="2:18" x14ac:dyDescent="0.2">
      <c r="B46" s="80"/>
      <c r="C46" s="2" t="s">
        <v>2431</v>
      </c>
      <c r="D46" s="50"/>
      <c r="E46" s="50"/>
      <c r="N46" s="69" t="s">
        <v>2467</v>
      </c>
      <c r="O46" s="63" t="s">
        <v>2462</v>
      </c>
      <c r="P46" s="3" t="str">
        <f>BackGroundColor(I29,I30,I31,I32,I33,FALSE)</f>
        <v>#000000</v>
      </c>
      <c r="Q46" t="s">
        <v>586</v>
      </c>
    </row>
    <row r="47" spans="2:18" x14ac:dyDescent="0.2">
      <c r="B47" s="81" t="s">
        <v>2477</v>
      </c>
      <c r="C47" s="2" t="s">
        <v>2422</v>
      </c>
      <c r="D47" s="49" t="s">
        <v>2426</v>
      </c>
      <c r="E47" s="53" t="s">
        <v>2426</v>
      </c>
      <c r="N47" s="68" t="s">
        <v>2469</v>
      </c>
      <c r="O47" s="63" t="s">
        <v>2421</v>
      </c>
      <c r="P47" s="3" t="str">
        <f>BackGroundColorSingle(I34)</f>
        <v>#FF0000</v>
      </c>
      <c r="Q47" t="s">
        <v>586</v>
      </c>
    </row>
    <row r="48" spans="2:18" x14ac:dyDescent="0.2">
      <c r="B48" s="82"/>
      <c r="C48" s="2" t="s">
        <v>2423</v>
      </c>
      <c r="D48" s="48"/>
      <c r="E48" s="54"/>
      <c r="N48" s="68" t="s">
        <v>2482</v>
      </c>
      <c r="O48" s="63" t="s">
        <v>2421</v>
      </c>
      <c r="P48" s="3" t="str">
        <f>BackGroundColorSingle(I35)</f>
        <v>#7F7F7F</v>
      </c>
      <c r="Q48" t="s">
        <v>586</v>
      </c>
    </row>
    <row r="49" spans="2:17" x14ac:dyDescent="0.2">
      <c r="B49" s="82"/>
      <c r="C49" s="2" t="s">
        <v>2417</v>
      </c>
      <c r="D49" s="2" t="s">
        <v>2418</v>
      </c>
      <c r="E49" s="2" t="s">
        <v>2418</v>
      </c>
      <c r="N49" s="78" t="s">
        <v>2485</v>
      </c>
      <c r="O49" s="63" t="s">
        <v>2459</v>
      </c>
      <c r="P49" s="3" t="str">
        <f>textcolor(I36)</f>
        <v>#000000</v>
      </c>
      <c r="Q49" t="s">
        <v>586</v>
      </c>
    </row>
    <row r="50" spans="2:17" x14ac:dyDescent="0.2">
      <c r="B50" s="82"/>
      <c r="C50" s="2" t="s">
        <v>2430</v>
      </c>
      <c r="D50" s="50">
        <v>0.4</v>
      </c>
      <c r="E50" s="50">
        <v>0.4</v>
      </c>
      <c r="N50" s="79"/>
      <c r="O50" s="63" t="s">
        <v>2449</v>
      </c>
      <c r="P50" s="3" t="str">
        <f>BackGroundColor(I36,I37,I38,I39,I40,FALSE)</f>
        <v>#FFFFFF</v>
      </c>
      <c r="Q50" t="s">
        <v>586</v>
      </c>
    </row>
    <row r="51" spans="2:17" x14ac:dyDescent="0.2">
      <c r="B51" s="83"/>
      <c r="C51" s="2" t="s">
        <v>2431</v>
      </c>
      <c r="D51" s="50">
        <v>0.6</v>
      </c>
      <c r="E51" s="50">
        <v>0.6</v>
      </c>
      <c r="N51" s="78" t="s">
        <v>2486</v>
      </c>
      <c r="O51" s="63" t="s">
        <v>2459</v>
      </c>
      <c r="P51" s="3" t="str">
        <f>textcolor(I41)</f>
        <v>#FFFFFF</v>
      </c>
      <c r="Q51" t="s">
        <v>586</v>
      </c>
    </row>
    <row r="52" spans="2:17" x14ac:dyDescent="0.2">
      <c r="B52" s="80" t="s">
        <v>2478</v>
      </c>
      <c r="C52" s="2" t="s">
        <v>2422</v>
      </c>
      <c r="D52" s="46" t="s">
        <v>2432</v>
      </c>
      <c r="E52" s="46" t="s">
        <v>2432</v>
      </c>
      <c r="N52" s="79"/>
      <c r="O52" s="63" t="s">
        <v>2449</v>
      </c>
      <c r="P52" s="3" t="str">
        <f>BackGroundColor(I41,I42,I43,I44,I45,FALSE)</f>
        <v>#282828</v>
      </c>
      <c r="Q52" t="s">
        <v>586</v>
      </c>
    </row>
    <row r="53" spans="2:17" x14ac:dyDescent="0.2">
      <c r="B53" s="80"/>
      <c r="C53" s="2" t="s">
        <v>2423</v>
      </c>
      <c r="D53" s="47" t="s">
        <v>2432</v>
      </c>
      <c r="E53" s="47" t="s">
        <v>2432</v>
      </c>
    </row>
    <row r="54" spans="2:17" x14ac:dyDescent="0.2">
      <c r="B54" s="80"/>
      <c r="C54" s="2" t="s">
        <v>2417</v>
      </c>
      <c r="D54" s="2"/>
      <c r="E54" s="2"/>
    </row>
    <row r="55" spans="2:17" x14ac:dyDescent="0.2">
      <c r="B55" s="80"/>
      <c r="C55" s="2" t="s">
        <v>2430</v>
      </c>
      <c r="D55" s="50"/>
      <c r="E55" s="50"/>
    </row>
    <row r="56" spans="2:17" x14ac:dyDescent="0.2">
      <c r="B56" s="80"/>
      <c r="C56" s="2" t="s">
        <v>2431</v>
      </c>
      <c r="D56" s="50"/>
      <c r="E56" s="50"/>
    </row>
    <row r="57" spans="2:17" x14ac:dyDescent="0.2">
      <c r="B57" s="80" t="s">
        <v>2438</v>
      </c>
      <c r="C57" s="2" t="s">
        <v>2422</v>
      </c>
      <c r="D57" s="49" t="s">
        <v>2432</v>
      </c>
      <c r="E57" s="53" t="s">
        <v>2432</v>
      </c>
    </row>
    <row r="58" spans="2:17" x14ac:dyDescent="0.2">
      <c r="B58" s="80"/>
      <c r="C58" s="2" t="s">
        <v>2423</v>
      </c>
      <c r="D58" s="48"/>
      <c r="E58" s="54"/>
    </row>
    <row r="59" spans="2:17" x14ac:dyDescent="0.2">
      <c r="B59" s="80"/>
      <c r="C59" s="2" t="s">
        <v>2417</v>
      </c>
      <c r="D59" s="2" t="s">
        <v>2418</v>
      </c>
      <c r="E59" s="2" t="s">
        <v>2418</v>
      </c>
    </row>
    <row r="60" spans="2:17" x14ac:dyDescent="0.2">
      <c r="B60" s="80"/>
      <c r="C60" s="2" t="s">
        <v>2430</v>
      </c>
      <c r="D60" s="50">
        <v>0.4</v>
      </c>
      <c r="E60" s="50">
        <v>0.4</v>
      </c>
    </row>
    <row r="61" spans="2:17" x14ac:dyDescent="0.2">
      <c r="B61" s="80"/>
      <c r="C61" s="2" t="s">
        <v>2431</v>
      </c>
      <c r="D61" s="50">
        <v>0.6</v>
      </c>
      <c r="E61" s="50">
        <v>0.6</v>
      </c>
    </row>
    <row r="62" spans="2:17" x14ac:dyDescent="0.2">
      <c r="B62" s="80" t="s">
        <v>2441</v>
      </c>
      <c r="C62" s="2" t="s">
        <v>2422</v>
      </c>
      <c r="D62" s="49" t="s">
        <v>2432</v>
      </c>
      <c r="E62" s="53" t="s">
        <v>2432</v>
      </c>
    </row>
    <row r="63" spans="2:17" x14ac:dyDescent="0.2">
      <c r="B63" s="80"/>
      <c r="C63" s="2" t="s">
        <v>2423</v>
      </c>
      <c r="D63" s="48"/>
      <c r="E63" s="54"/>
    </row>
    <row r="64" spans="2:17" x14ac:dyDescent="0.2">
      <c r="B64" s="80"/>
      <c r="C64" s="2" t="s">
        <v>2417</v>
      </c>
      <c r="D64" s="2" t="s">
        <v>2418</v>
      </c>
      <c r="E64" s="2" t="s">
        <v>2418</v>
      </c>
    </row>
    <row r="65" spans="2:5" x14ac:dyDescent="0.2">
      <c r="B65" s="80"/>
      <c r="C65" s="2" t="s">
        <v>2430</v>
      </c>
      <c r="D65" s="50">
        <v>0.4</v>
      </c>
      <c r="E65" s="50">
        <v>0.4</v>
      </c>
    </row>
    <row r="66" spans="2:5" x14ac:dyDescent="0.2">
      <c r="B66" s="80"/>
      <c r="C66" s="2" t="s">
        <v>2431</v>
      </c>
      <c r="D66" s="50">
        <v>0.6</v>
      </c>
      <c r="E66" s="50">
        <v>0.6</v>
      </c>
    </row>
    <row r="67" spans="2:5" x14ac:dyDescent="0.2">
      <c r="B67" s="80" t="s">
        <v>2442</v>
      </c>
      <c r="C67" s="2" t="s">
        <v>2422</v>
      </c>
      <c r="D67" s="51" t="s">
        <v>2432</v>
      </c>
      <c r="E67" s="51" t="s">
        <v>2432</v>
      </c>
    </row>
    <row r="68" spans="2:5" x14ac:dyDescent="0.2">
      <c r="B68" s="80"/>
      <c r="C68" s="2" t="s">
        <v>2423</v>
      </c>
      <c r="D68" s="47" t="s">
        <v>2432</v>
      </c>
      <c r="E68" s="47" t="s">
        <v>2432</v>
      </c>
    </row>
    <row r="69" spans="2:5" x14ac:dyDescent="0.2">
      <c r="B69" s="80"/>
      <c r="C69" s="2" t="s">
        <v>2417</v>
      </c>
      <c r="D69" s="2"/>
      <c r="E69" s="2"/>
    </row>
    <row r="70" spans="2:5" x14ac:dyDescent="0.2">
      <c r="B70" s="80"/>
      <c r="C70" s="2" t="s">
        <v>2430</v>
      </c>
      <c r="D70" s="50"/>
      <c r="E70" s="50"/>
    </row>
    <row r="71" spans="2:5" x14ac:dyDescent="0.2">
      <c r="B71" s="80"/>
      <c r="C71" s="2" t="s">
        <v>2431</v>
      </c>
      <c r="D71" s="50"/>
      <c r="E71" s="50"/>
    </row>
    <row r="72" spans="2:5" x14ac:dyDescent="0.2">
      <c r="B72" s="80" t="s">
        <v>2439</v>
      </c>
      <c r="C72" s="2" t="s">
        <v>2422</v>
      </c>
      <c r="D72" s="49" t="s">
        <v>2432</v>
      </c>
      <c r="E72" s="53" t="s">
        <v>2432</v>
      </c>
    </row>
    <row r="73" spans="2:5" x14ac:dyDescent="0.2">
      <c r="B73" s="80"/>
      <c r="C73" s="2" t="s">
        <v>2423</v>
      </c>
      <c r="D73" s="48"/>
      <c r="E73" s="54"/>
    </row>
    <row r="74" spans="2:5" x14ac:dyDescent="0.2">
      <c r="B74" s="80"/>
      <c r="C74" s="2" t="s">
        <v>2417</v>
      </c>
      <c r="D74" s="2" t="s">
        <v>2418</v>
      </c>
      <c r="E74" s="2" t="s">
        <v>2418</v>
      </c>
    </row>
    <row r="75" spans="2:5" x14ac:dyDescent="0.2">
      <c r="B75" s="80"/>
      <c r="C75" s="2" t="s">
        <v>2430</v>
      </c>
      <c r="D75" s="50">
        <v>0.4</v>
      </c>
      <c r="E75" s="50">
        <v>0.4</v>
      </c>
    </row>
    <row r="76" spans="2:5" x14ac:dyDescent="0.2">
      <c r="B76" s="80"/>
      <c r="C76" s="2" t="s">
        <v>2431</v>
      </c>
      <c r="D76" s="50">
        <v>0.6</v>
      </c>
      <c r="E76" s="50">
        <v>0.6</v>
      </c>
    </row>
    <row r="77" spans="2:5" x14ac:dyDescent="0.2">
      <c r="B77" s="43" t="s">
        <v>2460</v>
      </c>
      <c r="C77" s="2" t="s">
        <v>2461</v>
      </c>
      <c r="D77" s="64" t="s">
        <v>2459</v>
      </c>
      <c r="E77" s="65" t="s">
        <v>2459</v>
      </c>
    </row>
  </sheetData>
  <mergeCells count="43">
    <mergeCell ref="G36:G40"/>
    <mergeCell ref="G41:G45"/>
    <mergeCell ref="N49:N50"/>
    <mergeCell ref="N51:N52"/>
    <mergeCell ref="G29:G33"/>
    <mergeCell ref="N40:N41"/>
    <mergeCell ref="N44:N45"/>
    <mergeCell ref="N31:N32"/>
    <mergeCell ref="N33:N34"/>
    <mergeCell ref="N36:N37"/>
    <mergeCell ref="N38:N39"/>
    <mergeCell ref="N42:N43"/>
    <mergeCell ref="B4:B8"/>
    <mergeCell ref="B17:B21"/>
    <mergeCell ref="B22:B26"/>
    <mergeCell ref="B27:B31"/>
    <mergeCell ref="G4:G8"/>
    <mergeCell ref="G9:G13"/>
    <mergeCell ref="G14:G18"/>
    <mergeCell ref="G19:G23"/>
    <mergeCell ref="G24:G28"/>
    <mergeCell ref="B57:B61"/>
    <mergeCell ref="B62:B66"/>
    <mergeCell ref="B72:B76"/>
    <mergeCell ref="B67:B71"/>
    <mergeCell ref="B9:B13"/>
    <mergeCell ref="B32:B36"/>
    <mergeCell ref="B37:B41"/>
    <mergeCell ref="B42:B46"/>
    <mergeCell ref="B47:B51"/>
    <mergeCell ref="B52:B56"/>
    <mergeCell ref="N4:N5"/>
    <mergeCell ref="N6:N7"/>
    <mergeCell ref="N11:N12"/>
    <mergeCell ref="N13:N14"/>
    <mergeCell ref="N15:N16"/>
    <mergeCell ref="N17:N18"/>
    <mergeCell ref="N19:N20"/>
    <mergeCell ref="N21:N22"/>
    <mergeCell ref="N27:N28"/>
    <mergeCell ref="N29:N30"/>
    <mergeCell ref="N23:N24"/>
    <mergeCell ref="N25:N26"/>
  </mergeCells>
  <phoneticPr fontId="1"/>
  <dataValidations count="3">
    <dataValidation type="list" allowBlank="1" showInputMessage="1" showErrorMessage="1" sqref="D24:E24 D6:E6 D29:E29 D44:E44 D34:E34 D39:E39 D19:E19 D59:E59 D64:E64 D74:E74 D69:E69 D11:E11 I6 I11 I16 I21 I26 I31 D54:E54 D49:E49 I43 I38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Q134"/>
  <sheetViews>
    <sheetView zoomScale="145" zoomScaleNormal="14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16" width="7.33203125" customWidth="1"/>
    <col min="17" max="17" width="17.33203125" style="1" bestFit="1" customWidth="1"/>
  </cols>
  <sheetData>
    <row r="1" spans="2:17" x14ac:dyDescent="0.2">
      <c r="Q1"/>
    </row>
    <row r="2" spans="2:17" ht="13.8" x14ac:dyDescent="0.2">
      <c r="B2" s="88"/>
      <c r="C2" s="88"/>
      <c r="D2" s="88"/>
      <c r="E2" s="4">
        <f>IFERROR(G2/F2,0)</f>
        <v>0.26268076840060434</v>
      </c>
      <c r="F2" s="5">
        <f t="shared" ref="F2:K2" si="0">SUM(F4:F104)</f>
        <v>4633</v>
      </c>
      <c r="G2" s="5">
        <f t="shared" si="0"/>
        <v>1217</v>
      </c>
      <c r="H2" s="5">
        <f t="shared" si="0"/>
        <v>196</v>
      </c>
      <c r="I2" s="5">
        <f t="shared" si="0"/>
        <v>24</v>
      </c>
      <c r="J2" s="6">
        <f t="shared" si="0"/>
        <v>91</v>
      </c>
      <c r="K2" s="7">
        <f t="shared" si="0"/>
        <v>506</v>
      </c>
      <c r="L2" s="15">
        <f>IFERROR(IF((G2+N2+O2)/(F2+N2+O2+P2)=1,"1.00",(G2+N2+O2)/(F2+N2+O2+P2)),0)</f>
        <v>0.31593570152808098</v>
      </c>
      <c r="M2" s="15">
        <f>IFERROR(SUM(SUM(((G2-H2-I2-J2)*1),H2*2,I2*3,J2*4)/F2,((G2+N2+O2)/(F2+N2+O2+P2))),L2)</f>
        <v>0.69020723185400379</v>
      </c>
      <c r="N2" s="5">
        <f>SUM(N4:N104)</f>
        <v>322</v>
      </c>
      <c r="O2" s="5">
        <f>SUM(O4:O104)</f>
        <v>53</v>
      </c>
      <c r="P2" s="5">
        <f>SUM(P4:P104)</f>
        <v>31</v>
      </c>
      <c r="Q2" s="87" t="s">
        <v>738</v>
      </c>
    </row>
    <row r="3" spans="2:17" ht="13.8" x14ac:dyDescent="0.2">
      <c r="B3" s="2" t="s">
        <v>2414</v>
      </c>
      <c r="C3" s="29" t="s">
        <v>4</v>
      </c>
      <c r="D3" s="29" t="s">
        <v>16</v>
      </c>
      <c r="E3" s="10" t="s">
        <v>6</v>
      </c>
      <c r="F3" s="11" t="s">
        <v>7</v>
      </c>
      <c r="G3" s="8" t="s">
        <v>8</v>
      </c>
      <c r="H3" s="9" t="s">
        <v>819</v>
      </c>
      <c r="I3" s="9" t="s">
        <v>820</v>
      </c>
      <c r="J3" s="12" t="s">
        <v>9</v>
      </c>
      <c r="K3" s="13" t="s">
        <v>10</v>
      </c>
      <c r="L3" s="34" t="s">
        <v>737</v>
      </c>
      <c r="M3" s="10" t="s">
        <v>894</v>
      </c>
      <c r="N3" s="9" t="s">
        <v>744</v>
      </c>
      <c r="O3" s="9" t="s">
        <v>745</v>
      </c>
      <c r="P3" s="9" t="s">
        <v>743</v>
      </c>
      <c r="Q3" s="87"/>
    </row>
    <row r="4" spans="2:17" ht="13.8" x14ac:dyDescent="0.2">
      <c r="B4" s="8" t="str">
        <f>IF(C4="","",C4)</f>
        <v>00</v>
      </c>
      <c r="C4" s="14" t="s">
        <v>425</v>
      </c>
      <c r="D4" s="17" t="s">
        <v>2491</v>
      </c>
      <c r="E4" s="15">
        <f>IFERROR(IF(G4/F4=1,"1.00",G4/F4),"---")</f>
        <v>0</v>
      </c>
      <c r="F4" s="5">
        <v>6</v>
      </c>
      <c r="G4" s="5">
        <v>0</v>
      </c>
      <c r="H4" s="5">
        <v>0</v>
      </c>
      <c r="I4" s="5">
        <v>0</v>
      </c>
      <c r="J4" s="6">
        <v>0</v>
      </c>
      <c r="K4" s="7">
        <v>0</v>
      </c>
      <c r="L4" s="15">
        <f>IFERROR(IF((G4+N4+O4)/(F4+N4+O4+P4)=1,"1.00",(G4+N4+O4)/(F4+N4+O4+P4)),0)</f>
        <v>0</v>
      </c>
      <c r="M4" s="15">
        <f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17" t="s">
        <v>847</v>
      </c>
    </row>
    <row r="5" spans="2:17" ht="13.8" x14ac:dyDescent="0.2">
      <c r="B5" s="8">
        <f t="shared" ref="B5:B68" si="1">IF(C5="","",C5)</f>
        <v>0</v>
      </c>
      <c r="C5" s="14">
        <v>0</v>
      </c>
      <c r="D5" s="17" t="s">
        <v>2492</v>
      </c>
      <c r="E5" s="15">
        <f t="shared" ref="E5:E68" si="2">IFERROR(IF(G5/F5=1,"1.00",G5/F5),"---")</f>
        <v>0.3065134099616858</v>
      </c>
      <c r="F5" s="5">
        <v>261</v>
      </c>
      <c r="G5" s="5">
        <v>80</v>
      </c>
      <c r="H5" s="5">
        <v>9</v>
      </c>
      <c r="I5" s="5">
        <v>1</v>
      </c>
      <c r="J5" s="6">
        <v>2</v>
      </c>
      <c r="K5" s="7">
        <v>18</v>
      </c>
      <c r="L5" s="15">
        <f t="shared" ref="L5:L68" si="3">IFERROR(IF((G5+N5+O5)/(F5+N5+O5+P5)=1,"1.00",(G5+N5+O5)/(F5+N5+O5+P5)),0)</f>
        <v>0.37586206896551722</v>
      </c>
      <c r="M5" s="15">
        <f t="shared" ref="M5:M68" si="4">IFERROR(SUM(SUM(((G5-H5-I5-J5)*1),H5*2,I5*3,J5*4)/F5,((G5+N5+O5)/(F5+N5+O5+P5))),L5)</f>
        <v>0.7475095785440613</v>
      </c>
      <c r="N5" s="31">
        <v>21</v>
      </c>
      <c r="O5" s="32">
        <v>8</v>
      </c>
      <c r="P5" s="33">
        <v>0</v>
      </c>
      <c r="Q5" s="17" t="s">
        <v>848</v>
      </c>
    </row>
    <row r="6" spans="2:17" ht="13.8" x14ac:dyDescent="0.2">
      <c r="B6" s="8">
        <f t="shared" si="1"/>
        <v>1</v>
      </c>
      <c r="C6" s="14">
        <v>1</v>
      </c>
      <c r="D6" s="17"/>
      <c r="E6" s="15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7">
        <v>0</v>
      </c>
      <c r="L6" s="15">
        <f t="shared" si="3"/>
        <v>0</v>
      </c>
      <c r="M6" s="15">
        <f t="shared" si="4"/>
        <v>0</v>
      </c>
      <c r="N6" s="31">
        <v>0</v>
      </c>
      <c r="O6" s="32">
        <v>0</v>
      </c>
      <c r="P6" s="33">
        <v>0</v>
      </c>
      <c r="Q6" s="17"/>
    </row>
    <row r="7" spans="2:17" ht="13.8" x14ac:dyDescent="0.2">
      <c r="B7" s="8">
        <f t="shared" si="1"/>
        <v>2</v>
      </c>
      <c r="C7" s="14">
        <v>2</v>
      </c>
      <c r="D7" s="17" t="s">
        <v>2493</v>
      </c>
      <c r="E7" s="15">
        <f t="shared" si="2"/>
        <v>0.2</v>
      </c>
      <c r="F7" s="5">
        <v>40</v>
      </c>
      <c r="G7" s="5">
        <v>8</v>
      </c>
      <c r="H7" s="5">
        <v>1</v>
      </c>
      <c r="I7" s="5">
        <v>1</v>
      </c>
      <c r="J7" s="6">
        <v>0</v>
      </c>
      <c r="K7" s="7">
        <v>1</v>
      </c>
      <c r="L7" s="15">
        <f t="shared" si="3"/>
        <v>0.26666666666666666</v>
      </c>
      <c r="M7" s="15">
        <f t="shared" si="4"/>
        <v>0.54166666666666674</v>
      </c>
      <c r="N7" s="31">
        <v>3</v>
      </c>
      <c r="O7" s="32">
        <v>1</v>
      </c>
      <c r="P7" s="33">
        <v>1</v>
      </c>
      <c r="Q7" s="17" t="s">
        <v>850</v>
      </c>
    </row>
    <row r="8" spans="2:17" ht="13.8" x14ac:dyDescent="0.2">
      <c r="B8" s="8">
        <f t="shared" si="1"/>
        <v>3</v>
      </c>
      <c r="C8" s="14">
        <v>3</v>
      </c>
      <c r="D8" s="17"/>
      <c r="E8" s="15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7">
        <v>0</v>
      </c>
      <c r="L8" s="15">
        <f t="shared" si="3"/>
        <v>0</v>
      </c>
      <c r="M8" s="15">
        <f t="shared" si="4"/>
        <v>0</v>
      </c>
      <c r="N8" s="31">
        <v>0</v>
      </c>
      <c r="O8" s="32">
        <v>0</v>
      </c>
      <c r="P8" s="33">
        <v>0</v>
      </c>
      <c r="Q8" s="17" t="s">
        <v>736</v>
      </c>
    </row>
    <row r="9" spans="2:17" ht="13.8" x14ac:dyDescent="0.2">
      <c r="B9" s="8">
        <f t="shared" si="1"/>
        <v>4</v>
      </c>
      <c r="C9" s="14">
        <v>4</v>
      </c>
      <c r="D9" s="17"/>
      <c r="E9" s="15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7">
        <v>0</v>
      </c>
      <c r="L9" s="15">
        <f t="shared" si="3"/>
        <v>0</v>
      </c>
      <c r="M9" s="15">
        <f t="shared" si="4"/>
        <v>0</v>
      </c>
      <c r="N9" s="31">
        <v>0</v>
      </c>
      <c r="O9" s="32">
        <v>0</v>
      </c>
      <c r="P9" s="33">
        <v>0</v>
      </c>
      <c r="Q9" s="17" t="s">
        <v>736</v>
      </c>
    </row>
    <row r="10" spans="2:17" ht="13.8" x14ac:dyDescent="0.2">
      <c r="B10" s="8">
        <f t="shared" si="1"/>
        <v>5</v>
      </c>
      <c r="C10" s="14">
        <v>5</v>
      </c>
      <c r="D10" s="17" t="s">
        <v>2215</v>
      </c>
      <c r="E10" s="15">
        <f t="shared" si="2"/>
        <v>0.21138211382113822</v>
      </c>
      <c r="F10" s="5">
        <v>123</v>
      </c>
      <c r="G10" s="5">
        <v>26</v>
      </c>
      <c r="H10" s="5">
        <v>5</v>
      </c>
      <c r="I10" s="5">
        <v>0</v>
      </c>
      <c r="J10" s="6">
        <v>3</v>
      </c>
      <c r="K10" s="7">
        <v>15</v>
      </c>
      <c r="L10" s="15">
        <f t="shared" si="3"/>
        <v>0.26865671641791045</v>
      </c>
      <c r="M10" s="15">
        <f t="shared" si="4"/>
        <v>0.59385996845043076</v>
      </c>
      <c r="N10" s="31">
        <v>10</v>
      </c>
      <c r="O10" s="32">
        <v>0</v>
      </c>
      <c r="P10" s="33">
        <v>1</v>
      </c>
      <c r="Q10" s="17" t="s">
        <v>867</v>
      </c>
    </row>
    <row r="11" spans="2:17" ht="13.8" x14ac:dyDescent="0.2">
      <c r="B11" s="8">
        <f t="shared" si="1"/>
        <v>6</v>
      </c>
      <c r="C11" s="14">
        <v>6</v>
      </c>
      <c r="D11" s="17"/>
      <c r="E11" s="15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7">
        <v>0</v>
      </c>
      <c r="L11" s="15">
        <f t="shared" si="3"/>
        <v>0</v>
      </c>
      <c r="M11" s="15">
        <f t="shared" si="4"/>
        <v>0</v>
      </c>
      <c r="N11" s="31">
        <v>0</v>
      </c>
      <c r="O11" s="32">
        <v>0</v>
      </c>
      <c r="P11" s="33">
        <v>0</v>
      </c>
      <c r="Q11" s="17"/>
    </row>
    <row r="12" spans="2:17" ht="13.8" x14ac:dyDescent="0.2">
      <c r="B12" s="8">
        <f t="shared" si="1"/>
        <v>7</v>
      </c>
      <c r="C12" s="14">
        <v>7</v>
      </c>
      <c r="D12" s="17" t="s">
        <v>2494</v>
      </c>
      <c r="E12" s="15">
        <f t="shared" si="2"/>
        <v>0.24313725490196078</v>
      </c>
      <c r="F12" s="5">
        <v>255</v>
      </c>
      <c r="G12" s="5">
        <v>62</v>
      </c>
      <c r="H12" s="5">
        <v>16</v>
      </c>
      <c r="I12" s="5">
        <v>0</v>
      </c>
      <c r="J12" s="6">
        <v>8</v>
      </c>
      <c r="K12" s="7">
        <v>28</v>
      </c>
      <c r="L12" s="15">
        <f t="shared" si="3"/>
        <v>0.27881040892193309</v>
      </c>
      <c r="M12" s="15">
        <f t="shared" si="4"/>
        <v>0.67881040892193312</v>
      </c>
      <c r="N12" s="31">
        <v>11</v>
      </c>
      <c r="O12" s="32">
        <v>2</v>
      </c>
      <c r="P12" s="33">
        <v>1</v>
      </c>
      <c r="Q12" s="17" t="s">
        <v>851</v>
      </c>
    </row>
    <row r="13" spans="2:17" ht="13.8" x14ac:dyDescent="0.2">
      <c r="B13" s="8">
        <f t="shared" si="1"/>
        <v>8</v>
      </c>
      <c r="C13" s="14">
        <v>8</v>
      </c>
      <c r="D13" s="17"/>
      <c r="E13" s="15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7">
        <v>0</v>
      </c>
      <c r="L13" s="15">
        <f t="shared" si="3"/>
        <v>0</v>
      </c>
      <c r="M13" s="15">
        <f t="shared" si="4"/>
        <v>0</v>
      </c>
      <c r="N13" s="31">
        <v>0</v>
      </c>
      <c r="O13" s="32">
        <v>0</v>
      </c>
      <c r="P13" s="33">
        <v>0</v>
      </c>
      <c r="Q13" s="17" t="s">
        <v>736</v>
      </c>
    </row>
    <row r="14" spans="2:17" ht="13.8" x14ac:dyDescent="0.2">
      <c r="B14" s="8">
        <f t="shared" si="1"/>
        <v>9</v>
      </c>
      <c r="C14" s="14">
        <v>9</v>
      </c>
      <c r="D14" s="17" t="s">
        <v>1340</v>
      </c>
      <c r="E14" s="15">
        <f t="shared" si="2"/>
        <v>0.26451612903225807</v>
      </c>
      <c r="F14" s="5">
        <v>155</v>
      </c>
      <c r="G14" s="5">
        <v>41</v>
      </c>
      <c r="H14" s="5">
        <v>6</v>
      </c>
      <c r="I14" s="5">
        <v>1</v>
      </c>
      <c r="J14" s="6">
        <v>5</v>
      </c>
      <c r="K14" s="7">
        <v>26</v>
      </c>
      <c r="L14" s="15">
        <f t="shared" si="3"/>
        <v>0.33333333333333331</v>
      </c>
      <c r="M14" s="15">
        <f t="shared" si="4"/>
        <v>0.74623655913978493</v>
      </c>
      <c r="N14" s="31">
        <v>11</v>
      </c>
      <c r="O14" s="32">
        <v>6</v>
      </c>
      <c r="P14" s="33">
        <v>2</v>
      </c>
      <c r="Q14" s="17" t="s">
        <v>2541</v>
      </c>
    </row>
    <row r="15" spans="2:17" ht="13.8" x14ac:dyDescent="0.2">
      <c r="B15" s="8">
        <f t="shared" si="1"/>
        <v>10</v>
      </c>
      <c r="C15" s="14">
        <v>10</v>
      </c>
      <c r="D15" s="17" t="s">
        <v>1361</v>
      </c>
      <c r="E15" s="15">
        <f t="shared" si="2"/>
        <v>0.27232142857142855</v>
      </c>
      <c r="F15" s="5">
        <v>448</v>
      </c>
      <c r="G15" s="5">
        <v>122</v>
      </c>
      <c r="H15" s="5">
        <v>25</v>
      </c>
      <c r="I15" s="5">
        <v>0</v>
      </c>
      <c r="J15" s="6">
        <v>17</v>
      </c>
      <c r="K15" s="7">
        <v>74</v>
      </c>
      <c r="L15" s="15">
        <f t="shared" si="3"/>
        <v>0.35236220472440943</v>
      </c>
      <c r="M15" s="15">
        <f t="shared" si="4"/>
        <v>0.79432649043869508</v>
      </c>
      <c r="N15" s="31">
        <v>52</v>
      </c>
      <c r="O15" s="32">
        <v>5</v>
      </c>
      <c r="P15" s="33">
        <v>3</v>
      </c>
      <c r="Q15" s="17" t="s">
        <v>1361</v>
      </c>
    </row>
    <row r="16" spans="2:17" ht="13.8" x14ac:dyDescent="0.2">
      <c r="B16" s="8">
        <f t="shared" si="1"/>
        <v>11</v>
      </c>
      <c r="C16" s="14">
        <v>11</v>
      </c>
      <c r="D16" s="17" t="s">
        <v>2495</v>
      </c>
      <c r="E16" s="15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7">
        <v>0</v>
      </c>
      <c r="L16" s="15">
        <f t="shared" si="3"/>
        <v>0</v>
      </c>
      <c r="M16" s="15">
        <f t="shared" si="4"/>
        <v>0</v>
      </c>
      <c r="N16" s="31">
        <v>0</v>
      </c>
      <c r="O16" s="32">
        <v>0</v>
      </c>
      <c r="P16" s="33">
        <v>0</v>
      </c>
      <c r="Q16" s="17" t="s">
        <v>873</v>
      </c>
    </row>
    <row r="17" spans="2:17" ht="13.8" x14ac:dyDescent="0.2">
      <c r="B17" s="8">
        <f t="shared" si="1"/>
        <v>12</v>
      </c>
      <c r="C17" s="14">
        <v>12</v>
      </c>
      <c r="D17" s="17" t="s">
        <v>2496</v>
      </c>
      <c r="E17" s="15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7">
        <v>0</v>
      </c>
      <c r="L17" s="15">
        <f t="shared" si="3"/>
        <v>0</v>
      </c>
      <c r="M17" s="15">
        <f t="shared" si="4"/>
        <v>0</v>
      </c>
      <c r="N17" s="31">
        <v>0</v>
      </c>
      <c r="O17" s="32">
        <v>0</v>
      </c>
      <c r="P17" s="33">
        <v>0</v>
      </c>
      <c r="Q17" s="17" t="s">
        <v>874</v>
      </c>
    </row>
    <row r="18" spans="2:17" ht="13.8" x14ac:dyDescent="0.2">
      <c r="B18" s="8">
        <f t="shared" si="1"/>
        <v>13</v>
      </c>
      <c r="C18" s="14">
        <v>13</v>
      </c>
      <c r="D18" s="17" t="s">
        <v>2497</v>
      </c>
      <c r="E18" s="15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7">
        <v>0</v>
      </c>
      <c r="L18" s="15">
        <f t="shared" si="3"/>
        <v>0</v>
      </c>
      <c r="M18" s="15">
        <f t="shared" si="4"/>
        <v>0</v>
      </c>
      <c r="N18" s="31">
        <v>0</v>
      </c>
      <c r="O18" s="32">
        <v>0</v>
      </c>
      <c r="P18" s="33">
        <v>0</v>
      </c>
      <c r="Q18" s="17" t="s">
        <v>875</v>
      </c>
    </row>
    <row r="19" spans="2:17" ht="13.8" x14ac:dyDescent="0.2">
      <c r="B19" s="8">
        <f t="shared" si="1"/>
        <v>14</v>
      </c>
      <c r="C19" s="14">
        <v>14</v>
      </c>
      <c r="D19" s="17" t="s">
        <v>2498</v>
      </c>
      <c r="E19" s="15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7">
        <v>0</v>
      </c>
      <c r="L19" s="15">
        <f t="shared" si="3"/>
        <v>0</v>
      </c>
      <c r="M19" s="15">
        <f t="shared" si="4"/>
        <v>0</v>
      </c>
      <c r="N19" s="31">
        <v>0</v>
      </c>
      <c r="O19" s="32">
        <v>0</v>
      </c>
      <c r="P19" s="33">
        <v>0</v>
      </c>
      <c r="Q19" s="17" t="s">
        <v>803</v>
      </c>
    </row>
    <row r="20" spans="2:17" ht="13.8" x14ac:dyDescent="0.2">
      <c r="B20" s="8">
        <f t="shared" si="1"/>
        <v>15</v>
      </c>
      <c r="C20" s="14">
        <v>15</v>
      </c>
      <c r="D20" s="17"/>
      <c r="E20" s="15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7">
        <v>0</v>
      </c>
      <c r="L20" s="15">
        <f t="shared" si="3"/>
        <v>0</v>
      </c>
      <c r="M20" s="15">
        <f t="shared" si="4"/>
        <v>0</v>
      </c>
      <c r="N20" s="31">
        <v>0</v>
      </c>
      <c r="O20" s="32">
        <v>0</v>
      </c>
      <c r="P20" s="33">
        <v>0</v>
      </c>
      <c r="Q20" s="17"/>
    </row>
    <row r="21" spans="2:17" ht="13.8" x14ac:dyDescent="0.2">
      <c r="B21" s="8">
        <f t="shared" si="1"/>
        <v>16</v>
      </c>
      <c r="C21" s="14">
        <v>16</v>
      </c>
      <c r="D21" s="17" t="s">
        <v>1362</v>
      </c>
      <c r="E21" s="15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7">
        <v>0</v>
      </c>
      <c r="L21" s="15">
        <f t="shared" si="3"/>
        <v>0</v>
      </c>
      <c r="M21" s="15">
        <f t="shared" si="4"/>
        <v>0</v>
      </c>
      <c r="N21" s="31">
        <v>0</v>
      </c>
      <c r="O21" s="32">
        <v>0</v>
      </c>
      <c r="P21" s="33">
        <v>0</v>
      </c>
      <c r="Q21" s="17" t="s">
        <v>1380</v>
      </c>
    </row>
    <row r="22" spans="2:17" ht="13.8" x14ac:dyDescent="0.2">
      <c r="B22" s="8">
        <f t="shared" si="1"/>
        <v>17</v>
      </c>
      <c r="C22" s="14">
        <v>17</v>
      </c>
      <c r="D22" s="17" t="s">
        <v>2499</v>
      </c>
      <c r="E22" s="15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7">
        <v>0</v>
      </c>
      <c r="L22" s="15">
        <f t="shared" si="3"/>
        <v>0</v>
      </c>
      <c r="M22" s="15">
        <f t="shared" si="4"/>
        <v>0</v>
      </c>
      <c r="N22" s="31">
        <v>0</v>
      </c>
      <c r="O22" s="32">
        <v>0</v>
      </c>
      <c r="P22" s="33">
        <v>0</v>
      </c>
      <c r="Q22" s="17" t="s">
        <v>876</v>
      </c>
    </row>
    <row r="23" spans="2:17" ht="13.8" x14ac:dyDescent="0.2">
      <c r="B23" s="8">
        <f t="shared" si="1"/>
        <v>18</v>
      </c>
      <c r="C23" s="14">
        <v>18</v>
      </c>
      <c r="D23" s="17" t="s">
        <v>740</v>
      </c>
      <c r="E23" s="15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7">
        <v>0</v>
      </c>
      <c r="L23" s="15">
        <f t="shared" si="3"/>
        <v>0</v>
      </c>
      <c r="M23" s="15">
        <f t="shared" si="4"/>
        <v>0</v>
      </c>
      <c r="N23" s="31">
        <v>0</v>
      </c>
      <c r="O23" s="32">
        <v>0</v>
      </c>
      <c r="P23" s="33">
        <v>0</v>
      </c>
      <c r="Q23" s="17" t="s">
        <v>877</v>
      </c>
    </row>
    <row r="24" spans="2:17" ht="13.8" x14ac:dyDescent="0.2">
      <c r="B24" s="8">
        <f t="shared" si="1"/>
        <v>19</v>
      </c>
      <c r="C24" s="14">
        <v>19</v>
      </c>
      <c r="D24" s="17" t="s">
        <v>2500</v>
      </c>
      <c r="E24" s="15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7">
        <v>0</v>
      </c>
      <c r="L24" s="15">
        <f t="shared" si="3"/>
        <v>0</v>
      </c>
      <c r="M24" s="15">
        <f t="shared" si="4"/>
        <v>0</v>
      </c>
      <c r="N24" s="31">
        <v>0</v>
      </c>
      <c r="O24" s="32">
        <v>0</v>
      </c>
      <c r="P24" s="33">
        <v>0</v>
      </c>
      <c r="Q24" s="17" t="s">
        <v>878</v>
      </c>
    </row>
    <row r="25" spans="2:17" ht="13.8" x14ac:dyDescent="0.2">
      <c r="B25" s="8">
        <f t="shared" si="1"/>
        <v>20</v>
      </c>
      <c r="C25" s="14">
        <v>20</v>
      </c>
      <c r="D25" s="17" t="s">
        <v>741</v>
      </c>
      <c r="E25" s="15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7">
        <v>0</v>
      </c>
      <c r="L25" s="15">
        <f t="shared" si="3"/>
        <v>0</v>
      </c>
      <c r="M25" s="15">
        <f t="shared" si="4"/>
        <v>0</v>
      </c>
      <c r="N25" s="31">
        <v>0</v>
      </c>
      <c r="O25" s="32">
        <v>0</v>
      </c>
      <c r="P25" s="33">
        <v>0</v>
      </c>
      <c r="Q25" s="17" t="s">
        <v>879</v>
      </c>
    </row>
    <row r="26" spans="2:17" ht="13.8" x14ac:dyDescent="0.2">
      <c r="B26" s="8">
        <f t="shared" si="1"/>
        <v>21</v>
      </c>
      <c r="C26" s="14">
        <v>21</v>
      </c>
      <c r="D26" s="17" t="s">
        <v>2501</v>
      </c>
      <c r="E26" s="15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7">
        <v>0</v>
      </c>
      <c r="L26" s="15">
        <f t="shared" si="3"/>
        <v>0</v>
      </c>
      <c r="M26" s="15">
        <f t="shared" si="4"/>
        <v>0</v>
      </c>
      <c r="N26" s="31">
        <v>0</v>
      </c>
      <c r="O26" s="32">
        <v>0</v>
      </c>
      <c r="P26" s="33">
        <v>0</v>
      </c>
      <c r="Q26" s="17" t="s">
        <v>934</v>
      </c>
    </row>
    <row r="27" spans="2:17" ht="13.8" x14ac:dyDescent="0.2">
      <c r="B27" s="8">
        <f t="shared" si="1"/>
        <v>22</v>
      </c>
      <c r="C27" s="14">
        <v>22</v>
      </c>
      <c r="D27" s="17" t="s">
        <v>2502</v>
      </c>
      <c r="E27" s="15">
        <f t="shared" si="2"/>
        <v>0.19298245614035087</v>
      </c>
      <c r="F27" s="5">
        <v>57</v>
      </c>
      <c r="G27" s="5">
        <v>11</v>
      </c>
      <c r="H27" s="5">
        <v>2</v>
      </c>
      <c r="I27" s="5">
        <v>0</v>
      </c>
      <c r="J27" s="6">
        <v>0</v>
      </c>
      <c r="K27" s="7">
        <v>5</v>
      </c>
      <c r="L27" s="15">
        <f t="shared" si="3"/>
        <v>0.20689655172413793</v>
      </c>
      <c r="M27" s="15">
        <f t="shared" si="4"/>
        <v>0.43496672716273443</v>
      </c>
      <c r="N27" s="31">
        <v>1</v>
      </c>
      <c r="O27" s="32">
        <v>0</v>
      </c>
      <c r="P27" s="33">
        <v>0</v>
      </c>
      <c r="Q27" s="17" t="s">
        <v>852</v>
      </c>
    </row>
    <row r="28" spans="2:17" ht="13.8" x14ac:dyDescent="0.2">
      <c r="B28" s="8">
        <f t="shared" si="1"/>
        <v>23</v>
      </c>
      <c r="C28" s="14">
        <v>23</v>
      </c>
      <c r="D28" s="17" t="s">
        <v>2503</v>
      </c>
      <c r="E28" s="15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7">
        <v>0</v>
      </c>
      <c r="L28" s="15">
        <f t="shared" si="3"/>
        <v>0</v>
      </c>
      <c r="M28" s="15">
        <f t="shared" si="4"/>
        <v>0</v>
      </c>
      <c r="N28" s="31">
        <v>0</v>
      </c>
      <c r="O28" s="32">
        <v>0</v>
      </c>
      <c r="P28" s="33">
        <v>0</v>
      </c>
      <c r="Q28" s="17" t="s">
        <v>880</v>
      </c>
    </row>
    <row r="29" spans="2:17" ht="13.8" x14ac:dyDescent="0.2">
      <c r="B29" s="8">
        <f t="shared" si="1"/>
        <v>24</v>
      </c>
      <c r="C29" s="14">
        <v>24</v>
      </c>
      <c r="D29" s="17" t="s">
        <v>1363</v>
      </c>
      <c r="E29" s="15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7">
        <v>0</v>
      </c>
      <c r="L29" s="15">
        <f t="shared" si="3"/>
        <v>0</v>
      </c>
      <c r="M29" s="15">
        <f t="shared" si="4"/>
        <v>0</v>
      </c>
      <c r="N29" s="31">
        <v>0</v>
      </c>
      <c r="O29" s="32">
        <v>0</v>
      </c>
      <c r="P29" s="33">
        <v>0</v>
      </c>
      <c r="Q29" s="17" t="s">
        <v>1381</v>
      </c>
    </row>
    <row r="30" spans="2:17" ht="13.8" x14ac:dyDescent="0.2">
      <c r="B30" s="8">
        <f t="shared" si="1"/>
        <v>25</v>
      </c>
      <c r="C30" s="14">
        <v>25</v>
      </c>
      <c r="D30" s="17"/>
      <c r="E30" s="15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7">
        <v>0</v>
      </c>
      <c r="L30" s="15">
        <f t="shared" si="3"/>
        <v>0</v>
      </c>
      <c r="M30" s="15">
        <f t="shared" si="4"/>
        <v>0</v>
      </c>
      <c r="N30" s="31">
        <v>0</v>
      </c>
      <c r="O30" s="32">
        <v>0</v>
      </c>
      <c r="P30" s="33">
        <v>0</v>
      </c>
      <c r="Q30" s="17"/>
    </row>
    <row r="31" spans="2:17" ht="13.8" x14ac:dyDescent="0.2">
      <c r="B31" s="8">
        <f t="shared" si="1"/>
        <v>26</v>
      </c>
      <c r="C31" s="14">
        <v>26</v>
      </c>
      <c r="D31" s="17" t="s">
        <v>2504</v>
      </c>
      <c r="E31" s="15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7">
        <v>0</v>
      </c>
      <c r="L31" s="15">
        <f t="shared" si="3"/>
        <v>0</v>
      </c>
      <c r="M31" s="15">
        <f t="shared" si="4"/>
        <v>0</v>
      </c>
      <c r="N31" s="31">
        <v>0</v>
      </c>
      <c r="O31" s="32">
        <v>0</v>
      </c>
      <c r="P31" s="33">
        <v>0</v>
      </c>
      <c r="Q31" s="17" t="s">
        <v>2542</v>
      </c>
    </row>
    <row r="32" spans="2:17" ht="13.8" x14ac:dyDescent="0.2">
      <c r="B32" s="8">
        <f t="shared" si="1"/>
        <v>27</v>
      </c>
      <c r="C32" s="14">
        <v>27</v>
      </c>
      <c r="D32" s="17" t="s">
        <v>2505</v>
      </c>
      <c r="E32" s="15">
        <f t="shared" si="2"/>
        <v>0.20689655172413793</v>
      </c>
      <c r="F32" s="5">
        <v>290</v>
      </c>
      <c r="G32" s="5">
        <v>60</v>
      </c>
      <c r="H32" s="5">
        <v>10</v>
      </c>
      <c r="I32" s="5">
        <v>0</v>
      </c>
      <c r="J32" s="6">
        <v>3</v>
      </c>
      <c r="K32" s="7">
        <v>33</v>
      </c>
      <c r="L32" s="15">
        <f t="shared" si="3"/>
        <v>0.27554179566563469</v>
      </c>
      <c r="M32" s="15">
        <f t="shared" si="4"/>
        <v>0.54795558876908301</v>
      </c>
      <c r="N32" s="31">
        <v>23</v>
      </c>
      <c r="O32" s="32">
        <v>6</v>
      </c>
      <c r="P32" s="33">
        <v>4</v>
      </c>
      <c r="Q32" s="17" t="s">
        <v>853</v>
      </c>
    </row>
    <row r="33" spans="2:17" ht="13.8" x14ac:dyDescent="0.2">
      <c r="B33" s="8">
        <f t="shared" si="1"/>
        <v>28</v>
      </c>
      <c r="C33" s="14">
        <v>28</v>
      </c>
      <c r="D33" s="17" t="s">
        <v>2506</v>
      </c>
      <c r="E33" s="15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7">
        <v>0</v>
      </c>
      <c r="L33" s="15">
        <f t="shared" si="3"/>
        <v>0</v>
      </c>
      <c r="M33" s="15">
        <f t="shared" si="4"/>
        <v>0</v>
      </c>
      <c r="N33" s="31">
        <v>0</v>
      </c>
      <c r="O33" s="32">
        <v>0</v>
      </c>
      <c r="P33" s="33">
        <v>0</v>
      </c>
      <c r="Q33" s="17" t="s">
        <v>881</v>
      </c>
    </row>
    <row r="34" spans="2:17" ht="13.8" x14ac:dyDescent="0.2">
      <c r="B34" s="8">
        <f t="shared" si="1"/>
        <v>29</v>
      </c>
      <c r="C34" s="14">
        <v>29</v>
      </c>
      <c r="D34" s="17" t="s">
        <v>1364</v>
      </c>
      <c r="E34" s="15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7">
        <v>0</v>
      </c>
      <c r="L34" s="15">
        <f t="shared" si="3"/>
        <v>0</v>
      </c>
      <c r="M34" s="15">
        <f t="shared" si="4"/>
        <v>0</v>
      </c>
      <c r="N34" s="31">
        <v>0</v>
      </c>
      <c r="O34" s="32">
        <v>0</v>
      </c>
      <c r="P34" s="33">
        <v>0</v>
      </c>
      <c r="Q34" s="17" t="s">
        <v>882</v>
      </c>
    </row>
    <row r="35" spans="2:17" ht="13.8" x14ac:dyDescent="0.2">
      <c r="B35" s="8">
        <f t="shared" si="1"/>
        <v>30</v>
      </c>
      <c r="C35" s="14">
        <v>30</v>
      </c>
      <c r="D35" s="17" t="s">
        <v>2507</v>
      </c>
      <c r="E35" s="15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7">
        <v>0</v>
      </c>
      <c r="L35" s="15">
        <f t="shared" si="3"/>
        <v>0</v>
      </c>
      <c r="M35" s="15">
        <f t="shared" si="4"/>
        <v>0</v>
      </c>
      <c r="N35" s="31">
        <v>0</v>
      </c>
      <c r="O35" s="32">
        <v>0</v>
      </c>
      <c r="P35" s="33">
        <v>0</v>
      </c>
      <c r="Q35" s="17" t="s">
        <v>883</v>
      </c>
    </row>
    <row r="36" spans="2:17" ht="13.8" x14ac:dyDescent="0.2">
      <c r="B36" s="8">
        <f t="shared" si="1"/>
        <v>31</v>
      </c>
      <c r="C36" s="14">
        <v>31</v>
      </c>
      <c r="D36" s="17" t="s">
        <v>2508</v>
      </c>
      <c r="E36" s="15">
        <f t="shared" si="2"/>
        <v>0.28756957328385901</v>
      </c>
      <c r="F36" s="5">
        <v>539</v>
      </c>
      <c r="G36" s="5">
        <v>155</v>
      </c>
      <c r="H36" s="5">
        <v>18</v>
      </c>
      <c r="I36" s="5">
        <v>3</v>
      </c>
      <c r="J36" s="6">
        <v>16</v>
      </c>
      <c r="K36" s="7">
        <v>68</v>
      </c>
      <c r="L36" s="15">
        <f t="shared" si="3"/>
        <v>0.35225375626043404</v>
      </c>
      <c r="M36" s="15">
        <f t="shared" si="4"/>
        <v>0.77340403455356954</v>
      </c>
      <c r="N36" s="31">
        <v>46</v>
      </c>
      <c r="O36" s="32">
        <v>10</v>
      </c>
      <c r="P36" s="33">
        <v>4</v>
      </c>
      <c r="Q36" s="17" t="s">
        <v>854</v>
      </c>
    </row>
    <row r="37" spans="2:17" ht="13.8" x14ac:dyDescent="0.2">
      <c r="B37" s="8">
        <f t="shared" si="1"/>
        <v>32</v>
      </c>
      <c r="C37" s="14">
        <v>32</v>
      </c>
      <c r="D37" s="17" t="s">
        <v>2509</v>
      </c>
      <c r="E37" s="15">
        <f t="shared" si="2"/>
        <v>0</v>
      </c>
      <c r="F37" s="5">
        <v>4</v>
      </c>
      <c r="G37" s="5">
        <v>0</v>
      </c>
      <c r="H37" s="5">
        <v>0</v>
      </c>
      <c r="I37" s="5">
        <v>0</v>
      </c>
      <c r="J37" s="6">
        <v>0</v>
      </c>
      <c r="K37" s="7">
        <v>0</v>
      </c>
      <c r="L37" s="15">
        <f t="shared" si="3"/>
        <v>0</v>
      </c>
      <c r="M37" s="15">
        <f t="shared" si="4"/>
        <v>0</v>
      </c>
      <c r="N37" s="31">
        <v>0</v>
      </c>
      <c r="O37" s="32">
        <v>0</v>
      </c>
      <c r="P37" s="33">
        <v>0</v>
      </c>
      <c r="Q37" s="17" t="s">
        <v>866</v>
      </c>
    </row>
    <row r="38" spans="2:17" ht="13.8" x14ac:dyDescent="0.2">
      <c r="B38" s="8">
        <f t="shared" si="1"/>
        <v>33</v>
      </c>
      <c r="C38" s="14">
        <v>33</v>
      </c>
      <c r="D38" s="17" t="s">
        <v>742</v>
      </c>
      <c r="E38" s="15">
        <f t="shared" si="2"/>
        <v>0.26190476190476192</v>
      </c>
      <c r="F38" s="5">
        <v>462</v>
      </c>
      <c r="G38" s="5">
        <v>121</v>
      </c>
      <c r="H38" s="5">
        <v>25</v>
      </c>
      <c r="I38" s="5">
        <v>1</v>
      </c>
      <c r="J38" s="6">
        <v>6</v>
      </c>
      <c r="K38" s="7">
        <v>45</v>
      </c>
      <c r="L38" s="15">
        <f t="shared" si="3"/>
        <v>0.3</v>
      </c>
      <c r="M38" s="15">
        <f t="shared" si="4"/>
        <v>0.65930735930735929</v>
      </c>
      <c r="N38" s="31">
        <v>24</v>
      </c>
      <c r="O38" s="32">
        <v>2</v>
      </c>
      <c r="P38" s="33">
        <v>2</v>
      </c>
      <c r="Q38" s="17" t="s">
        <v>855</v>
      </c>
    </row>
    <row r="39" spans="2:17" ht="13.8" x14ac:dyDescent="0.2">
      <c r="B39" s="8">
        <f t="shared" si="1"/>
        <v>34</v>
      </c>
      <c r="C39" s="14">
        <v>34</v>
      </c>
      <c r="D39" s="17" t="s">
        <v>2510</v>
      </c>
      <c r="E39" s="15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7">
        <v>0</v>
      </c>
      <c r="L39" s="15">
        <f t="shared" si="3"/>
        <v>0</v>
      </c>
      <c r="M39" s="15">
        <f t="shared" si="4"/>
        <v>0</v>
      </c>
      <c r="N39" s="31">
        <v>0</v>
      </c>
      <c r="O39" s="32">
        <v>0</v>
      </c>
      <c r="P39" s="33">
        <v>0</v>
      </c>
      <c r="Q39" s="17" t="s">
        <v>884</v>
      </c>
    </row>
    <row r="40" spans="2:17" ht="13.8" x14ac:dyDescent="0.2">
      <c r="B40" s="8">
        <f t="shared" si="1"/>
        <v>35</v>
      </c>
      <c r="C40" s="14">
        <v>35</v>
      </c>
      <c r="D40" s="17" t="s">
        <v>2511</v>
      </c>
      <c r="E40" s="15">
        <f t="shared" si="2"/>
        <v>0</v>
      </c>
      <c r="F40" s="5">
        <v>2</v>
      </c>
      <c r="G40" s="5">
        <v>0</v>
      </c>
      <c r="H40" s="5">
        <v>0</v>
      </c>
      <c r="I40" s="5">
        <v>0</v>
      </c>
      <c r="J40" s="6">
        <v>0</v>
      </c>
      <c r="K40" s="7">
        <v>0</v>
      </c>
      <c r="L40" s="15">
        <f t="shared" si="3"/>
        <v>0</v>
      </c>
      <c r="M40" s="15">
        <f t="shared" si="4"/>
        <v>0</v>
      </c>
      <c r="N40" s="31">
        <v>0</v>
      </c>
      <c r="O40" s="32">
        <v>0</v>
      </c>
      <c r="P40" s="33">
        <v>0</v>
      </c>
      <c r="Q40" s="17" t="s">
        <v>856</v>
      </c>
    </row>
    <row r="41" spans="2:17" ht="13.8" x14ac:dyDescent="0.2">
      <c r="B41" s="8">
        <f t="shared" si="1"/>
        <v>36</v>
      </c>
      <c r="C41" s="14">
        <v>36</v>
      </c>
      <c r="D41" s="17" t="s">
        <v>2512</v>
      </c>
      <c r="E41" s="15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7">
        <v>0</v>
      </c>
      <c r="L41" s="15">
        <f t="shared" si="3"/>
        <v>0</v>
      </c>
      <c r="M41" s="15">
        <f t="shared" si="4"/>
        <v>0</v>
      </c>
      <c r="N41" s="31">
        <v>0</v>
      </c>
      <c r="O41" s="32">
        <v>0</v>
      </c>
      <c r="P41" s="33">
        <v>0</v>
      </c>
      <c r="Q41" s="17" t="s">
        <v>885</v>
      </c>
    </row>
    <row r="42" spans="2:17" ht="13.8" x14ac:dyDescent="0.2">
      <c r="B42" s="8">
        <f t="shared" si="1"/>
        <v>37</v>
      </c>
      <c r="C42" s="14">
        <v>37</v>
      </c>
      <c r="D42" s="17" t="s">
        <v>2513</v>
      </c>
      <c r="E42" s="15">
        <f t="shared" si="2"/>
        <v>0.31230283911671924</v>
      </c>
      <c r="F42" s="5">
        <v>317</v>
      </c>
      <c r="G42" s="5">
        <v>99</v>
      </c>
      <c r="H42" s="5">
        <v>21</v>
      </c>
      <c r="I42" s="5">
        <v>3</v>
      </c>
      <c r="J42" s="6">
        <v>0</v>
      </c>
      <c r="K42" s="7">
        <v>16</v>
      </c>
      <c r="L42" s="15">
        <f t="shared" si="3"/>
        <v>0.3473053892215569</v>
      </c>
      <c r="M42" s="15">
        <f t="shared" si="4"/>
        <v>0.74478172991556324</v>
      </c>
      <c r="N42" s="31">
        <v>16</v>
      </c>
      <c r="O42" s="32">
        <v>1</v>
      </c>
      <c r="P42" s="33">
        <v>0</v>
      </c>
      <c r="Q42" s="17" t="s">
        <v>857</v>
      </c>
    </row>
    <row r="43" spans="2:17" ht="13.8" x14ac:dyDescent="0.2">
      <c r="B43" s="8">
        <f t="shared" si="1"/>
        <v>38</v>
      </c>
      <c r="C43" s="14">
        <v>38</v>
      </c>
      <c r="D43" s="17" t="s">
        <v>2514</v>
      </c>
      <c r="E43" s="15">
        <f t="shared" si="2"/>
        <v>0.20454545454545456</v>
      </c>
      <c r="F43" s="5">
        <v>88</v>
      </c>
      <c r="G43" s="5">
        <v>18</v>
      </c>
      <c r="H43" s="5">
        <v>2</v>
      </c>
      <c r="I43" s="5">
        <v>0</v>
      </c>
      <c r="J43" s="6">
        <v>1</v>
      </c>
      <c r="K43" s="7">
        <v>6</v>
      </c>
      <c r="L43" s="15">
        <f t="shared" si="3"/>
        <v>0.27835051546391754</v>
      </c>
      <c r="M43" s="15">
        <f t="shared" si="4"/>
        <v>0.53971415182755389</v>
      </c>
      <c r="N43" s="31">
        <v>4</v>
      </c>
      <c r="O43" s="32">
        <v>5</v>
      </c>
      <c r="P43" s="33">
        <v>0</v>
      </c>
      <c r="Q43" s="17" t="s">
        <v>858</v>
      </c>
    </row>
    <row r="44" spans="2:17" ht="13.8" x14ac:dyDescent="0.2">
      <c r="B44" s="8">
        <f t="shared" si="1"/>
        <v>39</v>
      </c>
      <c r="C44" s="14">
        <v>39</v>
      </c>
      <c r="D44" s="17" t="s">
        <v>2515</v>
      </c>
      <c r="E44" s="15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7">
        <v>0</v>
      </c>
      <c r="L44" s="15">
        <f t="shared" si="3"/>
        <v>0</v>
      </c>
      <c r="M44" s="15">
        <f t="shared" si="4"/>
        <v>0</v>
      </c>
      <c r="N44" s="31">
        <v>0</v>
      </c>
      <c r="O44" s="32">
        <v>0</v>
      </c>
      <c r="P44" s="33">
        <v>0</v>
      </c>
      <c r="Q44" s="17" t="s">
        <v>2543</v>
      </c>
    </row>
    <row r="45" spans="2:17" ht="13.8" x14ac:dyDescent="0.2">
      <c r="B45" s="8">
        <f t="shared" si="1"/>
        <v>40</v>
      </c>
      <c r="C45" s="14">
        <v>40</v>
      </c>
      <c r="D45" s="17" t="s">
        <v>2516</v>
      </c>
      <c r="E45" s="15">
        <f t="shared" si="2"/>
        <v>0.23684210526315788</v>
      </c>
      <c r="F45" s="5">
        <v>114</v>
      </c>
      <c r="G45" s="5">
        <v>27</v>
      </c>
      <c r="H45" s="5">
        <v>5</v>
      </c>
      <c r="I45" s="5">
        <v>0</v>
      </c>
      <c r="J45" s="6">
        <v>3</v>
      </c>
      <c r="K45" s="7">
        <v>15</v>
      </c>
      <c r="L45" s="15">
        <f t="shared" si="3"/>
        <v>0.29268292682926828</v>
      </c>
      <c r="M45" s="15">
        <f t="shared" si="4"/>
        <v>0.65233204963628588</v>
      </c>
      <c r="N45" s="31">
        <v>7</v>
      </c>
      <c r="O45" s="32">
        <v>2</v>
      </c>
      <c r="P45" s="33">
        <v>0</v>
      </c>
      <c r="Q45" s="17" t="s">
        <v>859</v>
      </c>
    </row>
    <row r="46" spans="2:17" ht="13.8" x14ac:dyDescent="0.2">
      <c r="B46" s="8">
        <f t="shared" si="1"/>
        <v>41</v>
      </c>
      <c r="C46" s="14">
        <v>41</v>
      </c>
      <c r="D46" s="17" t="s">
        <v>2517</v>
      </c>
      <c r="E46" s="15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7">
        <v>0</v>
      </c>
      <c r="L46" s="15">
        <f t="shared" si="3"/>
        <v>0</v>
      </c>
      <c r="M46" s="15">
        <f t="shared" si="4"/>
        <v>0</v>
      </c>
      <c r="N46" s="31">
        <v>0</v>
      </c>
      <c r="O46" s="32">
        <v>0</v>
      </c>
      <c r="P46" s="33">
        <v>0</v>
      </c>
      <c r="Q46" s="17" t="s">
        <v>886</v>
      </c>
    </row>
    <row r="47" spans="2:17" ht="13.8" x14ac:dyDescent="0.2">
      <c r="B47" s="8">
        <f t="shared" si="1"/>
        <v>42</v>
      </c>
      <c r="C47" s="14">
        <v>42</v>
      </c>
      <c r="D47" s="17" t="s">
        <v>1365</v>
      </c>
      <c r="E47" s="15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7">
        <v>0</v>
      </c>
      <c r="L47" s="15">
        <f t="shared" si="3"/>
        <v>0</v>
      </c>
      <c r="M47" s="15">
        <f t="shared" si="4"/>
        <v>0</v>
      </c>
      <c r="N47" s="31">
        <v>0</v>
      </c>
      <c r="O47" s="32">
        <v>0</v>
      </c>
      <c r="P47" s="33">
        <v>0</v>
      </c>
      <c r="Q47" s="17" t="s">
        <v>1365</v>
      </c>
    </row>
    <row r="48" spans="2:17" ht="13.8" x14ac:dyDescent="0.2">
      <c r="B48" s="8">
        <f t="shared" si="1"/>
        <v>43</v>
      </c>
      <c r="C48" s="14">
        <v>43</v>
      </c>
      <c r="D48" s="17" t="s">
        <v>2518</v>
      </c>
      <c r="E48" s="15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7">
        <v>0</v>
      </c>
      <c r="L48" s="15">
        <f t="shared" si="3"/>
        <v>0</v>
      </c>
      <c r="M48" s="15">
        <f t="shared" si="4"/>
        <v>0</v>
      </c>
      <c r="N48" s="31">
        <v>0</v>
      </c>
      <c r="O48" s="32">
        <v>0</v>
      </c>
      <c r="P48" s="33">
        <v>0</v>
      </c>
      <c r="Q48" s="17" t="s">
        <v>804</v>
      </c>
    </row>
    <row r="49" spans="2:17" ht="13.8" x14ac:dyDescent="0.2">
      <c r="B49" s="8">
        <f t="shared" si="1"/>
        <v>44</v>
      </c>
      <c r="C49" s="14">
        <v>44</v>
      </c>
      <c r="D49" s="17" t="s">
        <v>2519</v>
      </c>
      <c r="E49" s="15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7">
        <v>0</v>
      </c>
      <c r="L49" s="15">
        <f t="shared" si="3"/>
        <v>0</v>
      </c>
      <c r="M49" s="15">
        <f t="shared" si="4"/>
        <v>0</v>
      </c>
      <c r="N49" s="31">
        <v>0</v>
      </c>
      <c r="O49" s="32">
        <v>0</v>
      </c>
      <c r="P49" s="33">
        <v>0</v>
      </c>
      <c r="Q49" s="17" t="s">
        <v>860</v>
      </c>
    </row>
    <row r="50" spans="2:17" ht="13.8" x14ac:dyDescent="0.2">
      <c r="B50" s="8">
        <f t="shared" si="1"/>
        <v>45</v>
      </c>
      <c r="C50" s="14">
        <v>45</v>
      </c>
      <c r="D50" s="17" t="s">
        <v>597</v>
      </c>
      <c r="E50" s="15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7">
        <v>0</v>
      </c>
      <c r="L50" s="15">
        <f t="shared" si="3"/>
        <v>0</v>
      </c>
      <c r="M50" s="15">
        <f t="shared" si="4"/>
        <v>0</v>
      </c>
      <c r="N50" s="31">
        <v>0</v>
      </c>
      <c r="O50" s="32">
        <v>0</v>
      </c>
      <c r="P50" s="33">
        <v>0</v>
      </c>
      <c r="Q50" s="17" t="s">
        <v>1382</v>
      </c>
    </row>
    <row r="51" spans="2:17" ht="13.8" x14ac:dyDescent="0.2">
      <c r="B51" s="8">
        <f t="shared" si="1"/>
        <v>46</v>
      </c>
      <c r="C51" s="14">
        <v>46</v>
      </c>
      <c r="D51" s="17" t="s">
        <v>2520</v>
      </c>
      <c r="E51" s="15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7">
        <v>0</v>
      </c>
      <c r="L51" s="15">
        <f t="shared" si="3"/>
        <v>0</v>
      </c>
      <c r="M51" s="15">
        <f t="shared" si="4"/>
        <v>0</v>
      </c>
      <c r="N51" s="31">
        <v>0</v>
      </c>
      <c r="O51" s="32">
        <v>0</v>
      </c>
      <c r="P51" s="33">
        <v>0</v>
      </c>
      <c r="Q51" s="17" t="s">
        <v>2544</v>
      </c>
    </row>
    <row r="52" spans="2:17" ht="13.8" x14ac:dyDescent="0.2">
      <c r="B52" s="8">
        <f t="shared" si="1"/>
        <v>47</v>
      </c>
      <c r="C52" s="14">
        <v>47</v>
      </c>
      <c r="D52" s="17" t="s">
        <v>2521</v>
      </c>
      <c r="E52" s="15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7">
        <v>0</v>
      </c>
      <c r="L52" s="15">
        <f t="shared" si="3"/>
        <v>0</v>
      </c>
      <c r="M52" s="15">
        <f t="shared" si="4"/>
        <v>0</v>
      </c>
      <c r="N52" s="31">
        <v>0</v>
      </c>
      <c r="O52" s="32">
        <v>0</v>
      </c>
      <c r="P52" s="33">
        <v>0</v>
      </c>
      <c r="Q52" s="17" t="s">
        <v>2545</v>
      </c>
    </row>
    <row r="53" spans="2:17" ht="13.8" x14ac:dyDescent="0.2">
      <c r="B53" s="8">
        <f t="shared" si="1"/>
        <v>48</v>
      </c>
      <c r="C53" s="14">
        <v>48</v>
      </c>
      <c r="D53" s="17" t="s">
        <v>1366</v>
      </c>
      <c r="E53" s="15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7">
        <v>0</v>
      </c>
      <c r="L53" s="15">
        <f t="shared" si="3"/>
        <v>0</v>
      </c>
      <c r="M53" s="15">
        <f t="shared" si="4"/>
        <v>0</v>
      </c>
      <c r="N53" s="31">
        <v>0</v>
      </c>
      <c r="O53" s="32">
        <v>0</v>
      </c>
      <c r="P53" s="33">
        <v>0</v>
      </c>
      <c r="Q53" s="17" t="s">
        <v>805</v>
      </c>
    </row>
    <row r="54" spans="2:17" ht="13.8" x14ac:dyDescent="0.2">
      <c r="B54" s="8">
        <f t="shared" si="1"/>
        <v>49</v>
      </c>
      <c r="C54" s="14">
        <v>49</v>
      </c>
      <c r="D54" s="17" t="s">
        <v>2522</v>
      </c>
      <c r="E54" s="15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7">
        <v>0</v>
      </c>
      <c r="L54" s="15">
        <f t="shared" si="3"/>
        <v>0</v>
      </c>
      <c r="M54" s="15">
        <f t="shared" si="4"/>
        <v>0</v>
      </c>
      <c r="N54" s="31">
        <v>0</v>
      </c>
      <c r="O54" s="32">
        <v>0</v>
      </c>
      <c r="P54" s="33">
        <v>0</v>
      </c>
      <c r="Q54" s="17" t="s">
        <v>2546</v>
      </c>
    </row>
    <row r="55" spans="2:17" ht="13.8" x14ac:dyDescent="0.2">
      <c r="B55" s="8">
        <f t="shared" si="1"/>
        <v>50</v>
      </c>
      <c r="C55" s="14">
        <v>50</v>
      </c>
      <c r="D55" s="17" t="s">
        <v>1367</v>
      </c>
      <c r="E55" s="15">
        <f t="shared" si="2"/>
        <v>0.23966942148760331</v>
      </c>
      <c r="F55" s="5">
        <v>121</v>
      </c>
      <c r="G55" s="5">
        <v>29</v>
      </c>
      <c r="H55" s="5">
        <v>3</v>
      </c>
      <c r="I55" s="5">
        <v>0</v>
      </c>
      <c r="J55" s="6">
        <v>3</v>
      </c>
      <c r="K55" s="7">
        <v>10</v>
      </c>
      <c r="L55" s="15">
        <f t="shared" si="3"/>
        <v>0.2846153846153846</v>
      </c>
      <c r="M55" s="15">
        <f t="shared" si="4"/>
        <v>0.62345835982199616</v>
      </c>
      <c r="N55" s="31">
        <v>8</v>
      </c>
      <c r="O55" s="32">
        <v>0</v>
      </c>
      <c r="P55" s="33">
        <v>1</v>
      </c>
      <c r="Q55" s="17" t="s">
        <v>1383</v>
      </c>
    </row>
    <row r="56" spans="2:17" ht="13.8" x14ac:dyDescent="0.2">
      <c r="B56" s="8">
        <f t="shared" si="1"/>
        <v>51</v>
      </c>
      <c r="C56" s="14">
        <v>51</v>
      </c>
      <c r="D56" s="17" t="s">
        <v>2523</v>
      </c>
      <c r="E56" s="15">
        <f t="shared" si="2"/>
        <v>0.26638477801268501</v>
      </c>
      <c r="F56" s="5">
        <v>473</v>
      </c>
      <c r="G56" s="5">
        <v>126</v>
      </c>
      <c r="H56" s="5">
        <v>12</v>
      </c>
      <c r="I56" s="5">
        <v>6</v>
      </c>
      <c r="J56" s="6">
        <v>7</v>
      </c>
      <c r="K56" s="7">
        <v>38</v>
      </c>
      <c r="L56" s="15">
        <f t="shared" si="3"/>
        <v>0.30019880715705766</v>
      </c>
      <c r="M56" s="15">
        <f t="shared" si="4"/>
        <v>0.66172100588855876</v>
      </c>
      <c r="N56" s="31">
        <v>24</v>
      </c>
      <c r="O56" s="32">
        <v>1</v>
      </c>
      <c r="P56" s="33">
        <v>5</v>
      </c>
      <c r="Q56" s="17" t="s">
        <v>861</v>
      </c>
    </row>
    <row r="57" spans="2:17" ht="13.8" x14ac:dyDescent="0.2">
      <c r="B57" s="8">
        <f t="shared" si="1"/>
        <v>52</v>
      </c>
      <c r="C57" s="14">
        <v>52</v>
      </c>
      <c r="D57" s="17" t="s">
        <v>1368</v>
      </c>
      <c r="E57" s="15">
        <f t="shared" si="2"/>
        <v>0.29870129870129869</v>
      </c>
      <c r="F57" s="5">
        <v>77</v>
      </c>
      <c r="G57" s="5">
        <v>23</v>
      </c>
      <c r="H57" s="5">
        <v>3</v>
      </c>
      <c r="I57" s="5">
        <v>1</v>
      </c>
      <c r="J57" s="6">
        <v>2</v>
      </c>
      <c r="K57" s="7">
        <v>14</v>
      </c>
      <c r="L57" s="15">
        <f t="shared" si="3"/>
        <v>0.3</v>
      </c>
      <c r="M57" s="15">
        <f t="shared" si="4"/>
        <v>0.74155844155844153</v>
      </c>
      <c r="N57" s="31">
        <v>1</v>
      </c>
      <c r="O57" s="32">
        <v>0</v>
      </c>
      <c r="P57" s="33">
        <v>2</v>
      </c>
      <c r="Q57" s="17" t="s">
        <v>1384</v>
      </c>
    </row>
    <row r="58" spans="2:17" ht="13.8" x14ac:dyDescent="0.2">
      <c r="B58" s="8">
        <f t="shared" si="1"/>
        <v>53</v>
      </c>
      <c r="C58" s="14">
        <v>53</v>
      </c>
      <c r="D58" s="17" t="s">
        <v>2524</v>
      </c>
      <c r="E58" s="15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7">
        <v>0</v>
      </c>
      <c r="L58" s="15">
        <f t="shared" si="3"/>
        <v>0</v>
      </c>
      <c r="M58" s="15">
        <f t="shared" si="4"/>
        <v>0</v>
      </c>
      <c r="N58" s="31">
        <v>0</v>
      </c>
      <c r="O58" s="32">
        <v>0</v>
      </c>
      <c r="P58" s="33">
        <v>0</v>
      </c>
      <c r="Q58" s="17" t="s">
        <v>887</v>
      </c>
    </row>
    <row r="59" spans="2:17" ht="13.8" x14ac:dyDescent="0.2">
      <c r="B59" s="8">
        <f t="shared" si="1"/>
        <v>54</v>
      </c>
      <c r="C59" s="14">
        <v>54</v>
      </c>
      <c r="D59" s="17" t="s">
        <v>2525</v>
      </c>
      <c r="E59" s="15">
        <f t="shared" si="2"/>
        <v>0.1</v>
      </c>
      <c r="F59" s="5">
        <v>10</v>
      </c>
      <c r="G59" s="5">
        <v>1</v>
      </c>
      <c r="H59" s="5">
        <v>0</v>
      </c>
      <c r="I59" s="5">
        <v>0</v>
      </c>
      <c r="J59" s="6">
        <v>0</v>
      </c>
      <c r="K59" s="7">
        <v>0</v>
      </c>
      <c r="L59" s="15">
        <f t="shared" si="3"/>
        <v>0.18181818181818182</v>
      </c>
      <c r="M59" s="15">
        <f t="shared" si="4"/>
        <v>0.28181818181818186</v>
      </c>
      <c r="N59" s="31">
        <v>1</v>
      </c>
      <c r="O59" s="32">
        <v>0</v>
      </c>
      <c r="P59" s="33">
        <v>0</v>
      </c>
      <c r="Q59" s="17" t="s">
        <v>862</v>
      </c>
    </row>
    <row r="60" spans="2:17" ht="13.8" x14ac:dyDescent="0.2">
      <c r="B60" s="8">
        <f t="shared" si="1"/>
        <v>55</v>
      </c>
      <c r="C60" s="14">
        <v>55</v>
      </c>
      <c r="D60" s="17" t="s">
        <v>2526</v>
      </c>
      <c r="E60" s="15">
        <f t="shared" si="2"/>
        <v>0.21710526315789475</v>
      </c>
      <c r="F60" s="5">
        <v>152</v>
      </c>
      <c r="G60" s="5">
        <v>33</v>
      </c>
      <c r="H60" s="5">
        <v>7</v>
      </c>
      <c r="I60" s="5">
        <v>0</v>
      </c>
      <c r="J60" s="6">
        <v>2</v>
      </c>
      <c r="K60" s="7">
        <v>23</v>
      </c>
      <c r="L60" s="15">
        <f t="shared" si="3"/>
        <v>0.26506024096385544</v>
      </c>
      <c r="M60" s="15">
        <f t="shared" si="4"/>
        <v>0.56769181991122386</v>
      </c>
      <c r="N60" s="31">
        <v>11</v>
      </c>
      <c r="O60" s="32">
        <v>0</v>
      </c>
      <c r="P60" s="33">
        <v>3</v>
      </c>
      <c r="Q60" s="17" t="s">
        <v>863</v>
      </c>
    </row>
    <row r="61" spans="2:17" ht="13.8" x14ac:dyDescent="0.2">
      <c r="B61" s="8">
        <f t="shared" si="1"/>
        <v>56</v>
      </c>
      <c r="C61" s="14">
        <v>56</v>
      </c>
      <c r="D61" s="17" t="s">
        <v>2527</v>
      </c>
      <c r="E61" s="15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7">
        <v>0</v>
      </c>
      <c r="L61" s="15">
        <f t="shared" si="3"/>
        <v>0</v>
      </c>
      <c r="M61" s="15">
        <f t="shared" si="4"/>
        <v>0</v>
      </c>
      <c r="N61" s="31">
        <v>0</v>
      </c>
      <c r="O61" s="32">
        <v>0</v>
      </c>
      <c r="P61" s="33">
        <v>0</v>
      </c>
      <c r="Q61" s="17" t="s">
        <v>2547</v>
      </c>
    </row>
    <row r="62" spans="2:17" ht="13.8" x14ac:dyDescent="0.2">
      <c r="B62" s="8">
        <f t="shared" si="1"/>
        <v>57</v>
      </c>
      <c r="C62" s="14">
        <v>57</v>
      </c>
      <c r="D62" s="17" t="s">
        <v>1376</v>
      </c>
      <c r="E62" s="15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7">
        <v>0</v>
      </c>
      <c r="L62" s="15">
        <f t="shared" si="3"/>
        <v>0</v>
      </c>
      <c r="M62" s="15">
        <f t="shared" si="4"/>
        <v>0</v>
      </c>
      <c r="N62" s="31">
        <v>0</v>
      </c>
      <c r="O62" s="32">
        <v>0</v>
      </c>
      <c r="P62" s="33">
        <v>0</v>
      </c>
      <c r="Q62" s="17" t="s">
        <v>869</v>
      </c>
    </row>
    <row r="63" spans="2:17" ht="13.8" x14ac:dyDescent="0.2">
      <c r="B63" s="8">
        <f t="shared" si="1"/>
        <v>58</v>
      </c>
      <c r="C63" s="14">
        <v>58</v>
      </c>
      <c r="D63" s="17" t="s">
        <v>2528</v>
      </c>
      <c r="E63" s="15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7">
        <v>0</v>
      </c>
      <c r="L63" s="15">
        <f t="shared" si="3"/>
        <v>0</v>
      </c>
      <c r="M63" s="15">
        <f t="shared" si="4"/>
        <v>0</v>
      </c>
      <c r="N63" s="31">
        <v>0</v>
      </c>
      <c r="O63" s="32">
        <v>0</v>
      </c>
      <c r="P63" s="33">
        <v>0</v>
      </c>
      <c r="Q63" s="17" t="s">
        <v>888</v>
      </c>
    </row>
    <row r="64" spans="2:17" ht="13.8" x14ac:dyDescent="0.2">
      <c r="B64" s="8">
        <f t="shared" si="1"/>
        <v>59</v>
      </c>
      <c r="C64" s="14">
        <v>59</v>
      </c>
      <c r="D64" s="17" t="s">
        <v>2529</v>
      </c>
      <c r="E64" s="15">
        <f t="shared" si="2"/>
        <v>0.20289855072463769</v>
      </c>
      <c r="F64" s="5">
        <v>69</v>
      </c>
      <c r="G64" s="5">
        <v>14</v>
      </c>
      <c r="H64" s="5">
        <v>2</v>
      </c>
      <c r="I64" s="5">
        <v>2</v>
      </c>
      <c r="J64" s="6">
        <v>1</v>
      </c>
      <c r="K64" s="7">
        <v>3</v>
      </c>
      <c r="L64" s="15">
        <f t="shared" si="3"/>
        <v>0.27631578947368424</v>
      </c>
      <c r="M64" s="15">
        <f t="shared" si="4"/>
        <v>0.60964912280701755</v>
      </c>
      <c r="N64" s="31">
        <v>6</v>
      </c>
      <c r="O64" s="32">
        <v>1</v>
      </c>
      <c r="P64" s="33">
        <v>0</v>
      </c>
      <c r="Q64" s="17" t="s">
        <v>864</v>
      </c>
    </row>
    <row r="65" spans="2:17" ht="13.8" x14ac:dyDescent="0.2">
      <c r="B65" s="8">
        <f t="shared" si="1"/>
        <v>60</v>
      </c>
      <c r="C65" s="14">
        <v>60</v>
      </c>
      <c r="D65" s="17" t="s">
        <v>1369</v>
      </c>
      <c r="E65" s="15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7">
        <v>0</v>
      </c>
      <c r="L65" s="15">
        <f t="shared" si="3"/>
        <v>0</v>
      </c>
      <c r="M65" s="15">
        <f t="shared" si="4"/>
        <v>0</v>
      </c>
      <c r="N65" s="31">
        <v>0</v>
      </c>
      <c r="O65" s="32">
        <v>0</v>
      </c>
      <c r="P65" s="33">
        <v>0</v>
      </c>
      <c r="Q65" s="17" t="s">
        <v>1385</v>
      </c>
    </row>
    <row r="66" spans="2:17" ht="13.8" x14ac:dyDescent="0.2">
      <c r="B66" s="8">
        <f t="shared" si="1"/>
        <v>61</v>
      </c>
      <c r="C66" s="14">
        <v>61</v>
      </c>
      <c r="D66" s="17" t="s">
        <v>2530</v>
      </c>
      <c r="E66" s="15">
        <f t="shared" si="2"/>
        <v>0.19402985074626866</v>
      </c>
      <c r="F66" s="5">
        <v>67</v>
      </c>
      <c r="G66" s="5">
        <v>13</v>
      </c>
      <c r="H66" s="5">
        <v>0</v>
      </c>
      <c r="I66" s="5">
        <v>0</v>
      </c>
      <c r="J66" s="6">
        <v>2</v>
      </c>
      <c r="K66" s="7">
        <v>5</v>
      </c>
      <c r="L66" s="15">
        <f t="shared" si="3"/>
        <v>0.28000000000000003</v>
      </c>
      <c r="M66" s="15">
        <f t="shared" si="4"/>
        <v>0.56358208955223876</v>
      </c>
      <c r="N66" s="31">
        <v>7</v>
      </c>
      <c r="O66" s="32">
        <v>1</v>
      </c>
      <c r="P66" s="33">
        <v>0</v>
      </c>
      <c r="Q66" s="17" t="s">
        <v>865</v>
      </c>
    </row>
    <row r="67" spans="2:17" ht="13.8" x14ac:dyDescent="0.2">
      <c r="B67" s="8">
        <f t="shared" si="1"/>
        <v>62</v>
      </c>
      <c r="C67" s="14">
        <v>62</v>
      </c>
      <c r="D67" s="17" t="s">
        <v>2531</v>
      </c>
      <c r="E67" s="15">
        <f t="shared" si="2"/>
        <v>0.15384615384615385</v>
      </c>
      <c r="F67" s="5">
        <v>13</v>
      </c>
      <c r="G67" s="5">
        <v>2</v>
      </c>
      <c r="H67" s="5">
        <v>0</v>
      </c>
      <c r="I67" s="5">
        <v>0</v>
      </c>
      <c r="J67" s="6">
        <v>0</v>
      </c>
      <c r="K67" s="7">
        <v>0</v>
      </c>
      <c r="L67" s="15">
        <f t="shared" si="3"/>
        <v>0.21428571428571427</v>
      </c>
      <c r="M67" s="15">
        <f t="shared" si="4"/>
        <v>0.36813186813186816</v>
      </c>
      <c r="N67" s="31">
        <v>1</v>
      </c>
      <c r="O67" s="32">
        <v>0</v>
      </c>
      <c r="P67" s="33">
        <v>0</v>
      </c>
      <c r="Q67" s="17" t="s">
        <v>2548</v>
      </c>
    </row>
    <row r="68" spans="2:17" ht="13.8" x14ac:dyDescent="0.2">
      <c r="B68" s="8">
        <f t="shared" si="1"/>
        <v>63</v>
      </c>
      <c r="C68" s="14">
        <v>63</v>
      </c>
      <c r="D68" s="17" t="s">
        <v>2532</v>
      </c>
      <c r="E68" s="15">
        <f t="shared" si="2"/>
        <v>0.31538461538461537</v>
      </c>
      <c r="F68" s="5">
        <v>390</v>
      </c>
      <c r="G68" s="5">
        <v>123</v>
      </c>
      <c r="H68" s="5">
        <v>19</v>
      </c>
      <c r="I68" s="5">
        <v>3</v>
      </c>
      <c r="J68" s="6">
        <v>10</v>
      </c>
      <c r="K68" s="7">
        <v>53</v>
      </c>
      <c r="L68" s="15">
        <f t="shared" si="3"/>
        <v>0.36556603773584906</v>
      </c>
      <c r="M68" s="15">
        <f t="shared" si="4"/>
        <v>0.82197629414610551</v>
      </c>
      <c r="N68" s="31">
        <v>30</v>
      </c>
      <c r="O68" s="32">
        <v>2</v>
      </c>
      <c r="P68" s="33">
        <v>2</v>
      </c>
      <c r="Q68" s="17" t="s">
        <v>2552</v>
      </c>
    </row>
    <row r="69" spans="2:17" ht="13.8" x14ac:dyDescent="0.2">
      <c r="B69" s="8">
        <f t="shared" ref="B69:B132" si="5">IF(C69="","",C69)</f>
        <v>64</v>
      </c>
      <c r="C69" s="14">
        <v>64</v>
      </c>
      <c r="D69" s="17" t="s">
        <v>1370</v>
      </c>
      <c r="E69" s="15" t="str">
        <f t="shared" ref="E69:E132" si="6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7">
        <v>0</v>
      </c>
      <c r="L69" s="15">
        <f t="shared" ref="L69:L132" si="7">IFERROR(IF((G69+N69+O69)/(F69+N69+O69+P69)=1,"1.00",(G69+N69+O69)/(F69+N69+O69+P69)),0)</f>
        <v>0</v>
      </c>
      <c r="M69" s="15">
        <f t="shared" ref="M69:M132" si="8">IFERROR(SUM(SUM(((G69-H69-I69-J69)*1),H69*2,I69*3,J69*4)/F69,((G69+N69+O69)/(F69+N69+O69+P69))),L69)</f>
        <v>0</v>
      </c>
      <c r="N69" s="31">
        <v>0</v>
      </c>
      <c r="O69" s="32">
        <v>0</v>
      </c>
      <c r="P69" s="33">
        <v>0</v>
      </c>
      <c r="Q69" s="17" t="s">
        <v>1386</v>
      </c>
    </row>
    <row r="70" spans="2:17" ht="13.8" x14ac:dyDescent="0.2">
      <c r="B70" s="8">
        <f t="shared" si="5"/>
        <v>65</v>
      </c>
      <c r="C70" s="14">
        <v>65</v>
      </c>
      <c r="D70" s="17" t="s">
        <v>2533</v>
      </c>
      <c r="E70" s="15" t="str">
        <f t="shared" si="6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7">
        <v>0</v>
      </c>
      <c r="L70" s="15">
        <f t="shared" si="7"/>
        <v>0</v>
      </c>
      <c r="M70" s="15">
        <f t="shared" si="8"/>
        <v>0</v>
      </c>
      <c r="N70" s="31">
        <v>0</v>
      </c>
      <c r="O70" s="32">
        <v>0</v>
      </c>
      <c r="P70" s="33">
        <v>0</v>
      </c>
      <c r="Q70" s="17" t="s">
        <v>889</v>
      </c>
    </row>
    <row r="71" spans="2:17" ht="13.8" x14ac:dyDescent="0.2">
      <c r="B71" s="8">
        <f t="shared" si="5"/>
        <v>66</v>
      </c>
      <c r="C71" s="14">
        <v>66</v>
      </c>
      <c r="D71" s="17" t="s">
        <v>2534</v>
      </c>
      <c r="E71" s="15" t="str">
        <f t="shared" si="6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7">
        <v>0</v>
      </c>
      <c r="L71" s="15">
        <f t="shared" si="7"/>
        <v>0</v>
      </c>
      <c r="M71" s="15">
        <f t="shared" si="8"/>
        <v>0</v>
      </c>
      <c r="N71" s="31">
        <v>0</v>
      </c>
      <c r="O71" s="32">
        <v>0</v>
      </c>
      <c r="P71" s="33">
        <v>0</v>
      </c>
      <c r="Q71" s="17" t="s">
        <v>890</v>
      </c>
    </row>
    <row r="72" spans="2:17" ht="13.8" x14ac:dyDescent="0.2">
      <c r="B72" s="8">
        <f t="shared" si="5"/>
        <v>67</v>
      </c>
      <c r="C72" s="14">
        <v>67</v>
      </c>
      <c r="D72" s="17" t="s">
        <v>2535</v>
      </c>
      <c r="E72" s="15" t="str">
        <f t="shared" si="6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7">
        <v>0</v>
      </c>
      <c r="L72" s="15">
        <f t="shared" si="7"/>
        <v>0</v>
      </c>
      <c r="M72" s="15">
        <f t="shared" si="8"/>
        <v>0</v>
      </c>
      <c r="N72" s="31">
        <v>0</v>
      </c>
      <c r="O72" s="32">
        <v>0</v>
      </c>
      <c r="P72" s="33">
        <v>0</v>
      </c>
      <c r="Q72" s="17" t="s">
        <v>891</v>
      </c>
    </row>
    <row r="73" spans="2:17" ht="13.8" x14ac:dyDescent="0.2">
      <c r="B73" s="8">
        <f t="shared" si="5"/>
        <v>68</v>
      </c>
      <c r="C73" s="14">
        <v>68</v>
      </c>
      <c r="D73" s="17" t="s">
        <v>1371</v>
      </c>
      <c r="E73" s="15" t="str">
        <f t="shared" si="6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7">
        <v>0</v>
      </c>
      <c r="L73" s="15">
        <f t="shared" si="7"/>
        <v>0</v>
      </c>
      <c r="M73" s="15">
        <f t="shared" si="8"/>
        <v>0</v>
      </c>
      <c r="N73" s="31">
        <v>0</v>
      </c>
      <c r="O73" s="32">
        <v>0</v>
      </c>
      <c r="P73" s="33">
        <v>0</v>
      </c>
      <c r="Q73" s="17" t="s">
        <v>1371</v>
      </c>
    </row>
    <row r="74" spans="2:17" ht="13.8" x14ac:dyDescent="0.2">
      <c r="B74" s="8">
        <f t="shared" si="5"/>
        <v>69</v>
      </c>
      <c r="C74" s="14">
        <v>69</v>
      </c>
      <c r="D74" s="17" t="s">
        <v>2536</v>
      </c>
      <c r="E74" s="15">
        <f t="shared" si="6"/>
        <v>0.24468085106382978</v>
      </c>
      <c r="F74" s="5">
        <v>94</v>
      </c>
      <c r="G74" s="5">
        <v>23</v>
      </c>
      <c r="H74" s="5">
        <v>5</v>
      </c>
      <c r="I74" s="5">
        <v>2</v>
      </c>
      <c r="J74" s="6">
        <v>0</v>
      </c>
      <c r="K74" s="7">
        <v>10</v>
      </c>
      <c r="L74" s="15">
        <f t="shared" si="7"/>
        <v>0.27551020408163263</v>
      </c>
      <c r="M74" s="15">
        <f t="shared" si="8"/>
        <v>0.61593573599652629</v>
      </c>
      <c r="N74" s="31">
        <v>4</v>
      </c>
      <c r="O74" s="32">
        <v>0</v>
      </c>
      <c r="P74" s="33">
        <v>0</v>
      </c>
      <c r="Q74" s="17" t="s">
        <v>806</v>
      </c>
    </row>
    <row r="75" spans="2:17" ht="13.8" x14ac:dyDescent="0.2">
      <c r="B75" s="8">
        <f t="shared" si="5"/>
        <v>70</v>
      </c>
      <c r="C75" s="14">
        <v>70</v>
      </c>
      <c r="D75" s="17"/>
      <c r="E75" s="15" t="str">
        <f t="shared" si="6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7">
        <v>0</v>
      </c>
      <c r="L75" s="15">
        <f t="shared" si="7"/>
        <v>0</v>
      </c>
      <c r="M75" s="15">
        <f t="shared" si="8"/>
        <v>0</v>
      </c>
      <c r="N75" s="31">
        <v>0</v>
      </c>
      <c r="O75" s="32">
        <v>0</v>
      </c>
      <c r="P75" s="33">
        <v>0</v>
      </c>
      <c r="Q75" s="17"/>
    </row>
    <row r="76" spans="2:17" ht="13.8" x14ac:dyDescent="0.2">
      <c r="B76" s="8">
        <f t="shared" si="5"/>
        <v>71</v>
      </c>
      <c r="C76" s="14">
        <v>71</v>
      </c>
      <c r="D76" s="17"/>
      <c r="E76" s="15" t="str">
        <f t="shared" si="6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7">
        <v>0</v>
      </c>
      <c r="L76" s="15">
        <f t="shared" si="7"/>
        <v>0</v>
      </c>
      <c r="M76" s="15">
        <f t="shared" si="8"/>
        <v>0</v>
      </c>
      <c r="N76" s="31">
        <v>0</v>
      </c>
      <c r="O76" s="32">
        <v>0</v>
      </c>
      <c r="P76" s="33">
        <v>0</v>
      </c>
      <c r="Q76" s="17" t="s">
        <v>736</v>
      </c>
    </row>
    <row r="77" spans="2:17" ht="13.8" x14ac:dyDescent="0.2">
      <c r="B77" s="8">
        <f t="shared" si="5"/>
        <v>72</v>
      </c>
      <c r="C77" s="14">
        <v>72</v>
      </c>
      <c r="D77" s="17"/>
      <c r="E77" s="15" t="str">
        <f t="shared" si="6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7">
        <v>0</v>
      </c>
      <c r="L77" s="15">
        <f t="shared" si="7"/>
        <v>0</v>
      </c>
      <c r="M77" s="15">
        <f t="shared" si="8"/>
        <v>0</v>
      </c>
      <c r="N77" s="31">
        <v>0</v>
      </c>
      <c r="O77" s="32">
        <v>0</v>
      </c>
      <c r="P77" s="33">
        <v>0</v>
      </c>
      <c r="Q77" s="17" t="s">
        <v>736</v>
      </c>
    </row>
    <row r="78" spans="2:17" ht="13.8" x14ac:dyDescent="0.2">
      <c r="B78" s="8">
        <f t="shared" si="5"/>
        <v>73</v>
      </c>
      <c r="C78" s="14">
        <v>73</v>
      </c>
      <c r="D78" s="17"/>
      <c r="E78" s="15" t="str">
        <f t="shared" si="6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7">
        <v>0</v>
      </c>
      <c r="L78" s="15">
        <f t="shared" si="7"/>
        <v>0</v>
      </c>
      <c r="M78" s="15">
        <f t="shared" si="8"/>
        <v>0</v>
      </c>
      <c r="N78" s="31">
        <v>0</v>
      </c>
      <c r="O78" s="32">
        <v>0</v>
      </c>
      <c r="P78" s="33">
        <v>0</v>
      </c>
      <c r="Q78" s="17" t="s">
        <v>736</v>
      </c>
    </row>
    <row r="79" spans="2:17" ht="13.8" x14ac:dyDescent="0.2">
      <c r="B79" s="8">
        <f t="shared" si="5"/>
        <v>74</v>
      </c>
      <c r="C79" s="14">
        <v>74</v>
      </c>
      <c r="D79" s="17"/>
      <c r="E79" s="15" t="str">
        <f t="shared" si="6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7">
        <v>0</v>
      </c>
      <c r="L79" s="15">
        <f t="shared" si="7"/>
        <v>0</v>
      </c>
      <c r="M79" s="15">
        <f t="shared" si="8"/>
        <v>0</v>
      </c>
      <c r="N79" s="31">
        <v>0</v>
      </c>
      <c r="O79" s="32">
        <v>0</v>
      </c>
      <c r="P79" s="33">
        <v>0</v>
      </c>
      <c r="Q79" s="17" t="s">
        <v>736</v>
      </c>
    </row>
    <row r="80" spans="2:17" ht="13.8" x14ac:dyDescent="0.2">
      <c r="B80" s="8">
        <f t="shared" si="5"/>
        <v>75</v>
      </c>
      <c r="C80" s="14">
        <v>75</v>
      </c>
      <c r="D80" s="17"/>
      <c r="E80" s="15" t="str">
        <f t="shared" si="6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7">
        <v>0</v>
      </c>
      <c r="L80" s="15">
        <f t="shared" si="7"/>
        <v>0</v>
      </c>
      <c r="M80" s="15">
        <f t="shared" si="8"/>
        <v>0</v>
      </c>
      <c r="N80" s="31">
        <v>0</v>
      </c>
      <c r="O80" s="32">
        <v>0</v>
      </c>
      <c r="P80" s="33">
        <v>0</v>
      </c>
      <c r="Q80" s="17" t="s">
        <v>736</v>
      </c>
    </row>
    <row r="81" spans="2:17" ht="13.8" x14ac:dyDescent="0.2">
      <c r="B81" s="8">
        <f t="shared" si="5"/>
        <v>76</v>
      </c>
      <c r="C81" s="14">
        <v>76</v>
      </c>
      <c r="D81" s="17"/>
      <c r="E81" s="15" t="str">
        <f t="shared" si="6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7">
        <v>0</v>
      </c>
      <c r="L81" s="15">
        <f t="shared" si="7"/>
        <v>0</v>
      </c>
      <c r="M81" s="15">
        <f t="shared" si="8"/>
        <v>0</v>
      </c>
      <c r="N81" s="31">
        <v>0</v>
      </c>
      <c r="O81" s="32">
        <v>0</v>
      </c>
      <c r="P81" s="33">
        <v>0</v>
      </c>
      <c r="Q81" s="17" t="s">
        <v>736</v>
      </c>
    </row>
    <row r="82" spans="2:17" ht="13.8" x14ac:dyDescent="0.2">
      <c r="B82" s="8">
        <f t="shared" si="5"/>
        <v>77</v>
      </c>
      <c r="C82" s="14">
        <v>77</v>
      </c>
      <c r="D82" s="17"/>
      <c r="E82" s="15" t="str">
        <f t="shared" si="6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7">
        <v>0</v>
      </c>
      <c r="L82" s="15">
        <f t="shared" si="7"/>
        <v>0</v>
      </c>
      <c r="M82" s="15">
        <f t="shared" si="8"/>
        <v>0</v>
      </c>
      <c r="N82" s="31">
        <v>0</v>
      </c>
      <c r="O82" s="32">
        <v>0</v>
      </c>
      <c r="P82" s="33">
        <v>0</v>
      </c>
      <c r="Q82" s="17" t="s">
        <v>736</v>
      </c>
    </row>
    <row r="83" spans="2:17" ht="13.8" x14ac:dyDescent="0.2">
      <c r="B83" s="8">
        <f t="shared" si="5"/>
        <v>78</v>
      </c>
      <c r="C83" s="14">
        <v>78</v>
      </c>
      <c r="D83" s="17"/>
      <c r="E83" s="15" t="str">
        <f t="shared" si="6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7">
        <v>0</v>
      </c>
      <c r="L83" s="15">
        <f t="shared" si="7"/>
        <v>0</v>
      </c>
      <c r="M83" s="15">
        <f t="shared" si="8"/>
        <v>0</v>
      </c>
      <c r="N83" s="31">
        <v>0</v>
      </c>
      <c r="O83" s="32">
        <v>0</v>
      </c>
      <c r="P83" s="33">
        <v>0</v>
      </c>
      <c r="Q83" s="17" t="s">
        <v>736</v>
      </c>
    </row>
    <row r="84" spans="2:17" ht="13.8" x14ac:dyDescent="0.2">
      <c r="B84" s="8">
        <f t="shared" si="5"/>
        <v>79</v>
      </c>
      <c r="C84" s="14">
        <v>79</v>
      </c>
      <c r="D84" s="17"/>
      <c r="E84" s="15" t="str">
        <f t="shared" si="6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7">
        <v>0</v>
      </c>
      <c r="L84" s="15">
        <f t="shared" si="7"/>
        <v>0</v>
      </c>
      <c r="M84" s="15">
        <f t="shared" si="8"/>
        <v>0</v>
      </c>
      <c r="N84" s="31">
        <v>0</v>
      </c>
      <c r="O84" s="32">
        <v>0</v>
      </c>
      <c r="P84" s="33">
        <v>0</v>
      </c>
      <c r="Q84" s="17" t="s">
        <v>736</v>
      </c>
    </row>
    <row r="85" spans="2:17" ht="13.8" x14ac:dyDescent="0.2">
      <c r="B85" s="8">
        <f t="shared" si="5"/>
        <v>80</v>
      </c>
      <c r="C85" s="14">
        <v>80</v>
      </c>
      <c r="D85" s="17"/>
      <c r="E85" s="15" t="str">
        <f t="shared" si="6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7">
        <v>0</v>
      </c>
      <c r="L85" s="15">
        <f t="shared" si="7"/>
        <v>0</v>
      </c>
      <c r="M85" s="15">
        <f t="shared" si="8"/>
        <v>0</v>
      </c>
      <c r="N85" s="31">
        <v>0</v>
      </c>
      <c r="O85" s="32">
        <v>0</v>
      </c>
      <c r="P85" s="33">
        <v>0</v>
      </c>
      <c r="Q85" s="17" t="s">
        <v>736</v>
      </c>
    </row>
    <row r="86" spans="2:17" ht="13.8" x14ac:dyDescent="0.2">
      <c r="B86" s="8">
        <f t="shared" si="5"/>
        <v>81</v>
      </c>
      <c r="C86" s="14">
        <v>81</v>
      </c>
      <c r="D86" s="17"/>
      <c r="E86" s="15" t="str">
        <f t="shared" si="6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7">
        <v>0</v>
      </c>
      <c r="L86" s="15">
        <f t="shared" si="7"/>
        <v>0</v>
      </c>
      <c r="M86" s="15">
        <f t="shared" si="8"/>
        <v>0</v>
      </c>
      <c r="N86" s="31">
        <v>0</v>
      </c>
      <c r="O86" s="32">
        <v>0</v>
      </c>
      <c r="P86" s="33">
        <v>0</v>
      </c>
      <c r="Q86" s="17" t="s">
        <v>736</v>
      </c>
    </row>
    <row r="87" spans="2:17" ht="13.8" x14ac:dyDescent="0.2">
      <c r="B87" s="8">
        <f t="shared" si="5"/>
        <v>82</v>
      </c>
      <c r="C87" s="14">
        <v>82</v>
      </c>
      <c r="D87" s="17"/>
      <c r="E87" s="15" t="str">
        <f t="shared" si="6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7">
        <v>0</v>
      </c>
      <c r="L87" s="15">
        <f t="shared" si="7"/>
        <v>0</v>
      </c>
      <c r="M87" s="15">
        <f t="shared" si="8"/>
        <v>0</v>
      </c>
      <c r="N87" s="31">
        <v>0</v>
      </c>
      <c r="O87" s="32">
        <v>0</v>
      </c>
      <c r="P87" s="33">
        <v>0</v>
      </c>
      <c r="Q87" s="17" t="s">
        <v>736</v>
      </c>
    </row>
    <row r="88" spans="2:17" ht="13.8" x14ac:dyDescent="0.2">
      <c r="B88" s="8">
        <f t="shared" si="5"/>
        <v>83</v>
      </c>
      <c r="C88" s="14">
        <v>83</v>
      </c>
      <c r="D88" s="17"/>
      <c r="E88" s="15" t="str">
        <f t="shared" si="6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7">
        <v>0</v>
      </c>
      <c r="L88" s="15">
        <f t="shared" si="7"/>
        <v>0</v>
      </c>
      <c r="M88" s="15">
        <f t="shared" si="8"/>
        <v>0</v>
      </c>
      <c r="N88" s="31">
        <v>0</v>
      </c>
      <c r="O88" s="32">
        <v>0</v>
      </c>
      <c r="P88" s="33">
        <v>0</v>
      </c>
      <c r="Q88" s="17" t="s">
        <v>736</v>
      </c>
    </row>
    <row r="89" spans="2:17" ht="13.8" x14ac:dyDescent="0.2">
      <c r="B89" s="8">
        <f t="shared" si="5"/>
        <v>84</v>
      </c>
      <c r="C89" s="14">
        <v>84</v>
      </c>
      <c r="D89" s="17"/>
      <c r="E89" s="15" t="str">
        <f t="shared" si="6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7">
        <v>0</v>
      </c>
      <c r="L89" s="15">
        <f t="shared" si="7"/>
        <v>0</v>
      </c>
      <c r="M89" s="15">
        <f t="shared" si="8"/>
        <v>0</v>
      </c>
      <c r="N89" s="31">
        <v>0</v>
      </c>
      <c r="O89" s="32">
        <v>0</v>
      </c>
      <c r="P89" s="33">
        <v>0</v>
      </c>
      <c r="Q89" s="17" t="s">
        <v>736</v>
      </c>
    </row>
    <row r="90" spans="2:17" ht="13.8" x14ac:dyDescent="0.2">
      <c r="B90" s="8">
        <f t="shared" si="5"/>
        <v>85</v>
      </c>
      <c r="C90" s="14">
        <v>85</v>
      </c>
      <c r="D90" s="17"/>
      <c r="E90" s="15" t="str">
        <f t="shared" si="6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7">
        <v>0</v>
      </c>
      <c r="L90" s="15">
        <f t="shared" si="7"/>
        <v>0</v>
      </c>
      <c r="M90" s="15">
        <f t="shared" si="8"/>
        <v>0</v>
      </c>
      <c r="N90" s="31">
        <v>0</v>
      </c>
      <c r="O90" s="32">
        <v>0</v>
      </c>
      <c r="P90" s="33">
        <v>0</v>
      </c>
      <c r="Q90" s="17" t="s">
        <v>736</v>
      </c>
    </row>
    <row r="91" spans="2:17" ht="13.8" x14ac:dyDescent="0.2">
      <c r="B91" s="8">
        <f t="shared" si="5"/>
        <v>86</v>
      </c>
      <c r="C91" s="14">
        <v>86</v>
      </c>
      <c r="D91" s="17"/>
      <c r="E91" s="15" t="str">
        <f t="shared" si="6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7">
        <v>0</v>
      </c>
      <c r="L91" s="15">
        <f t="shared" si="7"/>
        <v>0</v>
      </c>
      <c r="M91" s="15">
        <f t="shared" si="8"/>
        <v>0</v>
      </c>
      <c r="N91" s="31">
        <v>0</v>
      </c>
      <c r="O91" s="32">
        <v>0</v>
      </c>
      <c r="P91" s="33">
        <v>0</v>
      </c>
      <c r="Q91" s="17" t="s">
        <v>736</v>
      </c>
    </row>
    <row r="92" spans="2:17" ht="13.8" x14ac:dyDescent="0.2">
      <c r="B92" s="8">
        <f t="shared" si="5"/>
        <v>87</v>
      </c>
      <c r="C92" s="14">
        <v>87</v>
      </c>
      <c r="D92" s="17"/>
      <c r="E92" s="15" t="str">
        <f t="shared" si="6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7">
        <v>0</v>
      </c>
      <c r="L92" s="15">
        <f t="shared" si="7"/>
        <v>0</v>
      </c>
      <c r="M92" s="15">
        <f t="shared" si="8"/>
        <v>0</v>
      </c>
      <c r="N92" s="31">
        <v>0</v>
      </c>
      <c r="O92" s="32">
        <v>0</v>
      </c>
      <c r="P92" s="33">
        <v>0</v>
      </c>
      <c r="Q92" s="17" t="s">
        <v>736</v>
      </c>
    </row>
    <row r="93" spans="2:17" ht="13.8" x14ac:dyDescent="0.2">
      <c r="B93" s="8">
        <f t="shared" si="5"/>
        <v>88</v>
      </c>
      <c r="C93" s="14">
        <v>88</v>
      </c>
      <c r="D93" s="17"/>
      <c r="E93" s="15" t="str">
        <f t="shared" si="6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7">
        <v>0</v>
      </c>
      <c r="L93" s="15">
        <f t="shared" si="7"/>
        <v>0</v>
      </c>
      <c r="M93" s="15">
        <f t="shared" si="8"/>
        <v>0</v>
      </c>
      <c r="N93" s="31">
        <v>0</v>
      </c>
      <c r="O93" s="32">
        <v>0</v>
      </c>
      <c r="P93" s="33">
        <v>0</v>
      </c>
      <c r="Q93" s="17" t="s">
        <v>736</v>
      </c>
    </row>
    <row r="94" spans="2:17" ht="13.8" x14ac:dyDescent="0.2">
      <c r="B94" s="8">
        <f t="shared" si="5"/>
        <v>89</v>
      </c>
      <c r="C94" s="14">
        <v>89</v>
      </c>
      <c r="D94" s="17"/>
      <c r="E94" s="15" t="str">
        <f t="shared" si="6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7">
        <v>0</v>
      </c>
      <c r="L94" s="15">
        <f t="shared" si="7"/>
        <v>0</v>
      </c>
      <c r="M94" s="15">
        <f t="shared" si="8"/>
        <v>0</v>
      </c>
      <c r="N94" s="31">
        <v>0</v>
      </c>
      <c r="O94" s="32">
        <v>0</v>
      </c>
      <c r="P94" s="33">
        <v>0</v>
      </c>
      <c r="Q94" s="17" t="s">
        <v>736</v>
      </c>
    </row>
    <row r="95" spans="2:17" ht="13.8" x14ac:dyDescent="0.2">
      <c r="B95" s="8">
        <f t="shared" si="5"/>
        <v>90</v>
      </c>
      <c r="C95" s="14">
        <v>90</v>
      </c>
      <c r="D95" s="17"/>
      <c r="E95" s="15" t="str">
        <f t="shared" si="6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7">
        <v>0</v>
      </c>
      <c r="L95" s="15">
        <f t="shared" si="7"/>
        <v>0</v>
      </c>
      <c r="M95" s="15">
        <f t="shared" si="8"/>
        <v>0</v>
      </c>
      <c r="N95" s="31">
        <v>0</v>
      </c>
      <c r="O95" s="32">
        <v>0</v>
      </c>
      <c r="P95" s="33">
        <v>0</v>
      </c>
      <c r="Q95" s="17" t="s">
        <v>736</v>
      </c>
    </row>
    <row r="96" spans="2:17" ht="13.8" x14ac:dyDescent="0.2">
      <c r="B96" s="8">
        <f t="shared" si="5"/>
        <v>91</v>
      </c>
      <c r="C96" s="14">
        <v>91</v>
      </c>
      <c r="D96" s="17"/>
      <c r="E96" s="15" t="str">
        <f t="shared" si="6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7">
        <v>0</v>
      </c>
      <c r="L96" s="15">
        <f t="shared" si="7"/>
        <v>0</v>
      </c>
      <c r="M96" s="15">
        <f t="shared" si="8"/>
        <v>0</v>
      </c>
      <c r="N96" s="31">
        <v>0</v>
      </c>
      <c r="O96" s="32">
        <v>0</v>
      </c>
      <c r="P96" s="33">
        <v>0</v>
      </c>
      <c r="Q96" s="17" t="s">
        <v>736</v>
      </c>
    </row>
    <row r="97" spans="2:17" ht="13.8" x14ac:dyDescent="0.2">
      <c r="B97" s="8">
        <f t="shared" si="5"/>
        <v>92</v>
      </c>
      <c r="C97" s="14">
        <v>92</v>
      </c>
      <c r="D97" s="17"/>
      <c r="E97" s="15" t="str">
        <f t="shared" si="6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7">
        <v>0</v>
      </c>
      <c r="L97" s="15">
        <f t="shared" si="7"/>
        <v>0</v>
      </c>
      <c r="M97" s="15">
        <f t="shared" si="8"/>
        <v>0</v>
      </c>
      <c r="N97" s="31">
        <v>0</v>
      </c>
      <c r="O97" s="32">
        <v>0</v>
      </c>
      <c r="P97" s="33">
        <v>0</v>
      </c>
      <c r="Q97" s="17" t="s">
        <v>736</v>
      </c>
    </row>
    <row r="98" spans="2:17" ht="13.8" x14ac:dyDescent="0.2">
      <c r="B98" s="8">
        <f t="shared" si="5"/>
        <v>93</v>
      </c>
      <c r="C98" s="14">
        <v>93</v>
      </c>
      <c r="D98" s="17"/>
      <c r="E98" s="15" t="str">
        <f t="shared" si="6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7">
        <v>0</v>
      </c>
      <c r="L98" s="15">
        <f t="shared" si="7"/>
        <v>0</v>
      </c>
      <c r="M98" s="15">
        <f t="shared" si="8"/>
        <v>0</v>
      </c>
      <c r="N98" s="31">
        <v>0</v>
      </c>
      <c r="O98" s="32">
        <v>0</v>
      </c>
      <c r="P98" s="33">
        <v>0</v>
      </c>
      <c r="Q98" s="17" t="s">
        <v>736</v>
      </c>
    </row>
    <row r="99" spans="2:17" ht="13.8" x14ac:dyDescent="0.2">
      <c r="B99" s="8">
        <f t="shared" si="5"/>
        <v>94</v>
      </c>
      <c r="C99" s="14">
        <v>94</v>
      </c>
      <c r="D99" s="17"/>
      <c r="E99" s="15" t="str">
        <f t="shared" si="6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7">
        <v>0</v>
      </c>
      <c r="L99" s="15">
        <f t="shared" si="7"/>
        <v>0</v>
      </c>
      <c r="M99" s="15">
        <f t="shared" si="8"/>
        <v>0</v>
      </c>
      <c r="N99" s="31">
        <v>0</v>
      </c>
      <c r="O99" s="32">
        <v>0</v>
      </c>
      <c r="P99" s="33">
        <v>0</v>
      </c>
      <c r="Q99" s="17" t="s">
        <v>736</v>
      </c>
    </row>
    <row r="100" spans="2:17" ht="13.8" x14ac:dyDescent="0.2">
      <c r="B100" s="8">
        <f t="shared" si="5"/>
        <v>95</v>
      </c>
      <c r="C100" s="14">
        <v>95</v>
      </c>
      <c r="D100" s="17" t="s">
        <v>2537</v>
      </c>
      <c r="E100" s="15">
        <f t="shared" si="6"/>
        <v>0</v>
      </c>
      <c r="F100" s="5">
        <v>6</v>
      </c>
      <c r="G100" s="5">
        <v>0</v>
      </c>
      <c r="H100" s="5">
        <v>0</v>
      </c>
      <c r="I100" s="5">
        <v>0</v>
      </c>
      <c r="J100" s="6">
        <v>0</v>
      </c>
      <c r="K100" s="7">
        <v>0</v>
      </c>
      <c r="L100" s="15">
        <f t="shared" si="7"/>
        <v>0</v>
      </c>
      <c r="M100" s="15">
        <f t="shared" si="8"/>
        <v>0</v>
      </c>
      <c r="N100" s="31">
        <v>0</v>
      </c>
      <c r="O100" s="32">
        <v>0</v>
      </c>
      <c r="P100" s="33">
        <v>0</v>
      </c>
      <c r="Q100" s="17" t="s">
        <v>2537</v>
      </c>
    </row>
    <row r="101" spans="2:17" ht="13.8" x14ac:dyDescent="0.2">
      <c r="B101" s="8">
        <f t="shared" si="5"/>
        <v>96</v>
      </c>
      <c r="C101" s="14">
        <v>96</v>
      </c>
      <c r="D101" s="17" t="s">
        <v>2538</v>
      </c>
      <c r="E101" s="15" t="str">
        <f t="shared" si="6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7">
        <v>0</v>
      </c>
      <c r="L101" s="15">
        <f t="shared" si="7"/>
        <v>0</v>
      </c>
      <c r="M101" s="15">
        <f t="shared" si="8"/>
        <v>0</v>
      </c>
      <c r="N101" s="31">
        <v>0</v>
      </c>
      <c r="O101" s="32">
        <v>0</v>
      </c>
      <c r="P101" s="33">
        <v>0</v>
      </c>
      <c r="Q101" s="17" t="s">
        <v>2549</v>
      </c>
    </row>
    <row r="102" spans="2:17" ht="13.8" x14ac:dyDescent="0.2">
      <c r="B102" s="8">
        <f t="shared" si="5"/>
        <v>97</v>
      </c>
      <c r="C102" s="14">
        <v>97</v>
      </c>
      <c r="D102" s="17" t="s">
        <v>1372</v>
      </c>
      <c r="E102" s="15" t="str">
        <f t="shared" si="6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7">
        <v>0</v>
      </c>
      <c r="L102" s="15">
        <f t="shared" si="7"/>
        <v>0</v>
      </c>
      <c r="M102" s="15">
        <f t="shared" si="8"/>
        <v>0</v>
      </c>
      <c r="N102" s="31">
        <v>0</v>
      </c>
      <c r="O102" s="32">
        <v>0</v>
      </c>
      <c r="P102" s="33">
        <v>0</v>
      </c>
      <c r="Q102" s="17" t="s">
        <v>1372</v>
      </c>
    </row>
    <row r="103" spans="2:17" ht="13.8" x14ac:dyDescent="0.2">
      <c r="B103" s="8">
        <f t="shared" si="5"/>
        <v>98</v>
      </c>
      <c r="C103" s="14">
        <v>98</v>
      </c>
      <c r="D103" s="17" t="s">
        <v>1374</v>
      </c>
      <c r="E103" s="15" t="str">
        <f t="shared" si="6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7">
        <v>0</v>
      </c>
      <c r="L103" s="15">
        <f t="shared" si="7"/>
        <v>0</v>
      </c>
      <c r="M103" s="15">
        <f t="shared" si="8"/>
        <v>0</v>
      </c>
      <c r="N103" s="31">
        <v>0</v>
      </c>
      <c r="O103" s="32">
        <v>0</v>
      </c>
      <c r="P103" s="33">
        <v>0</v>
      </c>
      <c r="Q103" s="17" t="s">
        <v>868</v>
      </c>
    </row>
    <row r="104" spans="2:17" ht="13.8" x14ac:dyDescent="0.2">
      <c r="B104" s="8">
        <f t="shared" si="5"/>
        <v>99</v>
      </c>
      <c r="C104" s="14">
        <v>99</v>
      </c>
      <c r="D104" s="17"/>
      <c r="E104" s="15" t="str">
        <f t="shared" si="6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7">
        <v>0</v>
      </c>
      <c r="L104" s="15">
        <f t="shared" si="7"/>
        <v>0</v>
      </c>
      <c r="M104" s="15">
        <f t="shared" si="8"/>
        <v>0</v>
      </c>
      <c r="N104" s="31">
        <v>0</v>
      </c>
      <c r="O104" s="32">
        <v>0</v>
      </c>
      <c r="P104" s="33">
        <v>0</v>
      </c>
      <c r="Q104" s="17"/>
    </row>
    <row r="105" spans="2:17" ht="13.8" x14ac:dyDescent="0.2">
      <c r="B105" s="8">
        <f t="shared" si="5"/>
        <v>120</v>
      </c>
      <c r="C105" s="14">
        <v>120</v>
      </c>
      <c r="D105" s="37" t="s">
        <v>1373</v>
      </c>
      <c r="E105" s="15" t="str">
        <f t="shared" si="6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7">
        <v>0</v>
      </c>
      <c r="L105" s="15">
        <f t="shared" si="7"/>
        <v>0</v>
      </c>
      <c r="M105" s="15">
        <f t="shared" si="8"/>
        <v>0</v>
      </c>
      <c r="N105" s="31">
        <v>0</v>
      </c>
      <c r="O105" s="32">
        <v>0</v>
      </c>
      <c r="P105" s="33">
        <v>0</v>
      </c>
      <c r="Q105" s="17" t="s">
        <v>892</v>
      </c>
    </row>
    <row r="106" spans="2:17" ht="13.8" x14ac:dyDescent="0.2">
      <c r="B106" s="8">
        <f t="shared" si="5"/>
        <v>121</v>
      </c>
      <c r="C106" s="14">
        <v>121</v>
      </c>
      <c r="D106" s="17" t="s">
        <v>2539</v>
      </c>
      <c r="E106" s="15" t="str">
        <f t="shared" si="6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7">
        <v>0</v>
      </c>
      <c r="L106" s="15">
        <f t="shared" si="7"/>
        <v>0</v>
      </c>
      <c r="M106" s="15">
        <f t="shared" si="8"/>
        <v>0</v>
      </c>
      <c r="N106" s="31">
        <v>0</v>
      </c>
      <c r="O106" s="32">
        <v>0</v>
      </c>
      <c r="P106" s="33">
        <v>0</v>
      </c>
      <c r="Q106" s="17" t="s">
        <v>2550</v>
      </c>
    </row>
    <row r="107" spans="2:17" ht="13.8" x14ac:dyDescent="0.2">
      <c r="B107" s="8">
        <f t="shared" si="5"/>
        <v>122</v>
      </c>
      <c r="C107" s="14">
        <v>122</v>
      </c>
      <c r="D107" s="17" t="s">
        <v>1375</v>
      </c>
      <c r="E107" s="15" t="str">
        <f t="shared" si="6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7">
        <v>0</v>
      </c>
      <c r="L107" s="15">
        <f t="shared" si="7"/>
        <v>0</v>
      </c>
      <c r="M107" s="15">
        <f t="shared" si="8"/>
        <v>0</v>
      </c>
      <c r="N107" s="31">
        <v>0</v>
      </c>
      <c r="O107" s="32">
        <v>0</v>
      </c>
      <c r="P107" s="33">
        <v>0</v>
      </c>
      <c r="Q107" s="17" t="s">
        <v>1387</v>
      </c>
    </row>
    <row r="108" spans="2:17" ht="13.8" x14ac:dyDescent="0.2">
      <c r="B108" s="8">
        <f t="shared" si="5"/>
        <v>123</v>
      </c>
      <c r="C108" s="14">
        <v>123</v>
      </c>
      <c r="D108" s="17"/>
      <c r="E108" s="15" t="str">
        <f t="shared" si="6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7">
        <v>0</v>
      </c>
      <c r="L108" s="15">
        <f t="shared" si="7"/>
        <v>0</v>
      </c>
      <c r="M108" s="15">
        <f t="shared" si="8"/>
        <v>0</v>
      </c>
      <c r="N108" s="31">
        <v>0</v>
      </c>
      <c r="O108" s="32">
        <v>0</v>
      </c>
      <c r="P108" s="33">
        <v>0</v>
      </c>
      <c r="Q108" s="17"/>
    </row>
    <row r="109" spans="2:17" ht="13.8" x14ac:dyDescent="0.2">
      <c r="B109" s="8">
        <f t="shared" si="5"/>
        <v>124</v>
      </c>
      <c r="C109" s="14">
        <v>124</v>
      </c>
      <c r="D109" s="17" t="s">
        <v>1377</v>
      </c>
      <c r="E109" s="15" t="str">
        <f t="shared" si="6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7">
        <v>0</v>
      </c>
      <c r="L109" s="15">
        <f t="shared" si="7"/>
        <v>0</v>
      </c>
      <c r="M109" s="15">
        <f t="shared" si="8"/>
        <v>0</v>
      </c>
      <c r="N109" s="31">
        <v>0</v>
      </c>
      <c r="O109" s="32">
        <v>0</v>
      </c>
      <c r="P109" s="33">
        <v>0</v>
      </c>
      <c r="Q109" s="17" t="s">
        <v>870</v>
      </c>
    </row>
    <row r="110" spans="2:17" ht="13.8" x14ac:dyDescent="0.2">
      <c r="B110" s="8">
        <f t="shared" si="5"/>
        <v>125</v>
      </c>
      <c r="C110" s="14">
        <v>125</v>
      </c>
      <c r="D110" s="17" t="s">
        <v>2540</v>
      </c>
      <c r="E110" s="15" t="str">
        <f t="shared" si="6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7">
        <v>0</v>
      </c>
      <c r="L110" s="15">
        <f t="shared" si="7"/>
        <v>0</v>
      </c>
      <c r="M110" s="15">
        <f t="shared" si="8"/>
        <v>0</v>
      </c>
      <c r="N110" s="31">
        <v>0</v>
      </c>
      <c r="O110" s="32">
        <v>0</v>
      </c>
      <c r="P110" s="33">
        <v>0</v>
      </c>
      <c r="Q110" s="17" t="s">
        <v>2551</v>
      </c>
    </row>
    <row r="111" spans="2:17" ht="13.8" x14ac:dyDescent="0.2">
      <c r="B111" s="8">
        <f t="shared" si="5"/>
        <v>126</v>
      </c>
      <c r="C111" s="14">
        <v>126</v>
      </c>
      <c r="D111" s="17" t="s">
        <v>1378</v>
      </c>
      <c r="E111" s="15" t="str">
        <f t="shared" si="6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7">
        <v>0</v>
      </c>
      <c r="L111" s="15">
        <f t="shared" si="7"/>
        <v>0</v>
      </c>
      <c r="M111" s="15">
        <f t="shared" si="8"/>
        <v>0</v>
      </c>
      <c r="N111" s="31">
        <v>0</v>
      </c>
      <c r="O111" s="32">
        <v>0</v>
      </c>
      <c r="P111" s="33">
        <v>0</v>
      </c>
      <c r="Q111" s="17" t="s">
        <v>1388</v>
      </c>
    </row>
    <row r="112" spans="2:17" ht="13.8" x14ac:dyDescent="0.2">
      <c r="B112" s="8">
        <f t="shared" si="5"/>
        <v>127</v>
      </c>
      <c r="C112" s="14">
        <v>127</v>
      </c>
      <c r="D112" s="17" t="s">
        <v>1346</v>
      </c>
      <c r="E112" s="15" t="str">
        <f t="shared" si="6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7">
        <v>0</v>
      </c>
      <c r="L112" s="15">
        <f t="shared" si="7"/>
        <v>0</v>
      </c>
      <c r="M112" s="15">
        <f t="shared" si="8"/>
        <v>0</v>
      </c>
      <c r="N112" s="31">
        <v>0</v>
      </c>
      <c r="O112" s="32">
        <v>0</v>
      </c>
      <c r="P112" s="33">
        <v>0</v>
      </c>
      <c r="Q112" s="17" t="s">
        <v>1389</v>
      </c>
    </row>
    <row r="113" spans="2:17" ht="13.8" x14ac:dyDescent="0.2">
      <c r="B113" s="8">
        <f t="shared" si="5"/>
        <v>128</v>
      </c>
      <c r="C113" s="14">
        <v>128</v>
      </c>
      <c r="D113" s="17" t="s">
        <v>1379</v>
      </c>
      <c r="E113" s="15" t="str">
        <f t="shared" si="6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7">
        <v>0</v>
      </c>
      <c r="L113" s="15">
        <f t="shared" si="7"/>
        <v>0</v>
      </c>
      <c r="M113" s="15">
        <f t="shared" si="8"/>
        <v>0</v>
      </c>
      <c r="N113" s="31">
        <v>0</v>
      </c>
      <c r="O113" s="32">
        <v>0</v>
      </c>
      <c r="P113" s="33">
        <v>0</v>
      </c>
      <c r="Q113" s="17" t="s">
        <v>1390</v>
      </c>
    </row>
    <row r="114" spans="2:17" ht="13.8" x14ac:dyDescent="0.2">
      <c r="B114" s="8" t="str">
        <f t="shared" si="5"/>
        <v/>
      </c>
      <c r="C114" s="14"/>
      <c r="D114" s="8"/>
      <c r="E114" s="15" t="str">
        <f t="shared" si="6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7">
        <v>0</v>
      </c>
      <c r="L114" s="15">
        <f t="shared" si="7"/>
        <v>0</v>
      </c>
      <c r="M114" s="15">
        <f t="shared" si="8"/>
        <v>0</v>
      </c>
      <c r="N114" s="31">
        <v>0</v>
      </c>
      <c r="O114" s="32">
        <v>0</v>
      </c>
      <c r="P114" s="33">
        <v>0</v>
      </c>
      <c r="Q114" s="17" t="s">
        <v>736</v>
      </c>
    </row>
    <row r="115" spans="2:17" ht="13.8" x14ac:dyDescent="0.2">
      <c r="B115" s="8" t="str">
        <f t="shared" si="5"/>
        <v/>
      </c>
      <c r="C115" s="14"/>
      <c r="D115" s="8"/>
      <c r="E115" s="15" t="str">
        <f t="shared" si="6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7">
        <v>0</v>
      </c>
      <c r="L115" s="15">
        <f t="shared" si="7"/>
        <v>0</v>
      </c>
      <c r="M115" s="15">
        <f t="shared" si="8"/>
        <v>0</v>
      </c>
      <c r="N115" s="31">
        <v>0</v>
      </c>
      <c r="O115" s="32">
        <v>0</v>
      </c>
      <c r="P115" s="33">
        <v>0</v>
      </c>
      <c r="Q115" s="17" t="s">
        <v>736</v>
      </c>
    </row>
    <row r="116" spans="2:17" ht="13.8" x14ac:dyDescent="0.2">
      <c r="B116" s="8" t="str">
        <f t="shared" si="5"/>
        <v/>
      </c>
      <c r="C116" s="14"/>
      <c r="D116" s="8"/>
      <c r="E116" s="15" t="str">
        <f t="shared" si="6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7">
        <v>0</v>
      </c>
      <c r="L116" s="15">
        <f t="shared" si="7"/>
        <v>0</v>
      </c>
      <c r="M116" s="15">
        <f t="shared" si="8"/>
        <v>0</v>
      </c>
      <c r="N116" s="31">
        <v>0</v>
      </c>
      <c r="O116" s="32">
        <v>0</v>
      </c>
      <c r="P116" s="33">
        <v>0</v>
      </c>
      <c r="Q116" s="17" t="s">
        <v>736</v>
      </c>
    </row>
    <row r="117" spans="2:17" ht="13.8" x14ac:dyDescent="0.2">
      <c r="B117" s="8" t="str">
        <f t="shared" si="5"/>
        <v/>
      </c>
      <c r="C117" s="14"/>
      <c r="D117" s="8"/>
      <c r="E117" s="15" t="str">
        <f t="shared" si="6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7">
        <v>0</v>
      </c>
      <c r="L117" s="15">
        <f t="shared" si="7"/>
        <v>0</v>
      </c>
      <c r="M117" s="15">
        <f t="shared" si="8"/>
        <v>0</v>
      </c>
      <c r="N117" s="31">
        <v>0</v>
      </c>
      <c r="O117" s="32">
        <v>0</v>
      </c>
      <c r="P117" s="33">
        <v>0</v>
      </c>
      <c r="Q117" s="17" t="s">
        <v>736</v>
      </c>
    </row>
    <row r="118" spans="2:17" ht="13.8" x14ac:dyDescent="0.2">
      <c r="B118" s="8" t="str">
        <f t="shared" si="5"/>
        <v/>
      </c>
      <c r="C118" s="14"/>
      <c r="D118" s="8"/>
      <c r="E118" s="15" t="str">
        <f t="shared" si="6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7">
        <v>0</v>
      </c>
      <c r="L118" s="15">
        <f t="shared" si="7"/>
        <v>0</v>
      </c>
      <c r="M118" s="15">
        <f t="shared" si="8"/>
        <v>0</v>
      </c>
      <c r="N118" s="31">
        <v>0</v>
      </c>
      <c r="O118" s="32">
        <v>0</v>
      </c>
      <c r="P118" s="33">
        <v>0</v>
      </c>
      <c r="Q118" s="17" t="s">
        <v>736</v>
      </c>
    </row>
    <row r="119" spans="2:17" ht="13.8" x14ac:dyDescent="0.2">
      <c r="B119" s="8" t="str">
        <f t="shared" si="5"/>
        <v/>
      </c>
      <c r="C119" s="14"/>
      <c r="D119" s="8"/>
      <c r="E119" s="15" t="str">
        <f t="shared" si="6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7">
        <v>0</v>
      </c>
      <c r="L119" s="15">
        <f t="shared" si="7"/>
        <v>0</v>
      </c>
      <c r="M119" s="15">
        <f t="shared" si="8"/>
        <v>0</v>
      </c>
      <c r="N119" s="31">
        <v>0</v>
      </c>
      <c r="O119" s="32">
        <v>0</v>
      </c>
      <c r="P119" s="33">
        <v>0</v>
      </c>
      <c r="Q119" s="17" t="s">
        <v>736</v>
      </c>
    </row>
    <row r="120" spans="2:17" ht="13.8" x14ac:dyDescent="0.2">
      <c r="B120" s="8" t="str">
        <f t="shared" si="5"/>
        <v/>
      </c>
      <c r="C120" s="14"/>
      <c r="D120" s="8"/>
      <c r="E120" s="15" t="str">
        <f t="shared" si="6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7">
        <v>0</v>
      </c>
      <c r="L120" s="15">
        <f t="shared" si="7"/>
        <v>0</v>
      </c>
      <c r="M120" s="15">
        <f t="shared" si="8"/>
        <v>0</v>
      </c>
      <c r="N120" s="31">
        <v>0</v>
      </c>
      <c r="O120" s="32">
        <v>0</v>
      </c>
      <c r="P120" s="33">
        <v>0</v>
      </c>
      <c r="Q120" s="17" t="s">
        <v>736</v>
      </c>
    </row>
    <row r="121" spans="2:17" ht="13.8" x14ac:dyDescent="0.2">
      <c r="B121" s="8" t="str">
        <f t="shared" si="5"/>
        <v/>
      </c>
      <c r="C121" s="14"/>
      <c r="D121" s="8"/>
      <c r="E121" s="15" t="str">
        <f t="shared" si="6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7">
        <v>0</v>
      </c>
      <c r="L121" s="15">
        <f t="shared" si="7"/>
        <v>0</v>
      </c>
      <c r="M121" s="15">
        <f t="shared" si="8"/>
        <v>0</v>
      </c>
      <c r="N121" s="31">
        <v>0</v>
      </c>
      <c r="O121" s="32">
        <v>0</v>
      </c>
      <c r="P121" s="33">
        <v>0</v>
      </c>
      <c r="Q121" s="17" t="s">
        <v>736</v>
      </c>
    </row>
    <row r="122" spans="2:17" ht="13.8" x14ac:dyDescent="0.2">
      <c r="B122" s="8" t="str">
        <f t="shared" si="5"/>
        <v/>
      </c>
      <c r="C122" s="14"/>
      <c r="D122" s="8"/>
      <c r="E122" s="15" t="str">
        <f t="shared" si="6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7">
        <v>0</v>
      </c>
      <c r="L122" s="15">
        <f t="shared" si="7"/>
        <v>0</v>
      </c>
      <c r="M122" s="15">
        <f t="shared" si="8"/>
        <v>0</v>
      </c>
      <c r="N122" s="31">
        <v>0</v>
      </c>
      <c r="O122" s="32">
        <v>0</v>
      </c>
      <c r="P122" s="33">
        <v>0</v>
      </c>
      <c r="Q122" s="17" t="s">
        <v>736</v>
      </c>
    </row>
    <row r="123" spans="2:17" ht="13.8" x14ac:dyDescent="0.2">
      <c r="B123" s="8" t="str">
        <f t="shared" si="5"/>
        <v/>
      </c>
      <c r="C123" s="14"/>
      <c r="D123" s="8"/>
      <c r="E123" s="15" t="str">
        <f t="shared" si="6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7">
        <v>0</v>
      </c>
      <c r="L123" s="15">
        <f t="shared" si="7"/>
        <v>0</v>
      </c>
      <c r="M123" s="15">
        <f t="shared" si="8"/>
        <v>0</v>
      </c>
      <c r="N123" s="31">
        <v>0</v>
      </c>
      <c r="O123" s="32">
        <v>0</v>
      </c>
      <c r="P123" s="33">
        <v>0</v>
      </c>
      <c r="Q123" s="17" t="s">
        <v>736</v>
      </c>
    </row>
    <row r="124" spans="2:17" ht="13.8" x14ac:dyDescent="0.2">
      <c r="B124" s="8" t="str">
        <f t="shared" si="5"/>
        <v/>
      </c>
      <c r="C124" s="14"/>
      <c r="D124" s="8"/>
      <c r="E124" s="15" t="str">
        <f t="shared" si="6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7">
        <v>0</v>
      </c>
      <c r="L124" s="15">
        <f t="shared" si="7"/>
        <v>0</v>
      </c>
      <c r="M124" s="15">
        <f t="shared" si="8"/>
        <v>0</v>
      </c>
      <c r="N124" s="31">
        <v>0</v>
      </c>
      <c r="O124" s="32">
        <v>0</v>
      </c>
      <c r="P124" s="33">
        <v>0</v>
      </c>
      <c r="Q124" s="17" t="s">
        <v>736</v>
      </c>
    </row>
    <row r="125" spans="2:17" ht="13.8" x14ac:dyDescent="0.2">
      <c r="B125" s="8" t="str">
        <f t="shared" si="5"/>
        <v/>
      </c>
      <c r="C125" s="14"/>
      <c r="D125" s="8"/>
      <c r="E125" s="15" t="str">
        <f t="shared" si="6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7">
        <v>0</v>
      </c>
      <c r="L125" s="15">
        <f t="shared" si="7"/>
        <v>0</v>
      </c>
      <c r="M125" s="15">
        <f t="shared" si="8"/>
        <v>0</v>
      </c>
      <c r="N125" s="31">
        <v>0</v>
      </c>
      <c r="O125" s="32">
        <v>0</v>
      </c>
      <c r="P125" s="33">
        <v>0</v>
      </c>
      <c r="Q125" s="17" t="s">
        <v>736</v>
      </c>
    </row>
    <row r="126" spans="2:17" ht="13.8" x14ac:dyDescent="0.2">
      <c r="B126" s="8" t="str">
        <f t="shared" si="5"/>
        <v/>
      </c>
      <c r="C126" s="14"/>
      <c r="D126" s="8"/>
      <c r="E126" s="15" t="str">
        <f t="shared" si="6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7">
        <v>0</v>
      </c>
      <c r="L126" s="15">
        <f t="shared" si="7"/>
        <v>0</v>
      </c>
      <c r="M126" s="15">
        <f t="shared" si="8"/>
        <v>0</v>
      </c>
      <c r="N126" s="31">
        <v>0</v>
      </c>
      <c r="O126" s="32">
        <v>0</v>
      </c>
      <c r="P126" s="33">
        <v>0</v>
      </c>
      <c r="Q126" s="17" t="s">
        <v>736</v>
      </c>
    </row>
    <row r="127" spans="2:17" ht="13.8" x14ac:dyDescent="0.2">
      <c r="B127" s="8" t="str">
        <f t="shared" si="5"/>
        <v/>
      </c>
      <c r="C127" s="14"/>
      <c r="D127" s="8"/>
      <c r="E127" s="15" t="str">
        <f t="shared" si="6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7">
        <v>0</v>
      </c>
      <c r="L127" s="15">
        <f t="shared" si="7"/>
        <v>0</v>
      </c>
      <c r="M127" s="15">
        <f t="shared" si="8"/>
        <v>0</v>
      </c>
      <c r="N127" s="31">
        <v>0</v>
      </c>
      <c r="O127" s="32">
        <v>0</v>
      </c>
      <c r="P127" s="33">
        <v>0</v>
      </c>
      <c r="Q127" s="17" t="s">
        <v>736</v>
      </c>
    </row>
    <row r="128" spans="2:17" ht="13.8" x14ac:dyDescent="0.2">
      <c r="B128" s="8" t="str">
        <f t="shared" si="5"/>
        <v/>
      </c>
      <c r="C128" s="14"/>
      <c r="D128" s="8"/>
      <c r="E128" s="15" t="str">
        <f t="shared" si="6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7">
        <v>0</v>
      </c>
      <c r="L128" s="15">
        <f t="shared" si="7"/>
        <v>0</v>
      </c>
      <c r="M128" s="15">
        <f t="shared" si="8"/>
        <v>0</v>
      </c>
      <c r="N128" s="31">
        <v>0</v>
      </c>
      <c r="O128" s="32">
        <v>0</v>
      </c>
      <c r="P128" s="33">
        <v>0</v>
      </c>
      <c r="Q128" s="17" t="s">
        <v>736</v>
      </c>
    </row>
    <row r="129" spans="2:17" ht="13.8" x14ac:dyDescent="0.2">
      <c r="B129" s="8" t="str">
        <f t="shared" si="5"/>
        <v/>
      </c>
      <c r="C129" s="14"/>
      <c r="D129" s="8"/>
      <c r="E129" s="15" t="str">
        <f t="shared" si="6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7">
        <v>0</v>
      </c>
      <c r="L129" s="15">
        <f t="shared" si="7"/>
        <v>0</v>
      </c>
      <c r="M129" s="15">
        <f t="shared" si="8"/>
        <v>0</v>
      </c>
      <c r="N129" s="31">
        <v>0</v>
      </c>
      <c r="O129" s="32">
        <v>0</v>
      </c>
      <c r="P129" s="33">
        <v>0</v>
      </c>
      <c r="Q129" s="17" t="s">
        <v>736</v>
      </c>
    </row>
    <row r="130" spans="2:17" ht="13.8" x14ac:dyDescent="0.2">
      <c r="B130" s="8" t="str">
        <f t="shared" si="5"/>
        <v/>
      </c>
      <c r="C130" s="14"/>
      <c r="D130" s="8"/>
      <c r="E130" s="15" t="str">
        <f t="shared" si="6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7">
        <v>0</v>
      </c>
      <c r="L130" s="15">
        <f t="shared" si="7"/>
        <v>0</v>
      </c>
      <c r="M130" s="15">
        <f t="shared" si="8"/>
        <v>0</v>
      </c>
      <c r="N130" s="31">
        <v>0</v>
      </c>
      <c r="O130" s="32">
        <v>0</v>
      </c>
      <c r="P130" s="33">
        <v>0</v>
      </c>
      <c r="Q130" s="17" t="s">
        <v>736</v>
      </c>
    </row>
    <row r="131" spans="2:17" ht="13.8" x14ac:dyDescent="0.2">
      <c r="B131" s="8" t="str">
        <f t="shared" si="5"/>
        <v/>
      </c>
      <c r="C131" s="14"/>
      <c r="D131" s="8"/>
      <c r="E131" s="15" t="str">
        <f t="shared" si="6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7">
        <v>0</v>
      </c>
      <c r="L131" s="15">
        <f t="shared" si="7"/>
        <v>0</v>
      </c>
      <c r="M131" s="15">
        <f t="shared" si="8"/>
        <v>0</v>
      </c>
      <c r="N131" s="31">
        <v>0</v>
      </c>
      <c r="O131" s="32">
        <v>0</v>
      </c>
      <c r="P131" s="33">
        <v>0</v>
      </c>
      <c r="Q131" s="17" t="s">
        <v>736</v>
      </c>
    </row>
    <row r="132" spans="2:17" ht="13.8" x14ac:dyDescent="0.2">
      <c r="B132" s="8" t="str">
        <f t="shared" si="5"/>
        <v/>
      </c>
      <c r="C132" s="14"/>
      <c r="D132" s="8"/>
      <c r="E132" s="15" t="str">
        <f t="shared" si="6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7">
        <v>0</v>
      </c>
      <c r="L132" s="15">
        <f t="shared" si="7"/>
        <v>0</v>
      </c>
      <c r="M132" s="15">
        <f t="shared" si="8"/>
        <v>0</v>
      </c>
      <c r="N132" s="31">
        <v>0</v>
      </c>
      <c r="O132" s="32">
        <v>0</v>
      </c>
      <c r="P132" s="33">
        <v>0</v>
      </c>
      <c r="Q132" s="17" t="s">
        <v>736</v>
      </c>
    </row>
    <row r="133" spans="2:17" ht="13.8" x14ac:dyDescent="0.2">
      <c r="B133" s="8" t="str">
        <f t="shared" ref="B133:B134" si="9">IF(C133="","",C133)</f>
        <v/>
      </c>
      <c r="C133" s="14"/>
      <c r="D133" s="8"/>
      <c r="E133" s="15" t="str">
        <f t="shared" ref="E133:E134" si="1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7">
        <v>0</v>
      </c>
      <c r="L133" s="15">
        <f t="shared" ref="L133:L134" si="11">IFERROR(IF((G133+N133+O133)/(F133+N133+O133+P133)=1,"1.00",(G133+N133+O133)/(F133+N133+O133+P133)),0)</f>
        <v>0</v>
      </c>
      <c r="M133" s="15">
        <f t="shared" ref="M133:M134" si="12">IFERROR(SUM(SUM(((G133-H133-I133-J133)*1),H133*2,I133*3,J133*4)/F133,((G133+N133+O133)/(F133+N133+O133+P133))),L133)</f>
        <v>0</v>
      </c>
      <c r="N133" s="31">
        <v>0</v>
      </c>
      <c r="O133" s="32">
        <v>0</v>
      </c>
      <c r="P133" s="33">
        <v>0</v>
      </c>
      <c r="Q133" s="17" t="s">
        <v>736</v>
      </c>
    </row>
    <row r="134" spans="2:17" ht="13.8" x14ac:dyDescent="0.2">
      <c r="B134" s="8" t="str">
        <f t="shared" si="9"/>
        <v/>
      </c>
      <c r="C134" s="14"/>
      <c r="D134" s="8"/>
      <c r="E134" s="15" t="str">
        <f t="shared" si="1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7">
        <v>0</v>
      </c>
      <c r="L134" s="15">
        <f t="shared" si="11"/>
        <v>0</v>
      </c>
      <c r="M134" s="15">
        <f t="shared" si="12"/>
        <v>0</v>
      </c>
      <c r="N134" s="31">
        <v>0</v>
      </c>
      <c r="O134" s="32">
        <v>0</v>
      </c>
      <c r="P134" s="33">
        <v>0</v>
      </c>
      <c r="Q134" s="17" t="s">
        <v>736</v>
      </c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J2:K2 F2:G2" formulaRange="1"/>
    <ignoredError sqref="L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Q140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1" max="1" width="8.88671875" customWidth="1"/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89"/>
      <c r="C2" s="89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84" t="s">
        <v>208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871</v>
      </c>
      <c r="H3" s="9" t="s">
        <v>872</v>
      </c>
      <c r="I3" s="12" t="s">
        <v>9</v>
      </c>
      <c r="J3" s="13" t="s">
        <v>10</v>
      </c>
      <c r="K3" s="34" t="s">
        <v>737</v>
      </c>
      <c r="L3" s="10" t="s">
        <v>894</v>
      </c>
      <c r="M3" s="9" t="s">
        <v>744</v>
      </c>
      <c r="N3" s="9" t="s">
        <v>745</v>
      </c>
      <c r="O3" s="9" t="s">
        <v>743</v>
      </c>
      <c r="P3" s="84"/>
    </row>
    <row r="4" spans="2:16" ht="13.8" x14ac:dyDescent="0.2">
      <c r="B4" s="14" t="s">
        <v>425</v>
      </c>
      <c r="C4" s="17" t="s">
        <v>33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1411</v>
      </c>
    </row>
    <row r="5" spans="2:16" ht="13.8" x14ac:dyDescent="0.2">
      <c r="B5" s="14">
        <v>0</v>
      </c>
      <c r="C5" s="17" t="s">
        <v>126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1412</v>
      </c>
    </row>
    <row r="6" spans="2:16" ht="13.8" x14ac:dyDescent="0.2">
      <c r="B6" s="14">
        <v>1</v>
      </c>
      <c r="C6" s="8"/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/>
    </row>
    <row r="7" spans="2:16" ht="13.8" x14ac:dyDescent="0.2">
      <c r="B7" s="14">
        <v>2</v>
      </c>
      <c r="C7" s="17" t="s">
        <v>17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1413</v>
      </c>
    </row>
    <row r="8" spans="2:16" ht="13.8" x14ac:dyDescent="0.2">
      <c r="B8" s="14">
        <v>3</v>
      </c>
      <c r="C8" s="3"/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/>
    </row>
    <row r="9" spans="2:16" ht="13.8" x14ac:dyDescent="0.2">
      <c r="B9" s="14">
        <v>4</v>
      </c>
      <c r="C9" s="8"/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 t="s">
        <v>122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1414</v>
      </c>
    </row>
    <row r="11" spans="2:16" ht="13.8" x14ac:dyDescent="0.2">
      <c r="B11" s="14">
        <v>6</v>
      </c>
      <c r="C11" s="17" t="s">
        <v>18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1415</v>
      </c>
    </row>
    <row r="12" spans="2:16" ht="13.8" x14ac:dyDescent="0.2">
      <c r="B12" s="14">
        <v>7</v>
      </c>
      <c r="C12" s="17"/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/>
    </row>
    <row r="13" spans="2:16" ht="13.8" x14ac:dyDescent="0.2">
      <c r="B13" s="14">
        <v>8</v>
      </c>
      <c r="C13" s="17" t="s">
        <v>19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1416</v>
      </c>
    </row>
    <row r="14" spans="2:16" ht="13.8" x14ac:dyDescent="0.2">
      <c r="B14" s="14">
        <v>9</v>
      </c>
      <c r="C14" s="17" t="s">
        <v>124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 t="s">
        <v>1417</v>
      </c>
    </row>
    <row r="15" spans="2:16" ht="13.8" x14ac:dyDescent="0.2">
      <c r="B15" s="14">
        <v>10</v>
      </c>
      <c r="C15" s="17" t="s">
        <v>218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1418</v>
      </c>
    </row>
    <row r="16" spans="2:16" ht="13.8" x14ac:dyDescent="0.2">
      <c r="B16" s="14">
        <v>11</v>
      </c>
      <c r="C16" s="17" t="s">
        <v>431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1419</v>
      </c>
    </row>
    <row r="17" spans="2:16" ht="13.8" x14ac:dyDescent="0.2">
      <c r="B17" s="14">
        <v>12</v>
      </c>
      <c r="C17" s="17" t="s">
        <v>564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564</v>
      </c>
    </row>
    <row r="18" spans="2:16" ht="13.8" x14ac:dyDescent="0.2">
      <c r="B18" s="14">
        <v>13</v>
      </c>
      <c r="C18" s="17" t="s">
        <v>426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1420</v>
      </c>
    </row>
    <row r="19" spans="2:16" ht="13.8" x14ac:dyDescent="0.2">
      <c r="B19" s="14">
        <v>14</v>
      </c>
      <c r="C19" s="8"/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 t="s">
        <v>1549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1404</v>
      </c>
    </row>
    <row r="21" spans="2:16" ht="13.8" x14ac:dyDescent="0.2">
      <c r="B21" s="14">
        <v>16</v>
      </c>
      <c r="C21" s="8"/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17" t="s">
        <v>410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1421</v>
      </c>
    </row>
    <row r="23" spans="2:16" ht="13.8" x14ac:dyDescent="0.2">
      <c r="B23" s="14">
        <v>18</v>
      </c>
      <c r="C23" s="17" t="s">
        <v>21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1422</v>
      </c>
    </row>
    <row r="24" spans="2:16" ht="13.8" x14ac:dyDescent="0.2">
      <c r="B24" s="14">
        <v>19</v>
      </c>
      <c r="C24" s="17" t="s">
        <v>571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1423</v>
      </c>
    </row>
    <row r="25" spans="2:16" ht="13.8" x14ac:dyDescent="0.2">
      <c r="B25" s="14">
        <v>20</v>
      </c>
      <c r="C25" s="17" t="s">
        <v>429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1424</v>
      </c>
    </row>
    <row r="26" spans="2:16" ht="13.8" x14ac:dyDescent="0.2">
      <c r="B26" s="14">
        <v>21</v>
      </c>
      <c r="C26" s="17" t="s">
        <v>572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1425</v>
      </c>
    </row>
    <row r="27" spans="2:16" ht="13.8" x14ac:dyDescent="0.2">
      <c r="B27" s="14">
        <v>22</v>
      </c>
      <c r="C27" s="17" t="s">
        <v>22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1426</v>
      </c>
    </row>
    <row r="28" spans="2:16" ht="13.8" x14ac:dyDescent="0.2">
      <c r="B28" s="14">
        <v>23</v>
      </c>
      <c r="C28" s="17" t="s">
        <v>1550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1405</v>
      </c>
    </row>
    <row r="29" spans="2:16" ht="13.8" x14ac:dyDescent="0.2">
      <c r="B29" s="14">
        <v>24</v>
      </c>
      <c r="C29" s="17" t="s">
        <v>210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1427</v>
      </c>
    </row>
    <row r="30" spans="2:16" ht="13.8" x14ac:dyDescent="0.2">
      <c r="B30" s="14">
        <v>25</v>
      </c>
      <c r="C30" s="17" t="s">
        <v>23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1428</v>
      </c>
    </row>
    <row r="31" spans="2:16" ht="13.8" x14ac:dyDescent="0.2">
      <c r="B31" s="14">
        <v>26</v>
      </c>
      <c r="C31" s="17" t="s">
        <v>430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1429</v>
      </c>
    </row>
    <row r="32" spans="2:16" ht="13.8" x14ac:dyDescent="0.2">
      <c r="B32" s="14">
        <v>27</v>
      </c>
      <c r="C32" s="17" t="s">
        <v>1551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1430</v>
      </c>
    </row>
    <row r="33" spans="2:16" ht="13.8" x14ac:dyDescent="0.2">
      <c r="B33" s="14">
        <v>28</v>
      </c>
      <c r="C33" s="17" t="s">
        <v>1552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1431</v>
      </c>
    </row>
    <row r="34" spans="2:16" ht="13.8" x14ac:dyDescent="0.2">
      <c r="B34" s="14">
        <v>29</v>
      </c>
      <c r="C34" s="17" t="s">
        <v>1553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1406</v>
      </c>
    </row>
    <row r="35" spans="2:16" ht="13.8" x14ac:dyDescent="0.2">
      <c r="B35" s="14">
        <v>30</v>
      </c>
      <c r="C35" s="17" t="s">
        <v>118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1432</v>
      </c>
    </row>
    <row r="36" spans="2:16" ht="13.8" x14ac:dyDescent="0.2">
      <c r="B36" s="14">
        <v>31</v>
      </c>
      <c r="C36" s="17" t="s">
        <v>1554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1433</v>
      </c>
    </row>
    <row r="37" spans="2:16" ht="13.8" x14ac:dyDescent="0.2">
      <c r="B37" s="14">
        <v>32</v>
      </c>
      <c r="C37" s="17" t="s">
        <v>573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1434</v>
      </c>
    </row>
    <row r="38" spans="2:16" ht="13.8" x14ac:dyDescent="0.2">
      <c r="B38" s="14">
        <v>33</v>
      </c>
      <c r="C38" s="17" t="s">
        <v>139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1435</v>
      </c>
    </row>
    <row r="39" spans="2:16" ht="13.8" x14ac:dyDescent="0.2">
      <c r="B39" s="14">
        <v>34</v>
      </c>
      <c r="C39" s="17"/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17" t="s">
        <v>119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1436</v>
      </c>
    </row>
    <row r="41" spans="2:16" ht="13.8" x14ac:dyDescent="0.2">
      <c r="B41" s="14">
        <v>36</v>
      </c>
      <c r="C41" s="17" t="s">
        <v>123</v>
      </c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 t="s">
        <v>1437</v>
      </c>
    </row>
    <row r="42" spans="2:16" ht="13.8" x14ac:dyDescent="0.2">
      <c r="B42" s="14">
        <v>37</v>
      </c>
      <c r="C42" s="17" t="s">
        <v>30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1438</v>
      </c>
    </row>
    <row r="43" spans="2:16" ht="13.8" x14ac:dyDescent="0.2">
      <c r="B43" s="14">
        <v>38</v>
      </c>
      <c r="C43" s="17" t="s">
        <v>308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1439</v>
      </c>
    </row>
    <row r="44" spans="2:16" ht="13.8" x14ac:dyDescent="0.2">
      <c r="B44" s="14">
        <v>39</v>
      </c>
      <c r="C44" s="17" t="s">
        <v>213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1440</v>
      </c>
    </row>
    <row r="45" spans="2:16" ht="13.8" x14ac:dyDescent="0.2">
      <c r="B45" s="14">
        <v>40</v>
      </c>
      <c r="C45" s="17" t="s">
        <v>138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1441</v>
      </c>
    </row>
    <row r="46" spans="2:16" ht="13.8" x14ac:dyDescent="0.2">
      <c r="B46" s="14">
        <v>41</v>
      </c>
      <c r="C46" s="17" t="s">
        <v>24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1442</v>
      </c>
    </row>
    <row r="47" spans="2:16" ht="13.8" x14ac:dyDescent="0.2">
      <c r="B47" s="14">
        <v>42</v>
      </c>
      <c r="C47" s="17" t="s">
        <v>807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807</v>
      </c>
    </row>
    <row r="48" spans="2:16" ht="13.8" x14ac:dyDescent="0.2">
      <c r="B48" s="14">
        <v>43</v>
      </c>
      <c r="C48" s="17" t="s">
        <v>25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1443</v>
      </c>
    </row>
    <row r="49" spans="2:16" ht="13.8" x14ac:dyDescent="0.2">
      <c r="B49" s="14">
        <v>44</v>
      </c>
      <c r="C49" s="17" t="s">
        <v>1403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1402</v>
      </c>
    </row>
    <row r="50" spans="2:16" ht="13.8" x14ac:dyDescent="0.2">
      <c r="B50" s="14">
        <v>45</v>
      </c>
      <c r="C50" s="17" t="s">
        <v>117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1444</v>
      </c>
    </row>
    <row r="51" spans="2:16" ht="13.8" x14ac:dyDescent="0.2">
      <c r="B51" s="14">
        <v>46</v>
      </c>
      <c r="C51" s="17" t="s">
        <v>1555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1445</v>
      </c>
    </row>
    <row r="52" spans="2:16" ht="13.8" x14ac:dyDescent="0.2">
      <c r="B52" s="14">
        <v>47</v>
      </c>
      <c r="C52" s="17" t="s">
        <v>211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1446</v>
      </c>
    </row>
    <row r="53" spans="2:16" ht="13.8" x14ac:dyDescent="0.2">
      <c r="B53" s="14">
        <v>48</v>
      </c>
      <c r="C53" s="17" t="s">
        <v>565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565</v>
      </c>
    </row>
    <row r="54" spans="2:16" ht="13.8" x14ac:dyDescent="0.2">
      <c r="B54" s="14">
        <v>49</v>
      </c>
      <c r="C54" s="17" t="s">
        <v>209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209</v>
      </c>
    </row>
    <row r="55" spans="2:16" ht="13.8" x14ac:dyDescent="0.2">
      <c r="B55" s="14">
        <v>50</v>
      </c>
      <c r="C55" s="17" t="s">
        <v>27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1447</v>
      </c>
    </row>
    <row r="56" spans="2:16" ht="13.8" x14ac:dyDescent="0.2">
      <c r="B56" s="14">
        <v>51</v>
      </c>
      <c r="C56" s="17" t="s">
        <v>574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1448</v>
      </c>
    </row>
    <row r="57" spans="2:16" ht="13.8" x14ac:dyDescent="0.2">
      <c r="B57" s="14">
        <v>52</v>
      </c>
      <c r="C57" s="17" t="s">
        <v>28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1449</v>
      </c>
    </row>
    <row r="58" spans="2:16" ht="13.8" x14ac:dyDescent="0.2">
      <c r="B58" s="14">
        <v>53</v>
      </c>
      <c r="C58" s="17" t="s">
        <v>130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1450</v>
      </c>
    </row>
    <row r="59" spans="2:16" ht="13.8" x14ac:dyDescent="0.2">
      <c r="B59" s="14">
        <v>54</v>
      </c>
      <c r="C59" s="17" t="s">
        <v>1556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1451</v>
      </c>
    </row>
    <row r="60" spans="2:16" ht="13.8" x14ac:dyDescent="0.2">
      <c r="B60" s="14">
        <v>55</v>
      </c>
      <c r="C60" s="9" t="s">
        <v>1557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1452</v>
      </c>
    </row>
    <row r="61" spans="2:16" ht="13.8" x14ac:dyDescent="0.2">
      <c r="B61" s="14">
        <v>56</v>
      </c>
      <c r="C61" s="17" t="s">
        <v>818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1453</v>
      </c>
    </row>
    <row r="62" spans="2:16" ht="13.8" x14ac:dyDescent="0.2">
      <c r="B62" s="14">
        <v>57</v>
      </c>
      <c r="C62" s="17" t="s">
        <v>120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1454</v>
      </c>
    </row>
    <row r="63" spans="2:16" ht="13.8" x14ac:dyDescent="0.2">
      <c r="B63" s="14">
        <v>58</v>
      </c>
      <c r="C63" s="17" t="s">
        <v>271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1455</v>
      </c>
    </row>
    <row r="64" spans="2:16" ht="13.8" x14ac:dyDescent="0.2">
      <c r="B64" s="14">
        <v>59</v>
      </c>
      <c r="C64" s="17"/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17" t="s">
        <v>214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1456</v>
      </c>
    </row>
    <row r="66" spans="2:16" ht="13.8" x14ac:dyDescent="0.2">
      <c r="B66" s="14">
        <v>61</v>
      </c>
      <c r="C66" s="17" t="s">
        <v>125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1457</v>
      </c>
    </row>
    <row r="67" spans="2:16" ht="13.8" x14ac:dyDescent="0.2">
      <c r="B67" s="14">
        <v>62</v>
      </c>
      <c r="C67" s="17" t="s">
        <v>121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1458</v>
      </c>
    </row>
    <row r="68" spans="2:16" ht="13.8" x14ac:dyDescent="0.2">
      <c r="B68" s="14">
        <v>63</v>
      </c>
      <c r="C68" s="9" t="s">
        <v>1558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1459</v>
      </c>
    </row>
    <row r="69" spans="2:16" ht="13.8" x14ac:dyDescent="0.2">
      <c r="B69" s="14">
        <v>64</v>
      </c>
      <c r="C69" s="17" t="s">
        <v>31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85" si="5">IFERROR(IF((F69+M69+N69)/(E69+M69+N69+O69)=1,"1.00",(F69+M69+N69)/(E69+M69+N69+O69)),0)</f>
        <v>0</v>
      </c>
      <c r="L69" s="4">
        <f t="shared" ref="L69:L85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1460</v>
      </c>
    </row>
    <row r="70" spans="2:16" ht="13.8" x14ac:dyDescent="0.2">
      <c r="B70" s="14">
        <v>65</v>
      </c>
      <c r="C70" s="9"/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 t="s">
        <v>413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1461</v>
      </c>
    </row>
    <row r="72" spans="2:16" ht="13.8" x14ac:dyDescent="0.2">
      <c r="B72" s="14">
        <v>67</v>
      </c>
      <c r="C72" s="17" t="s">
        <v>1559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1462</v>
      </c>
    </row>
    <row r="73" spans="2:16" ht="13.8" x14ac:dyDescent="0.2">
      <c r="B73" s="14">
        <v>68</v>
      </c>
      <c r="C73" s="17" t="s">
        <v>1560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1463</v>
      </c>
    </row>
    <row r="74" spans="2:16" ht="13.8" x14ac:dyDescent="0.2">
      <c r="B74" s="14">
        <v>69</v>
      </c>
      <c r="C74" s="17" t="s">
        <v>428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1464</v>
      </c>
    </row>
    <row r="75" spans="2:16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9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9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9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9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9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9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9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9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9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ref="K86:K87" si="7">IFERROR(IF((F86+M86+N86)/(E86+M86+N86+O86)=1,"1.00",(F86+M86+N86)/(E86+M86+N86+O86)),0)</f>
        <v>0</v>
      </c>
      <c r="L86" s="4">
        <f t="shared" ref="L86:L87" si="8">IFERROR(SUM(SUM(((F86-G86-H86-I86)*1),G86*2,H86*3,I86*4)/E86,((F86+M86+N86)/(E86+M86+N86+O86))),K86)</f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7"/>
        <v>0</v>
      </c>
      <c r="L87" s="4">
        <f t="shared" si="8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ref="K88:K140" si="9">IFERROR(IF((F88+M88+N88)/(E88+M88+N88+O88)=1,"1.00",(F88+M88+N88)/(E88+M88+N88+O88)),0)</f>
        <v>0</v>
      </c>
      <c r="L88" s="4">
        <f t="shared" ref="L88:L140" si="10">IFERROR(SUM(SUM(((F88-G88-H88-I88)*1),G88*2,H88*3,I88*4)/E88,((F88+M88+N88)/(E88+M88+N88+O88))),K88)</f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9"/>
        <v>0</v>
      </c>
      <c r="L89" s="4">
        <f t="shared" si="10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9"/>
        <v>0</v>
      </c>
      <c r="L90" s="4">
        <f t="shared" si="10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9"/>
        <v>0</v>
      </c>
      <c r="L91" s="4">
        <f t="shared" si="10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9"/>
        <v>0</v>
      </c>
      <c r="L92" s="4">
        <f t="shared" si="10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9"/>
        <v>0</v>
      </c>
      <c r="L93" s="4">
        <f t="shared" si="10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9"/>
        <v>0</v>
      </c>
      <c r="L94" s="4">
        <f t="shared" si="10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17" t="s">
        <v>1561</v>
      </c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9"/>
        <v>0</v>
      </c>
      <c r="L95" s="4">
        <f t="shared" si="10"/>
        <v>0</v>
      </c>
      <c r="M95" s="31">
        <v>0</v>
      </c>
      <c r="N95" s="32">
        <v>0</v>
      </c>
      <c r="O95" s="33">
        <v>0</v>
      </c>
      <c r="P95" s="2" t="s">
        <v>1465</v>
      </c>
    </row>
    <row r="96" spans="2:16" ht="13.8" x14ac:dyDescent="0.2">
      <c r="B96" s="14">
        <v>91</v>
      </c>
      <c r="C96" s="17" t="s">
        <v>212</v>
      </c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9"/>
        <v>0</v>
      </c>
      <c r="L96" s="4">
        <f t="shared" si="10"/>
        <v>0</v>
      </c>
      <c r="M96" s="31">
        <v>0</v>
      </c>
      <c r="N96" s="32">
        <v>0</v>
      </c>
      <c r="O96" s="33">
        <v>0</v>
      </c>
      <c r="P96" s="2" t="s">
        <v>1466</v>
      </c>
    </row>
    <row r="97" spans="2:16" ht="13.8" x14ac:dyDescent="0.2">
      <c r="B97" s="14">
        <v>92</v>
      </c>
      <c r="C97" s="17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9"/>
        <v>0</v>
      </c>
      <c r="L97" s="4">
        <f t="shared" si="10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9"/>
        <v>0</v>
      </c>
      <c r="L98" s="4">
        <f t="shared" si="10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17" t="s">
        <v>1562</v>
      </c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9"/>
        <v>0</v>
      </c>
      <c r="L99" s="4">
        <f t="shared" si="10"/>
        <v>0</v>
      </c>
      <c r="M99" s="31">
        <v>0</v>
      </c>
      <c r="N99" s="32">
        <v>0</v>
      </c>
      <c r="O99" s="33">
        <v>0</v>
      </c>
      <c r="P99" s="2" t="s">
        <v>1467</v>
      </c>
    </row>
    <row r="100" spans="2:16" ht="13.8" x14ac:dyDescent="0.2">
      <c r="B100" s="14">
        <v>95</v>
      </c>
      <c r="C100" s="17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9"/>
        <v>0</v>
      </c>
      <c r="L100" s="4">
        <f t="shared" si="10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9"/>
        <v>0</v>
      </c>
      <c r="L101" s="4">
        <f t="shared" si="10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9"/>
        <v>0</v>
      </c>
      <c r="L102" s="4">
        <f t="shared" si="10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9"/>
        <v>0</v>
      </c>
      <c r="L103" s="4">
        <f t="shared" si="10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17" t="s">
        <v>1563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9"/>
        <v>0</v>
      </c>
      <c r="L104" s="4">
        <f t="shared" si="10"/>
        <v>0</v>
      </c>
      <c r="M104" s="31">
        <v>0</v>
      </c>
      <c r="N104" s="32">
        <v>0</v>
      </c>
      <c r="O104" s="33">
        <v>0</v>
      </c>
      <c r="P104" s="2" t="s">
        <v>1407</v>
      </c>
    </row>
    <row r="105" spans="2:16" ht="13.8" x14ac:dyDescent="0.2">
      <c r="B105" s="14" t="s">
        <v>708</v>
      </c>
      <c r="C105" s="9" t="s">
        <v>1516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9"/>
        <v>0</v>
      </c>
      <c r="L105" s="4">
        <f t="shared" si="10"/>
        <v>0</v>
      </c>
      <c r="M105" s="31">
        <v>0</v>
      </c>
      <c r="N105" s="32">
        <v>0</v>
      </c>
      <c r="O105" s="33">
        <v>0</v>
      </c>
      <c r="P105" s="2" t="s">
        <v>1485</v>
      </c>
    </row>
    <row r="106" spans="2:16" ht="13.8" x14ac:dyDescent="0.2">
      <c r="B106" s="14" t="s">
        <v>709</v>
      </c>
      <c r="C106" s="9" t="s">
        <v>1408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9"/>
        <v>0</v>
      </c>
      <c r="L106" s="4">
        <f t="shared" si="10"/>
        <v>0</v>
      </c>
      <c r="M106" s="31">
        <v>0</v>
      </c>
      <c r="N106" s="32">
        <v>0</v>
      </c>
      <c r="O106" s="33">
        <v>0</v>
      </c>
      <c r="P106" s="2" t="s">
        <v>1408</v>
      </c>
    </row>
    <row r="107" spans="2:16" ht="13.8" x14ac:dyDescent="0.2">
      <c r="B107" s="14" t="s">
        <v>710</v>
      </c>
      <c r="C107" s="9" t="s">
        <v>1541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9"/>
        <v>0</v>
      </c>
      <c r="L107" s="4">
        <f t="shared" si="10"/>
        <v>0</v>
      </c>
      <c r="M107" s="31">
        <v>0</v>
      </c>
      <c r="N107" s="32">
        <v>0</v>
      </c>
      <c r="O107" s="33">
        <v>0</v>
      </c>
      <c r="P107" s="2" t="s">
        <v>1486</v>
      </c>
    </row>
    <row r="108" spans="2:16" ht="13.8" x14ac:dyDescent="0.2">
      <c r="B108" s="14" t="s">
        <v>712</v>
      </c>
      <c r="C108" s="9" t="s">
        <v>1517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9"/>
        <v>0</v>
      </c>
      <c r="L108" s="4">
        <f t="shared" si="10"/>
        <v>0</v>
      </c>
      <c r="M108" s="31">
        <v>0</v>
      </c>
      <c r="N108" s="32">
        <v>0</v>
      </c>
      <c r="O108" s="33">
        <v>0</v>
      </c>
      <c r="P108" s="2" t="s">
        <v>1487</v>
      </c>
    </row>
    <row r="109" spans="2:16" ht="13.8" x14ac:dyDescent="0.2">
      <c r="B109" s="14" t="s">
        <v>714</v>
      </c>
      <c r="C109" s="9" t="s">
        <v>1518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9"/>
        <v>0</v>
      </c>
      <c r="L109" s="4">
        <f t="shared" si="10"/>
        <v>0</v>
      </c>
      <c r="M109" s="31">
        <v>0</v>
      </c>
      <c r="N109" s="32">
        <v>0</v>
      </c>
      <c r="O109" s="33">
        <v>0</v>
      </c>
      <c r="P109" s="2" t="s">
        <v>1415</v>
      </c>
    </row>
    <row r="110" spans="2:16" ht="13.8" x14ac:dyDescent="0.2">
      <c r="B110" s="14" t="s">
        <v>715</v>
      </c>
      <c r="C110" s="9" t="s">
        <v>1409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9"/>
        <v>0</v>
      </c>
      <c r="L110" s="4">
        <f t="shared" si="10"/>
        <v>0</v>
      </c>
      <c r="M110" s="31">
        <v>0</v>
      </c>
      <c r="N110" s="32">
        <v>0</v>
      </c>
      <c r="O110" s="33">
        <v>0</v>
      </c>
      <c r="P110" s="2" t="s">
        <v>1409</v>
      </c>
    </row>
    <row r="111" spans="2:16" ht="13.8" x14ac:dyDescent="0.2">
      <c r="B111" s="14" t="s">
        <v>1468</v>
      </c>
      <c r="C111" s="9" t="s">
        <v>1519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9"/>
        <v>0</v>
      </c>
      <c r="L111" s="4">
        <f t="shared" si="10"/>
        <v>0</v>
      </c>
      <c r="M111" s="31">
        <v>0</v>
      </c>
      <c r="N111" s="32">
        <v>0</v>
      </c>
      <c r="O111" s="33">
        <v>0</v>
      </c>
      <c r="P111" s="2" t="s">
        <v>1488</v>
      </c>
    </row>
    <row r="112" spans="2:16" ht="13.8" x14ac:dyDescent="0.2">
      <c r="B112" s="14" t="s">
        <v>1469</v>
      </c>
      <c r="C112" s="9" t="s">
        <v>1520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9"/>
        <v>0</v>
      </c>
      <c r="L112" s="4">
        <f t="shared" si="10"/>
        <v>0</v>
      </c>
      <c r="M112" s="31">
        <v>0</v>
      </c>
      <c r="N112" s="32">
        <v>0</v>
      </c>
      <c r="O112" s="33">
        <v>0</v>
      </c>
      <c r="P112" s="2" t="s">
        <v>1489</v>
      </c>
    </row>
    <row r="113" spans="2:16" ht="13.8" x14ac:dyDescent="0.2">
      <c r="B113" s="14" t="s">
        <v>716</v>
      </c>
      <c r="C113" s="9" t="s">
        <v>1521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9"/>
        <v>0</v>
      </c>
      <c r="L113" s="4">
        <f t="shared" si="10"/>
        <v>0</v>
      </c>
      <c r="M113" s="31">
        <v>0</v>
      </c>
      <c r="N113" s="32">
        <v>0</v>
      </c>
      <c r="O113" s="33">
        <v>0</v>
      </c>
      <c r="P113" s="2" t="s">
        <v>1490</v>
      </c>
    </row>
    <row r="114" spans="2:16" ht="13.8" x14ac:dyDescent="0.2">
      <c r="B114" s="14" t="s">
        <v>718</v>
      </c>
      <c r="C114" s="9" t="s">
        <v>1410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9"/>
        <v>0</v>
      </c>
      <c r="L114" s="4">
        <f t="shared" si="10"/>
        <v>0</v>
      </c>
      <c r="M114" s="31">
        <v>0</v>
      </c>
      <c r="N114" s="32">
        <v>0</v>
      </c>
      <c r="O114" s="33">
        <v>0</v>
      </c>
      <c r="P114" s="2" t="s">
        <v>1410</v>
      </c>
    </row>
    <row r="115" spans="2:16" ht="13.8" x14ac:dyDescent="0.2">
      <c r="B115" s="14" t="s">
        <v>1470</v>
      </c>
      <c r="C115" s="9" t="s">
        <v>1522</v>
      </c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9"/>
        <v>0</v>
      </c>
      <c r="L115" s="4">
        <f t="shared" si="10"/>
        <v>0</v>
      </c>
      <c r="M115" s="31">
        <v>0</v>
      </c>
      <c r="N115" s="32">
        <v>0</v>
      </c>
      <c r="O115" s="33">
        <v>0</v>
      </c>
      <c r="P115" s="2" t="s">
        <v>1491</v>
      </c>
    </row>
    <row r="116" spans="2:16" ht="13.8" x14ac:dyDescent="0.2">
      <c r="B116" s="14" t="s">
        <v>1471</v>
      </c>
      <c r="C116" s="9" t="s">
        <v>1523</v>
      </c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9"/>
        <v>0</v>
      </c>
      <c r="L116" s="4">
        <f t="shared" si="10"/>
        <v>0</v>
      </c>
      <c r="M116" s="31">
        <v>0</v>
      </c>
      <c r="N116" s="32">
        <v>0</v>
      </c>
      <c r="O116" s="33">
        <v>0</v>
      </c>
      <c r="P116" s="2" t="s">
        <v>1492</v>
      </c>
    </row>
    <row r="117" spans="2:16" ht="13.8" x14ac:dyDescent="0.2">
      <c r="B117" s="14" t="s">
        <v>1472</v>
      </c>
      <c r="C117" s="9" t="s">
        <v>1524</v>
      </c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9"/>
        <v>0</v>
      </c>
      <c r="L117" s="4">
        <f t="shared" si="10"/>
        <v>0</v>
      </c>
      <c r="M117" s="31">
        <v>0</v>
      </c>
      <c r="N117" s="32">
        <v>0</v>
      </c>
      <c r="O117" s="33">
        <v>0</v>
      </c>
      <c r="P117" s="2" t="s">
        <v>1493</v>
      </c>
    </row>
    <row r="118" spans="2:16" ht="13.8" x14ac:dyDescent="0.2">
      <c r="B118" s="14" t="s">
        <v>1392</v>
      </c>
      <c r="C118" s="9" t="s">
        <v>1525</v>
      </c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9"/>
        <v>0</v>
      </c>
      <c r="L118" s="4">
        <f t="shared" si="10"/>
        <v>0</v>
      </c>
      <c r="M118" s="31">
        <v>0</v>
      </c>
      <c r="N118" s="32">
        <v>0</v>
      </c>
      <c r="O118" s="33">
        <v>0</v>
      </c>
      <c r="P118" s="2" t="s">
        <v>1494</v>
      </c>
    </row>
    <row r="119" spans="2:16" ht="13.8" x14ac:dyDescent="0.2">
      <c r="B119" s="14" t="s">
        <v>1393</v>
      </c>
      <c r="C119" s="9" t="s">
        <v>1526</v>
      </c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9"/>
        <v>0</v>
      </c>
      <c r="L119" s="4">
        <f t="shared" si="10"/>
        <v>0</v>
      </c>
      <c r="M119" s="31">
        <v>0</v>
      </c>
      <c r="N119" s="32">
        <v>0</v>
      </c>
      <c r="O119" s="33">
        <v>0</v>
      </c>
      <c r="P119" s="2" t="s">
        <v>1495</v>
      </c>
    </row>
    <row r="120" spans="2:16" ht="13.8" x14ac:dyDescent="0.2">
      <c r="B120" s="14" t="s">
        <v>1394</v>
      </c>
      <c r="C120" s="9" t="s">
        <v>1527</v>
      </c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9"/>
        <v>0</v>
      </c>
      <c r="L120" s="4">
        <f t="shared" si="10"/>
        <v>0</v>
      </c>
      <c r="M120" s="31">
        <v>0</v>
      </c>
      <c r="N120" s="32">
        <v>0</v>
      </c>
      <c r="O120" s="33">
        <v>0</v>
      </c>
      <c r="P120" s="2" t="s">
        <v>1496</v>
      </c>
    </row>
    <row r="121" spans="2:16" ht="13.8" x14ac:dyDescent="0.2">
      <c r="B121" s="14" t="s">
        <v>1395</v>
      </c>
      <c r="C121" s="9" t="s">
        <v>1528</v>
      </c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9"/>
        <v>0</v>
      </c>
      <c r="L121" s="4">
        <f t="shared" si="10"/>
        <v>0</v>
      </c>
      <c r="M121" s="31">
        <v>0</v>
      </c>
      <c r="N121" s="32">
        <v>0</v>
      </c>
      <c r="O121" s="33">
        <v>0</v>
      </c>
      <c r="P121" s="2" t="s">
        <v>1497</v>
      </c>
    </row>
    <row r="122" spans="2:16" ht="13.8" x14ac:dyDescent="0.2">
      <c r="B122" s="14" t="s">
        <v>1473</v>
      </c>
      <c r="C122" s="9" t="s">
        <v>1529</v>
      </c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9"/>
        <v>0</v>
      </c>
      <c r="L122" s="4">
        <f t="shared" si="10"/>
        <v>0</v>
      </c>
      <c r="M122" s="31">
        <v>0</v>
      </c>
      <c r="N122" s="32">
        <v>0</v>
      </c>
      <c r="O122" s="33">
        <v>0</v>
      </c>
      <c r="P122" s="2" t="s">
        <v>1498</v>
      </c>
    </row>
    <row r="123" spans="2:16" ht="13.8" x14ac:dyDescent="0.2">
      <c r="B123" s="14" t="s">
        <v>1396</v>
      </c>
      <c r="C123" s="9" t="s">
        <v>1530</v>
      </c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9"/>
        <v>0</v>
      </c>
      <c r="L123" s="4">
        <f t="shared" si="10"/>
        <v>0</v>
      </c>
      <c r="M123" s="31">
        <v>0</v>
      </c>
      <c r="N123" s="32">
        <v>0</v>
      </c>
      <c r="O123" s="33">
        <v>0</v>
      </c>
      <c r="P123" s="2" t="s">
        <v>1499</v>
      </c>
    </row>
    <row r="124" spans="2:16" ht="13.8" x14ac:dyDescent="0.2">
      <c r="B124" s="14" t="s">
        <v>1397</v>
      </c>
      <c r="C124" s="9" t="s">
        <v>1531</v>
      </c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9"/>
        <v>0</v>
      </c>
      <c r="L124" s="4">
        <f t="shared" si="10"/>
        <v>0</v>
      </c>
      <c r="M124" s="31">
        <v>0</v>
      </c>
      <c r="N124" s="32">
        <v>0</v>
      </c>
      <c r="O124" s="33">
        <v>0</v>
      </c>
      <c r="P124" s="2" t="s">
        <v>1500</v>
      </c>
    </row>
    <row r="125" spans="2:16" ht="13.8" x14ac:dyDescent="0.2">
      <c r="B125" s="14" t="s">
        <v>1474</v>
      </c>
      <c r="C125" s="9" t="s">
        <v>1532</v>
      </c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9"/>
        <v>0</v>
      </c>
      <c r="L125" s="4">
        <f t="shared" si="10"/>
        <v>0</v>
      </c>
      <c r="M125" s="31">
        <v>0</v>
      </c>
      <c r="N125" s="32">
        <v>0</v>
      </c>
      <c r="O125" s="33">
        <v>0</v>
      </c>
      <c r="P125" s="2" t="s">
        <v>1501</v>
      </c>
    </row>
    <row r="126" spans="2:16" ht="13.8" x14ac:dyDescent="0.2">
      <c r="B126" s="14" t="s">
        <v>1398</v>
      </c>
      <c r="C126" s="9" t="s">
        <v>1533</v>
      </c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9"/>
        <v>0</v>
      </c>
      <c r="L126" s="4">
        <f t="shared" si="10"/>
        <v>0</v>
      </c>
      <c r="M126" s="31">
        <v>0</v>
      </c>
      <c r="N126" s="32">
        <v>0</v>
      </c>
      <c r="O126" s="33">
        <v>0</v>
      </c>
      <c r="P126" s="2" t="s">
        <v>1502</v>
      </c>
    </row>
    <row r="127" spans="2:16" ht="13.8" x14ac:dyDescent="0.2">
      <c r="B127" s="14" t="s">
        <v>1399</v>
      </c>
      <c r="C127" s="9" t="s">
        <v>1534</v>
      </c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9"/>
        <v>0</v>
      </c>
      <c r="L127" s="4">
        <f t="shared" si="10"/>
        <v>0</v>
      </c>
      <c r="M127" s="31">
        <v>0</v>
      </c>
      <c r="N127" s="32">
        <v>0</v>
      </c>
      <c r="O127" s="33">
        <v>0</v>
      </c>
      <c r="P127" s="2" t="s">
        <v>1503</v>
      </c>
    </row>
    <row r="128" spans="2:16" ht="13.8" x14ac:dyDescent="0.2">
      <c r="B128" s="14" t="s">
        <v>604</v>
      </c>
      <c r="C128" s="9" t="s">
        <v>1535</v>
      </c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9"/>
        <v>0</v>
      </c>
      <c r="L128" s="4">
        <f t="shared" si="10"/>
        <v>0</v>
      </c>
      <c r="M128" s="31">
        <v>0</v>
      </c>
      <c r="N128" s="32">
        <v>0</v>
      </c>
      <c r="O128" s="33">
        <v>0</v>
      </c>
      <c r="P128" s="2" t="s">
        <v>1504</v>
      </c>
    </row>
    <row r="129" spans="2:16" ht="13.8" x14ac:dyDescent="0.2">
      <c r="B129" s="14" t="s">
        <v>1475</v>
      </c>
      <c r="C129" s="9" t="s">
        <v>1536</v>
      </c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9"/>
        <v>0</v>
      </c>
      <c r="L129" s="4">
        <f t="shared" si="10"/>
        <v>0</v>
      </c>
      <c r="M129" s="31">
        <v>0</v>
      </c>
      <c r="N129" s="32">
        <v>0</v>
      </c>
      <c r="O129" s="33">
        <v>0</v>
      </c>
      <c r="P129" s="2" t="s">
        <v>1505</v>
      </c>
    </row>
    <row r="130" spans="2:16" ht="13.8" x14ac:dyDescent="0.2">
      <c r="B130" s="14" t="s">
        <v>1400</v>
      </c>
      <c r="C130" s="9" t="s">
        <v>1537</v>
      </c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9"/>
        <v>0</v>
      </c>
      <c r="L130" s="4">
        <f t="shared" si="10"/>
        <v>0</v>
      </c>
      <c r="M130" s="31">
        <v>0</v>
      </c>
      <c r="N130" s="32">
        <v>0</v>
      </c>
      <c r="O130" s="33">
        <v>0</v>
      </c>
      <c r="P130" s="2" t="s">
        <v>1506</v>
      </c>
    </row>
    <row r="131" spans="2:16" ht="13.8" x14ac:dyDescent="0.2">
      <c r="B131" s="14" t="s">
        <v>1401</v>
      </c>
      <c r="C131" s="9" t="s">
        <v>1538</v>
      </c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9"/>
        <v>0</v>
      </c>
      <c r="L131" s="4">
        <f t="shared" si="10"/>
        <v>0</v>
      </c>
      <c r="M131" s="31">
        <v>0</v>
      </c>
      <c r="N131" s="32">
        <v>0</v>
      </c>
      <c r="O131" s="33">
        <v>0</v>
      </c>
      <c r="P131" s="2" t="s">
        <v>1507</v>
      </c>
    </row>
    <row r="132" spans="2:16" ht="13.8" x14ac:dyDescent="0.2">
      <c r="B132" s="14" t="s">
        <v>1476</v>
      </c>
      <c r="C132" s="9" t="s">
        <v>1539</v>
      </c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9"/>
        <v>0</v>
      </c>
      <c r="L132" s="4">
        <f t="shared" si="10"/>
        <v>0</v>
      </c>
      <c r="M132" s="31">
        <v>0</v>
      </c>
      <c r="N132" s="32">
        <v>0</v>
      </c>
      <c r="O132" s="33">
        <v>0</v>
      </c>
      <c r="P132" s="2" t="s">
        <v>1508</v>
      </c>
    </row>
    <row r="133" spans="2:16" ht="13.8" x14ac:dyDescent="0.2">
      <c r="B133" s="14" t="s">
        <v>1477</v>
      </c>
      <c r="C133" s="9" t="s">
        <v>1540</v>
      </c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si="9"/>
        <v>0</v>
      </c>
      <c r="L133" s="4">
        <f t="shared" si="10"/>
        <v>0</v>
      </c>
      <c r="M133" s="31">
        <v>0</v>
      </c>
      <c r="N133" s="32">
        <v>0</v>
      </c>
      <c r="O133" s="33">
        <v>0</v>
      </c>
      <c r="P133" s="2" t="s">
        <v>1509</v>
      </c>
    </row>
    <row r="134" spans="2:16" ht="13.8" x14ac:dyDescent="0.2">
      <c r="B134" s="14" t="s">
        <v>1478</v>
      </c>
      <c r="C134" s="9" t="s">
        <v>1542</v>
      </c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9"/>
        <v>0</v>
      </c>
      <c r="L134" s="4">
        <f t="shared" si="10"/>
        <v>0</v>
      </c>
      <c r="M134" s="31">
        <v>0</v>
      </c>
      <c r="N134" s="32">
        <v>0</v>
      </c>
      <c r="O134" s="33">
        <v>0</v>
      </c>
      <c r="P134" s="2" t="s">
        <v>1510</v>
      </c>
    </row>
    <row r="135" spans="2:16" ht="13.8" x14ac:dyDescent="0.2">
      <c r="B135" s="14" t="s">
        <v>1479</v>
      </c>
      <c r="C135" s="9" t="s">
        <v>1543</v>
      </c>
      <c r="D135" s="15">
        <f t="shared" ref="D135:D140" si="11">IFERROR(IF(F135/E135=1,"1.00",F135/E135),0)</f>
        <v>0</v>
      </c>
      <c r="E135" s="5">
        <v>0</v>
      </c>
      <c r="F135" s="16">
        <v>0</v>
      </c>
      <c r="G135" s="16">
        <v>0</v>
      </c>
      <c r="H135" s="16">
        <v>0</v>
      </c>
      <c r="I135" s="6">
        <v>0</v>
      </c>
      <c r="J135" s="7">
        <v>0</v>
      </c>
      <c r="K135" s="4">
        <f t="shared" si="9"/>
        <v>0</v>
      </c>
      <c r="L135" s="4">
        <f t="shared" si="10"/>
        <v>0</v>
      </c>
      <c r="M135" s="31">
        <v>0</v>
      </c>
      <c r="N135" s="32">
        <v>0</v>
      </c>
      <c r="O135" s="33">
        <v>0</v>
      </c>
      <c r="P135" s="2" t="s">
        <v>1511</v>
      </c>
    </row>
    <row r="136" spans="2:16" ht="13.8" x14ac:dyDescent="0.2">
      <c r="B136" s="14" t="s">
        <v>1480</v>
      </c>
      <c r="C136" s="9" t="s">
        <v>1544</v>
      </c>
      <c r="D136" s="15">
        <f t="shared" si="11"/>
        <v>0</v>
      </c>
      <c r="E136" s="5">
        <v>0</v>
      </c>
      <c r="F136" s="16">
        <v>0</v>
      </c>
      <c r="G136" s="16">
        <v>0</v>
      </c>
      <c r="H136" s="16">
        <v>0</v>
      </c>
      <c r="I136" s="6">
        <v>0</v>
      </c>
      <c r="J136" s="7">
        <v>0</v>
      </c>
      <c r="K136" s="4">
        <f t="shared" si="9"/>
        <v>0</v>
      </c>
      <c r="L136" s="4">
        <f t="shared" si="10"/>
        <v>0</v>
      </c>
      <c r="M136" s="31">
        <v>0</v>
      </c>
      <c r="N136" s="32">
        <v>0</v>
      </c>
      <c r="O136" s="33">
        <v>0</v>
      </c>
      <c r="P136" s="2" t="s">
        <v>1512</v>
      </c>
    </row>
    <row r="137" spans="2:16" ht="13.8" x14ac:dyDescent="0.2">
      <c r="B137" s="14" t="s">
        <v>1481</v>
      </c>
      <c r="C137" s="9" t="s">
        <v>1545</v>
      </c>
      <c r="D137" s="15">
        <f t="shared" si="11"/>
        <v>0</v>
      </c>
      <c r="E137" s="5">
        <v>0</v>
      </c>
      <c r="F137" s="16">
        <v>0</v>
      </c>
      <c r="G137" s="16">
        <v>0</v>
      </c>
      <c r="H137" s="16">
        <v>0</v>
      </c>
      <c r="I137" s="6">
        <v>0</v>
      </c>
      <c r="J137" s="7">
        <v>0</v>
      </c>
      <c r="K137" s="4">
        <f t="shared" si="9"/>
        <v>0</v>
      </c>
      <c r="L137" s="4">
        <f t="shared" si="10"/>
        <v>0</v>
      </c>
      <c r="M137" s="31">
        <v>0</v>
      </c>
      <c r="N137" s="32">
        <v>0</v>
      </c>
      <c r="O137" s="33">
        <v>0</v>
      </c>
      <c r="P137" s="2" t="s">
        <v>1513</v>
      </c>
    </row>
    <row r="138" spans="2:16" ht="13.8" x14ac:dyDescent="0.2">
      <c r="B138" s="14" t="s">
        <v>1482</v>
      </c>
      <c r="C138" s="9" t="s">
        <v>1546</v>
      </c>
      <c r="D138" s="15">
        <f t="shared" si="11"/>
        <v>0</v>
      </c>
      <c r="E138" s="5">
        <v>0</v>
      </c>
      <c r="F138" s="16">
        <v>0</v>
      </c>
      <c r="G138" s="16">
        <v>0</v>
      </c>
      <c r="H138" s="16">
        <v>0</v>
      </c>
      <c r="I138" s="6">
        <v>0</v>
      </c>
      <c r="J138" s="7">
        <v>0</v>
      </c>
      <c r="K138" s="4">
        <f t="shared" si="9"/>
        <v>0</v>
      </c>
      <c r="L138" s="4">
        <f t="shared" si="10"/>
        <v>0</v>
      </c>
      <c r="M138" s="31">
        <v>0</v>
      </c>
      <c r="N138" s="32">
        <v>0</v>
      </c>
      <c r="O138" s="33">
        <v>0</v>
      </c>
      <c r="P138" s="2" t="s">
        <v>1514</v>
      </c>
    </row>
    <row r="139" spans="2:16" ht="13.8" x14ac:dyDescent="0.2">
      <c r="B139" s="14" t="s">
        <v>1483</v>
      </c>
      <c r="C139" s="9" t="s">
        <v>1539</v>
      </c>
      <c r="D139" s="15">
        <f t="shared" si="11"/>
        <v>0</v>
      </c>
      <c r="E139" s="5">
        <v>0</v>
      </c>
      <c r="F139" s="16">
        <v>0</v>
      </c>
      <c r="G139" s="16">
        <v>0</v>
      </c>
      <c r="H139" s="16">
        <v>0</v>
      </c>
      <c r="I139" s="6">
        <v>0</v>
      </c>
      <c r="J139" s="7">
        <v>0</v>
      </c>
      <c r="K139" s="4">
        <f t="shared" si="9"/>
        <v>0</v>
      </c>
      <c r="L139" s="4">
        <f t="shared" si="10"/>
        <v>0</v>
      </c>
      <c r="M139" s="31">
        <v>0</v>
      </c>
      <c r="N139" s="32">
        <v>0</v>
      </c>
      <c r="O139" s="33">
        <v>0</v>
      </c>
      <c r="P139" s="2" t="s">
        <v>1515</v>
      </c>
    </row>
    <row r="140" spans="2:16" ht="13.8" x14ac:dyDescent="0.2">
      <c r="B140" s="14" t="s">
        <v>1484</v>
      </c>
      <c r="C140" s="9" t="s">
        <v>566</v>
      </c>
      <c r="D140" s="15">
        <f t="shared" si="11"/>
        <v>0</v>
      </c>
      <c r="E140" s="5">
        <v>0</v>
      </c>
      <c r="F140" s="16">
        <v>0</v>
      </c>
      <c r="G140" s="16">
        <v>0</v>
      </c>
      <c r="H140" s="16">
        <v>0</v>
      </c>
      <c r="I140" s="6">
        <v>0</v>
      </c>
      <c r="J140" s="7">
        <v>0</v>
      </c>
      <c r="K140" s="4">
        <f t="shared" si="9"/>
        <v>0</v>
      </c>
      <c r="L140" s="4">
        <f t="shared" si="10"/>
        <v>0</v>
      </c>
      <c r="M140" s="31">
        <v>0</v>
      </c>
      <c r="N140" s="32">
        <v>0</v>
      </c>
      <c r="O140" s="33">
        <v>0</v>
      </c>
      <c r="P140" s="2" t="s">
        <v>566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89"/>
      <c r="C2" s="89"/>
      <c r="D2" s="4">
        <f>IFERROR(F2/E2,0)</f>
        <v>0</v>
      </c>
      <c r="E2" s="5">
        <f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84" t="s">
        <v>217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895</v>
      </c>
      <c r="H3" s="9" t="s">
        <v>896</v>
      </c>
      <c r="I3" s="12" t="s">
        <v>9</v>
      </c>
      <c r="J3" s="13" t="s">
        <v>10</v>
      </c>
      <c r="K3" s="34" t="s">
        <v>737</v>
      </c>
      <c r="L3" s="10" t="s">
        <v>894</v>
      </c>
      <c r="M3" s="9" t="s">
        <v>744</v>
      </c>
      <c r="N3" s="9" t="s">
        <v>745</v>
      </c>
      <c r="O3" s="9" t="s">
        <v>743</v>
      </c>
      <c r="P3" s="84"/>
    </row>
    <row r="4" spans="2:16" ht="13.8" x14ac:dyDescent="0.2">
      <c r="B4" s="14" t="s">
        <v>85</v>
      </c>
      <c r="C4" s="17" t="s">
        <v>137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1564</v>
      </c>
    </row>
    <row r="5" spans="2:16" ht="13.8" x14ac:dyDescent="0.2">
      <c r="B5" s="14">
        <v>0</v>
      </c>
      <c r="C5" s="17" t="s">
        <v>575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1565</v>
      </c>
    </row>
    <row r="6" spans="2:16" ht="13.8" x14ac:dyDescent="0.2">
      <c r="B6" s="14">
        <v>1</v>
      </c>
      <c r="C6" s="17" t="s">
        <v>38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1566</v>
      </c>
    </row>
    <row r="7" spans="2:16" ht="13.8" x14ac:dyDescent="0.2">
      <c r="B7" s="14">
        <v>2</v>
      </c>
      <c r="C7" s="17"/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/>
    </row>
    <row r="8" spans="2:16" ht="13.8" x14ac:dyDescent="0.2">
      <c r="B8" s="14">
        <v>3</v>
      </c>
      <c r="C8" s="17" t="s">
        <v>39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1567</v>
      </c>
    </row>
    <row r="9" spans="2:16" ht="13.8" x14ac:dyDescent="0.2">
      <c r="B9" s="14">
        <v>4</v>
      </c>
      <c r="C9" s="17" t="s">
        <v>1632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1568</v>
      </c>
    </row>
    <row r="10" spans="2:16" ht="13.8" x14ac:dyDescent="0.2">
      <c r="B10" s="14">
        <v>5</v>
      </c>
      <c r="C10" s="17" t="s">
        <v>40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1569</v>
      </c>
    </row>
    <row r="11" spans="2:16" ht="13.8" x14ac:dyDescent="0.2">
      <c r="B11" s="14">
        <v>6</v>
      </c>
      <c r="C11" s="9" t="s">
        <v>576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1570</v>
      </c>
    </row>
    <row r="12" spans="2:16" ht="13.8" x14ac:dyDescent="0.2">
      <c r="B12" s="14">
        <v>7</v>
      </c>
      <c r="C12" s="9" t="s">
        <v>577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1571</v>
      </c>
    </row>
    <row r="13" spans="2:16" ht="13.8" x14ac:dyDescent="0.2">
      <c r="B13" s="14">
        <v>8</v>
      </c>
      <c r="C13" s="17" t="s">
        <v>138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1572</v>
      </c>
    </row>
    <row r="14" spans="2:16" ht="13.8" x14ac:dyDescent="0.2">
      <c r="B14" s="14">
        <v>9</v>
      </c>
      <c r="C14" s="17" t="s">
        <v>41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 t="s">
        <v>1573</v>
      </c>
    </row>
    <row r="15" spans="2:16" ht="13.8" x14ac:dyDescent="0.2">
      <c r="B15" s="14">
        <v>10</v>
      </c>
      <c r="C15" s="17" t="s">
        <v>42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1575</v>
      </c>
    </row>
    <row r="16" spans="2:16" ht="13.8" x14ac:dyDescent="0.2">
      <c r="B16" s="14">
        <v>11</v>
      </c>
      <c r="C16" s="17" t="s">
        <v>220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1576</v>
      </c>
    </row>
    <row r="17" spans="2:16" ht="13.8" x14ac:dyDescent="0.2">
      <c r="B17" s="14">
        <v>12</v>
      </c>
      <c r="C17" s="17" t="s">
        <v>45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1577</v>
      </c>
    </row>
    <row r="18" spans="2:16" ht="13.8" x14ac:dyDescent="0.2">
      <c r="B18" s="14">
        <v>13</v>
      </c>
      <c r="C18" s="17" t="s">
        <v>578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568</v>
      </c>
    </row>
    <row r="19" spans="2:16" ht="13.8" x14ac:dyDescent="0.2">
      <c r="B19" s="14">
        <v>14</v>
      </c>
      <c r="C19" s="17" t="s">
        <v>130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1578</v>
      </c>
    </row>
    <row r="20" spans="2:16" ht="13.8" x14ac:dyDescent="0.2">
      <c r="B20" s="14">
        <v>15</v>
      </c>
      <c r="C20" s="2" t="s">
        <v>364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1579</v>
      </c>
    </row>
    <row r="21" spans="2:16" ht="13.8" x14ac:dyDescent="0.2">
      <c r="B21" s="14">
        <v>16</v>
      </c>
      <c r="C21" s="17" t="s">
        <v>35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1580</v>
      </c>
    </row>
    <row r="22" spans="2:16" ht="13.8" x14ac:dyDescent="0.2">
      <c r="B22" s="14">
        <v>17</v>
      </c>
      <c r="C22" s="17" t="s">
        <v>131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1581</v>
      </c>
    </row>
    <row r="23" spans="2:16" ht="13.8" x14ac:dyDescent="0.2">
      <c r="B23" s="14">
        <v>18</v>
      </c>
      <c r="C23" s="17" t="s">
        <v>44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1582</v>
      </c>
    </row>
    <row r="24" spans="2:16" ht="13.8" x14ac:dyDescent="0.2">
      <c r="B24" s="14">
        <v>19</v>
      </c>
      <c r="C24" s="17" t="s">
        <v>26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1583</v>
      </c>
    </row>
    <row r="25" spans="2:16" ht="13.8" x14ac:dyDescent="0.2">
      <c r="B25" s="14">
        <v>20</v>
      </c>
      <c r="C25" s="17" t="s">
        <v>579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1584</v>
      </c>
    </row>
    <row r="26" spans="2:16" ht="13.8" x14ac:dyDescent="0.2">
      <c r="B26" s="14">
        <v>21</v>
      </c>
      <c r="C26" s="17" t="s">
        <v>580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1585</v>
      </c>
    </row>
    <row r="27" spans="2:16" ht="13.8" x14ac:dyDescent="0.2">
      <c r="B27" s="14">
        <v>22</v>
      </c>
      <c r="C27" s="17"/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17" t="s">
        <v>43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1586</v>
      </c>
    </row>
    <row r="29" spans="2:16" ht="13.8" x14ac:dyDescent="0.2">
      <c r="B29" s="14">
        <v>24</v>
      </c>
      <c r="C29" s="17" t="s">
        <v>36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1587</v>
      </c>
    </row>
    <row r="30" spans="2:16" ht="13.8" x14ac:dyDescent="0.2">
      <c r="B30" s="14">
        <v>25</v>
      </c>
      <c r="C30" s="17" t="s">
        <v>581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569</v>
      </c>
    </row>
    <row r="31" spans="2:16" ht="13.8" x14ac:dyDescent="0.2">
      <c r="B31" s="14">
        <v>26</v>
      </c>
      <c r="C31" s="17" t="s">
        <v>133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1588</v>
      </c>
    </row>
    <row r="32" spans="2:16" ht="13.8" x14ac:dyDescent="0.2">
      <c r="B32" s="14">
        <v>27</v>
      </c>
      <c r="C32" s="9" t="s">
        <v>1633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1589</v>
      </c>
    </row>
    <row r="33" spans="2:16" ht="13.8" x14ac:dyDescent="0.2">
      <c r="B33" s="14">
        <v>28</v>
      </c>
      <c r="C33" s="17" t="s">
        <v>1634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1590</v>
      </c>
    </row>
    <row r="34" spans="2:16" ht="13.8" x14ac:dyDescent="0.2">
      <c r="B34" s="14">
        <v>29</v>
      </c>
      <c r="C34" s="17" t="s">
        <v>46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1591</v>
      </c>
    </row>
    <row r="35" spans="2:16" ht="13.8" x14ac:dyDescent="0.2">
      <c r="B35" s="14">
        <v>30</v>
      </c>
      <c r="C35" s="17" t="s">
        <v>47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1592</v>
      </c>
    </row>
    <row r="36" spans="2:16" ht="13.8" x14ac:dyDescent="0.2">
      <c r="B36" s="14">
        <v>31</v>
      </c>
      <c r="C36" s="17" t="s">
        <v>48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1593</v>
      </c>
    </row>
    <row r="37" spans="2:16" ht="13.8" x14ac:dyDescent="0.2">
      <c r="B37" s="14">
        <v>32</v>
      </c>
      <c r="C37" s="17" t="s">
        <v>582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1594</v>
      </c>
    </row>
    <row r="38" spans="2:16" ht="13.8" x14ac:dyDescent="0.2">
      <c r="B38" s="14">
        <v>33</v>
      </c>
      <c r="C38" s="17" t="s">
        <v>142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1595</v>
      </c>
    </row>
    <row r="39" spans="2:16" ht="13.8" x14ac:dyDescent="0.2">
      <c r="B39" s="14">
        <v>34</v>
      </c>
      <c r="C39" s="17" t="s">
        <v>116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1596</v>
      </c>
    </row>
    <row r="40" spans="2:16" ht="13.8" x14ac:dyDescent="0.2">
      <c r="B40" s="14">
        <v>35</v>
      </c>
      <c r="C40" s="17" t="s">
        <v>229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1574</v>
      </c>
    </row>
    <row r="41" spans="2:16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17" t="s">
        <v>134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808</v>
      </c>
    </row>
    <row r="43" spans="2:16" ht="13.8" x14ac:dyDescent="0.2">
      <c r="B43" s="14">
        <v>38</v>
      </c>
      <c r="C43" s="17" t="s">
        <v>49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1597</v>
      </c>
    </row>
    <row r="44" spans="2:16" ht="13.8" x14ac:dyDescent="0.2">
      <c r="B44" s="14">
        <v>39</v>
      </c>
      <c r="C44" s="17" t="s">
        <v>50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1598</v>
      </c>
    </row>
    <row r="45" spans="2:16" ht="13.8" x14ac:dyDescent="0.2">
      <c r="B45" s="14">
        <v>40</v>
      </c>
      <c r="C45" s="17" t="s">
        <v>135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1599</v>
      </c>
    </row>
    <row r="46" spans="2:16" ht="13.8" x14ac:dyDescent="0.2">
      <c r="B46" s="14">
        <v>41</v>
      </c>
      <c r="C46" s="17" t="s">
        <v>1635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1600</v>
      </c>
    </row>
    <row r="47" spans="2:16" ht="13.8" x14ac:dyDescent="0.2">
      <c r="B47" s="14">
        <v>42</v>
      </c>
      <c r="C47" s="17" t="s">
        <v>51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1601</v>
      </c>
    </row>
    <row r="48" spans="2:16" ht="13.8" x14ac:dyDescent="0.2">
      <c r="B48" s="14">
        <v>43</v>
      </c>
      <c r="C48" s="17"/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17" t="s">
        <v>221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1602</v>
      </c>
    </row>
    <row r="50" spans="2:16" ht="13.8" x14ac:dyDescent="0.2">
      <c r="B50" s="14">
        <v>45</v>
      </c>
      <c r="C50" s="17" t="s">
        <v>222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1603</v>
      </c>
    </row>
    <row r="51" spans="2:16" ht="13.8" x14ac:dyDescent="0.2">
      <c r="B51" s="14">
        <v>46</v>
      </c>
      <c r="C51" s="17" t="s">
        <v>139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1604</v>
      </c>
    </row>
    <row r="52" spans="2:16" ht="13.8" x14ac:dyDescent="0.2">
      <c r="B52" s="14">
        <v>47</v>
      </c>
      <c r="C52" s="17" t="s">
        <v>55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1605</v>
      </c>
    </row>
    <row r="53" spans="2:16" ht="13.8" x14ac:dyDescent="0.2">
      <c r="B53" s="14">
        <v>48</v>
      </c>
      <c r="C53" s="17" t="s">
        <v>37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1606</v>
      </c>
    </row>
    <row r="54" spans="2:16" ht="13.8" x14ac:dyDescent="0.2">
      <c r="B54" s="14">
        <v>49</v>
      </c>
      <c r="C54" s="17" t="s">
        <v>54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1607</v>
      </c>
    </row>
    <row r="55" spans="2:16" ht="13.8" x14ac:dyDescent="0.2">
      <c r="B55" s="14">
        <v>50</v>
      </c>
      <c r="C55" s="17" t="s">
        <v>1636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809</v>
      </c>
    </row>
    <row r="56" spans="2:16" ht="13.8" x14ac:dyDescent="0.2">
      <c r="B56" s="14">
        <v>51</v>
      </c>
      <c r="C56" s="17" t="s">
        <v>140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1608</v>
      </c>
    </row>
    <row r="57" spans="2:16" ht="13.8" x14ac:dyDescent="0.2">
      <c r="B57" s="14">
        <v>52</v>
      </c>
      <c r="C57" s="17" t="s">
        <v>1637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1609</v>
      </c>
    </row>
    <row r="58" spans="2:16" ht="13.8" x14ac:dyDescent="0.2">
      <c r="B58" s="14">
        <v>53</v>
      </c>
      <c r="C58" s="17" t="s">
        <v>227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1610</v>
      </c>
    </row>
    <row r="59" spans="2:16" ht="13.8" x14ac:dyDescent="0.2">
      <c r="B59" s="14">
        <v>54</v>
      </c>
      <c r="C59" s="17" t="s">
        <v>583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570</v>
      </c>
    </row>
    <row r="60" spans="2:16" ht="13.8" x14ac:dyDescent="0.2">
      <c r="B60" s="14">
        <v>55</v>
      </c>
      <c r="C60" s="17" t="s">
        <v>32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1611</v>
      </c>
    </row>
    <row r="61" spans="2:16" ht="13.8" x14ac:dyDescent="0.2">
      <c r="B61" s="14">
        <v>56</v>
      </c>
      <c r="C61" s="17" t="s">
        <v>84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1612</v>
      </c>
    </row>
    <row r="62" spans="2:16" ht="13.8" x14ac:dyDescent="0.2">
      <c r="B62" s="14">
        <v>57</v>
      </c>
      <c r="C62" s="17" t="s">
        <v>52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1613</v>
      </c>
    </row>
    <row r="63" spans="2:16" ht="13.8" x14ac:dyDescent="0.2">
      <c r="B63" s="14">
        <v>58</v>
      </c>
      <c r="C63" s="17" t="s">
        <v>223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1614</v>
      </c>
    </row>
    <row r="64" spans="2:16" ht="13.8" x14ac:dyDescent="0.2">
      <c r="B64" s="14">
        <v>59</v>
      </c>
      <c r="C64" s="17" t="s">
        <v>1638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1615</v>
      </c>
    </row>
    <row r="65" spans="2:16" ht="13.8" x14ac:dyDescent="0.2">
      <c r="B65" s="14">
        <v>60</v>
      </c>
      <c r="C65" s="17" t="s">
        <v>224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1616</v>
      </c>
    </row>
    <row r="66" spans="2:16" ht="13.8" x14ac:dyDescent="0.2">
      <c r="B66" s="14">
        <v>61</v>
      </c>
      <c r="C66" s="17" t="s">
        <v>136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1617</v>
      </c>
    </row>
    <row r="67" spans="2:16" ht="13.8" x14ac:dyDescent="0.2">
      <c r="B67" s="14">
        <v>62</v>
      </c>
      <c r="C67" s="17" t="s">
        <v>1639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1618</v>
      </c>
    </row>
    <row r="68" spans="2:16" ht="13.8" x14ac:dyDescent="0.2">
      <c r="B68" s="14">
        <v>63</v>
      </c>
      <c r="C68" s="9" t="s">
        <v>1640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1547</v>
      </c>
    </row>
    <row r="69" spans="2:16" ht="13.8" x14ac:dyDescent="0.2">
      <c r="B69" s="14">
        <v>64</v>
      </c>
      <c r="C69" s="17" t="s">
        <v>295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1619</v>
      </c>
    </row>
    <row r="70" spans="2:16" ht="13.8" x14ac:dyDescent="0.2">
      <c r="B70" s="14">
        <v>65</v>
      </c>
      <c r="C70" s="9" t="s">
        <v>584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1620</v>
      </c>
    </row>
    <row r="71" spans="2:16" ht="13.8" x14ac:dyDescent="0.2">
      <c r="B71" s="14">
        <v>66</v>
      </c>
      <c r="C71" s="17" t="s">
        <v>225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1621</v>
      </c>
    </row>
    <row r="72" spans="2:16" ht="13.8" x14ac:dyDescent="0.2">
      <c r="B72" s="14">
        <v>67</v>
      </c>
      <c r="C72" s="17" t="s">
        <v>585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1622</v>
      </c>
    </row>
    <row r="73" spans="2:16" ht="13.8" x14ac:dyDescent="0.2">
      <c r="B73" s="14">
        <v>68</v>
      </c>
      <c r="C73" s="17" t="s">
        <v>339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1623</v>
      </c>
    </row>
    <row r="74" spans="2:16" ht="13.8" x14ac:dyDescent="0.2">
      <c r="B74" s="14">
        <v>69</v>
      </c>
      <c r="C74" s="17" t="s">
        <v>226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1624</v>
      </c>
    </row>
    <row r="75" spans="2:16" ht="13.8" x14ac:dyDescent="0.2">
      <c r="B75" s="14">
        <v>70</v>
      </c>
      <c r="C75" s="17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 t="s">
        <v>736</v>
      </c>
    </row>
    <row r="76" spans="2:16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 t="s">
        <v>736</v>
      </c>
    </row>
    <row r="77" spans="2:16" ht="13.8" x14ac:dyDescent="0.2">
      <c r="B77" s="14">
        <v>72</v>
      </c>
      <c r="C77" s="8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 t="s">
        <v>736</v>
      </c>
    </row>
    <row r="78" spans="2:16" ht="13.8" x14ac:dyDescent="0.2">
      <c r="B78" s="14">
        <v>73</v>
      </c>
      <c r="C78" s="8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 t="s">
        <v>736</v>
      </c>
    </row>
    <row r="79" spans="2:16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 t="s">
        <v>736</v>
      </c>
    </row>
    <row r="80" spans="2:16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 t="s">
        <v>736</v>
      </c>
    </row>
    <row r="81" spans="2:16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 t="s">
        <v>736</v>
      </c>
    </row>
    <row r="82" spans="2:16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 t="s">
        <v>736</v>
      </c>
    </row>
    <row r="83" spans="2:16" ht="13.8" x14ac:dyDescent="0.2">
      <c r="B83" s="14">
        <v>78</v>
      </c>
      <c r="C83" s="8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 t="s">
        <v>736</v>
      </c>
    </row>
    <row r="84" spans="2:16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736</v>
      </c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 t="s">
        <v>736</v>
      </c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 t="s">
        <v>736</v>
      </c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 t="s">
        <v>736</v>
      </c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 t="s">
        <v>736</v>
      </c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 t="s">
        <v>736</v>
      </c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 t="s">
        <v>736</v>
      </c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 t="s">
        <v>736</v>
      </c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 t="s">
        <v>736</v>
      </c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 t="s">
        <v>736</v>
      </c>
    </row>
    <row r="94" spans="2:16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 t="s">
        <v>736</v>
      </c>
    </row>
    <row r="95" spans="2:16" ht="13.8" x14ac:dyDescent="0.2">
      <c r="B95" s="14">
        <v>90</v>
      </c>
      <c r="C95" s="17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 t="s">
        <v>736</v>
      </c>
    </row>
    <row r="96" spans="2:16" ht="13.8" x14ac:dyDescent="0.2">
      <c r="B96" s="14">
        <v>91</v>
      </c>
      <c r="C96" s="17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736</v>
      </c>
    </row>
    <row r="97" spans="2:16" ht="13.8" x14ac:dyDescent="0.2">
      <c r="B97" s="14">
        <v>92</v>
      </c>
      <c r="C97" s="8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736</v>
      </c>
    </row>
    <row r="98" spans="2:16" ht="13.8" x14ac:dyDescent="0.2">
      <c r="B98" s="14">
        <v>93</v>
      </c>
      <c r="C98" s="8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 t="s">
        <v>736</v>
      </c>
    </row>
    <row r="99" spans="2:16" ht="13.8" x14ac:dyDescent="0.2">
      <c r="B99" s="14">
        <v>94</v>
      </c>
      <c r="C99" s="8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 t="s">
        <v>736</v>
      </c>
    </row>
    <row r="100" spans="2:16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736</v>
      </c>
    </row>
    <row r="101" spans="2:16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 t="s">
        <v>736</v>
      </c>
    </row>
    <row r="102" spans="2:16" ht="13.8" x14ac:dyDescent="0.2">
      <c r="B102" s="14">
        <v>97</v>
      </c>
      <c r="C102" s="8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 t="s">
        <v>736</v>
      </c>
    </row>
    <row r="103" spans="2:16" ht="13.8" x14ac:dyDescent="0.2">
      <c r="B103" s="14" t="s">
        <v>228</v>
      </c>
      <c r="C103" s="8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 t="s">
        <v>736</v>
      </c>
    </row>
    <row r="104" spans="2:16" ht="13.8" x14ac:dyDescent="0.2">
      <c r="B104" s="14">
        <v>99</v>
      </c>
      <c r="C104" s="9"/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 t="s">
        <v>1470</v>
      </c>
      <c r="C105" s="18" t="s">
        <v>1641</v>
      </c>
      <c r="D105" s="19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1625</v>
      </c>
    </row>
    <row r="106" spans="2:16" ht="13.8" x14ac:dyDescent="0.2">
      <c r="B106" s="14" t="s">
        <v>1392</v>
      </c>
      <c r="C106" s="9" t="s">
        <v>1642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1626</v>
      </c>
    </row>
    <row r="107" spans="2:16" ht="13.8" x14ac:dyDescent="0.2">
      <c r="B107" s="14" t="s">
        <v>1394</v>
      </c>
      <c r="C107" s="9" t="s">
        <v>1643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1627</v>
      </c>
    </row>
    <row r="108" spans="2:16" ht="13.8" x14ac:dyDescent="0.2">
      <c r="B108" s="14" t="s">
        <v>1473</v>
      </c>
      <c r="C108" s="9" t="s">
        <v>1644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1628</v>
      </c>
    </row>
    <row r="109" spans="2:16" ht="13.8" x14ac:dyDescent="0.2">
      <c r="B109" s="14" t="s">
        <v>1548</v>
      </c>
      <c r="C109" s="9" t="s">
        <v>1645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1629</v>
      </c>
    </row>
    <row r="110" spans="2:16" ht="13.8" x14ac:dyDescent="0.2">
      <c r="B110" s="14" t="s">
        <v>1396</v>
      </c>
      <c r="C110" s="9" t="s">
        <v>1646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1630</v>
      </c>
    </row>
    <row r="111" spans="2:16" ht="13.8" x14ac:dyDescent="0.2">
      <c r="B111" s="14" t="s">
        <v>1397</v>
      </c>
      <c r="C111" s="9" t="s">
        <v>1647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1631</v>
      </c>
    </row>
    <row r="112" spans="2:16" ht="13.8" x14ac:dyDescent="0.2">
      <c r="B112" s="14"/>
      <c r="C112" s="9"/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3"/>
    </row>
    <row r="113" spans="2:16" ht="13.8" x14ac:dyDescent="0.2">
      <c r="B113" s="14"/>
      <c r="C113" s="9" t="s">
        <v>586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3"/>
    </row>
    <row r="114" spans="2:16" ht="13.8" x14ac:dyDescent="0.2">
      <c r="B114" s="14"/>
      <c r="C114" s="9"/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3"/>
    </row>
    <row r="115" spans="2:16" ht="13.8" x14ac:dyDescent="0.2">
      <c r="B115" s="14"/>
      <c r="C115" s="9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3"/>
    </row>
    <row r="116" spans="2:16" ht="13.8" x14ac:dyDescent="0.2">
      <c r="B116" s="14"/>
      <c r="C116" s="9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3"/>
    </row>
    <row r="117" spans="2:16" ht="13.8" x14ac:dyDescent="0.2">
      <c r="B117" s="14"/>
      <c r="C117" s="9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3"/>
    </row>
    <row r="118" spans="2:16" ht="13.8" x14ac:dyDescent="0.2">
      <c r="B118" s="14"/>
      <c r="C118" s="9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3"/>
    </row>
    <row r="119" spans="2:16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3"/>
    </row>
    <row r="120" spans="2:16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3"/>
    </row>
    <row r="121" spans="2:16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3"/>
    </row>
    <row r="122" spans="2:16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3"/>
    </row>
    <row r="123" spans="2:16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3"/>
    </row>
    <row r="124" spans="2:16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3"/>
    </row>
    <row r="125" spans="2:16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3"/>
    </row>
    <row r="126" spans="2:16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3"/>
    </row>
    <row r="127" spans="2:16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3"/>
    </row>
    <row r="128" spans="2:16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3"/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3"/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3"/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3"/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3"/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3"/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3"/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89"/>
      <c r="C2" s="89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84" t="s">
        <v>299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895</v>
      </c>
      <c r="H3" s="9" t="s">
        <v>896</v>
      </c>
      <c r="I3" s="12" t="s">
        <v>9</v>
      </c>
      <c r="J3" s="13" t="s">
        <v>10</v>
      </c>
      <c r="K3" s="35" t="s">
        <v>935</v>
      </c>
      <c r="L3" s="10" t="s">
        <v>933</v>
      </c>
      <c r="M3" s="9" t="s">
        <v>744</v>
      </c>
      <c r="N3" s="9" t="s">
        <v>745</v>
      </c>
      <c r="O3" s="9" t="s">
        <v>743</v>
      </c>
      <c r="P3" s="84"/>
    </row>
    <row r="4" spans="2:16" ht="13.8" x14ac:dyDescent="0.2">
      <c r="B4" s="14" t="s">
        <v>425</v>
      </c>
      <c r="C4" s="17" t="s">
        <v>59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>IFERROR(IF((F4+M4+N4)/(E4+M4+N4+O4)=1,"1.00",(F4+M4+N4)/(E4+M4+N4+O4)),0)</f>
        <v>0</v>
      </c>
      <c r="L4" s="15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1266</v>
      </c>
    </row>
    <row r="5" spans="2:16" ht="13.8" x14ac:dyDescent="0.2">
      <c r="B5" s="14">
        <v>0</v>
      </c>
      <c r="C5" s="17" t="s">
        <v>145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2">IFERROR(IF((F5+M5+N5)/(E5+M5+N5+O5)=1,"1.00",(F5+M5+N5)/(E5+M5+N5+O5)),0)</f>
        <v>0</v>
      </c>
      <c r="L5" s="15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1267</v>
      </c>
    </row>
    <row r="6" spans="2:16" ht="13.8" x14ac:dyDescent="0.2">
      <c r="B6" s="14">
        <v>1</v>
      </c>
      <c r="C6" s="17" t="s">
        <v>60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2"/>
        <v>0</v>
      </c>
      <c r="L6" s="15">
        <f t="shared" si="3"/>
        <v>0</v>
      </c>
      <c r="M6" s="31">
        <v>0</v>
      </c>
      <c r="N6" s="32">
        <v>0</v>
      </c>
      <c r="O6" s="33">
        <v>0</v>
      </c>
      <c r="P6" s="2" t="s">
        <v>1268</v>
      </c>
    </row>
    <row r="7" spans="2:16" ht="13.8" x14ac:dyDescent="0.2">
      <c r="B7" s="14">
        <v>2</v>
      </c>
      <c r="C7" s="17" t="s">
        <v>593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2"/>
        <v>0</v>
      </c>
      <c r="L7" s="15">
        <f t="shared" si="3"/>
        <v>0</v>
      </c>
      <c r="M7" s="31">
        <v>0</v>
      </c>
      <c r="N7" s="32">
        <v>0</v>
      </c>
      <c r="O7" s="33">
        <v>0</v>
      </c>
      <c r="P7" s="2" t="s">
        <v>1269</v>
      </c>
    </row>
    <row r="8" spans="2:16" ht="13.8" x14ac:dyDescent="0.2">
      <c r="B8" s="14">
        <v>3</v>
      </c>
      <c r="C8" s="9" t="s">
        <v>1675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2"/>
        <v>0</v>
      </c>
      <c r="L8" s="15">
        <f t="shared" si="3"/>
        <v>0</v>
      </c>
      <c r="M8" s="31">
        <v>0</v>
      </c>
      <c r="N8" s="32">
        <v>0</v>
      </c>
      <c r="O8" s="33">
        <v>0</v>
      </c>
      <c r="P8" s="2" t="s">
        <v>1674</v>
      </c>
    </row>
    <row r="9" spans="2:16" ht="13.8" x14ac:dyDescent="0.2">
      <c r="B9" s="14">
        <v>4</v>
      </c>
      <c r="C9" s="17" t="s">
        <v>88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2"/>
        <v>0</v>
      </c>
      <c r="L9" s="15">
        <f t="shared" si="3"/>
        <v>0</v>
      </c>
      <c r="M9" s="31">
        <v>0</v>
      </c>
      <c r="N9" s="32">
        <v>0</v>
      </c>
      <c r="O9" s="33">
        <v>0</v>
      </c>
      <c r="P9" s="2" t="s">
        <v>171</v>
      </c>
    </row>
    <row r="10" spans="2:16" ht="13.8" x14ac:dyDescent="0.2">
      <c r="B10" s="14">
        <v>5</v>
      </c>
      <c r="C10" s="17" t="s">
        <v>61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2"/>
        <v>0</v>
      </c>
      <c r="L10" s="15">
        <f t="shared" si="3"/>
        <v>0</v>
      </c>
      <c r="M10" s="31">
        <v>0</v>
      </c>
      <c r="N10" s="32">
        <v>0</v>
      </c>
      <c r="O10" s="33">
        <v>0</v>
      </c>
      <c r="P10" s="2" t="s">
        <v>1270</v>
      </c>
    </row>
    <row r="11" spans="2:16" ht="13.8" x14ac:dyDescent="0.2">
      <c r="B11" s="14">
        <v>6</v>
      </c>
      <c r="C11" s="17" t="s">
        <v>161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2"/>
        <v>0</v>
      </c>
      <c r="L11" s="15">
        <f t="shared" si="3"/>
        <v>0</v>
      </c>
      <c r="M11" s="31">
        <v>0</v>
      </c>
      <c r="N11" s="32">
        <v>0</v>
      </c>
      <c r="O11" s="33">
        <v>0</v>
      </c>
      <c r="P11" s="2" t="s">
        <v>1271</v>
      </c>
    </row>
    <row r="12" spans="2:16" ht="13.8" x14ac:dyDescent="0.2">
      <c r="B12" s="14">
        <v>7</v>
      </c>
      <c r="C12" s="17" t="s">
        <v>594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2"/>
        <v>0</v>
      </c>
      <c r="L12" s="15">
        <f t="shared" si="3"/>
        <v>0</v>
      </c>
      <c r="M12" s="31">
        <v>0</v>
      </c>
      <c r="N12" s="32">
        <v>0</v>
      </c>
      <c r="O12" s="33">
        <v>0</v>
      </c>
      <c r="P12" s="2" t="s">
        <v>1272</v>
      </c>
    </row>
    <row r="13" spans="2:16" ht="13.8" x14ac:dyDescent="0.2">
      <c r="B13" s="14">
        <v>8</v>
      </c>
      <c r="C13" s="17" t="s">
        <v>62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2"/>
        <v>0</v>
      </c>
      <c r="L13" s="15">
        <f t="shared" si="3"/>
        <v>0</v>
      </c>
      <c r="M13" s="31">
        <v>0</v>
      </c>
      <c r="N13" s="32">
        <v>0</v>
      </c>
      <c r="O13" s="33">
        <v>0</v>
      </c>
      <c r="P13" s="2" t="s">
        <v>1273</v>
      </c>
    </row>
    <row r="14" spans="2:16" ht="13.8" x14ac:dyDescent="0.2">
      <c r="B14" s="14">
        <v>9</v>
      </c>
      <c r="C14" s="17" t="s">
        <v>63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2"/>
        <v>0</v>
      </c>
      <c r="L14" s="15">
        <f t="shared" si="3"/>
        <v>0</v>
      </c>
      <c r="M14" s="31">
        <v>0</v>
      </c>
      <c r="N14" s="32">
        <v>0</v>
      </c>
      <c r="O14" s="33">
        <v>0</v>
      </c>
      <c r="P14" s="2" t="s">
        <v>172</v>
      </c>
    </row>
    <row r="15" spans="2:16" ht="13.8" x14ac:dyDescent="0.2">
      <c r="B15" s="14">
        <v>10</v>
      </c>
      <c r="C15" s="17" t="s">
        <v>64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2"/>
        <v>0</v>
      </c>
      <c r="L15" s="15">
        <f t="shared" si="3"/>
        <v>0</v>
      </c>
      <c r="M15" s="31">
        <v>0</v>
      </c>
      <c r="N15" s="32">
        <v>0</v>
      </c>
      <c r="O15" s="33">
        <v>0</v>
      </c>
      <c r="P15" s="2" t="s">
        <v>1274</v>
      </c>
    </row>
    <row r="16" spans="2:16" ht="13.8" x14ac:dyDescent="0.2">
      <c r="B16" s="14">
        <v>11</v>
      </c>
      <c r="C16" s="17" t="s">
        <v>57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2"/>
        <v>0</v>
      </c>
      <c r="L16" s="15">
        <f t="shared" si="3"/>
        <v>0</v>
      </c>
      <c r="M16" s="31">
        <v>0</v>
      </c>
      <c r="N16" s="32">
        <v>0</v>
      </c>
      <c r="O16" s="33">
        <v>0</v>
      </c>
      <c r="P16" s="2" t="s">
        <v>1275</v>
      </c>
    </row>
    <row r="17" spans="2:16" ht="13.8" x14ac:dyDescent="0.2">
      <c r="B17" s="14">
        <v>12</v>
      </c>
      <c r="C17" s="17" t="s">
        <v>65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2"/>
        <v>0</v>
      </c>
      <c r="L17" s="15">
        <f t="shared" si="3"/>
        <v>0</v>
      </c>
      <c r="M17" s="31">
        <v>0</v>
      </c>
      <c r="N17" s="32">
        <v>0</v>
      </c>
      <c r="O17" s="33">
        <v>0</v>
      </c>
      <c r="P17" s="2" t="s">
        <v>1276</v>
      </c>
    </row>
    <row r="18" spans="2:16" ht="13.8" x14ac:dyDescent="0.2">
      <c r="B18" s="14">
        <v>13</v>
      </c>
      <c r="C18" s="17" t="s">
        <v>420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2"/>
        <v>0</v>
      </c>
      <c r="L18" s="15">
        <f t="shared" si="3"/>
        <v>0</v>
      </c>
      <c r="M18" s="31">
        <v>0</v>
      </c>
      <c r="N18" s="32">
        <v>0</v>
      </c>
      <c r="O18" s="33">
        <v>0</v>
      </c>
      <c r="P18" s="2" t="s">
        <v>1277</v>
      </c>
    </row>
    <row r="19" spans="2:16" ht="13.8" x14ac:dyDescent="0.2">
      <c r="B19" s="14">
        <v>14</v>
      </c>
      <c r="C19" s="17" t="s">
        <v>66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2"/>
        <v>0</v>
      </c>
      <c r="L19" s="15">
        <f t="shared" si="3"/>
        <v>0</v>
      </c>
      <c r="M19" s="31">
        <v>0</v>
      </c>
      <c r="N19" s="32">
        <v>0</v>
      </c>
      <c r="O19" s="33">
        <v>0</v>
      </c>
      <c r="P19" s="2" t="s">
        <v>1278</v>
      </c>
    </row>
    <row r="20" spans="2:16" ht="13.8" x14ac:dyDescent="0.2">
      <c r="B20" s="14">
        <v>15</v>
      </c>
      <c r="C20" s="2" t="s">
        <v>1676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2"/>
        <v>0</v>
      </c>
      <c r="L20" s="15">
        <f t="shared" si="3"/>
        <v>0</v>
      </c>
      <c r="M20" s="31">
        <v>0</v>
      </c>
      <c r="N20" s="32">
        <v>0</v>
      </c>
      <c r="O20" s="33">
        <v>0</v>
      </c>
      <c r="P20" s="2" t="s">
        <v>1673</v>
      </c>
    </row>
    <row r="21" spans="2:16" ht="13.8" x14ac:dyDescent="0.2">
      <c r="B21" s="14">
        <v>16</v>
      </c>
      <c r="C21" s="17" t="s">
        <v>143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2"/>
        <v>0</v>
      </c>
      <c r="L21" s="15">
        <f t="shared" si="3"/>
        <v>0</v>
      </c>
      <c r="M21" s="31">
        <v>0</v>
      </c>
      <c r="N21" s="32">
        <v>0</v>
      </c>
      <c r="O21" s="33">
        <v>0</v>
      </c>
      <c r="P21" s="2" t="s">
        <v>1279</v>
      </c>
    </row>
    <row r="22" spans="2:16" ht="13.8" x14ac:dyDescent="0.2">
      <c r="B22" s="14">
        <v>17</v>
      </c>
      <c r="C22" s="17" t="s">
        <v>67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2"/>
        <v>0</v>
      </c>
      <c r="L22" s="15">
        <f t="shared" si="3"/>
        <v>0</v>
      </c>
      <c r="M22" s="31">
        <v>0</v>
      </c>
      <c r="N22" s="32">
        <v>0</v>
      </c>
      <c r="O22" s="33">
        <v>0</v>
      </c>
      <c r="P22" s="2" t="s">
        <v>1280</v>
      </c>
    </row>
    <row r="23" spans="2:16" ht="13.8" x14ac:dyDescent="0.2">
      <c r="B23" s="14">
        <v>18</v>
      </c>
      <c r="C23" s="9" t="s">
        <v>1677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2"/>
        <v>0</v>
      </c>
      <c r="L23" s="15">
        <f t="shared" si="3"/>
        <v>0</v>
      </c>
      <c r="M23" s="31">
        <v>0</v>
      </c>
      <c r="N23" s="32">
        <v>0</v>
      </c>
      <c r="O23" s="33">
        <v>0</v>
      </c>
      <c r="P23" s="2" t="s">
        <v>1672</v>
      </c>
    </row>
    <row r="24" spans="2:16" ht="13.8" x14ac:dyDescent="0.2">
      <c r="B24" s="14">
        <v>19</v>
      </c>
      <c r="C24" s="17" t="s">
        <v>58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2"/>
        <v>0</v>
      </c>
      <c r="L24" s="15">
        <f t="shared" si="3"/>
        <v>0</v>
      </c>
      <c r="M24" s="31">
        <v>0</v>
      </c>
      <c r="N24" s="32">
        <v>0</v>
      </c>
      <c r="O24" s="33">
        <v>0</v>
      </c>
      <c r="P24" s="2" t="s">
        <v>1281</v>
      </c>
    </row>
    <row r="25" spans="2:16" ht="13.8" x14ac:dyDescent="0.2">
      <c r="B25" s="14">
        <v>20</v>
      </c>
      <c r="C25" s="17" t="s">
        <v>133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2"/>
        <v>0</v>
      </c>
      <c r="L25" s="15">
        <f t="shared" si="3"/>
        <v>0</v>
      </c>
      <c r="M25" s="31">
        <v>0</v>
      </c>
      <c r="N25" s="32">
        <v>0</v>
      </c>
      <c r="O25" s="33">
        <v>0</v>
      </c>
      <c r="P25" s="2" t="s">
        <v>1282</v>
      </c>
    </row>
    <row r="26" spans="2:16" ht="13.8" x14ac:dyDescent="0.2">
      <c r="B26" s="14">
        <v>21</v>
      </c>
      <c r="C26" s="17" t="s">
        <v>68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2"/>
        <v>0</v>
      </c>
      <c r="L26" s="15">
        <f t="shared" si="3"/>
        <v>0</v>
      </c>
      <c r="M26" s="31">
        <v>0</v>
      </c>
      <c r="N26" s="32">
        <v>0</v>
      </c>
      <c r="O26" s="33">
        <v>0</v>
      </c>
      <c r="P26" s="2" t="s">
        <v>1283</v>
      </c>
    </row>
    <row r="27" spans="2:16" ht="13.8" x14ac:dyDescent="0.2">
      <c r="B27" s="14">
        <v>22</v>
      </c>
      <c r="C27" s="17" t="s">
        <v>595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2"/>
        <v>0</v>
      </c>
      <c r="L27" s="15">
        <f t="shared" si="3"/>
        <v>0</v>
      </c>
      <c r="M27" s="31">
        <v>0</v>
      </c>
      <c r="N27" s="32">
        <v>0</v>
      </c>
      <c r="O27" s="33">
        <v>0</v>
      </c>
      <c r="P27" s="2" t="s">
        <v>1284</v>
      </c>
    </row>
    <row r="28" spans="2:16" ht="13.8" x14ac:dyDescent="0.2">
      <c r="B28" s="14">
        <v>23</v>
      </c>
      <c r="C28" s="17" t="s">
        <v>587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2"/>
        <v>0</v>
      </c>
      <c r="L28" s="15">
        <f t="shared" si="3"/>
        <v>0</v>
      </c>
      <c r="M28" s="31">
        <v>0</v>
      </c>
      <c r="N28" s="32">
        <v>0</v>
      </c>
      <c r="O28" s="33">
        <v>0</v>
      </c>
      <c r="P28" s="2" t="s">
        <v>587</v>
      </c>
    </row>
    <row r="29" spans="2:16" ht="13.8" x14ac:dyDescent="0.2">
      <c r="B29" s="14">
        <v>24</v>
      </c>
      <c r="C29" s="17"/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2"/>
        <v>0</v>
      </c>
      <c r="L29" s="15">
        <f t="shared" si="3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17"/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2"/>
        <v>0</v>
      </c>
      <c r="L30" s="15">
        <f t="shared" si="3"/>
        <v>0</v>
      </c>
      <c r="M30" s="31">
        <v>0</v>
      </c>
      <c r="N30" s="32">
        <v>0</v>
      </c>
      <c r="O30" s="33">
        <v>0</v>
      </c>
      <c r="P30" s="2" t="s">
        <v>736</v>
      </c>
    </row>
    <row r="31" spans="2:16" ht="13.8" x14ac:dyDescent="0.2">
      <c r="B31" s="14">
        <v>26</v>
      </c>
      <c r="C31" s="17" t="s">
        <v>69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2"/>
        <v>0</v>
      </c>
      <c r="L31" s="15">
        <f t="shared" si="3"/>
        <v>0</v>
      </c>
      <c r="M31" s="31">
        <v>0</v>
      </c>
      <c r="N31" s="32">
        <v>0</v>
      </c>
      <c r="O31" s="33">
        <v>0</v>
      </c>
      <c r="P31" s="2" t="s">
        <v>1285</v>
      </c>
    </row>
    <row r="32" spans="2:16" ht="13.8" x14ac:dyDescent="0.2">
      <c r="B32" s="14">
        <v>27</v>
      </c>
      <c r="C32" s="17" t="s">
        <v>144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2"/>
        <v>0</v>
      </c>
      <c r="L32" s="15">
        <f t="shared" si="3"/>
        <v>0</v>
      </c>
      <c r="M32" s="31">
        <v>0</v>
      </c>
      <c r="N32" s="32">
        <v>0</v>
      </c>
      <c r="O32" s="33">
        <v>0</v>
      </c>
      <c r="P32" s="2" t="s">
        <v>173</v>
      </c>
    </row>
    <row r="33" spans="2:16" ht="13.8" x14ac:dyDescent="0.2">
      <c r="B33" s="14">
        <v>28</v>
      </c>
      <c r="C33" s="17"/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2"/>
        <v>0</v>
      </c>
      <c r="L33" s="15">
        <f t="shared" si="3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17" t="s">
        <v>87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2"/>
        <v>0</v>
      </c>
      <c r="L34" s="15">
        <f t="shared" si="3"/>
        <v>0</v>
      </c>
      <c r="M34" s="31">
        <v>0</v>
      </c>
      <c r="N34" s="32">
        <v>0</v>
      </c>
      <c r="O34" s="33">
        <v>0</v>
      </c>
      <c r="P34" s="2" t="s">
        <v>1286</v>
      </c>
    </row>
    <row r="35" spans="2:16" ht="13.8" x14ac:dyDescent="0.2">
      <c r="B35" s="14">
        <v>30</v>
      </c>
      <c r="C35" s="17" t="s">
        <v>1678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2"/>
        <v>0</v>
      </c>
      <c r="L35" s="15">
        <f t="shared" si="3"/>
        <v>0</v>
      </c>
      <c r="M35" s="31">
        <v>0</v>
      </c>
      <c r="N35" s="32">
        <v>0</v>
      </c>
      <c r="O35" s="33">
        <v>0</v>
      </c>
      <c r="P35" s="2" t="s">
        <v>1671</v>
      </c>
    </row>
    <row r="36" spans="2:16" ht="13.8" x14ac:dyDescent="0.2">
      <c r="B36" s="14">
        <v>31</v>
      </c>
      <c r="C36" s="17" t="s">
        <v>70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2"/>
        <v>0</v>
      </c>
      <c r="L36" s="15">
        <f t="shared" si="3"/>
        <v>0</v>
      </c>
      <c r="M36" s="31">
        <v>0</v>
      </c>
      <c r="N36" s="32">
        <v>0</v>
      </c>
      <c r="O36" s="33">
        <v>0</v>
      </c>
      <c r="P36" s="2" t="s">
        <v>1287</v>
      </c>
    </row>
    <row r="37" spans="2:16" ht="13.8" x14ac:dyDescent="0.2">
      <c r="B37" s="14">
        <v>32</v>
      </c>
      <c r="C37" s="17" t="s">
        <v>146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2"/>
        <v>0</v>
      </c>
      <c r="L37" s="15">
        <f t="shared" si="3"/>
        <v>0</v>
      </c>
      <c r="M37" s="31">
        <v>0</v>
      </c>
      <c r="N37" s="32">
        <v>0</v>
      </c>
      <c r="O37" s="33">
        <v>0</v>
      </c>
      <c r="P37" s="2" t="s">
        <v>1288</v>
      </c>
    </row>
    <row r="38" spans="2:16" ht="13.8" x14ac:dyDescent="0.2">
      <c r="B38" s="14">
        <v>33</v>
      </c>
      <c r="C38" s="17" t="s">
        <v>1679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2"/>
        <v>0</v>
      </c>
      <c r="L38" s="15">
        <f t="shared" si="3"/>
        <v>0</v>
      </c>
      <c r="M38" s="31">
        <v>0</v>
      </c>
      <c r="N38" s="32">
        <v>0</v>
      </c>
      <c r="O38" s="33">
        <v>0</v>
      </c>
      <c r="P38" s="2" t="s">
        <v>1670</v>
      </c>
    </row>
    <row r="39" spans="2:16" ht="13.8" x14ac:dyDescent="0.2">
      <c r="B39" s="14">
        <v>34</v>
      </c>
      <c r="C39" s="17" t="s">
        <v>71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2"/>
        <v>0</v>
      </c>
      <c r="L39" s="15">
        <f t="shared" si="3"/>
        <v>0</v>
      </c>
      <c r="M39" s="31">
        <v>0</v>
      </c>
      <c r="N39" s="32">
        <v>0</v>
      </c>
      <c r="O39" s="33">
        <v>0</v>
      </c>
      <c r="P39" s="2" t="s">
        <v>1289</v>
      </c>
    </row>
    <row r="40" spans="2:16" ht="13.8" x14ac:dyDescent="0.2">
      <c r="B40" s="14">
        <v>35</v>
      </c>
      <c r="C40" s="17" t="s">
        <v>72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2"/>
        <v>0</v>
      </c>
      <c r="L40" s="15">
        <f t="shared" si="3"/>
        <v>0</v>
      </c>
      <c r="M40" s="31">
        <v>0</v>
      </c>
      <c r="N40" s="32">
        <v>0</v>
      </c>
      <c r="O40" s="33">
        <v>0</v>
      </c>
      <c r="P40" s="2" t="s">
        <v>1290</v>
      </c>
    </row>
    <row r="41" spans="2:16" ht="13.8" x14ac:dyDescent="0.2">
      <c r="B41" s="14">
        <v>36</v>
      </c>
      <c r="C41" s="17" t="s">
        <v>421</v>
      </c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2"/>
        <v>0</v>
      </c>
      <c r="L41" s="15">
        <f t="shared" si="3"/>
        <v>0</v>
      </c>
      <c r="M41" s="31">
        <v>0</v>
      </c>
      <c r="N41" s="32">
        <v>0</v>
      </c>
      <c r="O41" s="33">
        <v>0</v>
      </c>
      <c r="P41" s="2" t="s">
        <v>1291</v>
      </c>
    </row>
    <row r="42" spans="2:16" ht="13.8" x14ac:dyDescent="0.2">
      <c r="B42" s="14">
        <v>37</v>
      </c>
      <c r="C42" s="17" t="s">
        <v>73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2"/>
        <v>0</v>
      </c>
      <c r="L42" s="15">
        <f t="shared" si="3"/>
        <v>0</v>
      </c>
      <c r="M42" s="31">
        <v>0</v>
      </c>
      <c r="N42" s="32">
        <v>0</v>
      </c>
      <c r="O42" s="33">
        <v>0</v>
      </c>
      <c r="P42" s="2" t="s">
        <v>1292</v>
      </c>
    </row>
    <row r="43" spans="2:16" ht="13.8" x14ac:dyDescent="0.2">
      <c r="B43" s="14">
        <v>38</v>
      </c>
      <c r="C43" s="17" t="s">
        <v>596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2"/>
        <v>0</v>
      </c>
      <c r="L43" s="15">
        <f t="shared" si="3"/>
        <v>0</v>
      </c>
      <c r="M43" s="31">
        <v>0</v>
      </c>
      <c r="N43" s="32">
        <v>0</v>
      </c>
      <c r="O43" s="33">
        <v>0</v>
      </c>
      <c r="P43" s="2" t="s">
        <v>1293</v>
      </c>
    </row>
    <row r="44" spans="2:16" ht="13.8" x14ac:dyDescent="0.2">
      <c r="B44" s="14">
        <v>39</v>
      </c>
      <c r="C44" s="17" t="s">
        <v>74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2"/>
        <v>0</v>
      </c>
      <c r="L44" s="15">
        <f t="shared" si="3"/>
        <v>0</v>
      </c>
      <c r="M44" s="31">
        <v>0</v>
      </c>
      <c r="N44" s="32">
        <v>0</v>
      </c>
      <c r="O44" s="33">
        <v>0</v>
      </c>
      <c r="P44" s="2" t="s">
        <v>1294</v>
      </c>
    </row>
    <row r="45" spans="2:16" ht="13.8" x14ac:dyDescent="0.2">
      <c r="B45" s="14">
        <v>40</v>
      </c>
      <c r="C45" s="17" t="s">
        <v>597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2"/>
        <v>0</v>
      </c>
      <c r="L45" s="15">
        <f t="shared" si="3"/>
        <v>0</v>
      </c>
      <c r="M45" s="31">
        <v>0</v>
      </c>
      <c r="N45" s="32">
        <v>0</v>
      </c>
      <c r="O45" s="33">
        <v>0</v>
      </c>
      <c r="P45" s="2" t="s">
        <v>598</v>
      </c>
    </row>
    <row r="46" spans="2:16" ht="13.8" x14ac:dyDescent="0.2">
      <c r="B46" s="14">
        <v>41</v>
      </c>
      <c r="C46" s="17" t="s">
        <v>75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2"/>
        <v>0</v>
      </c>
      <c r="L46" s="15">
        <f t="shared" si="3"/>
        <v>0</v>
      </c>
      <c r="M46" s="31">
        <v>0</v>
      </c>
      <c r="N46" s="32">
        <v>0</v>
      </c>
      <c r="O46" s="33">
        <v>0</v>
      </c>
      <c r="P46" s="2" t="s">
        <v>1295</v>
      </c>
    </row>
    <row r="47" spans="2:16" ht="13.8" x14ac:dyDescent="0.2">
      <c r="B47" s="14">
        <v>42</v>
      </c>
      <c r="C47" s="17" t="s">
        <v>588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2"/>
        <v>0</v>
      </c>
      <c r="L47" s="15">
        <f t="shared" si="3"/>
        <v>0</v>
      </c>
      <c r="M47" s="31">
        <v>0</v>
      </c>
      <c r="N47" s="32">
        <v>0</v>
      </c>
      <c r="O47" s="33">
        <v>0</v>
      </c>
      <c r="P47" s="2" t="s">
        <v>588</v>
      </c>
    </row>
    <row r="48" spans="2:16" ht="13.8" x14ac:dyDescent="0.2">
      <c r="B48" s="14">
        <v>43</v>
      </c>
      <c r="C48" s="17" t="s">
        <v>1680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2"/>
        <v>0</v>
      </c>
      <c r="L48" s="15">
        <f t="shared" si="3"/>
        <v>0</v>
      </c>
      <c r="M48" s="31">
        <v>0</v>
      </c>
      <c r="N48" s="32">
        <v>0</v>
      </c>
      <c r="O48" s="33">
        <v>0</v>
      </c>
      <c r="P48" s="2" t="s">
        <v>1669</v>
      </c>
    </row>
    <row r="49" spans="2:16" ht="13.8" x14ac:dyDescent="0.2">
      <c r="B49" s="14">
        <v>44</v>
      </c>
      <c r="C49" s="17" t="s">
        <v>599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2"/>
        <v>0</v>
      </c>
      <c r="L49" s="15">
        <f t="shared" si="3"/>
        <v>0</v>
      </c>
      <c r="M49" s="31">
        <v>0</v>
      </c>
      <c r="N49" s="32">
        <v>0</v>
      </c>
      <c r="O49" s="33">
        <v>0</v>
      </c>
      <c r="P49" s="2" t="s">
        <v>600</v>
      </c>
    </row>
    <row r="50" spans="2:16" ht="13.8" x14ac:dyDescent="0.2">
      <c r="B50" s="14">
        <v>45</v>
      </c>
      <c r="C50" s="17" t="s">
        <v>589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2"/>
        <v>0</v>
      </c>
      <c r="L50" s="15">
        <f t="shared" si="3"/>
        <v>0</v>
      </c>
      <c r="M50" s="31">
        <v>0</v>
      </c>
      <c r="N50" s="32">
        <v>0</v>
      </c>
      <c r="O50" s="33">
        <v>0</v>
      </c>
      <c r="P50" s="2" t="s">
        <v>589</v>
      </c>
    </row>
    <row r="51" spans="2:16" ht="13.8" x14ac:dyDescent="0.2">
      <c r="B51" s="14">
        <v>46</v>
      </c>
      <c r="C51" s="17" t="s">
        <v>1681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2"/>
        <v>0</v>
      </c>
      <c r="L51" s="15">
        <f t="shared" si="3"/>
        <v>0</v>
      </c>
      <c r="M51" s="31">
        <v>0</v>
      </c>
      <c r="N51" s="32">
        <v>0</v>
      </c>
      <c r="O51" s="33">
        <v>0</v>
      </c>
      <c r="P51" s="2" t="s">
        <v>1668</v>
      </c>
    </row>
    <row r="52" spans="2:16" ht="13.8" x14ac:dyDescent="0.2">
      <c r="B52" s="14">
        <v>47</v>
      </c>
      <c r="C52" s="17" t="s">
        <v>77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2"/>
        <v>0</v>
      </c>
      <c r="L52" s="15">
        <f t="shared" si="3"/>
        <v>0</v>
      </c>
      <c r="M52" s="31">
        <v>0</v>
      </c>
      <c r="N52" s="32">
        <v>0</v>
      </c>
      <c r="O52" s="33">
        <v>0</v>
      </c>
      <c r="P52" s="2" t="s">
        <v>1296</v>
      </c>
    </row>
    <row r="53" spans="2:16" ht="13.8" x14ac:dyDescent="0.2">
      <c r="B53" s="14">
        <v>48</v>
      </c>
      <c r="C53" s="17" t="s">
        <v>78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2"/>
        <v>0</v>
      </c>
      <c r="L53" s="15">
        <f t="shared" si="3"/>
        <v>0</v>
      </c>
      <c r="M53" s="31">
        <v>0</v>
      </c>
      <c r="N53" s="32">
        <v>0</v>
      </c>
      <c r="O53" s="33">
        <v>0</v>
      </c>
      <c r="P53" s="2" t="s">
        <v>1297</v>
      </c>
    </row>
    <row r="54" spans="2:16" ht="13.8" x14ac:dyDescent="0.2">
      <c r="B54" s="14">
        <v>49</v>
      </c>
      <c r="C54" s="9"/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2"/>
        <v>0</v>
      </c>
      <c r="L54" s="15">
        <f t="shared" si="3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17" t="s">
        <v>29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2"/>
        <v>0</v>
      </c>
      <c r="L55" s="15">
        <f t="shared" si="3"/>
        <v>0</v>
      </c>
      <c r="M55" s="31">
        <v>0</v>
      </c>
      <c r="N55" s="32">
        <v>0</v>
      </c>
      <c r="O55" s="33">
        <v>0</v>
      </c>
      <c r="P55" s="2" t="s">
        <v>1298</v>
      </c>
    </row>
    <row r="56" spans="2:16" ht="13.8" x14ac:dyDescent="0.2">
      <c r="B56" s="14">
        <v>51</v>
      </c>
      <c r="C56" s="17" t="s">
        <v>79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2"/>
        <v>0</v>
      </c>
      <c r="L56" s="15">
        <f t="shared" si="3"/>
        <v>0</v>
      </c>
      <c r="M56" s="31">
        <v>0</v>
      </c>
      <c r="N56" s="32">
        <v>0</v>
      </c>
      <c r="O56" s="33">
        <v>0</v>
      </c>
      <c r="P56" s="2" t="s">
        <v>1299</v>
      </c>
    </row>
    <row r="57" spans="2:16" ht="13.8" x14ac:dyDescent="0.2">
      <c r="B57" s="14">
        <v>52</v>
      </c>
      <c r="C57" s="17" t="s">
        <v>80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2"/>
        <v>0</v>
      </c>
      <c r="L57" s="15">
        <f t="shared" si="3"/>
        <v>0</v>
      </c>
      <c r="M57" s="31">
        <v>0</v>
      </c>
      <c r="N57" s="32">
        <v>0</v>
      </c>
      <c r="O57" s="33">
        <v>0</v>
      </c>
      <c r="P57" s="2" t="s">
        <v>1300</v>
      </c>
    </row>
    <row r="58" spans="2:16" ht="13.8" x14ac:dyDescent="0.2">
      <c r="B58" s="14">
        <v>53</v>
      </c>
      <c r="C58" s="17" t="s">
        <v>601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2"/>
        <v>0</v>
      </c>
      <c r="L58" s="15">
        <f t="shared" si="3"/>
        <v>0</v>
      </c>
      <c r="M58" s="31">
        <v>0</v>
      </c>
      <c r="N58" s="32">
        <v>0</v>
      </c>
      <c r="O58" s="33">
        <v>0</v>
      </c>
      <c r="P58" s="2" t="s">
        <v>1301</v>
      </c>
    </row>
    <row r="59" spans="2:16" ht="13.8" x14ac:dyDescent="0.2">
      <c r="B59" s="14">
        <v>54</v>
      </c>
      <c r="C59" s="17" t="s">
        <v>422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2"/>
        <v>0</v>
      </c>
      <c r="L59" s="15">
        <f t="shared" si="3"/>
        <v>0</v>
      </c>
      <c r="M59" s="31">
        <v>0</v>
      </c>
      <c r="N59" s="32">
        <v>0</v>
      </c>
      <c r="O59" s="33">
        <v>0</v>
      </c>
      <c r="P59" s="2" t="s">
        <v>1302</v>
      </c>
    </row>
    <row r="60" spans="2:16" ht="13.8" x14ac:dyDescent="0.2">
      <c r="B60" s="14">
        <v>55</v>
      </c>
      <c r="C60" s="17" t="s">
        <v>423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2"/>
        <v>0</v>
      </c>
      <c r="L60" s="15">
        <f t="shared" si="3"/>
        <v>0</v>
      </c>
      <c r="M60" s="31">
        <v>0</v>
      </c>
      <c r="N60" s="32">
        <v>0</v>
      </c>
      <c r="O60" s="33">
        <v>0</v>
      </c>
      <c r="P60" s="2" t="s">
        <v>1303</v>
      </c>
    </row>
    <row r="61" spans="2:16" ht="13.8" x14ac:dyDescent="0.2">
      <c r="B61" s="14">
        <v>56</v>
      </c>
      <c r="C61" s="17" t="s">
        <v>602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2"/>
        <v>0</v>
      </c>
      <c r="L61" s="15">
        <f t="shared" si="3"/>
        <v>0</v>
      </c>
      <c r="M61" s="31">
        <v>0</v>
      </c>
      <c r="N61" s="32">
        <v>0</v>
      </c>
      <c r="O61" s="33">
        <v>0</v>
      </c>
      <c r="P61" s="2" t="s">
        <v>1304</v>
      </c>
    </row>
    <row r="62" spans="2:16" ht="13.8" x14ac:dyDescent="0.2">
      <c r="B62" s="14">
        <v>57</v>
      </c>
      <c r="C62" s="17" t="s">
        <v>398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2"/>
        <v>0</v>
      </c>
      <c r="L62" s="15">
        <f t="shared" si="3"/>
        <v>0</v>
      </c>
      <c r="M62" s="31">
        <v>0</v>
      </c>
      <c r="N62" s="32">
        <v>0</v>
      </c>
      <c r="O62" s="33">
        <v>0</v>
      </c>
      <c r="P62" s="2" t="s">
        <v>1305</v>
      </c>
    </row>
    <row r="63" spans="2:16" ht="13.8" x14ac:dyDescent="0.2">
      <c r="B63" s="14">
        <v>58</v>
      </c>
      <c r="C63" s="17" t="s">
        <v>1682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2"/>
        <v>0</v>
      </c>
      <c r="L63" s="15">
        <f t="shared" si="3"/>
        <v>0</v>
      </c>
      <c r="M63" s="31">
        <v>0</v>
      </c>
      <c r="N63" s="32">
        <v>0</v>
      </c>
      <c r="O63" s="33">
        <v>0</v>
      </c>
      <c r="P63" s="2" t="s">
        <v>1667</v>
      </c>
    </row>
    <row r="64" spans="2:16" ht="13.8" x14ac:dyDescent="0.2">
      <c r="B64" s="14">
        <v>59</v>
      </c>
      <c r="C64" s="17"/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2"/>
        <v>0</v>
      </c>
      <c r="L64" s="15">
        <f t="shared" si="3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17" t="s">
        <v>147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2"/>
        <v>0</v>
      </c>
      <c r="L65" s="15">
        <f t="shared" si="3"/>
        <v>0</v>
      </c>
      <c r="M65" s="31">
        <v>0</v>
      </c>
      <c r="N65" s="32">
        <v>0</v>
      </c>
      <c r="O65" s="33">
        <v>0</v>
      </c>
      <c r="P65" s="2" t="s">
        <v>1306</v>
      </c>
    </row>
    <row r="66" spans="2:16" ht="13.8" x14ac:dyDescent="0.2">
      <c r="B66" s="14">
        <v>61</v>
      </c>
      <c r="C66" s="17" t="s">
        <v>424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2"/>
        <v>0</v>
      </c>
      <c r="L66" s="15">
        <f t="shared" si="3"/>
        <v>0</v>
      </c>
      <c r="M66" s="31">
        <v>0</v>
      </c>
      <c r="N66" s="32">
        <v>0</v>
      </c>
      <c r="O66" s="33">
        <v>0</v>
      </c>
      <c r="P66" s="2" t="s">
        <v>1307</v>
      </c>
    </row>
    <row r="67" spans="2:16" ht="13.8" x14ac:dyDescent="0.2">
      <c r="B67" s="14">
        <v>62</v>
      </c>
      <c r="C67" s="17" t="s">
        <v>174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2"/>
        <v>0</v>
      </c>
      <c r="L67" s="15">
        <f t="shared" si="3"/>
        <v>0</v>
      </c>
      <c r="M67" s="31">
        <v>0</v>
      </c>
      <c r="N67" s="32">
        <v>0</v>
      </c>
      <c r="O67" s="33">
        <v>0</v>
      </c>
      <c r="P67" s="2" t="s">
        <v>174</v>
      </c>
    </row>
    <row r="68" spans="2:16" ht="13.8" x14ac:dyDescent="0.2">
      <c r="B68" s="14">
        <v>63</v>
      </c>
      <c r="C68" s="9" t="s">
        <v>82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2"/>
        <v>0</v>
      </c>
      <c r="L68" s="15">
        <f t="shared" si="3"/>
        <v>0</v>
      </c>
      <c r="M68" s="31">
        <v>0</v>
      </c>
      <c r="N68" s="32">
        <v>0</v>
      </c>
      <c r="O68" s="33">
        <v>0</v>
      </c>
      <c r="P68" s="2" t="s">
        <v>1308</v>
      </c>
    </row>
    <row r="69" spans="2:16" ht="13.8" x14ac:dyDescent="0.2">
      <c r="B69" s="14">
        <v>64</v>
      </c>
      <c r="C69" s="17" t="s">
        <v>1683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5">IFERROR(IF((F69+M69+N69)/(E69+M69+N69+O69)=1,"1.00",(F69+M69+N69)/(E69+M69+N69+O69)),0)</f>
        <v>0</v>
      </c>
      <c r="L69" s="15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1666</v>
      </c>
    </row>
    <row r="70" spans="2:16" ht="13.8" x14ac:dyDescent="0.2">
      <c r="B70" s="14">
        <v>65</v>
      </c>
      <c r="C70" s="9" t="s">
        <v>1684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5"/>
        <v>0</v>
      </c>
      <c r="L70" s="15">
        <f t="shared" si="6"/>
        <v>0</v>
      </c>
      <c r="M70" s="31">
        <v>0</v>
      </c>
      <c r="N70" s="32">
        <v>0</v>
      </c>
      <c r="O70" s="33">
        <v>0</v>
      </c>
      <c r="P70" s="2" t="s">
        <v>1665</v>
      </c>
    </row>
    <row r="71" spans="2:16" ht="13.8" x14ac:dyDescent="0.2">
      <c r="B71" s="14">
        <v>66</v>
      </c>
      <c r="C71" s="17" t="s">
        <v>1327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5"/>
        <v>0</v>
      </c>
      <c r="L71" s="15">
        <f t="shared" si="6"/>
        <v>0</v>
      </c>
      <c r="M71" s="31">
        <v>0</v>
      </c>
      <c r="N71" s="32">
        <v>0</v>
      </c>
      <c r="O71" s="33">
        <v>0</v>
      </c>
      <c r="P71" s="2" t="s">
        <v>603</v>
      </c>
    </row>
    <row r="72" spans="2:16" ht="13.8" x14ac:dyDescent="0.2">
      <c r="B72" s="14">
        <v>67</v>
      </c>
      <c r="C72" s="17" t="s">
        <v>1685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5"/>
        <v>0</v>
      </c>
      <c r="L72" s="15">
        <f t="shared" si="6"/>
        <v>0</v>
      </c>
      <c r="M72" s="31">
        <v>0</v>
      </c>
      <c r="N72" s="32">
        <v>0</v>
      </c>
      <c r="O72" s="33">
        <v>0</v>
      </c>
      <c r="P72" s="2" t="s">
        <v>1664</v>
      </c>
    </row>
    <row r="73" spans="2:16" ht="13.8" x14ac:dyDescent="0.2">
      <c r="B73" s="14">
        <v>68</v>
      </c>
      <c r="C73" s="17"/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5"/>
        <v>0</v>
      </c>
      <c r="L73" s="15">
        <f t="shared" si="6"/>
        <v>0</v>
      </c>
      <c r="M73" s="31">
        <v>0</v>
      </c>
      <c r="N73" s="32">
        <v>0</v>
      </c>
      <c r="O73" s="33">
        <v>0</v>
      </c>
      <c r="P73" s="2" t="s">
        <v>736</v>
      </c>
    </row>
    <row r="74" spans="2:16" ht="13.8" x14ac:dyDescent="0.2">
      <c r="B74" s="14">
        <v>69</v>
      </c>
      <c r="C74" s="8"/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5"/>
        <v>0</v>
      </c>
      <c r="L74" s="15">
        <f t="shared" si="6"/>
        <v>0</v>
      </c>
      <c r="M74" s="31">
        <v>0</v>
      </c>
      <c r="N74" s="32">
        <v>0</v>
      </c>
      <c r="O74" s="33">
        <v>0</v>
      </c>
      <c r="P74" s="2" t="s">
        <v>736</v>
      </c>
    </row>
    <row r="75" spans="2:16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5"/>
        <v>0</v>
      </c>
      <c r="L75" s="15">
        <f t="shared" si="6"/>
        <v>0</v>
      </c>
      <c r="M75" s="31">
        <v>0</v>
      </c>
      <c r="N75" s="32">
        <v>0</v>
      </c>
      <c r="O75" s="33">
        <v>0</v>
      </c>
      <c r="P75" s="2" t="s">
        <v>736</v>
      </c>
    </row>
    <row r="76" spans="2:16" ht="13.8" x14ac:dyDescent="0.2">
      <c r="B76" s="14">
        <v>71</v>
      </c>
      <c r="C76" s="8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5"/>
        <v>0</v>
      </c>
      <c r="L76" s="15">
        <f t="shared" si="6"/>
        <v>0</v>
      </c>
      <c r="M76" s="31">
        <v>0</v>
      </c>
      <c r="N76" s="32">
        <v>0</v>
      </c>
      <c r="O76" s="33">
        <v>0</v>
      </c>
      <c r="P76" s="2" t="s">
        <v>736</v>
      </c>
    </row>
    <row r="77" spans="2:16" ht="13.8" x14ac:dyDescent="0.2">
      <c r="B77" s="14">
        <v>72</v>
      </c>
      <c r="C77" s="8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5"/>
        <v>0</v>
      </c>
      <c r="L77" s="15">
        <f t="shared" si="6"/>
        <v>0</v>
      </c>
      <c r="M77" s="31">
        <v>0</v>
      </c>
      <c r="N77" s="32">
        <v>0</v>
      </c>
      <c r="O77" s="33">
        <v>0</v>
      </c>
      <c r="P77" s="2" t="s">
        <v>736</v>
      </c>
    </row>
    <row r="78" spans="2:16" ht="13.8" x14ac:dyDescent="0.2">
      <c r="B78" s="14">
        <v>73</v>
      </c>
      <c r="C78" s="8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5"/>
        <v>0</v>
      </c>
      <c r="L78" s="15">
        <f t="shared" si="6"/>
        <v>0</v>
      </c>
      <c r="M78" s="31">
        <v>0</v>
      </c>
      <c r="N78" s="32">
        <v>0</v>
      </c>
      <c r="O78" s="33">
        <v>0</v>
      </c>
      <c r="P78" s="2" t="s">
        <v>736</v>
      </c>
    </row>
    <row r="79" spans="2:16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5"/>
        <v>0</v>
      </c>
      <c r="L79" s="15">
        <f t="shared" si="6"/>
        <v>0</v>
      </c>
      <c r="M79" s="31">
        <v>0</v>
      </c>
      <c r="N79" s="32">
        <v>0</v>
      </c>
      <c r="O79" s="33">
        <v>0</v>
      </c>
      <c r="P79" s="2" t="s">
        <v>736</v>
      </c>
    </row>
    <row r="80" spans="2:16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5"/>
        <v>0</v>
      </c>
      <c r="L80" s="15">
        <f t="shared" si="6"/>
        <v>0</v>
      </c>
      <c r="M80" s="31">
        <v>0</v>
      </c>
      <c r="N80" s="32">
        <v>0</v>
      </c>
      <c r="O80" s="33">
        <v>0</v>
      </c>
      <c r="P80" s="2" t="s">
        <v>736</v>
      </c>
    </row>
    <row r="81" spans="2:16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5"/>
        <v>0</v>
      </c>
      <c r="L81" s="15">
        <f t="shared" si="6"/>
        <v>0</v>
      </c>
      <c r="M81" s="31">
        <v>0</v>
      </c>
      <c r="N81" s="32">
        <v>0</v>
      </c>
      <c r="O81" s="33">
        <v>0</v>
      </c>
      <c r="P81" s="2" t="s">
        <v>736</v>
      </c>
    </row>
    <row r="82" spans="2:16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5"/>
        <v>0</v>
      </c>
      <c r="L82" s="15">
        <f t="shared" si="6"/>
        <v>0</v>
      </c>
      <c r="M82" s="31">
        <v>0</v>
      </c>
      <c r="N82" s="32">
        <v>0</v>
      </c>
      <c r="O82" s="33">
        <v>0</v>
      </c>
      <c r="P82" s="2" t="s">
        <v>736</v>
      </c>
    </row>
    <row r="83" spans="2:16" ht="13.8" x14ac:dyDescent="0.2">
      <c r="B83" s="14">
        <v>78</v>
      </c>
      <c r="C83" s="8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5"/>
        <v>0</v>
      </c>
      <c r="L83" s="15">
        <f t="shared" si="6"/>
        <v>0</v>
      </c>
      <c r="M83" s="31">
        <v>0</v>
      </c>
      <c r="N83" s="32">
        <v>0</v>
      </c>
      <c r="O83" s="33">
        <v>0</v>
      </c>
      <c r="P83" s="2" t="s">
        <v>736</v>
      </c>
    </row>
    <row r="84" spans="2:16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5"/>
        <v>0</v>
      </c>
      <c r="L84" s="15">
        <f t="shared" si="6"/>
        <v>0</v>
      </c>
      <c r="M84" s="31">
        <v>0</v>
      </c>
      <c r="N84" s="32">
        <v>0</v>
      </c>
      <c r="O84" s="33">
        <v>0</v>
      </c>
      <c r="P84" s="2" t="s">
        <v>736</v>
      </c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5"/>
        <v>0</v>
      </c>
      <c r="L85" s="15">
        <f t="shared" si="6"/>
        <v>0</v>
      </c>
      <c r="M85" s="31">
        <v>0</v>
      </c>
      <c r="N85" s="32">
        <v>0</v>
      </c>
      <c r="O85" s="33">
        <v>0</v>
      </c>
      <c r="P85" s="2" t="s">
        <v>736</v>
      </c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5"/>
        <v>0</v>
      </c>
      <c r="L86" s="15">
        <f t="shared" si="6"/>
        <v>0</v>
      </c>
      <c r="M86" s="31">
        <v>0</v>
      </c>
      <c r="N86" s="32">
        <v>0</v>
      </c>
      <c r="O86" s="33">
        <v>0</v>
      </c>
      <c r="P86" s="2" t="s">
        <v>736</v>
      </c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5"/>
        <v>0</v>
      </c>
      <c r="L87" s="15">
        <f t="shared" si="6"/>
        <v>0</v>
      </c>
      <c r="M87" s="31">
        <v>0</v>
      </c>
      <c r="N87" s="32">
        <v>0</v>
      </c>
      <c r="O87" s="33">
        <v>0</v>
      </c>
      <c r="P87" s="2" t="s">
        <v>736</v>
      </c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5"/>
        <v>0</v>
      </c>
      <c r="L88" s="15">
        <f t="shared" si="6"/>
        <v>0</v>
      </c>
      <c r="M88" s="31">
        <v>0</v>
      </c>
      <c r="N88" s="32">
        <v>0</v>
      </c>
      <c r="O88" s="33">
        <v>0</v>
      </c>
      <c r="P88" s="2" t="s">
        <v>736</v>
      </c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5"/>
        <v>0</v>
      </c>
      <c r="L89" s="15">
        <f t="shared" si="6"/>
        <v>0</v>
      </c>
      <c r="M89" s="31">
        <v>0</v>
      </c>
      <c r="N89" s="32">
        <v>0</v>
      </c>
      <c r="O89" s="33">
        <v>0</v>
      </c>
      <c r="P89" s="2" t="s">
        <v>736</v>
      </c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5"/>
        <v>0</v>
      </c>
      <c r="L90" s="15">
        <f t="shared" si="6"/>
        <v>0</v>
      </c>
      <c r="M90" s="31">
        <v>0</v>
      </c>
      <c r="N90" s="32">
        <v>0</v>
      </c>
      <c r="O90" s="33">
        <v>0</v>
      </c>
      <c r="P90" s="2" t="s">
        <v>736</v>
      </c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5"/>
        <v>0</v>
      </c>
      <c r="L91" s="15">
        <f t="shared" si="6"/>
        <v>0</v>
      </c>
      <c r="M91" s="31">
        <v>0</v>
      </c>
      <c r="N91" s="32">
        <v>0</v>
      </c>
      <c r="O91" s="33">
        <v>0</v>
      </c>
      <c r="P91" s="2" t="s">
        <v>736</v>
      </c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5"/>
        <v>0</v>
      </c>
      <c r="L92" s="15">
        <f t="shared" si="6"/>
        <v>0</v>
      </c>
      <c r="M92" s="31">
        <v>0</v>
      </c>
      <c r="N92" s="32">
        <v>0</v>
      </c>
      <c r="O92" s="33">
        <v>0</v>
      </c>
      <c r="P92" s="2" t="s">
        <v>736</v>
      </c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5"/>
        <v>0</v>
      </c>
      <c r="L93" s="15">
        <f t="shared" si="6"/>
        <v>0</v>
      </c>
      <c r="M93" s="31">
        <v>0</v>
      </c>
      <c r="N93" s="32">
        <v>0</v>
      </c>
      <c r="O93" s="33">
        <v>0</v>
      </c>
      <c r="P93" s="2" t="s">
        <v>736</v>
      </c>
    </row>
    <row r="94" spans="2:16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5"/>
        <v>0</v>
      </c>
      <c r="L94" s="15">
        <f t="shared" si="6"/>
        <v>0</v>
      </c>
      <c r="M94" s="31">
        <v>0</v>
      </c>
      <c r="N94" s="32">
        <v>0</v>
      </c>
      <c r="O94" s="33">
        <v>0</v>
      </c>
      <c r="P94" s="2" t="s">
        <v>736</v>
      </c>
    </row>
    <row r="95" spans="2:16" ht="13.8" x14ac:dyDescent="0.2">
      <c r="B95" s="14">
        <v>90</v>
      </c>
      <c r="C95" s="8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5"/>
        <v>0</v>
      </c>
      <c r="L95" s="15">
        <f t="shared" si="6"/>
        <v>0</v>
      </c>
      <c r="M95" s="31">
        <v>0</v>
      </c>
      <c r="N95" s="32">
        <v>0</v>
      </c>
      <c r="O95" s="33">
        <v>0</v>
      </c>
      <c r="P95" s="2" t="s">
        <v>736</v>
      </c>
    </row>
    <row r="96" spans="2:16" ht="13.8" x14ac:dyDescent="0.2">
      <c r="B96" s="14">
        <v>91</v>
      </c>
      <c r="C96" s="17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5"/>
        <v>0</v>
      </c>
      <c r="L96" s="15">
        <f t="shared" si="6"/>
        <v>0</v>
      </c>
      <c r="M96" s="31">
        <v>0</v>
      </c>
      <c r="N96" s="32">
        <v>0</v>
      </c>
      <c r="O96" s="33">
        <v>0</v>
      </c>
      <c r="P96" s="2" t="s">
        <v>736</v>
      </c>
    </row>
    <row r="97" spans="2:16" ht="13.8" x14ac:dyDescent="0.2">
      <c r="B97" s="14">
        <v>92</v>
      </c>
      <c r="C97" s="17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5"/>
        <v>0</v>
      </c>
      <c r="L97" s="15">
        <f t="shared" si="6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5"/>
        <v>0</v>
      </c>
      <c r="L98" s="15">
        <f t="shared" si="6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17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5"/>
        <v>0</v>
      </c>
      <c r="L99" s="15">
        <f t="shared" si="6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5"/>
        <v>0</v>
      </c>
      <c r="L100" s="15">
        <f t="shared" si="6"/>
        <v>0</v>
      </c>
      <c r="M100" s="31">
        <v>0</v>
      </c>
      <c r="N100" s="32">
        <v>0</v>
      </c>
      <c r="O100" s="33">
        <v>0</v>
      </c>
      <c r="P100" s="2" t="s">
        <v>736</v>
      </c>
    </row>
    <row r="101" spans="2:16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5"/>
        <v>0</v>
      </c>
      <c r="L101" s="15">
        <f t="shared" si="6"/>
        <v>0</v>
      </c>
      <c r="M101" s="31">
        <v>0</v>
      </c>
      <c r="N101" s="32">
        <v>0</v>
      </c>
      <c r="O101" s="33">
        <v>0</v>
      </c>
      <c r="P101" s="2" t="s">
        <v>736</v>
      </c>
    </row>
    <row r="102" spans="2:16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5"/>
        <v>0</v>
      </c>
      <c r="L102" s="15">
        <f t="shared" si="6"/>
        <v>0</v>
      </c>
      <c r="M102" s="31">
        <v>0</v>
      </c>
      <c r="N102" s="32">
        <v>0</v>
      </c>
      <c r="O102" s="33">
        <v>0</v>
      </c>
      <c r="P102" s="2" t="s">
        <v>736</v>
      </c>
    </row>
    <row r="103" spans="2:16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5"/>
        <v>0</v>
      </c>
      <c r="L103" s="15">
        <f t="shared" si="6"/>
        <v>0</v>
      </c>
      <c r="M103" s="31">
        <v>0</v>
      </c>
      <c r="N103" s="32">
        <v>0</v>
      </c>
      <c r="O103" s="33">
        <v>0</v>
      </c>
      <c r="P103" s="2" t="s">
        <v>736</v>
      </c>
    </row>
    <row r="104" spans="2:16" ht="13.8" x14ac:dyDescent="0.2">
      <c r="B104" s="14">
        <v>99</v>
      </c>
      <c r="C104" s="17" t="s">
        <v>590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5"/>
        <v>0</v>
      </c>
      <c r="L104" s="15">
        <f t="shared" si="6"/>
        <v>0</v>
      </c>
      <c r="M104" s="31">
        <v>0</v>
      </c>
      <c r="N104" s="32">
        <v>0</v>
      </c>
      <c r="O104" s="33">
        <v>0</v>
      </c>
      <c r="P104" s="2" t="s">
        <v>590</v>
      </c>
    </row>
    <row r="105" spans="2:16" ht="13.8" x14ac:dyDescent="0.2">
      <c r="B105" s="14" t="s">
        <v>1474</v>
      </c>
      <c r="C105" s="9" t="s">
        <v>1648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5"/>
        <v>0</v>
      </c>
      <c r="L105" s="15">
        <f t="shared" si="6"/>
        <v>0</v>
      </c>
      <c r="M105" s="31">
        <v>0</v>
      </c>
      <c r="N105" s="32">
        <v>0</v>
      </c>
      <c r="O105" s="33">
        <v>0</v>
      </c>
      <c r="P105" s="2" t="s">
        <v>1656</v>
      </c>
    </row>
    <row r="106" spans="2:16" ht="13.8" x14ac:dyDescent="0.2">
      <c r="B106" s="14" t="s">
        <v>1477</v>
      </c>
      <c r="C106" s="9" t="s">
        <v>1649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5"/>
        <v>0</v>
      </c>
      <c r="L106" s="15">
        <f t="shared" si="6"/>
        <v>0</v>
      </c>
      <c r="M106" s="31">
        <v>0</v>
      </c>
      <c r="N106" s="32">
        <v>0</v>
      </c>
      <c r="O106" s="33">
        <v>0</v>
      </c>
      <c r="P106" s="2" t="s">
        <v>1657</v>
      </c>
    </row>
    <row r="107" spans="2:16" ht="13.8" x14ac:dyDescent="0.2">
      <c r="B107" s="14" t="s">
        <v>532</v>
      </c>
      <c r="C107" s="9" t="s">
        <v>1650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5"/>
        <v>0</v>
      </c>
      <c r="L107" s="15">
        <f t="shared" si="6"/>
        <v>0</v>
      </c>
      <c r="M107" s="31">
        <v>0</v>
      </c>
      <c r="N107" s="32">
        <v>0</v>
      </c>
      <c r="O107" s="33">
        <v>0</v>
      </c>
      <c r="P107" s="2" t="s">
        <v>1658</v>
      </c>
    </row>
    <row r="108" spans="2:16" ht="13.8" x14ac:dyDescent="0.2">
      <c r="B108" s="14" t="s">
        <v>533</v>
      </c>
      <c r="C108" s="9" t="s">
        <v>1651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5"/>
        <v>0</v>
      </c>
      <c r="L108" s="15">
        <f t="shared" si="6"/>
        <v>0</v>
      </c>
      <c r="M108" s="31">
        <v>0</v>
      </c>
      <c r="N108" s="32">
        <v>0</v>
      </c>
      <c r="O108" s="33">
        <v>0</v>
      </c>
      <c r="P108" s="2" t="s">
        <v>1659</v>
      </c>
    </row>
    <row r="109" spans="2:16" ht="13.8" x14ac:dyDescent="0.2">
      <c r="B109" s="14" t="s">
        <v>534</v>
      </c>
      <c r="C109" s="9" t="s">
        <v>1652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5"/>
        <v>0</v>
      </c>
      <c r="L109" s="15">
        <f t="shared" si="6"/>
        <v>0</v>
      </c>
      <c r="M109" s="31">
        <v>0</v>
      </c>
      <c r="N109" s="32">
        <v>0</v>
      </c>
      <c r="O109" s="33">
        <v>0</v>
      </c>
      <c r="P109" s="2" t="s">
        <v>1660</v>
      </c>
    </row>
    <row r="110" spans="2:16" ht="13.8" x14ac:dyDescent="0.2">
      <c r="B110" s="14" t="s">
        <v>535</v>
      </c>
      <c r="C110" s="9" t="s">
        <v>1653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5"/>
        <v>0</v>
      </c>
      <c r="L110" s="15">
        <f t="shared" si="6"/>
        <v>0</v>
      </c>
      <c r="M110" s="31">
        <v>0</v>
      </c>
      <c r="N110" s="32">
        <v>0</v>
      </c>
      <c r="O110" s="33">
        <v>0</v>
      </c>
      <c r="P110" s="2" t="s">
        <v>1661</v>
      </c>
    </row>
    <row r="111" spans="2:16" ht="13.8" x14ac:dyDescent="0.2">
      <c r="B111" s="14" t="s">
        <v>536</v>
      </c>
      <c r="C111" s="9" t="s">
        <v>1654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5"/>
        <v>0</v>
      </c>
      <c r="L111" s="15">
        <f t="shared" si="6"/>
        <v>0</v>
      </c>
      <c r="M111" s="31">
        <v>0</v>
      </c>
      <c r="N111" s="32">
        <v>0</v>
      </c>
      <c r="O111" s="33">
        <v>0</v>
      </c>
      <c r="P111" s="2" t="s">
        <v>1662</v>
      </c>
    </row>
    <row r="112" spans="2:16" ht="13.8" x14ac:dyDescent="0.2">
      <c r="B112" s="14" t="s">
        <v>537</v>
      </c>
      <c r="C112" s="9" t="s">
        <v>1655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5"/>
        <v>0</v>
      </c>
      <c r="L112" s="15">
        <f t="shared" si="6"/>
        <v>0</v>
      </c>
      <c r="M112" s="31">
        <v>0</v>
      </c>
      <c r="N112" s="32">
        <v>0</v>
      </c>
      <c r="O112" s="33">
        <v>0</v>
      </c>
      <c r="P112" s="2" t="s">
        <v>1663</v>
      </c>
    </row>
    <row r="113" spans="2:16" ht="13.8" x14ac:dyDescent="0.2">
      <c r="B113" s="14" t="s">
        <v>541</v>
      </c>
      <c r="C113" s="9" t="s">
        <v>591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5"/>
        <v>0</v>
      </c>
      <c r="L113" s="15">
        <f t="shared" si="6"/>
        <v>0</v>
      </c>
      <c r="M113" s="31">
        <v>0</v>
      </c>
      <c r="N113" s="32">
        <v>0</v>
      </c>
      <c r="O113" s="33">
        <v>0</v>
      </c>
      <c r="P113" s="2" t="s">
        <v>591</v>
      </c>
    </row>
    <row r="114" spans="2:16" ht="13.8" x14ac:dyDescent="0.2">
      <c r="B114" s="14" t="s">
        <v>542</v>
      </c>
      <c r="C114" s="9" t="s">
        <v>592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5"/>
        <v>0</v>
      </c>
      <c r="L114" s="15">
        <f t="shared" si="6"/>
        <v>0</v>
      </c>
      <c r="M114" s="31">
        <v>0</v>
      </c>
      <c r="N114" s="32">
        <v>0</v>
      </c>
      <c r="O114" s="33">
        <v>0</v>
      </c>
      <c r="P114" s="2" t="s">
        <v>592</v>
      </c>
    </row>
    <row r="115" spans="2:16" ht="13.8" x14ac:dyDescent="0.2">
      <c r="B115" s="14"/>
      <c r="C115" s="9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5"/>
        <v>0</v>
      </c>
      <c r="L115" s="15">
        <f t="shared" si="6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5"/>
        <v>0</v>
      </c>
      <c r="L116" s="15">
        <f t="shared" si="6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5"/>
        <v>0</v>
      </c>
      <c r="L117" s="15">
        <f t="shared" si="6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5"/>
        <v>0</v>
      </c>
      <c r="L118" s="15">
        <f t="shared" si="6"/>
        <v>0</v>
      </c>
      <c r="M118" s="31">
        <v>0</v>
      </c>
      <c r="N118" s="32">
        <v>0</v>
      </c>
      <c r="O118" s="33">
        <v>0</v>
      </c>
      <c r="P118" s="2" t="s">
        <v>736</v>
      </c>
    </row>
    <row r="119" spans="2:16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5"/>
        <v>0</v>
      </c>
      <c r="L119" s="15">
        <f t="shared" si="6"/>
        <v>0</v>
      </c>
      <c r="M119" s="31">
        <v>0</v>
      </c>
      <c r="N119" s="32">
        <v>0</v>
      </c>
      <c r="O119" s="33">
        <v>0</v>
      </c>
      <c r="P119" s="2" t="s">
        <v>736</v>
      </c>
    </row>
    <row r="120" spans="2:16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5"/>
        <v>0</v>
      </c>
      <c r="L120" s="15">
        <f t="shared" si="6"/>
        <v>0</v>
      </c>
      <c r="M120" s="31">
        <v>0</v>
      </c>
      <c r="N120" s="32">
        <v>0</v>
      </c>
      <c r="O120" s="33">
        <v>0</v>
      </c>
      <c r="P120" s="2" t="s">
        <v>736</v>
      </c>
    </row>
    <row r="121" spans="2:16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5"/>
        <v>0</v>
      </c>
      <c r="L121" s="15">
        <f t="shared" si="6"/>
        <v>0</v>
      </c>
      <c r="M121" s="31">
        <v>0</v>
      </c>
      <c r="N121" s="32">
        <v>0</v>
      </c>
      <c r="O121" s="33">
        <v>0</v>
      </c>
      <c r="P121" s="2" t="s">
        <v>736</v>
      </c>
    </row>
    <row r="122" spans="2:16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5"/>
        <v>0</v>
      </c>
      <c r="L122" s="15">
        <f t="shared" si="6"/>
        <v>0</v>
      </c>
      <c r="M122" s="31">
        <v>0</v>
      </c>
      <c r="N122" s="32">
        <v>0</v>
      </c>
      <c r="O122" s="33">
        <v>0</v>
      </c>
      <c r="P122" s="2" t="s">
        <v>736</v>
      </c>
    </row>
    <row r="123" spans="2:16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5"/>
        <v>0</v>
      </c>
      <c r="L123" s="15">
        <f t="shared" si="6"/>
        <v>0</v>
      </c>
      <c r="M123" s="31">
        <v>0</v>
      </c>
      <c r="N123" s="32">
        <v>0</v>
      </c>
      <c r="O123" s="33">
        <v>0</v>
      </c>
      <c r="P123" s="2" t="s">
        <v>736</v>
      </c>
    </row>
    <row r="124" spans="2:16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5"/>
        <v>0</v>
      </c>
      <c r="L124" s="15">
        <f t="shared" si="6"/>
        <v>0</v>
      </c>
      <c r="M124" s="31">
        <v>0</v>
      </c>
      <c r="N124" s="32">
        <v>0</v>
      </c>
      <c r="O124" s="33">
        <v>0</v>
      </c>
      <c r="P124" s="2" t="s">
        <v>736</v>
      </c>
    </row>
    <row r="125" spans="2:16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5"/>
        <v>0</v>
      </c>
      <c r="L125" s="15">
        <f t="shared" si="6"/>
        <v>0</v>
      </c>
      <c r="M125" s="31">
        <v>0</v>
      </c>
      <c r="N125" s="32">
        <v>0</v>
      </c>
      <c r="O125" s="33">
        <v>0</v>
      </c>
      <c r="P125" s="2" t="s">
        <v>736</v>
      </c>
    </row>
    <row r="126" spans="2:16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5"/>
        <v>0</v>
      </c>
      <c r="L126" s="15">
        <f t="shared" si="6"/>
        <v>0</v>
      </c>
      <c r="M126" s="31">
        <v>0</v>
      </c>
      <c r="N126" s="32">
        <v>0</v>
      </c>
      <c r="O126" s="33">
        <v>0</v>
      </c>
      <c r="P126" s="2" t="s">
        <v>736</v>
      </c>
    </row>
    <row r="127" spans="2:16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5"/>
        <v>0</v>
      </c>
      <c r="L127" s="15">
        <f t="shared" si="6"/>
        <v>0</v>
      </c>
      <c r="M127" s="31">
        <v>0</v>
      </c>
      <c r="N127" s="32">
        <v>0</v>
      </c>
      <c r="O127" s="33">
        <v>0</v>
      </c>
      <c r="P127" s="2" t="s">
        <v>736</v>
      </c>
    </row>
    <row r="128" spans="2:16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5"/>
        <v>0</v>
      </c>
      <c r="L128" s="15">
        <f t="shared" si="6"/>
        <v>0</v>
      </c>
      <c r="M128" s="31">
        <v>0</v>
      </c>
      <c r="N128" s="32">
        <v>0</v>
      </c>
      <c r="O128" s="33">
        <v>0</v>
      </c>
      <c r="P128" s="2" t="s">
        <v>736</v>
      </c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5"/>
        <v>0</v>
      </c>
      <c r="L129" s="15">
        <f t="shared" si="6"/>
        <v>0</v>
      </c>
      <c r="M129" s="31">
        <v>0</v>
      </c>
      <c r="N129" s="32">
        <v>0</v>
      </c>
      <c r="O129" s="33">
        <v>0</v>
      </c>
      <c r="P129" s="2" t="s">
        <v>736</v>
      </c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5"/>
        <v>0</v>
      </c>
      <c r="L130" s="15">
        <f t="shared" si="6"/>
        <v>0</v>
      </c>
      <c r="M130" s="31">
        <v>0</v>
      </c>
      <c r="N130" s="32">
        <v>0</v>
      </c>
      <c r="O130" s="33">
        <v>0</v>
      </c>
      <c r="P130" s="2" t="s">
        <v>736</v>
      </c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5"/>
        <v>0</v>
      </c>
      <c r="L131" s="15">
        <f t="shared" si="6"/>
        <v>0</v>
      </c>
      <c r="M131" s="31">
        <v>0</v>
      </c>
      <c r="N131" s="32">
        <v>0</v>
      </c>
      <c r="O131" s="33">
        <v>0</v>
      </c>
      <c r="P131" s="2" t="s">
        <v>736</v>
      </c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5"/>
        <v>0</v>
      </c>
      <c r="L132" s="15">
        <f t="shared" si="6"/>
        <v>0</v>
      </c>
      <c r="M132" s="31">
        <v>0</v>
      </c>
      <c r="N132" s="32">
        <v>0</v>
      </c>
      <c r="O132" s="33">
        <v>0</v>
      </c>
      <c r="P132" s="2" t="s">
        <v>736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34" si="7">IFERROR(IF((F133+M133+N133)/(E133+M133+N133+O133)=1,"1.00",(F133+M133+N133)/(E133+M133+N133+O133)),0)</f>
        <v>0</v>
      </c>
      <c r="L133" s="15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736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7"/>
        <v>0</v>
      </c>
      <c r="L134" s="15">
        <f t="shared" si="8"/>
        <v>0</v>
      </c>
      <c r="M134" s="31">
        <v>0</v>
      </c>
      <c r="N134" s="32">
        <v>0</v>
      </c>
      <c r="O134" s="33">
        <v>0</v>
      </c>
      <c r="P134" s="2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M2:O3 K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P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</cols>
  <sheetData>
    <row r="2" spans="2:16" ht="13.8" customHeight="1" x14ac:dyDescent="0.2">
      <c r="B2" s="89"/>
      <c r="C2" s="89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87" t="s">
        <v>738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936</v>
      </c>
      <c r="H3" s="9" t="s">
        <v>937</v>
      </c>
      <c r="I3" s="12" t="s">
        <v>9</v>
      </c>
      <c r="J3" s="13" t="s">
        <v>10</v>
      </c>
      <c r="K3" s="30" t="s">
        <v>737</v>
      </c>
      <c r="L3" s="34" t="s">
        <v>894</v>
      </c>
      <c r="M3" s="9" t="s">
        <v>744</v>
      </c>
      <c r="N3" s="9" t="s">
        <v>745</v>
      </c>
      <c r="O3" s="9" t="s">
        <v>743</v>
      </c>
      <c r="P3" s="87"/>
    </row>
    <row r="4" spans="2:16" ht="13.8" x14ac:dyDescent="0.2">
      <c r="B4" s="14" t="s">
        <v>425</v>
      </c>
      <c r="C4" s="8" t="s">
        <v>748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>IFERROR(IF((F4+M4+N4)/(E4+M4+N4+O4)=1,"1.00",(F4+M4+N4)/(E4+M4+N4+O4)),0)</f>
        <v>0</v>
      </c>
      <c r="L4" s="15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17" t="s">
        <v>1212</v>
      </c>
    </row>
    <row r="5" spans="2:16" ht="13.8" x14ac:dyDescent="0.2">
      <c r="B5" s="14">
        <v>0</v>
      </c>
      <c r="C5" s="8" t="s">
        <v>749</v>
      </c>
      <c r="D5" s="15">
        <f t="shared" ref="D5:D68" si="0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1">IFERROR(IF((F5+M5+N5)/(E5+M5+N5+O5)=1,"1.00",(F5+M5+N5)/(E5+M5+N5+O5)),0)</f>
        <v>0</v>
      </c>
      <c r="L5" s="15">
        <f t="shared" ref="L5:L68" si="2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17" t="s">
        <v>1213</v>
      </c>
    </row>
    <row r="6" spans="2:16" ht="13.8" x14ac:dyDescent="0.2">
      <c r="B6" s="14">
        <v>1</v>
      </c>
      <c r="C6" s="8"/>
      <c r="D6" s="15">
        <f t="shared" si="0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1"/>
        <v>0</v>
      </c>
      <c r="L6" s="15">
        <f t="shared" si="2"/>
        <v>0</v>
      </c>
      <c r="M6" s="31">
        <v>0</v>
      </c>
      <c r="N6" s="32">
        <v>0</v>
      </c>
      <c r="O6" s="33">
        <v>0</v>
      </c>
      <c r="P6" s="17" t="s">
        <v>736</v>
      </c>
    </row>
    <row r="7" spans="2:16" ht="13.8" x14ac:dyDescent="0.2">
      <c r="B7" s="14">
        <v>2</v>
      </c>
      <c r="C7" s="8" t="s">
        <v>750</v>
      </c>
      <c r="D7" s="15">
        <f t="shared" si="0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1"/>
        <v>0</v>
      </c>
      <c r="L7" s="15">
        <f t="shared" si="2"/>
        <v>0</v>
      </c>
      <c r="M7" s="31">
        <v>0</v>
      </c>
      <c r="N7" s="32">
        <v>0</v>
      </c>
      <c r="O7" s="33">
        <v>0</v>
      </c>
      <c r="P7" s="17" t="s">
        <v>746</v>
      </c>
    </row>
    <row r="8" spans="2:16" ht="13.8" x14ac:dyDescent="0.2">
      <c r="B8" s="14">
        <v>3</v>
      </c>
      <c r="C8" s="8" t="s">
        <v>751</v>
      </c>
      <c r="D8" s="15">
        <f t="shared" si="0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1"/>
        <v>0</v>
      </c>
      <c r="L8" s="15">
        <f t="shared" si="2"/>
        <v>0</v>
      </c>
      <c r="M8" s="31">
        <v>0</v>
      </c>
      <c r="N8" s="32">
        <v>0</v>
      </c>
      <c r="O8" s="33">
        <v>0</v>
      </c>
      <c r="P8" s="17" t="s">
        <v>1214</v>
      </c>
    </row>
    <row r="9" spans="2:16" ht="13.8" x14ac:dyDescent="0.2">
      <c r="B9" s="14">
        <v>4</v>
      </c>
      <c r="C9" s="8" t="s">
        <v>752</v>
      </c>
      <c r="D9" s="15">
        <f t="shared" si="0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1"/>
        <v>0</v>
      </c>
      <c r="L9" s="15">
        <f t="shared" si="2"/>
        <v>0</v>
      </c>
      <c r="M9" s="31">
        <v>0</v>
      </c>
      <c r="N9" s="32">
        <v>0</v>
      </c>
      <c r="O9" s="33">
        <v>0</v>
      </c>
      <c r="P9" s="17" t="s">
        <v>1215</v>
      </c>
    </row>
    <row r="10" spans="2:16" ht="13.8" x14ac:dyDescent="0.2">
      <c r="B10" s="14">
        <v>5</v>
      </c>
      <c r="C10" s="8" t="s">
        <v>753</v>
      </c>
      <c r="D10" s="15">
        <f t="shared" si="0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1"/>
        <v>0</v>
      </c>
      <c r="L10" s="15">
        <f t="shared" si="2"/>
        <v>0</v>
      </c>
      <c r="M10" s="31">
        <v>0</v>
      </c>
      <c r="N10" s="32">
        <v>0</v>
      </c>
      <c r="O10" s="33">
        <v>0</v>
      </c>
      <c r="P10" s="17" t="s">
        <v>1216</v>
      </c>
    </row>
    <row r="11" spans="2:16" ht="13.8" x14ac:dyDescent="0.2">
      <c r="B11" s="14">
        <v>6</v>
      </c>
      <c r="C11" s="8"/>
      <c r="D11" s="15">
        <f t="shared" si="0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1"/>
        <v>0</v>
      </c>
      <c r="L11" s="15">
        <f t="shared" si="2"/>
        <v>0</v>
      </c>
      <c r="M11" s="31">
        <v>0</v>
      </c>
      <c r="N11" s="32">
        <v>0</v>
      </c>
      <c r="O11" s="33">
        <v>0</v>
      </c>
      <c r="P11" s="17" t="s">
        <v>736</v>
      </c>
    </row>
    <row r="12" spans="2:16" ht="13.8" x14ac:dyDescent="0.2">
      <c r="B12" s="14">
        <v>7</v>
      </c>
      <c r="C12" s="8" t="s">
        <v>754</v>
      </c>
      <c r="D12" s="15">
        <f t="shared" si="0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1"/>
        <v>0</v>
      </c>
      <c r="L12" s="15">
        <f t="shared" si="2"/>
        <v>0</v>
      </c>
      <c r="M12" s="31">
        <v>0</v>
      </c>
      <c r="N12" s="32">
        <v>0</v>
      </c>
      <c r="O12" s="33">
        <v>0</v>
      </c>
      <c r="P12" s="17" t="s">
        <v>1217</v>
      </c>
    </row>
    <row r="13" spans="2:16" ht="13.8" x14ac:dyDescent="0.2">
      <c r="B13" s="14">
        <v>8</v>
      </c>
      <c r="C13" s="8" t="s">
        <v>755</v>
      </c>
      <c r="D13" s="15">
        <f t="shared" si="0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1"/>
        <v>0</v>
      </c>
      <c r="L13" s="15">
        <f t="shared" si="2"/>
        <v>0</v>
      </c>
      <c r="M13" s="31">
        <v>0</v>
      </c>
      <c r="N13" s="32">
        <v>0</v>
      </c>
      <c r="O13" s="33">
        <v>0</v>
      </c>
      <c r="P13" s="17" t="s">
        <v>1218</v>
      </c>
    </row>
    <row r="14" spans="2:16" ht="13.8" x14ac:dyDescent="0.2">
      <c r="B14" s="14">
        <v>9</v>
      </c>
      <c r="C14" s="8" t="s">
        <v>756</v>
      </c>
      <c r="D14" s="15">
        <f t="shared" si="0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1"/>
        <v>0</v>
      </c>
      <c r="L14" s="15">
        <f t="shared" si="2"/>
        <v>0</v>
      </c>
      <c r="M14" s="31">
        <v>0</v>
      </c>
      <c r="N14" s="32">
        <v>0</v>
      </c>
      <c r="O14" s="33">
        <v>0</v>
      </c>
      <c r="P14" s="17" t="s">
        <v>1219</v>
      </c>
    </row>
    <row r="15" spans="2:16" ht="13.8" x14ac:dyDescent="0.2">
      <c r="B15" s="14">
        <v>10</v>
      </c>
      <c r="C15" s="8"/>
      <c r="D15" s="15">
        <f t="shared" si="0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1"/>
        <v>0</v>
      </c>
      <c r="L15" s="15">
        <f t="shared" si="2"/>
        <v>0</v>
      </c>
      <c r="M15" s="31">
        <v>0</v>
      </c>
      <c r="N15" s="32">
        <v>0</v>
      </c>
      <c r="O15" s="33">
        <v>0</v>
      </c>
      <c r="P15" s="17" t="s">
        <v>736</v>
      </c>
    </row>
    <row r="16" spans="2:16" ht="13.8" x14ac:dyDescent="0.2">
      <c r="B16" s="14">
        <v>11</v>
      </c>
      <c r="C16" s="8"/>
      <c r="D16" s="15">
        <f t="shared" si="0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1"/>
        <v>0</v>
      </c>
      <c r="L16" s="15">
        <f t="shared" si="2"/>
        <v>0</v>
      </c>
      <c r="M16" s="31">
        <v>0</v>
      </c>
      <c r="N16" s="32">
        <v>0</v>
      </c>
      <c r="O16" s="33">
        <v>0</v>
      </c>
      <c r="P16" s="17" t="s">
        <v>736</v>
      </c>
    </row>
    <row r="17" spans="2:16" ht="13.8" x14ac:dyDescent="0.2">
      <c r="B17" s="14">
        <v>12</v>
      </c>
      <c r="C17" s="8" t="s">
        <v>757</v>
      </c>
      <c r="D17" s="15">
        <f t="shared" si="0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1"/>
        <v>0</v>
      </c>
      <c r="L17" s="15">
        <f t="shared" si="2"/>
        <v>0</v>
      </c>
      <c r="M17" s="31">
        <v>0</v>
      </c>
      <c r="N17" s="32">
        <v>0</v>
      </c>
      <c r="O17" s="33">
        <v>0</v>
      </c>
      <c r="P17" s="17" t="s">
        <v>215</v>
      </c>
    </row>
    <row r="18" spans="2:16" ht="13.8" x14ac:dyDescent="0.2">
      <c r="B18" s="14">
        <v>13</v>
      </c>
      <c r="C18" s="9" t="s">
        <v>1338</v>
      </c>
      <c r="D18" s="15">
        <f t="shared" si="0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1"/>
        <v>0</v>
      </c>
      <c r="L18" s="15">
        <f t="shared" si="2"/>
        <v>0</v>
      </c>
      <c r="M18" s="31">
        <v>0</v>
      </c>
      <c r="N18" s="32">
        <v>0</v>
      </c>
      <c r="O18" s="33">
        <v>0</v>
      </c>
      <c r="P18" s="17" t="s">
        <v>1220</v>
      </c>
    </row>
    <row r="19" spans="2:16" ht="13.8" x14ac:dyDescent="0.2">
      <c r="B19" s="14">
        <v>14</v>
      </c>
      <c r="C19" s="8" t="s">
        <v>605</v>
      </c>
      <c r="D19" s="15">
        <f t="shared" si="0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1"/>
        <v>0</v>
      </c>
      <c r="L19" s="15">
        <f t="shared" si="2"/>
        <v>0</v>
      </c>
      <c r="M19" s="31">
        <v>0</v>
      </c>
      <c r="N19" s="32">
        <v>0</v>
      </c>
      <c r="O19" s="33">
        <v>0</v>
      </c>
      <c r="P19" s="17" t="s">
        <v>605</v>
      </c>
    </row>
    <row r="20" spans="2:16" ht="13.8" x14ac:dyDescent="0.2">
      <c r="B20" s="14">
        <v>15</v>
      </c>
      <c r="C20" s="8" t="s">
        <v>758</v>
      </c>
      <c r="D20" s="15">
        <f t="shared" si="0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1"/>
        <v>0</v>
      </c>
      <c r="L20" s="15">
        <f t="shared" si="2"/>
        <v>0</v>
      </c>
      <c r="M20" s="31">
        <v>0</v>
      </c>
      <c r="N20" s="32">
        <v>0</v>
      </c>
      <c r="O20" s="33">
        <v>0</v>
      </c>
      <c r="P20" s="17" t="s">
        <v>1221</v>
      </c>
    </row>
    <row r="21" spans="2:16" ht="13.8" x14ac:dyDescent="0.2">
      <c r="B21" s="14">
        <v>16</v>
      </c>
      <c r="C21" s="8" t="s">
        <v>759</v>
      </c>
      <c r="D21" s="15">
        <f t="shared" si="0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1"/>
        <v>0</v>
      </c>
      <c r="L21" s="15">
        <f t="shared" si="2"/>
        <v>0</v>
      </c>
      <c r="M21" s="31">
        <v>0</v>
      </c>
      <c r="N21" s="32">
        <v>0</v>
      </c>
      <c r="O21" s="33">
        <v>0</v>
      </c>
      <c r="P21" s="17" t="s">
        <v>1222</v>
      </c>
    </row>
    <row r="22" spans="2:16" ht="13.8" x14ac:dyDescent="0.2">
      <c r="B22" s="14">
        <v>17</v>
      </c>
      <c r="C22" s="8" t="s">
        <v>760</v>
      </c>
      <c r="D22" s="15">
        <f t="shared" si="0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1"/>
        <v>0</v>
      </c>
      <c r="L22" s="15">
        <f t="shared" si="2"/>
        <v>0</v>
      </c>
      <c r="M22" s="31">
        <v>0</v>
      </c>
      <c r="N22" s="32">
        <v>0</v>
      </c>
      <c r="O22" s="33">
        <v>0</v>
      </c>
      <c r="P22" s="17" t="s">
        <v>1223</v>
      </c>
    </row>
    <row r="23" spans="2:16" ht="13.8" x14ac:dyDescent="0.2">
      <c r="B23" s="14">
        <v>18</v>
      </c>
      <c r="C23" s="8" t="s">
        <v>761</v>
      </c>
      <c r="D23" s="15">
        <f t="shared" si="0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1"/>
        <v>0</v>
      </c>
      <c r="L23" s="15">
        <f t="shared" si="2"/>
        <v>0</v>
      </c>
      <c r="M23" s="31">
        <v>0</v>
      </c>
      <c r="N23" s="32">
        <v>0</v>
      </c>
      <c r="O23" s="33">
        <v>0</v>
      </c>
      <c r="P23" s="17" t="s">
        <v>1224</v>
      </c>
    </row>
    <row r="24" spans="2:16" ht="13.8" x14ac:dyDescent="0.2">
      <c r="B24" s="14">
        <v>19</v>
      </c>
      <c r="C24" s="8" t="s">
        <v>762</v>
      </c>
      <c r="D24" s="15">
        <f t="shared" si="0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1"/>
        <v>0</v>
      </c>
      <c r="L24" s="15">
        <f t="shared" si="2"/>
        <v>0</v>
      </c>
      <c r="M24" s="31">
        <v>0</v>
      </c>
      <c r="N24" s="32">
        <v>0</v>
      </c>
      <c r="O24" s="33">
        <v>0</v>
      </c>
      <c r="P24" s="17" t="s">
        <v>810</v>
      </c>
    </row>
    <row r="25" spans="2:16" ht="13.8" x14ac:dyDescent="0.2">
      <c r="B25" s="14">
        <v>20</v>
      </c>
      <c r="C25" s="8" t="s">
        <v>1339</v>
      </c>
      <c r="D25" s="15">
        <f t="shared" si="0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1"/>
        <v>0</v>
      </c>
      <c r="L25" s="15">
        <f t="shared" si="2"/>
        <v>0</v>
      </c>
      <c r="M25" s="31">
        <v>0</v>
      </c>
      <c r="N25" s="32">
        <v>0</v>
      </c>
      <c r="O25" s="33">
        <v>0</v>
      </c>
      <c r="P25" s="17" t="s">
        <v>1352</v>
      </c>
    </row>
    <row r="26" spans="2:16" ht="13.8" x14ac:dyDescent="0.2">
      <c r="B26" s="14">
        <v>21</v>
      </c>
      <c r="C26" s="8" t="s">
        <v>1340</v>
      </c>
      <c r="D26" s="15">
        <f t="shared" si="0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1"/>
        <v>0</v>
      </c>
      <c r="L26" s="15">
        <f t="shared" si="2"/>
        <v>0</v>
      </c>
      <c r="M26" s="31">
        <v>0</v>
      </c>
      <c r="N26" s="32">
        <v>0</v>
      </c>
      <c r="O26" s="33">
        <v>0</v>
      </c>
      <c r="P26" s="17" t="s">
        <v>1241</v>
      </c>
    </row>
    <row r="27" spans="2:16" ht="13.8" x14ac:dyDescent="0.2">
      <c r="B27" s="14">
        <v>22</v>
      </c>
      <c r="C27" s="8"/>
      <c r="D27" s="15">
        <f t="shared" si="0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1"/>
        <v>0</v>
      </c>
      <c r="L27" s="15">
        <f t="shared" si="2"/>
        <v>0</v>
      </c>
      <c r="M27" s="31">
        <v>0</v>
      </c>
      <c r="N27" s="32">
        <v>0</v>
      </c>
      <c r="O27" s="33">
        <v>0</v>
      </c>
      <c r="P27" s="17" t="s">
        <v>736</v>
      </c>
    </row>
    <row r="28" spans="2:16" ht="13.8" x14ac:dyDescent="0.2">
      <c r="B28" s="14">
        <v>23</v>
      </c>
      <c r="C28" s="8"/>
      <c r="D28" s="15">
        <f t="shared" si="0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1"/>
        <v>0</v>
      </c>
      <c r="L28" s="15">
        <f t="shared" si="2"/>
        <v>0</v>
      </c>
      <c r="M28" s="31">
        <v>0</v>
      </c>
      <c r="N28" s="32">
        <v>0</v>
      </c>
      <c r="O28" s="33">
        <v>0</v>
      </c>
      <c r="P28" s="17" t="s">
        <v>736</v>
      </c>
    </row>
    <row r="29" spans="2:16" ht="13.8" x14ac:dyDescent="0.2">
      <c r="B29" s="14">
        <v>24</v>
      </c>
      <c r="C29" s="36" t="s">
        <v>1341</v>
      </c>
      <c r="D29" s="15">
        <f t="shared" si="0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1"/>
        <v>0</v>
      </c>
      <c r="L29" s="15">
        <f t="shared" si="2"/>
        <v>0</v>
      </c>
      <c r="M29" s="31">
        <v>0</v>
      </c>
      <c r="N29" s="32">
        <v>0</v>
      </c>
      <c r="O29" s="33">
        <v>0</v>
      </c>
      <c r="P29" s="17" t="s">
        <v>1353</v>
      </c>
    </row>
    <row r="30" spans="2:16" ht="13.8" x14ac:dyDescent="0.2">
      <c r="B30" s="14">
        <v>25</v>
      </c>
      <c r="C30" s="8" t="s">
        <v>763</v>
      </c>
      <c r="D30" s="15">
        <f t="shared" si="0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1"/>
        <v>0</v>
      </c>
      <c r="L30" s="15">
        <f t="shared" si="2"/>
        <v>0</v>
      </c>
      <c r="M30" s="31">
        <v>0</v>
      </c>
      <c r="N30" s="32">
        <v>0</v>
      </c>
      <c r="O30" s="33">
        <v>0</v>
      </c>
      <c r="P30" s="17" t="s">
        <v>1225</v>
      </c>
    </row>
    <row r="31" spans="2:16" ht="13.8" x14ac:dyDescent="0.2">
      <c r="B31" s="14">
        <v>26</v>
      </c>
      <c r="C31" s="8" t="s">
        <v>764</v>
      </c>
      <c r="D31" s="15">
        <f t="shared" si="0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1"/>
        <v>0</v>
      </c>
      <c r="L31" s="15">
        <f t="shared" si="2"/>
        <v>0</v>
      </c>
      <c r="M31" s="31">
        <v>0</v>
      </c>
      <c r="N31" s="32">
        <v>0</v>
      </c>
      <c r="O31" s="33">
        <v>0</v>
      </c>
      <c r="P31" s="17" t="s">
        <v>1226</v>
      </c>
    </row>
    <row r="32" spans="2:16" ht="13.8" x14ac:dyDescent="0.2">
      <c r="B32" s="14">
        <v>27</v>
      </c>
      <c r="C32" s="8" t="s">
        <v>765</v>
      </c>
      <c r="D32" s="15">
        <f t="shared" si="0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1"/>
        <v>0</v>
      </c>
      <c r="L32" s="15">
        <f t="shared" si="2"/>
        <v>0</v>
      </c>
      <c r="M32" s="31">
        <v>0</v>
      </c>
      <c r="N32" s="32">
        <v>0</v>
      </c>
      <c r="O32" s="33">
        <v>0</v>
      </c>
      <c r="P32" s="17" t="s">
        <v>1227</v>
      </c>
    </row>
    <row r="33" spans="2:16" ht="13.8" x14ac:dyDescent="0.2">
      <c r="B33" s="14">
        <v>28</v>
      </c>
      <c r="C33" s="8" t="s">
        <v>606</v>
      </c>
      <c r="D33" s="15">
        <f t="shared" si="0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1"/>
        <v>0</v>
      </c>
      <c r="L33" s="15">
        <f t="shared" si="2"/>
        <v>0</v>
      </c>
      <c r="M33" s="31">
        <v>0</v>
      </c>
      <c r="N33" s="32">
        <v>0</v>
      </c>
      <c r="O33" s="33">
        <v>0</v>
      </c>
      <c r="P33" s="17" t="s">
        <v>1354</v>
      </c>
    </row>
    <row r="34" spans="2:16" ht="13.8" x14ac:dyDescent="0.2">
      <c r="B34" s="14">
        <v>29</v>
      </c>
      <c r="C34" s="8" t="s">
        <v>766</v>
      </c>
      <c r="D34" s="15">
        <f t="shared" si="0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1"/>
        <v>0</v>
      </c>
      <c r="L34" s="15">
        <f t="shared" si="2"/>
        <v>0</v>
      </c>
      <c r="M34" s="31">
        <v>0</v>
      </c>
      <c r="N34" s="32">
        <v>0</v>
      </c>
      <c r="O34" s="33">
        <v>0</v>
      </c>
      <c r="P34" s="17" t="s">
        <v>1229</v>
      </c>
    </row>
    <row r="35" spans="2:16" ht="13.8" x14ac:dyDescent="0.2">
      <c r="B35" s="14">
        <v>30</v>
      </c>
      <c r="C35" s="8" t="s">
        <v>767</v>
      </c>
      <c r="D35" s="15">
        <f t="shared" si="0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1"/>
        <v>0</v>
      </c>
      <c r="L35" s="15">
        <f t="shared" si="2"/>
        <v>0</v>
      </c>
      <c r="M35" s="31">
        <v>0</v>
      </c>
      <c r="N35" s="32">
        <v>0</v>
      </c>
      <c r="O35" s="33">
        <v>0</v>
      </c>
      <c r="P35" s="17" t="s">
        <v>1230</v>
      </c>
    </row>
    <row r="36" spans="2:16" ht="13.8" x14ac:dyDescent="0.2">
      <c r="B36" s="14">
        <v>31</v>
      </c>
      <c r="C36" s="8" t="s">
        <v>747</v>
      </c>
      <c r="D36" s="15">
        <f t="shared" si="0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1"/>
        <v>0</v>
      </c>
      <c r="L36" s="15">
        <f t="shared" si="2"/>
        <v>0</v>
      </c>
      <c r="M36" s="31">
        <v>0</v>
      </c>
      <c r="N36" s="32">
        <v>0</v>
      </c>
      <c r="O36" s="33">
        <v>0</v>
      </c>
      <c r="P36" s="17" t="s">
        <v>747</v>
      </c>
    </row>
    <row r="37" spans="2:16" ht="13.8" x14ac:dyDescent="0.2">
      <c r="B37" s="14">
        <v>32</v>
      </c>
      <c r="C37" s="8" t="s">
        <v>769</v>
      </c>
      <c r="D37" s="15">
        <f t="shared" si="0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1"/>
        <v>0</v>
      </c>
      <c r="L37" s="15">
        <f t="shared" si="2"/>
        <v>0</v>
      </c>
      <c r="M37" s="31">
        <v>0</v>
      </c>
      <c r="N37" s="32">
        <v>0</v>
      </c>
      <c r="O37" s="33">
        <v>0</v>
      </c>
      <c r="P37" s="17" t="s">
        <v>1231</v>
      </c>
    </row>
    <row r="38" spans="2:16" ht="13.8" x14ac:dyDescent="0.2">
      <c r="B38" s="14">
        <v>33</v>
      </c>
      <c r="C38" s="8" t="s">
        <v>770</v>
      </c>
      <c r="D38" s="15">
        <f t="shared" si="0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1"/>
        <v>0</v>
      </c>
      <c r="L38" s="15">
        <f t="shared" si="2"/>
        <v>0</v>
      </c>
      <c r="M38" s="31">
        <v>0</v>
      </c>
      <c r="N38" s="32">
        <v>0</v>
      </c>
      <c r="O38" s="33">
        <v>0</v>
      </c>
      <c r="P38" s="17" t="s">
        <v>1232</v>
      </c>
    </row>
    <row r="39" spans="2:16" ht="13.8" x14ac:dyDescent="0.2">
      <c r="B39" s="14">
        <v>34</v>
      </c>
      <c r="C39" s="8" t="s">
        <v>1342</v>
      </c>
      <c r="D39" s="15">
        <f t="shared" si="0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1"/>
        <v>0</v>
      </c>
      <c r="L39" s="15">
        <f t="shared" si="2"/>
        <v>0</v>
      </c>
      <c r="M39" s="31">
        <v>0</v>
      </c>
      <c r="N39" s="32">
        <v>0</v>
      </c>
      <c r="O39" s="33">
        <v>0</v>
      </c>
      <c r="P39" s="17" t="s">
        <v>1129</v>
      </c>
    </row>
    <row r="40" spans="2:16" ht="13.8" x14ac:dyDescent="0.2">
      <c r="B40" s="14">
        <v>35</v>
      </c>
      <c r="C40" s="8"/>
      <c r="D40" s="15">
        <f t="shared" si="0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1"/>
        <v>0</v>
      </c>
      <c r="L40" s="15">
        <f t="shared" si="2"/>
        <v>0</v>
      </c>
      <c r="M40" s="31">
        <v>0</v>
      </c>
      <c r="N40" s="32">
        <v>0</v>
      </c>
      <c r="O40" s="33">
        <v>0</v>
      </c>
      <c r="P40" s="17" t="s">
        <v>736</v>
      </c>
    </row>
    <row r="41" spans="2:16" ht="13.8" x14ac:dyDescent="0.2">
      <c r="B41" s="14">
        <v>36</v>
      </c>
      <c r="C41" s="8" t="s">
        <v>771</v>
      </c>
      <c r="D41" s="15">
        <f t="shared" si="0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1"/>
        <v>0</v>
      </c>
      <c r="L41" s="15">
        <f t="shared" si="2"/>
        <v>0</v>
      </c>
      <c r="M41" s="31">
        <v>0</v>
      </c>
      <c r="N41" s="32">
        <v>0</v>
      </c>
      <c r="O41" s="33">
        <v>0</v>
      </c>
      <c r="P41" s="17" t="s">
        <v>1233</v>
      </c>
    </row>
    <row r="42" spans="2:16" ht="13.8" x14ac:dyDescent="0.2">
      <c r="B42" s="14">
        <v>37</v>
      </c>
      <c r="C42" s="8" t="s">
        <v>772</v>
      </c>
      <c r="D42" s="15">
        <f t="shared" si="0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1"/>
        <v>0</v>
      </c>
      <c r="L42" s="15">
        <f t="shared" si="2"/>
        <v>0</v>
      </c>
      <c r="M42" s="31">
        <v>0</v>
      </c>
      <c r="N42" s="32">
        <v>0</v>
      </c>
      <c r="O42" s="33">
        <v>0</v>
      </c>
      <c r="P42" s="17" t="s">
        <v>1234</v>
      </c>
    </row>
    <row r="43" spans="2:16" ht="13.8" x14ac:dyDescent="0.2">
      <c r="B43" s="14">
        <v>38</v>
      </c>
      <c r="C43" s="8" t="s">
        <v>773</v>
      </c>
      <c r="D43" s="15">
        <f t="shared" si="0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1"/>
        <v>0</v>
      </c>
      <c r="L43" s="15">
        <f t="shared" si="2"/>
        <v>0</v>
      </c>
      <c r="M43" s="31">
        <v>0</v>
      </c>
      <c r="N43" s="32">
        <v>0</v>
      </c>
      <c r="O43" s="33">
        <v>0</v>
      </c>
      <c r="P43" s="17" t="s">
        <v>1235</v>
      </c>
    </row>
    <row r="44" spans="2:16" ht="13.8" x14ac:dyDescent="0.2">
      <c r="B44" s="14">
        <v>39</v>
      </c>
      <c r="C44" s="8" t="s">
        <v>774</v>
      </c>
      <c r="D44" s="15">
        <f t="shared" si="0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1"/>
        <v>0</v>
      </c>
      <c r="L44" s="15">
        <f t="shared" si="2"/>
        <v>0</v>
      </c>
      <c r="M44" s="31">
        <v>0</v>
      </c>
      <c r="N44" s="32">
        <v>0</v>
      </c>
      <c r="O44" s="33">
        <v>0</v>
      </c>
      <c r="P44" s="17" t="s">
        <v>1236</v>
      </c>
    </row>
    <row r="45" spans="2:16" ht="13.8" x14ac:dyDescent="0.2">
      <c r="B45" s="14">
        <v>40</v>
      </c>
      <c r="C45" s="8" t="s">
        <v>775</v>
      </c>
      <c r="D45" s="15">
        <f t="shared" si="0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1"/>
        <v>0</v>
      </c>
      <c r="L45" s="15">
        <f t="shared" si="2"/>
        <v>0</v>
      </c>
      <c r="M45" s="31">
        <v>0</v>
      </c>
      <c r="N45" s="32">
        <v>0</v>
      </c>
      <c r="O45" s="33">
        <v>0</v>
      </c>
      <c r="P45" s="17" t="s">
        <v>1237</v>
      </c>
    </row>
    <row r="46" spans="2:16" ht="13.8" x14ac:dyDescent="0.2">
      <c r="B46" s="14">
        <v>41</v>
      </c>
      <c r="C46" s="8" t="s">
        <v>776</v>
      </c>
      <c r="D46" s="15">
        <f t="shared" si="0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1"/>
        <v>0</v>
      </c>
      <c r="L46" s="15">
        <f t="shared" si="2"/>
        <v>0</v>
      </c>
      <c r="M46" s="31">
        <v>0</v>
      </c>
      <c r="N46" s="32">
        <v>0</v>
      </c>
      <c r="O46" s="33">
        <v>0</v>
      </c>
      <c r="P46" s="17" t="s">
        <v>1238</v>
      </c>
    </row>
    <row r="47" spans="2:16" ht="13.8" x14ac:dyDescent="0.2">
      <c r="B47" s="14">
        <v>42</v>
      </c>
      <c r="C47" s="8" t="s">
        <v>1343</v>
      </c>
      <c r="D47" s="15">
        <f t="shared" si="0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1"/>
        <v>0</v>
      </c>
      <c r="L47" s="15">
        <f t="shared" si="2"/>
        <v>0</v>
      </c>
      <c r="M47" s="31">
        <v>0</v>
      </c>
      <c r="N47" s="32">
        <v>0</v>
      </c>
      <c r="O47" s="33">
        <v>0</v>
      </c>
      <c r="P47" s="17" t="s">
        <v>1343</v>
      </c>
    </row>
    <row r="48" spans="2:16" ht="13.8" x14ac:dyDescent="0.2">
      <c r="B48" s="14">
        <v>43</v>
      </c>
      <c r="C48" s="8" t="s">
        <v>777</v>
      </c>
      <c r="D48" s="15">
        <f t="shared" si="0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1"/>
        <v>0</v>
      </c>
      <c r="L48" s="15">
        <f t="shared" si="2"/>
        <v>0</v>
      </c>
      <c r="M48" s="31">
        <v>0</v>
      </c>
      <c r="N48" s="32">
        <v>0</v>
      </c>
      <c r="O48" s="33">
        <v>0</v>
      </c>
      <c r="P48" s="17" t="s">
        <v>1239</v>
      </c>
    </row>
    <row r="49" spans="2:16" ht="13.8" x14ac:dyDescent="0.2">
      <c r="B49" s="14">
        <v>44</v>
      </c>
      <c r="C49" s="8" t="s">
        <v>811</v>
      </c>
      <c r="D49" s="15">
        <f t="shared" si="0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1"/>
        <v>0</v>
      </c>
      <c r="L49" s="15">
        <f t="shared" si="2"/>
        <v>0</v>
      </c>
      <c r="M49" s="31">
        <v>0</v>
      </c>
      <c r="N49" s="32">
        <v>0</v>
      </c>
      <c r="O49" s="33">
        <v>0</v>
      </c>
      <c r="P49" s="17" t="s">
        <v>811</v>
      </c>
    </row>
    <row r="50" spans="2:16" ht="13.8" x14ac:dyDescent="0.2">
      <c r="B50" s="14">
        <v>45</v>
      </c>
      <c r="C50" s="8" t="s">
        <v>778</v>
      </c>
      <c r="D50" s="15">
        <f t="shared" si="0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1"/>
        <v>0</v>
      </c>
      <c r="L50" s="15">
        <f t="shared" si="2"/>
        <v>0</v>
      </c>
      <c r="M50" s="31">
        <v>0</v>
      </c>
      <c r="N50" s="32">
        <v>0</v>
      </c>
      <c r="O50" s="33">
        <v>0</v>
      </c>
      <c r="P50" s="17" t="s">
        <v>1240</v>
      </c>
    </row>
    <row r="51" spans="2:16" ht="13.8" x14ac:dyDescent="0.2">
      <c r="B51" s="14">
        <v>46</v>
      </c>
      <c r="C51" s="8"/>
      <c r="D51" s="15">
        <f t="shared" si="0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1"/>
        <v>0</v>
      </c>
      <c r="L51" s="15">
        <f t="shared" si="2"/>
        <v>0</v>
      </c>
      <c r="M51" s="31">
        <v>0</v>
      </c>
      <c r="N51" s="32">
        <v>0</v>
      </c>
      <c r="O51" s="33">
        <v>0</v>
      </c>
      <c r="P51" s="17"/>
    </row>
    <row r="52" spans="2:16" ht="13.8" x14ac:dyDescent="0.2">
      <c r="B52" s="14">
        <v>47</v>
      </c>
      <c r="C52" s="8" t="s">
        <v>1344</v>
      </c>
      <c r="D52" s="15">
        <f t="shared" si="0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1"/>
        <v>0</v>
      </c>
      <c r="L52" s="15">
        <f t="shared" si="2"/>
        <v>0</v>
      </c>
      <c r="M52" s="31">
        <v>0</v>
      </c>
      <c r="N52" s="32">
        <v>0</v>
      </c>
      <c r="O52" s="33">
        <v>0</v>
      </c>
      <c r="P52" s="17" t="s">
        <v>1355</v>
      </c>
    </row>
    <row r="53" spans="2:16" ht="13.8" x14ac:dyDescent="0.2">
      <c r="B53" s="14">
        <v>48</v>
      </c>
      <c r="C53" s="8" t="s">
        <v>779</v>
      </c>
      <c r="D53" s="15">
        <f t="shared" si="0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1"/>
        <v>0</v>
      </c>
      <c r="L53" s="15">
        <f t="shared" si="2"/>
        <v>0</v>
      </c>
      <c r="M53" s="31">
        <v>0</v>
      </c>
      <c r="N53" s="32">
        <v>0</v>
      </c>
      <c r="O53" s="33">
        <v>0</v>
      </c>
      <c r="P53" s="17" t="s">
        <v>812</v>
      </c>
    </row>
    <row r="54" spans="2:16" ht="13.8" x14ac:dyDescent="0.2">
      <c r="B54" s="14">
        <v>49</v>
      </c>
      <c r="C54" s="8" t="s">
        <v>813</v>
      </c>
      <c r="D54" s="15">
        <f t="shared" si="0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1"/>
        <v>0</v>
      </c>
      <c r="L54" s="15">
        <f t="shared" si="2"/>
        <v>0</v>
      </c>
      <c r="M54" s="31">
        <v>0</v>
      </c>
      <c r="N54" s="32">
        <v>0</v>
      </c>
      <c r="O54" s="33">
        <v>0</v>
      </c>
      <c r="P54" s="17" t="s">
        <v>813</v>
      </c>
    </row>
    <row r="55" spans="2:16" ht="13.8" x14ac:dyDescent="0.2">
      <c r="B55" s="14">
        <v>50</v>
      </c>
      <c r="C55" s="8" t="s">
        <v>780</v>
      </c>
      <c r="D55" s="15">
        <f t="shared" si="0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1"/>
        <v>0</v>
      </c>
      <c r="L55" s="15">
        <f t="shared" si="2"/>
        <v>0</v>
      </c>
      <c r="M55" s="31">
        <v>0</v>
      </c>
      <c r="N55" s="32">
        <v>0</v>
      </c>
      <c r="O55" s="33">
        <v>0</v>
      </c>
      <c r="P55" s="17" t="s">
        <v>1243</v>
      </c>
    </row>
    <row r="56" spans="2:16" ht="13.8" x14ac:dyDescent="0.2">
      <c r="B56" s="14">
        <v>51</v>
      </c>
      <c r="C56" s="8" t="s">
        <v>781</v>
      </c>
      <c r="D56" s="15">
        <f t="shared" si="0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1"/>
        <v>0</v>
      </c>
      <c r="L56" s="15">
        <f t="shared" si="2"/>
        <v>0</v>
      </c>
      <c r="M56" s="31">
        <v>0</v>
      </c>
      <c r="N56" s="32">
        <v>0</v>
      </c>
      <c r="O56" s="33">
        <v>0</v>
      </c>
      <c r="P56" s="17" t="s">
        <v>1244</v>
      </c>
    </row>
    <row r="57" spans="2:16" ht="13.8" x14ac:dyDescent="0.2">
      <c r="B57" s="14">
        <v>52</v>
      </c>
      <c r="C57" s="8" t="s">
        <v>1345</v>
      </c>
      <c r="D57" s="15">
        <f t="shared" si="0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1"/>
        <v>0</v>
      </c>
      <c r="L57" s="15">
        <f t="shared" si="2"/>
        <v>0</v>
      </c>
      <c r="M57" s="31">
        <v>0</v>
      </c>
      <c r="N57" s="32">
        <v>0</v>
      </c>
      <c r="O57" s="33">
        <v>0</v>
      </c>
      <c r="P57" s="17" t="s">
        <v>1345</v>
      </c>
    </row>
    <row r="58" spans="2:16" ht="13.8" x14ac:dyDescent="0.2">
      <c r="B58" s="14">
        <v>53</v>
      </c>
      <c r="C58" s="8" t="s">
        <v>782</v>
      </c>
      <c r="D58" s="15">
        <f t="shared" si="0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1"/>
        <v>0</v>
      </c>
      <c r="L58" s="15">
        <f t="shared" si="2"/>
        <v>0</v>
      </c>
      <c r="M58" s="31">
        <v>0</v>
      </c>
      <c r="N58" s="32">
        <v>0</v>
      </c>
      <c r="O58" s="33">
        <v>0</v>
      </c>
      <c r="P58" s="17" t="s">
        <v>1245</v>
      </c>
    </row>
    <row r="59" spans="2:16" ht="13.8" x14ac:dyDescent="0.2">
      <c r="B59" s="14">
        <v>54</v>
      </c>
      <c r="C59" s="8" t="s">
        <v>783</v>
      </c>
      <c r="D59" s="15">
        <f t="shared" si="0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1"/>
        <v>0</v>
      </c>
      <c r="L59" s="15">
        <f t="shared" si="2"/>
        <v>0</v>
      </c>
      <c r="M59" s="31">
        <v>0</v>
      </c>
      <c r="N59" s="32">
        <v>0</v>
      </c>
      <c r="O59" s="33">
        <v>0</v>
      </c>
      <c r="P59" s="17" t="s">
        <v>1246</v>
      </c>
    </row>
    <row r="60" spans="2:16" ht="13.8" x14ac:dyDescent="0.2">
      <c r="B60" s="14">
        <v>55</v>
      </c>
      <c r="C60" s="8" t="s">
        <v>784</v>
      </c>
      <c r="D60" s="15">
        <f t="shared" si="0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1"/>
        <v>0</v>
      </c>
      <c r="L60" s="15">
        <f t="shared" si="2"/>
        <v>0</v>
      </c>
      <c r="M60" s="31">
        <v>0</v>
      </c>
      <c r="N60" s="32">
        <v>0</v>
      </c>
      <c r="O60" s="33">
        <v>0</v>
      </c>
      <c r="P60" s="17" t="s">
        <v>1247</v>
      </c>
    </row>
    <row r="61" spans="2:16" ht="13.8" x14ac:dyDescent="0.2">
      <c r="B61" s="14">
        <v>56</v>
      </c>
      <c r="C61" s="8" t="s">
        <v>785</v>
      </c>
      <c r="D61" s="15">
        <f t="shared" si="0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1"/>
        <v>0</v>
      </c>
      <c r="L61" s="15">
        <f t="shared" si="2"/>
        <v>0</v>
      </c>
      <c r="M61" s="31">
        <v>0</v>
      </c>
      <c r="N61" s="32">
        <v>0</v>
      </c>
      <c r="O61" s="33">
        <v>0</v>
      </c>
      <c r="P61" s="17" t="s">
        <v>1248</v>
      </c>
    </row>
    <row r="62" spans="2:16" ht="13.8" x14ac:dyDescent="0.2">
      <c r="B62" s="14">
        <v>57</v>
      </c>
      <c r="C62" s="8" t="s">
        <v>786</v>
      </c>
      <c r="D62" s="15">
        <f t="shared" si="0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1"/>
        <v>0</v>
      </c>
      <c r="L62" s="15">
        <f t="shared" si="2"/>
        <v>0</v>
      </c>
      <c r="M62" s="31">
        <v>0</v>
      </c>
      <c r="N62" s="32">
        <v>0</v>
      </c>
      <c r="O62" s="33">
        <v>0</v>
      </c>
      <c r="P62" s="17" t="s">
        <v>1249</v>
      </c>
    </row>
    <row r="63" spans="2:16" ht="13.8" x14ac:dyDescent="0.2">
      <c r="B63" s="14">
        <v>58</v>
      </c>
      <c r="C63" s="8" t="s">
        <v>1346</v>
      </c>
      <c r="D63" s="15">
        <f t="shared" si="0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1"/>
        <v>0</v>
      </c>
      <c r="L63" s="15">
        <f t="shared" si="2"/>
        <v>0</v>
      </c>
      <c r="M63" s="31">
        <v>0</v>
      </c>
      <c r="N63" s="32">
        <v>0</v>
      </c>
      <c r="O63" s="33">
        <v>0</v>
      </c>
      <c r="P63" s="17" t="s">
        <v>1356</v>
      </c>
    </row>
    <row r="64" spans="2:16" ht="13.8" x14ac:dyDescent="0.2">
      <c r="B64" s="14">
        <v>59</v>
      </c>
      <c r="C64" s="8" t="s">
        <v>787</v>
      </c>
      <c r="D64" s="15">
        <f t="shared" si="0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1"/>
        <v>0</v>
      </c>
      <c r="L64" s="15">
        <f t="shared" si="2"/>
        <v>0</v>
      </c>
      <c r="M64" s="31">
        <v>0</v>
      </c>
      <c r="N64" s="32">
        <v>0</v>
      </c>
      <c r="O64" s="33">
        <v>0</v>
      </c>
      <c r="P64" s="17" t="s">
        <v>1250</v>
      </c>
    </row>
    <row r="65" spans="2:16" ht="13.8" x14ac:dyDescent="0.2">
      <c r="B65" s="14">
        <v>60</v>
      </c>
      <c r="C65" s="8"/>
      <c r="D65" s="15">
        <f t="shared" si="0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1"/>
        <v>0</v>
      </c>
      <c r="L65" s="15">
        <f t="shared" si="2"/>
        <v>0</v>
      </c>
      <c r="M65" s="31">
        <v>0</v>
      </c>
      <c r="N65" s="32">
        <v>0</v>
      </c>
      <c r="O65" s="33">
        <v>0</v>
      </c>
      <c r="P65" s="17"/>
    </row>
    <row r="66" spans="2:16" ht="13.8" x14ac:dyDescent="0.2">
      <c r="B66" s="14">
        <v>61</v>
      </c>
      <c r="C66" s="8" t="s">
        <v>1347</v>
      </c>
      <c r="D66" s="15">
        <f t="shared" si="0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1"/>
        <v>0</v>
      </c>
      <c r="L66" s="15">
        <f t="shared" si="2"/>
        <v>0</v>
      </c>
      <c r="M66" s="31">
        <v>0</v>
      </c>
      <c r="N66" s="32">
        <v>0</v>
      </c>
      <c r="O66" s="33">
        <v>0</v>
      </c>
      <c r="P66" s="17" t="s">
        <v>1357</v>
      </c>
    </row>
    <row r="67" spans="2:16" ht="13.8" x14ac:dyDescent="0.2">
      <c r="B67" s="14">
        <v>62</v>
      </c>
      <c r="C67" s="8" t="s">
        <v>788</v>
      </c>
      <c r="D67" s="15">
        <f t="shared" si="0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1"/>
        <v>0</v>
      </c>
      <c r="L67" s="15">
        <f t="shared" si="2"/>
        <v>0</v>
      </c>
      <c r="M67" s="31">
        <v>0</v>
      </c>
      <c r="N67" s="32">
        <v>0</v>
      </c>
      <c r="O67" s="33">
        <v>0</v>
      </c>
      <c r="P67" s="17" t="s">
        <v>1252</v>
      </c>
    </row>
    <row r="68" spans="2:16" ht="13.8" x14ac:dyDescent="0.2">
      <c r="B68" s="14">
        <v>63</v>
      </c>
      <c r="C68" s="8" t="s">
        <v>789</v>
      </c>
      <c r="D68" s="15">
        <f t="shared" si="0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1"/>
        <v>0</v>
      </c>
      <c r="L68" s="15">
        <f t="shared" si="2"/>
        <v>0</v>
      </c>
      <c r="M68" s="31">
        <v>0</v>
      </c>
      <c r="N68" s="32">
        <v>0</v>
      </c>
      <c r="O68" s="33">
        <v>0</v>
      </c>
      <c r="P68" s="17" t="s">
        <v>216</v>
      </c>
    </row>
    <row r="69" spans="2:16" ht="13.8" x14ac:dyDescent="0.2">
      <c r="B69" s="14">
        <v>64</v>
      </c>
      <c r="C69" s="8" t="s">
        <v>1348</v>
      </c>
      <c r="D69" s="15">
        <f t="shared" ref="D69:D132" si="3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4">IFERROR(IF((F69+M69+N69)/(E69+M69+N69+O69)=1,"1.00",(F69+M69+N69)/(E69+M69+N69+O69)),0)</f>
        <v>0</v>
      </c>
      <c r="L69" s="15">
        <f t="shared" ref="L69:L132" si="5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17" t="s">
        <v>1358</v>
      </c>
    </row>
    <row r="70" spans="2:16" ht="13.8" x14ac:dyDescent="0.2">
      <c r="B70" s="14">
        <v>65</v>
      </c>
      <c r="C70" s="8" t="s">
        <v>790</v>
      </c>
      <c r="D70" s="15">
        <f t="shared" si="3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4"/>
        <v>0</v>
      </c>
      <c r="L70" s="15">
        <f t="shared" si="5"/>
        <v>0</v>
      </c>
      <c r="M70" s="31">
        <v>0</v>
      </c>
      <c r="N70" s="32">
        <v>0</v>
      </c>
      <c r="O70" s="33">
        <v>0</v>
      </c>
      <c r="P70" s="17" t="s">
        <v>1253</v>
      </c>
    </row>
    <row r="71" spans="2:16" ht="13.8" x14ac:dyDescent="0.2">
      <c r="B71" s="14">
        <v>66</v>
      </c>
      <c r="C71" s="8" t="s">
        <v>791</v>
      </c>
      <c r="D71" s="15">
        <f t="shared" si="3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4"/>
        <v>0</v>
      </c>
      <c r="L71" s="15">
        <f t="shared" si="5"/>
        <v>0</v>
      </c>
      <c r="M71" s="31">
        <v>0</v>
      </c>
      <c r="N71" s="32">
        <v>0</v>
      </c>
      <c r="O71" s="33">
        <v>0</v>
      </c>
      <c r="P71" s="17" t="s">
        <v>1254</v>
      </c>
    </row>
    <row r="72" spans="2:16" ht="13.8" x14ac:dyDescent="0.2">
      <c r="B72" s="14">
        <v>67</v>
      </c>
      <c r="C72" s="8" t="s">
        <v>792</v>
      </c>
      <c r="D72" s="15">
        <f t="shared" si="3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4"/>
        <v>0</v>
      </c>
      <c r="L72" s="15">
        <f t="shared" si="5"/>
        <v>0</v>
      </c>
      <c r="M72" s="31">
        <v>0</v>
      </c>
      <c r="N72" s="32">
        <v>0</v>
      </c>
      <c r="O72" s="33">
        <v>0</v>
      </c>
      <c r="P72" s="17" t="s">
        <v>1255</v>
      </c>
    </row>
    <row r="73" spans="2:16" ht="13.8" x14ac:dyDescent="0.2">
      <c r="B73" s="14">
        <v>68</v>
      </c>
      <c r="C73" s="8" t="s">
        <v>1349</v>
      </c>
      <c r="D73" s="15">
        <f t="shared" si="3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4"/>
        <v>0</v>
      </c>
      <c r="L73" s="15">
        <f t="shared" si="5"/>
        <v>0</v>
      </c>
      <c r="M73" s="31">
        <v>0</v>
      </c>
      <c r="N73" s="32">
        <v>0</v>
      </c>
      <c r="O73" s="33">
        <v>0</v>
      </c>
      <c r="P73" s="17" t="s">
        <v>1359</v>
      </c>
    </row>
    <row r="74" spans="2:16" ht="13.8" x14ac:dyDescent="0.2">
      <c r="B74" s="14">
        <v>69</v>
      </c>
      <c r="C74" s="8" t="s">
        <v>793</v>
      </c>
      <c r="D74" s="15">
        <f t="shared" si="3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4"/>
        <v>0</v>
      </c>
      <c r="L74" s="15">
        <f t="shared" si="5"/>
        <v>0</v>
      </c>
      <c r="M74" s="31">
        <v>0</v>
      </c>
      <c r="N74" s="32">
        <v>0</v>
      </c>
      <c r="O74" s="33">
        <v>0</v>
      </c>
      <c r="P74" s="17" t="s">
        <v>1256</v>
      </c>
    </row>
    <row r="75" spans="2:16" ht="13.8" x14ac:dyDescent="0.2">
      <c r="B75" s="14">
        <v>70</v>
      </c>
      <c r="C75" s="8"/>
      <c r="D75" s="15">
        <f t="shared" si="3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4"/>
        <v>0</v>
      </c>
      <c r="L75" s="15">
        <f t="shared" si="5"/>
        <v>0</v>
      </c>
      <c r="M75" s="31">
        <v>0</v>
      </c>
      <c r="N75" s="32">
        <v>0</v>
      </c>
      <c r="O75" s="33">
        <v>0</v>
      </c>
      <c r="P75" s="17" t="s">
        <v>736</v>
      </c>
    </row>
    <row r="76" spans="2:16" ht="13.8" x14ac:dyDescent="0.2">
      <c r="B76" s="14">
        <v>71</v>
      </c>
      <c r="C76" s="8"/>
      <c r="D76" s="15">
        <f t="shared" si="3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4"/>
        <v>0</v>
      </c>
      <c r="L76" s="15">
        <f t="shared" si="5"/>
        <v>0</v>
      </c>
      <c r="M76" s="31">
        <v>0</v>
      </c>
      <c r="N76" s="32">
        <v>0</v>
      </c>
      <c r="O76" s="33">
        <v>0</v>
      </c>
      <c r="P76" s="17" t="s">
        <v>736</v>
      </c>
    </row>
    <row r="77" spans="2:16" ht="13.8" x14ac:dyDescent="0.2">
      <c r="B77" s="14">
        <v>72</v>
      </c>
      <c r="C77" s="8"/>
      <c r="D77" s="15">
        <f t="shared" si="3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4"/>
        <v>0</v>
      </c>
      <c r="L77" s="15">
        <f t="shared" si="5"/>
        <v>0</v>
      </c>
      <c r="M77" s="31">
        <v>0</v>
      </c>
      <c r="N77" s="32">
        <v>0</v>
      </c>
      <c r="O77" s="33">
        <v>0</v>
      </c>
      <c r="P77" s="17" t="s">
        <v>736</v>
      </c>
    </row>
    <row r="78" spans="2:16" ht="13.8" x14ac:dyDescent="0.2">
      <c r="B78" s="14">
        <v>73</v>
      </c>
      <c r="C78" s="8"/>
      <c r="D78" s="15">
        <f t="shared" si="3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4"/>
        <v>0</v>
      </c>
      <c r="L78" s="15">
        <f t="shared" si="5"/>
        <v>0</v>
      </c>
      <c r="M78" s="31">
        <v>0</v>
      </c>
      <c r="N78" s="32">
        <v>0</v>
      </c>
      <c r="O78" s="33">
        <v>0</v>
      </c>
      <c r="P78" s="17" t="s">
        <v>736</v>
      </c>
    </row>
    <row r="79" spans="2:16" ht="13.8" x14ac:dyDescent="0.2">
      <c r="B79" s="14">
        <v>74</v>
      </c>
      <c r="C79" s="8"/>
      <c r="D79" s="15">
        <f t="shared" si="3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4"/>
        <v>0</v>
      </c>
      <c r="L79" s="15">
        <f t="shared" si="5"/>
        <v>0</v>
      </c>
      <c r="M79" s="31">
        <v>0</v>
      </c>
      <c r="N79" s="32">
        <v>0</v>
      </c>
      <c r="O79" s="33">
        <v>0</v>
      </c>
      <c r="P79" s="17" t="s">
        <v>736</v>
      </c>
    </row>
    <row r="80" spans="2:16" ht="13.8" x14ac:dyDescent="0.2">
      <c r="B80" s="14">
        <v>75</v>
      </c>
      <c r="C80" s="8"/>
      <c r="D80" s="15">
        <f t="shared" si="3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4"/>
        <v>0</v>
      </c>
      <c r="L80" s="15">
        <f t="shared" si="5"/>
        <v>0</v>
      </c>
      <c r="M80" s="31">
        <v>0</v>
      </c>
      <c r="N80" s="32">
        <v>0</v>
      </c>
      <c r="O80" s="33">
        <v>0</v>
      </c>
      <c r="P80" s="17"/>
    </row>
    <row r="81" spans="2:16" ht="13.8" x14ac:dyDescent="0.2">
      <c r="B81" s="14">
        <v>76</v>
      </c>
      <c r="C81" s="8"/>
      <c r="D81" s="15">
        <f t="shared" si="3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4"/>
        <v>0</v>
      </c>
      <c r="L81" s="15">
        <f t="shared" si="5"/>
        <v>0</v>
      </c>
      <c r="M81" s="31">
        <v>0</v>
      </c>
      <c r="N81" s="32">
        <v>0</v>
      </c>
      <c r="O81" s="33">
        <v>0</v>
      </c>
      <c r="P81" s="17" t="s">
        <v>736</v>
      </c>
    </row>
    <row r="82" spans="2:16" ht="13.8" x14ac:dyDescent="0.2">
      <c r="B82" s="14">
        <v>77</v>
      </c>
      <c r="C82" s="8"/>
      <c r="D82" s="15">
        <f t="shared" si="3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4"/>
        <v>0</v>
      </c>
      <c r="L82" s="15">
        <f t="shared" si="5"/>
        <v>0</v>
      </c>
      <c r="M82" s="31">
        <v>0</v>
      </c>
      <c r="N82" s="32">
        <v>0</v>
      </c>
      <c r="O82" s="33">
        <v>0</v>
      </c>
      <c r="P82" s="17" t="s">
        <v>736</v>
      </c>
    </row>
    <row r="83" spans="2:16" ht="13.8" x14ac:dyDescent="0.2">
      <c r="B83" s="14">
        <v>78</v>
      </c>
      <c r="C83" s="8"/>
      <c r="D83" s="15">
        <f t="shared" si="3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4"/>
        <v>0</v>
      </c>
      <c r="L83" s="15">
        <f t="shared" si="5"/>
        <v>0</v>
      </c>
      <c r="M83" s="31">
        <v>0</v>
      </c>
      <c r="N83" s="32">
        <v>0</v>
      </c>
      <c r="O83" s="33">
        <v>0</v>
      </c>
      <c r="P83" s="17" t="s">
        <v>736</v>
      </c>
    </row>
    <row r="84" spans="2:16" ht="13.8" x14ac:dyDescent="0.2">
      <c r="B84" s="14">
        <v>79</v>
      </c>
      <c r="C84" s="8"/>
      <c r="D84" s="15">
        <f t="shared" si="3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4"/>
        <v>0</v>
      </c>
      <c r="L84" s="15">
        <f t="shared" si="5"/>
        <v>0</v>
      </c>
      <c r="M84" s="31">
        <v>0</v>
      </c>
      <c r="N84" s="32">
        <v>0</v>
      </c>
      <c r="O84" s="33">
        <v>0</v>
      </c>
      <c r="P84" s="17" t="s">
        <v>736</v>
      </c>
    </row>
    <row r="85" spans="2:16" ht="13.8" x14ac:dyDescent="0.2">
      <c r="B85" s="14">
        <v>80</v>
      </c>
      <c r="C85" s="8"/>
      <c r="D85" s="15">
        <f t="shared" si="3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4"/>
        <v>0</v>
      </c>
      <c r="L85" s="15">
        <f t="shared" si="5"/>
        <v>0</v>
      </c>
      <c r="M85" s="31">
        <v>0</v>
      </c>
      <c r="N85" s="32">
        <v>0</v>
      </c>
      <c r="O85" s="33">
        <v>0</v>
      </c>
      <c r="P85" s="17" t="s">
        <v>736</v>
      </c>
    </row>
    <row r="86" spans="2:16" ht="13.8" x14ac:dyDescent="0.2">
      <c r="B86" s="14">
        <v>81</v>
      </c>
      <c r="C86" s="8"/>
      <c r="D86" s="15">
        <f t="shared" si="3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4"/>
        <v>0</v>
      </c>
      <c r="L86" s="15">
        <f t="shared" si="5"/>
        <v>0</v>
      </c>
      <c r="M86" s="31">
        <v>0</v>
      </c>
      <c r="N86" s="32">
        <v>0</v>
      </c>
      <c r="O86" s="33">
        <v>0</v>
      </c>
      <c r="P86" s="17" t="s">
        <v>736</v>
      </c>
    </row>
    <row r="87" spans="2:16" ht="13.8" x14ac:dyDescent="0.2">
      <c r="B87" s="14">
        <v>82</v>
      </c>
      <c r="C87" s="8"/>
      <c r="D87" s="15">
        <f t="shared" si="3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4"/>
        <v>0</v>
      </c>
      <c r="L87" s="15">
        <f t="shared" si="5"/>
        <v>0</v>
      </c>
      <c r="M87" s="31">
        <v>0</v>
      </c>
      <c r="N87" s="32">
        <v>0</v>
      </c>
      <c r="O87" s="33">
        <v>0</v>
      </c>
      <c r="P87" s="17" t="s">
        <v>736</v>
      </c>
    </row>
    <row r="88" spans="2:16" ht="13.8" x14ac:dyDescent="0.2">
      <c r="B88" s="14">
        <v>83</v>
      </c>
      <c r="C88" s="8"/>
      <c r="D88" s="15">
        <f t="shared" si="3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4"/>
        <v>0</v>
      </c>
      <c r="L88" s="15">
        <f t="shared" si="5"/>
        <v>0</v>
      </c>
      <c r="M88" s="31">
        <v>0</v>
      </c>
      <c r="N88" s="32">
        <v>0</v>
      </c>
      <c r="O88" s="33">
        <v>0</v>
      </c>
      <c r="P88" s="17" t="s">
        <v>736</v>
      </c>
    </row>
    <row r="89" spans="2:16" ht="13.8" x14ac:dyDescent="0.2">
      <c r="B89" s="14">
        <v>84</v>
      </c>
      <c r="C89" s="8"/>
      <c r="D89" s="15">
        <f t="shared" si="3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4"/>
        <v>0</v>
      </c>
      <c r="L89" s="15">
        <f t="shared" si="5"/>
        <v>0</v>
      </c>
      <c r="M89" s="31">
        <v>0</v>
      </c>
      <c r="N89" s="32">
        <v>0</v>
      </c>
      <c r="O89" s="33">
        <v>0</v>
      </c>
      <c r="P89" s="17" t="s">
        <v>736</v>
      </c>
    </row>
    <row r="90" spans="2:16" ht="13.8" x14ac:dyDescent="0.2">
      <c r="B90" s="14">
        <v>85</v>
      </c>
      <c r="C90" s="8"/>
      <c r="D90" s="15">
        <f t="shared" si="3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4"/>
        <v>0</v>
      </c>
      <c r="L90" s="15">
        <f t="shared" si="5"/>
        <v>0</v>
      </c>
      <c r="M90" s="31">
        <v>0</v>
      </c>
      <c r="N90" s="32">
        <v>0</v>
      </c>
      <c r="O90" s="33">
        <v>0</v>
      </c>
      <c r="P90" s="17" t="s">
        <v>736</v>
      </c>
    </row>
    <row r="91" spans="2:16" ht="13.8" x14ac:dyDescent="0.2">
      <c r="B91" s="14">
        <v>86</v>
      </c>
      <c r="C91" s="8"/>
      <c r="D91" s="15">
        <f t="shared" si="3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4"/>
        <v>0</v>
      </c>
      <c r="L91" s="15">
        <f t="shared" si="5"/>
        <v>0</v>
      </c>
      <c r="M91" s="31">
        <v>0</v>
      </c>
      <c r="N91" s="32">
        <v>0</v>
      </c>
      <c r="O91" s="33">
        <v>0</v>
      </c>
      <c r="P91" s="17" t="s">
        <v>736</v>
      </c>
    </row>
    <row r="92" spans="2:16" ht="13.8" x14ac:dyDescent="0.2">
      <c r="B92" s="14">
        <v>87</v>
      </c>
      <c r="C92" s="8"/>
      <c r="D92" s="15">
        <f t="shared" si="3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4"/>
        <v>0</v>
      </c>
      <c r="L92" s="15">
        <f t="shared" si="5"/>
        <v>0</v>
      </c>
      <c r="M92" s="31">
        <v>0</v>
      </c>
      <c r="N92" s="32">
        <v>0</v>
      </c>
      <c r="O92" s="33">
        <v>0</v>
      </c>
      <c r="P92" s="17" t="s">
        <v>736</v>
      </c>
    </row>
    <row r="93" spans="2:16" ht="13.8" x14ac:dyDescent="0.2">
      <c r="B93" s="14">
        <v>88</v>
      </c>
      <c r="C93" s="8"/>
      <c r="D93" s="15">
        <f t="shared" si="3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4"/>
        <v>0</v>
      </c>
      <c r="L93" s="15">
        <f t="shared" si="5"/>
        <v>0</v>
      </c>
      <c r="M93" s="31">
        <v>0</v>
      </c>
      <c r="N93" s="32">
        <v>0</v>
      </c>
      <c r="O93" s="33">
        <v>0</v>
      </c>
      <c r="P93" s="17" t="s">
        <v>736</v>
      </c>
    </row>
    <row r="94" spans="2:16" ht="13.8" x14ac:dyDescent="0.2">
      <c r="B94" s="14">
        <v>89</v>
      </c>
      <c r="C94" s="8"/>
      <c r="D94" s="15">
        <f t="shared" si="3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4"/>
        <v>0</v>
      </c>
      <c r="L94" s="15">
        <f t="shared" si="5"/>
        <v>0</v>
      </c>
      <c r="M94" s="31">
        <v>0</v>
      </c>
      <c r="N94" s="32">
        <v>0</v>
      </c>
      <c r="O94" s="33">
        <v>0</v>
      </c>
      <c r="P94" s="17" t="s">
        <v>736</v>
      </c>
    </row>
    <row r="95" spans="2:16" ht="13.8" x14ac:dyDescent="0.2">
      <c r="B95" s="14">
        <v>90</v>
      </c>
      <c r="C95" s="8"/>
      <c r="D95" s="15">
        <f t="shared" si="3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4"/>
        <v>0</v>
      </c>
      <c r="L95" s="15">
        <f t="shared" si="5"/>
        <v>0</v>
      </c>
      <c r="M95" s="31">
        <v>0</v>
      </c>
      <c r="N95" s="32">
        <v>0</v>
      </c>
      <c r="O95" s="33">
        <v>0</v>
      </c>
      <c r="P95" s="17" t="s">
        <v>736</v>
      </c>
    </row>
    <row r="96" spans="2:16" ht="13.8" x14ac:dyDescent="0.2">
      <c r="B96" s="14">
        <v>91</v>
      </c>
      <c r="C96" s="8"/>
      <c r="D96" s="15">
        <f t="shared" si="3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4"/>
        <v>0</v>
      </c>
      <c r="L96" s="15">
        <f t="shared" si="5"/>
        <v>0</v>
      </c>
      <c r="M96" s="31">
        <v>0</v>
      </c>
      <c r="N96" s="32">
        <v>0</v>
      </c>
      <c r="O96" s="33">
        <v>0</v>
      </c>
      <c r="P96" s="17"/>
    </row>
    <row r="97" spans="2:16" ht="13.8" x14ac:dyDescent="0.2">
      <c r="B97" s="14">
        <v>92</v>
      </c>
      <c r="C97" s="8" t="s">
        <v>795</v>
      </c>
      <c r="D97" s="15">
        <f t="shared" si="3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4"/>
        <v>0</v>
      </c>
      <c r="L97" s="15">
        <f t="shared" si="5"/>
        <v>0</v>
      </c>
      <c r="M97" s="31">
        <v>0</v>
      </c>
      <c r="N97" s="32">
        <v>0</v>
      </c>
      <c r="O97" s="33">
        <v>0</v>
      </c>
      <c r="P97" s="17" t="s">
        <v>1257</v>
      </c>
    </row>
    <row r="98" spans="2:16" ht="13.8" x14ac:dyDescent="0.2">
      <c r="B98" s="14">
        <v>93</v>
      </c>
      <c r="C98" s="8" t="s">
        <v>796</v>
      </c>
      <c r="D98" s="15">
        <f t="shared" si="3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4"/>
        <v>0</v>
      </c>
      <c r="L98" s="15">
        <f t="shared" si="5"/>
        <v>0</v>
      </c>
      <c r="M98" s="31">
        <v>0</v>
      </c>
      <c r="N98" s="32">
        <v>0</v>
      </c>
      <c r="O98" s="33">
        <v>0</v>
      </c>
      <c r="P98" s="17" t="s">
        <v>1258</v>
      </c>
    </row>
    <row r="99" spans="2:16" ht="13.8" x14ac:dyDescent="0.2">
      <c r="B99" s="14">
        <v>94</v>
      </c>
      <c r="C99" s="8" t="s">
        <v>797</v>
      </c>
      <c r="D99" s="15">
        <f t="shared" si="3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4"/>
        <v>0</v>
      </c>
      <c r="L99" s="15">
        <f t="shared" si="5"/>
        <v>0</v>
      </c>
      <c r="M99" s="31">
        <v>0</v>
      </c>
      <c r="N99" s="32">
        <v>0</v>
      </c>
      <c r="O99" s="33">
        <v>0</v>
      </c>
      <c r="P99" s="17" t="s">
        <v>1259</v>
      </c>
    </row>
    <row r="100" spans="2:16" ht="13.8" x14ac:dyDescent="0.2">
      <c r="B100" s="14">
        <v>95</v>
      </c>
      <c r="C100" s="8" t="s">
        <v>798</v>
      </c>
      <c r="D100" s="15">
        <f t="shared" si="3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4"/>
        <v>0</v>
      </c>
      <c r="L100" s="15">
        <f t="shared" si="5"/>
        <v>0</v>
      </c>
      <c r="M100" s="31">
        <v>0</v>
      </c>
      <c r="N100" s="32">
        <v>0</v>
      </c>
      <c r="O100" s="33">
        <v>0</v>
      </c>
      <c r="P100" s="17" t="s">
        <v>1260</v>
      </c>
    </row>
    <row r="101" spans="2:16" ht="13.8" x14ac:dyDescent="0.2">
      <c r="B101" s="14">
        <v>96</v>
      </c>
      <c r="C101" s="8"/>
      <c r="D101" s="15">
        <f t="shared" si="3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4"/>
        <v>0</v>
      </c>
      <c r="L101" s="15">
        <f t="shared" si="5"/>
        <v>0</v>
      </c>
      <c r="M101" s="31">
        <v>0</v>
      </c>
      <c r="N101" s="32">
        <v>0</v>
      </c>
      <c r="O101" s="33">
        <v>0</v>
      </c>
      <c r="P101" s="17" t="s">
        <v>736</v>
      </c>
    </row>
    <row r="102" spans="2:16" ht="13.8" x14ac:dyDescent="0.2">
      <c r="B102" s="14">
        <v>97</v>
      </c>
      <c r="C102" s="9" t="s">
        <v>1686</v>
      </c>
      <c r="D102" s="15">
        <f t="shared" si="3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4"/>
        <v>0</v>
      </c>
      <c r="L102" s="15">
        <f t="shared" si="5"/>
        <v>0</v>
      </c>
      <c r="M102" s="31">
        <v>0</v>
      </c>
      <c r="N102" s="32">
        <v>0</v>
      </c>
      <c r="O102" s="33">
        <v>0</v>
      </c>
      <c r="P102" s="17" t="s">
        <v>1265</v>
      </c>
    </row>
    <row r="103" spans="2:16" ht="13.8" x14ac:dyDescent="0.2">
      <c r="B103" s="14">
        <v>98</v>
      </c>
      <c r="C103" s="9" t="s">
        <v>1687</v>
      </c>
      <c r="D103" s="15">
        <f t="shared" si="3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4"/>
        <v>0</v>
      </c>
      <c r="L103" s="15">
        <f t="shared" si="5"/>
        <v>0</v>
      </c>
      <c r="M103" s="31">
        <v>0</v>
      </c>
      <c r="N103" s="32">
        <v>0</v>
      </c>
      <c r="O103" s="33">
        <v>0</v>
      </c>
      <c r="P103" s="17" t="s">
        <v>1228</v>
      </c>
    </row>
    <row r="104" spans="2:16" ht="13.8" x14ac:dyDescent="0.2">
      <c r="B104" s="14">
        <v>99</v>
      </c>
      <c r="C104" s="8"/>
      <c r="D104" s="15">
        <f t="shared" si="3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4"/>
        <v>0</v>
      </c>
      <c r="L104" s="15">
        <f t="shared" si="5"/>
        <v>0</v>
      </c>
      <c r="M104" s="31">
        <v>0</v>
      </c>
      <c r="N104" s="32">
        <v>0</v>
      </c>
      <c r="O104" s="33">
        <v>0</v>
      </c>
      <c r="P104" s="17" t="s">
        <v>736</v>
      </c>
    </row>
    <row r="105" spans="2:16" ht="13.8" x14ac:dyDescent="0.2">
      <c r="B105" s="14">
        <v>120</v>
      </c>
      <c r="C105" s="8" t="s">
        <v>799</v>
      </c>
      <c r="D105" s="15">
        <f t="shared" si="3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4"/>
        <v>0</v>
      </c>
      <c r="L105" s="15">
        <f t="shared" si="5"/>
        <v>0</v>
      </c>
      <c r="M105" s="31">
        <v>0</v>
      </c>
      <c r="N105" s="32">
        <v>0</v>
      </c>
      <c r="O105" s="33">
        <v>0</v>
      </c>
      <c r="P105" s="17" t="s">
        <v>1261</v>
      </c>
    </row>
    <row r="106" spans="2:16" ht="13.8" x14ac:dyDescent="0.2">
      <c r="B106" s="14">
        <v>121</v>
      </c>
      <c r="C106" s="8" t="s">
        <v>800</v>
      </c>
      <c r="D106" s="15">
        <f t="shared" si="3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4"/>
        <v>0</v>
      </c>
      <c r="L106" s="15">
        <f t="shared" si="5"/>
        <v>0</v>
      </c>
      <c r="M106" s="31">
        <v>0</v>
      </c>
      <c r="N106" s="32">
        <v>0</v>
      </c>
      <c r="O106" s="33">
        <v>0</v>
      </c>
      <c r="P106" s="17" t="s">
        <v>1262</v>
      </c>
    </row>
    <row r="107" spans="2:16" ht="13.8" x14ac:dyDescent="0.2">
      <c r="B107" s="14">
        <v>122</v>
      </c>
      <c r="C107" s="8" t="s">
        <v>801</v>
      </c>
      <c r="D107" s="15">
        <f t="shared" si="3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4"/>
        <v>0</v>
      </c>
      <c r="L107" s="15">
        <f t="shared" si="5"/>
        <v>0</v>
      </c>
      <c r="M107" s="31">
        <v>0</v>
      </c>
      <c r="N107" s="32">
        <v>0</v>
      </c>
      <c r="O107" s="33">
        <v>0</v>
      </c>
      <c r="P107" s="17" t="s">
        <v>1263</v>
      </c>
    </row>
    <row r="108" spans="2:16" ht="13.8" x14ac:dyDescent="0.2">
      <c r="B108" s="14">
        <v>123</v>
      </c>
      <c r="C108" s="8" t="s">
        <v>1350</v>
      </c>
      <c r="D108" s="15">
        <f t="shared" si="3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4"/>
        <v>0</v>
      </c>
      <c r="L108" s="15">
        <f t="shared" si="5"/>
        <v>0</v>
      </c>
      <c r="M108" s="31">
        <v>0</v>
      </c>
      <c r="N108" s="32">
        <v>0</v>
      </c>
      <c r="O108" s="33">
        <v>0</v>
      </c>
      <c r="P108" s="17" t="s">
        <v>1251</v>
      </c>
    </row>
    <row r="109" spans="2:16" ht="13.8" x14ac:dyDescent="0.2">
      <c r="B109" s="14">
        <v>125</v>
      </c>
      <c r="C109" s="8" t="s">
        <v>640</v>
      </c>
      <c r="D109" s="15">
        <f t="shared" si="3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4"/>
        <v>0</v>
      </c>
      <c r="L109" s="15">
        <f t="shared" si="5"/>
        <v>0</v>
      </c>
      <c r="M109" s="31">
        <v>0</v>
      </c>
      <c r="N109" s="32">
        <v>0</v>
      </c>
      <c r="O109" s="33">
        <v>0</v>
      </c>
      <c r="P109" s="17" t="s">
        <v>1360</v>
      </c>
    </row>
    <row r="110" spans="2:16" ht="13.8" x14ac:dyDescent="0.2">
      <c r="B110" s="14">
        <v>126</v>
      </c>
      <c r="C110" s="8" t="s">
        <v>802</v>
      </c>
      <c r="D110" s="15">
        <f t="shared" si="3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4"/>
        <v>0</v>
      </c>
      <c r="L110" s="15">
        <f t="shared" si="5"/>
        <v>0</v>
      </c>
      <c r="M110" s="31">
        <v>0</v>
      </c>
      <c r="N110" s="32">
        <v>0</v>
      </c>
      <c r="O110" s="33">
        <v>0</v>
      </c>
      <c r="P110" s="17" t="s">
        <v>1264</v>
      </c>
    </row>
    <row r="111" spans="2:16" ht="13.8" x14ac:dyDescent="0.2">
      <c r="B111" s="14">
        <v>127</v>
      </c>
      <c r="C111" s="8" t="s">
        <v>1351</v>
      </c>
      <c r="D111" s="15">
        <f t="shared" si="3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4"/>
        <v>0</v>
      </c>
      <c r="L111" s="15">
        <f t="shared" si="5"/>
        <v>0</v>
      </c>
      <c r="M111" s="31">
        <v>0</v>
      </c>
      <c r="N111" s="32">
        <v>0</v>
      </c>
      <c r="O111" s="33">
        <v>0</v>
      </c>
      <c r="P111" s="17" t="s">
        <v>1242</v>
      </c>
    </row>
    <row r="112" spans="2:16" ht="13.8" x14ac:dyDescent="0.2">
      <c r="B112" s="14">
        <v>128</v>
      </c>
      <c r="C112" s="8" t="s">
        <v>631</v>
      </c>
      <c r="D112" s="15">
        <f t="shared" si="3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4"/>
        <v>0</v>
      </c>
      <c r="L112" s="15">
        <f t="shared" si="5"/>
        <v>0</v>
      </c>
      <c r="M112" s="31">
        <v>0</v>
      </c>
      <c r="N112" s="32">
        <v>0</v>
      </c>
      <c r="O112" s="33">
        <v>0</v>
      </c>
      <c r="P112" s="17" t="s">
        <v>1153</v>
      </c>
    </row>
    <row r="113" spans="2:16" ht="13.8" x14ac:dyDescent="0.2">
      <c r="B113" s="14"/>
      <c r="C113" s="8"/>
      <c r="D113" s="15">
        <f t="shared" si="3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4"/>
        <v>0</v>
      </c>
      <c r="L113" s="15">
        <f t="shared" si="5"/>
        <v>0</v>
      </c>
      <c r="M113" s="31">
        <v>0</v>
      </c>
      <c r="N113" s="32">
        <v>0</v>
      </c>
      <c r="O113" s="33">
        <v>0</v>
      </c>
      <c r="P113" s="17" t="s">
        <v>736</v>
      </c>
    </row>
    <row r="114" spans="2:16" ht="13.8" x14ac:dyDescent="0.2">
      <c r="B114" s="14"/>
      <c r="C114" s="8"/>
      <c r="D114" s="15">
        <f t="shared" si="3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4"/>
        <v>0</v>
      </c>
      <c r="L114" s="15">
        <f t="shared" si="5"/>
        <v>0</v>
      </c>
      <c r="M114" s="31">
        <v>0</v>
      </c>
      <c r="N114" s="32">
        <v>0</v>
      </c>
      <c r="O114" s="33">
        <v>0</v>
      </c>
      <c r="P114" s="17" t="s">
        <v>736</v>
      </c>
    </row>
    <row r="115" spans="2:16" ht="13.8" x14ac:dyDescent="0.2">
      <c r="B115" s="14"/>
      <c r="C115" s="8"/>
      <c r="D115" s="15">
        <f t="shared" si="3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4"/>
        <v>0</v>
      </c>
      <c r="L115" s="15">
        <f t="shared" si="5"/>
        <v>0</v>
      </c>
      <c r="M115" s="31">
        <v>0</v>
      </c>
      <c r="N115" s="32">
        <v>0</v>
      </c>
      <c r="O115" s="33">
        <v>0</v>
      </c>
      <c r="P115" s="17" t="s">
        <v>736</v>
      </c>
    </row>
    <row r="116" spans="2:16" ht="13.8" x14ac:dyDescent="0.2">
      <c r="B116" s="14"/>
      <c r="C116" s="8"/>
      <c r="D116" s="15">
        <f t="shared" si="3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4"/>
        <v>0</v>
      </c>
      <c r="L116" s="15">
        <f t="shared" si="5"/>
        <v>0</v>
      </c>
      <c r="M116" s="31">
        <v>0</v>
      </c>
      <c r="N116" s="32">
        <v>0</v>
      </c>
      <c r="O116" s="33">
        <v>0</v>
      </c>
      <c r="P116" s="17" t="s">
        <v>736</v>
      </c>
    </row>
    <row r="117" spans="2:16" ht="13.8" x14ac:dyDescent="0.2">
      <c r="B117" s="14"/>
      <c r="C117" s="8"/>
      <c r="D117" s="15">
        <f t="shared" si="3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4"/>
        <v>0</v>
      </c>
      <c r="L117" s="15">
        <f t="shared" si="5"/>
        <v>0</v>
      </c>
      <c r="M117" s="31">
        <v>0</v>
      </c>
      <c r="N117" s="32">
        <v>0</v>
      </c>
      <c r="O117" s="33">
        <v>0</v>
      </c>
      <c r="P117" s="17" t="s">
        <v>736</v>
      </c>
    </row>
    <row r="118" spans="2:16" ht="13.8" x14ac:dyDescent="0.2">
      <c r="B118" s="14"/>
      <c r="C118" s="8"/>
      <c r="D118" s="15">
        <f t="shared" si="3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4"/>
        <v>0</v>
      </c>
      <c r="L118" s="15">
        <f t="shared" si="5"/>
        <v>0</v>
      </c>
      <c r="M118" s="31">
        <v>0</v>
      </c>
      <c r="N118" s="32">
        <v>0</v>
      </c>
      <c r="O118" s="33">
        <v>0</v>
      </c>
      <c r="P118" s="17" t="s">
        <v>736</v>
      </c>
    </row>
    <row r="119" spans="2:16" ht="13.8" x14ac:dyDescent="0.2">
      <c r="B119" s="14"/>
      <c r="C119" s="8"/>
      <c r="D119" s="15">
        <f t="shared" si="3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4"/>
        <v>0</v>
      </c>
      <c r="L119" s="15">
        <f t="shared" si="5"/>
        <v>0</v>
      </c>
      <c r="M119" s="31">
        <v>0</v>
      </c>
      <c r="N119" s="32">
        <v>0</v>
      </c>
      <c r="O119" s="33">
        <v>0</v>
      </c>
      <c r="P119" s="17" t="s">
        <v>736</v>
      </c>
    </row>
    <row r="120" spans="2:16" ht="13.8" x14ac:dyDescent="0.2">
      <c r="B120" s="14"/>
      <c r="C120" s="8"/>
      <c r="D120" s="15">
        <f t="shared" si="3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4"/>
        <v>0</v>
      </c>
      <c r="L120" s="15">
        <f t="shared" si="5"/>
        <v>0</v>
      </c>
      <c r="M120" s="31">
        <v>0</v>
      </c>
      <c r="N120" s="32">
        <v>0</v>
      </c>
      <c r="O120" s="33">
        <v>0</v>
      </c>
      <c r="P120" s="17" t="s">
        <v>736</v>
      </c>
    </row>
    <row r="121" spans="2:16" ht="13.8" x14ac:dyDescent="0.2">
      <c r="B121" s="14"/>
      <c r="C121" s="8"/>
      <c r="D121" s="15">
        <f t="shared" si="3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4"/>
        <v>0</v>
      </c>
      <c r="L121" s="15">
        <f t="shared" si="5"/>
        <v>0</v>
      </c>
      <c r="M121" s="31">
        <v>0</v>
      </c>
      <c r="N121" s="32">
        <v>0</v>
      </c>
      <c r="O121" s="33">
        <v>0</v>
      </c>
      <c r="P121" s="17" t="s">
        <v>736</v>
      </c>
    </row>
    <row r="122" spans="2:16" ht="13.8" x14ac:dyDescent="0.2">
      <c r="B122" s="14"/>
      <c r="C122" s="8"/>
      <c r="D122" s="15">
        <f t="shared" si="3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4"/>
        <v>0</v>
      </c>
      <c r="L122" s="15">
        <f t="shared" si="5"/>
        <v>0</v>
      </c>
      <c r="M122" s="31">
        <v>0</v>
      </c>
      <c r="N122" s="32">
        <v>0</v>
      </c>
      <c r="O122" s="33">
        <v>0</v>
      </c>
      <c r="P122" s="17" t="s">
        <v>736</v>
      </c>
    </row>
    <row r="123" spans="2:16" ht="13.8" x14ac:dyDescent="0.2">
      <c r="B123" s="14"/>
      <c r="C123" s="8"/>
      <c r="D123" s="15">
        <f t="shared" si="3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4"/>
        <v>0</v>
      </c>
      <c r="L123" s="15">
        <f t="shared" si="5"/>
        <v>0</v>
      </c>
      <c r="M123" s="31">
        <v>0</v>
      </c>
      <c r="N123" s="32">
        <v>0</v>
      </c>
      <c r="O123" s="33">
        <v>0</v>
      </c>
      <c r="P123" s="17" t="s">
        <v>736</v>
      </c>
    </row>
    <row r="124" spans="2:16" ht="13.8" x14ac:dyDescent="0.2">
      <c r="B124" s="14"/>
      <c r="C124" s="8"/>
      <c r="D124" s="15">
        <f t="shared" si="3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4"/>
        <v>0</v>
      </c>
      <c r="L124" s="15">
        <f t="shared" si="5"/>
        <v>0</v>
      </c>
      <c r="M124" s="31">
        <v>0</v>
      </c>
      <c r="N124" s="32">
        <v>0</v>
      </c>
      <c r="O124" s="33">
        <v>0</v>
      </c>
      <c r="P124" s="17" t="s">
        <v>736</v>
      </c>
    </row>
    <row r="125" spans="2:16" ht="13.8" x14ac:dyDescent="0.2">
      <c r="B125" s="14"/>
      <c r="C125" s="8"/>
      <c r="D125" s="15">
        <f t="shared" si="3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4"/>
        <v>0</v>
      </c>
      <c r="L125" s="15">
        <f t="shared" si="5"/>
        <v>0</v>
      </c>
      <c r="M125" s="31">
        <v>0</v>
      </c>
      <c r="N125" s="32">
        <v>0</v>
      </c>
      <c r="O125" s="33">
        <v>0</v>
      </c>
      <c r="P125" s="17" t="s">
        <v>736</v>
      </c>
    </row>
    <row r="126" spans="2:16" ht="13.8" x14ac:dyDescent="0.2">
      <c r="B126" s="14"/>
      <c r="C126" s="8"/>
      <c r="D126" s="15">
        <f t="shared" si="3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4"/>
        <v>0</v>
      </c>
      <c r="L126" s="15">
        <f t="shared" si="5"/>
        <v>0</v>
      </c>
      <c r="M126" s="31">
        <v>0</v>
      </c>
      <c r="N126" s="32">
        <v>0</v>
      </c>
      <c r="O126" s="33">
        <v>0</v>
      </c>
      <c r="P126" s="17" t="s">
        <v>736</v>
      </c>
    </row>
    <row r="127" spans="2:16" ht="13.8" x14ac:dyDescent="0.2">
      <c r="B127" s="14"/>
      <c r="C127" s="8"/>
      <c r="D127" s="15">
        <f t="shared" si="3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4"/>
        <v>0</v>
      </c>
      <c r="L127" s="15">
        <f t="shared" si="5"/>
        <v>0</v>
      </c>
      <c r="M127" s="31">
        <v>0</v>
      </c>
      <c r="N127" s="32">
        <v>0</v>
      </c>
      <c r="O127" s="33">
        <v>0</v>
      </c>
      <c r="P127" s="17" t="s">
        <v>736</v>
      </c>
    </row>
    <row r="128" spans="2:16" ht="13.8" x14ac:dyDescent="0.2">
      <c r="B128" s="14"/>
      <c r="C128" s="8"/>
      <c r="D128" s="15">
        <f t="shared" si="3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4"/>
        <v>0</v>
      </c>
      <c r="L128" s="15">
        <f t="shared" si="5"/>
        <v>0</v>
      </c>
      <c r="M128" s="31">
        <v>0</v>
      </c>
      <c r="N128" s="32">
        <v>0</v>
      </c>
      <c r="O128" s="33">
        <v>0</v>
      </c>
      <c r="P128" s="17" t="s">
        <v>736</v>
      </c>
    </row>
    <row r="129" spans="2:16" ht="13.8" x14ac:dyDescent="0.2">
      <c r="B129" s="14"/>
      <c r="C129" s="8"/>
      <c r="D129" s="15">
        <f t="shared" si="3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4"/>
        <v>0</v>
      </c>
      <c r="L129" s="15">
        <f t="shared" si="5"/>
        <v>0</v>
      </c>
      <c r="M129" s="31">
        <v>0</v>
      </c>
      <c r="N129" s="32">
        <v>0</v>
      </c>
      <c r="O129" s="33">
        <v>0</v>
      </c>
      <c r="P129" s="17" t="s">
        <v>736</v>
      </c>
    </row>
    <row r="130" spans="2:16" ht="13.8" x14ac:dyDescent="0.2">
      <c r="B130" s="14"/>
      <c r="C130" s="8"/>
      <c r="D130" s="15">
        <f t="shared" si="3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4"/>
        <v>0</v>
      </c>
      <c r="L130" s="15">
        <f t="shared" si="5"/>
        <v>0</v>
      </c>
      <c r="M130" s="31">
        <v>0</v>
      </c>
      <c r="N130" s="32">
        <v>0</v>
      </c>
      <c r="O130" s="33">
        <v>0</v>
      </c>
      <c r="P130" s="17" t="s">
        <v>736</v>
      </c>
    </row>
    <row r="131" spans="2:16" ht="13.8" x14ac:dyDescent="0.2">
      <c r="B131" s="14"/>
      <c r="C131" s="8"/>
      <c r="D131" s="15">
        <f t="shared" si="3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4"/>
        <v>0</v>
      </c>
      <c r="L131" s="15">
        <f t="shared" si="5"/>
        <v>0</v>
      </c>
      <c r="M131" s="31">
        <v>0</v>
      </c>
      <c r="N131" s="32">
        <v>0</v>
      </c>
      <c r="O131" s="33">
        <v>0</v>
      </c>
      <c r="P131" s="17" t="s">
        <v>736</v>
      </c>
    </row>
    <row r="132" spans="2:16" ht="13.8" x14ac:dyDescent="0.2">
      <c r="B132" s="14"/>
      <c r="C132" s="8"/>
      <c r="D132" s="15">
        <f t="shared" si="3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4"/>
        <v>0</v>
      </c>
      <c r="L132" s="15">
        <f t="shared" si="5"/>
        <v>0</v>
      </c>
      <c r="M132" s="31">
        <v>0</v>
      </c>
      <c r="N132" s="32">
        <v>0</v>
      </c>
      <c r="O132" s="33">
        <v>0</v>
      </c>
      <c r="P132" s="17" t="s">
        <v>736</v>
      </c>
    </row>
    <row r="133" spans="2:16" ht="13.8" x14ac:dyDescent="0.2">
      <c r="B133" s="14"/>
      <c r="C133" s="8"/>
      <c r="D133" s="15">
        <f t="shared" ref="D133:D134" si="6"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34" si="7">IFERROR(IF((F133+M133+N133)/(E133+M133+N133+O133)=1,"1.00",(F133+M133+N133)/(E133+M133+N133+O133)),0)</f>
        <v>0</v>
      </c>
      <c r="L133" s="15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17" t="s">
        <v>736</v>
      </c>
    </row>
    <row r="134" spans="2:16" ht="13.8" x14ac:dyDescent="0.2">
      <c r="B134" s="14"/>
      <c r="C134" s="8"/>
      <c r="D134" s="15">
        <f t="shared" si="6"/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7"/>
        <v>0</v>
      </c>
      <c r="L134" s="15">
        <f t="shared" si="8"/>
        <v>0</v>
      </c>
      <c r="M134" s="31">
        <v>0</v>
      </c>
      <c r="N134" s="32">
        <v>0</v>
      </c>
      <c r="O134" s="33">
        <v>0</v>
      </c>
      <c r="P134" s="17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r:id="rId1"/>
  <ignoredErrors>
    <ignoredError sqref="K2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style="1" customWidth="1"/>
    <col min="17" max="17" width="8.88671875" style="40"/>
  </cols>
  <sheetData>
    <row r="2" spans="2:16" ht="13.8" customHeight="1" x14ac:dyDescent="0.2">
      <c r="B2" s="89"/>
      <c r="C2" s="89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0" t="s">
        <v>230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936</v>
      </c>
      <c r="H3" s="9" t="s">
        <v>937</v>
      </c>
      <c r="I3" s="12" t="s">
        <v>9</v>
      </c>
      <c r="J3" s="13" t="s">
        <v>10</v>
      </c>
      <c r="K3" s="30" t="s">
        <v>737</v>
      </c>
      <c r="L3" s="10" t="s">
        <v>933</v>
      </c>
      <c r="M3" s="9" t="s">
        <v>744</v>
      </c>
      <c r="N3" s="9" t="s">
        <v>745</v>
      </c>
      <c r="O3" s="9" t="s">
        <v>743</v>
      </c>
      <c r="P3" s="91"/>
    </row>
    <row r="4" spans="2:16" ht="13.8" x14ac:dyDescent="0.2">
      <c r="B4" s="14" t="s">
        <v>86</v>
      </c>
      <c r="C4" s="9" t="s">
        <v>1714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17" t="s">
        <v>1713</v>
      </c>
    </row>
    <row r="5" spans="2:16" ht="13.8" x14ac:dyDescent="0.2">
      <c r="B5" s="14">
        <v>0</v>
      </c>
      <c r="C5" s="17" t="s">
        <v>245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17" t="s">
        <v>1170</v>
      </c>
    </row>
    <row r="6" spans="2:16" ht="13.8" x14ac:dyDescent="0.2">
      <c r="B6" s="14">
        <v>1</v>
      </c>
      <c r="C6" s="17" t="s">
        <v>98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3"/>
        <v>0</v>
      </c>
      <c r="L6" s="4">
        <f t="shared" si="4"/>
        <v>0</v>
      </c>
      <c r="M6" s="31">
        <v>0</v>
      </c>
      <c r="N6" s="32">
        <v>0</v>
      </c>
      <c r="O6" s="33">
        <v>0</v>
      </c>
      <c r="P6" s="17" t="s">
        <v>1171</v>
      </c>
    </row>
    <row r="7" spans="2:16" ht="13.8" x14ac:dyDescent="0.2">
      <c r="B7" s="14">
        <v>2</v>
      </c>
      <c r="C7" s="17" t="s">
        <v>123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3"/>
        <v>0</v>
      </c>
      <c r="L7" s="4">
        <f t="shared" si="4"/>
        <v>0</v>
      </c>
      <c r="M7" s="31">
        <v>0</v>
      </c>
      <c r="N7" s="32">
        <v>0</v>
      </c>
      <c r="O7" s="33">
        <v>0</v>
      </c>
      <c r="P7" s="17" t="s">
        <v>1172</v>
      </c>
    </row>
    <row r="8" spans="2:16" ht="13.8" x14ac:dyDescent="0.2">
      <c r="B8" s="14">
        <v>3</v>
      </c>
      <c r="C8" s="17" t="s">
        <v>55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3"/>
        <v>0</v>
      </c>
      <c r="L8" s="4">
        <f t="shared" si="4"/>
        <v>0</v>
      </c>
      <c r="M8" s="31">
        <v>0</v>
      </c>
      <c r="N8" s="32">
        <v>0</v>
      </c>
      <c r="O8" s="33">
        <v>0</v>
      </c>
      <c r="P8" s="17" t="s">
        <v>1173</v>
      </c>
    </row>
    <row r="9" spans="2:16" ht="13.8" x14ac:dyDescent="0.2">
      <c r="B9" s="14">
        <v>4</v>
      </c>
      <c r="C9" s="17" t="s">
        <v>1715</v>
      </c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3"/>
        <v>0</v>
      </c>
      <c r="L9" s="4">
        <f t="shared" si="4"/>
        <v>0</v>
      </c>
      <c r="M9" s="31">
        <v>0</v>
      </c>
      <c r="N9" s="32">
        <v>0</v>
      </c>
      <c r="O9" s="33">
        <v>0</v>
      </c>
      <c r="P9" s="17" t="s">
        <v>1712</v>
      </c>
    </row>
    <row r="10" spans="2:16" ht="13.8" x14ac:dyDescent="0.2">
      <c r="B10" s="14">
        <v>5</v>
      </c>
      <c r="C10" s="17" t="s">
        <v>20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3"/>
        <v>0</v>
      </c>
      <c r="L10" s="4">
        <f t="shared" si="4"/>
        <v>0</v>
      </c>
      <c r="M10" s="31">
        <v>0</v>
      </c>
      <c r="N10" s="32">
        <v>0</v>
      </c>
      <c r="O10" s="33">
        <v>0</v>
      </c>
      <c r="P10" s="17" t="s">
        <v>1174</v>
      </c>
    </row>
    <row r="11" spans="2:16" ht="13.8" x14ac:dyDescent="0.2">
      <c r="B11" s="14">
        <v>6</v>
      </c>
      <c r="C11" s="17" t="s">
        <v>71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3"/>
        <v>0</v>
      </c>
      <c r="L11" s="4">
        <f t="shared" si="4"/>
        <v>0</v>
      </c>
      <c r="M11" s="31">
        <v>0</v>
      </c>
      <c r="N11" s="32">
        <v>0</v>
      </c>
      <c r="O11" s="33">
        <v>0</v>
      </c>
      <c r="P11" s="17" t="s">
        <v>1175</v>
      </c>
    </row>
    <row r="12" spans="2:16" ht="13.8" x14ac:dyDescent="0.2">
      <c r="B12" s="14">
        <v>7</v>
      </c>
      <c r="C12" s="17" t="s">
        <v>112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3"/>
        <v>0</v>
      </c>
      <c r="L12" s="4">
        <f t="shared" si="4"/>
        <v>0</v>
      </c>
      <c r="M12" s="31">
        <v>0</v>
      </c>
      <c r="N12" s="32">
        <v>0</v>
      </c>
      <c r="O12" s="33">
        <v>0</v>
      </c>
      <c r="P12" s="17" t="s">
        <v>1176</v>
      </c>
    </row>
    <row r="13" spans="2:16" ht="13.8" x14ac:dyDescent="0.2">
      <c r="B13" s="14">
        <v>8</v>
      </c>
      <c r="C13" s="17" t="s">
        <v>99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3"/>
        <v>0</v>
      </c>
      <c r="L13" s="4">
        <f t="shared" si="4"/>
        <v>0</v>
      </c>
      <c r="M13" s="31">
        <v>0</v>
      </c>
      <c r="N13" s="32">
        <v>0</v>
      </c>
      <c r="O13" s="33">
        <v>0</v>
      </c>
      <c r="P13" s="17" t="s">
        <v>1177</v>
      </c>
    </row>
    <row r="14" spans="2:16" ht="13.8" x14ac:dyDescent="0.2">
      <c r="B14" s="14">
        <v>9</v>
      </c>
      <c r="C14" s="17" t="s">
        <v>619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3"/>
        <v>0</v>
      </c>
      <c r="L14" s="4">
        <f t="shared" si="4"/>
        <v>0</v>
      </c>
      <c r="M14" s="31">
        <v>0</v>
      </c>
      <c r="N14" s="32">
        <v>0</v>
      </c>
      <c r="O14" s="33">
        <v>0</v>
      </c>
      <c r="P14" s="17" t="s">
        <v>1178</v>
      </c>
    </row>
    <row r="15" spans="2:16" ht="13.8" x14ac:dyDescent="0.2">
      <c r="B15" s="14">
        <v>10</v>
      </c>
      <c r="C15" s="8"/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3"/>
        <v>0</v>
      </c>
      <c r="L15" s="4">
        <f t="shared" si="4"/>
        <v>0</v>
      </c>
      <c r="M15" s="31">
        <v>0</v>
      </c>
      <c r="N15" s="32">
        <v>0</v>
      </c>
      <c r="O15" s="33">
        <v>0</v>
      </c>
      <c r="P15" s="17" t="s">
        <v>736</v>
      </c>
    </row>
    <row r="16" spans="2:16" ht="13.8" x14ac:dyDescent="0.2">
      <c r="B16" s="14">
        <v>11</v>
      </c>
      <c r="C16" s="17" t="s">
        <v>89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3"/>
        <v>0</v>
      </c>
      <c r="L16" s="4">
        <f t="shared" si="4"/>
        <v>0</v>
      </c>
      <c r="M16" s="31">
        <v>0</v>
      </c>
      <c r="N16" s="32">
        <v>0</v>
      </c>
      <c r="O16" s="33">
        <v>0</v>
      </c>
      <c r="P16" s="17" t="s">
        <v>231</v>
      </c>
    </row>
    <row r="17" spans="2:16" ht="13.8" x14ac:dyDescent="0.2">
      <c r="B17" s="14">
        <v>12</v>
      </c>
      <c r="C17" s="17" t="s">
        <v>34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3"/>
        <v>0</v>
      </c>
      <c r="L17" s="4">
        <f t="shared" si="4"/>
        <v>0</v>
      </c>
      <c r="M17" s="31">
        <v>0</v>
      </c>
      <c r="N17" s="32">
        <v>0</v>
      </c>
      <c r="O17" s="33">
        <v>0</v>
      </c>
      <c r="P17" s="17" t="s">
        <v>1179</v>
      </c>
    </row>
    <row r="18" spans="2:16" ht="13.8" x14ac:dyDescent="0.2">
      <c r="B18" s="14">
        <v>13</v>
      </c>
      <c r="C18" s="17" t="s">
        <v>240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3"/>
        <v>0</v>
      </c>
      <c r="L18" s="4">
        <f t="shared" si="4"/>
        <v>0</v>
      </c>
      <c r="M18" s="31">
        <v>0</v>
      </c>
      <c r="N18" s="32">
        <v>0</v>
      </c>
      <c r="O18" s="33">
        <v>0</v>
      </c>
      <c r="P18" s="17" t="s">
        <v>1180</v>
      </c>
    </row>
    <row r="19" spans="2:16" ht="13.8" x14ac:dyDescent="0.2">
      <c r="B19" s="14">
        <v>14</v>
      </c>
      <c r="C19" s="17" t="s">
        <v>100</v>
      </c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3"/>
        <v>0</v>
      </c>
      <c r="L19" s="4">
        <f t="shared" si="4"/>
        <v>0</v>
      </c>
      <c r="M19" s="31">
        <v>0</v>
      </c>
      <c r="N19" s="32">
        <v>0</v>
      </c>
      <c r="O19" s="33">
        <v>0</v>
      </c>
      <c r="P19" s="17" t="s">
        <v>1181</v>
      </c>
    </row>
    <row r="20" spans="2:16" ht="13.8" x14ac:dyDescent="0.2">
      <c r="B20" s="14">
        <v>15</v>
      </c>
      <c r="C20" s="3"/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3"/>
        <v>0</v>
      </c>
      <c r="L20" s="4">
        <f t="shared" si="4"/>
        <v>0</v>
      </c>
      <c r="M20" s="31">
        <v>0</v>
      </c>
      <c r="N20" s="32">
        <v>0</v>
      </c>
      <c r="O20" s="33">
        <v>0</v>
      </c>
      <c r="P20" s="17" t="s">
        <v>736</v>
      </c>
    </row>
    <row r="21" spans="2:16" ht="13.8" x14ac:dyDescent="0.2">
      <c r="B21" s="14">
        <v>16</v>
      </c>
      <c r="C21" s="17" t="s">
        <v>1717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3"/>
        <v>0</v>
      </c>
      <c r="L21" s="4">
        <f t="shared" si="4"/>
        <v>0</v>
      </c>
      <c r="M21" s="31">
        <v>0</v>
      </c>
      <c r="N21" s="32">
        <v>0</v>
      </c>
      <c r="O21" s="33">
        <v>0</v>
      </c>
      <c r="P21" s="17" t="s">
        <v>1716</v>
      </c>
    </row>
    <row r="22" spans="2:16" ht="13.8" x14ac:dyDescent="0.2">
      <c r="B22" s="14">
        <v>17</v>
      </c>
      <c r="C22" s="17" t="s">
        <v>90</v>
      </c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3"/>
        <v>0</v>
      </c>
      <c r="L22" s="4">
        <f t="shared" si="4"/>
        <v>0</v>
      </c>
      <c r="M22" s="31">
        <v>0</v>
      </c>
      <c r="N22" s="32">
        <v>0</v>
      </c>
      <c r="O22" s="33">
        <v>0</v>
      </c>
      <c r="P22" s="17" t="s">
        <v>1183</v>
      </c>
    </row>
    <row r="23" spans="2:16" ht="13.8" x14ac:dyDescent="0.2">
      <c r="B23" s="14">
        <v>18</v>
      </c>
      <c r="C23" s="17" t="s">
        <v>618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3"/>
        <v>0</v>
      </c>
      <c r="L23" s="4">
        <f t="shared" si="4"/>
        <v>0</v>
      </c>
      <c r="M23" s="31">
        <v>0</v>
      </c>
      <c r="N23" s="32">
        <v>0</v>
      </c>
      <c r="O23" s="33">
        <v>0</v>
      </c>
      <c r="P23" s="17" t="s">
        <v>1184</v>
      </c>
    </row>
    <row r="24" spans="2:16" ht="13.8" x14ac:dyDescent="0.2">
      <c r="B24" s="14">
        <v>19</v>
      </c>
      <c r="C24" s="17" t="s">
        <v>617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3"/>
        <v>0</v>
      </c>
      <c r="L24" s="4">
        <f t="shared" si="4"/>
        <v>0</v>
      </c>
      <c r="M24" s="31">
        <v>0</v>
      </c>
      <c r="N24" s="32">
        <v>0</v>
      </c>
      <c r="O24" s="33">
        <v>0</v>
      </c>
      <c r="P24" s="17" t="s">
        <v>1185</v>
      </c>
    </row>
    <row r="25" spans="2:16" ht="13.8" x14ac:dyDescent="0.2">
      <c r="B25" s="14">
        <v>20</v>
      </c>
      <c r="C25" s="17"/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3"/>
        <v>0</v>
      </c>
      <c r="L25" s="4">
        <f t="shared" si="4"/>
        <v>0</v>
      </c>
      <c r="M25" s="31">
        <v>0</v>
      </c>
      <c r="N25" s="32">
        <v>0</v>
      </c>
      <c r="O25" s="33">
        <v>0</v>
      </c>
      <c r="P25" s="17" t="s">
        <v>736</v>
      </c>
    </row>
    <row r="26" spans="2:16" ht="13.8" x14ac:dyDescent="0.2">
      <c r="B26" s="14">
        <v>21</v>
      </c>
      <c r="C26" s="17" t="s">
        <v>13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3"/>
        <v>0</v>
      </c>
      <c r="L26" s="4">
        <f t="shared" si="4"/>
        <v>0</v>
      </c>
      <c r="M26" s="31">
        <v>0</v>
      </c>
      <c r="N26" s="32">
        <v>0</v>
      </c>
      <c r="O26" s="33">
        <v>0</v>
      </c>
      <c r="P26" s="17" t="s">
        <v>1186</v>
      </c>
    </row>
    <row r="27" spans="2:16" ht="13.8" x14ac:dyDescent="0.2">
      <c r="B27" s="14">
        <v>22</v>
      </c>
      <c r="C27" s="17" t="s">
        <v>150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3"/>
        <v>0</v>
      </c>
      <c r="L27" s="4">
        <f t="shared" si="4"/>
        <v>0</v>
      </c>
      <c r="M27" s="31">
        <v>0</v>
      </c>
      <c r="N27" s="32">
        <v>0</v>
      </c>
      <c r="O27" s="33">
        <v>0</v>
      </c>
      <c r="P27" s="17" t="s">
        <v>1711</v>
      </c>
    </row>
    <row r="28" spans="2:16" ht="13.8" x14ac:dyDescent="0.2">
      <c r="B28" s="14">
        <v>23</v>
      </c>
      <c r="C28" s="17" t="s">
        <v>1718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3"/>
        <v>0</v>
      </c>
      <c r="L28" s="4">
        <f t="shared" si="4"/>
        <v>0</v>
      </c>
      <c r="M28" s="31">
        <v>0</v>
      </c>
      <c r="N28" s="32">
        <v>0</v>
      </c>
      <c r="O28" s="33">
        <v>0</v>
      </c>
      <c r="P28" s="17" t="s">
        <v>1710</v>
      </c>
    </row>
    <row r="29" spans="2:16" ht="13.8" x14ac:dyDescent="0.2">
      <c r="B29" s="14">
        <v>24</v>
      </c>
      <c r="C29" s="17" t="s">
        <v>102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3"/>
        <v>0</v>
      </c>
      <c r="L29" s="4">
        <f t="shared" si="4"/>
        <v>0</v>
      </c>
      <c r="M29" s="31">
        <v>0</v>
      </c>
      <c r="N29" s="32">
        <v>0</v>
      </c>
      <c r="O29" s="33">
        <v>0</v>
      </c>
      <c r="P29" s="17" t="s">
        <v>1187</v>
      </c>
    </row>
    <row r="30" spans="2:16" ht="13.8" x14ac:dyDescent="0.2">
      <c r="B30" s="14">
        <v>25</v>
      </c>
      <c r="C30" s="17" t="s">
        <v>103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3"/>
        <v>0</v>
      </c>
      <c r="L30" s="4">
        <f t="shared" si="4"/>
        <v>0</v>
      </c>
      <c r="M30" s="31">
        <v>0</v>
      </c>
      <c r="N30" s="32">
        <v>0</v>
      </c>
      <c r="O30" s="33">
        <v>0</v>
      </c>
      <c r="P30" s="17" t="s">
        <v>1188</v>
      </c>
    </row>
    <row r="31" spans="2:16" ht="13.8" x14ac:dyDescent="0.2">
      <c r="B31" s="14">
        <v>26</v>
      </c>
      <c r="C31" s="17" t="s">
        <v>1719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3"/>
        <v>0</v>
      </c>
      <c r="L31" s="4">
        <f t="shared" si="4"/>
        <v>0</v>
      </c>
      <c r="M31" s="31">
        <v>0</v>
      </c>
      <c r="N31" s="32">
        <v>0</v>
      </c>
      <c r="O31" s="33">
        <v>0</v>
      </c>
      <c r="P31" s="17" t="s">
        <v>1709</v>
      </c>
    </row>
    <row r="32" spans="2:16" ht="13.8" x14ac:dyDescent="0.2">
      <c r="B32" s="14">
        <v>27</v>
      </c>
      <c r="C32" s="17" t="s">
        <v>156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3"/>
        <v>0</v>
      </c>
      <c r="L32" s="4">
        <f t="shared" si="4"/>
        <v>0</v>
      </c>
      <c r="M32" s="31">
        <v>0</v>
      </c>
      <c r="N32" s="32">
        <v>0</v>
      </c>
      <c r="O32" s="33">
        <v>0</v>
      </c>
      <c r="P32" s="17" t="s">
        <v>1708</v>
      </c>
    </row>
    <row r="33" spans="2:16" ht="13.8" x14ac:dyDescent="0.2">
      <c r="B33" s="14">
        <v>28</v>
      </c>
      <c r="C33" s="17" t="s">
        <v>161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3"/>
        <v>0</v>
      </c>
      <c r="L33" s="4">
        <f t="shared" si="4"/>
        <v>0</v>
      </c>
      <c r="M33" s="31">
        <v>0</v>
      </c>
      <c r="N33" s="32">
        <v>0</v>
      </c>
      <c r="O33" s="33">
        <v>0</v>
      </c>
      <c r="P33" s="17" t="s">
        <v>1189</v>
      </c>
    </row>
    <row r="34" spans="2:16" ht="13.8" x14ac:dyDescent="0.2">
      <c r="B34" s="14">
        <v>29</v>
      </c>
      <c r="C34" s="17" t="s">
        <v>610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3"/>
        <v>0</v>
      </c>
      <c r="L34" s="4">
        <f t="shared" si="4"/>
        <v>0</v>
      </c>
      <c r="M34" s="31">
        <v>0</v>
      </c>
      <c r="N34" s="32">
        <v>0</v>
      </c>
      <c r="O34" s="33">
        <v>0</v>
      </c>
      <c r="P34" s="17" t="s">
        <v>1702</v>
      </c>
    </row>
    <row r="35" spans="2:16" ht="13.8" x14ac:dyDescent="0.2">
      <c r="B35" s="14">
        <v>30</v>
      </c>
      <c r="C35" s="17" t="s">
        <v>15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3"/>
        <v>0</v>
      </c>
      <c r="L35" s="4">
        <f t="shared" si="4"/>
        <v>0</v>
      </c>
      <c r="M35" s="31">
        <v>0</v>
      </c>
      <c r="N35" s="32">
        <v>0</v>
      </c>
      <c r="O35" s="33">
        <v>0</v>
      </c>
      <c r="P35" s="17" t="s">
        <v>1190</v>
      </c>
    </row>
    <row r="36" spans="2:16" ht="13.8" x14ac:dyDescent="0.2">
      <c r="B36" s="14">
        <v>31</v>
      </c>
      <c r="C36" s="17" t="s">
        <v>153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3"/>
        <v>0</v>
      </c>
      <c r="L36" s="4">
        <f t="shared" si="4"/>
        <v>0</v>
      </c>
      <c r="M36" s="31">
        <v>0</v>
      </c>
      <c r="N36" s="32">
        <v>0</v>
      </c>
      <c r="O36" s="33">
        <v>0</v>
      </c>
      <c r="P36" s="17" t="s">
        <v>1191</v>
      </c>
    </row>
    <row r="37" spans="2:16" ht="13.8" x14ac:dyDescent="0.2">
      <c r="B37" s="14">
        <v>32</v>
      </c>
      <c r="C37" s="17" t="s">
        <v>104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3"/>
        <v>0</v>
      </c>
      <c r="L37" s="4">
        <f t="shared" si="4"/>
        <v>0</v>
      </c>
      <c r="M37" s="31">
        <v>0</v>
      </c>
      <c r="N37" s="32">
        <v>0</v>
      </c>
      <c r="O37" s="33">
        <v>0</v>
      </c>
      <c r="P37" s="17" t="s">
        <v>1192</v>
      </c>
    </row>
    <row r="38" spans="2:16" ht="13.8" x14ac:dyDescent="0.2">
      <c r="B38" s="14">
        <v>33</v>
      </c>
      <c r="C38" s="17" t="s">
        <v>91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3"/>
        <v>0</v>
      </c>
      <c r="L38" s="4">
        <f t="shared" si="4"/>
        <v>0</v>
      </c>
      <c r="M38" s="31">
        <v>0</v>
      </c>
      <c r="N38" s="32">
        <v>0</v>
      </c>
      <c r="O38" s="33">
        <v>0</v>
      </c>
      <c r="P38" s="17" t="s">
        <v>232</v>
      </c>
    </row>
    <row r="39" spans="2:16" ht="13.8" x14ac:dyDescent="0.2">
      <c r="B39" s="14">
        <v>34</v>
      </c>
      <c r="C39" s="17" t="s">
        <v>111</v>
      </c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3"/>
        <v>0</v>
      </c>
      <c r="L39" s="4">
        <f t="shared" si="4"/>
        <v>0</v>
      </c>
      <c r="M39" s="31">
        <v>0</v>
      </c>
      <c r="N39" s="32">
        <v>0</v>
      </c>
      <c r="O39" s="33">
        <v>0</v>
      </c>
      <c r="P39" s="17" t="s">
        <v>1193</v>
      </c>
    </row>
    <row r="40" spans="2:16" ht="13.8" x14ac:dyDescent="0.2">
      <c r="B40" s="14">
        <v>35</v>
      </c>
      <c r="C40" s="17" t="s">
        <v>92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3"/>
        <v>0</v>
      </c>
      <c r="L40" s="4">
        <f t="shared" si="4"/>
        <v>0</v>
      </c>
      <c r="M40" s="31">
        <v>0</v>
      </c>
      <c r="N40" s="32">
        <v>0</v>
      </c>
      <c r="O40" s="33">
        <v>0</v>
      </c>
      <c r="P40" s="17" t="s">
        <v>1194</v>
      </c>
    </row>
    <row r="41" spans="2:16" ht="13.8" x14ac:dyDescent="0.2">
      <c r="B41" s="14">
        <v>36</v>
      </c>
      <c r="C41" s="17" t="s">
        <v>241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3"/>
        <v>0</v>
      </c>
      <c r="L41" s="4">
        <f t="shared" si="4"/>
        <v>0</v>
      </c>
      <c r="M41" s="31">
        <v>0</v>
      </c>
      <c r="N41" s="32">
        <v>0</v>
      </c>
      <c r="O41" s="33">
        <v>0</v>
      </c>
      <c r="P41" s="17" t="s">
        <v>233</v>
      </c>
    </row>
    <row r="42" spans="2:16" ht="13.8" x14ac:dyDescent="0.2">
      <c r="B42" s="14">
        <v>37</v>
      </c>
      <c r="C42" s="17" t="s">
        <v>93</v>
      </c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3"/>
        <v>0</v>
      </c>
      <c r="L42" s="4">
        <f t="shared" si="4"/>
        <v>0</v>
      </c>
      <c r="M42" s="31">
        <v>0</v>
      </c>
      <c r="N42" s="32">
        <v>0</v>
      </c>
      <c r="O42" s="33">
        <v>0</v>
      </c>
      <c r="P42" s="17" t="s">
        <v>234</v>
      </c>
    </row>
    <row r="43" spans="2:16" ht="13.8" x14ac:dyDescent="0.2">
      <c r="B43" s="14">
        <v>38</v>
      </c>
      <c r="C43" s="17" t="s">
        <v>151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3"/>
        <v>0</v>
      </c>
      <c r="L43" s="4">
        <f t="shared" si="4"/>
        <v>0</v>
      </c>
      <c r="M43" s="31">
        <v>0</v>
      </c>
      <c r="N43" s="32">
        <v>0</v>
      </c>
      <c r="O43" s="33">
        <v>0</v>
      </c>
      <c r="P43" s="17" t="s">
        <v>1195</v>
      </c>
    </row>
    <row r="44" spans="2:16" ht="13.8" x14ac:dyDescent="0.2">
      <c r="B44" s="14">
        <v>39</v>
      </c>
      <c r="C44" s="17" t="s">
        <v>1720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3"/>
        <v>0</v>
      </c>
      <c r="L44" s="4">
        <f t="shared" si="4"/>
        <v>0</v>
      </c>
      <c r="M44" s="31">
        <v>0</v>
      </c>
      <c r="N44" s="32">
        <v>0</v>
      </c>
      <c r="O44" s="33">
        <v>0</v>
      </c>
      <c r="P44" s="17" t="s">
        <v>1707</v>
      </c>
    </row>
    <row r="45" spans="2:16" ht="13.8" x14ac:dyDescent="0.2">
      <c r="B45" s="14">
        <v>40</v>
      </c>
      <c r="C45" s="17"/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3"/>
        <v>0</v>
      </c>
      <c r="L45" s="4">
        <f t="shared" si="4"/>
        <v>0</v>
      </c>
      <c r="M45" s="31">
        <v>0</v>
      </c>
      <c r="N45" s="32">
        <v>0</v>
      </c>
      <c r="O45" s="33">
        <v>0</v>
      </c>
      <c r="P45" s="17"/>
    </row>
    <row r="46" spans="2:16" ht="13.8" x14ac:dyDescent="0.2">
      <c r="B46" s="14">
        <v>41</v>
      </c>
      <c r="C46" s="17" t="s">
        <v>152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3"/>
        <v>0</v>
      </c>
      <c r="L46" s="4">
        <f t="shared" si="4"/>
        <v>0</v>
      </c>
      <c r="M46" s="31">
        <v>0</v>
      </c>
      <c r="N46" s="32">
        <v>0</v>
      </c>
      <c r="O46" s="33">
        <v>0</v>
      </c>
      <c r="P46" s="17" t="s">
        <v>1196</v>
      </c>
    </row>
    <row r="47" spans="2:16" ht="13.8" x14ac:dyDescent="0.2">
      <c r="B47" s="14">
        <v>42</v>
      </c>
      <c r="C47" s="17" t="s">
        <v>1721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3"/>
        <v>0</v>
      </c>
      <c r="L47" s="4">
        <f t="shared" si="4"/>
        <v>0</v>
      </c>
      <c r="M47" s="31">
        <v>0</v>
      </c>
      <c r="N47" s="32">
        <v>0</v>
      </c>
      <c r="O47" s="33">
        <v>0</v>
      </c>
      <c r="P47" s="17" t="s">
        <v>1706</v>
      </c>
    </row>
    <row r="48" spans="2:16" ht="13.8" x14ac:dyDescent="0.2">
      <c r="B48" s="14">
        <v>43</v>
      </c>
      <c r="C48" s="17" t="s">
        <v>1722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3"/>
        <v>0</v>
      </c>
      <c r="L48" s="4">
        <f t="shared" si="4"/>
        <v>0</v>
      </c>
      <c r="M48" s="31">
        <v>0</v>
      </c>
      <c r="N48" s="32">
        <v>0</v>
      </c>
      <c r="O48" s="33">
        <v>0</v>
      </c>
      <c r="P48" s="17" t="s">
        <v>1723</v>
      </c>
    </row>
    <row r="49" spans="2:16" ht="13.8" x14ac:dyDescent="0.2">
      <c r="B49" s="14">
        <v>44</v>
      </c>
      <c r="C49" s="17" t="s">
        <v>242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3"/>
        <v>0</v>
      </c>
      <c r="L49" s="4">
        <f t="shared" si="4"/>
        <v>0</v>
      </c>
      <c r="M49" s="31">
        <v>0</v>
      </c>
      <c r="N49" s="32">
        <v>0</v>
      </c>
      <c r="O49" s="33">
        <v>0</v>
      </c>
      <c r="P49" s="17" t="s">
        <v>1197</v>
      </c>
    </row>
    <row r="50" spans="2:16" ht="13.8" x14ac:dyDescent="0.2">
      <c r="B50" s="14">
        <v>45</v>
      </c>
      <c r="C50" s="17" t="s">
        <v>616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3"/>
        <v>0</v>
      </c>
      <c r="L50" s="4">
        <f t="shared" si="4"/>
        <v>0</v>
      </c>
      <c r="M50" s="31">
        <v>0</v>
      </c>
      <c r="N50" s="32">
        <v>0</v>
      </c>
      <c r="O50" s="33">
        <v>0</v>
      </c>
      <c r="P50" s="17" t="s">
        <v>1198</v>
      </c>
    </row>
    <row r="51" spans="2:16" ht="13.8" x14ac:dyDescent="0.2">
      <c r="B51" s="14">
        <v>46</v>
      </c>
      <c r="C51" s="17" t="s">
        <v>94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3"/>
        <v>0</v>
      </c>
      <c r="L51" s="4">
        <f t="shared" si="4"/>
        <v>0</v>
      </c>
      <c r="M51" s="31">
        <v>0</v>
      </c>
      <c r="N51" s="32">
        <v>0</v>
      </c>
      <c r="O51" s="33">
        <v>0</v>
      </c>
      <c r="P51" s="17" t="s">
        <v>1199</v>
      </c>
    </row>
    <row r="52" spans="2:16" ht="13.8" x14ac:dyDescent="0.2">
      <c r="B52" s="14">
        <v>47</v>
      </c>
      <c r="C52" s="17" t="s">
        <v>105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3"/>
        <v>0</v>
      </c>
      <c r="L52" s="4">
        <f t="shared" si="4"/>
        <v>0</v>
      </c>
      <c r="M52" s="31">
        <v>0</v>
      </c>
      <c r="N52" s="32">
        <v>0</v>
      </c>
      <c r="O52" s="33">
        <v>0</v>
      </c>
      <c r="P52" s="17" t="s">
        <v>235</v>
      </c>
    </row>
    <row r="53" spans="2:16" ht="13.8" x14ac:dyDescent="0.2">
      <c r="B53" s="14">
        <v>48</v>
      </c>
      <c r="C53" s="17" t="s">
        <v>106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3"/>
        <v>0</v>
      </c>
      <c r="L53" s="4">
        <f t="shared" si="4"/>
        <v>0</v>
      </c>
      <c r="M53" s="31">
        <v>0</v>
      </c>
      <c r="N53" s="32">
        <v>0</v>
      </c>
      <c r="O53" s="33">
        <v>0</v>
      </c>
      <c r="P53" s="17" t="s">
        <v>1200</v>
      </c>
    </row>
    <row r="54" spans="2:16" ht="13.8" x14ac:dyDescent="0.2">
      <c r="B54" s="14">
        <v>49</v>
      </c>
      <c r="C54" s="17" t="s">
        <v>95</v>
      </c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3"/>
        <v>0</v>
      </c>
      <c r="L54" s="4">
        <f t="shared" si="4"/>
        <v>0</v>
      </c>
      <c r="M54" s="31">
        <v>0</v>
      </c>
      <c r="N54" s="32">
        <v>0</v>
      </c>
      <c r="O54" s="33">
        <v>0</v>
      </c>
      <c r="P54" s="17" t="s">
        <v>1201</v>
      </c>
    </row>
    <row r="55" spans="2:16" ht="13.8" x14ac:dyDescent="0.2">
      <c r="B55" s="14">
        <v>50</v>
      </c>
      <c r="C55" s="17" t="s">
        <v>107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3"/>
        <v>0</v>
      </c>
      <c r="L55" s="4">
        <f t="shared" si="4"/>
        <v>0</v>
      </c>
      <c r="M55" s="31">
        <v>0</v>
      </c>
      <c r="N55" s="32">
        <v>0</v>
      </c>
      <c r="O55" s="33">
        <v>0</v>
      </c>
      <c r="P55" s="17" t="s">
        <v>1202</v>
      </c>
    </row>
    <row r="56" spans="2:16" ht="13.8" x14ac:dyDescent="0.2">
      <c r="B56" s="14">
        <v>51</v>
      </c>
      <c r="C56" s="17" t="s">
        <v>154</v>
      </c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3"/>
        <v>0</v>
      </c>
      <c r="L56" s="4">
        <f t="shared" si="4"/>
        <v>0</v>
      </c>
      <c r="M56" s="31">
        <v>0</v>
      </c>
      <c r="N56" s="32">
        <v>0</v>
      </c>
      <c r="O56" s="33">
        <v>0</v>
      </c>
      <c r="P56" s="17" t="s">
        <v>1203</v>
      </c>
    </row>
    <row r="57" spans="2:16" ht="13.8" x14ac:dyDescent="0.2">
      <c r="B57" s="14">
        <v>52</v>
      </c>
      <c r="C57" s="17" t="s">
        <v>1319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3"/>
        <v>0</v>
      </c>
      <c r="L57" s="4">
        <f t="shared" si="4"/>
        <v>0</v>
      </c>
      <c r="M57" s="31">
        <v>0</v>
      </c>
      <c r="N57" s="32">
        <v>0</v>
      </c>
      <c r="O57" s="33">
        <v>0</v>
      </c>
      <c r="P57" s="17" t="s">
        <v>1320</v>
      </c>
    </row>
    <row r="58" spans="2:16" ht="13.8" x14ac:dyDescent="0.2">
      <c r="B58" s="14">
        <v>53</v>
      </c>
      <c r="C58" s="17" t="s">
        <v>239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3"/>
        <v>0</v>
      </c>
      <c r="L58" s="4">
        <f t="shared" si="4"/>
        <v>0</v>
      </c>
      <c r="M58" s="31">
        <v>0</v>
      </c>
      <c r="N58" s="32">
        <v>0</v>
      </c>
      <c r="O58" s="33">
        <v>0</v>
      </c>
      <c r="P58" s="17" t="s">
        <v>814</v>
      </c>
    </row>
    <row r="59" spans="2:16" ht="13.8" x14ac:dyDescent="0.2">
      <c r="B59" s="14">
        <v>54</v>
      </c>
      <c r="C59" s="17" t="s">
        <v>108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3"/>
        <v>0</v>
      </c>
      <c r="L59" s="4">
        <f t="shared" si="4"/>
        <v>0</v>
      </c>
      <c r="M59" s="31">
        <v>0</v>
      </c>
      <c r="N59" s="32">
        <v>0</v>
      </c>
      <c r="O59" s="33">
        <v>0</v>
      </c>
      <c r="P59" s="17" t="s">
        <v>1204</v>
      </c>
    </row>
    <row r="60" spans="2:16" ht="13.8" x14ac:dyDescent="0.2">
      <c r="B60" s="14">
        <v>55</v>
      </c>
      <c r="C60" s="17" t="s">
        <v>109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3"/>
        <v>0</v>
      </c>
      <c r="L60" s="4">
        <f t="shared" si="4"/>
        <v>0</v>
      </c>
      <c r="M60" s="31">
        <v>0</v>
      </c>
      <c r="N60" s="32">
        <v>0</v>
      </c>
      <c r="O60" s="33">
        <v>0</v>
      </c>
      <c r="P60" s="17" t="s">
        <v>1205</v>
      </c>
    </row>
    <row r="61" spans="2:16" ht="13.8" x14ac:dyDescent="0.2">
      <c r="B61" s="14">
        <v>56</v>
      </c>
      <c r="C61" s="17" t="s">
        <v>1724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3"/>
        <v>0</v>
      </c>
      <c r="L61" s="4">
        <f t="shared" si="4"/>
        <v>0</v>
      </c>
      <c r="M61" s="31">
        <v>0</v>
      </c>
      <c r="N61" s="32">
        <v>0</v>
      </c>
      <c r="O61" s="33">
        <v>0</v>
      </c>
      <c r="P61" s="17" t="s">
        <v>1705</v>
      </c>
    </row>
    <row r="62" spans="2:16" ht="13.8" x14ac:dyDescent="0.2">
      <c r="B62" s="14">
        <v>57</v>
      </c>
      <c r="C62" s="2" t="s">
        <v>608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3"/>
        <v>0</v>
      </c>
      <c r="L62" s="4">
        <f t="shared" si="4"/>
        <v>0</v>
      </c>
      <c r="M62" s="31">
        <v>0</v>
      </c>
      <c r="N62" s="32">
        <v>0</v>
      </c>
      <c r="O62" s="33">
        <v>0</v>
      </c>
      <c r="P62" s="17" t="s">
        <v>608</v>
      </c>
    </row>
    <row r="63" spans="2:16" ht="13.8" x14ac:dyDescent="0.2">
      <c r="B63" s="14">
        <v>58</v>
      </c>
      <c r="C63" s="17" t="s">
        <v>155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3"/>
        <v>0</v>
      </c>
      <c r="L63" s="4">
        <f t="shared" si="4"/>
        <v>0</v>
      </c>
      <c r="M63" s="31">
        <v>0</v>
      </c>
      <c r="N63" s="32">
        <v>0</v>
      </c>
      <c r="O63" s="33">
        <v>0</v>
      </c>
      <c r="P63" s="17" t="s">
        <v>1206</v>
      </c>
    </row>
    <row r="64" spans="2:16" ht="13.8" x14ac:dyDescent="0.2">
      <c r="B64" s="14">
        <v>59</v>
      </c>
      <c r="C64" s="17" t="s">
        <v>29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3"/>
        <v>0</v>
      </c>
      <c r="L64" s="4">
        <f t="shared" si="4"/>
        <v>0</v>
      </c>
      <c r="M64" s="31">
        <v>0</v>
      </c>
      <c r="N64" s="32">
        <v>0</v>
      </c>
      <c r="O64" s="33">
        <v>0</v>
      </c>
      <c r="P64" s="17" t="s">
        <v>1207</v>
      </c>
    </row>
    <row r="65" spans="2:16" ht="13.8" x14ac:dyDescent="0.2">
      <c r="B65" s="14">
        <v>60</v>
      </c>
      <c r="C65" s="17" t="s">
        <v>243</v>
      </c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3"/>
        <v>0</v>
      </c>
      <c r="L65" s="4">
        <f t="shared" si="4"/>
        <v>0</v>
      </c>
      <c r="M65" s="31">
        <v>0</v>
      </c>
      <c r="N65" s="32">
        <v>0</v>
      </c>
      <c r="O65" s="33">
        <v>0</v>
      </c>
      <c r="P65" s="17" t="s">
        <v>1208</v>
      </c>
    </row>
    <row r="66" spans="2:16" ht="13.8" x14ac:dyDescent="0.2">
      <c r="B66" s="14">
        <v>61</v>
      </c>
      <c r="C66" s="17" t="s">
        <v>1725</v>
      </c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3"/>
        <v>0</v>
      </c>
      <c r="L66" s="4">
        <f t="shared" si="4"/>
        <v>0</v>
      </c>
      <c r="M66" s="31">
        <v>0</v>
      </c>
      <c r="N66" s="32">
        <v>0</v>
      </c>
      <c r="O66" s="33">
        <v>0</v>
      </c>
      <c r="P66" s="17" t="s">
        <v>1704</v>
      </c>
    </row>
    <row r="67" spans="2:16" ht="13.8" x14ac:dyDescent="0.2">
      <c r="B67" s="14">
        <v>62</v>
      </c>
      <c r="C67" s="17"/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3"/>
        <v>0</v>
      </c>
      <c r="L67" s="4">
        <f t="shared" si="4"/>
        <v>0</v>
      </c>
      <c r="M67" s="31">
        <v>0</v>
      </c>
      <c r="N67" s="32">
        <v>0</v>
      </c>
      <c r="O67" s="33">
        <v>0</v>
      </c>
      <c r="P67" s="17" t="s">
        <v>736</v>
      </c>
    </row>
    <row r="68" spans="2:16" ht="13.8" x14ac:dyDescent="0.2">
      <c r="B68" s="14">
        <v>63</v>
      </c>
      <c r="C68" s="9" t="s">
        <v>110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17" t="s">
        <v>1209</v>
      </c>
    </row>
    <row r="69" spans="2:16" ht="13.8" x14ac:dyDescent="0.2">
      <c r="B69" s="14">
        <v>64</v>
      </c>
      <c r="C69" s="17"/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17"/>
    </row>
    <row r="70" spans="2:16" ht="13.8" x14ac:dyDescent="0.2">
      <c r="B70" s="14">
        <v>65</v>
      </c>
      <c r="C70" s="9" t="s">
        <v>614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6"/>
        <v>0</v>
      </c>
      <c r="L70" s="4">
        <f t="shared" si="7"/>
        <v>0</v>
      </c>
      <c r="M70" s="31">
        <v>0</v>
      </c>
      <c r="N70" s="32">
        <v>0</v>
      </c>
      <c r="O70" s="33">
        <v>0</v>
      </c>
      <c r="P70" s="17" t="s">
        <v>1210</v>
      </c>
    </row>
    <row r="71" spans="2:16" ht="13.8" x14ac:dyDescent="0.2">
      <c r="B71" s="14">
        <v>66</v>
      </c>
      <c r="C71" s="17" t="s">
        <v>96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6"/>
        <v>0</v>
      </c>
      <c r="L71" s="4">
        <f t="shared" si="7"/>
        <v>0</v>
      </c>
      <c r="M71" s="31">
        <v>0</v>
      </c>
      <c r="N71" s="32">
        <v>0</v>
      </c>
      <c r="O71" s="33">
        <v>0</v>
      </c>
      <c r="P71" s="17" t="s">
        <v>236</v>
      </c>
    </row>
    <row r="72" spans="2:16" ht="13.8" x14ac:dyDescent="0.2">
      <c r="B72" s="14">
        <v>67</v>
      </c>
      <c r="C72" s="17" t="s">
        <v>610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6"/>
        <v>0</v>
      </c>
      <c r="L72" s="4">
        <f t="shared" si="7"/>
        <v>0</v>
      </c>
      <c r="M72" s="31">
        <v>0</v>
      </c>
      <c r="N72" s="32">
        <v>0</v>
      </c>
      <c r="O72" s="33">
        <v>0</v>
      </c>
      <c r="P72" s="17" t="s">
        <v>609</v>
      </c>
    </row>
    <row r="73" spans="2:16" ht="13.8" x14ac:dyDescent="0.2">
      <c r="B73" s="14">
        <v>68</v>
      </c>
      <c r="C73" s="17" t="s">
        <v>97</v>
      </c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6"/>
        <v>0</v>
      </c>
      <c r="L73" s="4">
        <f t="shared" si="7"/>
        <v>0</v>
      </c>
      <c r="M73" s="31">
        <v>0</v>
      </c>
      <c r="N73" s="32">
        <v>0</v>
      </c>
      <c r="O73" s="33">
        <v>0</v>
      </c>
      <c r="P73" s="17" t="s">
        <v>1211</v>
      </c>
    </row>
    <row r="74" spans="2:16" ht="13.8" x14ac:dyDescent="0.2">
      <c r="B74" s="14">
        <v>69</v>
      </c>
      <c r="C74" s="17"/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6"/>
        <v>0</v>
      </c>
      <c r="L74" s="4">
        <f t="shared" si="7"/>
        <v>0</v>
      </c>
      <c r="M74" s="31">
        <v>0</v>
      </c>
      <c r="N74" s="32">
        <v>0</v>
      </c>
      <c r="O74" s="33">
        <v>0</v>
      </c>
      <c r="P74" s="17"/>
    </row>
    <row r="75" spans="2:16" ht="13.8" x14ac:dyDescent="0.2">
      <c r="B75" s="14">
        <v>70</v>
      </c>
      <c r="C75" s="17" t="s">
        <v>1726</v>
      </c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6"/>
        <v>0</v>
      </c>
      <c r="L75" s="4">
        <f t="shared" si="7"/>
        <v>0</v>
      </c>
      <c r="M75" s="31">
        <v>0</v>
      </c>
      <c r="N75" s="32">
        <v>0</v>
      </c>
      <c r="O75" s="33">
        <v>0</v>
      </c>
      <c r="P75" s="17" t="s">
        <v>1703</v>
      </c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6"/>
        <v>0</v>
      </c>
      <c r="L76" s="4">
        <f t="shared" si="7"/>
        <v>0</v>
      </c>
      <c r="M76" s="31">
        <v>0</v>
      </c>
      <c r="N76" s="32">
        <v>0</v>
      </c>
      <c r="O76" s="33">
        <v>0</v>
      </c>
      <c r="P76" s="17" t="s">
        <v>736</v>
      </c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6"/>
        <v>0</v>
      </c>
      <c r="L77" s="4">
        <f t="shared" si="7"/>
        <v>0</v>
      </c>
      <c r="M77" s="31">
        <v>0</v>
      </c>
      <c r="N77" s="32">
        <v>0</v>
      </c>
      <c r="O77" s="33">
        <v>0</v>
      </c>
      <c r="P77" s="17" t="s">
        <v>736</v>
      </c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6"/>
        <v>0</v>
      </c>
      <c r="L78" s="4">
        <f t="shared" si="7"/>
        <v>0</v>
      </c>
      <c r="M78" s="31">
        <v>0</v>
      </c>
      <c r="N78" s="32">
        <v>0</v>
      </c>
      <c r="O78" s="33">
        <v>0</v>
      </c>
      <c r="P78" s="17" t="s">
        <v>736</v>
      </c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6"/>
        <v>0</v>
      </c>
      <c r="L79" s="4">
        <f t="shared" si="7"/>
        <v>0</v>
      </c>
      <c r="M79" s="31">
        <v>0</v>
      </c>
      <c r="N79" s="32">
        <v>0</v>
      </c>
      <c r="O79" s="33">
        <v>0</v>
      </c>
      <c r="P79" s="17" t="s">
        <v>736</v>
      </c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6"/>
        <v>0</v>
      </c>
      <c r="L80" s="4">
        <f t="shared" si="7"/>
        <v>0</v>
      </c>
      <c r="M80" s="31">
        <v>0</v>
      </c>
      <c r="N80" s="32">
        <v>0</v>
      </c>
      <c r="O80" s="33">
        <v>0</v>
      </c>
      <c r="P80" s="17" t="s">
        <v>736</v>
      </c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6"/>
        <v>0</v>
      </c>
      <c r="L81" s="4">
        <f t="shared" si="7"/>
        <v>0</v>
      </c>
      <c r="M81" s="31">
        <v>0</v>
      </c>
      <c r="N81" s="32">
        <v>0</v>
      </c>
      <c r="O81" s="33">
        <v>0</v>
      </c>
      <c r="P81" s="17" t="s">
        <v>736</v>
      </c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6"/>
        <v>0</v>
      </c>
      <c r="L82" s="4">
        <f t="shared" si="7"/>
        <v>0</v>
      </c>
      <c r="M82" s="31">
        <v>0</v>
      </c>
      <c r="N82" s="32">
        <v>0</v>
      </c>
      <c r="O82" s="33">
        <v>0</v>
      </c>
      <c r="P82" s="17" t="s">
        <v>736</v>
      </c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6"/>
        <v>0</v>
      </c>
      <c r="L83" s="4">
        <f t="shared" si="7"/>
        <v>0</v>
      </c>
      <c r="M83" s="31">
        <v>0</v>
      </c>
      <c r="N83" s="32">
        <v>0</v>
      </c>
      <c r="O83" s="33">
        <v>0</v>
      </c>
      <c r="P83" s="17" t="s">
        <v>736</v>
      </c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6"/>
        <v>0</v>
      </c>
      <c r="L84" s="4">
        <f t="shared" si="7"/>
        <v>0</v>
      </c>
      <c r="M84" s="31">
        <v>0</v>
      </c>
      <c r="N84" s="32">
        <v>0</v>
      </c>
      <c r="O84" s="33">
        <v>0</v>
      </c>
      <c r="P84" s="17" t="s">
        <v>736</v>
      </c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6"/>
        <v>0</v>
      </c>
      <c r="L85" s="4">
        <f t="shared" si="7"/>
        <v>0</v>
      </c>
      <c r="M85" s="31">
        <v>0</v>
      </c>
      <c r="N85" s="32">
        <v>0</v>
      </c>
      <c r="O85" s="33">
        <v>0</v>
      </c>
      <c r="P85" s="17" t="s">
        <v>736</v>
      </c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6"/>
        <v>0</v>
      </c>
      <c r="L86" s="4">
        <f t="shared" si="7"/>
        <v>0</v>
      </c>
      <c r="M86" s="31">
        <v>0</v>
      </c>
      <c r="N86" s="32">
        <v>0</v>
      </c>
      <c r="O86" s="33">
        <v>0</v>
      </c>
      <c r="P86" s="17" t="s">
        <v>736</v>
      </c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6"/>
        <v>0</v>
      </c>
      <c r="L87" s="4">
        <f t="shared" si="7"/>
        <v>0</v>
      </c>
      <c r="M87" s="31">
        <v>0</v>
      </c>
      <c r="N87" s="32">
        <v>0</v>
      </c>
      <c r="O87" s="33">
        <v>0</v>
      </c>
      <c r="P87" s="17" t="s">
        <v>736</v>
      </c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6"/>
        <v>0</v>
      </c>
      <c r="L88" s="4">
        <f t="shared" si="7"/>
        <v>0</v>
      </c>
      <c r="M88" s="31">
        <v>0</v>
      </c>
      <c r="N88" s="32">
        <v>0</v>
      </c>
      <c r="O88" s="33">
        <v>0</v>
      </c>
      <c r="P88" s="17" t="s">
        <v>736</v>
      </c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6"/>
        <v>0</v>
      </c>
      <c r="L89" s="4">
        <f t="shared" si="7"/>
        <v>0</v>
      </c>
      <c r="M89" s="31">
        <v>0</v>
      </c>
      <c r="N89" s="32">
        <v>0</v>
      </c>
      <c r="O89" s="33">
        <v>0</v>
      </c>
      <c r="P89" s="17" t="s">
        <v>736</v>
      </c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6"/>
        <v>0</v>
      </c>
      <c r="L90" s="4">
        <f t="shared" si="7"/>
        <v>0</v>
      </c>
      <c r="M90" s="31">
        <v>0</v>
      </c>
      <c r="N90" s="32">
        <v>0</v>
      </c>
      <c r="O90" s="33">
        <v>0</v>
      </c>
      <c r="P90" s="17" t="s">
        <v>736</v>
      </c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6"/>
        <v>0</v>
      </c>
      <c r="L91" s="4">
        <f t="shared" si="7"/>
        <v>0</v>
      </c>
      <c r="M91" s="31">
        <v>0</v>
      </c>
      <c r="N91" s="32">
        <v>0</v>
      </c>
      <c r="O91" s="33">
        <v>0</v>
      </c>
      <c r="P91" s="17" t="s">
        <v>736</v>
      </c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6"/>
        <v>0</v>
      </c>
      <c r="L92" s="4">
        <f t="shared" si="7"/>
        <v>0</v>
      </c>
      <c r="M92" s="31">
        <v>0</v>
      </c>
      <c r="N92" s="32">
        <v>0</v>
      </c>
      <c r="O92" s="33">
        <v>0</v>
      </c>
      <c r="P92" s="17" t="s">
        <v>736</v>
      </c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6"/>
        <v>0</v>
      </c>
      <c r="L93" s="4">
        <f t="shared" si="7"/>
        <v>0</v>
      </c>
      <c r="M93" s="31">
        <v>0</v>
      </c>
      <c r="N93" s="32">
        <v>0</v>
      </c>
      <c r="O93" s="33">
        <v>0</v>
      </c>
      <c r="P93" s="17" t="s">
        <v>736</v>
      </c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6"/>
        <v>0</v>
      </c>
      <c r="L94" s="4">
        <f t="shared" si="7"/>
        <v>0</v>
      </c>
      <c r="M94" s="31">
        <v>0</v>
      </c>
      <c r="N94" s="32">
        <v>0</v>
      </c>
      <c r="O94" s="33">
        <v>0</v>
      </c>
      <c r="P94" s="17" t="s">
        <v>736</v>
      </c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6"/>
        <v>0</v>
      </c>
      <c r="L95" s="4">
        <f t="shared" si="7"/>
        <v>0</v>
      </c>
      <c r="M95" s="31">
        <v>0</v>
      </c>
      <c r="N95" s="32">
        <v>0</v>
      </c>
      <c r="O95" s="33">
        <v>0</v>
      </c>
      <c r="P95" s="17" t="s">
        <v>736</v>
      </c>
    </row>
    <row r="96" spans="2:16" ht="13.8" x14ac:dyDescent="0.2">
      <c r="B96" s="14">
        <v>91</v>
      </c>
      <c r="C96" s="17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6"/>
        <v>0</v>
      </c>
      <c r="L96" s="4">
        <f t="shared" si="7"/>
        <v>0</v>
      </c>
      <c r="M96" s="31">
        <v>0</v>
      </c>
      <c r="N96" s="32">
        <v>0</v>
      </c>
      <c r="O96" s="33">
        <v>0</v>
      </c>
      <c r="P96" s="17" t="s">
        <v>736</v>
      </c>
    </row>
    <row r="97" spans="2:16" ht="13.8" x14ac:dyDescent="0.2">
      <c r="B97" s="14">
        <v>92</v>
      </c>
      <c r="C97" s="8" t="s">
        <v>237</v>
      </c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6"/>
        <v>0</v>
      </c>
      <c r="L97" s="4">
        <f t="shared" si="7"/>
        <v>0</v>
      </c>
      <c r="M97" s="31">
        <v>0</v>
      </c>
      <c r="N97" s="32">
        <v>0</v>
      </c>
      <c r="O97" s="33">
        <v>0</v>
      </c>
      <c r="P97" s="17" t="s">
        <v>237</v>
      </c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6"/>
        <v>0</v>
      </c>
      <c r="L98" s="4">
        <f t="shared" si="7"/>
        <v>0</v>
      </c>
      <c r="M98" s="31">
        <v>0</v>
      </c>
      <c r="N98" s="32">
        <v>0</v>
      </c>
      <c r="O98" s="33">
        <v>0</v>
      </c>
      <c r="P98" s="17" t="s">
        <v>736</v>
      </c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6"/>
        <v>0</v>
      </c>
      <c r="L99" s="4">
        <f t="shared" si="7"/>
        <v>0</v>
      </c>
      <c r="M99" s="31">
        <v>0</v>
      </c>
      <c r="N99" s="32">
        <v>0</v>
      </c>
      <c r="O99" s="33">
        <v>0</v>
      </c>
      <c r="P99" s="17" t="s">
        <v>736</v>
      </c>
    </row>
    <row r="100" spans="2:16" ht="13.8" x14ac:dyDescent="0.2">
      <c r="B100" s="14">
        <v>95</v>
      </c>
      <c r="C100" s="8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6"/>
        <v>0</v>
      </c>
      <c r="L100" s="4">
        <f t="shared" si="7"/>
        <v>0</v>
      </c>
      <c r="M100" s="31">
        <v>0</v>
      </c>
      <c r="N100" s="32">
        <v>0</v>
      </c>
      <c r="O100" s="33">
        <v>0</v>
      </c>
      <c r="P100" s="17" t="s">
        <v>736</v>
      </c>
    </row>
    <row r="101" spans="2:16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6"/>
        <v>0</v>
      </c>
      <c r="L101" s="4">
        <f t="shared" si="7"/>
        <v>0</v>
      </c>
      <c r="M101" s="31">
        <v>0</v>
      </c>
      <c r="N101" s="32">
        <v>0</v>
      </c>
      <c r="O101" s="33">
        <v>0</v>
      </c>
      <c r="P101" s="17" t="s">
        <v>736</v>
      </c>
    </row>
    <row r="102" spans="2:16" ht="13.8" x14ac:dyDescent="0.2">
      <c r="B102" s="14">
        <v>97</v>
      </c>
      <c r="C102" s="17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6"/>
        <v>0</v>
      </c>
      <c r="L102" s="4">
        <f t="shared" si="7"/>
        <v>0</v>
      </c>
      <c r="M102" s="31">
        <v>0</v>
      </c>
      <c r="N102" s="32">
        <v>0</v>
      </c>
      <c r="O102" s="33">
        <v>0</v>
      </c>
      <c r="P102" s="17"/>
    </row>
    <row r="103" spans="2:16" ht="13.8" x14ac:dyDescent="0.2">
      <c r="B103" s="14">
        <v>98</v>
      </c>
      <c r="C103" s="17"/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6"/>
        <v>0</v>
      </c>
      <c r="L103" s="4">
        <f t="shared" si="7"/>
        <v>0</v>
      </c>
      <c r="M103" s="31">
        <v>0</v>
      </c>
      <c r="N103" s="32">
        <v>0</v>
      </c>
      <c r="O103" s="33">
        <v>0</v>
      </c>
      <c r="P103" s="17"/>
    </row>
    <row r="104" spans="2:16" ht="13.8" x14ac:dyDescent="0.2">
      <c r="B104" s="14">
        <v>99</v>
      </c>
      <c r="C104" s="17"/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6"/>
        <v>0</v>
      </c>
      <c r="L104" s="4">
        <f t="shared" si="7"/>
        <v>0</v>
      </c>
      <c r="M104" s="31">
        <v>0</v>
      </c>
      <c r="N104" s="32">
        <v>0</v>
      </c>
      <c r="O104" s="33">
        <v>0</v>
      </c>
      <c r="P104" s="17"/>
    </row>
    <row r="105" spans="2:16" ht="13.8" x14ac:dyDescent="0.2">
      <c r="B105" s="14" t="s">
        <v>1688</v>
      </c>
      <c r="C105" s="9" t="s">
        <v>244</v>
      </c>
      <c r="D105" s="19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6"/>
        <v>0</v>
      </c>
      <c r="L105" s="4">
        <f t="shared" si="7"/>
        <v>0</v>
      </c>
      <c r="M105" s="31">
        <v>0</v>
      </c>
      <c r="N105" s="32">
        <v>0</v>
      </c>
      <c r="O105" s="33">
        <v>0</v>
      </c>
      <c r="P105" s="17" t="s">
        <v>1727</v>
      </c>
    </row>
    <row r="106" spans="2:16" ht="13.8" x14ac:dyDescent="0.2">
      <c r="B106" s="14" t="s">
        <v>1689</v>
      </c>
      <c r="C106" s="9" t="s">
        <v>1735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6"/>
        <v>0</v>
      </c>
      <c r="L106" s="4">
        <f t="shared" si="7"/>
        <v>0</v>
      </c>
      <c r="M106" s="31">
        <v>0</v>
      </c>
      <c r="N106" s="32">
        <v>0</v>
      </c>
      <c r="O106" s="33">
        <v>0</v>
      </c>
      <c r="P106" s="17" t="s">
        <v>1690</v>
      </c>
    </row>
    <row r="107" spans="2:16" ht="13.8" x14ac:dyDescent="0.2">
      <c r="B107" s="14" t="s">
        <v>1691</v>
      </c>
      <c r="C107" s="9" t="s">
        <v>1736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6"/>
        <v>0</v>
      </c>
      <c r="L107" s="4">
        <f t="shared" si="7"/>
        <v>0</v>
      </c>
      <c r="M107" s="31">
        <v>0</v>
      </c>
      <c r="N107" s="32">
        <v>0</v>
      </c>
      <c r="O107" s="33">
        <v>0</v>
      </c>
      <c r="P107" s="17" t="s">
        <v>1728</v>
      </c>
    </row>
    <row r="108" spans="2:16" ht="13.8" x14ac:dyDescent="0.2">
      <c r="B108" s="14" t="s">
        <v>1692</v>
      </c>
      <c r="C108" s="9" t="s">
        <v>140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6"/>
        <v>0</v>
      </c>
      <c r="L108" s="4">
        <f t="shared" si="7"/>
        <v>0</v>
      </c>
      <c r="M108" s="31">
        <v>0</v>
      </c>
      <c r="N108" s="32">
        <v>0</v>
      </c>
      <c r="O108" s="33">
        <v>0</v>
      </c>
      <c r="P108" s="17" t="s">
        <v>1729</v>
      </c>
    </row>
    <row r="109" spans="2:16" ht="13.8" x14ac:dyDescent="0.2">
      <c r="B109" s="14" t="s">
        <v>1693</v>
      </c>
      <c r="C109" s="9" t="s">
        <v>1737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6"/>
        <v>0</v>
      </c>
      <c r="L109" s="4">
        <f t="shared" si="7"/>
        <v>0</v>
      </c>
      <c r="M109" s="31">
        <v>0</v>
      </c>
      <c r="N109" s="32">
        <v>0</v>
      </c>
      <c r="O109" s="33">
        <v>0</v>
      </c>
      <c r="P109" s="17" t="s">
        <v>1694</v>
      </c>
    </row>
    <row r="110" spans="2:16" ht="13.8" x14ac:dyDescent="0.2">
      <c r="B110" s="14" t="s">
        <v>1695</v>
      </c>
      <c r="C110" s="9" t="s">
        <v>613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6"/>
        <v>0</v>
      </c>
      <c r="L110" s="4">
        <f t="shared" si="7"/>
        <v>0</v>
      </c>
      <c r="M110" s="31">
        <v>0</v>
      </c>
      <c r="N110" s="32">
        <v>0</v>
      </c>
      <c r="O110" s="33">
        <v>0</v>
      </c>
      <c r="P110" s="17" t="s">
        <v>1730</v>
      </c>
    </row>
    <row r="111" spans="2:16" ht="13.8" x14ac:dyDescent="0.2">
      <c r="B111" s="14" t="s">
        <v>1696</v>
      </c>
      <c r="C111" s="9" t="s">
        <v>612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6"/>
        <v>0</v>
      </c>
      <c r="L111" s="4">
        <f t="shared" si="7"/>
        <v>0</v>
      </c>
      <c r="M111" s="31">
        <v>0</v>
      </c>
      <c r="N111" s="32">
        <v>0</v>
      </c>
      <c r="O111" s="33">
        <v>0</v>
      </c>
      <c r="P111" s="17" t="s">
        <v>1731</v>
      </c>
    </row>
    <row r="112" spans="2:16" ht="13.8" x14ac:dyDescent="0.2">
      <c r="B112" s="14" t="s">
        <v>1697</v>
      </c>
      <c r="C112" s="9" t="s">
        <v>123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6"/>
        <v>0</v>
      </c>
      <c r="L112" s="4">
        <f t="shared" si="7"/>
        <v>0</v>
      </c>
      <c r="M112" s="31">
        <v>0</v>
      </c>
      <c r="N112" s="32">
        <v>0</v>
      </c>
      <c r="O112" s="33">
        <v>0</v>
      </c>
      <c r="P112" s="17" t="s">
        <v>1732</v>
      </c>
    </row>
    <row r="113" spans="2:16" ht="13.8" x14ac:dyDescent="0.2">
      <c r="B113" s="14" t="s">
        <v>1698</v>
      </c>
      <c r="C113" s="9" t="s">
        <v>615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6"/>
        <v>0</v>
      </c>
      <c r="L113" s="4">
        <f t="shared" si="7"/>
        <v>0</v>
      </c>
      <c r="M113" s="31">
        <v>0</v>
      </c>
      <c r="N113" s="32">
        <v>0</v>
      </c>
      <c r="O113" s="33">
        <v>0</v>
      </c>
      <c r="P113" s="17" t="s">
        <v>1733</v>
      </c>
    </row>
    <row r="114" spans="2:16" ht="13.8" x14ac:dyDescent="0.2">
      <c r="B114" s="14" t="s">
        <v>1699</v>
      </c>
      <c r="C114" s="9" t="s">
        <v>1738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6"/>
        <v>0</v>
      </c>
      <c r="L114" s="4">
        <f t="shared" si="7"/>
        <v>0</v>
      </c>
      <c r="M114" s="31">
        <v>0</v>
      </c>
      <c r="N114" s="32">
        <v>0</v>
      </c>
      <c r="O114" s="33">
        <v>0</v>
      </c>
      <c r="P114" s="17" t="s">
        <v>1700</v>
      </c>
    </row>
    <row r="115" spans="2:16" ht="13.8" x14ac:dyDescent="0.2">
      <c r="B115" s="14" t="s">
        <v>1701</v>
      </c>
      <c r="C115" s="9" t="s">
        <v>1739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6"/>
        <v>0</v>
      </c>
      <c r="L115" s="4">
        <f t="shared" si="7"/>
        <v>0</v>
      </c>
      <c r="M115" s="31">
        <v>0</v>
      </c>
      <c r="N115" s="32">
        <v>0</v>
      </c>
      <c r="O115" s="33">
        <v>0</v>
      </c>
      <c r="P115" s="17" t="s">
        <v>1734</v>
      </c>
    </row>
    <row r="116" spans="2:16" ht="13.8" x14ac:dyDescent="0.2">
      <c r="B116" s="14"/>
      <c r="C116" s="9"/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6"/>
        <v>0</v>
      </c>
      <c r="L116" s="4">
        <f t="shared" si="7"/>
        <v>0</v>
      </c>
      <c r="M116" s="31">
        <v>0</v>
      </c>
      <c r="N116" s="32">
        <v>0</v>
      </c>
      <c r="O116" s="33">
        <v>0</v>
      </c>
      <c r="P116" s="17" t="s">
        <v>736</v>
      </c>
    </row>
    <row r="117" spans="2:16" ht="13.8" x14ac:dyDescent="0.2">
      <c r="B117" s="14"/>
      <c r="C117" s="9"/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6"/>
        <v>0</v>
      </c>
      <c r="L117" s="4">
        <f t="shared" si="7"/>
        <v>0</v>
      </c>
      <c r="M117" s="31">
        <v>0</v>
      </c>
      <c r="N117" s="32">
        <v>0</v>
      </c>
      <c r="O117" s="33">
        <v>0</v>
      </c>
      <c r="P117" s="17" t="s">
        <v>736</v>
      </c>
    </row>
    <row r="118" spans="2:16" ht="13.8" x14ac:dyDescent="0.2">
      <c r="B118" s="14"/>
      <c r="C118" s="9"/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6"/>
        <v>0</v>
      </c>
      <c r="L118" s="4">
        <f t="shared" si="7"/>
        <v>0</v>
      </c>
      <c r="M118" s="31">
        <v>0</v>
      </c>
      <c r="N118" s="32">
        <v>0</v>
      </c>
      <c r="O118" s="33">
        <v>0</v>
      </c>
      <c r="P118" s="17" t="s">
        <v>736</v>
      </c>
    </row>
    <row r="119" spans="2:16" ht="13.8" x14ac:dyDescent="0.2">
      <c r="B119" s="14"/>
      <c r="C119" s="9"/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6"/>
        <v>0</v>
      </c>
      <c r="L119" s="4">
        <f t="shared" si="7"/>
        <v>0</v>
      </c>
      <c r="M119" s="31">
        <v>0</v>
      </c>
      <c r="N119" s="32">
        <v>0</v>
      </c>
      <c r="O119" s="33">
        <v>0</v>
      </c>
      <c r="P119" s="17" t="s">
        <v>736</v>
      </c>
    </row>
    <row r="120" spans="2:16" ht="13.8" x14ac:dyDescent="0.2">
      <c r="B120" s="14"/>
      <c r="C120" s="9"/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6"/>
        <v>0</v>
      </c>
      <c r="L120" s="4">
        <f t="shared" si="7"/>
        <v>0</v>
      </c>
      <c r="M120" s="31">
        <v>0</v>
      </c>
      <c r="N120" s="32">
        <v>0</v>
      </c>
      <c r="O120" s="33">
        <v>0</v>
      </c>
      <c r="P120" s="17" t="s">
        <v>736</v>
      </c>
    </row>
    <row r="121" spans="2:16" ht="13.8" x14ac:dyDescent="0.2">
      <c r="B121" s="14"/>
      <c r="C121" s="9"/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6"/>
        <v>0</v>
      </c>
      <c r="L121" s="4">
        <f t="shared" si="7"/>
        <v>0</v>
      </c>
      <c r="M121" s="31">
        <v>0</v>
      </c>
      <c r="N121" s="32">
        <v>0</v>
      </c>
      <c r="O121" s="33">
        <v>0</v>
      </c>
      <c r="P121" s="17" t="s">
        <v>736</v>
      </c>
    </row>
    <row r="122" spans="2:16" ht="13.8" x14ac:dyDescent="0.2">
      <c r="B122" s="14"/>
      <c r="C122" s="9"/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6"/>
        <v>0</v>
      </c>
      <c r="L122" s="4">
        <f t="shared" si="7"/>
        <v>0</v>
      </c>
      <c r="M122" s="31">
        <v>0</v>
      </c>
      <c r="N122" s="32">
        <v>0</v>
      </c>
      <c r="O122" s="33">
        <v>0</v>
      </c>
      <c r="P122" s="17" t="s">
        <v>736</v>
      </c>
    </row>
    <row r="123" spans="2:16" ht="13.8" x14ac:dyDescent="0.2">
      <c r="B123" s="14"/>
      <c r="C123" s="9"/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6"/>
        <v>0</v>
      </c>
      <c r="L123" s="4">
        <f t="shared" si="7"/>
        <v>0</v>
      </c>
      <c r="M123" s="31">
        <v>0</v>
      </c>
      <c r="N123" s="32">
        <v>0</v>
      </c>
      <c r="O123" s="33">
        <v>0</v>
      </c>
      <c r="P123" s="17" t="s">
        <v>736</v>
      </c>
    </row>
    <row r="124" spans="2:16" ht="13.8" x14ac:dyDescent="0.2">
      <c r="B124" s="14"/>
      <c r="C124" s="9"/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6"/>
        <v>0</v>
      </c>
      <c r="L124" s="4">
        <f t="shared" si="7"/>
        <v>0</v>
      </c>
      <c r="M124" s="31">
        <v>0</v>
      </c>
      <c r="N124" s="32">
        <v>0</v>
      </c>
      <c r="O124" s="33">
        <v>0</v>
      </c>
      <c r="P124" s="17" t="s">
        <v>736</v>
      </c>
    </row>
    <row r="125" spans="2:16" ht="13.8" x14ac:dyDescent="0.2">
      <c r="B125" s="14"/>
      <c r="C125" s="9"/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6"/>
        <v>0</v>
      </c>
      <c r="L125" s="4">
        <f t="shared" si="7"/>
        <v>0</v>
      </c>
      <c r="M125" s="31">
        <v>0</v>
      </c>
      <c r="N125" s="32">
        <v>0</v>
      </c>
      <c r="O125" s="33">
        <v>0</v>
      </c>
      <c r="P125" s="17" t="s">
        <v>736</v>
      </c>
    </row>
    <row r="126" spans="2:16" ht="13.8" x14ac:dyDescent="0.2">
      <c r="B126" s="14"/>
      <c r="C126" s="9"/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6"/>
        <v>0</v>
      </c>
      <c r="L126" s="4">
        <f t="shared" si="7"/>
        <v>0</v>
      </c>
      <c r="M126" s="31">
        <v>0</v>
      </c>
      <c r="N126" s="32">
        <v>0</v>
      </c>
      <c r="O126" s="33">
        <v>0</v>
      </c>
      <c r="P126" s="17" t="s">
        <v>736</v>
      </c>
    </row>
    <row r="127" spans="2:16" ht="13.8" x14ac:dyDescent="0.2">
      <c r="B127" s="14"/>
      <c r="C127" s="9"/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6"/>
        <v>0</v>
      </c>
      <c r="L127" s="4">
        <f t="shared" si="7"/>
        <v>0</v>
      </c>
      <c r="M127" s="31">
        <v>0</v>
      </c>
      <c r="N127" s="32">
        <v>0</v>
      </c>
      <c r="O127" s="33">
        <v>0</v>
      </c>
      <c r="P127" s="17" t="s">
        <v>736</v>
      </c>
    </row>
    <row r="128" spans="2:16" ht="13.8" x14ac:dyDescent="0.2">
      <c r="B128" s="14"/>
      <c r="C128" s="9"/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6"/>
        <v>0</v>
      </c>
      <c r="L128" s="4">
        <f t="shared" si="7"/>
        <v>0</v>
      </c>
      <c r="M128" s="31">
        <v>0</v>
      </c>
      <c r="N128" s="32">
        <v>0</v>
      </c>
      <c r="O128" s="33">
        <v>0</v>
      </c>
      <c r="P128" s="17" t="s">
        <v>736</v>
      </c>
    </row>
    <row r="129" spans="2:16" ht="13.8" x14ac:dyDescent="0.2">
      <c r="B129" s="14"/>
      <c r="C129" s="9"/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6"/>
        <v>0</v>
      </c>
      <c r="L129" s="4">
        <f t="shared" si="7"/>
        <v>0</v>
      </c>
      <c r="M129" s="31">
        <v>0</v>
      </c>
      <c r="N129" s="32">
        <v>0</v>
      </c>
      <c r="O129" s="33">
        <v>0</v>
      </c>
      <c r="P129" s="17" t="s">
        <v>736</v>
      </c>
    </row>
    <row r="130" spans="2:16" ht="13.8" x14ac:dyDescent="0.2">
      <c r="B130" s="14"/>
      <c r="C130" s="9"/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6"/>
        <v>0</v>
      </c>
      <c r="L130" s="4">
        <f t="shared" si="7"/>
        <v>0</v>
      </c>
      <c r="M130" s="31">
        <v>0</v>
      </c>
      <c r="N130" s="32">
        <v>0</v>
      </c>
      <c r="O130" s="33">
        <v>0</v>
      </c>
      <c r="P130" s="17" t="s">
        <v>736</v>
      </c>
    </row>
    <row r="131" spans="2:16" ht="13.8" x14ac:dyDescent="0.2">
      <c r="B131" s="14"/>
      <c r="C131" s="9"/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6"/>
        <v>0</v>
      </c>
      <c r="L131" s="4">
        <f t="shared" si="7"/>
        <v>0</v>
      </c>
      <c r="M131" s="31">
        <v>0</v>
      </c>
      <c r="N131" s="32">
        <v>0</v>
      </c>
      <c r="O131" s="33">
        <v>0</v>
      </c>
      <c r="P131" s="17" t="s">
        <v>736</v>
      </c>
    </row>
    <row r="132" spans="2:16" ht="13.8" x14ac:dyDescent="0.2">
      <c r="B132" s="14"/>
      <c r="C132" s="9"/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6"/>
        <v>0</v>
      </c>
      <c r="L132" s="4">
        <f t="shared" si="7"/>
        <v>0</v>
      </c>
      <c r="M132" s="31">
        <v>0</v>
      </c>
      <c r="N132" s="32">
        <v>0</v>
      </c>
      <c r="O132" s="33">
        <v>0</v>
      </c>
      <c r="P132" s="17" t="s">
        <v>736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8">IFERROR(IF((F133+M133+N133)/(E133+M133+N133+O133)=1,"1.00",(F133+M133+N133)/(E133+M133+N133+O133)),0)</f>
        <v>0</v>
      </c>
      <c r="L133" s="4">
        <f t="shared" ref="L133:L134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17" t="s">
        <v>736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8"/>
        <v>0</v>
      </c>
      <c r="L134" s="4">
        <f t="shared" si="9"/>
        <v>0</v>
      </c>
      <c r="M134" s="31">
        <v>0</v>
      </c>
      <c r="N134" s="32">
        <v>0</v>
      </c>
      <c r="O134" s="33">
        <v>0</v>
      </c>
      <c r="P134" s="17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horizontalDpi="360" verticalDpi="360" r:id="rId1"/>
  <ignoredErrors>
    <ignoredError sqref="K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Q140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style="1" customWidth="1"/>
    <col min="17" max="17" width="8.88671875" style="40"/>
  </cols>
  <sheetData>
    <row r="1" spans="2:16" ht="13.8" customHeight="1" x14ac:dyDescent="0.2"/>
    <row r="2" spans="2:16" ht="13.8" customHeight="1" x14ac:dyDescent="0.2">
      <c r="B2" s="89"/>
      <c r="C2" s="89"/>
      <c r="D2" s="4">
        <f>IFERROR(F2/E2,0)</f>
        <v>0</v>
      </c>
      <c r="E2" s="5">
        <f>SUM(E4:E134)</f>
        <v>0</v>
      </c>
      <c r="F2" s="5">
        <f>SUM(F4:F134)</f>
        <v>0</v>
      </c>
      <c r="G2" s="5">
        <f>SUM(G4:G134)</f>
        <v>0</v>
      </c>
      <c r="H2" s="5">
        <f>SUM(H4:H134)</f>
        <v>0</v>
      </c>
      <c r="I2" s="6">
        <f>SUM(I4:I104)</f>
        <v>0</v>
      </c>
      <c r="J2" s="7">
        <f>SUM(J4:J104)</f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84" t="s">
        <v>246</v>
      </c>
    </row>
    <row r="3" spans="2:16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936</v>
      </c>
      <c r="H3" s="17" t="s">
        <v>937</v>
      </c>
      <c r="I3" s="22" t="s">
        <v>2</v>
      </c>
      <c r="J3" s="23" t="s">
        <v>3</v>
      </c>
      <c r="K3" s="35" t="s">
        <v>935</v>
      </c>
      <c r="L3" s="10" t="s">
        <v>933</v>
      </c>
      <c r="M3" s="9" t="s">
        <v>744</v>
      </c>
      <c r="N3" s="9" t="s">
        <v>745</v>
      </c>
      <c r="O3" s="9" t="s">
        <v>743</v>
      </c>
      <c r="P3" s="84"/>
    </row>
    <row r="4" spans="2:16" ht="13.8" x14ac:dyDescent="0.2">
      <c r="B4" s="14" t="s">
        <v>425</v>
      </c>
      <c r="C4" s="17" t="s">
        <v>178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 t="shared" ref="K4" si="0">IFERROR(IF((F4+M4+N4)/(E4+M4+N4+O4)=1,"1.00",(F4+M4+N4)/(E4+M4+N4+O4)),0)</f>
        <v>0</v>
      </c>
      <c r="L4" s="15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1121</v>
      </c>
    </row>
    <row r="5" spans="2:16" ht="13.8" x14ac:dyDescent="0.2">
      <c r="B5" s="14">
        <v>0</v>
      </c>
      <c r="C5" s="17" t="s">
        <v>179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3">IFERROR(IF((F5+M5+N5)/(E5+M5+N5+O5)=1,"1.00",(F5+M5+N5)/(E5+M5+N5+O5)),0)</f>
        <v>0</v>
      </c>
      <c r="L5" s="15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1122</v>
      </c>
    </row>
    <row r="6" spans="2:16" ht="13.8" x14ac:dyDescent="0.2">
      <c r="B6" s="14">
        <v>1</v>
      </c>
      <c r="C6" s="17" t="s">
        <v>1798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3"/>
        <v>0</v>
      </c>
      <c r="L6" s="15">
        <f t="shared" si="4"/>
        <v>0</v>
      </c>
      <c r="M6" s="31">
        <v>0</v>
      </c>
      <c r="N6" s="32">
        <v>0</v>
      </c>
      <c r="O6" s="33">
        <v>0</v>
      </c>
      <c r="P6" s="2" t="s">
        <v>1789</v>
      </c>
    </row>
    <row r="7" spans="2:16" ht="13.8" x14ac:dyDescent="0.2">
      <c r="B7" s="14">
        <v>2</v>
      </c>
      <c r="C7" s="17" t="s">
        <v>620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3"/>
        <v>0</v>
      </c>
      <c r="L7" s="15">
        <f t="shared" si="4"/>
        <v>0</v>
      </c>
      <c r="M7" s="31">
        <v>0</v>
      </c>
      <c r="N7" s="32">
        <v>0</v>
      </c>
      <c r="O7" s="33">
        <v>0</v>
      </c>
      <c r="P7" s="2" t="s">
        <v>620</v>
      </c>
    </row>
    <row r="8" spans="2:16" ht="13.8" x14ac:dyDescent="0.2">
      <c r="B8" s="14">
        <v>3</v>
      </c>
      <c r="C8" s="17" t="s">
        <v>1799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3"/>
        <v>0</v>
      </c>
      <c r="L8" s="15">
        <f t="shared" si="4"/>
        <v>0</v>
      </c>
      <c r="M8" s="31">
        <v>0</v>
      </c>
      <c r="N8" s="32">
        <v>0</v>
      </c>
      <c r="O8" s="33">
        <v>0</v>
      </c>
      <c r="P8" s="2" t="s">
        <v>1740</v>
      </c>
    </row>
    <row r="9" spans="2:16" ht="13.8" x14ac:dyDescent="0.2">
      <c r="B9" s="14">
        <v>4</v>
      </c>
      <c r="C9" s="17"/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3"/>
        <v>0</v>
      </c>
      <c r="L9" s="15">
        <f t="shared" si="4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 t="s">
        <v>180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3"/>
        <v>0</v>
      </c>
      <c r="L10" s="15">
        <f t="shared" si="4"/>
        <v>0</v>
      </c>
      <c r="M10" s="31">
        <v>0</v>
      </c>
      <c r="N10" s="32">
        <v>0</v>
      </c>
      <c r="O10" s="33">
        <v>0</v>
      </c>
      <c r="P10" s="2" t="s">
        <v>1123</v>
      </c>
    </row>
    <row r="11" spans="2:16" ht="13.8" x14ac:dyDescent="0.2">
      <c r="B11" s="14">
        <v>6</v>
      </c>
      <c r="C11" s="17" t="s">
        <v>181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3"/>
        <v>0</v>
      </c>
      <c r="L11" s="15">
        <f t="shared" si="4"/>
        <v>0</v>
      </c>
      <c r="M11" s="31">
        <v>0</v>
      </c>
      <c r="N11" s="32">
        <v>0</v>
      </c>
      <c r="O11" s="33">
        <v>0</v>
      </c>
      <c r="P11" s="2" t="s">
        <v>1124</v>
      </c>
    </row>
    <row r="12" spans="2:16" ht="13.8" x14ac:dyDescent="0.2">
      <c r="B12" s="14">
        <v>7</v>
      </c>
      <c r="C12" s="17" t="s">
        <v>159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3"/>
        <v>0</v>
      </c>
      <c r="L12" s="15">
        <f t="shared" si="4"/>
        <v>0</v>
      </c>
      <c r="M12" s="31">
        <v>0</v>
      </c>
      <c r="N12" s="32">
        <v>0</v>
      </c>
      <c r="O12" s="33">
        <v>0</v>
      </c>
      <c r="P12" s="2" t="s">
        <v>1125</v>
      </c>
    </row>
    <row r="13" spans="2:16" ht="13.8" x14ac:dyDescent="0.2">
      <c r="B13" s="14">
        <v>8</v>
      </c>
      <c r="C13" s="17" t="s">
        <v>182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3"/>
        <v>0</v>
      </c>
      <c r="L13" s="15">
        <f t="shared" si="4"/>
        <v>0</v>
      </c>
      <c r="M13" s="31">
        <v>0</v>
      </c>
      <c r="N13" s="32">
        <v>0</v>
      </c>
      <c r="O13" s="33">
        <v>0</v>
      </c>
      <c r="P13" s="2" t="s">
        <v>1126</v>
      </c>
    </row>
    <row r="14" spans="2:16" ht="13.8" x14ac:dyDescent="0.2">
      <c r="B14" s="14">
        <v>9</v>
      </c>
      <c r="C14" s="17" t="s">
        <v>183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3"/>
        <v>0</v>
      </c>
      <c r="L14" s="15">
        <f t="shared" si="4"/>
        <v>0</v>
      </c>
      <c r="M14" s="31">
        <v>0</v>
      </c>
      <c r="N14" s="32">
        <v>0</v>
      </c>
      <c r="O14" s="33">
        <v>0</v>
      </c>
      <c r="P14" s="2" t="s">
        <v>1127</v>
      </c>
    </row>
    <row r="15" spans="2:16" ht="13.8" x14ac:dyDescent="0.2">
      <c r="B15" s="14">
        <v>10</v>
      </c>
      <c r="C15" s="17" t="s">
        <v>1809</v>
      </c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3"/>
        <v>0</v>
      </c>
      <c r="L15" s="15">
        <f t="shared" si="4"/>
        <v>0</v>
      </c>
      <c r="M15" s="31">
        <v>0</v>
      </c>
      <c r="N15" s="32">
        <v>0</v>
      </c>
      <c r="O15" s="33">
        <v>0</v>
      </c>
      <c r="P15" s="2" t="s">
        <v>175</v>
      </c>
    </row>
    <row r="16" spans="2:16" ht="13.8" x14ac:dyDescent="0.2">
      <c r="B16" s="14">
        <v>11</v>
      </c>
      <c r="C16" s="17" t="s">
        <v>247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3"/>
        <v>0</v>
      </c>
      <c r="L16" s="15">
        <f t="shared" si="4"/>
        <v>0</v>
      </c>
      <c r="M16" s="31">
        <v>0</v>
      </c>
      <c r="N16" s="32">
        <v>0</v>
      </c>
      <c r="O16" s="33">
        <v>0</v>
      </c>
      <c r="P16" s="2" t="s">
        <v>1128</v>
      </c>
    </row>
    <row r="17" spans="2:16" ht="13.8" x14ac:dyDescent="0.2">
      <c r="B17" s="14">
        <v>12</v>
      </c>
      <c r="C17" s="17" t="s">
        <v>1741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3"/>
        <v>0</v>
      </c>
      <c r="L17" s="15">
        <f t="shared" si="4"/>
        <v>0</v>
      </c>
      <c r="M17" s="31">
        <v>0</v>
      </c>
      <c r="N17" s="32">
        <v>0</v>
      </c>
      <c r="O17" s="33">
        <v>0</v>
      </c>
      <c r="P17" s="2" t="s">
        <v>1741</v>
      </c>
    </row>
    <row r="18" spans="2:16" ht="13.8" x14ac:dyDescent="0.2">
      <c r="B18" s="14">
        <v>13</v>
      </c>
      <c r="C18" s="17" t="s">
        <v>1800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3"/>
        <v>0</v>
      </c>
      <c r="L18" s="15">
        <f t="shared" si="4"/>
        <v>0</v>
      </c>
      <c r="M18" s="31">
        <v>0</v>
      </c>
      <c r="N18" s="32">
        <v>0</v>
      </c>
      <c r="O18" s="33">
        <v>0</v>
      </c>
      <c r="P18" s="2" t="s">
        <v>1790</v>
      </c>
    </row>
    <row r="19" spans="2:16" ht="13.8" x14ac:dyDescent="0.2">
      <c r="B19" s="14">
        <v>14</v>
      </c>
      <c r="C19" s="17" t="s">
        <v>1801</v>
      </c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3"/>
        <v>0</v>
      </c>
      <c r="L19" s="15">
        <f t="shared" si="4"/>
        <v>0</v>
      </c>
      <c r="M19" s="31">
        <v>0</v>
      </c>
      <c r="N19" s="32">
        <v>0</v>
      </c>
      <c r="O19" s="33">
        <v>0</v>
      </c>
      <c r="P19" s="2" t="s">
        <v>1791</v>
      </c>
    </row>
    <row r="20" spans="2:16" ht="13.8" x14ac:dyDescent="0.2">
      <c r="B20" s="14">
        <v>15</v>
      </c>
      <c r="C20" s="8"/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3"/>
        <v>0</v>
      </c>
      <c r="L20" s="15">
        <f t="shared" si="4"/>
        <v>0</v>
      </c>
      <c r="M20" s="31">
        <v>0</v>
      </c>
      <c r="N20" s="32">
        <v>0</v>
      </c>
      <c r="O20" s="33">
        <v>0</v>
      </c>
      <c r="P20" s="2" t="s">
        <v>736</v>
      </c>
    </row>
    <row r="21" spans="2:16" ht="13.8" x14ac:dyDescent="0.2">
      <c r="B21" s="14">
        <v>16</v>
      </c>
      <c r="C21" s="17" t="s">
        <v>184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3"/>
        <v>0</v>
      </c>
      <c r="L21" s="15">
        <f t="shared" si="4"/>
        <v>0</v>
      </c>
      <c r="M21" s="31">
        <v>0</v>
      </c>
      <c r="N21" s="32">
        <v>0</v>
      </c>
      <c r="O21" s="33">
        <v>0</v>
      </c>
      <c r="P21" s="2" t="s">
        <v>1130</v>
      </c>
    </row>
    <row r="22" spans="2:16" ht="13.8" x14ac:dyDescent="0.2">
      <c r="B22" s="14">
        <v>17</v>
      </c>
      <c r="C22" s="17"/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3"/>
        <v>0</v>
      </c>
      <c r="L22" s="15">
        <f t="shared" si="4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17" t="s">
        <v>185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3"/>
        <v>0</v>
      </c>
      <c r="L23" s="15">
        <f t="shared" si="4"/>
        <v>0</v>
      </c>
      <c r="M23" s="31">
        <v>0</v>
      </c>
      <c r="N23" s="32">
        <v>0</v>
      </c>
      <c r="O23" s="33">
        <v>0</v>
      </c>
      <c r="P23" s="2" t="s">
        <v>1131</v>
      </c>
    </row>
    <row r="24" spans="2:16" ht="13.8" x14ac:dyDescent="0.2">
      <c r="B24" s="14">
        <v>19</v>
      </c>
      <c r="C24" s="17" t="s">
        <v>248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3"/>
        <v>0</v>
      </c>
      <c r="L24" s="15">
        <f t="shared" si="4"/>
        <v>0</v>
      </c>
      <c r="M24" s="31">
        <v>0</v>
      </c>
      <c r="N24" s="32">
        <v>0</v>
      </c>
      <c r="O24" s="33">
        <v>0</v>
      </c>
      <c r="P24" s="2" t="s">
        <v>1132</v>
      </c>
    </row>
    <row r="25" spans="2:16" ht="13.8" x14ac:dyDescent="0.2">
      <c r="B25" s="14">
        <v>20</v>
      </c>
      <c r="C25" s="17" t="s">
        <v>186</v>
      </c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3"/>
        <v>0</v>
      </c>
      <c r="L25" s="15">
        <f t="shared" si="4"/>
        <v>0</v>
      </c>
      <c r="M25" s="31">
        <v>0</v>
      </c>
      <c r="N25" s="32">
        <v>0</v>
      </c>
      <c r="O25" s="33">
        <v>0</v>
      </c>
      <c r="P25" s="2" t="s">
        <v>1133</v>
      </c>
    </row>
    <row r="26" spans="2:16" ht="13.8" x14ac:dyDescent="0.2">
      <c r="B26" s="14">
        <v>21</v>
      </c>
      <c r="C26" s="17" t="s">
        <v>188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3"/>
        <v>0</v>
      </c>
      <c r="L26" s="15">
        <f t="shared" si="4"/>
        <v>0</v>
      </c>
      <c r="M26" s="31">
        <v>0</v>
      </c>
      <c r="N26" s="32">
        <v>0</v>
      </c>
      <c r="O26" s="33">
        <v>0</v>
      </c>
      <c r="P26" s="2" t="s">
        <v>1134</v>
      </c>
    </row>
    <row r="27" spans="2:16" ht="13.8" x14ac:dyDescent="0.2">
      <c r="B27" s="14">
        <v>22</v>
      </c>
      <c r="C27" s="17" t="s">
        <v>621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3"/>
        <v>0</v>
      </c>
      <c r="L27" s="15">
        <f t="shared" si="4"/>
        <v>0</v>
      </c>
      <c r="M27" s="31">
        <v>0</v>
      </c>
      <c r="N27" s="32">
        <v>0</v>
      </c>
      <c r="O27" s="33">
        <v>0</v>
      </c>
      <c r="P27" s="2" t="s">
        <v>1135</v>
      </c>
    </row>
    <row r="28" spans="2:16" ht="13.8" x14ac:dyDescent="0.2">
      <c r="B28" s="14">
        <v>23</v>
      </c>
      <c r="C28" s="17" t="s">
        <v>187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3"/>
        <v>0</v>
      </c>
      <c r="L28" s="15">
        <f t="shared" si="4"/>
        <v>0</v>
      </c>
      <c r="M28" s="31">
        <v>0</v>
      </c>
      <c r="N28" s="32">
        <v>0</v>
      </c>
      <c r="O28" s="33">
        <v>0</v>
      </c>
      <c r="P28" s="2" t="s">
        <v>1136</v>
      </c>
    </row>
    <row r="29" spans="2:16" ht="13.8" x14ac:dyDescent="0.2">
      <c r="B29" s="14">
        <v>24</v>
      </c>
      <c r="C29" s="17" t="s">
        <v>1802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3"/>
        <v>0</v>
      </c>
      <c r="L29" s="15">
        <f t="shared" si="4"/>
        <v>0</v>
      </c>
      <c r="M29" s="31">
        <v>0</v>
      </c>
      <c r="N29" s="32">
        <v>0</v>
      </c>
      <c r="O29" s="33">
        <v>0</v>
      </c>
      <c r="P29" s="2" t="s">
        <v>1792</v>
      </c>
    </row>
    <row r="30" spans="2:16" ht="13.8" x14ac:dyDescent="0.2">
      <c r="B30" s="14">
        <v>25</v>
      </c>
      <c r="C30" s="17" t="s">
        <v>1803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3"/>
        <v>0</v>
      </c>
      <c r="L30" s="15">
        <f t="shared" si="4"/>
        <v>0</v>
      </c>
      <c r="M30" s="31">
        <v>0</v>
      </c>
      <c r="N30" s="32">
        <v>0</v>
      </c>
      <c r="O30" s="33">
        <v>0</v>
      </c>
      <c r="P30" s="2" t="s">
        <v>1137</v>
      </c>
    </row>
    <row r="31" spans="2:16" ht="13.8" x14ac:dyDescent="0.2">
      <c r="B31" s="14">
        <v>26</v>
      </c>
      <c r="C31" s="17" t="s">
        <v>622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3"/>
        <v>0</v>
      </c>
      <c r="L31" s="15">
        <f t="shared" si="4"/>
        <v>0</v>
      </c>
      <c r="M31" s="31">
        <v>0</v>
      </c>
      <c r="N31" s="32">
        <v>0</v>
      </c>
      <c r="O31" s="33">
        <v>0</v>
      </c>
      <c r="P31" s="2" t="s">
        <v>622</v>
      </c>
    </row>
    <row r="32" spans="2:16" ht="13.8" x14ac:dyDescent="0.2">
      <c r="B32" s="14">
        <v>27</v>
      </c>
      <c r="C32" s="17" t="s">
        <v>623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3"/>
        <v>0</v>
      </c>
      <c r="L32" s="15">
        <f t="shared" si="4"/>
        <v>0</v>
      </c>
      <c r="M32" s="31">
        <v>0</v>
      </c>
      <c r="N32" s="32">
        <v>0</v>
      </c>
      <c r="O32" s="33">
        <v>0</v>
      </c>
      <c r="P32" s="2" t="s">
        <v>623</v>
      </c>
    </row>
    <row r="33" spans="2:16" ht="13.8" x14ac:dyDescent="0.2">
      <c r="B33" s="14">
        <v>28</v>
      </c>
      <c r="C33" s="17" t="s">
        <v>160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3"/>
        <v>0</v>
      </c>
      <c r="L33" s="15">
        <f t="shared" si="4"/>
        <v>0</v>
      </c>
      <c r="M33" s="31">
        <v>0</v>
      </c>
      <c r="N33" s="32">
        <v>0</v>
      </c>
      <c r="O33" s="33">
        <v>0</v>
      </c>
      <c r="P33" s="2" t="s">
        <v>1138</v>
      </c>
    </row>
    <row r="34" spans="2:16" ht="13.8" x14ac:dyDescent="0.2">
      <c r="B34" s="14">
        <v>29</v>
      </c>
      <c r="C34" s="17" t="s">
        <v>26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3"/>
        <v>0</v>
      </c>
      <c r="L34" s="15">
        <f t="shared" si="4"/>
        <v>0</v>
      </c>
      <c r="M34" s="31">
        <v>0</v>
      </c>
      <c r="N34" s="32">
        <v>0</v>
      </c>
      <c r="O34" s="33">
        <v>0</v>
      </c>
      <c r="P34" s="2" t="s">
        <v>1139</v>
      </c>
    </row>
    <row r="35" spans="2:16" ht="13.8" x14ac:dyDescent="0.2">
      <c r="B35" s="14">
        <v>30</v>
      </c>
      <c r="C35" s="17" t="s">
        <v>249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3"/>
        <v>0</v>
      </c>
      <c r="L35" s="15">
        <f t="shared" si="4"/>
        <v>0</v>
      </c>
      <c r="M35" s="31">
        <v>0</v>
      </c>
      <c r="N35" s="32">
        <v>0</v>
      </c>
      <c r="O35" s="33">
        <v>0</v>
      </c>
      <c r="P35" s="2" t="s">
        <v>1140</v>
      </c>
    </row>
    <row r="36" spans="2:16" ht="13.8" x14ac:dyDescent="0.2">
      <c r="B36" s="14">
        <v>31</v>
      </c>
      <c r="C36" s="17" t="s">
        <v>1804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3"/>
        <v>0</v>
      </c>
      <c r="L36" s="15">
        <f t="shared" si="4"/>
        <v>0</v>
      </c>
      <c r="M36" s="31">
        <v>0</v>
      </c>
      <c r="N36" s="32">
        <v>0</v>
      </c>
      <c r="O36" s="33">
        <v>0</v>
      </c>
      <c r="P36" s="2" t="s">
        <v>1793</v>
      </c>
    </row>
    <row r="37" spans="2:16" ht="13.8" x14ac:dyDescent="0.2">
      <c r="B37" s="14">
        <v>32</v>
      </c>
      <c r="C37" s="17" t="s">
        <v>250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3"/>
        <v>0</v>
      </c>
      <c r="L37" s="15">
        <f t="shared" si="4"/>
        <v>0</v>
      </c>
      <c r="M37" s="31">
        <v>0</v>
      </c>
      <c r="N37" s="32">
        <v>0</v>
      </c>
      <c r="O37" s="33">
        <v>0</v>
      </c>
      <c r="P37" s="2" t="s">
        <v>1142</v>
      </c>
    </row>
    <row r="38" spans="2:16" ht="13.8" x14ac:dyDescent="0.2">
      <c r="B38" s="14">
        <v>33</v>
      </c>
      <c r="C38" s="17" t="s">
        <v>190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3"/>
        <v>0</v>
      </c>
      <c r="L38" s="15">
        <f t="shared" si="4"/>
        <v>0</v>
      </c>
      <c r="M38" s="31">
        <v>0</v>
      </c>
      <c r="N38" s="32">
        <v>0</v>
      </c>
      <c r="O38" s="33">
        <v>0</v>
      </c>
      <c r="P38" s="2" t="s">
        <v>1143</v>
      </c>
    </row>
    <row r="39" spans="2:16" ht="13.8" x14ac:dyDescent="0.2">
      <c r="B39" s="14">
        <v>34</v>
      </c>
      <c r="C39" s="17" t="s">
        <v>191</v>
      </c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3"/>
        <v>0</v>
      </c>
      <c r="L39" s="15">
        <f t="shared" si="4"/>
        <v>0</v>
      </c>
      <c r="M39" s="31">
        <v>0</v>
      </c>
      <c r="N39" s="32">
        <v>0</v>
      </c>
      <c r="O39" s="33">
        <v>0</v>
      </c>
      <c r="P39" s="2" t="s">
        <v>1144</v>
      </c>
    </row>
    <row r="40" spans="2:16" ht="13.8" x14ac:dyDescent="0.2">
      <c r="B40" s="14">
        <v>35</v>
      </c>
      <c r="C40" s="17" t="s">
        <v>624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3"/>
        <v>0</v>
      </c>
      <c r="L40" s="15">
        <f t="shared" si="4"/>
        <v>0</v>
      </c>
      <c r="M40" s="31">
        <v>0</v>
      </c>
      <c r="N40" s="32">
        <v>0</v>
      </c>
      <c r="O40" s="33">
        <v>0</v>
      </c>
      <c r="P40" s="2" t="s">
        <v>624</v>
      </c>
    </row>
    <row r="41" spans="2:16" ht="13.8" x14ac:dyDescent="0.2">
      <c r="B41" s="14">
        <v>36</v>
      </c>
      <c r="C41" s="17" t="s">
        <v>625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3"/>
        <v>0</v>
      </c>
      <c r="L41" s="15">
        <f t="shared" si="4"/>
        <v>0</v>
      </c>
      <c r="M41" s="31">
        <v>0</v>
      </c>
      <c r="N41" s="32">
        <v>0</v>
      </c>
      <c r="O41" s="33">
        <v>0</v>
      </c>
      <c r="P41" s="2" t="s">
        <v>1145</v>
      </c>
    </row>
    <row r="42" spans="2:16" ht="13.8" x14ac:dyDescent="0.2">
      <c r="B42" s="14">
        <v>37</v>
      </c>
      <c r="C42" s="17"/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3"/>
        <v>0</v>
      </c>
      <c r="L42" s="15">
        <f t="shared" si="4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17" t="s">
        <v>161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3"/>
        <v>0</v>
      </c>
      <c r="L43" s="15">
        <f t="shared" si="4"/>
        <v>0</v>
      </c>
      <c r="M43" s="31">
        <v>0</v>
      </c>
      <c r="N43" s="32">
        <v>0</v>
      </c>
      <c r="O43" s="33">
        <v>0</v>
      </c>
      <c r="P43" s="2" t="s">
        <v>1146</v>
      </c>
    </row>
    <row r="44" spans="2:16" ht="13.8" x14ac:dyDescent="0.2">
      <c r="B44" s="14">
        <v>39</v>
      </c>
      <c r="C44" s="17" t="s">
        <v>626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3"/>
        <v>0</v>
      </c>
      <c r="L44" s="15">
        <f t="shared" si="4"/>
        <v>0</v>
      </c>
      <c r="M44" s="31">
        <v>0</v>
      </c>
      <c r="N44" s="32">
        <v>0</v>
      </c>
      <c r="O44" s="33">
        <v>0</v>
      </c>
      <c r="P44" s="2" t="s">
        <v>1147</v>
      </c>
    </row>
    <row r="45" spans="2:16" ht="13.8" x14ac:dyDescent="0.2">
      <c r="B45" s="14">
        <v>40</v>
      </c>
      <c r="C45" s="17" t="s">
        <v>229</v>
      </c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3"/>
        <v>0</v>
      </c>
      <c r="L45" s="15">
        <f t="shared" si="4"/>
        <v>0</v>
      </c>
      <c r="M45" s="31">
        <v>0</v>
      </c>
      <c r="N45" s="32">
        <v>0</v>
      </c>
      <c r="O45" s="33">
        <v>0</v>
      </c>
      <c r="P45" s="2" t="s">
        <v>1148</v>
      </c>
    </row>
    <row r="46" spans="2:16" ht="13.8" x14ac:dyDescent="0.2">
      <c r="B46" s="14">
        <v>41</v>
      </c>
      <c r="C46" s="17" t="s">
        <v>192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3"/>
        <v>0</v>
      </c>
      <c r="L46" s="15">
        <f t="shared" si="4"/>
        <v>0</v>
      </c>
      <c r="M46" s="31">
        <v>0</v>
      </c>
      <c r="N46" s="32">
        <v>0</v>
      </c>
      <c r="O46" s="33">
        <v>0</v>
      </c>
      <c r="P46" s="2" t="s">
        <v>1149</v>
      </c>
    </row>
    <row r="47" spans="2:16" ht="13.8" x14ac:dyDescent="0.2">
      <c r="B47" s="14">
        <v>42</v>
      </c>
      <c r="C47" s="17" t="s">
        <v>1805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3"/>
        <v>0</v>
      </c>
      <c r="L47" s="15">
        <f t="shared" si="4"/>
        <v>0</v>
      </c>
      <c r="M47" s="31">
        <v>0</v>
      </c>
      <c r="N47" s="32">
        <v>0</v>
      </c>
      <c r="O47" s="33">
        <v>0</v>
      </c>
      <c r="P47" s="2" t="s">
        <v>1794</v>
      </c>
    </row>
    <row r="48" spans="2:16" ht="13.8" x14ac:dyDescent="0.2">
      <c r="B48" s="14">
        <v>43</v>
      </c>
      <c r="C48" s="17" t="s">
        <v>627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3"/>
        <v>0</v>
      </c>
      <c r="L48" s="15">
        <f t="shared" si="4"/>
        <v>0</v>
      </c>
      <c r="M48" s="31">
        <v>0</v>
      </c>
      <c r="N48" s="32">
        <v>0</v>
      </c>
      <c r="O48" s="33">
        <v>0</v>
      </c>
      <c r="P48" s="2" t="s">
        <v>1150</v>
      </c>
    </row>
    <row r="49" spans="2:16" ht="13.8" x14ac:dyDescent="0.2">
      <c r="B49" s="14">
        <v>44</v>
      </c>
      <c r="C49" s="17" t="s">
        <v>628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3"/>
        <v>0</v>
      </c>
      <c r="L49" s="15">
        <f t="shared" si="4"/>
        <v>0</v>
      </c>
      <c r="M49" s="31">
        <v>0</v>
      </c>
      <c r="N49" s="32">
        <v>0</v>
      </c>
      <c r="O49" s="33">
        <v>0</v>
      </c>
      <c r="P49" s="2" t="s">
        <v>1151</v>
      </c>
    </row>
    <row r="50" spans="2:16" ht="13.8" x14ac:dyDescent="0.2">
      <c r="B50" s="14">
        <v>45</v>
      </c>
      <c r="C50" s="17" t="s">
        <v>162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3"/>
        <v>0</v>
      </c>
      <c r="L50" s="15">
        <f t="shared" si="4"/>
        <v>0</v>
      </c>
      <c r="M50" s="31">
        <v>0</v>
      </c>
      <c r="N50" s="32">
        <v>0</v>
      </c>
      <c r="O50" s="33">
        <v>0</v>
      </c>
      <c r="P50" s="2" t="s">
        <v>176</v>
      </c>
    </row>
    <row r="51" spans="2:16" ht="13.8" x14ac:dyDescent="0.2">
      <c r="B51" s="14">
        <v>46</v>
      </c>
      <c r="C51" s="17" t="s">
        <v>629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3"/>
        <v>0</v>
      </c>
      <c r="L51" s="15">
        <f t="shared" si="4"/>
        <v>0</v>
      </c>
      <c r="M51" s="31">
        <v>0</v>
      </c>
      <c r="N51" s="32">
        <v>0</v>
      </c>
      <c r="O51" s="33">
        <v>0</v>
      </c>
      <c r="P51" s="2" t="s">
        <v>630</v>
      </c>
    </row>
    <row r="52" spans="2:16" ht="13.8" x14ac:dyDescent="0.2">
      <c r="B52" s="14">
        <v>47</v>
      </c>
      <c r="C52" s="17" t="s">
        <v>163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3"/>
        <v>0</v>
      </c>
      <c r="L52" s="15">
        <f t="shared" si="4"/>
        <v>0</v>
      </c>
      <c r="M52" s="31">
        <v>0</v>
      </c>
      <c r="N52" s="32">
        <v>0</v>
      </c>
      <c r="O52" s="33">
        <v>0</v>
      </c>
      <c r="P52" s="2" t="s">
        <v>1152</v>
      </c>
    </row>
    <row r="53" spans="2:16" ht="13.8" x14ac:dyDescent="0.2">
      <c r="B53" s="14">
        <v>48</v>
      </c>
      <c r="C53" s="17" t="s">
        <v>1806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3"/>
        <v>0</v>
      </c>
      <c r="L53" s="15">
        <f t="shared" si="4"/>
        <v>0</v>
      </c>
      <c r="M53" s="31">
        <v>0</v>
      </c>
      <c r="N53" s="32">
        <v>0</v>
      </c>
      <c r="O53" s="33">
        <v>0</v>
      </c>
      <c r="P53" s="2" t="s">
        <v>1795</v>
      </c>
    </row>
    <row r="54" spans="2:16" ht="13.8" x14ac:dyDescent="0.2">
      <c r="B54" s="14">
        <v>49</v>
      </c>
      <c r="C54" s="17"/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3"/>
        <v>0</v>
      </c>
      <c r="L54" s="15">
        <f t="shared" si="4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17" t="s">
        <v>194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3"/>
        <v>0</v>
      </c>
      <c r="L55" s="15">
        <f t="shared" si="4"/>
        <v>0</v>
      </c>
      <c r="M55" s="31">
        <v>0</v>
      </c>
      <c r="N55" s="32">
        <v>0</v>
      </c>
      <c r="O55" s="33">
        <v>0</v>
      </c>
      <c r="P55" s="2" t="s">
        <v>1154</v>
      </c>
    </row>
    <row r="56" spans="2:16" ht="13.8" x14ac:dyDescent="0.2">
      <c r="B56" s="14">
        <v>51</v>
      </c>
      <c r="C56" s="17" t="s">
        <v>193</v>
      </c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3"/>
        <v>0</v>
      </c>
      <c r="L56" s="15">
        <f t="shared" si="4"/>
        <v>0</v>
      </c>
      <c r="M56" s="31">
        <v>0</v>
      </c>
      <c r="N56" s="32">
        <v>0</v>
      </c>
      <c r="O56" s="33">
        <v>0</v>
      </c>
      <c r="P56" s="2" t="s">
        <v>1155</v>
      </c>
    </row>
    <row r="57" spans="2:16" ht="13.8" x14ac:dyDescent="0.2">
      <c r="B57" s="14">
        <v>52</v>
      </c>
      <c r="C57" s="17" t="s">
        <v>252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3"/>
        <v>0</v>
      </c>
      <c r="L57" s="15">
        <f t="shared" si="4"/>
        <v>0</v>
      </c>
      <c r="M57" s="31">
        <v>0</v>
      </c>
      <c r="N57" s="32">
        <v>0</v>
      </c>
      <c r="O57" s="33">
        <v>0</v>
      </c>
      <c r="P57" s="2" t="s">
        <v>252</v>
      </c>
    </row>
    <row r="58" spans="2:16" ht="13.8" x14ac:dyDescent="0.2">
      <c r="B58" s="14">
        <v>53</v>
      </c>
      <c r="C58" s="17" t="s">
        <v>195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3"/>
        <v>0</v>
      </c>
      <c r="L58" s="15">
        <f t="shared" si="4"/>
        <v>0</v>
      </c>
      <c r="M58" s="31">
        <v>0</v>
      </c>
      <c r="N58" s="32">
        <v>0</v>
      </c>
      <c r="O58" s="33">
        <v>0</v>
      </c>
      <c r="P58" s="2" t="s">
        <v>1156</v>
      </c>
    </row>
    <row r="59" spans="2:16" ht="13.8" x14ac:dyDescent="0.2">
      <c r="B59" s="14">
        <v>54</v>
      </c>
      <c r="C59" s="17" t="s">
        <v>632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3"/>
        <v>0</v>
      </c>
      <c r="L59" s="15">
        <f t="shared" si="4"/>
        <v>0</v>
      </c>
      <c r="M59" s="31">
        <v>0</v>
      </c>
      <c r="N59" s="32">
        <v>0</v>
      </c>
      <c r="O59" s="33">
        <v>0</v>
      </c>
      <c r="P59" s="2" t="s">
        <v>632</v>
      </c>
    </row>
    <row r="60" spans="2:16" ht="13.8" x14ac:dyDescent="0.2">
      <c r="B60" s="14">
        <v>55</v>
      </c>
      <c r="C60" s="17" t="s">
        <v>196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3"/>
        <v>0</v>
      </c>
      <c r="L60" s="15">
        <f t="shared" si="4"/>
        <v>0</v>
      </c>
      <c r="M60" s="31">
        <v>0</v>
      </c>
      <c r="N60" s="32">
        <v>0</v>
      </c>
      <c r="O60" s="33">
        <v>0</v>
      </c>
      <c r="P60" s="2" t="s">
        <v>1157</v>
      </c>
    </row>
    <row r="61" spans="2:16" ht="13.8" x14ac:dyDescent="0.2">
      <c r="B61" s="14">
        <v>56</v>
      </c>
      <c r="C61" s="17" t="s">
        <v>197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3"/>
        <v>0</v>
      </c>
      <c r="L61" s="15">
        <f t="shared" si="4"/>
        <v>0</v>
      </c>
      <c r="M61" s="31">
        <v>0</v>
      </c>
      <c r="N61" s="32">
        <v>0</v>
      </c>
      <c r="O61" s="33">
        <v>0</v>
      </c>
      <c r="P61" s="2" t="s">
        <v>1158</v>
      </c>
    </row>
    <row r="62" spans="2:16" ht="13.8" x14ac:dyDescent="0.2">
      <c r="B62" s="14">
        <v>57</v>
      </c>
      <c r="C62" s="17" t="s">
        <v>164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3"/>
        <v>0</v>
      </c>
      <c r="L62" s="15">
        <f t="shared" si="4"/>
        <v>0</v>
      </c>
      <c r="M62" s="31">
        <v>0</v>
      </c>
      <c r="N62" s="32">
        <v>0</v>
      </c>
      <c r="O62" s="33">
        <v>0</v>
      </c>
      <c r="P62" s="2" t="s">
        <v>177</v>
      </c>
    </row>
    <row r="63" spans="2:16" ht="13.8" x14ac:dyDescent="0.2">
      <c r="B63" s="14">
        <v>58</v>
      </c>
      <c r="C63" s="17" t="s">
        <v>1807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3"/>
        <v>0</v>
      </c>
      <c r="L63" s="15">
        <f t="shared" si="4"/>
        <v>0</v>
      </c>
      <c r="M63" s="31">
        <v>0</v>
      </c>
      <c r="N63" s="32">
        <v>0</v>
      </c>
      <c r="O63" s="33">
        <v>0</v>
      </c>
      <c r="P63" s="2" t="s">
        <v>1796</v>
      </c>
    </row>
    <row r="64" spans="2:16" ht="13.8" x14ac:dyDescent="0.2">
      <c r="B64" s="14">
        <v>59</v>
      </c>
      <c r="C64" s="17" t="s">
        <v>198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3"/>
        <v>0</v>
      </c>
      <c r="L64" s="15">
        <f t="shared" si="4"/>
        <v>0</v>
      </c>
      <c r="M64" s="31">
        <v>0</v>
      </c>
      <c r="N64" s="32">
        <v>0</v>
      </c>
      <c r="O64" s="33">
        <v>0</v>
      </c>
      <c r="P64" s="2" t="s">
        <v>1159</v>
      </c>
    </row>
    <row r="65" spans="2:16" ht="13.8" x14ac:dyDescent="0.2">
      <c r="B65" s="14">
        <v>60</v>
      </c>
      <c r="C65" s="17"/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3"/>
        <v>0</v>
      </c>
      <c r="L65" s="15">
        <f t="shared" si="4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 t="s">
        <v>137</v>
      </c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3"/>
        <v>0</v>
      </c>
      <c r="L66" s="15">
        <f t="shared" si="4"/>
        <v>0</v>
      </c>
      <c r="M66" s="31">
        <v>0</v>
      </c>
      <c r="N66" s="32">
        <v>0</v>
      </c>
      <c r="O66" s="33">
        <v>0</v>
      </c>
      <c r="P66" s="2" t="s">
        <v>1160</v>
      </c>
    </row>
    <row r="67" spans="2:16" ht="13.8" x14ac:dyDescent="0.2">
      <c r="B67" s="14">
        <v>62</v>
      </c>
      <c r="C67" s="17" t="s">
        <v>251</v>
      </c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3"/>
        <v>0</v>
      </c>
      <c r="L67" s="15">
        <f t="shared" si="4"/>
        <v>0</v>
      </c>
      <c r="M67" s="31">
        <v>0</v>
      </c>
      <c r="N67" s="32">
        <v>0</v>
      </c>
      <c r="O67" s="33">
        <v>0</v>
      </c>
      <c r="P67" s="2" t="s">
        <v>1161</v>
      </c>
    </row>
    <row r="68" spans="2:16" ht="13.8" x14ac:dyDescent="0.2">
      <c r="B68" s="14">
        <v>63</v>
      </c>
      <c r="C68" s="9" t="s">
        <v>1808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3"/>
        <v>0</v>
      </c>
      <c r="L68" s="15">
        <f t="shared" si="4"/>
        <v>0</v>
      </c>
      <c r="M68" s="31">
        <v>0</v>
      </c>
      <c r="N68" s="32">
        <v>0</v>
      </c>
      <c r="O68" s="33">
        <v>0</v>
      </c>
      <c r="P68" s="2" t="s">
        <v>1797</v>
      </c>
    </row>
    <row r="69" spans="2:16" ht="13.8" x14ac:dyDescent="0.2">
      <c r="B69" s="14">
        <v>64</v>
      </c>
      <c r="C69" s="17" t="s">
        <v>199</v>
      </c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6">IFERROR(IF((F69+M69+N69)/(E69+M69+N69+O69)=1,"1.00",(F69+M69+N69)/(E69+M69+N69+O69)),0)</f>
        <v>0</v>
      </c>
      <c r="L69" s="15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1162</v>
      </c>
    </row>
    <row r="70" spans="2:16" ht="13.8" x14ac:dyDescent="0.2">
      <c r="B70" s="14">
        <v>65</v>
      </c>
      <c r="C70" s="9" t="s">
        <v>200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6"/>
        <v>0</v>
      </c>
      <c r="L70" s="15">
        <f t="shared" si="7"/>
        <v>0</v>
      </c>
      <c r="M70" s="31">
        <v>0</v>
      </c>
      <c r="N70" s="32">
        <v>0</v>
      </c>
      <c r="O70" s="33">
        <v>0</v>
      </c>
      <c r="P70" s="2" t="s">
        <v>1163</v>
      </c>
    </row>
    <row r="71" spans="2:16" ht="13.8" x14ac:dyDescent="0.2">
      <c r="B71" s="14">
        <v>66</v>
      </c>
      <c r="C71" s="17" t="s">
        <v>165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6"/>
        <v>0</v>
      </c>
      <c r="L71" s="15">
        <f t="shared" si="7"/>
        <v>0</v>
      </c>
      <c r="M71" s="31">
        <v>0</v>
      </c>
      <c r="N71" s="32">
        <v>0</v>
      </c>
      <c r="O71" s="33">
        <v>0</v>
      </c>
      <c r="P71" s="2" t="s">
        <v>1164</v>
      </c>
    </row>
    <row r="72" spans="2:16" ht="13.8" x14ac:dyDescent="0.2">
      <c r="B72" s="14">
        <v>67</v>
      </c>
      <c r="C72" s="17" t="s">
        <v>201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6"/>
        <v>0</v>
      </c>
      <c r="L72" s="15">
        <f t="shared" si="7"/>
        <v>0</v>
      </c>
      <c r="M72" s="31">
        <v>0</v>
      </c>
      <c r="N72" s="32">
        <v>0</v>
      </c>
      <c r="O72" s="33">
        <v>0</v>
      </c>
      <c r="P72" s="2" t="s">
        <v>1165</v>
      </c>
    </row>
    <row r="73" spans="2:16" ht="13.8" x14ac:dyDescent="0.2">
      <c r="B73" s="14">
        <v>68</v>
      </c>
      <c r="C73" s="17" t="s">
        <v>202</v>
      </c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6"/>
        <v>0</v>
      </c>
      <c r="L73" s="15">
        <f t="shared" si="7"/>
        <v>0</v>
      </c>
      <c r="M73" s="31">
        <v>0</v>
      </c>
      <c r="N73" s="32">
        <v>0</v>
      </c>
      <c r="O73" s="33">
        <v>0</v>
      </c>
      <c r="P73" s="2" t="s">
        <v>1166</v>
      </c>
    </row>
    <row r="74" spans="2:16" ht="13.8" x14ac:dyDescent="0.2">
      <c r="B74" s="14">
        <v>69</v>
      </c>
      <c r="C74" s="17" t="s">
        <v>254</v>
      </c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6"/>
        <v>0</v>
      </c>
      <c r="L74" s="15">
        <f t="shared" si="7"/>
        <v>0</v>
      </c>
      <c r="M74" s="31">
        <v>0</v>
      </c>
      <c r="N74" s="32">
        <v>0</v>
      </c>
      <c r="O74" s="33">
        <v>0</v>
      </c>
      <c r="P74" s="2" t="s">
        <v>1167</v>
      </c>
    </row>
    <row r="75" spans="2:16" ht="13.8" x14ac:dyDescent="0.2">
      <c r="B75" s="14">
        <v>70</v>
      </c>
      <c r="C75" s="8" t="s">
        <v>633</v>
      </c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6"/>
        <v>0</v>
      </c>
      <c r="L75" s="15">
        <f t="shared" si="7"/>
        <v>0</v>
      </c>
      <c r="M75" s="31">
        <v>0</v>
      </c>
      <c r="N75" s="32">
        <v>0</v>
      </c>
      <c r="O75" s="33">
        <v>0</v>
      </c>
      <c r="P75" s="2" t="s">
        <v>1168</v>
      </c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6"/>
        <v>0</v>
      </c>
      <c r="L76" s="15">
        <f t="shared" si="7"/>
        <v>0</v>
      </c>
      <c r="M76" s="31">
        <v>0</v>
      </c>
      <c r="N76" s="32">
        <v>0</v>
      </c>
      <c r="O76" s="33">
        <v>0</v>
      </c>
      <c r="P76" s="2" t="s">
        <v>736</v>
      </c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6"/>
        <v>0</v>
      </c>
      <c r="L77" s="15">
        <f t="shared" si="7"/>
        <v>0</v>
      </c>
      <c r="M77" s="31">
        <v>0</v>
      </c>
      <c r="N77" s="32">
        <v>0</v>
      </c>
      <c r="O77" s="33">
        <v>0</v>
      </c>
      <c r="P77" s="2" t="s">
        <v>736</v>
      </c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6"/>
        <v>0</v>
      </c>
      <c r="L78" s="15">
        <f t="shared" si="7"/>
        <v>0</v>
      </c>
      <c r="M78" s="31">
        <v>0</v>
      </c>
      <c r="N78" s="32">
        <v>0</v>
      </c>
      <c r="O78" s="33">
        <v>0</v>
      </c>
      <c r="P78" s="2" t="s">
        <v>736</v>
      </c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6"/>
        <v>0</v>
      </c>
      <c r="L79" s="15">
        <f t="shared" si="7"/>
        <v>0</v>
      </c>
      <c r="M79" s="31">
        <v>0</v>
      </c>
      <c r="N79" s="32">
        <v>0</v>
      </c>
      <c r="O79" s="33">
        <v>0</v>
      </c>
      <c r="P79" s="2" t="s">
        <v>736</v>
      </c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6"/>
        <v>0</v>
      </c>
      <c r="L80" s="15">
        <f t="shared" si="7"/>
        <v>0</v>
      </c>
      <c r="M80" s="31">
        <v>0</v>
      </c>
      <c r="N80" s="32">
        <v>0</v>
      </c>
      <c r="O80" s="33">
        <v>0</v>
      </c>
      <c r="P80" s="2" t="s">
        <v>736</v>
      </c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6"/>
        <v>0</v>
      </c>
      <c r="L81" s="15">
        <f t="shared" si="7"/>
        <v>0</v>
      </c>
      <c r="M81" s="31">
        <v>0</v>
      </c>
      <c r="N81" s="32">
        <v>0</v>
      </c>
      <c r="O81" s="33">
        <v>0</v>
      </c>
      <c r="P81" s="2" t="s">
        <v>736</v>
      </c>
    </row>
    <row r="82" spans="2:16" ht="13.8" x14ac:dyDescent="0.2">
      <c r="B82" s="14">
        <v>77</v>
      </c>
      <c r="C82" s="17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6"/>
        <v>0</v>
      </c>
      <c r="L82" s="15">
        <f t="shared" si="7"/>
        <v>0</v>
      </c>
      <c r="M82" s="31">
        <v>0</v>
      </c>
      <c r="N82" s="32">
        <v>0</v>
      </c>
      <c r="O82" s="33">
        <v>0</v>
      </c>
      <c r="P82" s="2" t="s">
        <v>736</v>
      </c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6"/>
        <v>0</v>
      </c>
      <c r="L83" s="15">
        <f t="shared" si="7"/>
        <v>0</v>
      </c>
      <c r="M83" s="31">
        <v>0</v>
      </c>
      <c r="N83" s="32">
        <v>0</v>
      </c>
      <c r="O83" s="33">
        <v>0</v>
      </c>
      <c r="P83" s="2" t="s">
        <v>736</v>
      </c>
    </row>
    <row r="84" spans="2:16" ht="13.8" x14ac:dyDescent="0.2">
      <c r="B84" s="14">
        <v>79</v>
      </c>
      <c r="C84" s="9" t="s">
        <v>1810</v>
      </c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6"/>
        <v>0</v>
      </c>
      <c r="L84" s="15">
        <f t="shared" si="7"/>
        <v>0</v>
      </c>
      <c r="M84" s="31">
        <v>0</v>
      </c>
      <c r="N84" s="32">
        <v>0</v>
      </c>
      <c r="O84" s="33">
        <v>0</v>
      </c>
      <c r="P84" s="2" t="s">
        <v>1788</v>
      </c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6"/>
        <v>0</v>
      </c>
      <c r="L85" s="15">
        <f t="shared" si="7"/>
        <v>0</v>
      </c>
      <c r="M85" s="31">
        <v>0</v>
      </c>
      <c r="N85" s="32">
        <v>0</v>
      </c>
      <c r="O85" s="33">
        <v>0</v>
      </c>
      <c r="P85" s="2" t="s">
        <v>736</v>
      </c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6"/>
        <v>0</v>
      </c>
      <c r="L86" s="15">
        <f t="shared" si="7"/>
        <v>0</v>
      </c>
      <c r="M86" s="31">
        <v>0</v>
      </c>
      <c r="N86" s="32">
        <v>0</v>
      </c>
      <c r="O86" s="33">
        <v>0</v>
      </c>
      <c r="P86" s="2" t="s">
        <v>736</v>
      </c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6"/>
        <v>0</v>
      </c>
      <c r="L87" s="15">
        <f t="shared" si="7"/>
        <v>0</v>
      </c>
      <c r="M87" s="31">
        <v>0</v>
      </c>
      <c r="N87" s="32">
        <v>0</v>
      </c>
      <c r="O87" s="33">
        <v>0</v>
      </c>
      <c r="P87" s="2" t="s">
        <v>736</v>
      </c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6"/>
        <v>0</v>
      </c>
      <c r="L88" s="15">
        <f t="shared" si="7"/>
        <v>0</v>
      </c>
      <c r="M88" s="31">
        <v>0</v>
      </c>
      <c r="N88" s="32">
        <v>0</v>
      </c>
      <c r="O88" s="33">
        <v>0</v>
      </c>
      <c r="P88" s="2" t="s">
        <v>736</v>
      </c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6"/>
        <v>0</v>
      </c>
      <c r="L89" s="15">
        <f t="shared" si="7"/>
        <v>0</v>
      </c>
      <c r="M89" s="31">
        <v>0</v>
      </c>
      <c r="N89" s="32">
        <v>0</v>
      </c>
      <c r="O89" s="33">
        <v>0</v>
      </c>
      <c r="P89" s="2" t="s">
        <v>736</v>
      </c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6"/>
        <v>0</v>
      </c>
      <c r="L90" s="15">
        <f t="shared" si="7"/>
        <v>0</v>
      </c>
      <c r="M90" s="31">
        <v>0</v>
      </c>
      <c r="N90" s="32">
        <v>0</v>
      </c>
      <c r="O90" s="33">
        <v>0</v>
      </c>
      <c r="P90" s="2" t="s">
        <v>736</v>
      </c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6"/>
        <v>0</v>
      </c>
      <c r="L91" s="15">
        <f t="shared" si="7"/>
        <v>0</v>
      </c>
      <c r="M91" s="31">
        <v>0</v>
      </c>
      <c r="N91" s="32">
        <v>0</v>
      </c>
      <c r="O91" s="33">
        <v>0</v>
      </c>
      <c r="P91" s="2" t="s">
        <v>736</v>
      </c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6"/>
        <v>0</v>
      </c>
      <c r="L92" s="15">
        <f t="shared" si="7"/>
        <v>0</v>
      </c>
      <c r="M92" s="31">
        <v>0</v>
      </c>
      <c r="N92" s="32">
        <v>0</v>
      </c>
      <c r="O92" s="33">
        <v>0</v>
      </c>
      <c r="P92" s="2" t="s">
        <v>736</v>
      </c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6"/>
        <v>0</v>
      </c>
      <c r="L93" s="15">
        <f t="shared" si="7"/>
        <v>0</v>
      </c>
      <c r="M93" s="31">
        <v>0</v>
      </c>
      <c r="N93" s="32">
        <v>0</v>
      </c>
      <c r="O93" s="33">
        <v>0</v>
      </c>
      <c r="P93" s="2" t="s">
        <v>736</v>
      </c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6"/>
        <v>0</v>
      </c>
      <c r="L94" s="15">
        <f t="shared" si="7"/>
        <v>0</v>
      </c>
      <c r="M94" s="31">
        <v>0</v>
      </c>
      <c r="N94" s="32">
        <v>0</v>
      </c>
      <c r="O94" s="33">
        <v>0</v>
      </c>
      <c r="P94" s="2" t="s">
        <v>736</v>
      </c>
    </row>
    <row r="95" spans="2:16" ht="13.8" x14ac:dyDescent="0.2">
      <c r="B95" s="14">
        <v>90</v>
      </c>
      <c r="C95" s="17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6"/>
        <v>0</v>
      </c>
      <c r="L95" s="15">
        <f t="shared" si="7"/>
        <v>0</v>
      </c>
      <c r="M95" s="31">
        <v>0</v>
      </c>
      <c r="N95" s="32">
        <v>0</v>
      </c>
      <c r="O95" s="33">
        <v>0</v>
      </c>
      <c r="P95" s="2" t="s">
        <v>736</v>
      </c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6"/>
        <v>0</v>
      </c>
      <c r="L96" s="15">
        <f t="shared" si="7"/>
        <v>0</v>
      </c>
      <c r="M96" s="31">
        <v>0</v>
      </c>
      <c r="N96" s="32">
        <v>0</v>
      </c>
      <c r="O96" s="33">
        <v>0</v>
      </c>
      <c r="P96" s="2" t="s">
        <v>736</v>
      </c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6"/>
        <v>0</v>
      </c>
      <c r="L97" s="15">
        <f t="shared" si="7"/>
        <v>0</v>
      </c>
      <c r="M97" s="31">
        <v>0</v>
      </c>
      <c r="N97" s="32">
        <v>0</v>
      </c>
      <c r="O97" s="33">
        <v>0</v>
      </c>
      <c r="P97" s="2" t="s">
        <v>736</v>
      </c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6"/>
        <v>0</v>
      </c>
      <c r="L98" s="15">
        <f t="shared" si="7"/>
        <v>0</v>
      </c>
      <c r="M98" s="31">
        <v>0</v>
      </c>
      <c r="N98" s="32">
        <v>0</v>
      </c>
      <c r="O98" s="33">
        <v>0</v>
      </c>
      <c r="P98" s="2" t="s">
        <v>736</v>
      </c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6"/>
        <v>0</v>
      </c>
      <c r="L99" s="15">
        <f t="shared" si="7"/>
        <v>0</v>
      </c>
      <c r="M99" s="31">
        <v>0</v>
      </c>
      <c r="N99" s="32">
        <v>0</v>
      </c>
      <c r="O99" s="33">
        <v>0</v>
      </c>
      <c r="P99" s="2" t="s">
        <v>736</v>
      </c>
    </row>
    <row r="100" spans="2:16" ht="13.8" x14ac:dyDescent="0.2">
      <c r="B100" s="14">
        <v>95</v>
      </c>
      <c r="C100" s="17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6"/>
        <v>0</v>
      </c>
      <c r="L100" s="15">
        <f t="shared" si="7"/>
        <v>0</v>
      </c>
      <c r="M100" s="31">
        <v>0</v>
      </c>
      <c r="N100" s="32">
        <v>0</v>
      </c>
      <c r="O100" s="33">
        <v>0</v>
      </c>
      <c r="P100" s="2" t="s">
        <v>736</v>
      </c>
    </row>
    <row r="101" spans="2:16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6"/>
        <v>0</v>
      </c>
      <c r="L101" s="15">
        <f t="shared" si="7"/>
        <v>0</v>
      </c>
      <c r="M101" s="31">
        <v>0</v>
      </c>
      <c r="N101" s="32">
        <v>0</v>
      </c>
      <c r="O101" s="33">
        <v>0</v>
      </c>
      <c r="P101" s="2" t="s">
        <v>736</v>
      </c>
    </row>
    <row r="102" spans="2:16" ht="13.8" x14ac:dyDescent="0.2">
      <c r="B102" s="14">
        <v>97</v>
      </c>
      <c r="C102" s="8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6"/>
        <v>0</v>
      </c>
      <c r="L102" s="15">
        <f t="shared" si="7"/>
        <v>0</v>
      </c>
      <c r="M102" s="31">
        <v>0</v>
      </c>
      <c r="N102" s="32">
        <v>0</v>
      </c>
      <c r="O102" s="33">
        <v>0</v>
      </c>
      <c r="P102" s="2" t="s">
        <v>736</v>
      </c>
    </row>
    <row r="103" spans="2:16" ht="13.8" x14ac:dyDescent="0.2">
      <c r="B103" s="14">
        <v>98</v>
      </c>
      <c r="C103" s="8"/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6"/>
        <v>0</v>
      </c>
      <c r="L103" s="15">
        <f t="shared" si="7"/>
        <v>0</v>
      </c>
      <c r="M103" s="31">
        <v>0</v>
      </c>
      <c r="N103" s="32">
        <v>0</v>
      </c>
      <c r="O103" s="33">
        <v>0</v>
      </c>
      <c r="P103" s="2" t="s">
        <v>736</v>
      </c>
    </row>
    <row r="104" spans="2:16" ht="13.8" x14ac:dyDescent="0.2">
      <c r="B104" s="14">
        <v>99</v>
      </c>
      <c r="C104" s="9" t="s">
        <v>253</v>
      </c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6"/>
        <v>0</v>
      </c>
      <c r="L104" s="15">
        <f t="shared" si="7"/>
        <v>0</v>
      </c>
      <c r="M104" s="31">
        <v>0</v>
      </c>
      <c r="N104" s="32">
        <v>0</v>
      </c>
      <c r="O104" s="33">
        <v>0</v>
      </c>
      <c r="P104" s="2" t="s">
        <v>1169</v>
      </c>
    </row>
    <row r="105" spans="2:16" ht="13.8" x14ac:dyDescent="0.2">
      <c r="B105" s="14" t="s">
        <v>552</v>
      </c>
      <c r="C105" s="18" t="s">
        <v>1826</v>
      </c>
      <c r="D105" s="15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6"/>
        <v>0</v>
      </c>
      <c r="L105" s="15">
        <f t="shared" si="7"/>
        <v>0</v>
      </c>
      <c r="M105" s="31">
        <v>0</v>
      </c>
      <c r="N105" s="32">
        <v>0</v>
      </c>
      <c r="O105" s="33">
        <v>0</v>
      </c>
      <c r="P105" s="2" t="s">
        <v>1756</v>
      </c>
    </row>
    <row r="106" spans="2:16" ht="13.8" x14ac:dyDescent="0.2">
      <c r="B106" s="14" t="s">
        <v>553</v>
      </c>
      <c r="C106" s="9" t="s">
        <v>634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6"/>
        <v>0</v>
      </c>
      <c r="L106" s="15">
        <f t="shared" si="7"/>
        <v>0</v>
      </c>
      <c r="M106" s="31">
        <v>0</v>
      </c>
      <c r="N106" s="32">
        <v>0</v>
      </c>
      <c r="O106" s="33">
        <v>0</v>
      </c>
      <c r="P106" s="2" t="s">
        <v>1757</v>
      </c>
    </row>
    <row r="107" spans="2:16" ht="13.8" x14ac:dyDescent="0.2">
      <c r="B107" s="14" t="s">
        <v>554</v>
      </c>
      <c r="C107" s="9" t="s">
        <v>1811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6"/>
        <v>0</v>
      </c>
      <c r="L107" s="15">
        <f t="shared" si="7"/>
        <v>0</v>
      </c>
      <c r="M107" s="31">
        <v>0</v>
      </c>
      <c r="N107" s="32">
        <v>0</v>
      </c>
      <c r="O107" s="33">
        <v>0</v>
      </c>
      <c r="P107" s="2" t="s">
        <v>1758</v>
      </c>
    </row>
    <row r="108" spans="2:16" ht="13.8" x14ac:dyDescent="0.2">
      <c r="B108" s="14" t="s">
        <v>555</v>
      </c>
      <c r="C108" s="9" t="s">
        <v>635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6"/>
        <v>0</v>
      </c>
      <c r="L108" s="15">
        <f t="shared" si="7"/>
        <v>0</v>
      </c>
      <c r="M108" s="31">
        <v>0</v>
      </c>
      <c r="N108" s="32">
        <v>0</v>
      </c>
      <c r="O108" s="33">
        <v>0</v>
      </c>
      <c r="P108" s="2" t="s">
        <v>1759</v>
      </c>
    </row>
    <row r="109" spans="2:16" ht="13.8" x14ac:dyDescent="0.2">
      <c r="B109" s="14" t="s">
        <v>556</v>
      </c>
      <c r="C109" s="9" t="s">
        <v>636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6"/>
        <v>0</v>
      </c>
      <c r="L109" s="15">
        <f t="shared" si="7"/>
        <v>0</v>
      </c>
      <c r="M109" s="31">
        <v>0</v>
      </c>
      <c r="N109" s="32">
        <v>0</v>
      </c>
      <c r="O109" s="33">
        <v>0</v>
      </c>
      <c r="P109" s="2" t="s">
        <v>1760</v>
      </c>
    </row>
    <row r="110" spans="2:16" ht="13.8" x14ac:dyDescent="0.2">
      <c r="B110" s="14" t="s">
        <v>557</v>
      </c>
      <c r="C110" s="9" t="s">
        <v>637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6"/>
        <v>0</v>
      </c>
      <c r="L110" s="15">
        <f t="shared" si="7"/>
        <v>0</v>
      </c>
      <c r="M110" s="31">
        <v>0</v>
      </c>
      <c r="N110" s="32">
        <v>0</v>
      </c>
      <c r="O110" s="33">
        <v>0</v>
      </c>
      <c r="P110" s="2" t="s">
        <v>1761</v>
      </c>
    </row>
    <row r="111" spans="2:16" ht="13.8" x14ac:dyDescent="0.2">
      <c r="B111" s="14" t="s">
        <v>558</v>
      </c>
      <c r="C111" s="9" t="s">
        <v>638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6"/>
        <v>0</v>
      </c>
      <c r="L111" s="15">
        <f t="shared" si="7"/>
        <v>0</v>
      </c>
      <c r="M111" s="31">
        <v>0</v>
      </c>
      <c r="N111" s="32">
        <v>0</v>
      </c>
      <c r="O111" s="33">
        <v>0</v>
      </c>
      <c r="P111" s="2" t="s">
        <v>1762</v>
      </c>
    </row>
    <row r="112" spans="2:16" ht="13.8" x14ac:dyDescent="0.2">
      <c r="B112" s="14" t="s">
        <v>559</v>
      </c>
      <c r="C112" s="9" t="s">
        <v>639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6"/>
        <v>0</v>
      </c>
      <c r="L112" s="15">
        <f t="shared" si="7"/>
        <v>0</v>
      </c>
      <c r="M112" s="31">
        <v>0</v>
      </c>
      <c r="N112" s="32">
        <v>0</v>
      </c>
      <c r="O112" s="33">
        <v>0</v>
      </c>
      <c r="P112" s="2" t="s">
        <v>1763</v>
      </c>
    </row>
    <row r="113" spans="2:16" ht="13.8" x14ac:dyDescent="0.2">
      <c r="B113" s="14" t="s">
        <v>560</v>
      </c>
      <c r="C113" s="9" t="s">
        <v>640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6"/>
        <v>0</v>
      </c>
      <c r="L113" s="15">
        <f t="shared" si="7"/>
        <v>0</v>
      </c>
      <c r="M113" s="31">
        <v>0</v>
      </c>
      <c r="N113" s="32">
        <v>0</v>
      </c>
      <c r="O113" s="33">
        <v>0</v>
      </c>
      <c r="P113" s="2" t="s">
        <v>1764</v>
      </c>
    </row>
    <row r="114" spans="2:16" ht="13.8" x14ac:dyDescent="0.2">
      <c r="B114" s="14" t="s">
        <v>561</v>
      </c>
      <c r="C114" s="9" t="s">
        <v>641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6"/>
        <v>0</v>
      </c>
      <c r="L114" s="15">
        <f t="shared" si="7"/>
        <v>0</v>
      </c>
      <c r="M114" s="31">
        <v>0</v>
      </c>
      <c r="N114" s="32">
        <v>0</v>
      </c>
      <c r="O114" s="33">
        <v>0</v>
      </c>
      <c r="P114" s="2" t="s">
        <v>1765</v>
      </c>
    </row>
    <row r="115" spans="2:16" ht="13.8" x14ac:dyDescent="0.2">
      <c r="B115" s="14" t="s">
        <v>562</v>
      </c>
      <c r="C115" s="9" t="s">
        <v>642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6"/>
        <v>0</v>
      </c>
      <c r="L115" s="15">
        <f t="shared" si="7"/>
        <v>0</v>
      </c>
      <c r="M115" s="31">
        <v>0</v>
      </c>
      <c r="N115" s="32">
        <v>0</v>
      </c>
      <c r="O115" s="33">
        <v>0</v>
      </c>
      <c r="P115" s="2" t="s">
        <v>1766</v>
      </c>
    </row>
    <row r="116" spans="2:16" ht="13.8" x14ac:dyDescent="0.2">
      <c r="B116" s="14" t="s">
        <v>563</v>
      </c>
      <c r="C116" s="9" t="s">
        <v>643</v>
      </c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6"/>
        <v>0</v>
      </c>
      <c r="L116" s="15">
        <f t="shared" si="7"/>
        <v>0</v>
      </c>
      <c r="M116" s="31">
        <v>0</v>
      </c>
      <c r="N116" s="32">
        <v>0</v>
      </c>
      <c r="O116" s="33">
        <v>0</v>
      </c>
      <c r="P116" s="2" t="s">
        <v>1767</v>
      </c>
    </row>
    <row r="117" spans="2:16" ht="13.8" x14ac:dyDescent="0.2">
      <c r="B117" s="14" t="s">
        <v>644</v>
      </c>
      <c r="C117" s="9" t="s">
        <v>1812</v>
      </c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6"/>
        <v>0</v>
      </c>
      <c r="L117" s="15">
        <f t="shared" si="7"/>
        <v>0</v>
      </c>
      <c r="M117" s="31">
        <v>0</v>
      </c>
      <c r="N117" s="32">
        <v>0</v>
      </c>
      <c r="O117" s="33">
        <v>0</v>
      </c>
      <c r="P117" s="2" t="s">
        <v>1768</v>
      </c>
    </row>
    <row r="118" spans="2:16" ht="13.8" x14ac:dyDescent="0.2">
      <c r="B118" s="14" t="s">
        <v>645</v>
      </c>
      <c r="C118" s="9" t="s">
        <v>646</v>
      </c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6"/>
        <v>0</v>
      </c>
      <c r="L118" s="15">
        <f t="shared" si="7"/>
        <v>0</v>
      </c>
      <c r="M118" s="31">
        <v>0</v>
      </c>
      <c r="N118" s="32">
        <v>0</v>
      </c>
      <c r="O118" s="33">
        <v>0</v>
      </c>
      <c r="P118" s="2" t="s">
        <v>1769</v>
      </c>
    </row>
    <row r="119" spans="2:16" ht="13.8" x14ac:dyDescent="0.2">
      <c r="B119" s="14" t="s">
        <v>647</v>
      </c>
      <c r="C119" s="9" t="s">
        <v>648</v>
      </c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6"/>
        <v>0</v>
      </c>
      <c r="L119" s="15">
        <f t="shared" si="7"/>
        <v>0</v>
      </c>
      <c r="M119" s="31">
        <v>0</v>
      </c>
      <c r="N119" s="32">
        <v>0</v>
      </c>
      <c r="O119" s="33">
        <v>0</v>
      </c>
      <c r="P119" s="2" t="s">
        <v>1770</v>
      </c>
    </row>
    <row r="120" spans="2:16" ht="13.8" x14ac:dyDescent="0.2">
      <c r="B120" s="14" t="s">
        <v>649</v>
      </c>
      <c r="C120" s="9" t="s">
        <v>1813</v>
      </c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6"/>
        <v>0</v>
      </c>
      <c r="L120" s="15">
        <f t="shared" si="7"/>
        <v>0</v>
      </c>
      <c r="M120" s="31">
        <v>0</v>
      </c>
      <c r="N120" s="32">
        <v>0</v>
      </c>
      <c r="O120" s="33">
        <v>0</v>
      </c>
      <c r="P120" s="2" t="s">
        <v>1742</v>
      </c>
    </row>
    <row r="121" spans="2:16" ht="13.8" x14ac:dyDescent="0.2">
      <c r="B121" s="14" t="s">
        <v>650</v>
      </c>
      <c r="C121" s="9" t="s">
        <v>651</v>
      </c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6"/>
        <v>0</v>
      </c>
      <c r="L121" s="15">
        <f t="shared" si="7"/>
        <v>0</v>
      </c>
      <c r="M121" s="31">
        <v>0</v>
      </c>
      <c r="N121" s="32">
        <v>0</v>
      </c>
      <c r="O121" s="33">
        <v>0</v>
      </c>
      <c r="P121" s="2" t="s">
        <v>1771</v>
      </c>
    </row>
    <row r="122" spans="2:16" ht="13.8" x14ac:dyDescent="0.2">
      <c r="B122" s="14" t="s">
        <v>652</v>
      </c>
      <c r="C122" s="9" t="s">
        <v>653</v>
      </c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6"/>
        <v>0</v>
      </c>
      <c r="L122" s="15">
        <f t="shared" si="7"/>
        <v>0</v>
      </c>
      <c r="M122" s="31">
        <v>0</v>
      </c>
      <c r="N122" s="32">
        <v>0</v>
      </c>
      <c r="O122" s="33">
        <v>0</v>
      </c>
      <c r="P122" s="2" t="s">
        <v>1772</v>
      </c>
    </row>
    <row r="123" spans="2:16" ht="13.8" x14ac:dyDescent="0.2">
      <c r="B123" s="14" t="s">
        <v>654</v>
      </c>
      <c r="C123" s="9" t="s">
        <v>655</v>
      </c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6"/>
        <v>0</v>
      </c>
      <c r="L123" s="15">
        <f t="shared" si="7"/>
        <v>0</v>
      </c>
      <c r="M123" s="31">
        <v>0</v>
      </c>
      <c r="N123" s="32">
        <v>0</v>
      </c>
      <c r="O123" s="33">
        <v>0</v>
      </c>
      <c r="P123" s="2" t="s">
        <v>1773</v>
      </c>
    </row>
    <row r="124" spans="2:16" ht="13.8" x14ac:dyDescent="0.2">
      <c r="B124" s="14" t="s">
        <v>656</v>
      </c>
      <c r="C124" s="9" t="s">
        <v>1814</v>
      </c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6"/>
        <v>0</v>
      </c>
      <c r="L124" s="15">
        <f t="shared" si="7"/>
        <v>0</v>
      </c>
      <c r="M124" s="31">
        <v>0</v>
      </c>
      <c r="N124" s="32">
        <v>0</v>
      </c>
      <c r="O124" s="33">
        <v>0</v>
      </c>
      <c r="P124" s="2" t="s">
        <v>1774</v>
      </c>
    </row>
    <row r="125" spans="2:16" ht="13.8" x14ac:dyDescent="0.2">
      <c r="B125" s="14" t="s">
        <v>657</v>
      </c>
      <c r="C125" s="9" t="s">
        <v>1815</v>
      </c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6"/>
        <v>0</v>
      </c>
      <c r="L125" s="15">
        <f t="shared" si="7"/>
        <v>0</v>
      </c>
      <c r="M125" s="31">
        <v>0</v>
      </c>
      <c r="N125" s="32">
        <v>0</v>
      </c>
      <c r="O125" s="33">
        <v>0</v>
      </c>
      <c r="P125" s="2" t="s">
        <v>1775</v>
      </c>
    </row>
    <row r="126" spans="2:16" ht="13.8" x14ac:dyDescent="0.2">
      <c r="B126" s="14" t="s">
        <v>658</v>
      </c>
      <c r="C126" s="9" t="s">
        <v>1816</v>
      </c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6"/>
        <v>0</v>
      </c>
      <c r="L126" s="15">
        <f t="shared" si="7"/>
        <v>0</v>
      </c>
      <c r="M126" s="31">
        <v>0</v>
      </c>
      <c r="N126" s="32">
        <v>0</v>
      </c>
      <c r="O126" s="33">
        <v>0</v>
      </c>
      <c r="P126" s="2" t="s">
        <v>1743</v>
      </c>
    </row>
    <row r="127" spans="2:16" ht="13.8" x14ac:dyDescent="0.2">
      <c r="B127" s="14" t="s">
        <v>659</v>
      </c>
      <c r="C127" s="9" t="s">
        <v>660</v>
      </c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6"/>
        <v>0</v>
      </c>
      <c r="L127" s="15">
        <f t="shared" si="7"/>
        <v>0</v>
      </c>
      <c r="M127" s="31">
        <v>0</v>
      </c>
      <c r="N127" s="32">
        <v>0</v>
      </c>
      <c r="O127" s="33">
        <v>0</v>
      </c>
      <c r="P127" s="2" t="s">
        <v>1776</v>
      </c>
    </row>
    <row r="128" spans="2:16" ht="13.8" x14ac:dyDescent="0.2">
      <c r="B128" s="14" t="s">
        <v>661</v>
      </c>
      <c r="C128" s="9" t="s">
        <v>607</v>
      </c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6"/>
        <v>0</v>
      </c>
      <c r="L128" s="15">
        <f t="shared" si="7"/>
        <v>0</v>
      </c>
      <c r="M128" s="31">
        <v>0</v>
      </c>
      <c r="N128" s="32">
        <v>0</v>
      </c>
      <c r="O128" s="33">
        <v>0</v>
      </c>
      <c r="P128" s="2" t="s">
        <v>1777</v>
      </c>
    </row>
    <row r="129" spans="2:16" ht="13.8" x14ac:dyDescent="0.2">
      <c r="B129" s="14" t="s">
        <v>662</v>
      </c>
      <c r="C129" s="9" t="s">
        <v>1817</v>
      </c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6"/>
        <v>0</v>
      </c>
      <c r="L129" s="15">
        <f t="shared" si="7"/>
        <v>0</v>
      </c>
      <c r="M129" s="31">
        <v>0</v>
      </c>
      <c r="N129" s="32">
        <v>0</v>
      </c>
      <c r="O129" s="33">
        <v>0</v>
      </c>
      <c r="P129" s="2" t="s">
        <v>1744</v>
      </c>
    </row>
    <row r="130" spans="2:16" ht="13.8" x14ac:dyDescent="0.2">
      <c r="B130" s="14" t="s">
        <v>1745</v>
      </c>
      <c r="C130" s="9" t="s">
        <v>1818</v>
      </c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6"/>
        <v>0</v>
      </c>
      <c r="L130" s="15">
        <f t="shared" si="7"/>
        <v>0</v>
      </c>
      <c r="M130" s="31">
        <v>0</v>
      </c>
      <c r="N130" s="32">
        <v>0</v>
      </c>
      <c r="O130" s="33">
        <v>0</v>
      </c>
      <c r="P130" s="2" t="s">
        <v>1778</v>
      </c>
    </row>
    <row r="131" spans="2:16" ht="13.8" x14ac:dyDescent="0.2">
      <c r="B131" s="14" t="s">
        <v>1746</v>
      </c>
      <c r="C131" s="9" t="s">
        <v>1747</v>
      </c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6"/>
        <v>0</v>
      </c>
      <c r="L131" s="15">
        <f t="shared" si="7"/>
        <v>0</v>
      </c>
      <c r="M131" s="31">
        <v>0</v>
      </c>
      <c r="N131" s="32">
        <v>0</v>
      </c>
      <c r="O131" s="33">
        <v>0</v>
      </c>
      <c r="P131" s="2" t="s">
        <v>1747</v>
      </c>
    </row>
    <row r="132" spans="2:16" ht="13.8" x14ac:dyDescent="0.2">
      <c r="B132" s="14" t="s">
        <v>1748</v>
      </c>
      <c r="C132" s="9" t="s">
        <v>1822</v>
      </c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6"/>
        <v>0</v>
      </c>
      <c r="L132" s="15">
        <f t="shared" si="7"/>
        <v>0</v>
      </c>
      <c r="M132" s="31">
        <v>0</v>
      </c>
      <c r="N132" s="32">
        <v>0</v>
      </c>
      <c r="O132" s="33">
        <v>0</v>
      </c>
      <c r="P132" s="2" t="s">
        <v>1779</v>
      </c>
    </row>
    <row r="133" spans="2:16" ht="13.8" x14ac:dyDescent="0.2">
      <c r="B133" s="14" t="s">
        <v>1749</v>
      </c>
      <c r="C133" s="9" t="s">
        <v>1820</v>
      </c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40" si="8">IFERROR(IF((F133+M133+N133)/(E133+M133+N133+O133)=1,"1.00",(F133+M133+N133)/(E133+M133+N133+O133)),0)</f>
        <v>0</v>
      </c>
      <c r="L133" s="15">
        <f t="shared" ref="L133:L140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1780</v>
      </c>
    </row>
    <row r="134" spans="2:16" ht="13.8" x14ac:dyDescent="0.2">
      <c r="B134" s="14" t="s">
        <v>1750</v>
      </c>
      <c r="C134" s="9" t="s">
        <v>1819</v>
      </c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8"/>
        <v>0</v>
      </c>
      <c r="L134" s="15">
        <f t="shared" si="9"/>
        <v>0</v>
      </c>
      <c r="M134" s="31">
        <v>0</v>
      </c>
      <c r="N134" s="32">
        <v>0</v>
      </c>
      <c r="O134" s="33">
        <v>0</v>
      </c>
      <c r="P134" s="2" t="s">
        <v>1781</v>
      </c>
    </row>
    <row r="135" spans="2:16" ht="13.8" x14ac:dyDescent="0.2">
      <c r="B135" s="14" t="s">
        <v>679</v>
      </c>
      <c r="C135" s="9" t="s">
        <v>1821</v>
      </c>
      <c r="D135" s="15">
        <f t="shared" ref="D135:D140" si="10">IFERROR(IF(F135/E135=1,"1.00",F135/E135),0)</f>
        <v>0</v>
      </c>
      <c r="E135" s="5">
        <v>0</v>
      </c>
      <c r="F135" s="16">
        <v>0</v>
      </c>
      <c r="G135" s="16">
        <v>0</v>
      </c>
      <c r="H135" s="16">
        <v>0</v>
      </c>
      <c r="I135" s="6">
        <v>0</v>
      </c>
      <c r="J135" s="7">
        <v>0</v>
      </c>
      <c r="K135" s="15">
        <f t="shared" si="8"/>
        <v>0</v>
      </c>
      <c r="L135" s="15">
        <f t="shared" si="9"/>
        <v>0</v>
      </c>
      <c r="M135" s="31">
        <v>0</v>
      </c>
      <c r="N135" s="32">
        <v>0</v>
      </c>
      <c r="O135" s="33">
        <v>0</v>
      </c>
      <c r="P135" s="2" t="s">
        <v>1782</v>
      </c>
    </row>
    <row r="136" spans="2:16" ht="13.8" x14ac:dyDescent="0.2">
      <c r="B136" s="14" t="s">
        <v>1751</v>
      </c>
      <c r="C136" s="9" t="s">
        <v>1823</v>
      </c>
      <c r="D136" s="15">
        <f t="shared" si="10"/>
        <v>0</v>
      </c>
      <c r="E136" s="5">
        <v>0</v>
      </c>
      <c r="F136" s="16">
        <v>0</v>
      </c>
      <c r="G136" s="16">
        <v>0</v>
      </c>
      <c r="H136" s="16">
        <v>0</v>
      </c>
      <c r="I136" s="6">
        <v>0</v>
      </c>
      <c r="J136" s="7">
        <v>0</v>
      </c>
      <c r="K136" s="15">
        <f t="shared" si="8"/>
        <v>0</v>
      </c>
      <c r="L136" s="15">
        <f t="shared" si="9"/>
        <v>0</v>
      </c>
      <c r="M136" s="31">
        <v>0</v>
      </c>
      <c r="N136" s="32">
        <v>0</v>
      </c>
      <c r="O136" s="33">
        <v>0</v>
      </c>
      <c r="P136" s="2" t="s">
        <v>1783</v>
      </c>
    </row>
    <row r="137" spans="2:16" ht="13.8" x14ac:dyDescent="0.2">
      <c r="B137" s="14" t="s">
        <v>1752</v>
      </c>
      <c r="C137" s="9" t="s">
        <v>1824</v>
      </c>
      <c r="D137" s="15">
        <f t="shared" si="10"/>
        <v>0</v>
      </c>
      <c r="E137" s="5">
        <v>0</v>
      </c>
      <c r="F137" s="16">
        <v>0</v>
      </c>
      <c r="G137" s="16">
        <v>0</v>
      </c>
      <c r="H137" s="16">
        <v>0</v>
      </c>
      <c r="I137" s="6">
        <v>0</v>
      </c>
      <c r="J137" s="7">
        <v>0</v>
      </c>
      <c r="K137" s="15">
        <f t="shared" si="8"/>
        <v>0</v>
      </c>
      <c r="L137" s="15">
        <f t="shared" si="9"/>
        <v>0</v>
      </c>
      <c r="M137" s="31">
        <v>0</v>
      </c>
      <c r="N137" s="32">
        <v>0</v>
      </c>
      <c r="O137" s="33">
        <v>0</v>
      </c>
      <c r="P137" s="2" t="s">
        <v>1784</v>
      </c>
    </row>
    <row r="138" spans="2:16" ht="13.8" x14ac:dyDescent="0.2">
      <c r="B138" s="14" t="s">
        <v>1753</v>
      </c>
      <c r="C138" s="9" t="s">
        <v>1825</v>
      </c>
      <c r="D138" s="15">
        <f t="shared" si="10"/>
        <v>0</v>
      </c>
      <c r="E138" s="5">
        <v>0</v>
      </c>
      <c r="F138" s="16">
        <v>0</v>
      </c>
      <c r="G138" s="16">
        <v>0</v>
      </c>
      <c r="H138" s="16">
        <v>0</v>
      </c>
      <c r="I138" s="6">
        <v>0</v>
      </c>
      <c r="J138" s="7">
        <v>0</v>
      </c>
      <c r="K138" s="15">
        <f t="shared" si="8"/>
        <v>0</v>
      </c>
      <c r="L138" s="15">
        <f t="shared" si="9"/>
        <v>0</v>
      </c>
      <c r="M138" s="31">
        <v>0</v>
      </c>
      <c r="N138" s="32">
        <v>0</v>
      </c>
      <c r="O138" s="33">
        <v>0</v>
      </c>
      <c r="P138" s="2" t="s">
        <v>1785</v>
      </c>
    </row>
    <row r="139" spans="2:16" ht="13.8" x14ac:dyDescent="0.2">
      <c r="B139" s="14" t="s">
        <v>1754</v>
      </c>
      <c r="C139" s="9" t="s">
        <v>1827</v>
      </c>
      <c r="D139" s="15">
        <f t="shared" si="10"/>
        <v>0</v>
      </c>
      <c r="E139" s="5">
        <v>0</v>
      </c>
      <c r="F139" s="16">
        <v>0</v>
      </c>
      <c r="G139" s="16">
        <v>0</v>
      </c>
      <c r="H139" s="16">
        <v>0</v>
      </c>
      <c r="I139" s="6">
        <v>0</v>
      </c>
      <c r="J139" s="7">
        <v>0</v>
      </c>
      <c r="K139" s="15">
        <f t="shared" si="8"/>
        <v>0</v>
      </c>
      <c r="L139" s="15">
        <f t="shared" si="9"/>
        <v>0</v>
      </c>
      <c r="M139" s="31">
        <v>0</v>
      </c>
      <c r="N139" s="32">
        <v>0</v>
      </c>
      <c r="O139" s="33">
        <v>0</v>
      </c>
      <c r="P139" s="2" t="s">
        <v>1786</v>
      </c>
    </row>
    <row r="140" spans="2:16" ht="13.8" x14ac:dyDescent="0.2">
      <c r="B140" s="14" t="s">
        <v>1755</v>
      </c>
      <c r="C140" s="9" t="s">
        <v>1828</v>
      </c>
      <c r="D140" s="15">
        <f t="shared" si="10"/>
        <v>0</v>
      </c>
      <c r="E140" s="5">
        <v>0</v>
      </c>
      <c r="F140" s="16">
        <v>0</v>
      </c>
      <c r="G140" s="16">
        <v>0</v>
      </c>
      <c r="H140" s="16">
        <v>0</v>
      </c>
      <c r="I140" s="6">
        <v>0</v>
      </c>
      <c r="J140" s="7">
        <v>0</v>
      </c>
      <c r="K140" s="15">
        <f t="shared" si="8"/>
        <v>0</v>
      </c>
      <c r="L140" s="15">
        <f t="shared" si="9"/>
        <v>0</v>
      </c>
      <c r="M140" s="31">
        <v>0</v>
      </c>
      <c r="N140" s="32">
        <v>0</v>
      </c>
      <c r="O140" s="33">
        <v>0</v>
      </c>
      <c r="P140" s="2" t="s">
        <v>1787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T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89"/>
      <c r="C2" s="89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0" t="s">
        <v>323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938</v>
      </c>
      <c r="H3" s="17" t="s">
        <v>939</v>
      </c>
      <c r="I3" s="22" t="s">
        <v>2</v>
      </c>
      <c r="J3" s="23" t="s">
        <v>3</v>
      </c>
      <c r="K3" s="30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91"/>
    </row>
    <row r="4" spans="2:20" ht="13.8" x14ac:dyDescent="0.2">
      <c r="B4" s="14" t="s">
        <v>425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736</v>
      </c>
    </row>
    <row r="5" spans="2:20" ht="13.8" x14ac:dyDescent="0.2">
      <c r="B5" s="14">
        <v>0</v>
      </c>
      <c r="C5" s="17"/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736</v>
      </c>
    </row>
    <row r="6" spans="2:20" ht="13.8" x14ac:dyDescent="0.2">
      <c r="B6" s="14">
        <v>1</v>
      </c>
      <c r="C6" s="17" t="s">
        <v>204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1078</v>
      </c>
      <c r="Q6" s="40" t="s">
        <v>1829</v>
      </c>
      <c r="R6" t="s">
        <v>1830</v>
      </c>
      <c r="S6" t="s">
        <v>1831</v>
      </c>
    </row>
    <row r="7" spans="2:20" ht="13.8" x14ac:dyDescent="0.2">
      <c r="B7" s="14">
        <v>2</v>
      </c>
      <c r="C7" s="17" t="s">
        <v>308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1079</v>
      </c>
      <c r="Q7" s="40" t="s">
        <v>434</v>
      </c>
      <c r="R7" t="s">
        <v>1832</v>
      </c>
      <c r="S7" t="s">
        <v>1833</v>
      </c>
    </row>
    <row r="8" spans="2:20" ht="13.8" x14ac:dyDescent="0.2">
      <c r="B8" s="14">
        <v>3</v>
      </c>
      <c r="C8" s="17" t="s">
        <v>309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1080</v>
      </c>
      <c r="Q8" s="40" t="s">
        <v>435</v>
      </c>
      <c r="R8" t="s">
        <v>1834</v>
      </c>
      <c r="S8" t="s">
        <v>1835</v>
      </c>
    </row>
    <row r="9" spans="2:20" ht="13.8" x14ac:dyDescent="0.2">
      <c r="B9" s="14">
        <v>4</v>
      </c>
      <c r="C9" s="9" t="s">
        <v>310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1081</v>
      </c>
      <c r="Q9" s="40" t="s">
        <v>436</v>
      </c>
      <c r="R9" t="s">
        <v>1834</v>
      </c>
      <c r="S9" t="s">
        <v>1836</v>
      </c>
    </row>
    <row r="10" spans="2:20" ht="13.8" x14ac:dyDescent="0.2">
      <c r="B10" s="14">
        <v>5</v>
      </c>
      <c r="C10" s="17" t="s">
        <v>205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1082</v>
      </c>
      <c r="Q10" s="40" t="s">
        <v>437</v>
      </c>
      <c r="R10" t="s">
        <v>1834</v>
      </c>
      <c r="S10" t="s">
        <v>1837</v>
      </c>
    </row>
    <row r="11" spans="2:20" ht="13.8" x14ac:dyDescent="0.2">
      <c r="B11" s="14">
        <v>6</v>
      </c>
      <c r="C11" s="17" t="s">
        <v>203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1083</v>
      </c>
      <c r="Q11" s="40" t="s">
        <v>438</v>
      </c>
      <c r="R11" t="s">
        <v>1834</v>
      </c>
      <c r="S11" t="s">
        <v>1838</v>
      </c>
      <c r="T11" t="s">
        <v>1839</v>
      </c>
    </row>
    <row r="12" spans="2:20" ht="13.8" x14ac:dyDescent="0.2">
      <c r="B12" s="14">
        <v>7</v>
      </c>
      <c r="C12" s="17" t="s">
        <v>166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1084</v>
      </c>
      <c r="Q12" s="40" t="s">
        <v>439</v>
      </c>
      <c r="R12" t="s">
        <v>1830</v>
      </c>
      <c r="S12" t="s">
        <v>1840</v>
      </c>
    </row>
    <row r="13" spans="2:20" ht="13.8" x14ac:dyDescent="0.2">
      <c r="B13" s="14">
        <v>8</v>
      </c>
      <c r="C13" s="17" t="s">
        <v>663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1085</v>
      </c>
      <c r="Q13" s="40" t="s">
        <v>440</v>
      </c>
      <c r="R13" t="s">
        <v>1834</v>
      </c>
      <c r="S13" t="s">
        <v>1841</v>
      </c>
    </row>
    <row r="14" spans="2:20" ht="13.8" x14ac:dyDescent="0.2">
      <c r="B14" s="14">
        <v>9</v>
      </c>
      <c r="C14" s="17"/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/>
    </row>
    <row r="15" spans="2:20" ht="13.8" x14ac:dyDescent="0.2">
      <c r="B15" s="14">
        <v>10</v>
      </c>
      <c r="C15" s="17" t="s">
        <v>161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1086</v>
      </c>
      <c r="Q15" s="40" t="s">
        <v>442</v>
      </c>
      <c r="R15" t="s">
        <v>1832</v>
      </c>
      <c r="S15" t="s">
        <v>1842</v>
      </c>
    </row>
    <row r="16" spans="2:20" ht="13.8" x14ac:dyDescent="0.2">
      <c r="B16" s="14">
        <v>11</v>
      </c>
      <c r="C16" s="17" t="s">
        <v>206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1087</v>
      </c>
      <c r="Q16" s="40" t="s">
        <v>443</v>
      </c>
      <c r="R16" t="s">
        <v>1843</v>
      </c>
      <c r="S16" t="s">
        <v>1844</v>
      </c>
    </row>
    <row r="17" spans="2:20" ht="13.8" x14ac:dyDescent="0.2">
      <c r="B17" s="14">
        <v>12</v>
      </c>
      <c r="C17" s="17" t="s">
        <v>311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306</v>
      </c>
      <c r="Q17" s="40" t="s">
        <v>444</v>
      </c>
      <c r="R17" t="s">
        <v>1843</v>
      </c>
      <c r="S17" t="s">
        <v>1845</v>
      </c>
    </row>
    <row r="18" spans="2:20" ht="13.8" x14ac:dyDescent="0.2">
      <c r="B18" s="14">
        <v>13</v>
      </c>
      <c r="C18" s="17" t="s">
        <v>167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17" t="s">
        <v>1088</v>
      </c>
      <c r="Q18" s="40" t="s">
        <v>445</v>
      </c>
      <c r="R18" t="s">
        <v>1843</v>
      </c>
      <c r="S18" t="s">
        <v>1846</v>
      </c>
      <c r="T18" t="s">
        <v>1847</v>
      </c>
    </row>
    <row r="19" spans="2:20" ht="13.8" x14ac:dyDescent="0.2">
      <c r="B19" s="14">
        <v>14</v>
      </c>
      <c r="C19" s="17" t="s">
        <v>190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1089</v>
      </c>
      <c r="Q19" s="40" t="s">
        <v>446</v>
      </c>
      <c r="R19" t="s">
        <v>1843</v>
      </c>
      <c r="S19" t="s">
        <v>1848</v>
      </c>
    </row>
    <row r="20" spans="2:20" ht="13.8" x14ac:dyDescent="0.2">
      <c r="B20" s="14">
        <v>15</v>
      </c>
      <c r="C20" s="17" t="s">
        <v>312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1090</v>
      </c>
      <c r="Q20" s="40" t="s">
        <v>447</v>
      </c>
      <c r="R20" t="s">
        <v>1843</v>
      </c>
      <c r="S20" t="s">
        <v>1849</v>
      </c>
    </row>
    <row r="21" spans="2:20" ht="13.8" x14ac:dyDescent="0.2">
      <c r="B21" s="14">
        <v>16</v>
      </c>
      <c r="C21" s="17" t="s">
        <v>2006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1998</v>
      </c>
      <c r="Q21" s="40" t="s">
        <v>448</v>
      </c>
      <c r="R21" t="s">
        <v>1843</v>
      </c>
      <c r="S21" t="s">
        <v>1850</v>
      </c>
    </row>
    <row r="22" spans="2:20" ht="13.8" x14ac:dyDescent="0.2">
      <c r="B22" s="14">
        <v>17</v>
      </c>
      <c r="C22" s="17" t="s">
        <v>141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1091</v>
      </c>
      <c r="Q22" s="40" t="s">
        <v>449</v>
      </c>
      <c r="R22" t="s">
        <v>1843</v>
      </c>
      <c r="S22" t="s">
        <v>1851</v>
      </c>
    </row>
    <row r="23" spans="2:20" ht="13.8" x14ac:dyDescent="0.2">
      <c r="B23" s="14">
        <v>18</v>
      </c>
      <c r="C23" s="17"/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736</v>
      </c>
    </row>
    <row r="24" spans="2:20" ht="13.8" x14ac:dyDescent="0.2">
      <c r="B24" s="14">
        <v>19</v>
      </c>
      <c r="C24" s="17" t="s">
        <v>2007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1999</v>
      </c>
      <c r="Q24" s="40" t="s">
        <v>451</v>
      </c>
      <c r="R24" t="s">
        <v>1843</v>
      </c>
      <c r="S24" t="s">
        <v>1852</v>
      </c>
    </row>
    <row r="25" spans="2:20" ht="13.8" x14ac:dyDescent="0.2">
      <c r="B25" s="14">
        <v>20</v>
      </c>
      <c r="C25" s="17" t="s">
        <v>313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1092</v>
      </c>
      <c r="Q25" s="40" t="s">
        <v>452</v>
      </c>
      <c r="R25" t="s">
        <v>1843</v>
      </c>
      <c r="S25" t="s">
        <v>1853</v>
      </c>
    </row>
    <row r="26" spans="2:20" ht="13.8" x14ac:dyDescent="0.2">
      <c r="B26" s="14">
        <v>21</v>
      </c>
      <c r="C26" s="17" t="s">
        <v>207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1093</v>
      </c>
      <c r="Q26" s="40" t="s">
        <v>453</v>
      </c>
      <c r="R26" t="s">
        <v>1843</v>
      </c>
      <c r="S26" t="s">
        <v>1854</v>
      </c>
    </row>
    <row r="27" spans="2:20" ht="13.8" x14ac:dyDescent="0.2">
      <c r="B27" s="14">
        <v>22</v>
      </c>
      <c r="C27" s="17" t="s">
        <v>2008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2001</v>
      </c>
      <c r="Q27" s="40" t="s">
        <v>454</v>
      </c>
      <c r="R27" t="s">
        <v>1832</v>
      </c>
      <c r="S27" t="s">
        <v>1855</v>
      </c>
    </row>
    <row r="28" spans="2:20" ht="13.8" x14ac:dyDescent="0.2">
      <c r="B28" s="14">
        <v>23</v>
      </c>
      <c r="C28" s="17" t="s">
        <v>2009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2000</v>
      </c>
      <c r="Q28" s="40" t="s">
        <v>455</v>
      </c>
      <c r="R28" t="s">
        <v>1843</v>
      </c>
      <c r="S28" t="s">
        <v>1856</v>
      </c>
    </row>
    <row r="29" spans="2:20" ht="13.8" x14ac:dyDescent="0.2">
      <c r="B29" s="14">
        <v>24</v>
      </c>
      <c r="C29" s="3"/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736</v>
      </c>
      <c r="Q29" s="40" t="s">
        <v>456</v>
      </c>
      <c r="R29" t="s">
        <v>1857</v>
      </c>
      <c r="S29" t="s">
        <v>1858</v>
      </c>
    </row>
    <row r="30" spans="2:20" ht="13.8" x14ac:dyDescent="0.2">
      <c r="B30" s="14">
        <v>25</v>
      </c>
      <c r="C30" s="17" t="s">
        <v>56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1094</v>
      </c>
      <c r="Q30" s="40" t="s">
        <v>457</v>
      </c>
      <c r="R30" t="s">
        <v>1843</v>
      </c>
      <c r="S30" t="s">
        <v>1859</v>
      </c>
    </row>
    <row r="31" spans="2:20" ht="13.8" x14ac:dyDescent="0.2">
      <c r="B31" s="14">
        <v>26</v>
      </c>
      <c r="C31" s="17" t="s">
        <v>664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893</v>
      </c>
      <c r="Q31" s="40" t="s">
        <v>458</v>
      </c>
      <c r="R31" t="s">
        <v>1843</v>
      </c>
      <c r="S31" t="s">
        <v>1860</v>
      </c>
    </row>
    <row r="32" spans="2:20" ht="13.8" x14ac:dyDescent="0.2">
      <c r="B32" s="14">
        <v>27</v>
      </c>
      <c r="C32" s="17" t="s">
        <v>314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1095</v>
      </c>
      <c r="Q32" s="40" t="s">
        <v>459</v>
      </c>
      <c r="R32" t="s">
        <v>1843</v>
      </c>
      <c r="S32" t="s">
        <v>1861</v>
      </c>
      <c r="T32" t="s">
        <v>1862</v>
      </c>
    </row>
    <row r="33" spans="2:19" ht="13.8" x14ac:dyDescent="0.2">
      <c r="B33" s="14">
        <v>28</v>
      </c>
      <c r="C33" s="17" t="s">
        <v>315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1096</v>
      </c>
      <c r="Q33" s="40" t="s">
        <v>460</v>
      </c>
      <c r="R33" t="s">
        <v>1843</v>
      </c>
      <c r="S33" t="s">
        <v>1863</v>
      </c>
    </row>
    <row r="34" spans="2:19" ht="13.8" x14ac:dyDescent="0.2">
      <c r="B34" s="14">
        <v>29</v>
      </c>
      <c r="C34" s="17"/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/>
    </row>
    <row r="35" spans="2:19" ht="13.8" x14ac:dyDescent="0.2">
      <c r="B35" s="14">
        <v>30</v>
      </c>
      <c r="C35" s="17" t="s">
        <v>2010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1864</v>
      </c>
      <c r="Q35" s="40" t="s">
        <v>462</v>
      </c>
      <c r="R35" t="s">
        <v>1830</v>
      </c>
      <c r="S35" t="s">
        <v>1864</v>
      </c>
    </row>
    <row r="36" spans="2:19" ht="13.8" x14ac:dyDescent="0.2">
      <c r="B36" s="14">
        <v>31</v>
      </c>
      <c r="C36" s="17" t="s">
        <v>2011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2002</v>
      </c>
      <c r="Q36" s="40" t="s">
        <v>463</v>
      </c>
      <c r="R36" t="s">
        <v>1834</v>
      </c>
      <c r="S36" t="s">
        <v>1865</v>
      </c>
    </row>
    <row r="37" spans="2:19" ht="13.8" x14ac:dyDescent="0.2">
      <c r="B37" s="14">
        <v>32</v>
      </c>
      <c r="C37" s="17" t="s">
        <v>665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1097</v>
      </c>
      <c r="Q37" s="40" t="s">
        <v>464</v>
      </c>
      <c r="R37" t="s">
        <v>1834</v>
      </c>
      <c r="S37" t="s">
        <v>1866</v>
      </c>
    </row>
    <row r="38" spans="2:19" ht="13.8" x14ac:dyDescent="0.2">
      <c r="B38" s="14">
        <v>33</v>
      </c>
      <c r="C38" s="17" t="s">
        <v>2012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1867</v>
      </c>
      <c r="Q38" s="40" t="s">
        <v>465</v>
      </c>
      <c r="R38" t="s">
        <v>1834</v>
      </c>
      <c r="S38" t="s">
        <v>1867</v>
      </c>
    </row>
    <row r="39" spans="2:19" ht="13.8" x14ac:dyDescent="0.2">
      <c r="B39" s="14">
        <v>34</v>
      </c>
      <c r="C39" s="17" t="s">
        <v>76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1098</v>
      </c>
      <c r="Q39" s="40" t="s">
        <v>466</v>
      </c>
      <c r="R39" t="s">
        <v>1843</v>
      </c>
      <c r="S39" t="s">
        <v>1868</v>
      </c>
    </row>
    <row r="40" spans="2:19" ht="13.8" x14ac:dyDescent="0.2">
      <c r="B40" s="14">
        <v>35</v>
      </c>
      <c r="C40" s="17" t="s">
        <v>666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1099</v>
      </c>
      <c r="Q40" s="40" t="s">
        <v>467</v>
      </c>
      <c r="R40" t="s">
        <v>1830</v>
      </c>
      <c r="S40" t="s">
        <v>1869</v>
      </c>
    </row>
    <row r="41" spans="2:19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9" ht="13.8" x14ac:dyDescent="0.2">
      <c r="B42" s="14">
        <v>37</v>
      </c>
      <c r="C42" s="17" t="s">
        <v>316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1100</v>
      </c>
      <c r="Q42" s="40" t="s">
        <v>469</v>
      </c>
      <c r="R42" t="s">
        <v>1832</v>
      </c>
      <c r="S42" t="s">
        <v>1870</v>
      </c>
    </row>
    <row r="43" spans="2:19" ht="13.8" x14ac:dyDescent="0.2">
      <c r="B43" s="14">
        <v>38</v>
      </c>
      <c r="C43" s="17" t="s">
        <v>317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1101</v>
      </c>
      <c r="Q43" s="40" t="s">
        <v>470</v>
      </c>
      <c r="R43" t="s">
        <v>1832</v>
      </c>
      <c r="S43" t="s">
        <v>1871</v>
      </c>
    </row>
    <row r="44" spans="2:19" ht="13.8" x14ac:dyDescent="0.2">
      <c r="B44" s="14">
        <v>39</v>
      </c>
      <c r="C44" s="17" t="s">
        <v>168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1102</v>
      </c>
      <c r="Q44" s="40" t="s">
        <v>471</v>
      </c>
      <c r="R44" t="s">
        <v>1834</v>
      </c>
      <c r="S44" t="s">
        <v>1872</v>
      </c>
    </row>
    <row r="45" spans="2:19" ht="13.8" x14ac:dyDescent="0.2">
      <c r="B45" s="14">
        <v>40</v>
      </c>
      <c r="C45" s="17" t="s">
        <v>83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307</v>
      </c>
      <c r="Q45" s="40" t="s">
        <v>472</v>
      </c>
      <c r="R45" t="s">
        <v>1843</v>
      </c>
      <c r="S45" t="s">
        <v>1873</v>
      </c>
    </row>
    <row r="46" spans="2:19" ht="13.8" x14ac:dyDescent="0.2">
      <c r="B46" s="14">
        <v>41</v>
      </c>
      <c r="C46" s="17" t="s">
        <v>219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1103</v>
      </c>
      <c r="Q46" s="40" t="s">
        <v>473</v>
      </c>
      <c r="R46" t="s">
        <v>1843</v>
      </c>
      <c r="S46" t="s">
        <v>1874</v>
      </c>
    </row>
    <row r="47" spans="2:19" ht="13.8" x14ac:dyDescent="0.2">
      <c r="B47" s="14">
        <v>42</v>
      </c>
      <c r="C47" s="8" t="s">
        <v>1875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1875</v>
      </c>
      <c r="Q47" s="40" t="s">
        <v>474</v>
      </c>
      <c r="R47" t="s">
        <v>1843</v>
      </c>
      <c r="S47" t="s">
        <v>1875</v>
      </c>
    </row>
    <row r="48" spans="2:19" ht="13.8" x14ac:dyDescent="0.2">
      <c r="B48" s="14">
        <v>43</v>
      </c>
      <c r="C48" s="17" t="s">
        <v>2013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2003</v>
      </c>
      <c r="Q48" s="40" t="s">
        <v>475</v>
      </c>
      <c r="R48" t="s">
        <v>1843</v>
      </c>
      <c r="S48" t="s">
        <v>1876</v>
      </c>
    </row>
    <row r="49" spans="2:19" ht="13.8" x14ac:dyDescent="0.2">
      <c r="B49" s="14">
        <v>44</v>
      </c>
      <c r="C49" s="17" t="s">
        <v>318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1104</v>
      </c>
      <c r="Q49" s="40" t="s">
        <v>476</v>
      </c>
      <c r="R49" t="s">
        <v>1843</v>
      </c>
      <c r="S49" t="s">
        <v>1877</v>
      </c>
    </row>
    <row r="50" spans="2:19" ht="13.8" x14ac:dyDescent="0.2">
      <c r="B50" s="14">
        <v>45</v>
      </c>
      <c r="C50" s="17" t="s">
        <v>300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1105</v>
      </c>
      <c r="Q50" s="40" t="s">
        <v>477</v>
      </c>
      <c r="R50" t="s">
        <v>1843</v>
      </c>
      <c r="S50" t="s">
        <v>1878</v>
      </c>
    </row>
    <row r="51" spans="2:19" ht="13.8" x14ac:dyDescent="0.2">
      <c r="B51" s="14">
        <v>46</v>
      </c>
      <c r="C51" s="17" t="s">
        <v>301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1106</v>
      </c>
      <c r="Q51" s="40" t="s">
        <v>478</v>
      </c>
      <c r="R51" t="s">
        <v>1830</v>
      </c>
      <c r="S51" t="s">
        <v>1879</v>
      </c>
    </row>
    <row r="52" spans="2:19" ht="13.8" x14ac:dyDescent="0.2">
      <c r="B52" s="14">
        <v>47</v>
      </c>
      <c r="C52" s="17" t="s">
        <v>319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1107</v>
      </c>
      <c r="Q52" s="40" t="s">
        <v>479</v>
      </c>
      <c r="R52" t="s">
        <v>1843</v>
      </c>
      <c r="S52" t="s">
        <v>1880</v>
      </c>
    </row>
    <row r="53" spans="2:19" ht="13.8" x14ac:dyDescent="0.2">
      <c r="B53" s="14">
        <v>48</v>
      </c>
      <c r="C53" s="17" t="s">
        <v>302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1108</v>
      </c>
      <c r="Q53" s="40" t="s">
        <v>480</v>
      </c>
      <c r="R53" t="s">
        <v>1843</v>
      </c>
      <c r="S53" t="s">
        <v>1881</v>
      </c>
    </row>
    <row r="54" spans="2:19" ht="13.8" x14ac:dyDescent="0.2">
      <c r="B54" s="14">
        <v>49</v>
      </c>
      <c r="C54" s="17" t="s">
        <v>667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667</v>
      </c>
      <c r="Q54" s="40" t="s">
        <v>481</v>
      </c>
      <c r="R54" t="s">
        <v>1834</v>
      </c>
      <c r="S54" t="s">
        <v>667</v>
      </c>
    </row>
    <row r="55" spans="2:19" ht="13.8" x14ac:dyDescent="0.2">
      <c r="B55" s="14">
        <v>50</v>
      </c>
      <c r="C55" s="17" t="s">
        <v>138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2004</v>
      </c>
      <c r="Q55" s="40" t="s">
        <v>482</v>
      </c>
      <c r="R55" t="s">
        <v>1834</v>
      </c>
      <c r="S55" t="s">
        <v>1882</v>
      </c>
    </row>
    <row r="56" spans="2:19" ht="13.8" x14ac:dyDescent="0.2">
      <c r="B56" s="14">
        <v>51</v>
      </c>
      <c r="C56" s="17" t="s">
        <v>14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1109</v>
      </c>
      <c r="Q56" s="40" t="s">
        <v>483</v>
      </c>
      <c r="R56" t="s">
        <v>1830</v>
      </c>
      <c r="S56" t="s">
        <v>1883</v>
      </c>
    </row>
    <row r="57" spans="2:19" ht="13.8" x14ac:dyDescent="0.2">
      <c r="B57" s="14">
        <v>52</v>
      </c>
      <c r="C57" s="17" t="s">
        <v>38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1110</v>
      </c>
      <c r="Q57" s="40" t="s">
        <v>484</v>
      </c>
      <c r="R57" t="s">
        <v>1834</v>
      </c>
      <c r="S57" t="s">
        <v>1884</v>
      </c>
    </row>
    <row r="58" spans="2:19" ht="13.8" x14ac:dyDescent="0.2">
      <c r="B58" s="14">
        <v>53</v>
      </c>
      <c r="C58" s="17" t="s">
        <v>304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303</v>
      </c>
      <c r="Q58" s="40" t="s">
        <v>485</v>
      </c>
      <c r="R58" t="s">
        <v>1830</v>
      </c>
      <c r="S58" t="s">
        <v>303</v>
      </c>
    </row>
    <row r="59" spans="2:19" ht="13.8" x14ac:dyDescent="0.2">
      <c r="B59" s="14">
        <v>54</v>
      </c>
      <c r="C59" s="17" t="s">
        <v>2014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1885</v>
      </c>
      <c r="Q59" s="40" t="s">
        <v>486</v>
      </c>
      <c r="R59" t="s">
        <v>1843</v>
      </c>
      <c r="S59" t="s">
        <v>1885</v>
      </c>
    </row>
    <row r="60" spans="2:19" ht="13.8" x14ac:dyDescent="0.2">
      <c r="B60" s="14">
        <v>55</v>
      </c>
      <c r="C60" s="17"/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736</v>
      </c>
    </row>
    <row r="61" spans="2:19" ht="13.8" x14ac:dyDescent="0.2">
      <c r="B61" s="14">
        <v>56</v>
      </c>
      <c r="C61" s="17" t="s">
        <v>320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1111</v>
      </c>
      <c r="Q61" s="40" t="s">
        <v>488</v>
      </c>
      <c r="R61" t="s">
        <v>1834</v>
      </c>
      <c r="S61" t="s">
        <v>1886</v>
      </c>
    </row>
    <row r="62" spans="2:19" ht="13.8" x14ac:dyDescent="0.2">
      <c r="B62" s="14">
        <v>57</v>
      </c>
      <c r="C62" s="17" t="s">
        <v>2015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2005</v>
      </c>
      <c r="Q62" s="40" t="s">
        <v>489</v>
      </c>
      <c r="R62" t="s">
        <v>1843</v>
      </c>
      <c r="S62" t="s">
        <v>1887</v>
      </c>
    </row>
    <row r="63" spans="2:19" ht="13.8" x14ac:dyDescent="0.2">
      <c r="B63" s="14">
        <v>58</v>
      </c>
      <c r="C63" s="17" t="s">
        <v>305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1112</v>
      </c>
      <c r="Q63" s="40" t="s">
        <v>490</v>
      </c>
      <c r="R63" t="s">
        <v>1830</v>
      </c>
      <c r="S63" t="s">
        <v>1888</v>
      </c>
    </row>
    <row r="64" spans="2:19" ht="13.8" x14ac:dyDescent="0.2">
      <c r="B64" s="14">
        <v>59</v>
      </c>
      <c r="C64" s="17" t="s">
        <v>668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1113</v>
      </c>
      <c r="Q64" s="40" t="s">
        <v>491</v>
      </c>
      <c r="R64" t="s">
        <v>1843</v>
      </c>
      <c r="S64" t="s">
        <v>1889</v>
      </c>
    </row>
    <row r="65" spans="2:20" ht="13.8" x14ac:dyDescent="0.2">
      <c r="B65" s="14">
        <v>60</v>
      </c>
      <c r="C65" s="17" t="s">
        <v>53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1114</v>
      </c>
      <c r="Q65" s="40" t="s">
        <v>492</v>
      </c>
      <c r="R65" t="s">
        <v>1834</v>
      </c>
      <c r="S65" t="s">
        <v>1890</v>
      </c>
    </row>
    <row r="66" spans="2:20" ht="13.8" x14ac:dyDescent="0.2">
      <c r="B66" s="14">
        <v>61</v>
      </c>
      <c r="C66" s="17" t="s">
        <v>81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1115</v>
      </c>
      <c r="Q66" s="40" t="s">
        <v>493</v>
      </c>
      <c r="R66" t="s">
        <v>1843</v>
      </c>
      <c r="S66" t="s">
        <v>1891</v>
      </c>
    </row>
    <row r="67" spans="2:20" ht="13.8" x14ac:dyDescent="0.2">
      <c r="B67" s="14">
        <v>62</v>
      </c>
      <c r="C67" s="17"/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/>
    </row>
    <row r="68" spans="2:20" ht="13.8" x14ac:dyDescent="0.2">
      <c r="B68" s="14">
        <v>63</v>
      </c>
      <c r="C68" s="9"/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/>
    </row>
    <row r="69" spans="2:20" ht="13.8" x14ac:dyDescent="0.2">
      <c r="B69" s="14">
        <v>64</v>
      </c>
      <c r="C69" s="17"/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/>
    </row>
    <row r="70" spans="2:20" ht="13.8" x14ac:dyDescent="0.2">
      <c r="B70" s="14">
        <v>65</v>
      </c>
      <c r="C70" s="9" t="s">
        <v>321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1116</v>
      </c>
      <c r="Q70" s="40" t="s">
        <v>497</v>
      </c>
      <c r="R70" t="s">
        <v>1830</v>
      </c>
      <c r="S70" t="s">
        <v>1892</v>
      </c>
    </row>
    <row r="71" spans="2:20" ht="13.8" x14ac:dyDescent="0.2">
      <c r="B71" s="14">
        <v>66</v>
      </c>
      <c r="C71" s="17" t="s">
        <v>669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670</v>
      </c>
      <c r="Q71" s="40" t="s">
        <v>498</v>
      </c>
      <c r="R71" t="s">
        <v>1830</v>
      </c>
      <c r="S71" t="s">
        <v>1893</v>
      </c>
    </row>
    <row r="72" spans="2:20" ht="13.8" x14ac:dyDescent="0.2">
      <c r="B72" s="14">
        <v>67</v>
      </c>
      <c r="C72" s="17"/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/>
    </row>
    <row r="73" spans="2:20" ht="13.8" x14ac:dyDescent="0.2">
      <c r="B73" s="14">
        <v>68</v>
      </c>
      <c r="C73" s="17" t="s">
        <v>322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1117</v>
      </c>
      <c r="Q73" s="40" t="s">
        <v>500</v>
      </c>
      <c r="R73" t="s">
        <v>1830</v>
      </c>
      <c r="S73" t="s">
        <v>1894</v>
      </c>
    </row>
    <row r="74" spans="2:20" ht="13.8" x14ac:dyDescent="0.2">
      <c r="B74" s="14">
        <v>69</v>
      </c>
      <c r="C74" s="17" t="s">
        <v>1324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1325</v>
      </c>
      <c r="Q74" s="40" t="s">
        <v>501</v>
      </c>
      <c r="R74" t="s">
        <v>1843</v>
      </c>
      <c r="S74" t="s">
        <v>1895</v>
      </c>
    </row>
    <row r="75" spans="2:20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 t="s">
        <v>736</v>
      </c>
      <c r="Q75" s="40" t="s">
        <v>502</v>
      </c>
      <c r="R75" t="s">
        <v>1896</v>
      </c>
      <c r="S75" t="s">
        <v>1897</v>
      </c>
      <c r="T75" t="s">
        <v>1898</v>
      </c>
    </row>
    <row r="76" spans="2:20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 t="s">
        <v>736</v>
      </c>
      <c r="Q76" s="40" t="s">
        <v>503</v>
      </c>
      <c r="R76" t="s">
        <v>1899</v>
      </c>
      <c r="S76" t="s">
        <v>1900</v>
      </c>
      <c r="T76" t="s">
        <v>1901</v>
      </c>
    </row>
    <row r="77" spans="2:20" ht="13.8" x14ac:dyDescent="0.2">
      <c r="B77" s="14">
        <v>72</v>
      </c>
      <c r="C77" s="8" t="s">
        <v>671</v>
      </c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 t="s">
        <v>1118</v>
      </c>
      <c r="Q77" s="40" t="s">
        <v>504</v>
      </c>
      <c r="R77" t="s">
        <v>1830</v>
      </c>
      <c r="S77" t="s">
        <v>1902</v>
      </c>
    </row>
    <row r="78" spans="2:20" ht="13.8" x14ac:dyDescent="0.2">
      <c r="B78" s="14">
        <v>73</v>
      </c>
      <c r="C78" s="9" t="s">
        <v>120</v>
      </c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 t="s">
        <v>1119</v>
      </c>
      <c r="Q78" s="40" t="s">
        <v>505</v>
      </c>
      <c r="R78" t="s">
        <v>1830</v>
      </c>
      <c r="S78" t="s">
        <v>1903</v>
      </c>
    </row>
    <row r="79" spans="2:20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 t="s">
        <v>736</v>
      </c>
      <c r="Q79" s="40" t="s">
        <v>506</v>
      </c>
      <c r="R79" t="s">
        <v>1904</v>
      </c>
      <c r="S79" t="s">
        <v>1905</v>
      </c>
    </row>
    <row r="80" spans="2:20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 t="s">
        <v>736</v>
      </c>
      <c r="Q80" s="40" t="s">
        <v>507</v>
      </c>
      <c r="R80" t="s">
        <v>1843</v>
      </c>
      <c r="S80" t="s">
        <v>1906</v>
      </c>
    </row>
    <row r="81" spans="2:20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 t="s">
        <v>736</v>
      </c>
      <c r="Q81" s="40" t="s">
        <v>508</v>
      </c>
      <c r="R81" t="s">
        <v>1899</v>
      </c>
      <c r="S81" t="s">
        <v>1907</v>
      </c>
      <c r="T81" t="s">
        <v>1908</v>
      </c>
    </row>
    <row r="82" spans="2:20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 t="s">
        <v>736</v>
      </c>
      <c r="Q82" s="40" t="s">
        <v>509</v>
      </c>
      <c r="R82" t="s">
        <v>1896</v>
      </c>
      <c r="S82" t="s">
        <v>1909</v>
      </c>
      <c r="T82" t="s">
        <v>1910</v>
      </c>
    </row>
    <row r="83" spans="2:20" ht="13.8" x14ac:dyDescent="0.2">
      <c r="B83" s="14">
        <v>78</v>
      </c>
      <c r="C83" s="17" t="s">
        <v>672</v>
      </c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 t="s">
        <v>1120</v>
      </c>
      <c r="Q83" s="40" t="s">
        <v>510</v>
      </c>
      <c r="R83" t="s">
        <v>1832</v>
      </c>
      <c r="S83" t="s">
        <v>1911</v>
      </c>
    </row>
    <row r="84" spans="2:20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736</v>
      </c>
      <c r="Q84" s="40" t="s">
        <v>511</v>
      </c>
      <c r="R84" t="s">
        <v>1899</v>
      </c>
      <c r="S84" t="s">
        <v>1912</v>
      </c>
      <c r="T84" t="s">
        <v>1913</v>
      </c>
    </row>
    <row r="85" spans="2:20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 t="s">
        <v>736</v>
      </c>
      <c r="Q85" s="40" t="s">
        <v>512</v>
      </c>
      <c r="R85" t="s">
        <v>1899</v>
      </c>
      <c r="S85" t="s">
        <v>1914</v>
      </c>
      <c r="T85" t="s">
        <v>1915</v>
      </c>
    </row>
    <row r="86" spans="2:20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 t="s">
        <v>736</v>
      </c>
      <c r="Q86" s="40" t="s">
        <v>513</v>
      </c>
      <c r="R86" t="s">
        <v>1896</v>
      </c>
      <c r="S86" t="s">
        <v>1916</v>
      </c>
      <c r="T86" t="s">
        <v>1917</v>
      </c>
    </row>
    <row r="87" spans="2:20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 t="s">
        <v>736</v>
      </c>
      <c r="Q87" s="40" t="s">
        <v>514</v>
      </c>
      <c r="R87" t="s">
        <v>1896</v>
      </c>
      <c r="S87" t="s">
        <v>1918</v>
      </c>
      <c r="T87" t="s">
        <v>1919</v>
      </c>
    </row>
    <row r="88" spans="2:20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 t="s">
        <v>736</v>
      </c>
      <c r="Q88" s="40" t="s">
        <v>515</v>
      </c>
      <c r="R88" t="s">
        <v>1896</v>
      </c>
      <c r="S88" t="s">
        <v>1920</v>
      </c>
      <c r="T88" t="s">
        <v>1921</v>
      </c>
    </row>
    <row r="89" spans="2:20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 t="s">
        <v>736</v>
      </c>
      <c r="Q89" s="40" t="s">
        <v>517</v>
      </c>
      <c r="R89" t="s">
        <v>1922</v>
      </c>
      <c r="S89" t="s">
        <v>1923</v>
      </c>
    </row>
    <row r="90" spans="2:20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 t="s">
        <v>736</v>
      </c>
      <c r="Q90" s="40" t="s">
        <v>518</v>
      </c>
      <c r="R90" t="s">
        <v>1899</v>
      </c>
      <c r="S90" t="s">
        <v>1924</v>
      </c>
      <c r="T90" t="s">
        <v>1898</v>
      </c>
    </row>
    <row r="91" spans="2:20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 t="s">
        <v>736</v>
      </c>
      <c r="Q91" s="40" t="s">
        <v>519</v>
      </c>
      <c r="R91" t="s">
        <v>1896</v>
      </c>
      <c r="S91" t="s">
        <v>1925</v>
      </c>
      <c r="T91" t="s">
        <v>1908</v>
      </c>
    </row>
    <row r="92" spans="2:20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 t="s">
        <v>736</v>
      </c>
      <c r="Q92" s="40" t="s">
        <v>520</v>
      </c>
      <c r="R92" t="s">
        <v>1899</v>
      </c>
      <c r="S92" t="s">
        <v>1926</v>
      </c>
      <c r="T92" t="s">
        <v>1921</v>
      </c>
    </row>
    <row r="93" spans="2:20" ht="13.8" x14ac:dyDescent="0.2">
      <c r="B93" s="14">
        <v>88</v>
      </c>
      <c r="C93" s="17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 t="s">
        <v>736</v>
      </c>
      <c r="Q93" s="40" t="s">
        <v>522</v>
      </c>
      <c r="R93" t="s">
        <v>1899</v>
      </c>
      <c r="S93" t="s">
        <v>1927</v>
      </c>
      <c r="T93" t="s">
        <v>1917</v>
      </c>
    </row>
    <row r="94" spans="2:20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 t="s">
        <v>736</v>
      </c>
      <c r="Q94" s="40" t="s">
        <v>523</v>
      </c>
      <c r="R94" t="s">
        <v>1896</v>
      </c>
      <c r="S94" t="s">
        <v>1928</v>
      </c>
      <c r="T94" t="s">
        <v>1921</v>
      </c>
    </row>
    <row r="95" spans="2:20" ht="13.8" x14ac:dyDescent="0.2">
      <c r="B95" s="14">
        <v>90</v>
      </c>
      <c r="C95" s="8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 t="s">
        <v>736</v>
      </c>
      <c r="Q95" s="40" t="s">
        <v>524</v>
      </c>
      <c r="R95" t="s">
        <v>1899</v>
      </c>
      <c r="S95" t="s">
        <v>1929</v>
      </c>
      <c r="T95" t="s">
        <v>1930</v>
      </c>
    </row>
    <row r="96" spans="2:20" ht="13.8" x14ac:dyDescent="0.2">
      <c r="B96" s="14">
        <v>91</v>
      </c>
      <c r="C96" s="8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736</v>
      </c>
      <c r="Q96" s="40" t="s">
        <v>525</v>
      </c>
      <c r="R96" t="s">
        <v>1896</v>
      </c>
      <c r="S96" t="s">
        <v>1931</v>
      </c>
      <c r="T96" t="s">
        <v>1917</v>
      </c>
    </row>
    <row r="97" spans="2:20" ht="13.8" x14ac:dyDescent="0.2">
      <c r="B97" s="14">
        <v>92</v>
      </c>
      <c r="C97" s="8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736</v>
      </c>
      <c r="Q97" s="40" t="s">
        <v>527</v>
      </c>
      <c r="R97" t="s">
        <v>1899</v>
      </c>
      <c r="S97" t="s">
        <v>1932</v>
      </c>
      <c r="T97" t="s">
        <v>1917</v>
      </c>
    </row>
    <row r="98" spans="2:20" ht="13.8" x14ac:dyDescent="0.2">
      <c r="B98" s="14">
        <v>93</v>
      </c>
      <c r="C98" s="8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 t="s">
        <v>736</v>
      </c>
      <c r="Q98" s="40" t="s">
        <v>528</v>
      </c>
      <c r="R98" t="s">
        <v>1899</v>
      </c>
      <c r="S98" t="s">
        <v>1933</v>
      </c>
      <c r="T98" t="s">
        <v>1919</v>
      </c>
    </row>
    <row r="99" spans="2:20" ht="13.8" x14ac:dyDescent="0.2">
      <c r="B99" s="14">
        <v>94</v>
      </c>
      <c r="C99" s="8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 t="s">
        <v>736</v>
      </c>
      <c r="Q99" s="40" t="s">
        <v>1934</v>
      </c>
      <c r="R99" t="s">
        <v>1935</v>
      </c>
      <c r="S99" t="s">
        <v>1936</v>
      </c>
      <c r="T99" t="s">
        <v>1937</v>
      </c>
    </row>
    <row r="100" spans="2:20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736</v>
      </c>
      <c r="Q100" s="40" t="s">
        <v>1938</v>
      </c>
      <c r="R100" t="s">
        <v>1935</v>
      </c>
      <c r="S100" t="s">
        <v>1939</v>
      </c>
      <c r="T100" t="s">
        <v>1937</v>
      </c>
    </row>
    <row r="101" spans="2:20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 t="s">
        <v>736</v>
      </c>
      <c r="Q101" s="40" t="s">
        <v>1940</v>
      </c>
      <c r="R101" t="s">
        <v>1935</v>
      </c>
      <c r="S101" t="s">
        <v>1941</v>
      </c>
      <c r="T101" t="s">
        <v>1937</v>
      </c>
    </row>
    <row r="102" spans="2:20" ht="13.8" x14ac:dyDescent="0.2">
      <c r="B102" s="14">
        <v>97</v>
      </c>
      <c r="C102" s="8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 t="s">
        <v>736</v>
      </c>
      <c r="Q102" s="40" t="s">
        <v>1942</v>
      </c>
      <c r="R102" t="s">
        <v>1935</v>
      </c>
      <c r="S102" t="s">
        <v>1943</v>
      </c>
      <c r="T102" t="s">
        <v>1937</v>
      </c>
    </row>
    <row r="103" spans="2:20" ht="13.8" x14ac:dyDescent="0.2">
      <c r="B103" s="14">
        <v>98</v>
      </c>
      <c r="C103" s="8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/>
      <c r="Q103" s="40" t="s">
        <v>1944</v>
      </c>
      <c r="R103" t="s">
        <v>1935</v>
      </c>
      <c r="S103" t="s">
        <v>1945</v>
      </c>
      <c r="T103" t="s">
        <v>1937</v>
      </c>
    </row>
    <row r="104" spans="2:20" ht="13.8" x14ac:dyDescent="0.2">
      <c r="B104" s="14">
        <v>99</v>
      </c>
      <c r="C104" s="17"/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/>
      <c r="Q104" s="40" t="s">
        <v>1946</v>
      </c>
      <c r="R104" t="s">
        <v>1935</v>
      </c>
      <c r="S104" t="s">
        <v>1947</v>
      </c>
      <c r="T104" t="s">
        <v>1937</v>
      </c>
    </row>
    <row r="105" spans="2:20" ht="13.8" x14ac:dyDescent="0.2">
      <c r="B105" s="14" t="s">
        <v>543</v>
      </c>
      <c r="C105" s="18" t="s">
        <v>1997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1972</v>
      </c>
      <c r="Q105" s="40" t="s">
        <v>1948</v>
      </c>
      <c r="R105" t="s">
        <v>1935</v>
      </c>
      <c r="S105" t="s">
        <v>1949</v>
      </c>
      <c r="T105" t="s">
        <v>1937</v>
      </c>
    </row>
    <row r="106" spans="2:20" ht="13.8" x14ac:dyDescent="0.2">
      <c r="B106" s="14" t="s">
        <v>544</v>
      </c>
      <c r="C106" s="9" t="s">
        <v>1985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1973</v>
      </c>
      <c r="Q106" s="40" t="s">
        <v>1950</v>
      </c>
      <c r="R106" t="s">
        <v>1935</v>
      </c>
      <c r="S106" t="s">
        <v>1951</v>
      </c>
      <c r="T106" t="s">
        <v>1952</v>
      </c>
    </row>
    <row r="107" spans="2:20" ht="13.8" x14ac:dyDescent="0.2">
      <c r="B107" s="14" t="s">
        <v>545</v>
      </c>
      <c r="C107" s="9" t="s">
        <v>1986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1974</v>
      </c>
      <c r="Q107" s="40" t="s">
        <v>532</v>
      </c>
      <c r="R107" t="s">
        <v>1935</v>
      </c>
      <c r="S107" t="s">
        <v>1953</v>
      </c>
      <c r="T107" t="s">
        <v>1954</v>
      </c>
    </row>
    <row r="108" spans="2:20" ht="13.8" x14ac:dyDescent="0.2">
      <c r="B108" s="14" t="s">
        <v>546</v>
      </c>
      <c r="C108" s="9" t="s">
        <v>1987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1975</v>
      </c>
      <c r="Q108" s="40" t="s">
        <v>533</v>
      </c>
      <c r="R108" t="s">
        <v>1935</v>
      </c>
      <c r="S108" t="s">
        <v>1955</v>
      </c>
      <c r="T108" t="s">
        <v>1954</v>
      </c>
    </row>
    <row r="109" spans="2:20" ht="13.8" x14ac:dyDescent="0.2">
      <c r="B109" s="14" t="s">
        <v>552</v>
      </c>
      <c r="C109" s="9" t="s">
        <v>1988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1976</v>
      </c>
      <c r="Q109" s="40" t="s">
        <v>534</v>
      </c>
      <c r="R109" t="s">
        <v>1935</v>
      </c>
      <c r="S109" t="s">
        <v>1956</v>
      </c>
      <c r="T109" t="s">
        <v>1954</v>
      </c>
    </row>
    <row r="110" spans="2:20" ht="13.8" x14ac:dyDescent="0.2">
      <c r="B110" s="14" t="s">
        <v>553</v>
      </c>
      <c r="C110" s="9" t="s">
        <v>1989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1977</v>
      </c>
      <c r="Q110" s="40" t="s">
        <v>535</v>
      </c>
      <c r="R110" t="s">
        <v>1935</v>
      </c>
      <c r="S110" t="s">
        <v>1957</v>
      </c>
      <c r="T110" t="s">
        <v>1954</v>
      </c>
    </row>
    <row r="111" spans="2:20" ht="13.8" x14ac:dyDescent="0.2">
      <c r="B111" s="14" t="s">
        <v>554</v>
      </c>
      <c r="C111" s="9" t="s">
        <v>1990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1978</v>
      </c>
      <c r="Q111" s="40" t="s">
        <v>536</v>
      </c>
      <c r="R111" t="s">
        <v>1935</v>
      </c>
      <c r="S111" t="s">
        <v>1958</v>
      </c>
      <c r="T111" t="s">
        <v>1954</v>
      </c>
    </row>
    <row r="112" spans="2:20" ht="13.8" x14ac:dyDescent="0.2">
      <c r="B112" s="14" t="s">
        <v>555</v>
      </c>
      <c r="C112" s="9" t="s">
        <v>673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2" t="s">
        <v>673</v>
      </c>
      <c r="Q112" s="40" t="s">
        <v>543</v>
      </c>
      <c r="R112" t="s">
        <v>1843</v>
      </c>
      <c r="S112" t="s">
        <v>1959</v>
      </c>
      <c r="T112" t="s">
        <v>567</v>
      </c>
    </row>
    <row r="113" spans="2:20" ht="13.8" x14ac:dyDescent="0.2">
      <c r="B113" s="14" t="s">
        <v>556</v>
      </c>
      <c r="C113" s="9" t="s">
        <v>1991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2" t="s">
        <v>1979</v>
      </c>
      <c r="Q113" s="40" t="s">
        <v>544</v>
      </c>
      <c r="R113" t="s">
        <v>1843</v>
      </c>
      <c r="S113" t="s">
        <v>1960</v>
      </c>
      <c r="T113" t="s">
        <v>567</v>
      </c>
    </row>
    <row r="114" spans="2:20" ht="13.8" x14ac:dyDescent="0.2">
      <c r="B114" s="14" t="s">
        <v>557</v>
      </c>
      <c r="C114" s="9" t="s">
        <v>1992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2" t="s">
        <v>1980</v>
      </c>
      <c r="Q114" s="40" t="s">
        <v>545</v>
      </c>
      <c r="R114" t="s">
        <v>1843</v>
      </c>
      <c r="S114" t="s">
        <v>1961</v>
      </c>
      <c r="T114" t="s">
        <v>567</v>
      </c>
    </row>
    <row r="115" spans="2:20" ht="13.8" x14ac:dyDescent="0.2">
      <c r="B115" s="14" t="s">
        <v>558</v>
      </c>
      <c r="C115" s="9" t="s">
        <v>1993</v>
      </c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2" t="s">
        <v>1981</v>
      </c>
      <c r="Q115" s="40" t="s">
        <v>546</v>
      </c>
      <c r="R115" t="s">
        <v>1843</v>
      </c>
      <c r="S115" t="s">
        <v>1962</v>
      </c>
      <c r="T115" t="s">
        <v>567</v>
      </c>
    </row>
    <row r="116" spans="2:20" ht="13.8" x14ac:dyDescent="0.2">
      <c r="B116" s="14" t="s">
        <v>559</v>
      </c>
      <c r="C116" s="9" t="s">
        <v>1994</v>
      </c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2" t="s">
        <v>1982</v>
      </c>
      <c r="Q116" s="40" t="s">
        <v>552</v>
      </c>
      <c r="R116" t="s">
        <v>1843</v>
      </c>
      <c r="S116" t="s">
        <v>1963</v>
      </c>
      <c r="T116" t="s">
        <v>567</v>
      </c>
    </row>
    <row r="117" spans="2:20" ht="13.8" x14ac:dyDescent="0.2">
      <c r="B117" s="14" t="s">
        <v>560</v>
      </c>
      <c r="C117" s="9" t="s">
        <v>1995</v>
      </c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2" t="s">
        <v>1983</v>
      </c>
      <c r="Q117" s="40" t="s">
        <v>553</v>
      </c>
      <c r="R117" t="s">
        <v>1843</v>
      </c>
      <c r="S117" t="s">
        <v>1964</v>
      </c>
      <c r="T117" t="s">
        <v>567</v>
      </c>
    </row>
    <row r="118" spans="2:20" ht="13.8" x14ac:dyDescent="0.2">
      <c r="B118" s="14" t="s">
        <v>561</v>
      </c>
      <c r="C118" s="9" t="s">
        <v>1996</v>
      </c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2" t="s">
        <v>1984</v>
      </c>
      <c r="Q118" s="40" t="s">
        <v>554</v>
      </c>
      <c r="R118" t="s">
        <v>1834</v>
      </c>
      <c r="S118" t="s">
        <v>1965</v>
      </c>
      <c r="T118" t="s">
        <v>567</v>
      </c>
    </row>
    <row r="119" spans="2:20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2" t="s">
        <v>736</v>
      </c>
      <c r="Q119" s="40" t="s">
        <v>555</v>
      </c>
      <c r="R119" t="s">
        <v>1830</v>
      </c>
      <c r="S119" t="s">
        <v>673</v>
      </c>
      <c r="T119" t="s">
        <v>567</v>
      </c>
    </row>
    <row r="120" spans="2:20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2" t="s">
        <v>736</v>
      </c>
      <c r="Q120" s="40" t="s">
        <v>556</v>
      </c>
      <c r="R120" t="s">
        <v>1843</v>
      </c>
      <c r="S120" t="s">
        <v>1966</v>
      </c>
      <c r="T120" t="s">
        <v>567</v>
      </c>
    </row>
    <row r="121" spans="2:20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2" t="s">
        <v>736</v>
      </c>
      <c r="Q121" s="40" t="s">
        <v>557</v>
      </c>
      <c r="R121" t="s">
        <v>1832</v>
      </c>
      <c r="S121" t="s">
        <v>1967</v>
      </c>
      <c r="T121" t="s">
        <v>567</v>
      </c>
    </row>
    <row r="122" spans="2:20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2" t="s">
        <v>736</v>
      </c>
      <c r="Q122" s="40" t="s">
        <v>558</v>
      </c>
      <c r="R122" t="s">
        <v>1834</v>
      </c>
      <c r="S122" t="s">
        <v>1968</v>
      </c>
      <c r="T122" t="s">
        <v>567</v>
      </c>
    </row>
    <row r="123" spans="2:20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2" t="s">
        <v>736</v>
      </c>
      <c r="Q123" s="40" t="s">
        <v>559</v>
      </c>
      <c r="R123" t="s">
        <v>1832</v>
      </c>
      <c r="S123" t="s">
        <v>1969</v>
      </c>
      <c r="T123" t="s">
        <v>567</v>
      </c>
    </row>
    <row r="124" spans="2:20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2" t="s">
        <v>736</v>
      </c>
      <c r="Q124" s="40" t="s">
        <v>560</v>
      </c>
      <c r="R124" t="s">
        <v>1843</v>
      </c>
      <c r="S124" t="s">
        <v>1970</v>
      </c>
      <c r="T124" t="s">
        <v>567</v>
      </c>
    </row>
    <row r="125" spans="2:20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2" t="s">
        <v>736</v>
      </c>
      <c r="Q125" s="40" t="s">
        <v>561</v>
      </c>
      <c r="R125" t="s">
        <v>1830</v>
      </c>
      <c r="S125" t="s">
        <v>1971</v>
      </c>
      <c r="T125" t="s">
        <v>567</v>
      </c>
    </row>
    <row r="126" spans="2:20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2" t="s">
        <v>736</v>
      </c>
    </row>
    <row r="127" spans="2:20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2" t="s">
        <v>736</v>
      </c>
    </row>
    <row r="128" spans="2:20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2" t="s">
        <v>736</v>
      </c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2" t="s">
        <v>736</v>
      </c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2" t="s">
        <v>736</v>
      </c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2" t="s">
        <v>736</v>
      </c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2" t="s">
        <v>736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736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2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R134"/>
  <sheetViews>
    <sheetView tabSelected="1" zoomScale="145" zoomScaleNormal="14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16" width="7.33203125" customWidth="1"/>
    <col min="17" max="17" width="17.33203125" customWidth="1"/>
    <col min="18" max="18" width="8.88671875" style="40"/>
  </cols>
  <sheetData>
    <row r="1" spans="2:17" ht="13.8" customHeight="1" x14ac:dyDescent="0.2"/>
    <row r="2" spans="2:17" ht="13.8" customHeight="1" x14ac:dyDescent="0.2">
      <c r="B2" s="88"/>
      <c r="C2" s="88"/>
      <c r="D2" s="88"/>
      <c r="E2" s="4">
        <f>IFERROR(G2/F2,0)</f>
        <v>0.23464770523594053</v>
      </c>
      <c r="F2" s="5">
        <f t="array" ref="F2">SUM(F4:F104)</f>
        <v>4641</v>
      </c>
      <c r="G2" s="5">
        <f t="array" ref="G2">SUM(G4:G104)</f>
        <v>1089</v>
      </c>
      <c r="H2" s="5">
        <f t="array" ref="H2">SUM(H4:H104)</f>
        <v>213</v>
      </c>
      <c r="I2" s="5">
        <f t="array" ref="I2">SUM(I4:I104)</f>
        <v>26</v>
      </c>
      <c r="J2" s="6">
        <f t="array" ref="J2">SUM(J4:J104)</f>
        <v>100</v>
      </c>
      <c r="K2" s="7">
        <f t="array" ref="K2">SUM(K4:K104)</f>
        <v>441</v>
      </c>
      <c r="L2" s="4">
        <f>IFERROR(IF((G2+N2+O2)/(F2+N2+O2+P2)=1,"1.00",(G2+N2+O2)/(F2+N2+O2+P2)),0)</f>
        <v>0.29254793437438231</v>
      </c>
      <c r="M2" s="4">
        <f>IFERROR(SUM(SUM(((G2-H2-I2-J2)*1),H2*2,I2*3,J2*4)/F2,((G2+N2+O2)/(F2+N2+O2+P2))),L2)</f>
        <v>0.64893664370426807</v>
      </c>
      <c r="N2" s="5">
        <f>SUM(N4:N104)</f>
        <v>352</v>
      </c>
      <c r="O2" s="5">
        <f>SUM(O4:O104)</f>
        <v>39</v>
      </c>
      <c r="P2" s="5">
        <f>SUM(P4:P104)</f>
        <v>27</v>
      </c>
      <c r="Q2" s="84" t="s">
        <v>323</v>
      </c>
    </row>
    <row r="3" spans="2:17" ht="13.8" x14ac:dyDescent="0.2">
      <c r="B3" s="2" t="s">
        <v>2415</v>
      </c>
      <c r="C3" s="37" t="s">
        <v>157</v>
      </c>
      <c r="D3" s="37" t="s">
        <v>5</v>
      </c>
      <c r="E3" s="20" t="s">
        <v>158</v>
      </c>
      <c r="F3" s="21" t="s">
        <v>0</v>
      </c>
      <c r="G3" s="17" t="s">
        <v>1</v>
      </c>
      <c r="H3" s="17" t="s">
        <v>895</v>
      </c>
      <c r="I3" s="17" t="s">
        <v>896</v>
      </c>
      <c r="J3" s="22" t="s">
        <v>2</v>
      </c>
      <c r="K3" s="23" t="s">
        <v>3</v>
      </c>
      <c r="L3" s="34" t="s">
        <v>737</v>
      </c>
      <c r="M3" s="10" t="s">
        <v>894</v>
      </c>
      <c r="N3" s="9" t="s">
        <v>744</v>
      </c>
      <c r="O3" s="9" t="s">
        <v>745</v>
      </c>
      <c r="P3" s="9" t="s">
        <v>743</v>
      </c>
      <c r="Q3" s="84"/>
    </row>
    <row r="4" spans="2:17" ht="13.8" x14ac:dyDescent="0.2">
      <c r="B4" s="8" t="str">
        <f>IF(C4="","",C4)</f>
        <v>00</v>
      </c>
      <c r="C4" s="14" t="s">
        <v>425</v>
      </c>
      <c r="D4" s="17"/>
      <c r="E4" s="15" t="str">
        <f>IFERROR(IF(G4/F4=1,"1.00",G4/F4),"---")</f>
        <v>---</v>
      </c>
      <c r="F4" s="5">
        <v>0</v>
      </c>
      <c r="G4" s="16">
        <v>0</v>
      </c>
      <c r="H4" s="16">
        <v>0</v>
      </c>
      <c r="I4" s="16">
        <v>0</v>
      </c>
      <c r="J4" s="6">
        <v>0</v>
      </c>
      <c r="K4" s="7">
        <v>0</v>
      </c>
      <c r="L4" s="4">
        <f>IFERROR(IF((G4+N4+O4)/(F4+N4+O4+P4)=1,"1.00",(G4+N4+O4)/(F4+N4+O4+P4)),0)</f>
        <v>0</v>
      </c>
      <c r="M4" s="4">
        <f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2" t="s">
        <v>736</v>
      </c>
    </row>
    <row r="5" spans="2:17" ht="13.8" x14ac:dyDescent="0.2">
      <c r="B5" s="8">
        <f t="shared" ref="B5:B68" si="0">IF(C5="","",C5)</f>
        <v>0</v>
      </c>
      <c r="C5" s="14">
        <v>0</v>
      </c>
      <c r="D5" s="17"/>
      <c r="E5" s="15" t="str">
        <f t="shared" ref="E5:E68" si="1">IFERROR(IF(G5/F5=1,"1.00",G5/F5),"---")</f>
        <v>---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4">
        <f t="shared" ref="L5:L68" si="2">IFERROR(IF((G5+N5+O5)/(F5+N5+O5+P5)=1,"1.00",(G5+N5+O5)/(F5+N5+O5+P5)),0)</f>
        <v>0</v>
      </c>
      <c r="M5" s="4">
        <f t="shared" ref="M5:M68" si="3">IFERROR(SUM(SUM(((G5-H5-I5-J5)*1),H5*2,I5*3,J5*4)/F5,((G5+N5+O5)/(F5+N5+O5+P5))),L5)</f>
        <v>0</v>
      </c>
      <c r="N5" s="31">
        <v>0</v>
      </c>
      <c r="O5" s="32">
        <v>0</v>
      </c>
      <c r="P5" s="33">
        <v>0</v>
      </c>
      <c r="Q5" s="2" t="s">
        <v>736</v>
      </c>
    </row>
    <row r="6" spans="2:17" ht="13.8" x14ac:dyDescent="0.2">
      <c r="B6" s="8">
        <f t="shared" si="0"/>
        <v>1</v>
      </c>
      <c r="C6" s="14">
        <v>1</v>
      </c>
      <c r="D6" s="17"/>
      <c r="E6" s="15" t="str">
        <f t="shared" si="1"/>
        <v>---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4">
        <f t="shared" si="2"/>
        <v>0</v>
      </c>
      <c r="M6" s="4">
        <f t="shared" si="3"/>
        <v>0</v>
      </c>
      <c r="N6" s="31">
        <v>0</v>
      </c>
      <c r="O6" s="32">
        <v>0</v>
      </c>
      <c r="P6" s="33">
        <v>0</v>
      </c>
      <c r="Q6" s="2"/>
    </row>
    <row r="7" spans="2:17" ht="13.8" x14ac:dyDescent="0.2">
      <c r="B7" s="8">
        <f t="shared" si="0"/>
        <v>2</v>
      </c>
      <c r="C7" s="14">
        <v>2</v>
      </c>
      <c r="D7" s="17" t="s">
        <v>2553</v>
      </c>
      <c r="E7" s="15">
        <f t="shared" si="1"/>
        <v>0.16494845360824742</v>
      </c>
      <c r="F7" s="5">
        <v>97</v>
      </c>
      <c r="G7" s="16">
        <v>16</v>
      </c>
      <c r="H7" s="16">
        <v>2</v>
      </c>
      <c r="I7" s="16">
        <v>0</v>
      </c>
      <c r="J7" s="6">
        <v>0</v>
      </c>
      <c r="K7" s="7">
        <v>3</v>
      </c>
      <c r="L7" s="4">
        <f t="shared" si="2"/>
        <v>0.22857142857142856</v>
      </c>
      <c r="M7" s="4">
        <f t="shared" si="3"/>
        <v>0.41413843888070689</v>
      </c>
      <c r="N7" s="31">
        <v>8</v>
      </c>
      <c r="O7" s="32">
        <v>0</v>
      </c>
      <c r="P7" s="33">
        <v>0</v>
      </c>
      <c r="Q7" s="2" t="s">
        <v>2553</v>
      </c>
    </row>
    <row r="8" spans="2:17" ht="13.8" x14ac:dyDescent="0.2">
      <c r="B8" s="8">
        <f t="shared" si="0"/>
        <v>3</v>
      </c>
      <c r="C8" s="14">
        <v>3</v>
      </c>
      <c r="D8" s="17" t="s">
        <v>2554</v>
      </c>
      <c r="E8" s="15">
        <f t="shared" si="1"/>
        <v>6.25E-2</v>
      </c>
      <c r="F8" s="5">
        <v>32</v>
      </c>
      <c r="G8" s="16">
        <v>2</v>
      </c>
      <c r="H8" s="16">
        <v>1</v>
      </c>
      <c r="I8" s="16">
        <v>0</v>
      </c>
      <c r="J8" s="6">
        <v>0</v>
      </c>
      <c r="K8" s="7">
        <v>0</v>
      </c>
      <c r="L8" s="4">
        <f t="shared" si="2"/>
        <v>6.25E-2</v>
      </c>
      <c r="M8" s="4">
        <f t="shared" si="3"/>
        <v>0.15625</v>
      </c>
      <c r="N8" s="31">
        <v>0</v>
      </c>
      <c r="O8" s="32">
        <v>0</v>
      </c>
      <c r="P8" s="33">
        <v>0</v>
      </c>
      <c r="Q8" s="2" t="s">
        <v>2600</v>
      </c>
    </row>
    <row r="9" spans="2:17" ht="13.8" x14ac:dyDescent="0.2">
      <c r="B9" s="8">
        <f t="shared" si="0"/>
        <v>4</v>
      </c>
      <c r="C9" s="14">
        <v>4</v>
      </c>
      <c r="D9" s="9" t="s">
        <v>2555</v>
      </c>
      <c r="E9" s="15">
        <f t="shared" si="1"/>
        <v>0.29118773946360155</v>
      </c>
      <c r="F9" s="5">
        <v>261</v>
      </c>
      <c r="G9" s="16">
        <v>76</v>
      </c>
      <c r="H9" s="16">
        <v>7</v>
      </c>
      <c r="I9" s="16">
        <v>2</v>
      </c>
      <c r="J9" s="6">
        <v>2</v>
      </c>
      <c r="K9" s="7">
        <v>17</v>
      </c>
      <c r="L9" s="4">
        <f t="shared" si="2"/>
        <v>0.35986159169550175</v>
      </c>
      <c r="M9" s="4">
        <f t="shared" si="3"/>
        <v>0.71618343077596158</v>
      </c>
      <c r="N9" s="31">
        <v>21</v>
      </c>
      <c r="O9" s="32">
        <v>7</v>
      </c>
      <c r="P9" s="33">
        <v>0</v>
      </c>
      <c r="Q9" s="2" t="s">
        <v>2601</v>
      </c>
    </row>
    <row r="10" spans="2:17" ht="13.8" x14ac:dyDescent="0.2">
      <c r="B10" s="8">
        <f t="shared" si="0"/>
        <v>5</v>
      </c>
      <c r="C10" s="14">
        <v>5</v>
      </c>
      <c r="D10" s="17" t="s">
        <v>2556</v>
      </c>
      <c r="E10" s="15">
        <f t="shared" si="1"/>
        <v>0.17365269461077845</v>
      </c>
      <c r="F10" s="5">
        <v>167</v>
      </c>
      <c r="G10" s="16">
        <v>29</v>
      </c>
      <c r="H10" s="16">
        <v>7</v>
      </c>
      <c r="I10" s="16">
        <v>1</v>
      </c>
      <c r="J10" s="6">
        <v>4</v>
      </c>
      <c r="K10" s="7">
        <v>12</v>
      </c>
      <c r="L10" s="4">
        <f t="shared" si="2"/>
        <v>0.22777777777777777</v>
      </c>
      <c r="M10" s="4">
        <f t="shared" si="3"/>
        <v>0.52717897538256819</v>
      </c>
      <c r="N10" s="31">
        <v>9</v>
      </c>
      <c r="O10" s="32">
        <v>3</v>
      </c>
      <c r="P10" s="33">
        <v>1</v>
      </c>
      <c r="Q10" s="2" t="s">
        <v>908</v>
      </c>
    </row>
    <row r="11" spans="2:17" ht="13.8" x14ac:dyDescent="0.2">
      <c r="B11" s="8">
        <f t="shared" si="0"/>
        <v>6</v>
      </c>
      <c r="C11" s="14">
        <v>6</v>
      </c>
      <c r="D11" s="17" t="s">
        <v>811</v>
      </c>
      <c r="E11" s="15">
        <f t="shared" si="1"/>
        <v>0.20912547528517111</v>
      </c>
      <c r="F11" s="5">
        <v>263</v>
      </c>
      <c r="G11" s="16">
        <v>55</v>
      </c>
      <c r="H11" s="16">
        <v>6</v>
      </c>
      <c r="I11" s="16">
        <v>0</v>
      </c>
      <c r="J11" s="6">
        <v>14</v>
      </c>
      <c r="K11" s="7">
        <v>28</v>
      </c>
      <c r="L11" s="4">
        <f t="shared" si="2"/>
        <v>0.26666666666666666</v>
      </c>
      <c r="M11" s="4">
        <f t="shared" si="3"/>
        <v>0.65830164765525989</v>
      </c>
      <c r="N11" s="31">
        <v>21</v>
      </c>
      <c r="O11" s="32">
        <v>0</v>
      </c>
      <c r="P11" s="33">
        <v>1</v>
      </c>
      <c r="Q11" s="2" t="s">
        <v>811</v>
      </c>
    </row>
    <row r="12" spans="2:17" ht="13.8" x14ac:dyDescent="0.2">
      <c r="B12" s="8">
        <f t="shared" si="0"/>
        <v>7</v>
      </c>
      <c r="C12" s="14">
        <v>7</v>
      </c>
      <c r="D12" s="17" t="s">
        <v>2557</v>
      </c>
      <c r="E12" s="15" t="str">
        <f t="shared" si="1"/>
        <v>---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4">
        <f t="shared" si="2"/>
        <v>0</v>
      </c>
      <c r="M12" s="4">
        <f t="shared" si="3"/>
        <v>0</v>
      </c>
      <c r="N12" s="31">
        <v>0</v>
      </c>
      <c r="O12" s="32">
        <v>0</v>
      </c>
      <c r="P12" s="33">
        <v>0</v>
      </c>
      <c r="Q12" s="2" t="s">
        <v>901</v>
      </c>
    </row>
    <row r="13" spans="2:17" ht="13.8" x14ac:dyDescent="0.2">
      <c r="B13" s="8">
        <f t="shared" si="0"/>
        <v>8</v>
      </c>
      <c r="C13" s="14">
        <v>8</v>
      </c>
      <c r="D13" s="17" t="s">
        <v>2558</v>
      </c>
      <c r="E13" s="15">
        <f t="shared" si="1"/>
        <v>0.30153846153846153</v>
      </c>
      <c r="F13" s="5">
        <v>325</v>
      </c>
      <c r="G13" s="16">
        <v>98</v>
      </c>
      <c r="H13" s="16">
        <v>26</v>
      </c>
      <c r="I13" s="16">
        <v>1</v>
      </c>
      <c r="J13" s="6">
        <v>8</v>
      </c>
      <c r="K13" s="7">
        <v>41</v>
      </c>
      <c r="L13" s="4">
        <f t="shared" si="2"/>
        <v>0.41772151898734178</v>
      </c>
      <c r="M13" s="4">
        <f t="shared" si="3"/>
        <v>0.87925998052580334</v>
      </c>
      <c r="N13" s="31">
        <v>66</v>
      </c>
      <c r="O13" s="32">
        <v>1</v>
      </c>
      <c r="P13" s="33">
        <v>3</v>
      </c>
      <c r="Q13" s="2" t="s">
        <v>910</v>
      </c>
    </row>
    <row r="14" spans="2:17" ht="13.8" x14ac:dyDescent="0.2">
      <c r="B14" s="8">
        <f t="shared" si="0"/>
        <v>9</v>
      </c>
      <c r="C14" s="14">
        <v>9</v>
      </c>
      <c r="D14" s="17" t="s">
        <v>325</v>
      </c>
      <c r="E14" s="15">
        <f t="shared" si="1"/>
        <v>0.22307692307692309</v>
      </c>
      <c r="F14" s="5">
        <v>130</v>
      </c>
      <c r="G14" s="16">
        <v>29</v>
      </c>
      <c r="H14" s="16">
        <v>3</v>
      </c>
      <c r="I14" s="16">
        <v>1</v>
      </c>
      <c r="J14" s="6">
        <v>0</v>
      </c>
      <c r="K14" s="7">
        <v>8</v>
      </c>
      <c r="L14" s="4">
        <f t="shared" si="2"/>
        <v>0.28169014084507044</v>
      </c>
      <c r="M14" s="4">
        <f t="shared" si="3"/>
        <v>0.54322860238353199</v>
      </c>
      <c r="N14" s="31">
        <v>11</v>
      </c>
      <c r="O14" s="32">
        <v>0</v>
      </c>
      <c r="P14" s="33">
        <v>1</v>
      </c>
      <c r="Q14" s="2" t="s">
        <v>899</v>
      </c>
    </row>
    <row r="15" spans="2:17" ht="13.8" x14ac:dyDescent="0.2">
      <c r="B15" s="8">
        <f t="shared" si="0"/>
        <v>10</v>
      </c>
      <c r="C15" s="14">
        <v>10</v>
      </c>
      <c r="D15" s="17" t="s">
        <v>131</v>
      </c>
      <c r="E15" s="15">
        <f t="shared" si="1"/>
        <v>0.19354838709677419</v>
      </c>
      <c r="F15" s="5">
        <v>62</v>
      </c>
      <c r="G15" s="16">
        <v>12</v>
      </c>
      <c r="H15" s="16">
        <v>1</v>
      </c>
      <c r="I15" s="16">
        <v>0</v>
      </c>
      <c r="J15" s="6">
        <v>0</v>
      </c>
      <c r="K15" s="7">
        <v>3</v>
      </c>
      <c r="L15" s="4">
        <f t="shared" si="2"/>
        <v>0.21875</v>
      </c>
      <c r="M15" s="4">
        <f t="shared" si="3"/>
        <v>0.42842741935483875</v>
      </c>
      <c r="N15" s="31">
        <v>1</v>
      </c>
      <c r="O15" s="32">
        <v>1</v>
      </c>
      <c r="P15" s="33">
        <v>0</v>
      </c>
      <c r="Q15" s="2" t="s">
        <v>900</v>
      </c>
    </row>
    <row r="16" spans="2:17" ht="13.8" x14ac:dyDescent="0.2">
      <c r="B16" s="8">
        <f t="shared" si="0"/>
        <v>11</v>
      </c>
      <c r="C16" s="14">
        <v>11</v>
      </c>
      <c r="D16" s="17"/>
      <c r="E16" s="15" t="str">
        <f t="shared" si="1"/>
        <v>---</v>
      </c>
      <c r="F16" s="5">
        <v>0</v>
      </c>
      <c r="G16" s="16">
        <v>0</v>
      </c>
      <c r="H16" s="16">
        <v>0</v>
      </c>
      <c r="I16" s="16">
        <v>0</v>
      </c>
      <c r="J16" s="6">
        <v>0</v>
      </c>
      <c r="K16" s="7">
        <v>0</v>
      </c>
      <c r="L16" s="4">
        <f t="shared" si="2"/>
        <v>0</v>
      </c>
      <c r="M16" s="4">
        <f t="shared" si="3"/>
        <v>0</v>
      </c>
      <c r="N16" s="31">
        <v>0</v>
      </c>
      <c r="O16" s="32">
        <v>0</v>
      </c>
      <c r="P16" s="33">
        <v>0</v>
      </c>
      <c r="Q16" s="2"/>
    </row>
    <row r="17" spans="2:17" ht="13.8" x14ac:dyDescent="0.2">
      <c r="B17" s="8">
        <f t="shared" si="0"/>
        <v>12</v>
      </c>
      <c r="C17" s="14">
        <v>12</v>
      </c>
      <c r="D17" s="17" t="s">
        <v>2559</v>
      </c>
      <c r="E17" s="15">
        <f t="shared" si="1"/>
        <v>0.3468354430379747</v>
      </c>
      <c r="F17" s="5">
        <v>395</v>
      </c>
      <c r="G17" s="16">
        <v>137</v>
      </c>
      <c r="H17" s="16">
        <v>23</v>
      </c>
      <c r="I17" s="16">
        <v>2</v>
      </c>
      <c r="J17" s="6">
        <v>3</v>
      </c>
      <c r="K17" s="7">
        <v>44</v>
      </c>
      <c r="L17" s="4">
        <f t="shared" si="2"/>
        <v>0.39770114942528734</v>
      </c>
      <c r="M17" s="4">
        <f t="shared" si="3"/>
        <v>0.83567583296959114</v>
      </c>
      <c r="N17" s="31">
        <v>32</v>
      </c>
      <c r="O17" s="32">
        <v>4</v>
      </c>
      <c r="P17" s="33">
        <v>4</v>
      </c>
      <c r="Q17" s="2" t="s">
        <v>2602</v>
      </c>
    </row>
    <row r="18" spans="2:17" ht="13.8" x14ac:dyDescent="0.2">
      <c r="B18" s="8">
        <f t="shared" si="0"/>
        <v>13</v>
      </c>
      <c r="C18" s="14">
        <v>13</v>
      </c>
      <c r="D18" s="9" t="s">
        <v>326</v>
      </c>
      <c r="E18" s="15" t="str">
        <f t="shared" si="1"/>
        <v>---</v>
      </c>
      <c r="F18" s="5">
        <v>0</v>
      </c>
      <c r="G18" s="16">
        <v>0</v>
      </c>
      <c r="H18" s="16">
        <v>0</v>
      </c>
      <c r="I18" s="16">
        <v>0</v>
      </c>
      <c r="J18" s="6">
        <v>0</v>
      </c>
      <c r="K18" s="7">
        <v>0</v>
      </c>
      <c r="L18" s="4">
        <f t="shared" si="2"/>
        <v>0</v>
      </c>
      <c r="M18" s="4">
        <f t="shared" si="3"/>
        <v>0</v>
      </c>
      <c r="N18" s="31">
        <v>0</v>
      </c>
      <c r="O18" s="32">
        <v>0</v>
      </c>
      <c r="P18" s="33">
        <v>0</v>
      </c>
      <c r="Q18" s="2" t="s">
        <v>902</v>
      </c>
    </row>
    <row r="19" spans="2:17" ht="13.8" x14ac:dyDescent="0.2">
      <c r="B19" s="8">
        <f t="shared" si="0"/>
        <v>14</v>
      </c>
      <c r="C19" s="14">
        <v>14</v>
      </c>
      <c r="D19" s="17" t="s">
        <v>128</v>
      </c>
      <c r="E19" s="15" t="str">
        <f t="shared" si="1"/>
        <v>---</v>
      </c>
      <c r="F19" s="5">
        <v>0</v>
      </c>
      <c r="G19" s="16">
        <v>0</v>
      </c>
      <c r="H19" s="16">
        <v>0</v>
      </c>
      <c r="I19" s="16">
        <v>0</v>
      </c>
      <c r="J19" s="6">
        <v>0</v>
      </c>
      <c r="K19" s="7">
        <v>0</v>
      </c>
      <c r="L19" s="4">
        <f t="shared" si="2"/>
        <v>0</v>
      </c>
      <c r="M19" s="4">
        <f t="shared" si="3"/>
        <v>0</v>
      </c>
      <c r="N19" s="31">
        <v>0</v>
      </c>
      <c r="O19" s="32">
        <v>0</v>
      </c>
      <c r="P19" s="33">
        <v>0</v>
      </c>
      <c r="Q19" s="2" t="s">
        <v>903</v>
      </c>
    </row>
    <row r="20" spans="2:17" ht="13.8" x14ac:dyDescent="0.2">
      <c r="B20" s="8">
        <f t="shared" si="0"/>
        <v>15</v>
      </c>
      <c r="C20" s="14">
        <v>15</v>
      </c>
      <c r="D20" s="17" t="s">
        <v>327</v>
      </c>
      <c r="E20" s="15" t="str">
        <f t="shared" si="1"/>
        <v>---</v>
      </c>
      <c r="F20" s="5">
        <v>0</v>
      </c>
      <c r="G20" s="16">
        <v>0</v>
      </c>
      <c r="H20" s="16">
        <v>0</v>
      </c>
      <c r="I20" s="16">
        <v>0</v>
      </c>
      <c r="J20" s="6">
        <v>0</v>
      </c>
      <c r="K20" s="7">
        <v>0</v>
      </c>
      <c r="L20" s="4">
        <f t="shared" si="2"/>
        <v>0</v>
      </c>
      <c r="M20" s="4">
        <f t="shared" si="3"/>
        <v>0</v>
      </c>
      <c r="N20" s="31">
        <v>0</v>
      </c>
      <c r="O20" s="32">
        <v>0</v>
      </c>
      <c r="P20" s="33">
        <v>0</v>
      </c>
      <c r="Q20" s="2" t="s">
        <v>904</v>
      </c>
    </row>
    <row r="21" spans="2:17" ht="13.8" x14ac:dyDescent="0.2">
      <c r="B21" s="8">
        <f t="shared" si="0"/>
        <v>16</v>
      </c>
      <c r="C21" s="14">
        <v>16</v>
      </c>
      <c r="D21" s="17" t="s">
        <v>2560</v>
      </c>
      <c r="E21" s="15" t="str">
        <f t="shared" si="1"/>
        <v>---</v>
      </c>
      <c r="F21" s="5">
        <v>0</v>
      </c>
      <c r="G21" s="16">
        <v>0</v>
      </c>
      <c r="H21" s="16">
        <v>0</v>
      </c>
      <c r="I21" s="16">
        <v>0</v>
      </c>
      <c r="J21" s="6">
        <v>0</v>
      </c>
      <c r="K21" s="7">
        <v>0</v>
      </c>
      <c r="L21" s="4">
        <f t="shared" si="2"/>
        <v>0</v>
      </c>
      <c r="M21" s="4">
        <f t="shared" si="3"/>
        <v>0</v>
      </c>
      <c r="N21" s="31">
        <v>0</v>
      </c>
      <c r="O21" s="32">
        <v>0</v>
      </c>
      <c r="P21" s="33">
        <v>0</v>
      </c>
      <c r="Q21" s="2" t="s">
        <v>2603</v>
      </c>
    </row>
    <row r="22" spans="2:17" ht="13.8" x14ac:dyDescent="0.2">
      <c r="B22" s="8">
        <f t="shared" si="0"/>
        <v>17</v>
      </c>
      <c r="C22" s="14">
        <v>17</v>
      </c>
      <c r="D22" s="17" t="s">
        <v>640</v>
      </c>
      <c r="E22" s="15" t="str">
        <f t="shared" si="1"/>
        <v>---</v>
      </c>
      <c r="F22" s="5">
        <v>0</v>
      </c>
      <c r="G22" s="16">
        <v>0</v>
      </c>
      <c r="H22" s="16">
        <v>0</v>
      </c>
      <c r="I22" s="16">
        <v>0</v>
      </c>
      <c r="J22" s="6">
        <v>0</v>
      </c>
      <c r="K22" s="7">
        <v>0</v>
      </c>
      <c r="L22" s="4">
        <f t="shared" si="2"/>
        <v>0</v>
      </c>
      <c r="M22" s="4">
        <f t="shared" si="3"/>
        <v>0</v>
      </c>
      <c r="N22" s="31">
        <v>0</v>
      </c>
      <c r="O22" s="32">
        <v>0</v>
      </c>
      <c r="P22" s="33">
        <v>0</v>
      </c>
      <c r="Q22" s="2" t="s">
        <v>905</v>
      </c>
    </row>
    <row r="23" spans="2:17" ht="13.8" x14ac:dyDescent="0.2">
      <c r="B23" s="8">
        <f t="shared" si="0"/>
        <v>18</v>
      </c>
      <c r="C23" s="14">
        <v>18</v>
      </c>
      <c r="D23" s="17" t="s">
        <v>328</v>
      </c>
      <c r="E23" s="15" t="str">
        <f t="shared" si="1"/>
        <v>---</v>
      </c>
      <c r="F23" s="5">
        <v>0</v>
      </c>
      <c r="G23" s="16">
        <v>0</v>
      </c>
      <c r="H23" s="16">
        <v>0</v>
      </c>
      <c r="I23" s="16">
        <v>0</v>
      </c>
      <c r="J23" s="6">
        <v>0</v>
      </c>
      <c r="K23" s="7">
        <v>0</v>
      </c>
      <c r="L23" s="4">
        <f t="shared" si="2"/>
        <v>0</v>
      </c>
      <c r="M23" s="4">
        <f t="shared" si="3"/>
        <v>0</v>
      </c>
      <c r="N23" s="31">
        <v>0</v>
      </c>
      <c r="O23" s="32">
        <v>0</v>
      </c>
      <c r="P23" s="33">
        <v>0</v>
      </c>
      <c r="Q23" s="2" t="s">
        <v>906</v>
      </c>
    </row>
    <row r="24" spans="2:17" ht="13.8" x14ac:dyDescent="0.2">
      <c r="B24" s="8">
        <f t="shared" si="0"/>
        <v>19</v>
      </c>
      <c r="C24" s="14">
        <v>19</v>
      </c>
      <c r="D24" s="17" t="s">
        <v>2561</v>
      </c>
      <c r="E24" s="15" t="str">
        <f t="shared" si="1"/>
        <v>---</v>
      </c>
      <c r="F24" s="5">
        <v>0</v>
      </c>
      <c r="G24" s="16">
        <v>0</v>
      </c>
      <c r="H24" s="16">
        <v>0</v>
      </c>
      <c r="I24" s="16">
        <v>0</v>
      </c>
      <c r="J24" s="6">
        <v>0</v>
      </c>
      <c r="K24" s="7">
        <v>0</v>
      </c>
      <c r="L24" s="4">
        <f t="shared" si="2"/>
        <v>0</v>
      </c>
      <c r="M24" s="4">
        <f t="shared" si="3"/>
        <v>0</v>
      </c>
      <c r="N24" s="31">
        <v>0</v>
      </c>
      <c r="O24" s="32">
        <v>0</v>
      </c>
      <c r="P24" s="33">
        <v>0</v>
      </c>
      <c r="Q24" s="2" t="s">
        <v>924</v>
      </c>
    </row>
    <row r="25" spans="2:17" ht="13.8" x14ac:dyDescent="0.2">
      <c r="B25" s="8">
        <f t="shared" si="0"/>
        <v>20</v>
      </c>
      <c r="C25" s="14">
        <v>20</v>
      </c>
      <c r="D25" s="17" t="s">
        <v>329</v>
      </c>
      <c r="E25" s="15" t="str">
        <f t="shared" si="1"/>
        <v>---</v>
      </c>
      <c r="F25" s="5">
        <v>0</v>
      </c>
      <c r="G25" s="16">
        <v>0</v>
      </c>
      <c r="H25" s="16">
        <v>0</v>
      </c>
      <c r="I25" s="16">
        <v>0</v>
      </c>
      <c r="J25" s="6">
        <v>0</v>
      </c>
      <c r="K25" s="7">
        <v>0</v>
      </c>
      <c r="L25" s="4">
        <f t="shared" si="2"/>
        <v>0</v>
      </c>
      <c r="M25" s="4">
        <f t="shared" si="3"/>
        <v>0</v>
      </c>
      <c r="N25" s="31">
        <v>0</v>
      </c>
      <c r="O25" s="32">
        <v>0</v>
      </c>
      <c r="P25" s="33">
        <v>0</v>
      </c>
      <c r="Q25" s="2" t="s">
        <v>907</v>
      </c>
    </row>
    <row r="26" spans="2:17" ht="13.8" x14ac:dyDescent="0.2">
      <c r="B26" s="8">
        <f t="shared" si="0"/>
        <v>21</v>
      </c>
      <c r="C26" s="14">
        <v>21</v>
      </c>
      <c r="D26" s="17" t="s">
        <v>330</v>
      </c>
      <c r="E26" s="15">
        <f t="shared" si="1"/>
        <v>0.21921182266009853</v>
      </c>
      <c r="F26" s="5">
        <v>406</v>
      </c>
      <c r="G26" s="16">
        <v>89</v>
      </c>
      <c r="H26" s="16">
        <v>25</v>
      </c>
      <c r="I26" s="16">
        <v>3</v>
      </c>
      <c r="J26" s="6">
        <v>18</v>
      </c>
      <c r="K26" s="7">
        <v>55</v>
      </c>
      <c r="L26" s="4">
        <f t="shared" si="2"/>
        <v>0.30501089324618735</v>
      </c>
      <c r="M26" s="4">
        <f t="shared" si="3"/>
        <v>0.73358232181761585</v>
      </c>
      <c r="N26" s="31">
        <v>45</v>
      </c>
      <c r="O26" s="32">
        <v>6</v>
      </c>
      <c r="P26" s="33">
        <v>2</v>
      </c>
      <c r="Q26" s="2" t="s">
        <v>324</v>
      </c>
    </row>
    <row r="27" spans="2:17" ht="13.8" x14ac:dyDescent="0.2">
      <c r="B27" s="8">
        <f t="shared" si="0"/>
        <v>22</v>
      </c>
      <c r="C27" s="14">
        <v>22</v>
      </c>
      <c r="D27" s="17" t="s">
        <v>2562</v>
      </c>
      <c r="E27" s="15" t="str">
        <f t="shared" si="1"/>
        <v>---</v>
      </c>
      <c r="F27" s="5">
        <v>0</v>
      </c>
      <c r="G27" s="16">
        <v>0</v>
      </c>
      <c r="H27" s="16">
        <v>0</v>
      </c>
      <c r="I27" s="16">
        <v>0</v>
      </c>
      <c r="J27" s="6">
        <v>0</v>
      </c>
      <c r="K27" s="7">
        <v>0</v>
      </c>
      <c r="L27" s="4">
        <f t="shared" si="2"/>
        <v>0</v>
      </c>
      <c r="M27" s="4">
        <f t="shared" si="3"/>
        <v>0</v>
      </c>
      <c r="N27" s="31">
        <v>0</v>
      </c>
      <c r="O27" s="32">
        <v>0</v>
      </c>
      <c r="P27" s="33">
        <v>0</v>
      </c>
      <c r="Q27" s="2" t="s">
        <v>2604</v>
      </c>
    </row>
    <row r="28" spans="2:17" ht="13.8" x14ac:dyDescent="0.2">
      <c r="B28" s="8">
        <f t="shared" si="0"/>
        <v>23</v>
      </c>
      <c r="C28" s="14">
        <v>23</v>
      </c>
      <c r="D28" s="17" t="s">
        <v>275</v>
      </c>
      <c r="E28" s="15">
        <f t="shared" si="1"/>
        <v>0.23333333333333334</v>
      </c>
      <c r="F28" s="5">
        <v>60</v>
      </c>
      <c r="G28" s="16">
        <v>14</v>
      </c>
      <c r="H28" s="16">
        <v>4</v>
      </c>
      <c r="I28" s="16">
        <v>2</v>
      </c>
      <c r="J28" s="6">
        <v>0</v>
      </c>
      <c r="K28" s="7">
        <v>2</v>
      </c>
      <c r="L28" s="4">
        <f t="shared" si="2"/>
        <v>0.28125</v>
      </c>
      <c r="M28" s="4">
        <f t="shared" si="3"/>
        <v>0.6479166666666667</v>
      </c>
      <c r="N28" s="31">
        <v>3</v>
      </c>
      <c r="O28" s="32">
        <v>1</v>
      </c>
      <c r="P28" s="33">
        <v>0</v>
      </c>
      <c r="Q28" s="2" t="s">
        <v>1002</v>
      </c>
    </row>
    <row r="29" spans="2:17" ht="13.8" x14ac:dyDescent="0.2">
      <c r="B29" s="8">
        <f t="shared" si="0"/>
        <v>24</v>
      </c>
      <c r="C29" s="14">
        <v>24</v>
      </c>
      <c r="D29" s="2" t="s">
        <v>2563</v>
      </c>
      <c r="E29" s="15">
        <f t="shared" si="1"/>
        <v>0.27873563218390807</v>
      </c>
      <c r="F29" s="5">
        <v>348</v>
      </c>
      <c r="G29" s="16">
        <v>97</v>
      </c>
      <c r="H29" s="16">
        <v>24</v>
      </c>
      <c r="I29" s="16">
        <v>2</v>
      </c>
      <c r="J29" s="6">
        <v>6</v>
      </c>
      <c r="K29" s="7">
        <v>36</v>
      </c>
      <c r="L29" s="4">
        <f t="shared" si="2"/>
        <v>0.3133514986376022</v>
      </c>
      <c r="M29" s="4">
        <f t="shared" si="3"/>
        <v>0.72427103886748734</v>
      </c>
      <c r="N29" s="31">
        <v>16</v>
      </c>
      <c r="O29" s="32">
        <v>2</v>
      </c>
      <c r="P29" s="33">
        <v>1</v>
      </c>
      <c r="Q29" s="2" t="s">
        <v>2605</v>
      </c>
    </row>
    <row r="30" spans="2:17" ht="13.8" x14ac:dyDescent="0.2">
      <c r="B30" s="8">
        <f t="shared" si="0"/>
        <v>25</v>
      </c>
      <c r="C30" s="14">
        <v>25</v>
      </c>
      <c r="D30" s="17" t="s">
        <v>331</v>
      </c>
      <c r="E30" s="15" t="str">
        <f t="shared" si="1"/>
        <v>---</v>
      </c>
      <c r="F30" s="5">
        <v>0</v>
      </c>
      <c r="G30" s="16">
        <v>0</v>
      </c>
      <c r="H30" s="16">
        <v>0</v>
      </c>
      <c r="I30" s="16">
        <v>0</v>
      </c>
      <c r="J30" s="6">
        <v>0</v>
      </c>
      <c r="K30" s="7">
        <v>0</v>
      </c>
      <c r="L30" s="4">
        <f t="shared" si="2"/>
        <v>0</v>
      </c>
      <c r="M30" s="4">
        <f t="shared" si="3"/>
        <v>0</v>
      </c>
      <c r="N30" s="31">
        <v>0</v>
      </c>
      <c r="O30" s="32">
        <v>0</v>
      </c>
      <c r="P30" s="33">
        <v>0</v>
      </c>
      <c r="Q30" s="2" t="s">
        <v>909</v>
      </c>
    </row>
    <row r="31" spans="2:17" ht="13.8" x14ac:dyDescent="0.2">
      <c r="B31" s="8">
        <f t="shared" si="0"/>
        <v>26</v>
      </c>
      <c r="C31" s="14">
        <v>26</v>
      </c>
      <c r="D31" s="17" t="s">
        <v>2564</v>
      </c>
      <c r="E31" s="15">
        <f t="shared" si="1"/>
        <v>0.23214285714285715</v>
      </c>
      <c r="F31" s="5">
        <v>224</v>
      </c>
      <c r="G31" s="16">
        <v>52</v>
      </c>
      <c r="H31" s="16">
        <v>14</v>
      </c>
      <c r="I31" s="16">
        <v>1</v>
      </c>
      <c r="J31" s="6">
        <v>4</v>
      </c>
      <c r="K31" s="7">
        <v>15</v>
      </c>
      <c r="L31" s="4">
        <f t="shared" si="2"/>
        <v>0.26694915254237289</v>
      </c>
      <c r="M31" s="4">
        <f t="shared" si="3"/>
        <v>0.62409200968523004</v>
      </c>
      <c r="N31" s="31">
        <v>11</v>
      </c>
      <c r="O31" s="32">
        <v>0</v>
      </c>
      <c r="P31" s="33">
        <v>1</v>
      </c>
      <c r="Q31" s="2" t="s">
        <v>2606</v>
      </c>
    </row>
    <row r="32" spans="2:17" ht="13.8" x14ac:dyDescent="0.2">
      <c r="B32" s="8">
        <f t="shared" si="0"/>
        <v>27</v>
      </c>
      <c r="C32" s="14">
        <v>27</v>
      </c>
      <c r="D32" s="17" t="s">
        <v>2565</v>
      </c>
      <c r="E32" s="15">
        <f t="shared" si="1"/>
        <v>0.22916666666666666</v>
      </c>
      <c r="F32" s="5">
        <v>96</v>
      </c>
      <c r="G32" s="16">
        <v>22</v>
      </c>
      <c r="H32" s="16">
        <v>3</v>
      </c>
      <c r="I32" s="16">
        <v>0</v>
      </c>
      <c r="J32" s="6">
        <v>0</v>
      </c>
      <c r="K32" s="7">
        <v>1</v>
      </c>
      <c r="L32" s="4">
        <f t="shared" si="2"/>
        <v>0.28846153846153844</v>
      </c>
      <c r="M32" s="4">
        <f t="shared" si="3"/>
        <v>0.54887820512820507</v>
      </c>
      <c r="N32" s="31">
        <v>8</v>
      </c>
      <c r="O32" s="32">
        <v>0</v>
      </c>
      <c r="P32" s="33">
        <v>0</v>
      </c>
      <c r="Q32" s="2" t="s">
        <v>911</v>
      </c>
    </row>
    <row r="33" spans="2:17" ht="13.8" x14ac:dyDescent="0.2">
      <c r="B33" s="8">
        <f t="shared" si="0"/>
        <v>28</v>
      </c>
      <c r="C33" s="14">
        <v>28</v>
      </c>
      <c r="D33" s="17" t="s">
        <v>332</v>
      </c>
      <c r="E33" s="15" t="str">
        <f t="shared" si="1"/>
        <v>---</v>
      </c>
      <c r="F33" s="5">
        <v>0</v>
      </c>
      <c r="G33" s="16">
        <v>0</v>
      </c>
      <c r="H33" s="16">
        <v>0</v>
      </c>
      <c r="I33" s="16">
        <v>0</v>
      </c>
      <c r="J33" s="6">
        <v>0</v>
      </c>
      <c r="K33" s="7">
        <v>0</v>
      </c>
      <c r="L33" s="4">
        <f t="shared" si="2"/>
        <v>0</v>
      </c>
      <c r="M33" s="4">
        <f t="shared" si="3"/>
        <v>0</v>
      </c>
      <c r="N33" s="31">
        <v>0</v>
      </c>
      <c r="O33" s="32">
        <v>0</v>
      </c>
      <c r="P33" s="33">
        <v>0</v>
      </c>
      <c r="Q33" s="2" t="s">
        <v>912</v>
      </c>
    </row>
    <row r="34" spans="2:17" ht="13.8" x14ac:dyDescent="0.2">
      <c r="B34" s="8">
        <f t="shared" si="0"/>
        <v>29</v>
      </c>
      <c r="C34" s="14">
        <v>29</v>
      </c>
      <c r="D34" s="17" t="s">
        <v>333</v>
      </c>
      <c r="E34" s="15" t="str">
        <f t="shared" si="1"/>
        <v>---</v>
      </c>
      <c r="F34" s="5">
        <v>0</v>
      </c>
      <c r="G34" s="16">
        <v>0</v>
      </c>
      <c r="H34" s="16">
        <v>0</v>
      </c>
      <c r="I34" s="16">
        <v>0</v>
      </c>
      <c r="J34" s="6">
        <v>0</v>
      </c>
      <c r="K34" s="7">
        <v>0</v>
      </c>
      <c r="L34" s="4">
        <f t="shared" si="2"/>
        <v>0</v>
      </c>
      <c r="M34" s="4">
        <f t="shared" si="3"/>
        <v>0</v>
      </c>
      <c r="N34" s="31">
        <v>0</v>
      </c>
      <c r="O34" s="32">
        <v>0</v>
      </c>
      <c r="P34" s="33">
        <v>0</v>
      </c>
      <c r="Q34" s="2" t="s">
        <v>913</v>
      </c>
    </row>
    <row r="35" spans="2:17" ht="13.8" x14ac:dyDescent="0.2">
      <c r="B35" s="8">
        <f t="shared" si="0"/>
        <v>30</v>
      </c>
      <c r="C35" s="14">
        <v>30</v>
      </c>
      <c r="D35" s="17" t="s">
        <v>242</v>
      </c>
      <c r="E35" s="15">
        <f t="shared" si="1"/>
        <v>0.2558139534883721</v>
      </c>
      <c r="F35" s="5">
        <v>215</v>
      </c>
      <c r="G35" s="16">
        <v>55</v>
      </c>
      <c r="H35" s="16">
        <v>10</v>
      </c>
      <c r="I35" s="16">
        <v>0</v>
      </c>
      <c r="J35" s="6">
        <v>5</v>
      </c>
      <c r="K35" s="7">
        <v>24</v>
      </c>
      <c r="L35" s="4">
        <f t="shared" si="2"/>
        <v>0.29565217391304349</v>
      </c>
      <c r="M35" s="4">
        <f t="shared" si="3"/>
        <v>0.6677451971688575</v>
      </c>
      <c r="N35" s="31">
        <v>12</v>
      </c>
      <c r="O35" s="32">
        <v>1</v>
      </c>
      <c r="P35" s="33">
        <v>2</v>
      </c>
      <c r="Q35" s="2" t="s">
        <v>1197</v>
      </c>
    </row>
    <row r="36" spans="2:17" ht="13.8" x14ac:dyDescent="0.2">
      <c r="B36" s="8">
        <f t="shared" si="0"/>
        <v>31</v>
      </c>
      <c r="C36" s="14">
        <v>31</v>
      </c>
      <c r="D36" s="17"/>
      <c r="E36" s="15">
        <f t="shared" si="1"/>
        <v>5.8823529411764705E-2</v>
      </c>
      <c r="F36" s="5">
        <v>17</v>
      </c>
      <c r="G36" s="16">
        <v>1</v>
      </c>
      <c r="H36" s="16">
        <v>0</v>
      </c>
      <c r="I36" s="16">
        <v>0</v>
      </c>
      <c r="J36" s="6">
        <v>0</v>
      </c>
      <c r="K36" s="7">
        <v>1</v>
      </c>
      <c r="L36" s="4">
        <f t="shared" si="2"/>
        <v>5.5555555555555552E-2</v>
      </c>
      <c r="M36" s="4">
        <f t="shared" si="3"/>
        <v>0.11437908496732026</v>
      </c>
      <c r="N36" s="31">
        <v>0</v>
      </c>
      <c r="O36" s="32">
        <v>0</v>
      </c>
      <c r="P36" s="33">
        <v>1</v>
      </c>
      <c r="Q36" s="2"/>
    </row>
    <row r="37" spans="2:17" ht="13.8" x14ac:dyDescent="0.2">
      <c r="B37" s="8">
        <f t="shared" si="0"/>
        <v>32</v>
      </c>
      <c r="C37" s="14">
        <v>32</v>
      </c>
      <c r="D37" s="17" t="s">
        <v>334</v>
      </c>
      <c r="E37" s="15">
        <f t="shared" si="1"/>
        <v>0.26797385620915032</v>
      </c>
      <c r="F37" s="5">
        <v>153</v>
      </c>
      <c r="G37" s="16">
        <v>41</v>
      </c>
      <c r="H37" s="16">
        <v>9</v>
      </c>
      <c r="I37" s="16">
        <v>0</v>
      </c>
      <c r="J37" s="6">
        <v>1</v>
      </c>
      <c r="K37" s="7">
        <v>12</v>
      </c>
      <c r="L37" s="4">
        <f t="shared" si="2"/>
        <v>0.30864197530864196</v>
      </c>
      <c r="M37" s="4">
        <f t="shared" si="3"/>
        <v>0.65504720406681183</v>
      </c>
      <c r="N37" s="31">
        <v>8</v>
      </c>
      <c r="O37" s="32">
        <v>1</v>
      </c>
      <c r="P37" s="33">
        <v>0</v>
      </c>
      <c r="Q37" s="2" t="s">
        <v>914</v>
      </c>
    </row>
    <row r="38" spans="2:17" ht="13.8" x14ac:dyDescent="0.2">
      <c r="B38" s="8">
        <f t="shared" si="0"/>
        <v>33</v>
      </c>
      <c r="C38" s="14">
        <v>33</v>
      </c>
      <c r="D38" s="17" t="s">
        <v>335</v>
      </c>
      <c r="E38" s="15" t="str">
        <f t="shared" si="1"/>
        <v>---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2"/>
        <v>0</v>
      </c>
      <c r="M38" s="4">
        <f t="shared" si="3"/>
        <v>0</v>
      </c>
      <c r="N38" s="31">
        <v>0</v>
      </c>
      <c r="O38" s="32">
        <v>0</v>
      </c>
      <c r="P38" s="33">
        <v>0</v>
      </c>
      <c r="Q38" s="2" t="s">
        <v>915</v>
      </c>
    </row>
    <row r="39" spans="2:17" ht="13.8" x14ac:dyDescent="0.2">
      <c r="B39" s="8">
        <f t="shared" si="0"/>
        <v>34</v>
      </c>
      <c r="C39" s="14">
        <v>34</v>
      </c>
      <c r="D39" s="17" t="s">
        <v>336</v>
      </c>
      <c r="E39" s="15" t="str">
        <f t="shared" si="1"/>
        <v>---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2"/>
        <v>0</v>
      </c>
      <c r="M39" s="4">
        <f t="shared" si="3"/>
        <v>0</v>
      </c>
      <c r="N39" s="31">
        <v>0</v>
      </c>
      <c r="O39" s="32">
        <v>0</v>
      </c>
      <c r="P39" s="33">
        <v>0</v>
      </c>
      <c r="Q39" s="2" t="s">
        <v>916</v>
      </c>
    </row>
    <row r="40" spans="2:17" ht="13.8" x14ac:dyDescent="0.2">
      <c r="B40" s="8">
        <f t="shared" si="0"/>
        <v>35</v>
      </c>
      <c r="C40" s="14">
        <v>35</v>
      </c>
      <c r="D40" s="17" t="s">
        <v>2566</v>
      </c>
      <c r="E40" s="15" t="str">
        <f t="shared" si="1"/>
        <v>---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2"/>
        <v>0</v>
      </c>
      <c r="M40" s="4">
        <f t="shared" si="3"/>
        <v>0</v>
      </c>
      <c r="N40" s="31">
        <v>0</v>
      </c>
      <c r="O40" s="32">
        <v>0</v>
      </c>
      <c r="P40" s="33">
        <v>0</v>
      </c>
      <c r="Q40" s="2" t="s">
        <v>2607</v>
      </c>
    </row>
    <row r="41" spans="2:17" ht="13.8" x14ac:dyDescent="0.2">
      <c r="B41" s="8">
        <f t="shared" si="0"/>
        <v>36</v>
      </c>
      <c r="C41" s="14">
        <v>36</v>
      </c>
      <c r="D41" s="17" t="s">
        <v>2567</v>
      </c>
      <c r="E41" s="15">
        <f t="shared" si="1"/>
        <v>0.17894736842105263</v>
      </c>
      <c r="F41" s="5">
        <v>95</v>
      </c>
      <c r="G41" s="16">
        <v>17</v>
      </c>
      <c r="H41" s="16">
        <v>4</v>
      </c>
      <c r="I41" s="16">
        <v>0</v>
      </c>
      <c r="J41" s="6">
        <v>2</v>
      </c>
      <c r="K41" s="7">
        <v>9</v>
      </c>
      <c r="L41" s="4">
        <f t="shared" si="2"/>
        <v>0.21782178217821782</v>
      </c>
      <c r="M41" s="4">
        <f t="shared" si="3"/>
        <v>0.50203230849400726</v>
      </c>
      <c r="N41" s="31">
        <v>4</v>
      </c>
      <c r="O41" s="32">
        <v>1</v>
      </c>
      <c r="P41" s="33">
        <v>1</v>
      </c>
      <c r="Q41" s="2" t="s">
        <v>2608</v>
      </c>
    </row>
    <row r="42" spans="2:17" ht="13.8" x14ac:dyDescent="0.2">
      <c r="B42" s="8">
        <f t="shared" si="0"/>
        <v>37</v>
      </c>
      <c r="C42" s="14">
        <v>37</v>
      </c>
      <c r="D42" s="17" t="s">
        <v>2568</v>
      </c>
      <c r="E42" s="15" t="str">
        <f t="shared" si="1"/>
        <v>---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2"/>
        <v>0</v>
      </c>
      <c r="M42" s="4">
        <f t="shared" si="3"/>
        <v>0</v>
      </c>
      <c r="N42" s="31">
        <v>0</v>
      </c>
      <c r="O42" s="32">
        <v>0</v>
      </c>
      <c r="P42" s="33">
        <v>0</v>
      </c>
      <c r="Q42" s="2" t="s">
        <v>1225</v>
      </c>
    </row>
    <row r="43" spans="2:17" ht="13.8" x14ac:dyDescent="0.2">
      <c r="B43" s="8">
        <f t="shared" si="0"/>
        <v>38</v>
      </c>
      <c r="C43" s="14">
        <v>38</v>
      </c>
      <c r="D43" s="17" t="s">
        <v>2019</v>
      </c>
      <c r="E43" s="15">
        <f t="shared" si="1"/>
        <v>0.23648648648648649</v>
      </c>
      <c r="F43" s="5">
        <v>296</v>
      </c>
      <c r="G43" s="16">
        <v>70</v>
      </c>
      <c r="H43" s="16">
        <v>12</v>
      </c>
      <c r="I43" s="16">
        <v>6</v>
      </c>
      <c r="J43" s="6">
        <v>6</v>
      </c>
      <c r="K43" s="7">
        <v>32</v>
      </c>
      <c r="L43" s="4">
        <f t="shared" si="2"/>
        <v>0.28437499999999999</v>
      </c>
      <c r="M43" s="4">
        <f t="shared" si="3"/>
        <v>0.66275337837837833</v>
      </c>
      <c r="N43" s="31">
        <v>20</v>
      </c>
      <c r="O43" s="32">
        <v>1</v>
      </c>
      <c r="P43" s="33">
        <v>3</v>
      </c>
      <c r="Q43" s="2" t="s">
        <v>918</v>
      </c>
    </row>
    <row r="44" spans="2:17" ht="13.8" x14ac:dyDescent="0.2">
      <c r="B44" s="8">
        <f t="shared" si="0"/>
        <v>39</v>
      </c>
      <c r="C44" s="14">
        <v>39</v>
      </c>
      <c r="D44" s="17" t="s">
        <v>2569</v>
      </c>
      <c r="E44" s="15">
        <f t="shared" si="1"/>
        <v>0</v>
      </c>
      <c r="F44" s="5">
        <v>7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2"/>
        <v>0</v>
      </c>
      <c r="M44" s="4">
        <f t="shared" si="3"/>
        <v>0</v>
      </c>
      <c r="N44" s="31">
        <v>0</v>
      </c>
      <c r="O44" s="32">
        <v>0</v>
      </c>
      <c r="P44" s="33">
        <v>0</v>
      </c>
      <c r="Q44" s="2" t="s">
        <v>2609</v>
      </c>
    </row>
    <row r="45" spans="2:17" ht="13.8" x14ac:dyDescent="0.2">
      <c r="B45" s="8">
        <f t="shared" si="0"/>
        <v>40</v>
      </c>
      <c r="C45" s="14">
        <v>40</v>
      </c>
      <c r="D45" s="17" t="s">
        <v>264</v>
      </c>
      <c r="E45" s="15" t="str">
        <f t="shared" si="1"/>
        <v>---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2"/>
        <v>0</v>
      </c>
      <c r="M45" s="4">
        <f t="shared" si="3"/>
        <v>0</v>
      </c>
      <c r="N45" s="31">
        <v>0</v>
      </c>
      <c r="O45" s="32">
        <v>0</v>
      </c>
      <c r="P45" s="33">
        <v>0</v>
      </c>
      <c r="Q45" s="2" t="s">
        <v>919</v>
      </c>
    </row>
    <row r="46" spans="2:17" ht="13.8" x14ac:dyDescent="0.2">
      <c r="B46" s="8">
        <f t="shared" si="0"/>
        <v>41</v>
      </c>
      <c r="C46" s="14">
        <v>41</v>
      </c>
      <c r="D46" s="17" t="s">
        <v>2570</v>
      </c>
      <c r="E46" s="15" t="str">
        <f t="shared" si="1"/>
        <v>---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2"/>
        <v>0</v>
      </c>
      <c r="M46" s="4">
        <f t="shared" si="3"/>
        <v>0</v>
      </c>
      <c r="N46" s="31">
        <v>0</v>
      </c>
      <c r="O46" s="32">
        <v>0</v>
      </c>
      <c r="P46" s="33">
        <v>0</v>
      </c>
      <c r="Q46" s="2" t="s">
        <v>609</v>
      </c>
    </row>
    <row r="47" spans="2:17" ht="13.8" x14ac:dyDescent="0.2">
      <c r="B47" s="8">
        <f t="shared" si="0"/>
        <v>42</v>
      </c>
      <c r="C47" s="14">
        <v>42</v>
      </c>
      <c r="D47" s="9" t="s">
        <v>2017</v>
      </c>
      <c r="E47" s="15" t="str">
        <f t="shared" si="1"/>
        <v>---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2"/>
        <v>0</v>
      </c>
      <c r="M47" s="4">
        <f t="shared" si="3"/>
        <v>0</v>
      </c>
      <c r="N47" s="31">
        <v>0</v>
      </c>
      <c r="O47" s="32">
        <v>0</v>
      </c>
      <c r="P47" s="33">
        <v>0</v>
      </c>
      <c r="Q47" s="2" t="s">
        <v>2017</v>
      </c>
    </row>
    <row r="48" spans="2:17" ht="13.8" x14ac:dyDescent="0.2">
      <c r="B48" s="8">
        <f t="shared" si="0"/>
        <v>43</v>
      </c>
      <c r="C48" s="14">
        <v>43</v>
      </c>
      <c r="D48" s="17" t="s">
        <v>2571</v>
      </c>
      <c r="E48" s="15">
        <f t="shared" si="1"/>
        <v>0.12195121951219512</v>
      </c>
      <c r="F48" s="5">
        <v>41</v>
      </c>
      <c r="G48" s="16">
        <v>5</v>
      </c>
      <c r="H48" s="16">
        <v>2</v>
      </c>
      <c r="I48" s="16">
        <v>0</v>
      </c>
      <c r="J48" s="6">
        <v>0</v>
      </c>
      <c r="K48" s="7">
        <v>0</v>
      </c>
      <c r="L48" s="4">
        <f t="shared" si="2"/>
        <v>0.16279069767441862</v>
      </c>
      <c r="M48" s="4">
        <f t="shared" si="3"/>
        <v>0.33352240499149177</v>
      </c>
      <c r="N48" s="31">
        <v>2</v>
      </c>
      <c r="O48" s="32">
        <v>0</v>
      </c>
      <c r="P48" s="33">
        <v>0</v>
      </c>
      <c r="Q48" s="2" t="s">
        <v>2610</v>
      </c>
    </row>
    <row r="49" spans="2:17" ht="13.8" x14ac:dyDescent="0.2">
      <c r="B49" s="8">
        <f t="shared" si="0"/>
        <v>44</v>
      </c>
      <c r="C49" s="14">
        <v>44</v>
      </c>
      <c r="D49" s="17" t="s">
        <v>2572</v>
      </c>
      <c r="E49" s="15">
        <f t="shared" si="1"/>
        <v>0.16666666666666666</v>
      </c>
      <c r="F49" s="5">
        <v>6</v>
      </c>
      <c r="G49" s="16">
        <v>1</v>
      </c>
      <c r="H49" s="16">
        <v>0</v>
      </c>
      <c r="I49" s="16">
        <v>0</v>
      </c>
      <c r="J49" s="6">
        <v>0</v>
      </c>
      <c r="K49" s="7">
        <v>0</v>
      </c>
      <c r="L49" s="4">
        <f t="shared" si="2"/>
        <v>0.16666666666666666</v>
      </c>
      <c r="M49" s="4">
        <f t="shared" si="3"/>
        <v>0.33333333333333331</v>
      </c>
      <c r="N49" s="31">
        <v>0</v>
      </c>
      <c r="O49" s="32">
        <v>0</v>
      </c>
      <c r="P49" s="33">
        <v>0</v>
      </c>
      <c r="Q49" s="2" t="s">
        <v>2611</v>
      </c>
    </row>
    <row r="50" spans="2:17" ht="13.8" x14ac:dyDescent="0.2">
      <c r="B50" s="8">
        <f t="shared" si="0"/>
        <v>45</v>
      </c>
      <c r="C50" s="14">
        <v>45</v>
      </c>
      <c r="D50" s="17" t="s">
        <v>2018</v>
      </c>
      <c r="E50" s="15" t="str">
        <f t="shared" si="1"/>
        <v>---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2"/>
        <v>0</v>
      </c>
      <c r="M50" s="4">
        <f t="shared" si="3"/>
        <v>0</v>
      </c>
      <c r="N50" s="31">
        <v>0</v>
      </c>
      <c r="O50" s="32">
        <v>0</v>
      </c>
      <c r="P50" s="33">
        <v>0</v>
      </c>
      <c r="Q50" s="2" t="s">
        <v>2018</v>
      </c>
    </row>
    <row r="51" spans="2:17" ht="13.8" x14ac:dyDescent="0.2">
      <c r="B51" s="8">
        <f t="shared" si="0"/>
        <v>46</v>
      </c>
      <c r="C51" s="14">
        <v>46</v>
      </c>
      <c r="D51" s="17" t="s">
        <v>2573</v>
      </c>
      <c r="E51" s="15" t="str">
        <f t="shared" si="1"/>
        <v>---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2"/>
        <v>0</v>
      </c>
      <c r="M51" s="4">
        <f t="shared" si="3"/>
        <v>0</v>
      </c>
      <c r="N51" s="31">
        <v>0</v>
      </c>
      <c r="O51" s="32">
        <v>0</v>
      </c>
      <c r="P51" s="33">
        <v>0</v>
      </c>
      <c r="Q51" s="2" t="s">
        <v>2612</v>
      </c>
    </row>
    <row r="52" spans="2:17" ht="13.8" x14ac:dyDescent="0.2">
      <c r="B52" s="8">
        <f t="shared" si="0"/>
        <v>47</v>
      </c>
      <c r="C52" s="14">
        <v>47</v>
      </c>
      <c r="D52" s="17" t="s">
        <v>337</v>
      </c>
      <c r="E52" s="15" t="str">
        <f t="shared" si="1"/>
        <v>---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2"/>
        <v>0</v>
      </c>
      <c r="M52" s="4">
        <f t="shared" si="3"/>
        <v>0</v>
      </c>
      <c r="N52" s="31">
        <v>0</v>
      </c>
      <c r="O52" s="32">
        <v>0</v>
      </c>
      <c r="P52" s="33">
        <v>0</v>
      </c>
      <c r="Q52" s="2" t="s">
        <v>921</v>
      </c>
    </row>
    <row r="53" spans="2:17" ht="13.8" x14ac:dyDescent="0.2">
      <c r="B53" s="8">
        <f t="shared" si="0"/>
        <v>48</v>
      </c>
      <c r="C53" s="14">
        <v>48</v>
      </c>
      <c r="D53" s="17" t="s">
        <v>148</v>
      </c>
      <c r="E53" s="15">
        <f t="shared" si="1"/>
        <v>7.407407407407407E-2</v>
      </c>
      <c r="F53" s="5">
        <v>27</v>
      </c>
      <c r="G53" s="16">
        <v>2</v>
      </c>
      <c r="H53" s="16">
        <v>1</v>
      </c>
      <c r="I53" s="16">
        <v>0</v>
      </c>
      <c r="J53" s="6">
        <v>0</v>
      </c>
      <c r="K53" s="7">
        <v>0</v>
      </c>
      <c r="L53" s="4">
        <f t="shared" si="2"/>
        <v>0.13793103448275862</v>
      </c>
      <c r="M53" s="4">
        <f t="shared" si="3"/>
        <v>0.24904214559386972</v>
      </c>
      <c r="N53" s="31">
        <v>2</v>
      </c>
      <c r="O53" s="32">
        <v>0</v>
      </c>
      <c r="P53" s="33">
        <v>0</v>
      </c>
      <c r="Q53" s="2" t="s">
        <v>812</v>
      </c>
    </row>
    <row r="54" spans="2:17" ht="13.8" x14ac:dyDescent="0.2">
      <c r="B54" s="8">
        <f t="shared" si="0"/>
        <v>49</v>
      </c>
      <c r="C54" s="14">
        <v>49</v>
      </c>
      <c r="D54" s="17" t="s">
        <v>2574</v>
      </c>
      <c r="E54" s="15">
        <f t="shared" si="1"/>
        <v>0.11458333333333333</v>
      </c>
      <c r="F54" s="5">
        <v>96</v>
      </c>
      <c r="G54" s="16">
        <v>11</v>
      </c>
      <c r="H54" s="16">
        <v>2</v>
      </c>
      <c r="I54" s="16">
        <v>0</v>
      </c>
      <c r="J54" s="6">
        <v>1</v>
      </c>
      <c r="K54" s="7">
        <v>4</v>
      </c>
      <c r="L54" s="4">
        <f t="shared" si="2"/>
        <v>0.17475728155339806</v>
      </c>
      <c r="M54" s="4">
        <f t="shared" si="3"/>
        <v>0.34142394822006472</v>
      </c>
      <c r="N54" s="31">
        <v>7</v>
      </c>
      <c r="O54" s="32">
        <v>0</v>
      </c>
      <c r="P54" s="33">
        <v>0</v>
      </c>
      <c r="Q54" s="2" t="s">
        <v>1110</v>
      </c>
    </row>
    <row r="55" spans="2:17" ht="13.8" x14ac:dyDescent="0.2">
      <c r="B55" s="8">
        <f t="shared" si="0"/>
        <v>50</v>
      </c>
      <c r="C55" s="14">
        <v>50</v>
      </c>
      <c r="D55" s="17" t="s">
        <v>674</v>
      </c>
      <c r="E55" s="15">
        <f t="shared" si="1"/>
        <v>0.2857142857142857</v>
      </c>
      <c r="F55" s="5">
        <v>14</v>
      </c>
      <c r="G55" s="16">
        <v>4</v>
      </c>
      <c r="H55" s="16">
        <v>0</v>
      </c>
      <c r="I55" s="16">
        <v>0</v>
      </c>
      <c r="J55" s="6">
        <v>0</v>
      </c>
      <c r="K55" s="7">
        <v>1</v>
      </c>
      <c r="L55" s="4">
        <f t="shared" si="2"/>
        <v>0.375</v>
      </c>
      <c r="M55" s="4">
        <f t="shared" si="3"/>
        <v>0.6607142857142857</v>
      </c>
      <c r="N55" s="31">
        <v>2</v>
      </c>
      <c r="O55" s="32">
        <v>0</v>
      </c>
      <c r="P55" s="33">
        <v>0</v>
      </c>
      <c r="Q55" s="2" t="s">
        <v>675</v>
      </c>
    </row>
    <row r="56" spans="2:17" ht="13.8" x14ac:dyDescent="0.2">
      <c r="B56" s="8">
        <f t="shared" si="0"/>
        <v>51</v>
      </c>
      <c r="C56" s="14">
        <v>51</v>
      </c>
      <c r="D56" s="17" t="s">
        <v>338</v>
      </c>
      <c r="E56" s="15" t="str">
        <f t="shared" si="1"/>
        <v>---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2"/>
        <v>0</v>
      </c>
      <c r="M56" s="4">
        <f t="shared" si="3"/>
        <v>0</v>
      </c>
      <c r="N56" s="31">
        <v>0</v>
      </c>
      <c r="O56" s="32">
        <v>0</v>
      </c>
      <c r="P56" s="33">
        <v>0</v>
      </c>
      <c r="Q56" s="2" t="s">
        <v>922</v>
      </c>
    </row>
    <row r="57" spans="2:17" ht="13.8" x14ac:dyDescent="0.2">
      <c r="B57" s="8">
        <f t="shared" si="0"/>
        <v>52</v>
      </c>
      <c r="C57" s="14">
        <v>52</v>
      </c>
      <c r="D57" s="17" t="s">
        <v>676</v>
      </c>
      <c r="E57" s="15" t="str">
        <f t="shared" si="1"/>
        <v>---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2"/>
        <v>0</v>
      </c>
      <c r="M57" s="4">
        <f t="shared" si="3"/>
        <v>0</v>
      </c>
      <c r="N57" s="31">
        <v>0</v>
      </c>
      <c r="O57" s="32">
        <v>0</v>
      </c>
      <c r="P57" s="33">
        <v>0</v>
      </c>
      <c r="Q57" s="2" t="s">
        <v>923</v>
      </c>
    </row>
    <row r="58" spans="2:17" ht="13.8" x14ac:dyDescent="0.2">
      <c r="B58" s="8">
        <f t="shared" si="0"/>
        <v>53</v>
      </c>
      <c r="C58" s="14">
        <v>53</v>
      </c>
      <c r="D58" s="17" t="s">
        <v>2575</v>
      </c>
      <c r="E58" s="15" t="str">
        <f t="shared" si="1"/>
        <v>---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2"/>
        <v>0</v>
      </c>
      <c r="M58" s="4">
        <f t="shared" si="3"/>
        <v>0</v>
      </c>
      <c r="N58" s="31">
        <v>0</v>
      </c>
      <c r="O58" s="32">
        <v>0</v>
      </c>
      <c r="P58" s="33">
        <v>0</v>
      </c>
      <c r="Q58" s="2" t="s">
        <v>2613</v>
      </c>
    </row>
    <row r="59" spans="2:17" ht="13.8" x14ac:dyDescent="0.2">
      <c r="B59" s="8">
        <f t="shared" si="0"/>
        <v>54</v>
      </c>
      <c r="C59" s="14">
        <v>54</v>
      </c>
      <c r="D59" s="17" t="s">
        <v>2576</v>
      </c>
      <c r="E59" s="15" t="str">
        <f t="shared" si="1"/>
        <v>---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2"/>
        <v>0</v>
      </c>
      <c r="M59" s="4">
        <f t="shared" si="3"/>
        <v>0</v>
      </c>
      <c r="N59" s="31">
        <v>0</v>
      </c>
      <c r="O59" s="32">
        <v>0</v>
      </c>
      <c r="P59" s="33">
        <v>0</v>
      </c>
      <c r="Q59" s="2" t="s">
        <v>2614</v>
      </c>
    </row>
    <row r="60" spans="2:17" ht="13.8" x14ac:dyDescent="0.2">
      <c r="B60" s="8">
        <f t="shared" si="0"/>
        <v>55</v>
      </c>
      <c r="C60" s="14">
        <v>55</v>
      </c>
      <c r="D60" s="17" t="s">
        <v>2577</v>
      </c>
      <c r="E60" s="15" t="str">
        <f t="shared" si="1"/>
        <v>---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2"/>
        <v>0</v>
      </c>
      <c r="M60" s="4">
        <f t="shared" si="3"/>
        <v>0</v>
      </c>
      <c r="N60" s="31">
        <v>0</v>
      </c>
      <c r="O60" s="32">
        <v>0</v>
      </c>
      <c r="P60" s="33">
        <v>0</v>
      </c>
      <c r="Q60" s="2" t="s">
        <v>2615</v>
      </c>
    </row>
    <row r="61" spans="2:17" ht="13.8" x14ac:dyDescent="0.2">
      <c r="B61" s="8">
        <f t="shared" si="0"/>
        <v>56</v>
      </c>
      <c r="C61" s="14">
        <v>56</v>
      </c>
      <c r="D61" s="17" t="s">
        <v>677</v>
      </c>
      <c r="E61" s="15">
        <f t="shared" si="1"/>
        <v>0.17073170731707318</v>
      </c>
      <c r="F61" s="5">
        <v>41</v>
      </c>
      <c r="G61" s="16">
        <v>7</v>
      </c>
      <c r="H61" s="16">
        <v>1</v>
      </c>
      <c r="I61" s="16">
        <v>2</v>
      </c>
      <c r="J61" s="6">
        <v>0</v>
      </c>
      <c r="K61" s="7">
        <v>2</v>
      </c>
      <c r="L61" s="4">
        <f t="shared" si="2"/>
        <v>0.24444444444444444</v>
      </c>
      <c r="M61" s="4">
        <f t="shared" si="3"/>
        <v>0.53712737127371268</v>
      </c>
      <c r="N61" s="31">
        <v>4</v>
      </c>
      <c r="O61" s="32">
        <v>0</v>
      </c>
      <c r="P61" s="33">
        <v>0</v>
      </c>
      <c r="Q61" s="2" t="s">
        <v>925</v>
      </c>
    </row>
    <row r="62" spans="2:17" ht="13.8" x14ac:dyDescent="0.2">
      <c r="B62" s="8">
        <f t="shared" si="0"/>
        <v>57</v>
      </c>
      <c r="C62" s="14">
        <v>57</v>
      </c>
      <c r="D62" s="17" t="s">
        <v>2578</v>
      </c>
      <c r="E62" s="15" t="str">
        <f t="shared" si="1"/>
        <v>---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2"/>
        <v>0</v>
      </c>
      <c r="M62" s="4">
        <f t="shared" si="3"/>
        <v>0</v>
      </c>
      <c r="N62" s="31">
        <v>0</v>
      </c>
      <c r="O62" s="32">
        <v>0</v>
      </c>
      <c r="P62" s="33">
        <v>0</v>
      </c>
      <c r="Q62" s="2" t="s">
        <v>2616</v>
      </c>
    </row>
    <row r="63" spans="2:17" ht="13.8" x14ac:dyDescent="0.2">
      <c r="B63" s="8">
        <f t="shared" si="0"/>
        <v>58</v>
      </c>
      <c r="C63" s="14">
        <v>58</v>
      </c>
      <c r="D63" s="17" t="s">
        <v>2579</v>
      </c>
      <c r="E63" s="15" t="str">
        <f t="shared" si="1"/>
        <v>---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2"/>
        <v>0</v>
      </c>
      <c r="M63" s="4">
        <f t="shared" si="3"/>
        <v>0</v>
      </c>
      <c r="N63" s="31">
        <v>0</v>
      </c>
      <c r="O63" s="32">
        <v>0</v>
      </c>
      <c r="P63" s="33">
        <v>0</v>
      </c>
      <c r="Q63" s="2" t="s">
        <v>2617</v>
      </c>
    </row>
    <row r="64" spans="2:17" ht="13.8" x14ac:dyDescent="0.2">
      <c r="B64" s="8">
        <f t="shared" si="0"/>
        <v>59</v>
      </c>
      <c r="C64" s="14">
        <v>59</v>
      </c>
      <c r="D64" s="17" t="s">
        <v>290</v>
      </c>
      <c r="E64" s="15" t="str">
        <f t="shared" si="1"/>
        <v>---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2"/>
        <v>0</v>
      </c>
      <c r="M64" s="4">
        <f t="shared" si="3"/>
        <v>0</v>
      </c>
      <c r="N64" s="31">
        <v>0</v>
      </c>
      <c r="O64" s="32">
        <v>0</v>
      </c>
      <c r="P64" s="33">
        <v>0</v>
      </c>
      <c r="Q64" s="2" t="s">
        <v>926</v>
      </c>
    </row>
    <row r="65" spans="2:17" ht="13.8" x14ac:dyDescent="0.2">
      <c r="B65" s="8">
        <f t="shared" si="0"/>
        <v>60</v>
      </c>
      <c r="C65" s="14">
        <v>60</v>
      </c>
      <c r="D65" s="17" t="s">
        <v>340</v>
      </c>
      <c r="E65" s="15">
        <f t="shared" si="1"/>
        <v>0.125</v>
      </c>
      <c r="F65" s="5">
        <v>56</v>
      </c>
      <c r="G65" s="16">
        <v>7</v>
      </c>
      <c r="H65" s="16">
        <v>1</v>
      </c>
      <c r="I65" s="16">
        <v>0</v>
      </c>
      <c r="J65" s="6">
        <v>2</v>
      </c>
      <c r="K65" s="7">
        <v>6</v>
      </c>
      <c r="L65" s="4">
        <f t="shared" si="2"/>
        <v>0.19672131147540983</v>
      </c>
      <c r="M65" s="4">
        <f t="shared" si="3"/>
        <v>0.44672131147540983</v>
      </c>
      <c r="N65" s="31">
        <v>4</v>
      </c>
      <c r="O65" s="32">
        <v>1</v>
      </c>
      <c r="P65" s="33">
        <v>0</v>
      </c>
      <c r="Q65" s="2" t="s">
        <v>927</v>
      </c>
    </row>
    <row r="66" spans="2:17" ht="13.8" x14ac:dyDescent="0.2">
      <c r="B66" s="8">
        <f t="shared" si="0"/>
        <v>61</v>
      </c>
      <c r="C66" s="14">
        <v>61</v>
      </c>
      <c r="D66" s="17" t="s">
        <v>678</v>
      </c>
      <c r="E66" s="15">
        <f t="shared" si="1"/>
        <v>0.2271062271062271</v>
      </c>
      <c r="F66" s="5">
        <v>273</v>
      </c>
      <c r="G66" s="16">
        <v>62</v>
      </c>
      <c r="H66" s="16">
        <v>12</v>
      </c>
      <c r="I66" s="16">
        <v>1</v>
      </c>
      <c r="J66" s="6">
        <v>10</v>
      </c>
      <c r="K66" s="7">
        <v>39</v>
      </c>
      <c r="L66" s="4">
        <f t="shared" si="2"/>
        <v>0.29042904290429045</v>
      </c>
      <c r="M66" s="4">
        <f t="shared" si="3"/>
        <v>0.67870743118267873</v>
      </c>
      <c r="N66" s="31">
        <v>19</v>
      </c>
      <c r="O66" s="32">
        <v>7</v>
      </c>
      <c r="P66" s="33">
        <v>4</v>
      </c>
      <c r="Q66" s="2" t="s">
        <v>928</v>
      </c>
    </row>
    <row r="67" spans="2:17" ht="13.8" x14ac:dyDescent="0.2">
      <c r="B67" s="8">
        <f t="shared" si="0"/>
        <v>62</v>
      </c>
      <c r="C67" s="14">
        <v>62</v>
      </c>
      <c r="D67" s="17" t="s">
        <v>2580</v>
      </c>
      <c r="E67" s="15" t="str">
        <f t="shared" si="1"/>
        <v>---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2"/>
        <v>0</v>
      </c>
      <c r="M67" s="4">
        <f t="shared" si="3"/>
        <v>0</v>
      </c>
      <c r="N67" s="31">
        <v>0</v>
      </c>
      <c r="O67" s="32">
        <v>0</v>
      </c>
      <c r="P67" s="33">
        <v>0</v>
      </c>
      <c r="Q67" s="2" t="s">
        <v>2618</v>
      </c>
    </row>
    <row r="68" spans="2:17" ht="13.8" x14ac:dyDescent="0.2">
      <c r="B68" s="8">
        <f t="shared" si="0"/>
        <v>63</v>
      </c>
      <c r="C68" s="14">
        <v>63</v>
      </c>
      <c r="D68" s="9" t="s">
        <v>341</v>
      </c>
      <c r="E68" s="15" t="str">
        <f t="shared" si="1"/>
        <v>---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2"/>
        <v>0</v>
      </c>
      <c r="M68" s="4">
        <f t="shared" si="3"/>
        <v>0</v>
      </c>
      <c r="N68" s="31">
        <v>0</v>
      </c>
      <c r="O68" s="32">
        <v>0</v>
      </c>
      <c r="P68" s="33">
        <v>0</v>
      </c>
      <c r="Q68" s="2" t="s">
        <v>929</v>
      </c>
    </row>
    <row r="69" spans="2:17" ht="13.8" x14ac:dyDescent="0.2">
      <c r="B69" s="8">
        <f t="shared" ref="B69:B132" si="4">IF(C69="","",C69)</f>
        <v>64</v>
      </c>
      <c r="C69" s="14">
        <v>64</v>
      </c>
      <c r="D69" s="17" t="s">
        <v>342</v>
      </c>
      <c r="E69" s="15">
        <f t="shared" ref="E69:E132" si="5">IFERROR(IF(G69/F69=1,"1.00",G69/F69),"---")</f>
        <v>0.1111111111111111</v>
      </c>
      <c r="F69" s="5">
        <v>18</v>
      </c>
      <c r="G69" s="16">
        <v>2</v>
      </c>
      <c r="H69" s="16">
        <v>1</v>
      </c>
      <c r="I69" s="16">
        <v>0</v>
      </c>
      <c r="J69" s="6">
        <v>0</v>
      </c>
      <c r="K69" s="7">
        <v>0</v>
      </c>
      <c r="L69" s="4">
        <f t="shared" ref="L69:L132" si="6">IFERROR(IF((G69+N69+O69)/(F69+N69+O69+P69)=1,"1.00",(G69+N69+O69)/(F69+N69+O69+P69)),0)</f>
        <v>0.15789473684210525</v>
      </c>
      <c r="M69" s="4">
        <f t="shared" ref="M69:M132" si="7">IFERROR(SUM(SUM(((G69-H69-I69-J69)*1),H69*2,I69*3,J69*4)/F69,((G69+N69+O69)/(F69+N69+O69+P69))),L69)</f>
        <v>0.32456140350877194</v>
      </c>
      <c r="N69" s="31">
        <v>1</v>
      </c>
      <c r="O69" s="32">
        <v>0</v>
      </c>
      <c r="P69" s="33">
        <v>0</v>
      </c>
      <c r="Q69" s="2" t="s">
        <v>930</v>
      </c>
    </row>
    <row r="70" spans="2:17" ht="13.8" x14ac:dyDescent="0.2">
      <c r="B70" s="8">
        <f t="shared" si="4"/>
        <v>65</v>
      </c>
      <c r="C70" s="14">
        <v>65</v>
      </c>
      <c r="D70" s="9" t="s">
        <v>343</v>
      </c>
      <c r="E70" s="15">
        <f t="shared" si="5"/>
        <v>0.10416666666666667</v>
      </c>
      <c r="F70" s="5">
        <v>48</v>
      </c>
      <c r="G70" s="16">
        <v>5</v>
      </c>
      <c r="H70" s="16">
        <v>1</v>
      </c>
      <c r="I70" s="16">
        <v>0</v>
      </c>
      <c r="J70" s="6">
        <v>0</v>
      </c>
      <c r="K70" s="7">
        <v>3</v>
      </c>
      <c r="L70" s="4">
        <f t="shared" si="6"/>
        <v>0.12244897959183673</v>
      </c>
      <c r="M70" s="4">
        <f t="shared" si="7"/>
        <v>0.24744897959183673</v>
      </c>
      <c r="N70" s="31">
        <v>1</v>
      </c>
      <c r="O70" s="32">
        <v>0</v>
      </c>
      <c r="P70" s="33">
        <v>0</v>
      </c>
      <c r="Q70" s="2" t="s">
        <v>931</v>
      </c>
    </row>
    <row r="71" spans="2:17" ht="13.8" x14ac:dyDescent="0.2">
      <c r="B71" s="8">
        <f t="shared" si="4"/>
        <v>66</v>
      </c>
      <c r="C71" s="14">
        <v>66</v>
      </c>
      <c r="D71" s="17" t="s">
        <v>344</v>
      </c>
      <c r="E71" s="15">
        <f t="shared" si="5"/>
        <v>0.20270270270270271</v>
      </c>
      <c r="F71" s="5">
        <v>296</v>
      </c>
      <c r="G71" s="16">
        <v>60</v>
      </c>
      <c r="H71" s="16">
        <v>10</v>
      </c>
      <c r="I71" s="16">
        <v>2</v>
      </c>
      <c r="J71" s="6">
        <v>14</v>
      </c>
      <c r="K71" s="7">
        <v>40</v>
      </c>
      <c r="L71" s="4">
        <f t="shared" si="6"/>
        <v>0.23717948717948717</v>
      </c>
      <c r="M71" s="4">
        <f t="shared" si="7"/>
        <v>0.62907137907137911</v>
      </c>
      <c r="N71" s="31">
        <v>12</v>
      </c>
      <c r="O71" s="32">
        <v>2</v>
      </c>
      <c r="P71" s="33">
        <v>2</v>
      </c>
      <c r="Q71" s="2" t="s">
        <v>932</v>
      </c>
    </row>
    <row r="72" spans="2:17" ht="13.8" x14ac:dyDescent="0.2">
      <c r="B72" s="8">
        <f t="shared" si="4"/>
        <v>67</v>
      </c>
      <c r="C72" s="14">
        <v>67</v>
      </c>
      <c r="D72" s="17" t="s">
        <v>2581</v>
      </c>
      <c r="E72" s="15">
        <f t="shared" si="5"/>
        <v>0.125</v>
      </c>
      <c r="F72" s="5">
        <v>24</v>
      </c>
      <c r="G72" s="16">
        <v>3</v>
      </c>
      <c r="H72" s="16">
        <v>1</v>
      </c>
      <c r="I72" s="16">
        <v>0</v>
      </c>
      <c r="J72" s="6">
        <v>0</v>
      </c>
      <c r="K72" s="7">
        <v>0</v>
      </c>
      <c r="L72" s="4">
        <f t="shared" si="6"/>
        <v>0.125</v>
      </c>
      <c r="M72" s="4">
        <f t="shared" si="7"/>
        <v>0.29166666666666663</v>
      </c>
      <c r="N72" s="31">
        <v>0</v>
      </c>
      <c r="O72" s="32">
        <v>0</v>
      </c>
      <c r="P72" s="33">
        <v>0</v>
      </c>
      <c r="Q72" s="2" t="s">
        <v>1207</v>
      </c>
    </row>
    <row r="73" spans="2:17" ht="13.8" x14ac:dyDescent="0.2">
      <c r="B73" s="8">
        <f t="shared" si="4"/>
        <v>68</v>
      </c>
      <c r="C73" s="14">
        <v>68</v>
      </c>
      <c r="D73" s="17" t="s">
        <v>2582</v>
      </c>
      <c r="E73" s="15">
        <f t="shared" si="5"/>
        <v>0.15555555555555556</v>
      </c>
      <c r="F73" s="5">
        <v>45</v>
      </c>
      <c r="G73" s="16">
        <v>7</v>
      </c>
      <c r="H73" s="16">
        <v>0</v>
      </c>
      <c r="I73" s="16">
        <v>0</v>
      </c>
      <c r="J73" s="6">
        <v>0</v>
      </c>
      <c r="K73" s="7">
        <v>3</v>
      </c>
      <c r="L73" s="4">
        <f t="shared" si="6"/>
        <v>0.19148936170212766</v>
      </c>
      <c r="M73" s="4">
        <f t="shared" si="7"/>
        <v>0.34704491725768322</v>
      </c>
      <c r="N73" s="31">
        <v>2</v>
      </c>
      <c r="O73" s="32">
        <v>0</v>
      </c>
      <c r="P73" s="33">
        <v>0</v>
      </c>
      <c r="Q73" s="2" t="s">
        <v>1107</v>
      </c>
    </row>
    <row r="74" spans="2:17" ht="13.8" x14ac:dyDescent="0.2">
      <c r="B74" s="8">
        <f t="shared" si="4"/>
        <v>69</v>
      </c>
      <c r="C74" s="14">
        <v>69</v>
      </c>
      <c r="D74" s="17"/>
      <c r="E74" s="15">
        <f t="shared" si="5"/>
        <v>0.14285714285714285</v>
      </c>
      <c r="F74" s="5">
        <v>7</v>
      </c>
      <c r="G74" s="16">
        <v>1</v>
      </c>
      <c r="H74" s="16">
        <v>0</v>
      </c>
      <c r="I74" s="16">
        <v>0</v>
      </c>
      <c r="J74" s="6">
        <v>0</v>
      </c>
      <c r="K74" s="7">
        <v>0</v>
      </c>
      <c r="L74" s="4">
        <f t="shared" si="6"/>
        <v>0.14285714285714285</v>
      </c>
      <c r="M74" s="4">
        <f t="shared" si="7"/>
        <v>0.2857142857142857</v>
      </c>
      <c r="N74" s="31">
        <v>0</v>
      </c>
      <c r="O74" s="32">
        <v>0</v>
      </c>
      <c r="P74" s="33">
        <v>0</v>
      </c>
      <c r="Q74" s="2"/>
    </row>
    <row r="75" spans="2:17" ht="13.8" x14ac:dyDescent="0.2">
      <c r="B75" s="8">
        <f t="shared" si="4"/>
        <v>70</v>
      </c>
      <c r="C75" s="14">
        <v>70</v>
      </c>
      <c r="D75" s="9" t="s">
        <v>2583</v>
      </c>
      <c r="E75" s="15" t="str">
        <f t="shared" si="5"/>
        <v>---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6"/>
        <v>0</v>
      </c>
      <c r="M75" s="4">
        <f t="shared" si="7"/>
        <v>0</v>
      </c>
      <c r="N75" s="31">
        <v>0</v>
      </c>
      <c r="O75" s="32">
        <v>0</v>
      </c>
      <c r="P75" s="33">
        <v>0</v>
      </c>
      <c r="Q75" s="2" t="s">
        <v>2583</v>
      </c>
    </row>
    <row r="76" spans="2:17" ht="13.8" x14ac:dyDescent="0.2">
      <c r="B76" s="8">
        <f t="shared" si="4"/>
        <v>71</v>
      </c>
      <c r="C76" s="14">
        <v>71</v>
      </c>
      <c r="D76" s="17"/>
      <c r="E76" s="15" t="str">
        <f t="shared" si="5"/>
        <v>---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6"/>
        <v>0</v>
      </c>
      <c r="M76" s="4">
        <f t="shared" si="7"/>
        <v>0</v>
      </c>
      <c r="N76" s="31">
        <v>0</v>
      </c>
      <c r="O76" s="32">
        <v>0</v>
      </c>
      <c r="P76" s="33">
        <v>0</v>
      </c>
      <c r="Q76" s="2" t="s">
        <v>736</v>
      </c>
    </row>
    <row r="77" spans="2:17" ht="13.8" x14ac:dyDescent="0.2">
      <c r="B77" s="8">
        <f t="shared" si="4"/>
        <v>72</v>
      </c>
      <c r="C77" s="14">
        <v>72</v>
      </c>
      <c r="D77" s="8"/>
      <c r="E77" s="15" t="str">
        <f t="shared" si="5"/>
        <v>---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6"/>
        <v>0</v>
      </c>
      <c r="M77" s="4">
        <f t="shared" si="7"/>
        <v>0</v>
      </c>
      <c r="N77" s="31">
        <v>0</v>
      </c>
      <c r="O77" s="32">
        <v>0</v>
      </c>
      <c r="P77" s="33">
        <v>0</v>
      </c>
      <c r="Q77" s="2" t="s">
        <v>736</v>
      </c>
    </row>
    <row r="78" spans="2:17" ht="13.8" x14ac:dyDescent="0.2">
      <c r="B78" s="8">
        <f t="shared" si="4"/>
        <v>73</v>
      </c>
      <c r="C78" s="14">
        <v>73</v>
      </c>
      <c r="D78" s="8"/>
      <c r="E78" s="15" t="str">
        <f t="shared" si="5"/>
        <v>---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6"/>
        <v>0</v>
      </c>
      <c r="M78" s="4">
        <f t="shared" si="7"/>
        <v>0</v>
      </c>
      <c r="N78" s="31">
        <v>0</v>
      </c>
      <c r="O78" s="32">
        <v>0</v>
      </c>
      <c r="P78" s="33">
        <v>0</v>
      </c>
      <c r="Q78" s="2" t="s">
        <v>736</v>
      </c>
    </row>
    <row r="79" spans="2:17" ht="13.8" x14ac:dyDescent="0.2">
      <c r="B79" s="8">
        <f t="shared" si="4"/>
        <v>74</v>
      </c>
      <c r="C79" s="14">
        <v>74</v>
      </c>
      <c r="D79" s="8"/>
      <c r="E79" s="15" t="str">
        <f t="shared" si="5"/>
        <v>---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6"/>
        <v>0</v>
      </c>
      <c r="M79" s="4">
        <f t="shared" si="7"/>
        <v>0</v>
      </c>
      <c r="N79" s="31">
        <v>0</v>
      </c>
      <c r="O79" s="32">
        <v>0</v>
      </c>
      <c r="P79" s="33">
        <v>0</v>
      </c>
      <c r="Q79" s="2" t="s">
        <v>736</v>
      </c>
    </row>
    <row r="80" spans="2:17" ht="13.8" x14ac:dyDescent="0.2">
      <c r="B80" s="8">
        <f t="shared" si="4"/>
        <v>75</v>
      </c>
      <c r="C80" s="14">
        <v>75</v>
      </c>
      <c r="D80" s="8"/>
      <c r="E80" s="15" t="str">
        <f t="shared" si="5"/>
        <v>---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6"/>
        <v>0</v>
      </c>
      <c r="M80" s="4">
        <f t="shared" si="7"/>
        <v>0</v>
      </c>
      <c r="N80" s="31">
        <v>0</v>
      </c>
      <c r="O80" s="32">
        <v>0</v>
      </c>
      <c r="P80" s="33">
        <v>0</v>
      </c>
      <c r="Q80" s="2" t="s">
        <v>736</v>
      </c>
    </row>
    <row r="81" spans="2:17" ht="13.8" x14ac:dyDescent="0.2">
      <c r="B81" s="8">
        <f t="shared" si="4"/>
        <v>76</v>
      </c>
      <c r="C81" s="14">
        <v>76</v>
      </c>
      <c r="D81" s="8"/>
      <c r="E81" s="15" t="str">
        <f t="shared" si="5"/>
        <v>---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6"/>
        <v>0</v>
      </c>
      <c r="M81" s="4">
        <f t="shared" si="7"/>
        <v>0</v>
      </c>
      <c r="N81" s="31">
        <v>0</v>
      </c>
      <c r="O81" s="32">
        <v>0</v>
      </c>
      <c r="P81" s="33">
        <v>0</v>
      </c>
      <c r="Q81" s="2" t="s">
        <v>736</v>
      </c>
    </row>
    <row r="82" spans="2:17" ht="13.8" x14ac:dyDescent="0.2">
      <c r="B82" s="8">
        <f t="shared" si="4"/>
        <v>77</v>
      </c>
      <c r="C82" s="14">
        <v>77</v>
      </c>
      <c r="D82" s="8"/>
      <c r="E82" s="15" t="str">
        <f t="shared" si="5"/>
        <v>---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6"/>
        <v>0</v>
      </c>
      <c r="M82" s="4">
        <f t="shared" si="7"/>
        <v>0</v>
      </c>
      <c r="N82" s="31">
        <v>0</v>
      </c>
      <c r="O82" s="32">
        <v>0</v>
      </c>
      <c r="P82" s="33">
        <v>0</v>
      </c>
      <c r="Q82" s="2" t="s">
        <v>736</v>
      </c>
    </row>
    <row r="83" spans="2:17" ht="13.8" x14ac:dyDescent="0.2">
      <c r="B83" s="8">
        <f t="shared" si="4"/>
        <v>78</v>
      </c>
      <c r="C83" s="14">
        <v>78</v>
      </c>
      <c r="D83" s="17"/>
      <c r="E83" s="15" t="str">
        <f t="shared" si="5"/>
        <v>---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6"/>
        <v>0</v>
      </c>
      <c r="M83" s="4">
        <f t="shared" si="7"/>
        <v>0</v>
      </c>
      <c r="N83" s="31">
        <v>0</v>
      </c>
      <c r="O83" s="32">
        <v>0</v>
      </c>
      <c r="P83" s="33">
        <v>0</v>
      </c>
      <c r="Q83" s="2" t="s">
        <v>736</v>
      </c>
    </row>
    <row r="84" spans="2:17" ht="13.8" x14ac:dyDescent="0.2">
      <c r="B84" s="8">
        <f t="shared" si="4"/>
        <v>79</v>
      </c>
      <c r="C84" s="14">
        <v>79</v>
      </c>
      <c r="D84" s="8"/>
      <c r="E84" s="15" t="str">
        <f t="shared" si="5"/>
        <v>---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6"/>
        <v>0</v>
      </c>
      <c r="M84" s="4">
        <f t="shared" si="7"/>
        <v>0</v>
      </c>
      <c r="N84" s="31">
        <v>0</v>
      </c>
      <c r="O84" s="32">
        <v>0</v>
      </c>
      <c r="P84" s="33">
        <v>0</v>
      </c>
      <c r="Q84" s="2" t="s">
        <v>736</v>
      </c>
    </row>
    <row r="85" spans="2:17" ht="13.8" x14ac:dyDescent="0.2">
      <c r="B85" s="8">
        <f t="shared" si="4"/>
        <v>80</v>
      </c>
      <c r="C85" s="14">
        <v>80</v>
      </c>
      <c r="D85" s="8"/>
      <c r="E85" s="15" t="str">
        <f t="shared" si="5"/>
        <v>---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6"/>
        <v>0</v>
      </c>
      <c r="M85" s="4">
        <f t="shared" si="7"/>
        <v>0</v>
      </c>
      <c r="N85" s="31">
        <v>0</v>
      </c>
      <c r="O85" s="32">
        <v>0</v>
      </c>
      <c r="P85" s="33">
        <v>0</v>
      </c>
      <c r="Q85" s="2" t="s">
        <v>736</v>
      </c>
    </row>
    <row r="86" spans="2:17" ht="13.8" x14ac:dyDescent="0.2">
      <c r="B86" s="8">
        <f t="shared" si="4"/>
        <v>81</v>
      </c>
      <c r="C86" s="14">
        <v>81</v>
      </c>
      <c r="D86" s="8"/>
      <c r="E86" s="15" t="str">
        <f t="shared" si="5"/>
        <v>---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6"/>
        <v>0</v>
      </c>
      <c r="M86" s="4">
        <f t="shared" si="7"/>
        <v>0</v>
      </c>
      <c r="N86" s="31">
        <v>0</v>
      </c>
      <c r="O86" s="32">
        <v>0</v>
      </c>
      <c r="P86" s="33">
        <v>0</v>
      </c>
      <c r="Q86" s="2" t="s">
        <v>736</v>
      </c>
    </row>
    <row r="87" spans="2:17" ht="13.8" x14ac:dyDescent="0.2">
      <c r="B87" s="8">
        <f t="shared" si="4"/>
        <v>82</v>
      </c>
      <c r="C87" s="14">
        <v>82</v>
      </c>
      <c r="D87" s="8"/>
      <c r="E87" s="15" t="str">
        <f t="shared" si="5"/>
        <v>---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6"/>
        <v>0</v>
      </c>
      <c r="M87" s="4">
        <f t="shared" si="7"/>
        <v>0</v>
      </c>
      <c r="N87" s="31">
        <v>0</v>
      </c>
      <c r="O87" s="32">
        <v>0</v>
      </c>
      <c r="P87" s="33">
        <v>0</v>
      </c>
      <c r="Q87" s="2" t="s">
        <v>736</v>
      </c>
    </row>
    <row r="88" spans="2:17" ht="13.8" x14ac:dyDescent="0.2">
      <c r="B88" s="8">
        <f t="shared" si="4"/>
        <v>83</v>
      </c>
      <c r="C88" s="14">
        <v>83</v>
      </c>
      <c r="D88" s="8"/>
      <c r="E88" s="15" t="str">
        <f t="shared" si="5"/>
        <v>---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6"/>
        <v>0</v>
      </c>
      <c r="M88" s="4">
        <f t="shared" si="7"/>
        <v>0</v>
      </c>
      <c r="N88" s="31">
        <v>0</v>
      </c>
      <c r="O88" s="32">
        <v>0</v>
      </c>
      <c r="P88" s="33">
        <v>0</v>
      </c>
      <c r="Q88" s="2" t="s">
        <v>736</v>
      </c>
    </row>
    <row r="89" spans="2:17" ht="13.8" x14ac:dyDescent="0.2">
      <c r="B89" s="8">
        <f t="shared" si="4"/>
        <v>84</v>
      </c>
      <c r="C89" s="14">
        <v>84</v>
      </c>
      <c r="D89" s="8"/>
      <c r="E89" s="15" t="str">
        <f t="shared" si="5"/>
        <v>---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6"/>
        <v>0</v>
      </c>
      <c r="M89" s="4">
        <f t="shared" si="7"/>
        <v>0</v>
      </c>
      <c r="N89" s="31">
        <v>0</v>
      </c>
      <c r="O89" s="32">
        <v>0</v>
      </c>
      <c r="P89" s="33">
        <v>0</v>
      </c>
      <c r="Q89" s="2" t="s">
        <v>736</v>
      </c>
    </row>
    <row r="90" spans="2:17" ht="13.8" x14ac:dyDescent="0.2">
      <c r="B90" s="8">
        <f t="shared" si="4"/>
        <v>85</v>
      </c>
      <c r="C90" s="14">
        <v>85</v>
      </c>
      <c r="D90" s="8"/>
      <c r="E90" s="15" t="str">
        <f t="shared" si="5"/>
        <v>---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6"/>
        <v>0</v>
      </c>
      <c r="M90" s="4">
        <f t="shared" si="7"/>
        <v>0</v>
      </c>
      <c r="N90" s="31">
        <v>0</v>
      </c>
      <c r="O90" s="32">
        <v>0</v>
      </c>
      <c r="P90" s="33">
        <v>0</v>
      </c>
      <c r="Q90" s="2" t="s">
        <v>736</v>
      </c>
    </row>
    <row r="91" spans="2:17" ht="13.8" x14ac:dyDescent="0.2">
      <c r="B91" s="8">
        <f t="shared" si="4"/>
        <v>86</v>
      </c>
      <c r="C91" s="14">
        <v>86</v>
      </c>
      <c r="D91" s="8"/>
      <c r="E91" s="15" t="str">
        <f t="shared" si="5"/>
        <v>---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6"/>
        <v>0</v>
      </c>
      <c r="M91" s="4">
        <f t="shared" si="7"/>
        <v>0</v>
      </c>
      <c r="N91" s="31">
        <v>0</v>
      </c>
      <c r="O91" s="32">
        <v>0</v>
      </c>
      <c r="P91" s="33">
        <v>0</v>
      </c>
      <c r="Q91" s="2" t="s">
        <v>736</v>
      </c>
    </row>
    <row r="92" spans="2:17" ht="13.8" x14ac:dyDescent="0.2">
      <c r="B92" s="8">
        <f t="shared" si="4"/>
        <v>87</v>
      </c>
      <c r="C92" s="14">
        <v>87</v>
      </c>
      <c r="D92" s="8"/>
      <c r="E92" s="15" t="str">
        <f t="shared" si="5"/>
        <v>---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6"/>
        <v>0</v>
      </c>
      <c r="M92" s="4">
        <f t="shared" si="7"/>
        <v>0</v>
      </c>
      <c r="N92" s="31">
        <v>0</v>
      </c>
      <c r="O92" s="32">
        <v>0</v>
      </c>
      <c r="P92" s="33">
        <v>0</v>
      </c>
      <c r="Q92" s="2" t="s">
        <v>736</v>
      </c>
    </row>
    <row r="93" spans="2:17" ht="13.8" x14ac:dyDescent="0.2">
      <c r="B93" s="8">
        <f t="shared" si="4"/>
        <v>88</v>
      </c>
      <c r="C93" s="14">
        <v>88</v>
      </c>
      <c r="D93" s="17"/>
      <c r="E93" s="15" t="str">
        <f t="shared" si="5"/>
        <v>---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6"/>
        <v>0</v>
      </c>
      <c r="M93" s="4">
        <f t="shared" si="7"/>
        <v>0</v>
      </c>
      <c r="N93" s="31">
        <v>0</v>
      </c>
      <c r="O93" s="32">
        <v>0</v>
      </c>
      <c r="P93" s="33">
        <v>0</v>
      </c>
      <c r="Q93" s="2" t="s">
        <v>736</v>
      </c>
    </row>
    <row r="94" spans="2:17" ht="13.8" x14ac:dyDescent="0.2">
      <c r="B94" s="8">
        <f t="shared" si="4"/>
        <v>89</v>
      </c>
      <c r="C94" s="14">
        <v>89</v>
      </c>
      <c r="D94" s="8"/>
      <c r="E94" s="15" t="str">
        <f t="shared" si="5"/>
        <v>---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6"/>
        <v>0</v>
      </c>
      <c r="M94" s="4">
        <f t="shared" si="7"/>
        <v>0</v>
      </c>
      <c r="N94" s="31">
        <v>0</v>
      </c>
      <c r="O94" s="32">
        <v>0</v>
      </c>
      <c r="P94" s="33">
        <v>0</v>
      </c>
      <c r="Q94" s="2" t="s">
        <v>736</v>
      </c>
    </row>
    <row r="95" spans="2:17" ht="13.8" x14ac:dyDescent="0.2">
      <c r="B95" s="8">
        <f t="shared" si="4"/>
        <v>90</v>
      </c>
      <c r="C95" s="14">
        <v>90</v>
      </c>
      <c r="D95" s="8"/>
      <c r="E95" s="15" t="str">
        <f t="shared" si="5"/>
        <v>---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6"/>
        <v>0</v>
      </c>
      <c r="M95" s="4">
        <f t="shared" si="7"/>
        <v>0</v>
      </c>
      <c r="N95" s="31">
        <v>0</v>
      </c>
      <c r="O95" s="32">
        <v>0</v>
      </c>
      <c r="P95" s="33">
        <v>0</v>
      </c>
      <c r="Q95" s="2" t="s">
        <v>736</v>
      </c>
    </row>
    <row r="96" spans="2:17" ht="13.8" x14ac:dyDescent="0.2">
      <c r="B96" s="8">
        <f t="shared" si="4"/>
        <v>91</v>
      </c>
      <c r="C96" s="14">
        <v>91</v>
      </c>
      <c r="D96" s="41"/>
      <c r="E96" s="15" t="str">
        <f t="shared" si="5"/>
        <v>---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6"/>
        <v>0</v>
      </c>
      <c r="M96" s="4">
        <f t="shared" si="7"/>
        <v>0</v>
      </c>
      <c r="N96" s="31">
        <v>0</v>
      </c>
      <c r="O96" s="32">
        <v>0</v>
      </c>
      <c r="P96" s="33">
        <v>0</v>
      </c>
      <c r="Q96" s="2"/>
    </row>
    <row r="97" spans="2:17" ht="13.8" x14ac:dyDescent="0.2">
      <c r="B97" s="8">
        <f t="shared" si="4"/>
        <v>92</v>
      </c>
      <c r="C97" s="14">
        <v>92</v>
      </c>
      <c r="D97" s="8"/>
      <c r="E97" s="15" t="str">
        <f t="shared" si="5"/>
        <v>---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6"/>
        <v>0</v>
      </c>
      <c r="M97" s="4">
        <f t="shared" si="7"/>
        <v>0</v>
      </c>
      <c r="N97" s="31">
        <v>0</v>
      </c>
      <c r="O97" s="32">
        <v>0</v>
      </c>
      <c r="P97" s="33">
        <v>0</v>
      </c>
      <c r="Q97" s="2" t="s">
        <v>736</v>
      </c>
    </row>
    <row r="98" spans="2:17" ht="13.8" x14ac:dyDescent="0.2">
      <c r="B98" s="8">
        <f t="shared" si="4"/>
        <v>93</v>
      </c>
      <c r="C98" s="14">
        <v>93</v>
      </c>
      <c r="D98" s="8" t="s">
        <v>2584</v>
      </c>
      <c r="E98" s="15" t="str">
        <f t="shared" si="5"/>
        <v>---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6"/>
        <v>0</v>
      </c>
      <c r="M98" s="4">
        <f t="shared" si="7"/>
        <v>0</v>
      </c>
      <c r="N98" s="31">
        <v>0</v>
      </c>
      <c r="O98" s="32">
        <v>0</v>
      </c>
      <c r="P98" s="33">
        <v>0</v>
      </c>
      <c r="Q98" s="2" t="s">
        <v>920</v>
      </c>
    </row>
    <row r="99" spans="2:17" ht="13.8" x14ac:dyDescent="0.2">
      <c r="B99" s="8">
        <f t="shared" si="4"/>
        <v>94</v>
      </c>
      <c r="C99" s="14">
        <v>94</v>
      </c>
      <c r="D99" s="8" t="s">
        <v>2585</v>
      </c>
      <c r="E99" s="15" t="str">
        <f t="shared" si="5"/>
        <v>---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6"/>
        <v>0</v>
      </c>
      <c r="M99" s="4">
        <f t="shared" si="7"/>
        <v>0</v>
      </c>
      <c r="N99" s="31">
        <v>0</v>
      </c>
      <c r="O99" s="32">
        <v>0</v>
      </c>
      <c r="P99" s="33">
        <v>0</v>
      </c>
      <c r="Q99" s="2" t="s">
        <v>2585</v>
      </c>
    </row>
    <row r="100" spans="2:17" ht="13.8" x14ac:dyDescent="0.2">
      <c r="B100" s="8">
        <f t="shared" si="4"/>
        <v>95</v>
      </c>
      <c r="C100" s="14">
        <v>95</v>
      </c>
      <c r="D100" s="8"/>
      <c r="E100" s="15" t="str">
        <f t="shared" si="5"/>
        <v>---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6"/>
        <v>0</v>
      </c>
      <c r="M100" s="4">
        <f t="shared" si="7"/>
        <v>0</v>
      </c>
      <c r="N100" s="31">
        <v>0</v>
      </c>
      <c r="O100" s="32">
        <v>0</v>
      </c>
      <c r="P100" s="33">
        <v>0</v>
      </c>
      <c r="Q100" s="2" t="s">
        <v>736</v>
      </c>
    </row>
    <row r="101" spans="2:17" ht="13.8" x14ac:dyDescent="0.2">
      <c r="B101" s="8">
        <f t="shared" si="4"/>
        <v>96</v>
      </c>
      <c r="C101" s="14">
        <v>96</v>
      </c>
      <c r="D101" s="8"/>
      <c r="E101" s="15" t="str">
        <f t="shared" si="5"/>
        <v>---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6"/>
        <v>0</v>
      </c>
      <c r="M101" s="4">
        <f t="shared" si="7"/>
        <v>0</v>
      </c>
      <c r="N101" s="31">
        <v>0</v>
      </c>
      <c r="O101" s="32">
        <v>0</v>
      </c>
      <c r="P101" s="33">
        <v>0</v>
      </c>
      <c r="Q101" s="2" t="s">
        <v>736</v>
      </c>
    </row>
    <row r="102" spans="2:17" ht="13.8" x14ac:dyDescent="0.2">
      <c r="B102" s="8">
        <f t="shared" si="4"/>
        <v>97</v>
      </c>
      <c r="C102" s="14">
        <v>97</v>
      </c>
      <c r="D102" s="8"/>
      <c r="E102" s="15" t="str">
        <f t="shared" si="5"/>
        <v>---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6"/>
        <v>0</v>
      </c>
      <c r="M102" s="4">
        <f t="shared" si="7"/>
        <v>0</v>
      </c>
      <c r="N102" s="31">
        <v>0</v>
      </c>
      <c r="O102" s="32">
        <v>0</v>
      </c>
      <c r="P102" s="33">
        <v>0</v>
      </c>
      <c r="Q102" s="2" t="s">
        <v>736</v>
      </c>
    </row>
    <row r="103" spans="2:17" ht="13.8" x14ac:dyDescent="0.2">
      <c r="B103" s="8">
        <f t="shared" si="4"/>
        <v>98</v>
      </c>
      <c r="C103" s="14">
        <v>98</v>
      </c>
      <c r="D103" s="8"/>
      <c r="E103" s="15" t="str">
        <f t="shared" si="5"/>
        <v>---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6"/>
        <v>0</v>
      </c>
      <c r="M103" s="4">
        <f t="shared" si="7"/>
        <v>0</v>
      </c>
      <c r="N103" s="31">
        <v>0</v>
      </c>
      <c r="O103" s="32">
        <v>0</v>
      </c>
      <c r="P103" s="33">
        <v>0</v>
      </c>
      <c r="Q103" s="2" t="s">
        <v>736</v>
      </c>
    </row>
    <row r="104" spans="2:17" ht="13.8" x14ac:dyDescent="0.2">
      <c r="B104" s="8">
        <f t="shared" si="4"/>
        <v>99</v>
      </c>
      <c r="C104" s="14">
        <v>99</v>
      </c>
      <c r="D104" s="17"/>
      <c r="E104" s="15" t="str">
        <f t="shared" si="5"/>
        <v>---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6"/>
        <v>0</v>
      </c>
      <c r="M104" s="4">
        <f t="shared" si="7"/>
        <v>0</v>
      </c>
      <c r="N104" s="31">
        <v>0</v>
      </c>
      <c r="O104" s="32">
        <v>0</v>
      </c>
      <c r="P104" s="33">
        <v>0</v>
      </c>
      <c r="Q104" s="2" t="s">
        <v>736</v>
      </c>
    </row>
    <row r="105" spans="2:17" ht="13.8" x14ac:dyDescent="0.2">
      <c r="B105" s="8" t="str">
        <f t="shared" si="4"/>
        <v>112</v>
      </c>
      <c r="C105" s="14" t="s">
        <v>544</v>
      </c>
      <c r="D105" s="18" t="s">
        <v>2586</v>
      </c>
      <c r="E105" s="15" t="str">
        <f t="shared" si="5"/>
        <v>---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6"/>
        <v>0</v>
      </c>
      <c r="M105" s="4">
        <f t="shared" si="7"/>
        <v>0</v>
      </c>
      <c r="N105" s="31">
        <v>0</v>
      </c>
      <c r="O105" s="32">
        <v>0</v>
      </c>
      <c r="P105" s="33">
        <v>0</v>
      </c>
      <c r="Q105" s="2" t="s">
        <v>2619</v>
      </c>
    </row>
    <row r="106" spans="2:17" ht="13.8" x14ac:dyDescent="0.2">
      <c r="B106" s="8" t="str">
        <f t="shared" si="4"/>
        <v>113</v>
      </c>
      <c r="C106" s="14" t="s">
        <v>545</v>
      </c>
      <c r="D106" s="9" t="s">
        <v>2587</v>
      </c>
      <c r="E106" s="15" t="str">
        <f t="shared" si="5"/>
        <v>---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6"/>
        <v>0</v>
      </c>
      <c r="M106" s="4">
        <f t="shared" si="7"/>
        <v>0</v>
      </c>
      <c r="N106" s="31">
        <v>0</v>
      </c>
      <c r="O106" s="32">
        <v>0</v>
      </c>
      <c r="P106" s="33">
        <v>0</v>
      </c>
      <c r="Q106" s="2" t="s">
        <v>2620</v>
      </c>
    </row>
    <row r="107" spans="2:17" ht="13.8" x14ac:dyDescent="0.2">
      <c r="B107" s="8" t="str">
        <f t="shared" si="4"/>
        <v>114</v>
      </c>
      <c r="C107" s="14" t="s">
        <v>546</v>
      </c>
      <c r="D107" s="9" t="s">
        <v>2588</v>
      </c>
      <c r="E107" s="15" t="str">
        <f t="shared" si="5"/>
        <v>---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6"/>
        <v>0</v>
      </c>
      <c r="M107" s="4">
        <f t="shared" si="7"/>
        <v>0</v>
      </c>
      <c r="N107" s="31">
        <v>0</v>
      </c>
      <c r="O107" s="32">
        <v>0</v>
      </c>
      <c r="P107" s="33">
        <v>0</v>
      </c>
      <c r="Q107" s="2" t="s">
        <v>2621</v>
      </c>
    </row>
    <row r="108" spans="2:17" ht="13.8" x14ac:dyDescent="0.2">
      <c r="B108" s="8" t="str">
        <f t="shared" si="4"/>
        <v>115</v>
      </c>
      <c r="C108" s="14" t="s">
        <v>547</v>
      </c>
      <c r="D108" s="9" t="s">
        <v>2589</v>
      </c>
      <c r="E108" s="15" t="str">
        <f t="shared" si="5"/>
        <v>---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6"/>
        <v>0</v>
      </c>
      <c r="M108" s="4">
        <f t="shared" si="7"/>
        <v>0</v>
      </c>
      <c r="N108" s="31">
        <v>0</v>
      </c>
      <c r="O108" s="32">
        <v>0</v>
      </c>
      <c r="P108" s="33">
        <v>0</v>
      </c>
      <c r="Q108" s="2" t="s">
        <v>2622</v>
      </c>
    </row>
    <row r="109" spans="2:17" ht="13.8" x14ac:dyDescent="0.2">
      <c r="B109" s="8" t="str">
        <f t="shared" si="4"/>
        <v>121</v>
      </c>
      <c r="C109" s="14" t="s">
        <v>553</v>
      </c>
      <c r="D109" s="9" t="s">
        <v>2590</v>
      </c>
      <c r="E109" s="15" t="str">
        <f t="shared" si="5"/>
        <v>---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6"/>
        <v>0</v>
      </c>
      <c r="M109" s="4">
        <f t="shared" si="7"/>
        <v>0</v>
      </c>
      <c r="N109" s="31">
        <v>0</v>
      </c>
      <c r="O109" s="32">
        <v>0</v>
      </c>
      <c r="P109" s="33">
        <v>0</v>
      </c>
      <c r="Q109" s="2" t="s">
        <v>2623</v>
      </c>
    </row>
    <row r="110" spans="2:17" ht="13.8" x14ac:dyDescent="0.2">
      <c r="B110" s="8" t="str">
        <f t="shared" si="4"/>
        <v>123</v>
      </c>
      <c r="C110" s="14" t="s">
        <v>555</v>
      </c>
      <c r="D110" s="9" t="s">
        <v>2591</v>
      </c>
      <c r="E110" s="15" t="str">
        <f t="shared" si="5"/>
        <v>---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6"/>
        <v>0</v>
      </c>
      <c r="M110" s="4">
        <f t="shared" si="7"/>
        <v>0</v>
      </c>
      <c r="N110" s="31">
        <v>0</v>
      </c>
      <c r="O110" s="32">
        <v>0</v>
      </c>
      <c r="P110" s="33">
        <v>0</v>
      </c>
      <c r="Q110" s="2" t="s">
        <v>2624</v>
      </c>
    </row>
    <row r="111" spans="2:17" ht="13.8" x14ac:dyDescent="0.2">
      <c r="B111" s="8" t="str">
        <f t="shared" si="4"/>
        <v>124</v>
      </c>
      <c r="C111" s="14" t="s">
        <v>556</v>
      </c>
      <c r="D111" s="9" t="s">
        <v>700</v>
      </c>
      <c r="E111" s="15" t="str">
        <f t="shared" si="5"/>
        <v>---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6"/>
        <v>0</v>
      </c>
      <c r="M111" s="4">
        <f t="shared" si="7"/>
        <v>0</v>
      </c>
      <c r="N111" s="31">
        <v>0</v>
      </c>
      <c r="O111" s="32">
        <v>0</v>
      </c>
      <c r="P111" s="33">
        <v>0</v>
      </c>
      <c r="Q111" s="2" t="s">
        <v>2625</v>
      </c>
    </row>
    <row r="112" spans="2:17" ht="13.8" x14ac:dyDescent="0.2">
      <c r="B112" s="8" t="str">
        <f t="shared" si="4"/>
        <v>125</v>
      </c>
      <c r="C112" s="14" t="s">
        <v>557</v>
      </c>
      <c r="D112" s="9" t="s">
        <v>2592</v>
      </c>
      <c r="E112" s="15" t="str">
        <f t="shared" si="5"/>
        <v>---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6"/>
        <v>0</v>
      </c>
      <c r="M112" s="4">
        <f t="shared" si="7"/>
        <v>0</v>
      </c>
      <c r="N112" s="31">
        <v>0</v>
      </c>
      <c r="O112" s="32">
        <v>0</v>
      </c>
      <c r="P112" s="33">
        <v>0</v>
      </c>
      <c r="Q112" s="2" t="s">
        <v>2626</v>
      </c>
    </row>
    <row r="113" spans="2:17" ht="13.8" x14ac:dyDescent="0.2">
      <c r="B113" s="8" t="str">
        <f t="shared" si="4"/>
        <v>126</v>
      </c>
      <c r="C113" s="14" t="s">
        <v>558</v>
      </c>
      <c r="D113" s="9" t="s">
        <v>2593</v>
      </c>
      <c r="E113" s="15" t="str">
        <f t="shared" si="5"/>
        <v>---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6"/>
        <v>0</v>
      </c>
      <c r="M113" s="4">
        <f t="shared" si="7"/>
        <v>0</v>
      </c>
      <c r="N113" s="31">
        <v>0</v>
      </c>
      <c r="O113" s="32">
        <v>0</v>
      </c>
      <c r="P113" s="33">
        <v>0</v>
      </c>
      <c r="Q113" s="2" t="s">
        <v>2627</v>
      </c>
    </row>
    <row r="114" spans="2:17" ht="13.8" x14ac:dyDescent="0.2">
      <c r="B114" s="8" t="str">
        <f t="shared" si="4"/>
        <v>127</v>
      </c>
      <c r="C114" s="14" t="s">
        <v>559</v>
      </c>
      <c r="D114" s="9" t="s">
        <v>2594</v>
      </c>
      <c r="E114" s="15" t="str">
        <f t="shared" si="5"/>
        <v>---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6"/>
        <v>0</v>
      </c>
      <c r="M114" s="4">
        <f t="shared" si="7"/>
        <v>0</v>
      </c>
      <c r="N114" s="31">
        <v>0</v>
      </c>
      <c r="O114" s="32">
        <v>0</v>
      </c>
      <c r="P114" s="33">
        <v>0</v>
      </c>
      <c r="Q114" s="2" t="s">
        <v>2628</v>
      </c>
    </row>
    <row r="115" spans="2:17" ht="13.8" x14ac:dyDescent="0.2">
      <c r="B115" s="8" t="str">
        <f t="shared" si="4"/>
        <v>128</v>
      </c>
      <c r="C115" s="14" t="s">
        <v>560</v>
      </c>
      <c r="D115" s="9" t="s">
        <v>2595</v>
      </c>
      <c r="E115" s="15" t="str">
        <f t="shared" si="5"/>
        <v>---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6"/>
        <v>0</v>
      </c>
      <c r="M115" s="4">
        <f t="shared" si="7"/>
        <v>0</v>
      </c>
      <c r="N115" s="31">
        <v>0</v>
      </c>
      <c r="O115" s="32">
        <v>0</v>
      </c>
      <c r="P115" s="33">
        <v>0</v>
      </c>
      <c r="Q115" s="2" t="s">
        <v>2629</v>
      </c>
    </row>
    <row r="116" spans="2:17" ht="13.8" x14ac:dyDescent="0.2">
      <c r="B116" s="8" t="str">
        <f t="shared" si="4"/>
        <v>137</v>
      </c>
      <c r="C116" s="14" t="s">
        <v>652</v>
      </c>
      <c r="D116" s="9" t="s">
        <v>2596</v>
      </c>
      <c r="E116" s="15" t="str">
        <f t="shared" si="5"/>
        <v>---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6"/>
        <v>0</v>
      </c>
      <c r="M116" s="4">
        <f t="shared" si="7"/>
        <v>0</v>
      </c>
      <c r="N116" s="31">
        <v>0</v>
      </c>
      <c r="O116" s="32">
        <v>0</v>
      </c>
      <c r="P116" s="33">
        <v>0</v>
      </c>
      <c r="Q116" s="2" t="s">
        <v>917</v>
      </c>
    </row>
    <row r="117" spans="2:17" ht="13.8" x14ac:dyDescent="0.2">
      <c r="B117" s="8" t="str">
        <f t="shared" si="4"/>
        <v>161</v>
      </c>
      <c r="C117" s="14" t="s">
        <v>680</v>
      </c>
      <c r="D117" s="9" t="s">
        <v>2597</v>
      </c>
      <c r="E117" s="15" t="str">
        <f t="shared" si="5"/>
        <v>---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6"/>
        <v>0</v>
      </c>
      <c r="M117" s="4">
        <f t="shared" si="7"/>
        <v>0</v>
      </c>
      <c r="N117" s="31">
        <v>0</v>
      </c>
      <c r="O117" s="32">
        <v>0</v>
      </c>
      <c r="P117" s="33">
        <v>0</v>
      </c>
      <c r="Q117" s="2" t="s">
        <v>2630</v>
      </c>
    </row>
    <row r="118" spans="2:17" ht="13.8" x14ac:dyDescent="0.2">
      <c r="B118" s="8" t="str">
        <f t="shared" si="4"/>
        <v>199</v>
      </c>
      <c r="C118" s="14" t="s">
        <v>2598</v>
      </c>
      <c r="D118" s="9" t="s">
        <v>2599</v>
      </c>
      <c r="E118" s="15" t="str">
        <f t="shared" si="5"/>
        <v>---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6"/>
        <v>0</v>
      </c>
      <c r="M118" s="4">
        <f t="shared" si="7"/>
        <v>0</v>
      </c>
      <c r="N118" s="31">
        <v>0</v>
      </c>
      <c r="O118" s="32">
        <v>0</v>
      </c>
      <c r="P118" s="33">
        <v>0</v>
      </c>
      <c r="Q118" s="2" t="s">
        <v>897</v>
      </c>
    </row>
    <row r="119" spans="2:17" ht="13.8" x14ac:dyDescent="0.2">
      <c r="B119" s="8" t="str">
        <f t="shared" si="4"/>
        <v/>
      </c>
      <c r="C119" s="14"/>
      <c r="D119" s="9"/>
      <c r="E119" s="15" t="str">
        <f t="shared" si="5"/>
        <v>---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6"/>
        <v>0</v>
      </c>
      <c r="M119" s="4">
        <f t="shared" si="7"/>
        <v>0</v>
      </c>
      <c r="N119" s="31">
        <v>0</v>
      </c>
      <c r="O119" s="32">
        <v>0</v>
      </c>
      <c r="P119" s="33">
        <v>0</v>
      </c>
      <c r="Q119" s="2" t="s">
        <v>736</v>
      </c>
    </row>
    <row r="120" spans="2:17" ht="13.8" x14ac:dyDescent="0.2">
      <c r="B120" s="8" t="str">
        <f t="shared" si="4"/>
        <v/>
      </c>
      <c r="C120" s="14"/>
      <c r="D120" s="9"/>
      <c r="E120" s="15" t="str">
        <f t="shared" si="5"/>
        <v>---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6"/>
        <v>0</v>
      </c>
      <c r="M120" s="4">
        <f t="shared" si="7"/>
        <v>0</v>
      </c>
      <c r="N120" s="31">
        <v>0</v>
      </c>
      <c r="O120" s="32">
        <v>0</v>
      </c>
      <c r="P120" s="33">
        <v>0</v>
      </c>
      <c r="Q120" s="2" t="s">
        <v>736</v>
      </c>
    </row>
    <row r="121" spans="2:17" ht="13.8" x14ac:dyDescent="0.2">
      <c r="B121" s="8" t="str">
        <f t="shared" si="4"/>
        <v/>
      </c>
      <c r="C121" s="14"/>
      <c r="D121" s="9"/>
      <c r="E121" s="15" t="str">
        <f t="shared" si="5"/>
        <v>---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6"/>
        <v>0</v>
      </c>
      <c r="M121" s="4">
        <f t="shared" si="7"/>
        <v>0</v>
      </c>
      <c r="N121" s="31">
        <v>0</v>
      </c>
      <c r="O121" s="32">
        <v>0</v>
      </c>
      <c r="P121" s="33">
        <v>0</v>
      </c>
      <c r="Q121" s="2" t="s">
        <v>736</v>
      </c>
    </row>
    <row r="122" spans="2:17" ht="13.8" x14ac:dyDescent="0.2">
      <c r="B122" s="8" t="str">
        <f t="shared" si="4"/>
        <v/>
      </c>
      <c r="C122" s="14"/>
      <c r="D122" s="9"/>
      <c r="E122" s="15" t="str">
        <f t="shared" si="5"/>
        <v>---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6"/>
        <v>0</v>
      </c>
      <c r="M122" s="4">
        <f t="shared" si="7"/>
        <v>0</v>
      </c>
      <c r="N122" s="31">
        <v>0</v>
      </c>
      <c r="O122" s="32">
        <v>0</v>
      </c>
      <c r="P122" s="33">
        <v>0</v>
      </c>
      <c r="Q122" s="2" t="s">
        <v>736</v>
      </c>
    </row>
    <row r="123" spans="2:17" ht="13.8" x14ac:dyDescent="0.2">
      <c r="B123" s="8" t="str">
        <f t="shared" si="4"/>
        <v/>
      </c>
      <c r="C123" s="14"/>
      <c r="D123" s="9"/>
      <c r="E123" s="15" t="str">
        <f t="shared" si="5"/>
        <v>---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6"/>
        <v>0</v>
      </c>
      <c r="M123" s="4">
        <f t="shared" si="7"/>
        <v>0</v>
      </c>
      <c r="N123" s="31">
        <v>0</v>
      </c>
      <c r="O123" s="32">
        <v>0</v>
      </c>
      <c r="P123" s="33">
        <v>0</v>
      </c>
      <c r="Q123" s="2" t="s">
        <v>736</v>
      </c>
    </row>
    <row r="124" spans="2:17" ht="13.8" x14ac:dyDescent="0.2">
      <c r="B124" s="8" t="str">
        <f t="shared" si="4"/>
        <v/>
      </c>
      <c r="C124" s="14"/>
      <c r="D124" s="9"/>
      <c r="E124" s="15" t="str">
        <f t="shared" si="5"/>
        <v>---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6"/>
        <v>0</v>
      </c>
      <c r="M124" s="4">
        <f t="shared" si="7"/>
        <v>0</v>
      </c>
      <c r="N124" s="31">
        <v>0</v>
      </c>
      <c r="O124" s="32">
        <v>0</v>
      </c>
      <c r="P124" s="33">
        <v>0</v>
      </c>
      <c r="Q124" s="2" t="s">
        <v>736</v>
      </c>
    </row>
    <row r="125" spans="2:17" ht="13.8" x14ac:dyDescent="0.2">
      <c r="B125" s="8" t="str">
        <f t="shared" si="4"/>
        <v/>
      </c>
      <c r="C125" s="14"/>
      <c r="D125" s="9"/>
      <c r="E125" s="15" t="str">
        <f t="shared" si="5"/>
        <v>---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6"/>
        <v>0</v>
      </c>
      <c r="M125" s="4">
        <f t="shared" si="7"/>
        <v>0</v>
      </c>
      <c r="N125" s="31">
        <v>0</v>
      </c>
      <c r="O125" s="32">
        <v>0</v>
      </c>
      <c r="P125" s="33">
        <v>0</v>
      </c>
      <c r="Q125" s="2" t="s">
        <v>736</v>
      </c>
    </row>
    <row r="126" spans="2:17" ht="13.8" x14ac:dyDescent="0.2">
      <c r="B126" s="8" t="str">
        <f t="shared" si="4"/>
        <v/>
      </c>
      <c r="C126" s="14"/>
      <c r="D126" s="9"/>
      <c r="E126" s="15" t="str">
        <f t="shared" si="5"/>
        <v>---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6"/>
        <v>0</v>
      </c>
      <c r="M126" s="4">
        <f t="shared" si="7"/>
        <v>0</v>
      </c>
      <c r="N126" s="31">
        <v>0</v>
      </c>
      <c r="O126" s="32">
        <v>0</v>
      </c>
      <c r="P126" s="33">
        <v>0</v>
      </c>
      <c r="Q126" s="2" t="s">
        <v>736</v>
      </c>
    </row>
    <row r="127" spans="2:17" ht="13.8" x14ac:dyDescent="0.2">
      <c r="B127" s="8" t="str">
        <f t="shared" si="4"/>
        <v/>
      </c>
      <c r="C127" s="14"/>
      <c r="D127" s="9"/>
      <c r="E127" s="15" t="str">
        <f t="shared" si="5"/>
        <v>---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6"/>
        <v>0</v>
      </c>
      <c r="M127" s="4">
        <f t="shared" si="7"/>
        <v>0</v>
      </c>
      <c r="N127" s="31">
        <v>0</v>
      </c>
      <c r="O127" s="32">
        <v>0</v>
      </c>
      <c r="P127" s="33">
        <v>0</v>
      </c>
      <c r="Q127" s="2" t="s">
        <v>736</v>
      </c>
    </row>
    <row r="128" spans="2:17" ht="13.8" x14ac:dyDescent="0.2">
      <c r="B128" s="8" t="str">
        <f t="shared" si="4"/>
        <v/>
      </c>
      <c r="C128" s="14"/>
      <c r="D128" s="9"/>
      <c r="E128" s="15" t="str">
        <f t="shared" si="5"/>
        <v>---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6"/>
        <v>0</v>
      </c>
      <c r="M128" s="4">
        <f t="shared" si="7"/>
        <v>0</v>
      </c>
      <c r="N128" s="31">
        <v>0</v>
      </c>
      <c r="O128" s="32">
        <v>0</v>
      </c>
      <c r="P128" s="33">
        <v>0</v>
      </c>
      <c r="Q128" s="2" t="s">
        <v>736</v>
      </c>
    </row>
    <row r="129" spans="2:17" ht="13.8" x14ac:dyDescent="0.2">
      <c r="B129" s="8" t="str">
        <f t="shared" si="4"/>
        <v/>
      </c>
      <c r="C129" s="14"/>
      <c r="D129" s="9"/>
      <c r="E129" s="15" t="str">
        <f t="shared" si="5"/>
        <v>---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6"/>
        <v>0</v>
      </c>
      <c r="M129" s="4">
        <f t="shared" si="7"/>
        <v>0</v>
      </c>
      <c r="N129" s="31">
        <v>0</v>
      </c>
      <c r="O129" s="32">
        <v>0</v>
      </c>
      <c r="P129" s="33">
        <v>0</v>
      </c>
      <c r="Q129" s="2" t="s">
        <v>736</v>
      </c>
    </row>
    <row r="130" spans="2:17" ht="13.8" x14ac:dyDescent="0.2">
      <c r="B130" s="8" t="str">
        <f t="shared" si="4"/>
        <v/>
      </c>
      <c r="C130" s="14"/>
      <c r="D130" s="9"/>
      <c r="E130" s="15" t="str">
        <f t="shared" si="5"/>
        <v>---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6"/>
        <v>0</v>
      </c>
      <c r="M130" s="4">
        <f t="shared" si="7"/>
        <v>0</v>
      </c>
      <c r="N130" s="31">
        <v>0</v>
      </c>
      <c r="O130" s="32">
        <v>0</v>
      </c>
      <c r="P130" s="33">
        <v>0</v>
      </c>
      <c r="Q130" s="2" t="s">
        <v>736</v>
      </c>
    </row>
    <row r="131" spans="2:17" ht="13.8" x14ac:dyDescent="0.2">
      <c r="B131" s="8" t="str">
        <f t="shared" si="4"/>
        <v/>
      </c>
      <c r="C131" s="14"/>
      <c r="D131" s="9"/>
      <c r="E131" s="15" t="str">
        <f t="shared" si="5"/>
        <v>---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6"/>
        <v>0</v>
      </c>
      <c r="M131" s="4">
        <f t="shared" si="7"/>
        <v>0</v>
      </c>
      <c r="N131" s="31">
        <v>0</v>
      </c>
      <c r="O131" s="32">
        <v>0</v>
      </c>
      <c r="P131" s="33">
        <v>0</v>
      </c>
      <c r="Q131" s="2" t="s">
        <v>736</v>
      </c>
    </row>
    <row r="132" spans="2:17" ht="13.8" x14ac:dyDescent="0.2">
      <c r="B132" s="8" t="str">
        <f t="shared" si="4"/>
        <v/>
      </c>
      <c r="C132" s="14"/>
      <c r="D132" s="9"/>
      <c r="E132" s="15" t="str">
        <f t="shared" si="5"/>
        <v>---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6"/>
        <v>0</v>
      </c>
      <c r="M132" s="4">
        <f t="shared" si="7"/>
        <v>0</v>
      </c>
      <c r="N132" s="31">
        <v>0</v>
      </c>
      <c r="O132" s="32">
        <v>0</v>
      </c>
      <c r="P132" s="33">
        <v>0</v>
      </c>
      <c r="Q132" s="2" t="s">
        <v>736</v>
      </c>
    </row>
    <row r="133" spans="2:17" ht="13.8" x14ac:dyDescent="0.2">
      <c r="B133" s="8" t="str">
        <f t="shared" ref="B133:B134" si="8">IF(C133="","",C133)</f>
        <v/>
      </c>
      <c r="C133" s="14"/>
      <c r="D133" s="9"/>
      <c r="E133" s="15" t="str">
        <f t="shared" ref="E133:E134" si="9">IFERROR(IF(G133/F133=1,"1.00",G133/F133),"---")</f>
        <v>---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 t="shared" ref="L133:L134" si="10">IFERROR(IF((G133+N133+O133)/(F133+N133+O133+P133)=1,"1.00",(G133+N133+O133)/(F133+N133+O133+P133)),0)</f>
        <v>0</v>
      </c>
      <c r="M133" s="4">
        <f t="shared" ref="M133:M134" si="11">IFERROR(SUM(SUM(((G133-H133-I133-J133)*1),H133*2,I133*3,J133*4)/F133,((G133+N133+O133)/(F133+N133+O133+P133))),L133)</f>
        <v>0</v>
      </c>
      <c r="N133" s="31">
        <v>0</v>
      </c>
      <c r="O133" s="32">
        <v>0</v>
      </c>
      <c r="P133" s="33">
        <v>0</v>
      </c>
      <c r="Q133" s="2" t="s">
        <v>736</v>
      </c>
    </row>
    <row r="134" spans="2:17" ht="13.8" x14ac:dyDescent="0.2">
      <c r="B134" s="8" t="str">
        <f t="shared" si="8"/>
        <v/>
      </c>
      <c r="C134" s="14"/>
      <c r="D134" s="9"/>
      <c r="E134" s="15" t="str">
        <f t="shared" si="9"/>
        <v>---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 t="shared" si="10"/>
        <v>0</v>
      </c>
      <c r="M134" s="4">
        <f t="shared" si="11"/>
        <v>0</v>
      </c>
      <c r="N134" s="31">
        <v>0</v>
      </c>
      <c r="O134" s="32">
        <v>0</v>
      </c>
      <c r="P134" s="33">
        <v>0</v>
      </c>
      <c r="Q134" s="2" t="s">
        <v>736</v>
      </c>
    </row>
  </sheetData>
  <mergeCells count="2">
    <mergeCell ref="Q2:Q3"/>
    <mergeCell ref="B2:D2"/>
  </mergeCells>
  <phoneticPr fontId="1"/>
  <pageMargins left="0.7" right="0.7" top="0.75" bottom="0.75" header="0.3" footer="0.3"/>
  <pageSetup paperSize="9" orientation="portrait" r:id="rId1"/>
  <ignoredErrors>
    <ignoredError sqref="L2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T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89"/>
      <c r="C2" s="89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0" t="s">
        <v>323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938</v>
      </c>
      <c r="H3" s="17" t="s">
        <v>939</v>
      </c>
      <c r="I3" s="22" t="s">
        <v>2</v>
      </c>
      <c r="J3" s="23" t="s">
        <v>3</v>
      </c>
      <c r="K3" s="30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91"/>
    </row>
    <row r="4" spans="2:20" ht="13.8" x14ac:dyDescent="0.2">
      <c r="B4" s="14" t="s">
        <v>425</v>
      </c>
      <c r="C4" s="17" t="s">
        <v>2160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2150</v>
      </c>
      <c r="Q4" s="40" t="s">
        <v>425</v>
      </c>
      <c r="R4" t="s">
        <v>1834</v>
      </c>
      <c r="S4" t="s">
        <v>2020</v>
      </c>
    </row>
    <row r="5" spans="2:20" ht="13.8" x14ac:dyDescent="0.2">
      <c r="B5" s="14">
        <v>0</v>
      </c>
      <c r="C5" s="17" t="s">
        <v>383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1034</v>
      </c>
      <c r="Q5" s="40" t="s">
        <v>1391</v>
      </c>
      <c r="R5" t="s">
        <v>1830</v>
      </c>
      <c r="S5" t="s">
        <v>2021</v>
      </c>
    </row>
    <row r="6" spans="2:20" ht="13.8" x14ac:dyDescent="0.2">
      <c r="B6" s="14">
        <v>1</v>
      </c>
      <c r="C6" s="17" t="s">
        <v>384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2151</v>
      </c>
      <c r="Q6" s="40" t="s">
        <v>1829</v>
      </c>
      <c r="R6" t="s">
        <v>1830</v>
      </c>
      <c r="S6" t="s">
        <v>2022</v>
      </c>
    </row>
    <row r="7" spans="2:20" ht="13.8" x14ac:dyDescent="0.2">
      <c r="B7" s="14">
        <v>2</v>
      </c>
      <c r="C7" s="17" t="s">
        <v>2161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2152</v>
      </c>
      <c r="Q7" s="40" t="s">
        <v>434</v>
      </c>
      <c r="R7" t="s">
        <v>1832</v>
      </c>
      <c r="S7" t="s">
        <v>2023</v>
      </c>
    </row>
    <row r="8" spans="2:20" ht="13.8" x14ac:dyDescent="0.2">
      <c r="B8" s="14">
        <v>3</v>
      </c>
      <c r="C8" s="17" t="s">
        <v>385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1035</v>
      </c>
      <c r="Q8" s="40" t="s">
        <v>435</v>
      </c>
      <c r="R8" t="s">
        <v>1830</v>
      </c>
      <c r="S8" t="s">
        <v>2024</v>
      </c>
    </row>
    <row r="9" spans="2:20" ht="13.8" x14ac:dyDescent="0.2">
      <c r="B9" s="14">
        <v>4</v>
      </c>
      <c r="C9" s="17" t="s">
        <v>386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1036</v>
      </c>
      <c r="Q9" s="40" t="s">
        <v>436</v>
      </c>
      <c r="R9" t="s">
        <v>1834</v>
      </c>
      <c r="S9" t="s">
        <v>2025</v>
      </c>
    </row>
    <row r="10" spans="2:20" ht="13.8" x14ac:dyDescent="0.2">
      <c r="B10" s="14">
        <v>5</v>
      </c>
      <c r="C10" s="17" t="s">
        <v>387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1037</v>
      </c>
      <c r="Q10" s="40" t="s">
        <v>437</v>
      </c>
      <c r="R10" t="s">
        <v>1834</v>
      </c>
      <c r="S10" t="s">
        <v>2026</v>
      </c>
    </row>
    <row r="11" spans="2:20" ht="13.8" x14ac:dyDescent="0.2">
      <c r="B11" s="14">
        <v>6</v>
      </c>
      <c r="C11" s="17"/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/>
      <c r="Q11" s="40" t="s">
        <v>438</v>
      </c>
      <c r="R11" t="s">
        <v>1922</v>
      </c>
      <c r="S11" t="s">
        <v>2027</v>
      </c>
    </row>
    <row r="12" spans="2:20" ht="13.8" x14ac:dyDescent="0.2">
      <c r="B12" s="14">
        <v>7</v>
      </c>
      <c r="C12" s="17" t="s">
        <v>388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1038</v>
      </c>
      <c r="Q12" s="40" t="s">
        <v>439</v>
      </c>
      <c r="R12" t="s">
        <v>1830</v>
      </c>
      <c r="S12" t="s">
        <v>2028</v>
      </c>
    </row>
    <row r="13" spans="2:20" ht="13.8" x14ac:dyDescent="0.2">
      <c r="B13" s="14">
        <v>8</v>
      </c>
      <c r="C13" s="17" t="s">
        <v>379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1039</v>
      </c>
      <c r="Q13" s="40" t="s">
        <v>440</v>
      </c>
      <c r="R13" t="s">
        <v>1834</v>
      </c>
      <c r="S13" t="s">
        <v>2029</v>
      </c>
      <c r="T13" t="s">
        <v>1839</v>
      </c>
    </row>
    <row r="14" spans="2:20" ht="13.8" x14ac:dyDescent="0.2">
      <c r="B14" s="14">
        <v>9</v>
      </c>
      <c r="C14" s="17"/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/>
      <c r="Q14" s="40" t="s">
        <v>441</v>
      </c>
      <c r="R14" t="s">
        <v>2016</v>
      </c>
      <c r="S14" t="s">
        <v>2030</v>
      </c>
    </row>
    <row r="15" spans="2:20" ht="13.8" x14ac:dyDescent="0.2">
      <c r="B15" s="14">
        <v>10</v>
      </c>
      <c r="C15" s="17"/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/>
    </row>
    <row r="16" spans="2:20" ht="13.8" x14ac:dyDescent="0.2">
      <c r="B16" s="14">
        <v>11</v>
      </c>
      <c r="C16" s="17" t="s">
        <v>12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380</v>
      </c>
      <c r="Q16" s="40" t="s">
        <v>443</v>
      </c>
      <c r="R16" t="s">
        <v>1843</v>
      </c>
      <c r="S16" t="s">
        <v>2031</v>
      </c>
    </row>
    <row r="17" spans="2:19" ht="13.8" x14ac:dyDescent="0.2">
      <c r="B17" s="14">
        <v>12</v>
      </c>
      <c r="C17" s="17" t="s">
        <v>123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1040</v>
      </c>
      <c r="Q17" s="40" t="s">
        <v>444</v>
      </c>
      <c r="R17" t="s">
        <v>1843</v>
      </c>
      <c r="S17" t="s">
        <v>2032</v>
      </c>
    </row>
    <row r="18" spans="2:19" ht="13.8" x14ac:dyDescent="0.2">
      <c r="B18" s="14">
        <v>13</v>
      </c>
      <c r="C18" s="17" t="s">
        <v>389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1041</v>
      </c>
      <c r="Q18" s="40" t="s">
        <v>445</v>
      </c>
      <c r="R18" t="s">
        <v>1834</v>
      </c>
      <c r="S18" t="s">
        <v>2033</v>
      </c>
    </row>
    <row r="19" spans="2:19" ht="13.8" x14ac:dyDescent="0.2">
      <c r="B19" s="14">
        <v>14</v>
      </c>
      <c r="C19" s="17" t="s">
        <v>2162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2153</v>
      </c>
      <c r="Q19" s="40" t="s">
        <v>446</v>
      </c>
      <c r="R19" t="s">
        <v>1843</v>
      </c>
      <c r="S19" t="s">
        <v>2034</v>
      </c>
    </row>
    <row r="20" spans="2:19" ht="13.8" x14ac:dyDescent="0.2">
      <c r="B20" s="14">
        <v>15</v>
      </c>
      <c r="C20" s="17" t="s">
        <v>390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1042</v>
      </c>
      <c r="Q20" s="40" t="s">
        <v>447</v>
      </c>
      <c r="R20" t="s">
        <v>1843</v>
      </c>
      <c r="S20" t="s">
        <v>2035</v>
      </c>
    </row>
    <row r="21" spans="2:19" ht="13.8" x14ac:dyDescent="0.2">
      <c r="B21" s="14">
        <v>16</v>
      </c>
      <c r="C21" s="17" t="s">
        <v>391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1043</v>
      </c>
      <c r="Q21" s="40" t="s">
        <v>448</v>
      </c>
      <c r="R21" t="s">
        <v>1843</v>
      </c>
      <c r="S21" t="s">
        <v>2036</v>
      </c>
    </row>
    <row r="22" spans="2:19" ht="13.8" x14ac:dyDescent="0.2">
      <c r="B22" s="14">
        <v>17</v>
      </c>
      <c r="C22" s="17" t="s">
        <v>392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381</v>
      </c>
      <c r="Q22" s="40" t="s">
        <v>449</v>
      </c>
      <c r="R22" t="s">
        <v>1843</v>
      </c>
      <c r="S22" t="s">
        <v>2037</v>
      </c>
    </row>
    <row r="23" spans="2:19" ht="13.8" x14ac:dyDescent="0.2">
      <c r="B23" s="14">
        <v>18</v>
      </c>
      <c r="C23" s="17" t="s">
        <v>393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1044</v>
      </c>
      <c r="Q23" s="40" t="s">
        <v>450</v>
      </c>
      <c r="R23" t="s">
        <v>1843</v>
      </c>
      <c r="S23" t="s">
        <v>2038</v>
      </c>
    </row>
    <row r="24" spans="2:19" ht="13.8" x14ac:dyDescent="0.2">
      <c r="B24" s="14">
        <v>19</v>
      </c>
      <c r="C24" s="17" t="s">
        <v>394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1045</v>
      </c>
      <c r="Q24" s="40" t="s">
        <v>451</v>
      </c>
      <c r="R24" t="s">
        <v>1843</v>
      </c>
      <c r="S24" t="s">
        <v>2039</v>
      </c>
    </row>
    <row r="25" spans="2:19" ht="13.8" x14ac:dyDescent="0.2">
      <c r="B25" s="14">
        <v>20</v>
      </c>
      <c r="C25" s="17" t="s">
        <v>395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1046</v>
      </c>
      <c r="Q25" s="40" t="s">
        <v>452</v>
      </c>
      <c r="R25" t="s">
        <v>1843</v>
      </c>
      <c r="S25" t="s">
        <v>2040</v>
      </c>
    </row>
    <row r="26" spans="2:19" ht="13.8" x14ac:dyDescent="0.2">
      <c r="B26" s="14">
        <v>21</v>
      </c>
      <c r="C26" s="17"/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/>
    </row>
    <row r="27" spans="2:19" ht="13.8" x14ac:dyDescent="0.2">
      <c r="B27" s="14">
        <v>22</v>
      </c>
      <c r="C27" s="17" t="s">
        <v>396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1047</v>
      </c>
      <c r="Q27" s="40" t="s">
        <v>454</v>
      </c>
      <c r="R27" t="s">
        <v>1832</v>
      </c>
      <c r="S27" t="s">
        <v>2041</v>
      </c>
    </row>
    <row r="28" spans="2:19" ht="13.8" x14ac:dyDescent="0.2">
      <c r="B28" s="14">
        <v>23</v>
      </c>
      <c r="C28" s="17" t="s">
        <v>397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1048</v>
      </c>
      <c r="Q28" s="40" t="s">
        <v>455</v>
      </c>
      <c r="R28" t="s">
        <v>1834</v>
      </c>
      <c r="S28" t="s">
        <v>2042</v>
      </c>
    </row>
    <row r="29" spans="2:19" ht="13.8" x14ac:dyDescent="0.2">
      <c r="B29" s="14">
        <v>24</v>
      </c>
      <c r="C29" s="17" t="s">
        <v>398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1049</v>
      </c>
      <c r="Q29" s="40" t="s">
        <v>456</v>
      </c>
      <c r="R29" t="s">
        <v>1843</v>
      </c>
      <c r="S29" t="s">
        <v>2043</v>
      </c>
    </row>
    <row r="30" spans="2:19" ht="13.8" x14ac:dyDescent="0.2">
      <c r="B30" s="14">
        <v>25</v>
      </c>
      <c r="C30" s="17" t="s">
        <v>399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1050</v>
      </c>
      <c r="Q30" s="40" t="s">
        <v>457</v>
      </c>
      <c r="R30" t="s">
        <v>1830</v>
      </c>
      <c r="S30" t="s">
        <v>2044</v>
      </c>
    </row>
    <row r="31" spans="2:19" ht="13.8" x14ac:dyDescent="0.2">
      <c r="B31" s="14">
        <v>26</v>
      </c>
      <c r="C31" s="17"/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/>
      <c r="Q31" s="40" t="s">
        <v>458</v>
      </c>
      <c r="R31" t="s">
        <v>1857</v>
      </c>
      <c r="S31" t="s">
        <v>2045</v>
      </c>
    </row>
    <row r="32" spans="2:19" ht="13.8" x14ac:dyDescent="0.2">
      <c r="B32" s="14">
        <v>27</v>
      </c>
      <c r="C32" s="17" t="s">
        <v>271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1051</v>
      </c>
      <c r="Q32" s="40" t="s">
        <v>459</v>
      </c>
      <c r="R32" t="s">
        <v>1843</v>
      </c>
      <c r="S32" t="s">
        <v>2046</v>
      </c>
    </row>
    <row r="33" spans="2:19" ht="13.8" x14ac:dyDescent="0.2">
      <c r="B33" s="14">
        <v>28</v>
      </c>
      <c r="C33" s="17"/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/>
    </row>
    <row r="34" spans="2:19" ht="13.8" x14ac:dyDescent="0.2">
      <c r="B34" s="14">
        <v>29</v>
      </c>
      <c r="C34" s="17" t="s">
        <v>265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1052</v>
      </c>
      <c r="Q34" s="40" t="s">
        <v>461</v>
      </c>
      <c r="R34" t="s">
        <v>1843</v>
      </c>
      <c r="S34" t="s">
        <v>2047</v>
      </c>
    </row>
    <row r="35" spans="2:19" ht="13.8" x14ac:dyDescent="0.2">
      <c r="B35" s="14">
        <v>30</v>
      </c>
      <c r="C35" s="17" t="s">
        <v>2163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2154</v>
      </c>
      <c r="Q35" s="40" t="s">
        <v>462</v>
      </c>
      <c r="R35" t="s">
        <v>1843</v>
      </c>
      <c r="S35" t="s">
        <v>2048</v>
      </c>
    </row>
    <row r="36" spans="2:19" ht="13.8" x14ac:dyDescent="0.2">
      <c r="B36" s="14">
        <v>31</v>
      </c>
      <c r="C36" s="17" t="s">
        <v>400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1053</v>
      </c>
      <c r="Q36" s="40" t="s">
        <v>463</v>
      </c>
      <c r="R36" t="s">
        <v>1830</v>
      </c>
      <c r="S36" t="s">
        <v>2049</v>
      </c>
    </row>
    <row r="37" spans="2:19" ht="13.8" x14ac:dyDescent="0.2">
      <c r="B37" s="14">
        <v>32</v>
      </c>
      <c r="C37" s="17" t="s">
        <v>249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382</v>
      </c>
      <c r="Q37" s="40" t="s">
        <v>464</v>
      </c>
      <c r="R37" t="s">
        <v>1832</v>
      </c>
      <c r="S37" t="s">
        <v>2050</v>
      </c>
    </row>
    <row r="38" spans="2:19" ht="13.8" x14ac:dyDescent="0.2">
      <c r="B38" s="14">
        <v>33</v>
      </c>
      <c r="C38" s="17" t="s">
        <v>2164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2155</v>
      </c>
      <c r="Q38" s="40" t="s">
        <v>465</v>
      </c>
      <c r="R38" t="s">
        <v>1843</v>
      </c>
      <c r="S38" t="s">
        <v>2051</v>
      </c>
    </row>
    <row r="39" spans="2:19" ht="13.8" x14ac:dyDescent="0.2">
      <c r="B39" s="14">
        <v>34</v>
      </c>
      <c r="C39" s="17" t="s">
        <v>401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1054</v>
      </c>
      <c r="Q39" s="40" t="s">
        <v>466</v>
      </c>
      <c r="R39" t="s">
        <v>1843</v>
      </c>
      <c r="S39" t="s">
        <v>2052</v>
      </c>
    </row>
    <row r="40" spans="2:19" ht="13.8" x14ac:dyDescent="0.2">
      <c r="B40" s="14">
        <v>35</v>
      </c>
      <c r="C40" s="17" t="s">
        <v>606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1055</v>
      </c>
      <c r="Q40" s="40" t="s">
        <v>467</v>
      </c>
      <c r="R40" t="s">
        <v>1843</v>
      </c>
      <c r="S40" t="s">
        <v>2053</v>
      </c>
    </row>
    <row r="41" spans="2:19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9" ht="13.8" x14ac:dyDescent="0.2">
      <c r="B42" s="14">
        <v>37</v>
      </c>
      <c r="C42" s="17" t="s">
        <v>402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1056</v>
      </c>
      <c r="Q42" s="40" t="s">
        <v>469</v>
      </c>
      <c r="R42" t="s">
        <v>1843</v>
      </c>
      <c r="S42" t="s">
        <v>2054</v>
      </c>
    </row>
    <row r="43" spans="2:19" ht="13.8" x14ac:dyDescent="0.2">
      <c r="B43" s="14">
        <v>38</v>
      </c>
      <c r="C43" s="17" t="s">
        <v>1321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1332</v>
      </c>
      <c r="Q43" s="40" t="s">
        <v>470</v>
      </c>
      <c r="R43" t="s">
        <v>1830</v>
      </c>
      <c r="S43" t="s">
        <v>2055</v>
      </c>
    </row>
    <row r="44" spans="2:19" ht="13.8" x14ac:dyDescent="0.2">
      <c r="B44" s="14">
        <v>39</v>
      </c>
      <c r="C44" s="17" t="s">
        <v>403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1057</v>
      </c>
      <c r="Q44" s="40" t="s">
        <v>471</v>
      </c>
      <c r="R44" t="s">
        <v>1832</v>
      </c>
      <c r="S44" t="s">
        <v>2056</v>
      </c>
    </row>
    <row r="45" spans="2:19" ht="13.8" x14ac:dyDescent="0.2">
      <c r="B45" s="14">
        <v>40</v>
      </c>
      <c r="C45" s="17" t="s">
        <v>404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1058</v>
      </c>
      <c r="Q45" s="40" t="s">
        <v>472</v>
      </c>
      <c r="R45" t="s">
        <v>1834</v>
      </c>
      <c r="S45" t="s">
        <v>2057</v>
      </c>
    </row>
    <row r="46" spans="2:19" ht="13.8" x14ac:dyDescent="0.2">
      <c r="B46" s="14">
        <v>41</v>
      </c>
      <c r="C46" s="17" t="s">
        <v>405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1059</v>
      </c>
      <c r="Q46" s="40" t="s">
        <v>473</v>
      </c>
      <c r="R46" t="s">
        <v>1843</v>
      </c>
      <c r="S46" t="s">
        <v>2058</v>
      </c>
    </row>
    <row r="47" spans="2:19" ht="13.8" x14ac:dyDescent="0.2">
      <c r="B47" s="14">
        <v>42</v>
      </c>
      <c r="C47" s="17"/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/>
    </row>
    <row r="48" spans="2:19" ht="13.8" x14ac:dyDescent="0.2">
      <c r="B48" s="14">
        <v>43</v>
      </c>
      <c r="C48" s="17" t="s">
        <v>2165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2156</v>
      </c>
      <c r="Q48" s="40" t="s">
        <v>475</v>
      </c>
      <c r="R48" t="s">
        <v>1843</v>
      </c>
      <c r="S48" t="s">
        <v>2059</v>
      </c>
    </row>
    <row r="49" spans="2:20" ht="13.8" x14ac:dyDescent="0.2">
      <c r="B49" s="14">
        <v>44</v>
      </c>
      <c r="C49" s="17" t="s">
        <v>219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1060</v>
      </c>
      <c r="Q49" s="40" t="s">
        <v>476</v>
      </c>
      <c r="R49" t="s">
        <v>1834</v>
      </c>
      <c r="S49" t="s">
        <v>2060</v>
      </c>
    </row>
    <row r="50" spans="2:20" ht="13.8" x14ac:dyDescent="0.2">
      <c r="B50" s="14">
        <v>45</v>
      </c>
      <c r="C50" s="17" t="s">
        <v>406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2061</v>
      </c>
      <c r="Q50" s="40" t="s">
        <v>477</v>
      </c>
      <c r="R50" t="s">
        <v>1843</v>
      </c>
      <c r="S50" t="s">
        <v>2061</v>
      </c>
    </row>
    <row r="51" spans="2:20" ht="13.8" x14ac:dyDescent="0.2">
      <c r="B51" s="14">
        <v>46</v>
      </c>
      <c r="C51" s="17" t="s">
        <v>407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1061</v>
      </c>
      <c r="Q51" s="40" t="s">
        <v>478</v>
      </c>
      <c r="R51" t="s">
        <v>1843</v>
      </c>
      <c r="S51" t="s">
        <v>2062</v>
      </c>
    </row>
    <row r="52" spans="2:20" ht="13.8" x14ac:dyDescent="0.2">
      <c r="B52" s="14">
        <v>47</v>
      </c>
      <c r="C52" s="17" t="s">
        <v>408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1062</v>
      </c>
      <c r="Q52" s="40" t="s">
        <v>479</v>
      </c>
      <c r="R52" t="s">
        <v>1843</v>
      </c>
      <c r="S52" t="s">
        <v>2063</v>
      </c>
    </row>
    <row r="53" spans="2:20" ht="13.8" x14ac:dyDescent="0.2">
      <c r="B53" s="14">
        <v>48</v>
      </c>
      <c r="C53" s="17" t="s">
        <v>409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1063</v>
      </c>
      <c r="Q53" s="40" t="s">
        <v>480</v>
      </c>
      <c r="R53" t="s">
        <v>1843</v>
      </c>
      <c r="S53" t="s">
        <v>2064</v>
      </c>
    </row>
    <row r="54" spans="2:20" ht="13.8" x14ac:dyDescent="0.2">
      <c r="B54" s="14">
        <v>49</v>
      </c>
      <c r="C54" s="17" t="s">
        <v>1336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1337</v>
      </c>
      <c r="Q54" s="40" t="s">
        <v>481</v>
      </c>
      <c r="R54" t="s">
        <v>1843</v>
      </c>
      <c r="S54" t="s">
        <v>2065</v>
      </c>
    </row>
    <row r="55" spans="2:20" ht="13.8" x14ac:dyDescent="0.2">
      <c r="B55" s="14">
        <v>50</v>
      </c>
      <c r="C55" s="17" t="s">
        <v>2166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2157</v>
      </c>
      <c r="Q55" s="40" t="s">
        <v>482</v>
      </c>
      <c r="R55" t="s">
        <v>1843</v>
      </c>
      <c r="S55" t="s">
        <v>2066</v>
      </c>
    </row>
    <row r="56" spans="2:20" ht="13.8" x14ac:dyDescent="0.2">
      <c r="B56" s="14">
        <v>51</v>
      </c>
      <c r="C56" s="17" t="s">
        <v>410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1064</v>
      </c>
      <c r="Q56" s="40" t="s">
        <v>483</v>
      </c>
      <c r="R56" t="s">
        <v>1830</v>
      </c>
      <c r="S56" t="s">
        <v>2067</v>
      </c>
    </row>
    <row r="57" spans="2:20" ht="13.8" x14ac:dyDescent="0.2">
      <c r="B57" s="14">
        <v>52</v>
      </c>
      <c r="C57" s="17" t="s">
        <v>411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1065</v>
      </c>
      <c r="Q57" s="40" t="s">
        <v>484</v>
      </c>
      <c r="R57" t="s">
        <v>1843</v>
      </c>
      <c r="S57" t="s">
        <v>2068</v>
      </c>
      <c r="T57" t="s">
        <v>1847</v>
      </c>
    </row>
    <row r="58" spans="2:20" ht="13.8" x14ac:dyDescent="0.2">
      <c r="B58" s="14">
        <v>53</v>
      </c>
      <c r="C58" s="17" t="s">
        <v>412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1066</v>
      </c>
      <c r="Q58" s="40" t="s">
        <v>485</v>
      </c>
      <c r="R58" t="s">
        <v>1832</v>
      </c>
      <c r="S58" t="s">
        <v>2069</v>
      </c>
    </row>
    <row r="59" spans="2:20" ht="13.8" x14ac:dyDescent="0.2">
      <c r="B59" s="14">
        <v>54</v>
      </c>
      <c r="C59" s="17" t="s">
        <v>681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681</v>
      </c>
      <c r="Q59" s="40" t="s">
        <v>486</v>
      </c>
      <c r="R59" t="s">
        <v>1834</v>
      </c>
      <c r="S59" t="s">
        <v>681</v>
      </c>
    </row>
    <row r="60" spans="2:20" ht="13.8" x14ac:dyDescent="0.2">
      <c r="B60" s="14">
        <v>55</v>
      </c>
      <c r="C60" s="17" t="s">
        <v>682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682</v>
      </c>
      <c r="Q60" s="40" t="s">
        <v>487</v>
      </c>
      <c r="R60" t="s">
        <v>1834</v>
      </c>
      <c r="S60" t="s">
        <v>682</v>
      </c>
    </row>
    <row r="61" spans="2:20" ht="13.8" x14ac:dyDescent="0.2">
      <c r="B61" s="14">
        <v>56</v>
      </c>
      <c r="C61" s="17" t="s">
        <v>683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1067</v>
      </c>
      <c r="Q61" s="40" t="s">
        <v>488</v>
      </c>
      <c r="R61" t="s">
        <v>1843</v>
      </c>
      <c r="S61" t="s">
        <v>2070</v>
      </c>
    </row>
    <row r="62" spans="2:20" ht="13.8" x14ac:dyDescent="0.2">
      <c r="B62" s="14">
        <v>57</v>
      </c>
      <c r="C62" s="17" t="s">
        <v>684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1068</v>
      </c>
      <c r="Q62" s="40" t="s">
        <v>489</v>
      </c>
      <c r="R62" t="s">
        <v>1834</v>
      </c>
      <c r="S62" t="s">
        <v>2071</v>
      </c>
    </row>
    <row r="63" spans="2:20" ht="13.8" x14ac:dyDescent="0.2">
      <c r="B63" s="14">
        <v>58</v>
      </c>
      <c r="C63" s="17" t="s">
        <v>685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1069</v>
      </c>
      <c r="Q63" s="40" t="s">
        <v>490</v>
      </c>
      <c r="R63" t="s">
        <v>1843</v>
      </c>
      <c r="S63" t="s">
        <v>2072</v>
      </c>
    </row>
    <row r="64" spans="2:20" ht="13.8" x14ac:dyDescent="0.2">
      <c r="B64" s="14">
        <v>59</v>
      </c>
      <c r="C64" s="17" t="s">
        <v>686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1070</v>
      </c>
      <c r="Q64" s="40" t="s">
        <v>491</v>
      </c>
      <c r="R64" t="s">
        <v>1830</v>
      </c>
      <c r="S64" t="s">
        <v>2073</v>
      </c>
    </row>
    <row r="65" spans="2:20" ht="13.8" x14ac:dyDescent="0.2">
      <c r="B65" s="14">
        <v>60</v>
      </c>
      <c r="C65" s="17" t="s">
        <v>149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1071</v>
      </c>
      <c r="Q65" s="40" t="s">
        <v>492</v>
      </c>
      <c r="R65" t="s">
        <v>1843</v>
      </c>
      <c r="S65" t="s">
        <v>2074</v>
      </c>
    </row>
    <row r="66" spans="2:20" ht="13.8" x14ac:dyDescent="0.2">
      <c r="B66" s="14">
        <v>61</v>
      </c>
      <c r="C66" s="17"/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/>
    </row>
    <row r="67" spans="2:20" ht="13.8" x14ac:dyDescent="0.2">
      <c r="B67" s="14">
        <v>62</v>
      </c>
      <c r="C67" s="17" t="s">
        <v>161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2158</v>
      </c>
      <c r="Q67" s="40" t="s">
        <v>494</v>
      </c>
      <c r="R67" t="s">
        <v>1843</v>
      </c>
      <c r="S67" t="s">
        <v>2075</v>
      </c>
    </row>
    <row r="68" spans="2:20" ht="13.8" x14ac:dyDescent="0.2">
      <c r="B68" s="14">
        <v>63</v>
      </c>
      <c r="C68" s="17" t="s">
        <v>687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688</v>
      </c>
      <c r="Q68" s="40" t="s">
        <v>495</v>
      </c>
      <c r="R68" t="s">
        <v>1830</v>
      </c>
      <c r="S68" t="s">
        <v>2076</v>
      </c>
    </row>
    <row r="69" spans="2:20" ht="13.8" x14ac:dyDescent="0.2">
      <c r="B69" s="14">
        <v>64</v>
      </c>
      <c r="C69" s="17" t="s">
        <v>2167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2159</v>
      </c>
      <c r="Q69" s="40" t="s">
        <v>496</v>
      </c>
      <c r="R69" t="s">
        <v>1843</v>
      </c>
      <c r="S69" t="s">
        <v>2077</v>
      </c>
    </row>
    <row r="70" spans="2:20" ht="13.8" x14ac:dyDescent="0.2">
      <c r="B70" s="14">
        <v>65</v>
      </c>
      <c r="C70" s="17" t="s">
        <v>414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1072</v>
      </c>
      <c r="Q70" s="40" t="s">
        <v>497</v>
      </c>
      <c r="R70" t="s">
        <v>1843</v>
      </c>
      <c r="S70" t="s">
        <v>2078</v>
      </c>
    </row>
    <row r="71" spans="2:20" ht="13.8" x14ac:dyDescent="0.2">
      <c r="B71" s="14">
        <v>66</v>
      </c>
      <c r="C71" s="17" t="s">
        <v>1326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1331</v>
      </c>
      <c r="Q71" s="40" t="s">
        <v>498</v>
      </c>
      <c r="R71" t="s">
        <v>1832</v>
      </c>
      <c r="S71" t="s">
        <v>2079</v>
      </c>
    </row>
    <row r="72" spans="2:20" ht="13.8" x14ac:dyDescent="0.2">
      <c r="B72" s="14">
        <v>67</v>
      </c>
      <c r="C72" s="17" t="s">
        <v>415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1073</v>
      </c>
      <c r="Q72" s="40" t="s">
        <v>499</v>
      </c>
      <c r="R72" t="s">
        <v>1834</v>
      </c>
      <c r="S72" t="s">
        <v>2080</v>
      </c>
    </row>
    <row r="73" spans="2:20" ht="13.8" x14ac:dyDescent="0.2">
      <c r="B73" s="14">
        <v>68</v>
      </c>
      <c r="C73" s="17" t="s">
        <v>416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1074</v>
      </c>
      <c r="Q73" s="40" t="s">
        <v>500</v>
      </c>
      <c r="R73" t="s">
        <v>1834</v>
      </c>
      <c r="S73" t="s">
        <v>2081</v>
      </c>
    </row>
    <row r="74" spans="2:20" ht="13.8" x14ac:dyDescent="0.2">
      <c r="B74" s="14">
        <v>69</v>
      </c>
      <c r="C74" s="17" t="s">
        <v>417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1075</v>
      </c>
      <c r="Q74" s="40" t="s">
        <v>501</v>
      </c>
      <c r="R74" t="s">
        <v>1843</v>
      </c>
      <c r="S74" t="s">
        <v>2082</v>
      </c>
    </row>
    <row r="75" spans="2:20" ht="13.8" x14ac:dyDescent="0.2">
      <c r="B75" s="14">
        <v>70</v>
      </c>
      <c r="C75" s="17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/>
      <c r="Q75" s="40" t="s">
        <v>502</v>
      </c>
      <c r="R75" t="s">
        <v>1896</v>
      </c>
      <c r="S75" t="s">
        <v>2030</v>
      </c>
      <c r="T75" t="s">
        <v>1921</v>
      </c>
    </row>
    <row r="76" spans="2:20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/>
      <c r="Q76" s="40" t="s">
        <v>504</v>
      </c>
      <c r="R76" t="s">
        <v>1896</v>
      </c>
      <c r="S76" t="s">
        <v>2083</v>
      </c>
      <c r="T76" t="s">
        <v>2084</v>
      </c>
    </row>
    <row r="77" spans="2:20" ht="13.8" x14ac:dyDescent="0.2">
      <c r="B77" s="14">
        <v>72</v>
      </c>
      <c r="C77" s="17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/>
      <c r="Q77" s="40" t="s">
        <v>505</v>
      </c>
      <c r="R77" t="s">
        <v>1899</v>
      </c>
      <c r="S77" t="s">
        <v>2085</v>
      </c>
      <c r="T77" t="s">
        <v>1919</v>
      </c>
    </row>
    <row r="78" spans="2:20" ht="13.8" x14ac:dyDescent="0.2">
      <c r="B78" s="14">
        <v>73</v>
      </c>
      <c r="C78" s="17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/>
      <c r="Q78" s="40" t="s">
        <v>506</v>
      </c>
      <c r="R78" t="s">
        <v>1899</v>
      </c>
      <c r="S78" t="s">
        <v>2086</v>
      </c>
      <c r="T78" t="s">
        <v>2087</v>
      </c>
    </row>
    <row r="79" spans="2:20" ht="13.8" x14ac:dyDescent="0.2">
      <c r="B79" s="14">
        <v>74</v>
      </c>
      <c r="C79" s="17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/>
      <c r="Q79" s="40" t="s">
        <v>507</v>
      </c>
      <c r="R79" t="s">
        <v>1899</v>
      </c>
      <c r="S79" t="s">
        <v>2088</v>
      </c>
      <c r="T79" t="s">
        <v>2089</v>
      </c>
    </row>
    <row r="80" spans="2:20" ht="13.8" x14ac:dyDescent="0.2">
      <c r="B80" s="14">
        <v>75</v>
      </c>
      <c r="C80" s="17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/>
      <c r="Q80" s="40" t="s">
        <v>509</v>
      </c>
      <c r="R80" t="s">
        <v>1896</v>
      </c>
      <c r="S80" t="s">
        <v>2090</v>
      </c>
      <c r="T80" t="s">
        <v>1917</v>
      </c>
    </row>
    <row r="81" spans="2:20" ht="13.8" x14ac:dyDescent="0.2">
      <c r="B81" s="14">
        <v>76</v>
      </c>
      <c r="C81" s="17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/>
      <c r="Q81" s="40" t="s">
        <v>510</v>
      </c>
      <c r="R81" t="s">
        <v>1899</v>
      </c>
      <c r="S81" t="s">
        <v>2091</v>
      </c>
      <c r="T81" t="s">
        <v>1917</v>
      </c>
    </row>
    <row r="82" spans="2:20" ht="13.8" x14ac:dyDescent="0.2">
      <c r="B82" s="14">
        <v>77</v>
      </c>
      <c r="C82" s="17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/>
      <c r="Q82" s="40" t="s">
        <v>511</v>
      </c>
      <c r="R82" t="s">
        <v>1830</v>
      </c>
      <c r="S82" t="s">
        <v>689</v>
      </c>
    </row>
    <row r="83" spans="2:20" ht="13.8" x14ac:dyDescent="0.2">
      <c r="B83" s="14">
        <v>78</v>
      </c>
      <c r="C83" s="17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/>
      <c r="Q83" s="40" t="s">
        <v>512</v>
      </c>
      <c r="R83" t="s">
        <v>1896</v>
      </c>
      <c r="S83" t="s">
        <v>2092</v>
      </c>
      <c r="T83" t="s">
        <v>2093</v>
      </c>
    </row>
    <row r="84" spans="2:20" ht="13.8" x14ac:dyDescent="0.2">
      <c r="B84" s="14">
        <v>79</v>
      </c>
      <c r="C84" s="17" t="s">
        <v>689</v>
      </c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689</v>
      </c>
      <c r="Q84" s="40" t="s">
        <v>513</v>
      </c>
      <c r="R84" t="s">
        <v>1896</v>
      </c>
      <c r="S84" t="s">
        <v>2094</v>
      </c>
      <c r="T84" t="s">
        <v>2095</v>
      </c>
    </row>
    <row r="85" spans="2:20" ht="13.8" x14ac:dyDescent="0.2">
      <c r="B85" s="14">
        <v>80</v>
      </c>
      <c r="C85" s="17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/>
      <c r="Q85" s="40" t="s">
        <v>514</v>
      </c>
      <c r="R85" t="s">
        <v>1896</v>
      </c>
      <c r="S85" t="s">
        <v>2096</v>
      </c>
      <c r="T85" t="s">
        <v>1917</v>
      </c>
    </row>
    <row r="86" spans="2:20" ht="13.8" x14ac:dyDescent="0.2">
      <c r="B86" s="14">
        <v>81</v>
      </c>
      <c r="C86" s="17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/>
      <c r="Q86" s="40" t="s">
        <v>515</v>
      </c>
      <c r="R86" t="s">
        <v>1899</v>
      </c>
      <c r="S86" t="s">
        <v>2097</v>
      </c>
      <c r="T86" t="s">
        <v>2093</v>
      </c>
    </row>
    <row r="87" spans="2:20" ht="13.8" x14ac:dyDescent="0.2">
      <c r="B87" s="14">
        <v>82</v>
      </c>
      <c r="C87" s="17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/>
      <c r="Q87" s="40" t="s">
        <v>516</v>
      </c>
      <c r="R87" t="s">
        <v>1896</v>
      </c>
      <c r="S87" t="s">
        <v>2098</v>
      </c>
      <c r="T87" t="s">
        <v>1919</v>
      </c>
    </row>
    <row r="88" spans="2:20" ht="13.8" x14ac:dyDescent="0.2">
      <c r="B88" s="14">
        <v>83</v>
      </c>
      <c r="C88" s="17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/>
      <c r="Q88" s="40" t="s">
        <v>517</v>
      </c>
      <c r="R88" t="s">
        <v>1899</v>
      </c>
      <c r="S88" t="s">
        <v>2099</v>
      </c>
      <c r="T88" t="s">
        <v>1917</v>
      </c>
    </row>
    <row r="89" spans="2:20" ht="13.8" x14ac:dyDescent="0.2">
      <c r="B89" s="14">
        <v>84</v>
      </c>
      <c r="C89" s="17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/>
      <c r="Q89" s="40" t="s">
        <v>518</v>
      </c>
      <c r="R89" t="s">
        <v>1896</v>
      </c>
      <c r="S89" t="s">
        <v>2100</v>
      </c>
      <c r="T89" t="s">
        <v>2101</v>
      </c>
    </row>
    <row r="90" spans="2:20" ht="13.8" x14ac:dyDescent="0.2">
      <c r="B90" s="14">
        <v>85</v>
      </c>
      <c r="C90" s="17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/>
      <c r="Q90" s="40" t="s">
        <v>519</v>
      </c>
      <c r="R90" t="s">
        <v>1899</v>
      </c>
      <c r="S90" t="s">
        <v>2102</v>
      </c>
      <c r="T90" t="s">
        <v>2103</v>
      </c>
    </row>
    <row r="91" spans="2:20" ht="13.8" x14ac:dyDescent="0.2">
      <c r="B91" s="14">
        <v>86</v>
      </c>
      <c r="C91" s="17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/>
      <c r="Q91" s="40" t="s">
        <v>520</v>
      </c>
      <c r="R91" t="s">
        <v>1904</v>
      </c>
      <c r="S91" t="s">
        <v>2104</v>
      </c>
    </row>
    <row r="92" spans="2:20" ht="13.8" x14ac:dyDescent="0.2">
      <c r="B92" s="14">
        <v>87</v>
      </c>
      <c r="C92" s="17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/>
      <c r="Q92" s="40" t="s">
        <v>521</v>
      </c>
      <c r="R92" t="s">
        <v>1899</v>
      </c>
      <c r="S92" t="s">
        <v>2105</v>
      </c>
      <c r="T92" t="s">
        <v>2106</v>
      </c>
    </row>
    <row r="93" spans="2:20" ht="13.8" x14ac:dyDescent="0.2">
      <c r="B93" s="14">
        <v>88</v>
      </c>
      <c r="C93" s="17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/>
      <c r="Q93" s="40" t="s">
        <v>522</v>
      </c>
      <c r="R93" t="s">
        <v>1935</v>
      </c>
      <c r="S93" t="s">
        <v>2107</v>
      </c>
      <c r="T93" t="s">
        <v>1954</v>
      </c>
    </row>
    <row r="94" spans="2:20" ht="13.8" x14ac:dyDescent="0.2">
      <c r="B94" s="14">
        <v>89</v>
      </c>
      <c r="C94" s="17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/>
      <c r="Q94" s="40" t="s">
        <v>523</v>
      </c>
      <c r="R94" t="s">
        <v>1843</v>
      </c>
      <c r="S94" t="s">
        <v>588</v>
      </c>
    </row>
    <row r="95" spans="2:20" ht="13.8" x14ac:dyDescent="0.2">
      <c r="B95" s="14">
        <v>90</v>
      </c>
      <c r="C95" s="17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/>
      <c r="Q95" s="40" t="s">
        <v>524</v>
      </c>
      <c r="R95" t="s">
        <v>1843</v>
      </c>
      <c r="S95" t="s">
        <v>2108</v>
      </c>
    </row>
    <row r="96" spans="2:20" ht="13.8" x14ac:dyDescent="0.2">
      <c r="B96" s="14">
        <v>91</v>
      </c>
      <c r="C96" s="17" t="s">
        <v>1333</v>
      </c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588</v>
      </c>
      <c r="Q96" s="40" t="s">
        <v>525</v>
      </c>
      <c r="R96" t="s">
        <v>1935</v>
      </c>
      <c r="S96" t="s">
        <v>2109</v>
      </c>
      <c r="T96" t="s">
        <v>1954</v>
      </c>
    </row>
    <row r="97" spans="2:20" ht="13.8" x14ac:dyDescent="0.2">
      <c r="B97" s="14">
        <v>92</v>
      </c>
      <c r="C97" s="17" t="s">
        <v>1334</v>
      </c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1309</v>
      </c>
      <c r="Q97" s="40" t="s">
        <v>526</v>
      </c>
      <c r="R97" t="s">
        <v>1935</v>
      </c>
      <c r="S97" t="s">
        <v>2110</v>
      </c>
      <c r="T97" t="s">
        <v>1954</v>
      </c>
    </row>
    <row r="98" spans="2:20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/>
      <c r="Q98" s="40" t="s">
        <v>527</v>
      </c>
      <c r="R98" t="s">
        <v>1832</v>
      </c>
      <c r="S98" t="s">
        <v>2111</v>
      </c>
    </row>
    <row r="99" spans="2:20" ht="13.8" x14ac:dyDescent="0.2">
      <c r="B99" s="14">
        <v>94</v>
      </c>
      <c r="C99" s="17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/>
      <c r="Q99" s="40" t="s">
        <v>528</v>
      </c>
      <c r="R99" t="s">
        <v>1896</v>
      </c>
      <c r="S99" t="s">
        <v>2112</v>
      </c>
      <c r="T99" t="s">
        <v>1921</v>
      </c>
    </row>
    <row r="100" spans="2:20" ht="13.8" x14ac:dyDescent="0.2">
      <c r="B100" s="14">
        <v>95</v>
      </c>
      <c r="C100" s="17" t="s">
        <v>1335</v>
      </c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1077</v>
      </c>
      <c r="Q100" s="40" t="s">
        <v>529</v>
      </c>
      <c r="R100" t="s">
        <v>1896</v>
      </c>
      <c r="S100" t="s">
        <v>2113</v>
      </c>
      <c r="T100" t="s">
        <v>2114</v>
      </c>
    </row>
    <row r="101" spans="2:20" ht="13.8" x14ac:dyDescent="0.2">
      <c r="B101" s="14">
        <v>96</v>
      </c>
      <c r="C101" s="17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/>
      <c r="Q101" s="40" t="s">
        <v>530</v>
      </c>
      <c r="R101" t="s">
        <v>1899</v>
      </c>
      <c r="S101" t="s">
        <v>2115</v>
      </c>
      <c r="T101" t="s">
        <v>2114</v>
      </c>
    </row>
    <row r="102" spans="2:20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/>
      <c r="Q102" s="40" t="s">
        <v>531</v>
      </c>
      <c r="R102" t="s">
        <v>1832</v>
      </c>
      <c r="S102" t="s">
        <v>2116</v>
      </c>
    </row>
    <row r="103" spans="2:20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/>
      <c r="Q103" s="40" t="s">
        <v>535</v>
      </c>
      <c r="R103" t="s">
        <v>1935</v>
      </c>
      <c r="S103" t="s">
        <v>2117</v>
      </c>
      <c r="T103" t="s">
        <v>1937</v>
      </c>
    </row>
    <row r="104" spans="2:20" ht="13.8" x14ac:dyDescent="0.2">
      <c r="B104" s="14">
        <v>99</v>
      </c>
      <c r="C104" s="17" t="s">
        <v>418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 t="s">
        <v>1076</v>
      </c>
      <c r="Q104" s="40" t="s">
        <v>536</v>
      </c>
      <c r="R104" t="s">
        <v>1935</v>
      </c>
      <c r="S104" t="s">
        <v>2118</v>
      </c>
      <c r="T104" t="s">
        <v>1937</v>
      </c>
    </row>
    <row r="105" spans="2:20" ht="13.8" x14ac:dyDescent="0.2">
      <c r="B105" s="14" t="s">
        <v>552</v>
      </c>
      <c r="C105" s="37" t="s">
        <v>2168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2137</v>
      </c>
      <c r="Q105" s="40" t="s">
        <v>537</v>
      </c>
      <c r="R105" t="s">
        <v>1935</v>
      </c>
      <c r="S105" t="s">
        <v>2119</v>
      </c>
      <c r="T105" t="s">
        <v>1937</v>
      </c>
    </row>
    <row r="106" spans="2:20" ht="13.8" x14ac:dyDescent="0.2">
      <c r="B106" s="14" t="s">
        <v>554</v>
      </c>
      <c r="C106" s="17" t="s">
        <v>2144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2138</v>
      </c>
      <c r="Q106" s="40" t="s">
        <v>538</v>
      </c>
      <c r="R106" t="s">
        <v>1935</v>
      </c>
      <c r="S106" t="s">
        <v>2120</v>
      </c>
      <c r="T106" t="s">
        <v>1937</v>
      </c>
    </row>
    <row r="107" spans="2:20" ht="13.8" x14ac:dyDescent="0.2">
      <c r="B107" s="14" t="s">
        <v>555</v>
      </c>
      <c r="C107" s="17" t="s">
        <v>2145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2139</v>
      </c>
      <c r="Q107" s="40" t="s">
        <v>539</v>
      </c>
      <c r="R107" t="s">
        <v>1935</v>
      </c>
      <c r="S107" t="s">
        <v>2121</v>
      </c>
      <c r="T107" t="s">
        <v>1937</v>
      </c>
    </row>
    <row r="108" spans="2:20" ht="13.8" x14ac:dyDescent="0.2">
      <c r="B108" s="14" t="s">
        <v>556</v>
      </c>
      <c r="C108" s="17" t="s">
        <v>2146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2140</v>
      </c>
      <c r="Q108" s="40" t="s">
        <v>540</v>
      </c>
      <c r="R108" t="s">
        <v>1935</v>
      </c>
      <c r="S108" t="s">
        <v>2122</v>
      </c>
      <c r="T108" t="s">
        <v>1937</v>
      </c>
    </row>
    <row r="109" spans="2:20" ht="13.8" x14ac:dyDescent="0.2">
      <c r="B109" s="14" t="s">
        <v>557</v>
      </c>
      <c r="C109" s="17" t="s">
        <v>2147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2141</v>
      </c>
      <c r="Q109" s="40" t="s">
        <v>541</v>
      </c>
      <c r="R109" t="s">
        <v>1935</v>
      </c>
      <c r="S109" t="s">
        <v>2123</v>
      </c>
      <c r="T109" t="s">
        <v>1937</v>
      </c>
    </row>
    <row r="110" spans="2:20" ht="13.8" x14ac:dyDescent="0.2">
      <c r="B110" s="14" t="s">
        <v>558</v>
      </c>
      <c r="C110" s="17" t="s">
        <v>2148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2142</v>
      </c>
      <c r="Q110" s="40" t="s">
        <v>542</v>
      </c>
      <c r="R110" t="s">
        <v>1935</v>
      </c>
      <c r="S110" t="s">
        <v>2124</v>
      </c>
      <c r="T110" t="s">
        <v>1937</v>
      </c>
    </row>
    <row r="111" spans="2:20" ht="13.8" x14ac:dyDescent="0.2">
      <c r="B111" s="14" t="s">
        <v>562</v>
      </c>
      <c r="C111" s="17" t="s">
        <v>419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419</v>
      </c>
      <c r="Q111" s="40" t="s">
        <v>543</v>
      </c>
      <c r="R111" t="s">
        <v>1935</v>
      </c>
      <c r="S111" t="s">
        <v>2125</v>
      </c>
      <c r="T111" t="s">
        <v>1954</v>
      </c>
    </row>
    <row r="112" spans="2:20" ht="13.8" x14ac:dyDescent="0.2">
      <c r="B112" s="14" t="s">
        <v>563</v>
      </c>
      <c r="C112" s="17" t="s">
        <v>690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2" t="s">
        <v>690</v>
      </c>
      <c r="Q112" s="40" t="s">
        <v>544</v>
      </c>
      <c r="R112" t="s">
        <v>1935</v>
      </c>
      <c r="S112" t="s">
        <v>2126</v>
      </c>
      <c r="T112" t="s">
        <v>1937</v>
      </c>
    </row>
    <row r="113" spans="2:20" ht="13.8" x14ac:dyDescent="0.2">
      <c r="B113" s="14" t="s">
        <v>654</v>
      </c>
      <c r="C113" s="17" t="s">
        <v>2149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2" t="s">
        <v>2143</v>
      </c>
      <c r="Q113" s="40" t="s">
        <v>545</v>
      </c>
      <c r="R113" t="s">
        <v>1935</v>
      </c>
      <c r="S113" t="s">
        <v>2127</v>
      </c>
      <c r="T113" t="s">
        <v>1937</v>
      </c>
    </row>
    <row r="114" spans="2:20" ht="13.8" x14ac:dyDescent="0.2">
      <c r="B114" s="14"/>
      <c r="C114" s="17"/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2"/>
      <c r="Q114" s="40" t="s">
        <v>546</v>
      </c>
      <c r="R114" t="s">
        <v>1935</v>
      </c>
      <c r="S114" t="s">
        <v>2128</v>
      </c>
      <c r="T114" t="s">
        <v>1937</v>
      </c>
    </row>
    <row r="115" spans="2:20" ht="13.8" x14ac:dyDescent="0.2">
      <c r="B115" s="14"/>
      <c r="C115" s="17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2"/>
      <c r="Q115" s="40" t="s">
        <v>547</v>
      </c>
      <c r="R115" t="s">
        <v>1935</v>
      </c>
      <c r="S115" t="s">
        <v>2129</v>
      </c>
      <c r="T115" t="s">
        <v>1954</v>
      </c>
    </row>
    <row r="116" spans="2:20" ht="13.8" x14ac:dyDescent="0.2">
      <c r="B116" s="14"/>
      <c r="C116" s="17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2"/>
      <c r="Q116" s="40" t="s">
        <v>552</v>
      </c>
      <c r="R116" t="s">
        <v>1843</v>
      </c>
      <c r="S116" t="s">
        <v>2130</v>
      </c>
      <c r="T116" t="s">
        <v>567</v>
      </c>
    </row>
    <row r="117" spans="2:20" ht="13.8" x14ac:dyDescent="0.2">
      <c r="B117" s="14"/>
      <c r="C117" s="17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2" t="s">
        <v>736</v>
      </c>
      <c r="Q117" s="40" t="s">
        <v>554</v>
      </c>
      <c r="R117" t="s">
        <v>1832</v>
      </c>
      <c r="S117" t="s">
        <v>2131</v>
      </c>
      <c r="T117" t="s">
        <v>567</v>
      </c>
    </row>
    <row r="118" spans="2:20" ht="13.8" x14ac:dyDescent="0.2">
      <c r="B118" s="14"/>
      <c r="C118" s="17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2" t="s">
        <v>736</v>
      </c>
      <c r="Q118" s="40" t="s">
        <v>555</v>
      </c>
      <c r="R118" t="s">
        <v>1834</v>
      </c>
      <c r="S118" t="s">
        <v>2132</v>
      </c>
      <c r="T118" t="s">
        <v>567</v>
      </c>
    </row>
    <row r="119" spans="2:20" ht="13.8" x14ac:dyDescent="0.2">
      <c r="B119" s="14"/>
      <c r="C119" s="17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2" t="s">
        <v>736</v>
      </c>
      <c r="Q119" s="40" t="s">
        <v>556</v>
      </c>
      <c r="R119" t="s">
        <v>1830</v>
      </c>
      <c r="S119" t="s">
        <v>2133</v>
      </c>
      <c r="T119" t="s">
        <v>567</v>
      </c>
    </row>
    <row r="120" spans="2:20" ht="13.8" x14ac:dyDescent="0.2">
      <c r="B120" s="14"/>
      <c r="C120" s="17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2" t="s">
        <v>736</v>
      </c>
      <c r="Q120" s="40" t="s">
        <v>557</v>
      </c>
      <c r="R120" t="s">
        <v>1843</v>
      </c>
      <c r="S120" t="s">
        <v>2134</v>
      </c>
      <c r="T120" t="s">
        <v>567</v>
      </c>
    </row>
    <row r="121" spans="2:20" ht="13.8" x14ac:dyDescent="0.2">
      <c r="B121" s="14"/>
      <c r="C121" s="17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2" t="s">
        <v>736</v>
      </c>
      <c r="Q121" s="40" t="s">
        <v>558</v>
      </c>
      <c r="R121" t="s">
        <v>1832</v>
      </c>
      <c r="S121" t="s">
        <v>2135</v>
      </c>
      <c r="T121" t="s">
        <v>567</v>
      </c>
    </row>
    <row r="122" spans="2:20" ht="13.8" x14ac:dyDescent="0.2">
      <c r="B122" s="14"/>
      <c r="C122" s="17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2" t="s">
        <v>736</v>
      </c>
      <c r="Q122" s="40" t="s">
        <v>562</v>
      </c>
      <c r="R122" t="s">
        <v>1830</v>
      </c>
      <c r="S122" t="s">
        <v>419</v>
      </c>
      <c r="T122" t="s">
        <v>567</v>
      </c>
    </row>
    <row r="123" spans="2:20" ht="13.8" x14ac:dyDescent="0.2">
      <c r="B123" s="14"/>
      <c r="C123" s="17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2" t="s">
        <v>736</v>
      </c>
      <c r="Q123" s="40" t="s">
        <v>563</v>
      </c>
      <c r="R123" t="s">
        <v>1830</v>
      </c>
      <c r="S123" t="s">
        <v>690</v>
      </c>
      <c r="T123" t="s">
        <v>567</v>
      </c>
    </row>
    <row r="124" spans="2:20" ht="13.8" x14ac:dyDescent="0.2">
      <c r="B124" s="14"/>
      <c r="C124" s="17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2" t="s">
        <v>736</v>
      </c>
      <c r="Q124" s="40" t="s">
        <v>654</v>
      </c>
      <c r="R124" t="s">
        <v>1843</v>
      </c>
      <c r="S124" t="s">
        <v>2136</v>
      </c>
      <c r="T124" t="s">
        <v>567</v>
      </c>
    </row>
    <row r="125" spans="2:20" ht="13.8" x14ac:dyDescent="0.2">
      <c r="B125" s="14"/>
      <c r="C125" s="17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2" t="s">
        <v>736</v>
      </c>
    </row>
    <row r="126" spans="2:20" ht="13.8" x14ac:dyDescent="0.2">
      <c r="B126" s="14"/>
      <c r="C126" s="17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2" t="s">
        <v>736</v>
      </c>
    </row>
    <row r="127" spans="2:20" ht="13.8" x14ac:dyDescent="0.2">
      <c r="B127" s="14"/>
      <c r="C127" s="17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2" t="s">
        <v>736</v>
      </c>
    </row>
    <row r="128" spans="2:20" ht="13.8" x14ac:dyDescent="0.2">
      <c r="B128" s="14"/>
      <c r="C128" s="17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2" t="s">
        <v>736</v>
      </c>
    </row>
    <row r="129" spans="2:16" ht="13.8" x14ac:dyDescent="0.2">
      <c r="B129" s="14"/>
      <c r="C129" s="17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2" t="s">
        <v>736</v>
      </c>
    </row>
    <row r="130" spans="2:16" ht="13.8" x14ac:dyDescent="0.2">
      <c r="B130" s="14"/>
      <c r="C130" s="17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2" t="s">
        <v>736</v>
      </c>
    </row>
    <row r="131" spans="2:16" ht="13.8" x14ac:dyDescent="0.2">
      <c r="B131" s="14"/>
      <c r="C131" s="17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2" t="s">
        <v>736</v>
      </c>
    </row>
    <row r="132" spans="2:16" ht="13.8" x14ac:dyDescent="0.2">
      <c r="B132" s="14"/>
      <c r="C132" s="17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2" t="s">
        <v>736</v>
      </c>
    </row>
    <row r="133" spans="2:16" ht="13.8" x14ac:dyDescent="0.2">
      <c r="B133" s="14"/>
      <c r="C133" s="17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736</v>
      </c>
    </row>
    <row r="134" spans="2:16" ht="13.8" x14ac:dyDescent="0.2">
      <c r="B134" s="14"/>
      <c r="C134" s="17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2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1:W137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89"/>
      <c r="C2" s="89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0" t="s">
        <v>246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938</v>
      </c>
      <c r="H3" s="17" t="s">
        <v>939</v>
      </c>
      <c r="I3" s="22" t="s">
        <v>2</v>
      </c>
      <c r="J3" s="23" t="s">
        <v>3</v>
      </c>
      <c r="K3" s="34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91"/>
    </row>
    <row r="4" spans="2:20" ht="13.8" x14ac:dyDescent="0.2">
      <c r="B4" s="14" t="s">
        <v>425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736</v>
      </c>
    </row>
    <row r="5" spans="2:20" ht="13.8" x14ac:dyDescent="0.2">
      <c r="B5" s="14">
        <v>0</v>
      </c>
      <c r="C5" s="17" t="s">
        <v>2413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2386</v>
      </c>
      <c r="Q5" s="40" t="s">
        <v>1391</v>
      </c>
      <c r="R5" t="s">
        <v>1830</v>
      </c>
      <c r="S5" t="s">
        <v>2231</v>
      </c>
    </row>
    <row r="6" spans="2:20" ht="13.8" x14ac:dyDescent="0.2">
      <c r="B6" s="14">
        <v>1</v>
      </c>
      <c r="C6" s="17" t="s">
        <v>2412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3"/>
        <v>0</v>
      </c>
      <c r="L6" s="4">
        <f t="shared" si="4"/>
        <v>0</v>
      </c>
      <c r="M6" s="31">
        <v>0</v>
      </c>
      <c r="N6" s="32">
        <v>0</v>
      </c>
      <c r="O6" s="33">
        <v>0</v>
      </c>
      <c r="P6" s="2" t="s">
        <v>2387</v>
      </c>
      <c r="Q6" s="40" t="s">
        <v>1829</v>
      </c>
      <c r="R6" t="s">
        <v>1830</v>
      </c>
      <c r="S6" t="s">
        <v>2232</v>
      </c>
    </row>
    <row r="7" spans="2:20" ht="13.8" x14ac:dyDescent="0.2">
      <c r="B7" s="14">
        <v>2</v>
      </c>
      <c r="C7" s="17" t="s">
        <v>691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3"/>
        <v>0</v>
      </c>
      <c r="L7" s="4">
        <f t="shared" si="4"/>
        <v>0</v>
      </c>
      <c r="M7" s="31">
        <v>0</v>
      </c>
      <c r="N7" s="32">
        <v>0</v>
      </c>
      <c r="O7" s="33">
        <v>0</v>
      </c>
      <c r="P7" s="2" t="s">
        <v>989</v>
      </c>
      <c r="Q7" s="40" t="s">
        <v>434</v>
      </c>
      <c r="R7" t="s">
        <v>1832</v>
      </c>
      <c r="S7" t="s">
        <v>2233</v>
      </c>
    </row>
    <row r="8" spans="2:20" ht="13.8" x14ac:dyDescent="0.2">
      <c r="B8" s="14">
        <v>3</v>
      </c>
      <c r="C8" s="17" t="s">
        <v>263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3"/>
        <v>0</v>
      </c>
      <c r="L8" s="4">
        <f t="shared" si="4"/>
        <v>0</v>
      </c>
      <c r="M8" s="31">
        <v>0</v>
      </c>
      <c r="N8" s="32">
        <v>0</v>
      </c>
      <c r="O8" s="33">
        <v>0</v>
      </c>
      <c r="P8" s="2" t="s">
        <v>990</v>
      </c>
      <c r="Q8" s="40" t="s">
        <v>435</v>
      </c>
      <c r="R8" t="s">
        <v>1834</v>
      </c>
      <c r="S8" t="s">
        <v>2234</v>
      </c>
    </row>
    <row r="9" spans="2:20" ht="13.8" x14ac:dyDescent="0.2">
      <c r="B9" s="14">
        <v>4</v>
      </c>
      <c r="C9" s="17" t="s">
        <v>2411</v>
      </c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3"/>
        <v>0</v>
      </c>
      <c r="L9" s="4">
        <f t="shared" si="4"/>
        <v>0</v>
      </c>
      <c r="M9" s="31">
        <v>0</v>
      </c>
      <c r="N9" s="32">
        <v>0</v>
      </c>
      <c r="O9" s="33">
        <v>0</v>
      </c>
      <c r="P9" s="2" t="s">
        <v>2235</v>
      </c>
      <c r="Q9" s="40" t="s">
        <v>436</v>
      </c>
      <c r="R9" t="s">
        <v>1834</v>
      </c>
      <c r="S9" t="s">
        <v>2235</v>
      </c>
    </row>
    <row r="10" spans="2:20" ht="13.8" x14ac:dyDescent="0.2">
      <c r="B10" s="14">
        <v>5</v>
      </c>
      <c r="C10" s="17" t="s">
        <v>265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3"/>
        <v>0</v>
      </c>
      <c r="L10" s="4">
        <f t="shared" si="4"/>
        <v>0</v>
      </c>
      <c r="M10" s="31">
        <v>0</v>
      </c>
      <c r="N10" s="32">
        <v>0</v>
      </c>
      <c r="O10" s="33">
        <v>0</v>
      </c>
      <c r="P10" s="2" t="s">
        <v>991</v>
      </c>
      <c r="Q10" s="40" t="s">
        <v>437</v>
      </c>
      <c r="R10" t="s">
        <v>1834</v>
      </c>
      <c r="S10" t="s">
        <v>2236</v>
      </c>
    </row>
    <row r="11" spans="2:20" ht="13.8" x14ac:dyDescent="0.2">
      <c r="B11" s="14">
        <v>6</v>
      </c>
      <c r="C11" s="17" t="s">
        <v>266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3"/>
        <v>0</v>
      </c>
      <c r="L11" s="4">
        <f t="shared" si="4"/>
        <v>0</v>
      </c>
      <c r="M11" s="31">
        <v>0</v>
      </c>
      <c r="N11" s="32">
        <v>0</v>
      </c>
      <c r="O11" s="33">
        <v>0</v>
      </c>
      <c r="P11" s="2" t="s">
        <v>992</v>
      </c>
      <c r="Q11" s="40" t="s">
        <v>438</v>
      </c>
      <c r="R11" t="s">
        <v>1834</v>
      </c>
      <c r="S11" t="s">
        <v>2237</v>
      </c>
    </row>
    <row r="12" spans="2:20" ht="13.8" x14ac:dyDescent="0.2">
      <c r="B12" s="14">
        <v>7</v>
      </c>
      <c r="C12" s="17" t="s">
        <v>2410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3"/>
        <v>0</v>
      </c>
      <c r="L12" s="4">
        <f t="shared" si="4"/>
        <v>0</v>
      </c>
      <c r="M12" s="31">
        <v>0</v>
      </c>
      <c r="N12" s="32">
        <v>0</v>
      </c>
      <c r="O12" s="33">
        <v>0</v>
      </c>
      <c r="P12" s="2" t="s">
        <v>2388</v>
      </c>
      <c r="Q12" s="40" t="s">
        <v>439</v>
      </c>
      <c r="R12" t="s">
        <v>1830</v>
      </c>
      <c r="S12" t="s">
        <v>2238</v>
      </c>
      <c r="T12" t="s">
        <v>1847</v>
      </c>
    </row>
    <row r="13" spans="2:20" ht="13.8" x14ac:dyDescent="0.2">
      <c r="B13" s="14">
        <v>8</v>
      </c>
      <c r="C13" s="17" t="s">
        <v>267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3"/>
        <v>0</v>
      </c>
      <c r="L13" s="4">
        <f t="shared" si="4"/>
        <v>0</v>
      </c>
      <c r="M13" s="31">
        <v>0</v>
      </c>
      <c r="N13" s="32">
        <v>0</v>
      </c>
      <c r="O13" s="33">
        <v>0</v>
      </c>
      <c r="P13" s="2" t="s">
        <v>993</v>
      </c>
      <c r="Q13" s="40" t="s">
        <v>440</v>
      </c>
      <c r="R13" t="s">
        <v>1830</v>
      </c>
      <c r="S13" t="s">
        <v>2239</v>
      </c>
    </row>
    <row r="14" spans="2:20" ht="13.8" x14ac:dyDescent="0.2">
      <c r="B14" s="14">
        <v>9</v>
      </c>
      <c r="C14" s="17" t="s">
        <v>2409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3"/>
        <v>0</v>
      </c>
      <c r="L14" s="4">
        <f t="shared" si="4"/>
        <v>0</v>
      </c>
      <c r="M14" s="31">
        <v>0</v>
      </c>
      <c r="N14" s="32">
        <v>0</v>
      </c>
      <c r="O14" s="33">
        <v>0</v>
      </c>
      <c r="P14" s="2" t="s">
        <v>2389</v>
      </c>
      <c r="Q14" s="40" t="s">
        <v>441</v>
      </c>
      <c r="R14" t="s">
        <v>1834</v>
      </c>
      <c r="S14" t="s">
        <v>2240</v>
      </c>
    </row>
    <row r="15" spans="2:20" ht="13.8" x14ac:dyDescent="0.2">
      <c r="B15" s="14">
        <v>10</v>
      </c>
      <c r="C15" s="17" t="s">
        <v>2408</v>
      </c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3"/>
        <v>0</v>
      </c>
      <c r="L15" s="4">
        <f t="shared" si="4"/>
        <v>0</v>
      </c>
      <c r="M15" s="31">
        <v>0</v>
      </c>
      <c r="N15" s="32">
        <v>0</v>
      </c>
      <c r="O15" s="33">
        <v>0</v>
      </c>
      <c r="P15" s="2" t="s">
        <v>2390</v>
      </c>
      <c r="Q15" s="40" t="s">
        <v>442</v>
      </c>
      <c r="R15" t="s">
        <v>1834</v>
      </c>
      <c r="S15" t="s">
        <v>2241</v>
      </c>
    </row>
    <row r="16" spans="2:20" ht="13.8" x14ac:dyDescent="0.2">
      <c r="B16" s="14">
        <v>11</v>
      </c>
      <c r="C16" s="17" t="s">
        <v>268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3"/>
        <v>0</v>
      </c>
      <c r="L16" s="4">
        <f t="shared" si="4"/>
        <v>0</v>
      </c>
      <c r="M16" s="31">
        <v>0</v>
      </c>
      <c r="N16" s="32">
        <v>0</v>
      </c>
      <c r="O16" s="33">
        <v>0</v>
      </c>
      <c r="P16" s="2" t="s">
        <v>994</v>
      </c>
      <c r="Q16" s="40" t="s">
        <v>443</v>
      </c>
      <c r="R16" t="s">
        <v>1843</v>
      </c>
      <c r="S16" t="s">
        <v>2242</v>
      </c>
    </row>
    <row r="17" spans="2:20" ht="13.8" x14ac:dyDescent="0.2">
      <c r="B17" s="14">
        <v>12</v>
      </c>
      <c r="C17" s="17" t="s">
        <v>611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3"/>
        <v>0</v>
      </c>
      <c r="L17" s="4">
        <f t="shared" si="4"/>
        <v>0</v>
      </c>
      <c r="M17" s="31">
        <v>0</v>
      </c>
      <c r="N17" s="32">
        <v>0</v>
      </c>
      <c r="O17" s="33">
        <v>0</v>
      </c>
      <c r="P17" s="2" t="s">
        <v>692</v>
      </c>
      <c r="Q17" s="40" t="s">
        <v>444</v>
      </c>
      <c r="R17" t="s">
        <v>1843</v>
      </c>
      <c r="S17" t="s">
        <v>2243</v>
      </c>
    </row>
    <row r="18" spans="2:20" ht="13.8" x14ac:dyDescent="0.2">
      <c r="B18" s="14">
        <v>13</v>
      </c>
      <c r="C18" s="17" t="s">
        <v>269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3"/>
        <v>0</v>
      </c>
      <c r="L18" s="4">
        <f t="shared" si="4"/>
        <v>0</v>
      </c>
      <c r="M18" s="31">
        <v>0</v>
      </c>
      <c r="N18" s="32">
        <v>0</v>
      </c>
      <c r="O18" s="33">
        <v>0</v>
      </c>
      <c r="P18" s="2" t="s">
        <v>995</v>
      </c>
      <c r="Q18" s="40" t="s">
        <v>445</v>
      </c>
      <c r="R18" t="s">
        <v>1843</v>
      </c>
      <c r="S18" t="s">
        <v>2244</v>
      </c>
    </row>
    <row r="19" spans="2:20" ht="13.8" x14ac:dyDescent="0.2">
      <c r="B19" s="14">
        <v>14</v>
      </c>
      <c r="C19" s="17"/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3"/>
        <v>0</v>
      </c>
      <c r="L19" s="4">
        <f t="shared" si="4"/>
        <v>0</v>
      </c>
      <c r="M19" s="31">
        <v>0</v>
      </c>
      <c r="N19" s="32">
        <v>0</v>
      </c>
      <c r="O19" s="33">
        <v>0</v>
      </c>
      <c r="P19" s="2"/>
    </row>
    <row r="20" spans="2:20" ht="13.8" x14ac:dyDescent="0.2">
      <c r="B20" s="14">
        <v>15</v>
      </c>
      <c r="C20" s="9" t="s">
        <v>2407</v>
      </c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3"/>
        <v>0</v>
      </c>
      <c r="L20" s="4">
        <f t="shared" si="4"/>
        <v>0</v>
      </c>
      <c r="M20" s="31">
        <v>0</v>
      </c>
      <c r="N20" s="32">
        <v>0</v>
      </c>
      <c r="O20" s="33">
        <v>0</v>
      </c>
      <c r="P20" s="2" t="s">
        <v>2391</v>
      </c>
      <c r="Q20" s="40" t="s">
        <v>447</v>
      </c>
      <c r="R20" t="s">
        <v>1843</v>
      </c>
      <c r="S20" t="s">
        <v>2245</v>
      </c>
    </row>
    <row r="21" spans="2:20" ht="13.8" x14ac:dyDescent="0.2">
      <c r="B21" s="14">
        <v>16</v>
      </c>
      <c r="C21" s="17" t="s">
        <v>693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3"/>
        <v>0</v>
      </c>
      <c r="L21" s="4">
        <f t="shared" si="4"/>
        <v>0</v>
      </c>
      <c r="M21" s="31">
        <v>0</v>
      </c>
      <c r="N21" s="32">
        <v>0</v>
      </c>
      <c r="O21" s="33">
        <v>0</v>
      </c>
      <c r="P21" s="2" t="s">
        <v>996</v>
      </c>
      <c r="Q21" s="40" t="s">
        <v>448</v>
      </c>
      <c r="R21" t="s">
        <v>1843</v>
      </c>
      <c r="S21" t="s">
        <v>2246</v>
      </c>
    </row>
    <row r="22" spans="2:20" ht="13.8" x14ac:dyDescent="0.2">
      <c r="B22" s="14">
        <v>17</v>
      </c>
      <c r="C22" s="17" t="s">
        <v>270</v>
      </c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3"/>
        <v>0</v>
      </c>
      <c r="L22" s="4">
        <f t="shared" si="4"/>
        <v>0</v>
      </c>
      <c r="M22" s="31">
        <v>0</v>
      </c>
      <c r="N22" s="32">
        <v>0</v>
      </c>
      <c r="O22" s="33">
        <v>0</v>
      </c>
      <c r="P22" s="2" t="s">
        <v>997</v>
      </c>
      <c r="Q22" s="40" t="s">
        <v>449</v>
      </c>
      <c r="R22" t="s">
        <v>1843</v>
      </c>
      <c r="S22" t="s">
        <v>2247</v>
      </c>
    </row>
    <row r="23" spans="2:20" ht="13.8" x14ac:dyDescent="0.2">
      <c r="B23" s="14">
        <v>18</v>
      </c>
      <c r="C23" s="17" t="s">
        <v>271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3"/>
        <v>0</v>
      </c>
      <c r="L23" s="4">
        <f t="shared" si="4"/>
        <v>0</v>
      </c>
      <c r="M23" s="31">
        <v>0</v>
      </c>
      <c r="N23" s="32">
        <v>0</v>
      </c>
      <c r="O23" s="33">
        <v>0</v>
      </c>
      <c r="P23" s="2" t="s">
        <v>998</v>
      </c>
      <c r="Q23" s="40" t="s">
        <v>450</v>
      </c>
      <c r="R23" t="s">
        <v>1843</v>
      </c>
      <c r="S23" t="s">
        <v>2248</v>
      </c>
    </row>
    <row r="24" spans="2:20" ht="13.8" x14ac:dyDescent="0.2">
      <c r="B24" s="14">
        <v>19</v>
      </c>
      <c r="C24" s="17" t="s">
        <v>272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3"/>
        <v>0</v>
      </c>
      <c r="L24" s="4">
        <f t="shared" si="4"/>
        <v>0</v>
      </c>
      <c r="M24" s="31">
        <v>0</v>
      </c>
      <c r="N24" s="32">
        <v>0</v>
      </c>
      <c r="O24" s="33">
        <v>0</v>
      </c>
      <c r="P24" s="2" t="s">
        <v>999</v>
      </c>
      <c r="Q24" s="40" t="s">
        <v>451</v>
      </c>
      <c r="R24" t="s">
        <v>1843</v>
      </c>
      <c r="S24" t="s">
        <v>2249</v>
      </c>
    </row>
    <row r="25" spans="2:20" ht="13.8" x14ac:dyDescent="0.2">
      <c r="B25" s="14">
        <v>20</v>
      </c>
      <c r="C25" s="17"/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3"/>
        <v>0</v>
      </c>
      <c r="L25" s="4">
        <f t="shared" si="4"/>
        <v>0</v>
      </c>
      <c r="M25" s="31">
        <v>0</v>
      </c>
      <c r="N25" s="32">
        <v>0</v>
      </c>
      <c r="O25" s="33">
        <v>0</v>
      </c>
      <c r="P25" s="2"/>
    </row>
    <row r="26" spans="2:20" ht="13.8" x14ac:dyDescent="0.2">
      <c r="B26" s="14">
        <v>21</v>
      </c>
      <c r="C26" s="17" t="s">
        <v>273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3"/>
        <v>0</v>
      </c>
      <c r="L26" s="4">
        <f t="shared" si="4"/>
        <v>0</v>
      </c>
      <c r="M26" s="31">
        <v>0</v>
      </c>
      <c r="N26" s="32">
        <v>0</v>
      </c>
      <c r="O26" s="33">
        <v>0</v>
      </c>
      <c r="P26" s="2" t="s">
        <v>1000</v>
      </c>
      <c r="Q26" s="40" t="s">
        <v>453</v>
      </c>
      <c r="R26" t="s">
        <v>1843</v>
      </c>
      <c r="S26" t="s">
        <v>2250</v>
      </c>
    </row>
    <row r="27" spans="2:20" ht="13.8" x14ac:dyDescent="0.2">
      <c r="B27" s="14">
        <v>22</v>
      </c>
      <c r="C27" s="17" t="s">
        <v>274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3"/>
        <v>0</v>
      </c>
      <c r="L27" s="4">
        <f t="shared" si="4"/>
        <v>0</v>
      </c>
      <c r="M27" s="31">
        <v>0</v>
      </c>
      <c r="N27" s="32">
        <v>0</v>
      </c>
      <c r="O27" s="33">
        <v>0</v>
      </c>
      <c r="P27" s="2" t="s">
        <v>1001</v>
      </c>
      <c r="Q27" s="40" t="s">
        <v>454</v>
      </c>
      <c r="R27" t="s">
        <v>1843</v>
      </c>
      <c r="S27" t="s">
        <v>2251</v>
      </c>
    </row>
    <row r="28" spans="2:20" ht="13.8" x14ac:dyDescent="0.2">
      <c r="B28" s="14">
        <v>23</v>
      </c>
      <c r="C28" s="17" t="s">
        <v>275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3"/>
        <v>0</v>
      </c>
      <c r="L28" s="4">
        <f t="shared" si="4"/>
        <v>0</v>
      </c>
      <c r="M28" s="31">
        <v>0</v>
      </c>
      <c r="N28" s="32">
        <v>0</v>
      </c>
      <c r="O28" s="33">
        <v>0</v>
      </c>
      <c r="P28" s="2" t="s">
        <v>1002</v>
      </c>
      <c r="Q28" s="40" t="s">
        <v>455</v>
      </c>
      <c r="R28" t="s">
        <v>1832</v>
      </c>
      <c r="S28" t="s">
        <v>2252</v>
      </c>
    </row>
    <row r="29" spans="2:20" ht="13.8" x14ac:dyDescent="0.2">
      <c r="B29" s="14">
        <v>24</v>
      </c>
      <c r="C29" s="17" t="s">
        <v>276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3"/>
        <v>0</v>
      </c>
      <c r="L29" s="4">
        <f t="shared" si="4"/>
        <v>0</v>
      </c>
      <c r="M29" s="31">
        <v>0</v>
      </c>
      <c r="N29" s="32">
        <v>0</v>
      </c>
      <c r="O29" s="33">
        <v>0</v>
      </c>
      <c r="P29" s="2" t="s">
        <v>261</v>
      </c>
      <c r="Q29" s="40" t="s">
        <v>456</v>
      </c>
      <c r="R29" t="s">
        <v>1834</v>
      </c>
      <c r="S29" t="s">
        <v>2253</v>
      </c>
    </row>
    <row r="30" spans="2:20" ht="13.8" x14ac:dyDescent="0.2">
      <c r="B30" s="14">
        <v>25</v>
      </c>
      <c r="C30" s="17" t="s">
        <v>277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3"/>
        <v>0</v>
      </c>
      <c r="L30" s="4">
        <f t="shared" si="4"/>
        <v>0</v>
      </c>
      <c r="M30" s="31">
        <v>0</v>
      </c>
      <c r="N30" s="32">
        <v>0</v>
      </c>
      <c r="O30" s="33">
        <v>0</v>
      </c>
      <c r="P30" s="2" t="s">
        <v>1003</v>
      </c>
      <c r="Q30" s="40" t="s">
        <v>457</v>
      </c>
      <c r="R30" t="s">
        <v>1830</v>
      </c>
      <c r="S30" t="s">
        <v>2254</v>
      </c>
    </row>
    <row r="31" spans="2:20" ht="13.8" x14ac:dyDescent="0.2">
      <c r="B31" s="14">
        <v>26</v>
      </c>
      <c r="C31" s="17" t="s">
        <v>694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3"/>
        <v>0</v>
      </c>
      <c r="L31" s="4">
        <f t="shared" si="4"/>
        <v>0</v>
      </c>
      <c r="M31" s="31">
        <v>0</v>
      </c>
      <c r="N31" s="32">
        <v>0</v>
      </c>
      <c r="O31" s="33">
        <v>0</v>
      </c>
      <c r="P31" s="2" t="s">
        <v>1004</v>
      </c>
      <c r="Q31" s="40" t="s">
        <v>458</v>
      </c>
      <c r="R31" t="s">
        <v>1843</v>
      </c>
      <c r="S31" t="s">
        <v>2255</v>
      </c>
      <c r="T31" t="s">
        <v>1862</v>
      </c>
    </row>
    <row r="32" spans="2:20" ht="13.8" x14ac:dyDescent="0.2">
      <c r="B32" s="14">
        <v>27</v>
      </c>
      <c r="C32" s="17" t="s">
        <v>695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3"/>
        <v>0</v>
      </c>
      <c r="L32" s="4">
        <f t="shared" si="4"/>
        <v>0</v>
      </c>
      <c r="M32" s="31">
        <v>0</v>
      </c>
      <c r="N32" s="32">
        <v>0</v>
      </c>
      <c r="O32" s="33">
        <v>0</v>
      </c>
      <c r="P32" s="2" t="s">
        <v>1005</v>
      </c>
      <c r="Q32" s="40" t="s">
        <v>459</v>
      </c>
      <c r="R32" t="s">
        <v>1830</v>
      </c>
      <c r="S32" t="s">
        <v>2256</v>
      </c>
    </row>
    <row r="33" spans="2:19" ht="13.8" x14ac:dyDescent="0.2">
      <c r="B33" s="14">
        <v>28</v>
      </c>
      <c r="C33" s="17" t="s">
        <v>278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3"/>
        <v>0</v>
      </c>
      <c r="L33" s="4">
        <f t="shared" si="4"/>
        <v>0</v>
      </c>
      <c r="M33" s="31">
        <v>0</v>
      </c>
      <c r="N33" s="32">
        <v>0</v>
      </c>
      <c r="O33" s="33">
        <v>0</v>
      </c>
      <c r="P33" s="2" t="s">
        <v>1006</v>
      </c>
      <c r="Q33" s="40" t="s">
        <v>460</v>
      </c>
      <c r="R33" t="s">
        <v>1843</v>
      </c>
      <c r="S33" t="s">
        <v>2257</v>
      </c>
    </row>
    <row r="34" spans="2:19" ht="13.8" x14ac:dyDescent="0.2">
      <c r="B34" s="14">
        <v>29</v>
      </c>
      <c r="C34" s="17" t="s">
        <v>279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3"/>
        <v>0</v>
      </c>
      <c r="L34" s="4">
        <f t="shared" si="4"/>
        <v>0</v>
      </c>
      <c r="M34" s="31">
        <v>0</v>
      </c>
      <c r="N34" s="32">
        <v>0</v>
      </c>
      <c r="O34" s="33">
        <v>0</v>
      </c>
      <c r="P34" s="2" t="s">
        <v>1007</v>
      </c>
      <c r="Q34" s="40" t="s">
        <v>461</v>
      </c>
      <c r="R34" t="s">
        <v>1843</v>
      </c>
      <c r="S34" t="s">
        <v>2258</v>
      </c>
    </row>
    <row r="35" spans="2:19" ht="13.8" x14ac:dyDescent="0.2">
      <c r="B35" s="14">
        <v>30</v>
      </c>
      <c r="C35" s="17" t="s">
        <v>298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3"/>
        <v>0</v>
      </c>
      <c r="L35" s="4">
        <f t="shared" si="4"/>
        <v>0</v>
      </c>
      <c r="M35" s="31">
        <v>0</v>
      </c>
      <c r="N35" s="32">
        <v>0</v>
      </c>
      <c r="O35" s="33">
        <v>0</v>
      </c>
      <c r="P35" s="2" t="s">
        <v>815</v>
      </c>
      <c r="Q35" s="40" t="s">
        <v>462</v>
      </c>
      <c r="R35" t="s">
        <v>1843</v>
      </c>
      <c r="S35" t="s">
        <v>2259</v>
      </c>
    </row>
    <row r="36" spans="2:19" ht="13.8" x14ac:dyDescent="0.2">
      <c r="B36" s="14">
        <v>31</v>
      </c>
      <c r="C36" s="17" t="s">
        <v>139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3"/>
        <v>0</v>
      </c>
      <c r="L36" s="4">
        <f t="shared" si="4"/>
        <v>0</v>
      </c>
      <c r="M36" s="31">
        <v>0</v>
      </c>
      <c r="N36" s="32">
        <v>0</v>
      </c>
      <c r="O36" s="33">
        <v>0</v>
      </c>
      <c r="P36" s="2" t="s">
        <v>1008</v>
      </c>
      <c r="Q36" s="40" t="s">
        <v>463</v>
      </c>
      <c r="R36" t="s">
        <v>1834</v>
      </c>
      <c r="S36" t="s">
        <v>2260</v>
      </c>
    </row>
    <row r="37" spans="2:19" ht="13.8" x14ac:dyDescent="0.2">
      <c r="B37" s="14">
        <v>32</v>
      </c>
      <c r="C37" s="17" t="s">
        <v>2406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3"/>
        <v>0</v>
      </c>
      <c r="L37" s="4">
        <f t="shared" si="4"/>
        <v>0</v>
      </c>
      <c r="M37" s="31">
        <v>0</v>
      </c>
      <c r="N37" s="32">
        <v>0</v>
      </c>
      <c r="O37" s="33">
        <v>0</v>
      </c>
      <c r="P37" s="2" t="s">
        <v>2392</v>
      </c>
      <c r="Q37" s="40" t="s">
        <v>464</v>
      </c>
      <c r="R37" t="s">
        <v>1832</v>
      </c>
      <c r="S37" t="s">
        <v>2261</v>
      </c>
    </row>
    <row r="38" spans="2:19" ht="13.8" x14ac:dyDescent="0.2">
      <c r="B38" s="14">
        <v>33</v>
      </c>
      <c r="C38" s="17" t="s">
        <v>288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3"/>
        <v>0</v>
      </c>
      <c r="L38" s="4">
        <f t="shared" si="4"/>
        <v>0</v>
      </c>
      <c r="M38" s="31">
        <v>0</v>
      </c>
      <c r="N38" s="32">
        <v>0</v>
      </c>
      <c r="O38" s="33">
        <v>0</v>
      </c>
      <c r="P38" s="2" t="s">
        <v>1009</v>
      </c>
      <c r="Q38" s="40" t="s">
        <v>465</v>
      </c>
      <c r="R38" t="s">
        <v>1832</v>
      </c>
      <c r="S38" t="s">
        <v>2262</v>
      </c>
    </row>
    <row r="39" spans="2:19" ht="13.8" x14ac:dyDescent="0.2">
      <c r="B39" s="14">
        <v>34</v>
      </c>
      <c r="C39" s="17"/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3"/>
        <v>0</v>
      </c>
      <c r="L39" s="4">
        <f t="shared" si="4"/>
        <v>0</v>
      </c>
      <c r="M39" s="31">
        <v>0</v>
      </c>
      <c r="N39" s="32">
        <v>0</v>
      </c>
      <c r="O39" s="33">
        <v>0</v>
      </c>
      <c r="P39" s="2"/>
    </row>
    <row r="40" spans="2:19" ht="13.8" x14ac:dyDescent="0.2">
      <c r="B40" s="14">
        <v>35</v>
      </c>
      <c r="C40" s="17" t="s">
        <v>129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3"/>
        <v>0</v>
      </c>
      <c r="L40" s="4">
        <f t="shared" si="4"/>
        <v>0</v>
      </c>
      <c r="M40" s="31">
        <v>0</v>
      </c>
      <c r="N40" s="32">
        <v>0</v>
      </c>
      <c r="O40" s="33">
        <v>0</v>
      </c>
      <c r="P40" s="2" t="s">
        <v>1011</v>
      </c>
      <c r="Q40" s="40" t="s">
        <v>467</v>
      </c>
      <c r="R40" t="s">
        <v>1843</v>
      </c>
      <c r="S40" t="s">
        <v>2263</v>
      </c>
    </row>
    <row r="41" spans="2:19" ht="13.8" x14ac:dyDescent="0.2">
      <c r="B41" s="14">
        <v>36</v>
      </c>
      <c r="C41" s="17" t="s">
        <v>281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3"/>
        <v>0</v>
      </c>
      <c r="L41" s="4">
        <f t="shared" si="4"/>
        <v>0</v>
      </c>
      <c r="M41" s="31">
        <v>0</v>
      </c>
      <c r="N41" s="32">
        <v>0</v>
      </c>
      <c r="O41" s="33">
        <v>0</v>
      </c>
      <c r="P41" s="2" t="s">
        <v>1012</v>
      </c>
      <c r="Q41" s="40" t="s">
        <v>468</v>
      </c>
      <c r="R41" t="s">
        <v>1834</v>
      </c>
      <c r="S41" t="s">
        <v>2264</v>
      </c>
    </row>
    <row r="42" spans="2:19" ht="13.8" x14ac:dyDescent="0.2">
      <c r="B42" s="14">
        <v>37</v>
      </c>
      <c r="C42" s="17" t="s">
        <v>696</v>
      </c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3"/>
        <v>0</v>
      </c>
      <c r="L42" s="4">
        <f t="shared" si="4"/>
        <v>0</v>
      </c>
      <c r="M42" s="31">
        <v>0</v>
      </c>
      <c r="N42" s="32">
        <v>0</v>
      </c>
      <c r="O42" s="33">
        <v>0</v>
      </c>
      <c r="P42" s="2" t="s">
        <v>1013</v>
      </c>
      <c r="Q42" s="40" t="s">
        <v>469</v>
      </c>
      <c r="R42" t="s">
        <v>1843</v>
      </c>
      <c r="S42" t="s">
        <v>696</v>
      </c>
    </row>
    <row r="43" spans="2:19" ht="13.8" x14ac:dyDescent="0.2">
      <c r="B43" s="14">
        <v>38</v>
      </c>
      <c r="C43" s="17" t="s">
        <v>697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3"/>
        <v>0</v>
      </c>
      <c r="L43" s="4">
        <f t="shared" si="4"/>
        <v>0</v>
      </c>
      <c r="M43" s="31">
        <v>0</v>
      </c>
      <c r="N43" s="32">
        <v>0</v>
      </c>
      <c r="O43" s="33">
        <v>0</v>
      </c>
      <c r="P43" s="2" t="s">
        <v>1014</v>
      </c>
      <c r="Q43" s="40" t="s">
        <v>470</v>
      </c>
      <c r="R43" t="s">
        <v>1830</v>
      </c>
      <c r="S43" t="s">
        <v>2265</v>
      </c>
    </row>
    <row r="44" spans="2:19" ht="13.8" x14ac:dyDescent="0.2">
      <c r="B44" s="14">
        <v>39</v>
      </c>
      <c r="C44" s="17" t="s">
        <v>2405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3"/>
        <v>0</v>
      </c>
      <c r="L44" s="4">
        <f t="shared" si="4"/>
        <v>0</v>
      </c>
      <c r="M44" s="31">
        <v>0</v>
      </c>
      <c r="N44" s="32">
        <v>0</v>
      </c>
      <c r="O44" s="33">
        <v>0</v>
      </c>
      <c r="P44" s="2" t="s">
        <v>2393</v>
      </c>
      <c r="Q44" s="40" t="s">
        <v>471</v>
      </c>
      <c r="R44" t="s">
        <v>1830</v>
      </c>
      <c r="S44" t="s">
        <v>2266</v>
      </c>
    </row>
    <row r="45" spans="2:19" ht="13.8" x14ac:dyDescent="0.2">
      <c r="B45" s="14">
        <v>40</v>
      </c>
      <c r="C45" s="17" t="s">
        <v>698</v>
      </c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3"/>
        <v>0</v>
      </c>
      <c r="L45" s="4">
        <f t="shared" si="4"/>
        <v>0</v>
      </c>
      <c r="M45" s="31">
        <v>0</v>
      </c>
      <c r="N45" s="32">
        <v>0</v>
      </c>
      <c r="O45" s="33">
        <v>0</v>
      </c>
      <c r="P45" s="2" t="s">
        <v>699</v>
      </c>
      <c r="Q45" s="40" t="s">
        <v>472</v>
      </c>
      <c r="R45" t="s">
        <v>1834</v>
      </c>
      <c r="S45" t="s">
        <v>2267</v>
      </c>
    </row>
    <row r="46" spans="2:19" ht="13.8" x14ac:dyDescent="0.2">
      <c r="B46" s="14">
        <v>41</v>
      </c>
      <c r="C46" s="17" t="s">
        <v>2404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3"/>
        <v>0</v>
      </c>
      <c r="L46" s="4">
        <f t="shared" si="4"/>
        <v>0</v>
      </c>
      <c r="M46" s="31">
        <v>0</v>
      </c>
      <c r="N46" s="32">
        <v>0</v>
      </c>
      <c r="O46" s="33">
        <v>0</v>
      </c>
      <c r="P46" s="2" t="s">
        <v>1015</v>
      </c>
      <c r="Q46" s="40" t="s">
        <v>473</v>
      </c>
      <c r="R46" t="s">
        <v>1830</v>
      </c>
      <c r="S46" t="s">
        <v>2268</v>
      </c>
    </row>
    <row r="47" spans="2:19" ht="13.8" x14ac:dyDescent="0.2">
      <c r="B47" s="14">
        <v>42</v>
      </c>
      <c r="C47" s="17" t="s">
        <v>2403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3"/>
        <v>0</v>
      </c>
      <c r="L47" s="4">
        <f t="shared" si="4"/>
        <v>0</v>
      </c>
      <c r="M47" s="31">
        <v>0</v>
      </c>
      <c r="N47" s="32">
        <v>0</v>
      </c>
      <c r="O47" s="33">
        <v>0</v>
      </c>
      <c r="P47" s="2" t="s">
        <v>2269</v>
      </c>
      <c r="Q47" s="40" t="s">
        <v>474</v>
      </c>
      <c r="R47" t="s">
        <v>1834</v>
      </c>
      <c r="S47" t="s">
        <v>2269</v>
      </c>
    </row>
    <row r="48" spans="2:19" ht="13.8" x14ac:dyDescent="0.2">
      <c r="B48" s="14">
        <v>43</v>
      </c>
      <c r="C48" s="17" t="s">
        <v>282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3"/>
        <v>0</v>
      </c>
      <c r="L48" s="4">
        <f t="shared" si="4"/>
        <v>0</v>
      </c>
      <c r="M48" s="31">
        <v>0</v>
      </c>
      <c r="N48" s="32">
        <v>0</v>
      </c>
      <c r="O48" s="33">
        <v>0</v>
      </c>
      <c r="P48" s="2" t="s">
        <v>1016</v>
      </c>
      <c r="Q48" s="40" t="s">
        <v>475</v>
      </c>
      <c r="R48" t="s">
        <v>1843</v>
      </c>
      <c r="S48" t="s">
        <v>2270</v>
      </c>
    </row>
    <row r="49" spans="2:19" ht="13.8" x14ac:dyDescent="0.2">
      <c r="B49" s="14">
        <v>44</v>
      </c>
      <c r="C49" s="17" t="s">
        <v>283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3"/>
        <v>0</v>
      </c>
      <c r="L49" s="4">
        <f t="shared" si="4"/>
        <v>0</v>
      </c>
      <c r="M49" s="31">
        <v>0</v>
      </c>
      <c r="N49" s="32">
        <v>0</v>
      </c>
      <c r="O49" s="33">
        <v>0</v>
      </c>
      <c r="P49" s="2" t="s">
        <v>1017</v>
      </c>
      <c r="Q49" s="40" t="s">
        <v>476</v>
      </c>
      <c r="R49" t="s">
        <v>1832</v>
      </c>
      <c r="S49" t="s">
        <v>2271</v>
      </c>
    </row>
    <row r="50" spans="2:19" ht="13.8" x14ac:dyDescent="0.2">
      <c r="B50" s="14">
        <v>45</v>
      </c>
      <c r="C50" s="17" t="s">
        <v>700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3"/>
        <v>0</v>
      </c>
      <c r="L50" s="4">
        <f t="shared" si="4"/>
        <v>0</v>
      </c>
      <c r="M50" s="31">
        <v>0</v>
      </c>
      <c r="N50" s="32">
        <v>0</v>
      </c>
      <c r="O50" s="33">
        <v>0</v>
      </c>
      <c r="P50" s="2" t="s">
        <v>1018</v>
      </c>
      <c r="Q50" s="40" t="s">
        <v>477</v>
      </c>
      <c r="R50" t="s">
        <v>1843</v>
      </c>
      <c r="S50" t="s">
        <v>2272</v>
      </c>
    </row>
    <row r="51" spans="2:19" ht="13.8" x14ac:dyDescent="0.2">
      <c r="B51" s="14">
        <v>46</v>
      </c>
      <c r="C51" s="17" t="s">
        <v>170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3"/>
        <v>0</v>
      </c>
      <c r="L51" s="4">
        <f t="shared" si="4"/>
        <v>0</v>
      </c>
      <c r="M51" s="31">
        <v>0</v>
      </c>
      <c r="N51" s="32">
        <v>0</v>
      </c>
      <c r="O51" s="33">
        <v>0</v>
      </c>
      <c r="P51" s="2" t="s">
        <v>1019</v>
      </c>
      <c r="Q51" s="40" t="s">
        <v>478</v>
      </c>
      <c r="R51" t="s">
        <v>1843</v>
      </c>
      <c r="S51" t="s">
        <v>2273</v>
      </c>
    </row>
    <row r="52" spans="2:19" ht="13.8" x14ac:dyDescent="0.2">
      <c r="B52" s="14">
        <v>47</v>
      </c>
      <c r="C52" s="17" t="s">
        <v>284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3"/>
        <v>0</v>
      </c>
      <c r="L52" s="4">
        <f t="shared" si="4"/>
        <v>0</v>
      </c>
      <c r="M52" s="31">
        <v>0</v>
      </c>
      <c r="N52" s="32">
        <v>0</v>
      </c>
      <c r="O52" s="33">
        <v>0</v>
      </c>
      <c r="P52" s="2" t="s">
        <v>1020</v>
      </c>
      <c r="Q52" s="40" t="s">
        <v>479</v>
      </c>
      <c r="R52" t="s">
        <v>1843</v>
      </c>
      <c r="S52" t="s">
        <v>2274</v>
      </c>
    </row>
    <row r="53" spans="2:19" ht="13.8" x14ac:dyDescent="0.2">
      <c r="B53" s="14">
        <v>48</v>
      </c>
      <c r="C53" s="17" t="s">
        <v>148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3"/>
        <v>0</v>
      </c>
      <c r="L53" s="4">
        <f t="shared" si="4"/>
        <v>0</v>
      </c>
      <c r="M53" s="31">
        <v>0</v>
      </c>
      <c r="N53" s="32">
        <v>0</v>
      </c>
      <c r="O53" s="33">
        <v>0</v>
      </c>
      <c r="P53" s="2" t="s">
        <v>1021</v>
      </c>
      <c r="Q53" s="40" t="s">
        <v>480</v>
      </c>
      <c r="R53" t="s">
        <v>1843</v>
      </c>
      <c r="S53" t="s">
        <v>2275</v>
      </c>
    </row>
    <row r="54" spans="2:19" ht="13.8" x14ac:dyDescent="0.2">
      <c r="B54" s="14">
        <v>49</v>
      </c>
      <c r="C54" s="17" t="s">
        <v>285</v>
      </c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3"/>
        <v>0</v>
      </c>
      <c r="L54" s="4">
        <f t="shared" si="4"/>
        <v>0</v>
      </c>
      <c r="M54" s="31">
        <v>0</v>
      </c>
      <c r="N54" s="32">
        <v>0</v>
      </c>
      <c r="O54" s="33">
        <v>0</v>
      </c>
      <c r="P54" s="2" t="s">
        <v>1022</v>
      </c>
      <c r="Q54" s="40" t="s">
        <v>481</v>
      </c>
      <c r="R54" t="s">
        <v>1843</v>
      </c>
      <c r="S54" t="s">
        <v>2276</v>
      </c>
    </row>
    <row r="55" spans="2:19" ht="13.8" x14ac:dyDescent="0.2">
      <c r="B55" s="14">
        <v>50</v>
      </c>
      <c r="C55" s="17" t="s">
        <v>286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3"/>
        <v>0</v>
      </c>
      <c r="L55" s="4">
        <f t="shared" si="4"/>
        <v>0</v>
      </c>
      <c r="M55" s="31">
        <v>0</v>
      </c>
      <c r="N55" s="32">
        <v>0</v>
      </c>
      <c r="O55" s="33">
        <v>0</v>
      </c>
      <c r="P55" s="2" t="s">
        <v>1023</v>
      </c>
      <c r="Q55" s="40" t="s">
        <v>482</v>
      </c>
      <c r="R55" t="s">
        <v>1830</v>
      </c>
      <c r="S55" t="s">
        <v>2277</v>
      </c>
    </row>
    <row r="56" spans="2:19" ht="13.8" x14ac:dyDescent="0.2">
      <c r="B56" s="14">
        <v>51</v>
      </c>
      <c r="C56" s="17"/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3"/>
        <v>0</v>
      </c>
      <c r="L56" s="4">
        <f t="shared" si="4"/>
        <v>0</v>
      </c>
      <c r="M56" s="31">
        <v>0</v>
      </c>
      <c r="N56" s="32">
        <v>0</v>
      </c>
      <c r="O56" s="33">
        <v>0</v>
      </c>
      <c r="P56" s="2" t="s">
        <v>736</v>
      </c>
      <c r="Q56" s="40" t="s">
        <v>483</v>
      </c>
      <c r="R56" t="s">
        <v>2016</v>
      </c>
      <c r="S56" t="s">
        <v>2278</v>
      </c>
    </row>
    <row r="57" spans="2:19" ht="13.8" x14ac:dyDescent="0.2">
      <c r="B57" s="14">
        <v>52</v>
      </c>
      <c r="C57" s="17" t="s">
        <v>2402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3"/>
        <v>0</v>
      </c>
      <c r="L57" s="4">
        <f t="shared" si="4"/>
        <v>0</v>
      </c>
      <c r="M57" s="31">
        <v>0</v>
      </c>
      <c r="N57" s="32">
        <v>0</v>
      </c>
      <c r="O57" s="33">
        <v>0</v>
      </c>
      <c r="P57" s="2" t="s">
        <v>2394</v>
      </c>
      <c r="Q57" s="40" t="s">
        <v>484</v>
      </c>
      <c r="R57" t="s">
        <v>1843</v>
      </c>
      <c r="S57" t="s">
        <v>2279</v>
      </c>
    </row>
    <row r="58" spans="2:19" ht="13.8" x14ac:dyDescent="0.2">
      <c r="B58" s="14">
        <v>53</v>
      </c>
      <c r="C58" s="17" t="s">
        <v>287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3"/>
        <v>0</v>
      </c>
      <c r="L58" s="4">
        <f t="shared" si="4"/>
        <v>0</v>
      </c>
      <c r="M58" s="31">
        <v>0</v>
      </c>
      <c r="N58" s="32">
        <v>0</v>
      </c>
      <c r="O58" s="33">
        <v>0</v>
      </c>
      <c r="P58" s="2" t="s">
        <v>1024</v>
      </c>
      <c r="Q58" s="40" t="s">
        <v>485</v>
      </c>
      <c r="R58" t="s">
        <v>1834</v>
      </c>
      <c r="S58" t="s">
        <v>2280</v>
      </c>
    </row>
    <row r="59" spans="2:19" ht="13.8" x14ac:dyDescent="0.2">
      <c r="B59" s="14">
        <v>54</v>
      </c>
      <c r="C59" s="17" t="s">
        <v>701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3"/>
        <v>0</v>
      </c>
      <c r="L59" s="4">
        <f t="shared" si="4"/>
        <v>0</v>
      </c>
      <c r="M59" s="31">
        <v>0</v>
      </c>
      <c r="N59" s="32">
        <v>0</v>
      </c>
      <c r="O59" s="33">
        <v>0</v>
      </c>
      <c r="P59" s="2" t="s">
        <v>1025</v>
      </c>
      <c r="Q59" s="40" t="s">
        <v>486</v>
      </c>
      <c r="R59" t="s">
        <v>1843</v>
      </c>
      <c r="S59" t="s">
        <v>2281</v>
      </c>
    </row>
    <row r="60" spans="2:19" ht="13.8" x14ac:dyDescent="0.2">
      <c r="B60" s="14">
        <v>55</v>
      </c>
      <c r="C60" s="17" t="s">
        <v>297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3"/>
        <v>0</v>
      </c>
      <c r="L60" s="4">
        <f t="shared" si="4"/>
        <v>0</v>
      </c>
      <c r="M60" s="31">
        <v>0</v>
      </c>
      <c r="N60" s="32">
        <v>0</v>
      </c>
      <c r="O60" s="33">
        <v>0</v>
      </c>
      <c r="P60" s="2" t="s">
        <v>702</v>
      </c>
      <c r="Q60" s="40" t="s">
        <v>487</v>
      </c>
      <c r="R60" t="s">
        <v>1830</v>
      </c>
      <c r="S60" t="s">
        <v>2282</v>
      </c>
    </row>
    <row r="61" spans="2:19" ht="13.8" x14ac:dyDescent="0.2">
      <c r="B61" s="14">
        <v>56</v>
      </c>
      <c r="C61" s="17" t="s">
        <v>2401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3"/>
        <v>0</v>
      </c>
      <c r="L61" s="4">
        <f t="shared" si="4"/>
        <v>0</v>
      </c>
      <c r="M61" s="31">
        <v>0</v>
      </c>
      <c r="N61" s="32">
        <v>0</v>
      </c>
      <c r="O61" s="33">
        <v>0</v>
      </c>
      <c r="P61" s="2" t="s">
        <v>2395</v>
      </c>
      <c r="Q61" s="40" t="s">
        <v>488</v>
      </c>
      <c r="R61" t="s">
        <v>1843</v>
      </c>
      <c r="S61" t="s">
        <v>2283</v>
      </c>
    </row>
    <row r="62" spans="2:19" ht="13.8" x14ac:dyDescent="0.2">
      <c r="B62" s="14">
        <v>57</v>
      </c>
      <c r="C62" s="17" t="s">
        <v>289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3"/>
        <v>0</v>
      </c>
      <c r="L62" s="4">
        <f t="shared" si="4"/>
        <v>0</v>
      </c>
      <c r="M62" s="31">
        <v>0</v>
      </c>
      <c r="N62" s="32">
        <v>0</v>
      </c>
      <c r="O62" s="33">
        <v>0</v>
      </c>
      <c r="P62" s="2" t="s">
        <v>1026</v>
      </c>
      <c r="Q62" s="40" t="s">
        <v>489</v>
      </c>
      <c r="R62" t="s">
        <v>1843</v>
      </c>
      <c r="S62" t="s">
        <v>2284</v>
      </c>
    </row>
    <row r="63" spans="2:19" ht="13.8" x14ac:dyDescent="0.2">
      <c r="B63" s="14">
        <v>58</v>
      </c>
      <c r="C63" s="17" t="s">
        <v>2400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3"/>
        <v>0</v>
      </c>
      <c r="L63" s="4">
        <f t="shared" si="4"/>
        <v>0</v>
      </c>
      <c r="M63" s="31">
        <v>0</v>
      </c>
      <c r="N63" s="32">
        <v>0</v>
      </c>
      <c r="O63" s="33">
        <v>0</v>
      </c>
      <c r="P63" s="2" t="s">
        <v>2285</v>
      </c>
      <c r="Q63" s="40" t="s">
        <v>490</v>
      </c>
      <c r="R63" t="s">
        <v>1843</v>
      </c>
      <c r="S63" t="s">
        <v>2285</v>
      </c>
    </row>
    <row r="64" spans="2:19" ht="13.8" x14ac:dyDescent="0.2">
      <c r="B64" s="14">
        <v>59</v>
      </c>
      <c r="C64" s="17" t="s">
        <v>2399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3"/>
        <v>0</v>
      </c>
      <c r="L64" s="4">
        <f t="shared" si="4"/>
        <v>0</v>
      </c>
      <c r="M64" s="31">
        <v>0</v>
      </c>
      <c r="N64" s="32">
        <v>0</v>
      </c>
      <c r="O64" s="33">
        <v>0</v>
      </c>
      <c r="P64" s="2" t="s">
        <v>2286</v>
      </c>
      <c r="Q64" s="40" t="s">
        <v>491</v>
      </c>
      <c r="R64" t="s">
        <v>1843</v>
      </c>
      <c r="S64" t="s">
        <v>2286</v>
      </c>
    </row>
    <row r="65" spans="2:20" ht="13.8" x14ac:dyDescent="0.2">
      <c r="B65" s="14">
        <v>60</v>
      </c>
      <c r="C65" s="17" t="s">
        <v>2398</v>
      </c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3"/>
        <v>0</v>
      </c>
      <c r="L65" s="4">
        <f t="shared" si="4"/>
        <v>0</v>
      </c>
      <c r="M65" s="31">
        <v>0</v>
      </c>
      <c r="N65" s="32">
        <v>0</v>
      </c>
      <c r="O65" s="33">
        <v>0</v>
      </c>
      <c r="P65" s="2" t="s">
        <v>2396</v>
      </c>
      <c r="Q65" s="40" t="s">
        <v>492</v>
      </c>
      <c r="R65" t="s">
        <v>1830</v>
      </c>
      <c r="S65" t="s">
        <v>2287</v>
      </c>
    </row>
    <row r="66" spans="2:20" ht="13.8" x14ac:dyDescent="0.2">
      <c r="B66" s="14">
        <v>61</v>
      </c>
      <c r="C66" s="17"/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3"/>
        <v>0</v>
      </c>
      <c r="L66" s="4">
        <f t="shared" si="4"/>
        <v>0</v>
      </c>
      <c r="M66" s="31">
        <v>0</v>
      </c>
      <c r="N66" s="32">
        <v>0</v>
      </c>
      <c r="O66" s="33">
        <v>0</v>
      </c>
      <c r="P66" s="2"/>
    </row>
    <row r="67" spans="2:20" ht="13.8" x14ac:dyDescent="0.2">
      <c r="B67" s="14">
        <v>62</v>
      </c>
      <c r="C67" s="17" t="s">
        <v>703</v>
      </c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3"/>
        <v>0</v>
      </c>
      <c r="L67" s="4">
        <f t="shared" si="4"/>
        <v>0</v>
      </c>
      <c r="M67" s="31">
        <v>0</v>
      </c>
      <c r="N67" s="32">
        <v>0</v>
      </c>
      <c r="O67" s="33">
        <v>0</v>
      </c>
      <c r="P67" s="2" t="s">
        <v>1027</v>
      </c>
      <c r="Q67" s="40" t="s">
        <v>494</v>
      </c>
      <c r="R67" t="s">
        <v>1832</v>
      </c>
      <c r="S67" t="s">
        <v>2288</v>
      </c>
    </row>
    <row r="68" spans="2:20" ht="13.8" x14ac:dyDescent="0.2">
      <c r="B68" s="14">
        <v>63</v>
      </c>
      <c r="C68" s="9" t="s">
        <v>704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 t="s">
        <v>705</v>
      </c>
      <c r="Q68" s="40" t="s">
        <v>495</v>
      </c>
      <c r="R68" t="s">
        <v>1843</v>
      </c>
      <c r="S68" t="s">
        <v>2289</v>
      </c>
    </row>
    <row r="69" spans="2:20" ht="13.8" x14ac:dyDescent="0.2">
      <c r="B69" s="14">
        <v>64</v>
      </c>
      <c r="C69" s="17"/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/>
    </row>
    <row r="70" spans="2:20" ht="13.8" x14ac:dyDescent="0.2">
      <c r="B70" s="14">
        <v>65</v>
      </c>
      <c r="C70" s="9" t="s">
        <v>706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6"/>
        <v>0</v>
      </c>
      <c r="L70" s="4">
        <f t="shared" si="7"/>
        <v>0</v>
      </c>
      <c r="M70" s="31">
        <v>0</v>
      </c>
      <c r="N70" s="32">
        <v>0</v>
      </c>
      <c r="O70" s="33">
        <v>0</v>
      </c>
      <c r="P70" s="2" t="s">
        <v>1028</v>
      </c>
      <c r="Q70" s="40" t="s">
        <v>497</v>
      </c>
      <c r="R70" t="s">
        <v>1843</v>
      </c>
      <c r="S70" t="s">
        <v>2290</v>
      </c>
    </row>
    <row r="71" spans="2:20" ht="13.8" x14ac:dyDescent="0.2">
      <c r="B71" s="14">
        <v>66</v>
      </c>
      <c r="C71" s="17" t="s">
        <v>291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6"/>
        <v>0</v>
      </c>
      <c r="L71" s="4">
        <f t="shared" si="7"/>
        <v>0</v>
      </c>
      <c r="M71" s="31">
        <v>0</v>
      </c>
      <c r="N71" s="32">
        <v>0</v>
      </c>
      <c r="O71" s="33">
        <v>0</v>
      </c>
      <c r="P71" s="2" t="s">
        <v>1029</v>
      </c>
      <c r="Q71" s="40" t="s">
        <v>498</v>
      </c>
      <c r="R71" t="s">
        <v>1843</v>
      </c>
      <c r="S71" t="s">
        <v>2291</v>
      </c>
    </row>
    <row r="72" spans="2:20" ht="13.8" x14ac:dyDescent="0.2">
      <c r="B72" s="14">
        <v>67</v>
      </c>
      <c r="C72" s="17" t="s">
        <v>292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6"/>
        <v>0</v>
      </c>
      <c r="L72" s="4">
        <f t="shared" si="7"/>
        <v>0</v>
      </c>
      <c r="M72" s="31">
        <v>0</v>
      </c>
      <c r="N72" s="32">
        <v>0</v>
      </c>
      <c r="O72" s="33">
        <v>0</v>
      </c>
      <c r="P72" s="2" t="s">
        <v>1030</v>
      </c>
      <c r="Q72" s="40" t="s">
        <v>499</v>
      </c>
      <c r="R72" t="s">
        <v>1834</v>
      </c>
      <c r="S72" t="s">
        <v>2292</v>
      </c>
    </row>
    <row r="73" spans="2:20" ht="13.8" x14ac:dyDescent="0.2">
      <c r="B73" s="14">
        <v>68</v>
      </c>
      <c r="C73" s="17"/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6"/>
        <v>0</v>
      </c>
      <c r="L73" s="4">
        <f t="shared" si="7"/>
        <v>0</v>
      </c>
      <c r="M73" s="31">
        <v>0</v>
      </c>
      <c r="N73" s="32">
        <v>0</v>
      </c>
      <c r="O73" s="33">
        <v>0</v>
      </c>
      <c r="P73" s="2"/>
    </row>
    <row r="74" spans="2:20" ht="13.8" x14ac:dyDescent="0.2">
      <c r="B74" s="14">
        <v>69</v>
      </c>
      <c r="C74" s="17" t="s">
        <v>2397</v>
      </c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6"/>
        <v>0</v>
      </c>
      <c r="L74" s="4">
        <f t="shared" si="7"/>
        <v>0</v>
      </c>
      <c r="M74" s="31">
        <v>0</v>
      </c>
      <c r="N74" s="32">
        <v>0</v>
      </c>
      <c r="O74" s="33">
        <v>0</v>
      </c>
      <c r="P74" s="2" t="s">
        <v>2293</v>
      </c>
      <c r="Q74" s="40" t="s">
        <v>501</v>
      </c>
      <c r="R74" t="s">
        <v>1843</v>
      </c>
      <c r="S74" t="s">
        <v>2293</v>
      </c>
    </row>
    <row r="75" spans="2:20" ht="13.8" x14ac:dyDescent="0.2">
      <c r="B75" s="14">
        <v>70</v>
      </c>
      <c r="C75" s="8"/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6"/>
        <v>0</v>
      </c>
      <c r="L75" s="4">
        <f t="shared" si="7"/>
        <v>0</v>
      </c>
      <c r="M75" s="31">
        <v>0</v>
      </c>
      <c r="N75" s="32">
        <v>0</v>
      </c>
      <c r="O75" s="33">
        <v>0</v>
      </c>
      <c r="P75" s="2" t="s">
        <v>736</v>
      </c>
      <c r="Q75" s="40" t="s">
        <v>502</v>
      </c>
      <c r="R75" t="s">
        <v>2294</v>
      </c>
      <c r="S75" t="s">
        <v>2295</v>
      </c>
      <c r="T75" t="s">
        <v>1898</v>
      </c>
    </row>
    <row r="76" spans="2:20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6"/>
        <v>0</v>
      </c>
      <c r="L76" s="4">
        <f t="shared" si="7"/>
        <v>0</v>
      </c>
      <c r="M76" s="31">
        <v>0</v>
      </c>
      <c r="N76" s="32">
        <v>0</v>
      </c>
      <c r="O76" s="33">
        <v>0</v>
      </c>
      <c r="P76" s="2" t="s">
        <v>736</v>
      </c>
      <c r="Q76" s="40" t="s">
        <v>503</v>
      </c>
      <c r="R76" t="s">
        <v>2294</v>
      </c>
      <c r="S76" t="s">
        <v>2296</v>
      </c>
      <c r="T76" t="s">
        <v>1917</v>
      </c>
    </row>
    <row r="77" spans="2:20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6"/>
        <v>0</v>
      </c>
      <c r="L77" s="4">
        <f t="shared" si="7"/>
        <v>0</v>
      </c>
      <c r="M77" s="31">
        <v>0</v>
      </c>
      <c r="N77" s="32">
        <v>0</v>
      </c>
      <c r="O77" s="33">
        <v>0</v>
      </c>
      <c r="P77" s="2" t="s">
        <v>736</v>
      </c>
      <c r="Q77" s="40" t="s">
        <v>504</v>
      </c>
      <c r="R77" t="s">
        <v>2294</v>
      </c>
      <c r="S77" t="s">
        <v>2297</v>
      </c>
      <c r="T77" t="s">
        <v>2298</v>
      </c>
    </row>
    <row r="78" spans="2:20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6"/>
        <v>0</v>
      </c>
      <c r="L78" s="4">
        <f t="shared" si="7"/>
        <v>0</v>
      </c>
      <c r="M78" s="31">
        <v>0</v>
      </c>
      <c r="N78" s="32">
        <v>0</v>
      </c>
      <c r="O78" s="33">
        <v>0</v>
      </c>
      <c r="P78" s="2" t="s">
        <v>736</v>
      </c>
      <c r="Q78" s="40" t="s">
        <v>505</v>
      </c>
      <c r="R78" t="s">
        <v>2294</v>
      </c>
      <c r="S78" t="s">
        <v>2299</v>
      </c>
      <c r="T78" t="s">
        <v>1917</v>
      </c>
    </row>
    <row r="79" spans="2:20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6"/>
        <v>0</v>
      </c>
      <c r="L79" s="4">
        <f t="shared" si="7"/>
        <v>0</v>
      </c>
      <c r="M79" s="31">
        <v>0</v>
      </c>
      <c r="N79" s="32">
        <v>0</v>
      </c>
      <c r="O79" s="33">
        <v>0</v>
      </c>
      <c r="P79" s="2" t="s">
        <v>736</v>
      </c>
      <c r="Q79" s="40" t="s">
        <v>506</v>
      </c>
      <c r="R79" t="s">
        <v>2294</v>
      </c>
      <c r="S79" t="s">
        <v>2300</v>
      </c>
      <c r="T79" t="s">
        <v>1919</v>
      </c>
    </row>
    <row r="80" spans="2:20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6"/>
        <v>0</v>
      </c>
      <c r="L80" s="4">
        <f t="shared" si="7"/>
        <v>0</v>
      </c>
      <c r="M80" s="31">
        <v>0</v>
      </c>
      <c r="N80" s="32">
        <v>0</v>
      </c>
      <c r="O80" s="33">
        <v>0</v>
      </c>
      <c r="P80" s="2" t="s">
        <v>736</v>
      </c>
      <c r="Q80" s="40" t="s">
        <v>507</v>
      </c>
      <c r="R80" t="s">
        <v>2294</v>
      </c>
      <c r="S80" t="s">
        <v>2301</v>
      </c>
      <c r="T80" t="s">
        <v>1917</v>
      </c>
    </row>
    <row r="81" spans="2:20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6"/>
        <v>0</v>
      </c>
      <c r="L81" s="4">
        <f t="shared" si="7"/>
        <v>0</v>
      </c>
      <c r="M81" s="31">
        <v>0</v>
      </c>
      <c r="N81" s="32">
        <v>0</v>
      </c>
      <c r="O81" s="33">
        <v>0</v>
      </c>
      <c r="P81" s="2" t="s">
        <v>736</v>
      </c>
      <c r="Q81" s="40" t="s">
        <v>508</v>
      </c>
      <c r="R81" t="s">
        <v>2294</v>
      </c>
      <c r="S81" t="s">
        <v>2302</v>
      </c>
      <c r="T81" t="s">
        <v>1908</v>
      </c>
    </row>
    <row r="82" spans="2:20" ht="13.8" x14ac:dyDescent="0.2">
      <c r="B82" s="14">
        <v>77</v>
      </c>
      <c r="C82" s="17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6"/>
        <v>0</v>
      </c>
      <c r="L82" s="4">
        <f t="shared" si="7"/>
        <v>0</v>
      </c>
      <c r="M82" s="31">
        <v>0</v>
      </c>
      <c r="N82" s="32">
        <v>0</v>
      </c>
      <c r="O82" s="33">
        <v>0</v>
      </c>
      <c r="P82" s="2" t="s">
        <v>736</v>
      </c>
      <c r="Q82" s="40" t="s">
        <v>509</v>
      </c>
      <c r="R82" t="s">
        <v>2294</v>
      </c>
      <c r="S82" t="s">
        <v>2303</v>
      </c>
      <c r="T82" t="s">
        <v>1921</v>
      </c>
    </row>
    <row r="83" spans="2:20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6"/>
        <v>0</v>
      </c>
      <c r="L83" s="4">
        <f t="shared" si="7"/>
        <v>0</v>
      </c>
      <c r="M83" s="31">
        <v>0</v>
      </c>
      <c r="N83" s="32">
        <v>0</v>
      </c>
      <c r="O83" s="33">
        <v>0</v>
      </c>
      <c r="P83" s="2" t="s">
        <v>736</v>
      </c>
      <c r="Q83" s="40" t="s">
        <v>510</v>
      </c>
      <c r="R83" t="s">
        <v>1922</v>
      </c>
      <c r="S83" t="s">
        <v>2304</v>
      </c>
    </row>
    <row r="84" spans="2:20" ht="13.8" x14ac:dyDescent="0.2">
      <c r="B84" s="14">
        <v>79</v>
      </c>
      <c r="C84" s="8"/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6"/>
        <v>0</v>
      </c>
      <c r="L84" s="4">
        <f t="shared" si="7"/>
        <v>0</v>
      </c>
      <c r="M84" s="31">
        <v>0</v>
      </c>
      <c r="N84" s="32">
        <v>0</v>
      </c>
      <c r="O84" s="33">
        <v>0</v>
      </c>
      <c r="P84" s="2" t="s">
        <v>736</v>
      </c>
      <c r="Q84" s="40" t="s">
        <v>511</v>
      </c>
      <c r="R84" t="s">
        <v>2294</v>
      </c>
      <c r="S84" t="s">
        <v>2305</v>
      </c>
      <c r="T84" t="s">
        <v>1921</v>
      </c>
    </row>
    <row r="85" spans="2:20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6"/>
        <v>0</v>
      </c>
      <c r="L85" s="4">
        <f t="shared" si="7"/>
        <v>0</v>
      </c>
      <c r="M85" s="31">
        <v>0</v>
      </c>
      <c r="N85" s="32">
        <v>0</v>
      </c>
      <c r="O85" s="33">
        <v>0</v>
      </c>
      <c r="P85" s="2" t="s">
        <v>736</v>
      </c>
      <c r="Q85" s="40" t="s">
        <v>512</v>
      </c>
      <c r="R85" t="s">
        <v>2294</v>
      </c>
      <c r="S85" t="s">
        <v>2306</v>
      </c>
      <c r="T85" t="s">
        <v>1908</v>
      </c>
    </row>
    <row r="86" spans="2:20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6"/>
        <v>0</v>
      </c>
      <c r="L86" s="4">
        <f t="shared" si="7"/>
        <v>0</v>
      </c>
      <c r="M86" s="31">
        <v>0</v>
      </c>
      <c r="N86" s="32">
        <v>0</v>
      </c>
      <c r="O86" s="33">
        <v>0</v>
      </c>
      <c r="P86" s="2" t="s">
        <v>736</v>
      </c>
      <c r="Q86" s="40" t="s">
        <v>513</v>
      </c>
      <c r="R86" t="s">
        <v>2294</v>
      </c>
      <c r="S86" t="s">
        <v>2307</v>
      </c>
      <c r="T86" t="s">
        <v>1898</v>
      </c>
    </row>
    <row r="87" spans="2:20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6"/>
        <v>0</v>
      </c>
      <c r="L87" s="4">
        <f t="shared" si="7"/>
        <v>0</v>
      </c>
      <c r="M87" s="31">
        <v>0</v>
      </c>
      <c r="N87" s="32">
        <v>0</v>
      </c>
      <c r="O87" s="33">
        <v>0</v>
      </c>
      <c r="P87" s="2" t="s">
        <v>736</v>
      </c>
      <c r="Q87" s="40" t="s">
        <v>514</v>
      </c>
      <c r="R87" t="s">
        <v>2294</v>
      </c>
      <c r="S87" t="s">
        <v>2308</v>
      </c>
      <c r="T87" t="s">
        <v>1917</v>
      </c>
    </row>
    <row r="88" spans="2:20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6"/>
        <v>0</v>
      </c>
      <c r="L88" s="4">
        <f t="shared" si="7"/>
        <v>0</v>
      </c>
      <c r="M88" s="31">
        <v>0</v>
      </c>
      <c r="N88" s="32">
        <v>0</v>
      </c>
      <c r="O88" s="33">
        <v>0</v>
      </c>
      <c r="P88" s="2" t="s">
        <v>736</v>
      </c>
      <c r="Q88" s="40" t="s">
        <v>515</v>
      </c>
      <c r="R88" t="s">
        <v>2294</v>
      </c>
      <c r="S88" t="s">
        <v>2309</v>
      </c>
      <c r="T88" t="s">
        <v>2310</v>
      </c>
    </row>
    <row r="89" spans="2:20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6"/>
        <v>0</v>
      </c>
      <c r="L89" s="4">
        <f t="shared" si="7"/>
        <v>0</v>
      </c>
      <c r="M89" s="31">
        <v>0</v>
      </c>
      <c r="N89" s="32">
        <v>0</v>
      </c>
      <c r="O89" s="33">
        <v>0</v>
      </c>
      <c r="P89" s="2" t="s">
        <v>736</v>
      </c>
      <c r="Q89" s="40" t="s">
        <v>516</v>
      </c>
      <c r="R89" t="s">
        <v>2294</v>
      </c>
      <c r="S89" t="s">
        <v>2311</v>
      </c>
      <c r="T89" t="s">
        <v>2298</v>
      </c>
    </row>
    <row r="90" spans="2:20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6"/>
        <v>0</v>
      </c>
      <c r="L90" s="4">
        <f t="shared" si="7"/>
        <v>0</v>
      </c>
      <c r="M90" s="31">
        <v>0</v>
      </c>
      <c r="N90" s="32">
        <v>0</v>
      </c>
      <c r="O90" s="33">
        <v>0</v>
      </c>
      <c r="P90" s="2" t="s">
        <v>736</v>
      </c>
      <c r="Q90" s="40" t="s">
        <v>517</v>
      </c>
      <c r="R90" t="s">
        <v>2294</v>
      </c>
      <c r="S90" t="s">
        <v>2312</v>
      </c>
      <c r="T90" t="s">
        <v>1921</v>
      </c>
    </row>
    <row r="91" spans="2:20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6"/>
        <v>0</v>
      </c>
      <c r="L91" s="4">
        <f t="shared" si="7"/>
        <v>0</v>
      </c>
      <c r="M91" s="31">
        <v>0</v>
      </c>
      <c r="N91" s="32">
        <v>0</v>
      </c>
      <c r="O91" s="33">
        <v>0</v>
      </c>
      <c r="P91" s="2" t="s">
        <v>736</v>
      </c>
      <c r="Q91" s="40" t="s">
        <v>518</v>
      </c>
      <c r="R91" t="s">
        <v>2294</v>
      </c>
      <c r="S91" t="s">
        <v>2313</v>
      </c>
      <c r="T91" t="s">
        <v>2298</v>
      </c>
    </row>
    <row r="92" spans="2:20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6"/>
        <v>0</v>
      </c>
      <c r="L92" s="4">
        <f t="shared" si="7"/>
        <v>0</v>
      </c>
      <c r="M92" s="31">
        <v>0</v>
      </c>
      <c r="N92" s="32">
        <v>0</v>
      </c>
      <c r="O92" s="33">
        <v>0</v>
      </c>
      <c r="P92" s="2" t="s">
        <v>736</v>
      </c>
      <c r="Q92" s="40" t="s">
        <v>519</v>
      </c>
      <c r="R92" t="s">
        <v>2294</v>
      </c>
      <c r="S92" t="s">
        <v>2314</v>
      </c>
      <c r="T92" t="s">
        <v>1919</v>
      </c>
    </row>
    <row r="93" spans="2:20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6"/>
        <v>0</v>
      </c>
      <c r="L93" s="4">
        <f t="shared" si="7"/>
        <v>0</v>
      </c>
      <c r="M93" s="31">
        <v>0</v>
      </c>
      <c r="N93" s="32">
        <v>0</v>
      </c>
      <c r="O93" s="33">
        <v>0</v>
      </c>
      <c r="P93" s="2" t="s">
        <v>736</v>
      </c>
      <c r="Q93" s="40" t="s">
        <v>520</v>
      </c>
      <c r="R93" t="s">
        <v>2294</v>
      </c>
      <c r="S93" t="s">
        <v>2315</v>
      </c>
      <c r="T93" t="s">
        <v>1910</v>
      </c>
    </row>
    <row r="94" spans="2:20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6"/>
        <v>0</v>
      </c>
      <c r="L94" s="4">
        <f t="shared" si="7"/>
        <v>0</v>
      </c>
      <c r="M94" s="31">
        <v>0</v>
      </c>
      <c r="N94" s="32">
        <v>0</v>
      </c>
      <c r="O94" s="33">
        <v>0</v>
      </c>
      <c r="P94" s="2" t="s">
        <v>736</v>
      </c>
      <c r="Q94" s="40" t="s">
        <v>521</v>
      </c>
      <c r="R94" t="s">
        <v>1904</v>
      </c>
      <c r="S94" t="s">
        <v>2316</v>
      </c>
    </row>
    <row r="95" spans="2:20" ht="13.8" x14ac:dyDescent="0.2">
      <c r="B95" s="14">
        <v>90</v>
      </c>
      <c r="C95" s="17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6"/>
        <v>0</v>
      </c>
      <c r="L95" s="4">
        <f t="shared" si="7"/>
        <v>0</v>
      </c>
      <c r="M95" s="31">
        <v>0</v>
      </c>
      <c r="N95" s="32">
        <v>0</v>
      </c>
      <c r="O95" s="33">
        <v>0</v>
      </c>
      <c r="P95" s="2" t="s">
        <v>736</v>
      </c>
      <c r="Q95" s="40" t="s">
        <v>522</v>
      </c>
      <c r="R95" t="s">
        <v>2294</v>
      </c>
      <c r="S95" t="s">
        <v>2317</v>
      </c>
      <c r="T95" t="s">
        <v>2318</v>
      </c>
    </row>
    <row r="96" spans="2:20" ht="13.8" x14ac:dyDescent="0.2">
      <c r="B96" s="14">
        <v>91</v>
      </c>
      <c r="C96" s="8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6"/>
        <v>0</v>
      </c>
      <c r="L96" s="4">
        <f t="shared" si="7"/>
        <v>0</v>
      </c>
      <c r="M96" s="31">
        <v>0</v>
      </c>
      <c r="N96" s="32">
        <v>0</v>
      </c>
      <c r="O96" s="33">
        <v>0</v>
      </c>
      <c r="P96" s="2" t="s">
        <v>736</v>
      </c>
      <c r="Q96" s="40" t="s">
        <v>523</v>
      </c>
      <c r="R96" t="s">
        <v>2294</v>
      </c>
      <c r="S96" t="s">
        <v>2319</v>
      </c>
      <c r="T96" t="s">
        <v>2298</v>
      </c>
    </row>
    <row r="97" spans="2:23" ht="13.8" x14ac:dyDescent="0.2">
      <c r="B97" s="14">
        <v>92</v>
      </c>
      <c r="C97" s="8"/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6"/>
        <v>0</v>
      </c>
      <c r="L97" s="4">
        <f t="shared" si="7"/>
        <v>0</v>
      </c>
      <c r="M97" s="31">
        <v>0</v>
      </c>
      <c r="N97" s="32">
        <v>0</v>
      </c>
      <c r="O97" s="33">
        <v>0</v>
      </c>
      <c r="P97" s="2" t="s">
        <v>736</v>
      </c>
      <c r="Q97" s="40" t="s">
        <v>530</v>
      </c>
      <c r="R97" t="s">
        <v>1843</v>
      </c>
      <c r="S97" t="s">
        <v>2320</v>
      </c>
    </row>
    <row r="98" spans="2:23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6"/>
        <v>0</v>
      </c>
      <c r="L98" s="4">
        <f t="shared" si="7"/>
        <v>0</v>
      </c>
      <c r="M98" s="31">
        <v>0</v>
      </c>
      <c r="N98" s="32">
        <v>0</v>
      </c>
      <c r="O98" s="33">
        <v>0</v>
      </c>
      <c r="P98" s="2" t="s">
        <v>736</v>
      </c>
      <c r="Q98" s="40" t="s">
        <v>531</v>
      </c>
      <c r="R98" t="s">
        <v>1830</v>
      </c>
      <c r="S98" t="s">
        <v>2321</v>
      </c>
    </row>
    <row r="99" spans="2:23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6"/>
        <v>0</v>
      </c>
      <c r="L99" s="4">
        <f t="shared" si="7"/>
        <v>0</v>
      </c>
      <c r="M99" s="31">
        <v>0</v>
      </c>
      <c r="N99" s="32">
        <v>0</v>
      </c>
      <c r="O99" s="33">
        <v>0</v>
      </c>
      <c r="P99" s="2" t="s">
        <v>736</v>
      </c>
    </row>
    <row r="100" spans="2:23" ht="13.8" x14ac:dyDescent="0.2">
      <c r="B100" s="14">
        <v>95</v>
      </c>
      <c r="C100" s="17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6"/>
        <v>0</v>
      </c>
      <c r="L100" s="4">
        <f t="shared" si="7"/>
        <v>0</v>
      </c>
      <c r="M100" s="31">
        <v>0</v>
      </c>
      <c r="N100" s="32">
        <v>0</v>
      </c>
      <c r="O100" s="33">
        <v>0</v>
      </c>
      <c r="P100" s="2"/>
    </row>
    <row r="101" spans="2:23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6"/>
        <v>0</v>
      </c>
      <c r="L101" s="4">
        <f t="shared" si="7"/>
        <v>0</v>
      </c>
      <c r="M101" s="31">
        <v>0</v>
      </c>
      <c r="N101" s="32">
        <v>0</v>
      </c>
      <c r="O101" s="33">
        <v>0</v>
      </c>
      <c r="P101" s="2" t="s">
        <v>736</v>
      </c>
    </row>
    <row r="102" spans="2:23" ht="13.8" x14ac:dyDescent="0.2">
      <c r="B102" s="14">
        <v>97</v>
      </c>
      <c r="C102" s="8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6"/>
        <v>0</v>
      </c>
      <c r="L102" s="4">
        <f t="shared" si="7"/>
        <v>0</v>
      </c>
      <c r="M102" s="31">
        <v>0</v>
      </c>
      <c r="N102" s="32">
        <v>0</v>
      </c>
      <c r="O102" s="33">
        <v>0</v>
      </c>
      <c r="P102" s="2" t="s">
        <v>736</v>
      </c>
    </row>
    <row r="103" spans="2:23" ht="13.8" x14ac:dyDescent="0.2">
      <c r="B103" s="14">
        <v>98</v>
      </c>
      <c r="C103" s="8" t="s">
        <v>707</v>
      </c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6"/>
        <v>0</v>
      </c>
      <c r="L103" s="4">
        <f t="shared" si="7"/>
        <v>0</v>
      </c>
      <c r="M103" s="31">
        <v>0</v>
      </c>
      <c r="N103" s="32">
        <v>0</v>
      </c>
      <c r="O103" s="33">
        <v>0</v>
      </c>
      <c r="P103" s="2" t="s">
        <v>707</v>
      </c>
    </row>
    <row r="104" spans="2:23" ht="13.8" x14ac:dyDescent="0.2">
      <c r="B104" s="14">
        <v>99</v>
      </c>
      <c r="C104" s="9" t="s">
        <v>293</v>
      </c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6"/>
        <v>0</v>
      </c>
      <c r="L104" s="4">
        <f t="shared" si="7"/>
        <v>0</v>
      </c>
      <c r="M104" s="31">
        <v>0</v>
      </c>
      <c r="N104" s="32">
        <v>0</v>
      </c>
      <c r="O104" s="33">
        <v>0</v>
      </c>
      <c r="P104" s="2" t="s">
        <v>262</v>
      </c>
    </row>
    <row r="105" spans="2:23" ht="13.8" x14ac:dyDescent="0.2">
      <c r="B105" s="14" t="s">
        <v>708</v>
      </c>
      <c r="C105" s="18" t="s">
        <v>296</v>
      </c>
      <c r="D105" s="15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6"/>
        <v>0</v>
      </c>
      <c r="L105" s="4">
        <f t="shared" si="7"/>
        <v>0</v>
      </c>
      <c r="M105" s="31">
        <v>0</v>
      </c>
      <c r="N105" s="32">
        <v>0</v>
      </c>
      <c r="O105" s="33">
        <v>0</v>
      </c>
      <c r="P105" s="2" t="s">
        <v>1031</v>
      </c>
      <c r="Q105" s="40" t="s">
        <v>708</v>
      </c>
      <c r="R105" t="s">
        <v>1843</v>
      </c>
      <c r="S105" t="s">
        <v>2322</v>
      </c>
      <c r="T105" t="s">
        <v>567</v>
      </c>
      <c r="V105" t="s">
        <v>256</v>
      </c>
    </row>
    <row r="106" spans="2:23" ht="13.8" x14ac:dyDescent="0.2">
      <c r="B106" s="14" t="s">
        <v>709</v>
      </c>
      <c r="C106" s="9" t="s">
        <v>294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6"/>
        <v>0</v>
      </c>
      <c r="L106" s="4">
        <f t="shared" si="7"/>
        <v>0</v>
      </c>
      <c r="M106" s="31">
        <v>0</v>
      </c>
      <c r="N106" s="32">
        <v>0</v>
      </c>
      <c r="O106" s="33">
        <v>0</v>
      </c>
      <c r="P106" s="2" t="s">
        <v>1032</v>
      </c>
      <c r="Q106" s="40" t="s">
        <v>709</v>
      </c>
      <c r="R106" t="s">
        <v>1843</v>
      </c>
      <c r="S106" t="s">
        <v>2323</v>
      </c>
      <c r="T106" t="s">
        <v>567</v>
      </c>
      <c r="V106" t="s">
        <v>255</v>
      </c>
    </row>
    <row r="107" spans="2:23" ht="13.8" x14ac:dyDescent="0.2">
      <c r="B107" s="14" t="s">
        <v>710</v>
      </c>
      <c r="C107" s="9" t="s">
        <v>218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6"/>
        <v>0</v>
      </c>
      <c r="L107" s="4">
        <f t="shared" si="7"/>
        <v>0</v>
      </c>
      <c r="M107" s="31">
        <v>0</v>
      </c>
      <c r="N107" s="32">
        <v>0</v>
      </c>
      <c r="O107" s="33">
        <v>0</v>
      </c>
      <c r="P107" s="2" t="s">
        <v>1033</v>
      </c>
      <c r="Q107" s="40" t="s">
        <v>710</v>
      </c>
      <c r="R107" t="s">
        <v>1843</v>
      </c>
      <c r="S107" t="s">
        <v>2324</v>
      </c>
      <c r="T107" t="s">
        <v>567</v>
      </c>
      <c r="V107" t="s">
        <v>255</v>
      </c>
    </row>
    <row r="108" spans="2:23" ht="13.8" x14ac:dyDescent="0.2">
      <c r="B108" s="14" t="s">
        <v>713</v>
      </c>
      <c r="C108" s="9" t="s">
        <v>2356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6"/>
        <v>0</v>
      </c>
      <c r="L108" s="4">
        <f t="shared" si="7"/>
        <v>0</v>
      </c>
      <c r="M108" s="31">
        <v>0</v>
      </c>
      <c r="N108" s="32">
        <v>0</v>
      </c>
      <c r="O108" s="33">
        <v>0</v>
      </c>
      <c r="P108" s="2" t="s">
        <v>2385</v>
      </c>
      <c r="Q108" s="40" t="s">
        <v>713</v>
      </c>
      <c r="R108" t="s">
        <v>1830</v>
      </c>
      <c r="S108" t="s">
        <v>2325</v>
      </c>
      <c r="T108" t="s">
        <v>567</v>
      </c>
      <c r="V108" t="s">
        <v>255</v>
      </c>
    </row>
    <row r="109" spans="2:23" ht="13.8" x14ac:dyDescent="0.2">
      <c r="B109" s="14" t="s">
        <v>712</v>
      </c>
      <c r="C109" s="9" t="s">
        <v>2357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6"/>
        <v>0</v>
      </c>
      <c r="L109" s="4">
        <f t="shared" si="7"/>
        <v>0</v>
      </c>
      <c r="M109" s="31">
        <v>0</v>
      </c>
      <c r="N109" s="32">
        <v>0</v>
      </c>
      <c r="O109" s="33">
        <v>0</v>
      </c>
      <c r="P109" s="2" t="s">
        <v>2384</v>
      </c>
      <c r="Q109" s="40" t="s">
        <v>712</v>
      </c>
      <c r="R109" t="s">
        <v>1832</v>
      </c>
      <c r="S109" t="s">
        <v>2326</v>
      </c>
      <c r="T109" t="s">
        <v>567</v>
      </c>
      <c r="V109" t="s">
        <v>256</v>
      </c>
    </row>
    <row r="110" spans="2:23" ht="13.8" x14ac:dyDescent="0.2">
      <c r="B110" s="14" t="s">
        <v>711</v>
      </c>
      <c r="C110" s="9" t="s">
        <v>2358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6"/>
        <v>0</v>
      </c>
      <c r="L110" s="4">
        <f t="shared" si="7"/>
        <v>0</v>
      </c>
      <c r="M110" s="31">
        <v>0</v>
      </c>
      <c r="N110" s="32">
        <v>0</v>
      </c>
      <c r="O110" s="33">
        <v>0</v>
      </c>
      <c r="P110" s="2" t="s">
        <v>2383</v>
      </c>
      <c r="Q110" s="40" t="s">
        <v>711</v>
      </c>
      <c r="R110" t="s">
        <v>1843</v>
      </c>
      <c r="S110" t="s">
        <v>2327</v>
      </c>
      <c r="T110" t="s">
        <v>567</v>
      </c>
      <c r="V110" t="s">
        <v>255</v>
      </c>
    </row>
    <row r="111" spans="2:23" ht="13.8" x14ac:dyDescent="0.2">
      <c r="B111" s="14" t="s">
        <v>716</v>
      </c>
      <c r="C111" s="9" t="s">
        <v>2359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6"/>
        <v>0</v>
      </c>
      <c r="L111" s="4">
        <f t="shared" si="7"/>
        <v>0</v>
      </c>
      <c r="M111" s="31">
        <v>0</v>
      </c>
      <c r="N111" s="32">
        <v>0</v>
      </c>
      <c r="O111" s="33">
        <v>0</v>
      </c>
      <c r="P111" s="2" t="s">
        <v>2382</v>
      </c>
      <c r="Q111" s="40" t="s">
        <v>716</v>
      </c>
      <c r="R111" t="s">
        <v>1843</v>
      </c>
      <c r="S111" t="s">
        <v>2328</v>
      </c>
      <c r="T111" t="s">
        <v>567</v>
      </c>
      <c r="U111" t="s">
        <v>256</v>
      </c>
      <c r="V111" t="s">
        <v>255</v>
      </c>
    </row>
    <row r="112" spans="2:23" ht="13.8" x14ac:dyDescent="0.2">
      <c r="B112" s="14" t="s">
        <v>717</v>
      </c>
      <c r="C112" s="9" t="s">
        <v>2360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6"/>
        <v>0</v>
      </c>
      <c r="L112" s="4">
        <f t="shared" si="7"/>
        <v>0</v>
      </c>
      <c r="M112" s="31">
        <v>0</v>
      </c>
      <c r="N112" s="32">
        <v>0</v>
      </c>
      <c r="O112" s="33">
        <v>0</v>
      </c>
      <c r="P112" s="2" t="s">
        <v>2381</v>
      </c>
      <c r="Q112" s="40" t="s">
        <v>717</v>
      </c>
      <c r="R112" t="s">
        <v>1843</v>
      </c>
      <c r="S112" t="s">
        <v>2329</v>
      </c>
      <c r="T112" t="s">
        <v>567</v>
      </c>
      <c r="U112" t="s">
        <v>255</v>
      </c>
      <c r="V112" t="s">
        <v>258</v>
      </c>
      <c r="W112" t="s">
        <v>259</v>
      </c>
    </row>
    <row r="113" spans="2:23" ht="13.8" x14ac:dyDescent="0.2">
      <c r="B113" s="14" t="s">
        <v>718</v>
      </c>
      <c r="C113" s="9" t="s">
        <v>2361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6"/>
        <v>0</v>
      </c>
      <c r="L113" s="4">
        <f t="shared" si="7"/>
        <v>0</v>
      </c>
      <c r="M113" s="31">
        <v>0</v>
      </c>
      <c r="N113" s="32">
        <v>0</v>
      </c>
      <c r="O113" s="33">
        <v>0</v>
      </c>
      <c r="P113" s="2" t="s">
        <v>2380</v>
      </c>
      <c r="Q113" s="40" t="s">
        <v>718</v>
      </c>
      <c r="R113" t="s">
        <v>1843</v>
      </c>
      <c r="S113" t="s">
        <v>2330</v>
      </c>
      <c r="T113" t="s">
        <v>567</v>
      </c>
      <c r="U113" t="s">
        <v>255</v>
      </c>
      <c r="V113" t="s">
        <v>255</v>
      </c>
    </row>
    <row r="114" spans="2:23" ht="13.8" x14ac:dyDescent="0.2">
      <c r="B114" s="14" t="s">
        <v>1470</v>
      </c>
      <c r="C114" s="9" t="s">
        <v>2362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6"/>
        <v>0</v>
      </c>
      <c r="L114" s="4">
        <f t="shared" si="7"/>
        <v>0</v>
      </c>
      <c r="M114" s="31">
        <v>0</v>
      </c>
      <c r="N114" s="32">
        <v>0</v>
      </c>
      <c r="O114" s="33">
        <v>0</v>
      </c>
      <c r="P114" s="2" t="s">
        <v>2379</v>
      </c>
      <c r="Q114" s="40" t="s">
        <v>1470</v>
      </c>
      <c r="R114" t="s">
        <v>1832</v>
      </c>
      <c r="S114" t="s">
        <v>2331</v>
      </c>
      <c r="T114" t="s">
        <v>567</v>
      </c>
      <c r="U114" t="s">
        <v>255</v>
      </c>
      <c r="V114" t="s">
        <v>256</v>
      </c>
    </row>
    <row r="115" spans="2:23" ht="13.8" x14ac:dyDescent="0.2">
      <c r="B115" s="14" t="s">
        <v>2332</v>
      </c>
      <c r="C115" s="9" t="s">
        <v>2363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6"/>
        <v>0</v>
      </c>
      <c r="L115" s="4">
        <f t="shared" si="7"/>
        <v>0</v>
      </c>
      <c r="M115" s="31">
        <v>0</v>
      </c>
      <c r="N115" s="32">
        <v>0</v>
      </c>
      <c r="O115" s="33">
        <v>0</v>
      </c>
      <c r="P115" s="2" t="s">
        <v>2378</v>
      </c>
      <c r="Q115" s="40" t="s">
        <v>2332</v>
      </c>
      <c r="R115" t="s">
        <v>1830</v>
      </c>
      <c r="S115" t="s">
        <v>2333</v>
      </c>
      <c r="T115" t="s">
        <v>567</v>
      </c>
      <c r="U115" t="s">
        <v>255</v>
      </c>
      <c r="V115" t="s">
        <v>255</v>
      </c>
    </row>
    <row r="116" spans="2:23" ht="13.8" x14ac:dyDescent="0.2">
      <c r="B116" s="14" t="s">
        <v>1395</v>
      </c>
      <c r="C116" s="9" t="s">
        <v>2364</v>
      </c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6"/>
        <v>0</v>
      </c>
      <c r="L116" s="4">
        <f t="shared" si="7"/>
        <v>0</v>
      </c>
      <c r="M116" s="31">
        <v>0</v>
      </c>
      <c r="N116" s="32">
        <v>0</v>
      </c>
      <c r="O116" s="33">
        <v>0</v>
      </c>
      <c r="P116" s="2" t="s">
        <v>2377</v>
      </c>
      <c r="Q116" s="40" t="s">
        <v>1395</v>
      </c>
      <c r="R116" t="s">
        <v>1834</v>
      </c>
      <c r="S116" t="s">
        <v>2334</v>
      </c>
      <c r="T116" t="s">
        <v>567</v>
      </c>
      <c r="U116" t="s">
        <v>255</v>
      </c>
      <c r="V116" t="s">
        <v>258</v>
      </c>
      <c r="W116" t="s">
        <v>259</v>
      </c>
    </row>
    <row r="117" spans="2:23" ht="13.8" x14ac:dyDescent="0.2">
      <c r="B117" s="14" t="s">
        <v>1473</v>
      </c>
      <c r="C117" s="9" t="s">
        <v>2365</v>
      </c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6"/>
        <v>0</v>
      </c>
      <c r="L117" s="4">
        <f t="shared" si="7"/>
        <v>0</v>
      </c>
      <c r="M117" s="31">
        <v>0</v>
      </c>
      <c r="N117" s="32">
        <v>0</v>
      </c>
      <c r="O117" s="33">
        <v>0</v>
      </c>
      <c r="P117" s="2" t="s">
        <v>2376</v>
      </c>
      <c r="Q117" s="40" t="s">
        <v>1473</v>
      </c>
      <c r="R117" t="s">
        <v>1834</v>
      </c>
      <c r="S117" t="s">
        <v>2335</v>
      </c>
      <c r="T117" t="s">
        <v>567</v>
      </c>
      <c r="U117" t="s">
        <v>255</v>
      </c>
      <c r="V117" t="s">
        <v>256</v>
      </c>
    </row>
    <row r="118" spans="2:23" ht="13.8" x14ac:dyDescent="0.2">
      <c r="B118" s="14" t="s">
        <v>552</v>
      </c>
      <c r="C118" s="9" t="s">
        <v>2366</v>
      </c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6"/>
        <v>0</v>
      </c>
      <c r="L118" s="4">
        <f t="shared" si="7"/>
        <v>0</v>
      </c>
      <c r="M118" s="31">
        <v>0</v>
      </c>
      <c r="N118" s="32">
        <v>0</v>
      </c>
      <c r="O118" s="33">
        <v>0</v>
      </c>
      <c r="P118" s="2" t="s">
        <v>2375</v>
      </c>
      <c r="Q118" s="40" t="s">
        <v>532</v>
      </c>
      <c r="R118" t="s">
        <v>1935</v>
      </c>
      <c r="S118" t="s">
        <v>2336</v>
      </c>
      <c r="T118" t="s">
        <v>1937</v>
      </c>
      <c r="U118" t="s">
        <v>257</v>
      </c>
      <c r="V118" t="s">
        <v>255</v>
      </c>
    </row>
    <row r="119" spans="2:23" ht="13.8" x14ac:dyDescent="0.2">
      <c r="B119" s="14" t="s">
        <v>553</v>
      </c>
      <c r="C119" s="9" t="s">
        <v>2367</v>
      </c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6"/>
        <v>0</v>
      </c>
      <c r="L119" s="4">
        <f t="shared" si="7"/>
        <v>0</v>
      </c>
      <c r="M119" s="31">
        <v>0</v>
      </c>
      <c r="N119" s="32">
        <v>0</v>
      </c>
      <c r="O119" s="33">
        <v>0</v>
      </c>
      <c r="P119" s="2" t="s">
        <v>2374</v>
      </c>
      <c r="Q119" s="40" t="s">
        <v>533</v>
      </c>
      <c r="R119" t="s">
        <v>1935</v>
      </c>
      <c r="S119" t="s">
        <v>2337</v>
      </c>
      <c r="T119" t="s">
        <v>1937</v>
      </c>
      <c r="U119" t="s">
        <v>255</v>
      </c>
      <c r="V119" t="s">
        <v>258</v>
      </c>
      <c r="W119" t="s">
        <v>259</v>
      </c>
    </row>
    <row r="120" spans="2:23" ht="13.8" x14ac:dyDescent="0.2">
      <c r="B120" s="14" t="s">
        <v>556</v>
      </c>
      <c r="C120" s="9" t="s">
        <v>2368</v>
      </c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6"/>
        <v>0</v>
      </c>
      <c r="L120" s="4">
        <f t="shared" si="7"/>
        <v>0</v>
      </c>
      <c r="M120" s="31">
        <v>0</v>
      </c>
      <c r="N120" s="32">
        <v>0</v>
      </c>
      <c r="O120" s="33">
        <v>0</v>
      </c>
      <c r="P120" s="2" t="s">
        <v>2373</v>
      </c>
      <c r="Q120" s="40" t="s">
        <v>534</v>
      </c>
      <c r="R120" t="s">
        <v>1935</v>
      </c>
      <c r="S120" t="s">
        <v>2338</v>
      </c>
      <c r="T120" t="s">
        <v>1937</v>
      </c>
      <c r="U120" t="s">
        <v>255</v>
      </c>
      <c r="V120" t="s">
        <v>255</v>
      </c>
    </row>
    <row r="121" spans="2:23" ht="13.8" x14ac:dyDescent="0.2">
      <c r="B121" s="14" t="s">
        <v>557</v>
      </c>
      <c r="C121" s="9" t="s">
        <v>2369</v>
      </c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6"/>
        <v>0</v>
      </c>
      <c r="L121" s="4">
        <f t="shared" si="7"/>
        <v>0</v>
      </c>
      <c r="M121" s="31">
        <v>0</v>
      </c>
      <c r="N121" s="32">
        <v>0</v>
      </c>
      <c r="O121" s="33">
        <v>0</v>
      </c>
      <c r="P121" s="2" t="s">
        <v>2372</v>
      </c>
      <c r="Q121" s="40" t="s">
        <v>535</v>
      </c>
      <c r="R121" t="s">
        <v>1935</v>
      </c>
      <c r="S121" t="s">
        <v>2339</v>
      </c>
      <c r="T121" t="s">
        <v>1937</v>
      </c>
      <c r="U121" t="s">
        <v>255</v>
      </c>
      <c r="V121" t="s">
        <v>255</v>
      </c>
    </row>
    <row r="122" spans="2:23" ht="13.8" x14ac:dyDescent="0.2">
      <c r="B122" s="14" t="s">
        <v>560</v>
      </c>
      <c r="C122" s="9" t="s">
        <v>2370</v>
      </c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6"/>
        <v>0</v>
      </c>
      <c r="L122" s="4">
        <f t="shared" si="7"/>
        <v>0</v>
      </c>
      <c r="M122" s="31">
        <v>0</v>
      </c>
      <c r="N122" s="32">
        <v>0</v>
      </c>
      <c r="O122" s="33">
        <v>0</v>
      </c>
      <c r="P122" s="2" t="s">
        <v>2371</v>
      </c>
      <c r="Q122" s="40" t="s">
        <v>536</v>
      </c>
      <c r="R122" t="s">
        <v>1935</v>
      </c>
      <c r="S122" t="s">
        <v>2340</v>
      </c>
      <c r="T122" t="s">
        <v>1937</v>
      </c>
      <c r="U122" t="s">
        <v>257</v>
      </c>
    </row>
    <row r="123" spans="2:23" ht="13.8" x14ac:dyDescent="0.2">
      <c r="B123" s="14"/>
      <c r="C123" s="9"/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6"/>
        <v>0</v>
      </c>
      <c r="L123" s="4">
        <f t="shared" si="7"/>
        <v>0</v>
      </c>
      <c r="M123" s="31">
        <v>0</v>
      </c>
      <c r="N123" s="32">
        <v>0</v>
      </c>
      <c r="O123" s="33">
        <v>0</v>
      </c>
      <c r="P123" s="2"/>
      <c r="Q123" s="40" t="s">
        <v>537</v>
      </c>
      <c r="R123" t="s">
        <v>1935</v>
      </c>
      <c r="S123" t="s">
        <v>2341</v>
      </c>
      <c r="T123" t="s">
        <v>1954</v>
      </c>
      <c r="U123" t="s">
        <v>255</v>
      </c>
    </row>
    <row r="124" spans="2:23" ht="13.8" x14ac:dyDescent="0.2">
      <c r="B124" s="14"/>
      <c r="C124" s="9"/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6"/>
        <v>0</v>
      </c>
      <c r="L124" s="4">
        <f t="shared" si="7"/>
        <v>0</v>
      </c>
      <c r="M124" s="31">
        <v>0</v>
      </c>
      <c r="N124" s="32">
        <v>0</v>
      </c>
      <c r="O124" s="33">
        <v>0</v>
      </c>
      <c r="P124" s="2"/>
      <c r="Q124" s="40" t="s">
        <v>539</v>
      </c>
      <c r="R124" t="s">
        <v>1935</v>
      </c>
      <c r="S124" t="s">
        <v>2342</v>
      </c>
      <c r="T124" t="s">
        <v>1937</v>
      </c>
      <c r="U124" t="s">
        <v>255</v>
      </c>
    </row>
    <row r="125" spans="2:23" ht="13.8" x14ac:dyDescent="0.2">
      <c r="B125" s="14"/>
      <c r="C125" s="9"/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6"/>
        <v>0</v>
      </c>
      <c r="L125" s="4">
        <f t="shared" si="7"/>
        <v>0</v>
      </c>
      <c r="M125" s="31">
        <v>0</v>
      </c>
      <c r="N125" s="32">
        <v>0</v>
      </c>
      <c r="O125" s="33">
        <v>0</v>
      </c>
      <c r="P125" s="2"/>
      <c r="Q125" s="40" t="s">
        <v>540</v>
      </c>
      <c r="R125" t="s">
        <v>1935</v>
      </c>
      <c r="S125" t="s">
        <v>2343</v>
      </c>
      <c r="T125" t="s">
        <v>1954</v>
      </c>
      <c r="U125" t="s">
        <v>257</v>
      </c>
    </row>
    <row r="126" spans="2:23" ht="13.8" x14ac:dyDescent="0.2">
      <c r="B126" s="14"/>
      <c r="C126" s="9"/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6"/>
        <v>0</v>
      </c>
      <c r="L126" s="4">
        <f t="shared" si="7"/>
        <v>0</v>
      </c>
      <c r="M126" s="31">
        <v>0</v>
      </c>
      <c r="N126" s="32">
        <v>0</v>
      </c>
      <c r="O126" s="33">
        <v>0</v>
      </c>
      <c r="P126" s="2"/>
      <c r="Q126" s="40" t="s">
        <v>541</v>
      </c>
      <c r="R126" t="s">
        <v>1935</v>
      </c>
      <c r="S126" t="s">
        <v>2344</v>
      </c>
      <c r="T126" t="s">
        <v>1954</v>
      </c>
      <c r="U126" t="s">
        <v>255</v>
      </c>
    </row>
    <row r="127" spans="2:23" ht="13.8" x14ac:dyDescent="0.2">
      <c r="B127" s="14"/>
      <c r="C127" s="9"/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6"/>
        <v>0</v>
      </c>
      <c r="L127" s="4">
        <f t="shared" si="7"/>
        <v>0</v>
      </c>
      <c r="M127" s="31">
        <v>0</v>
      </c>
      <c r="N127" s="32">
        <v>0</v>
      </c>
      <c r="O127" s="33">
        <v>0</v>
      </c>
      <c r="P127" s="2" t="s">
        <v>736</v>
      </c>
      <c r="Q127" s="40" t="s">
        <v>542</v>
      </c>
      <c r="R127" t="s">
        <v>1935</v>
      </c>
      <c r="S127" t="s">
        <v>2345</v>
      </c>
      <c r="T127" t="s">
        <v>1954</v>
      </c>
      <c r="U127" t="s">
        <v>255</v>
      </c>
    </row>
    <row r="128" spans="2:23" ht="13.8" x14ac:dyDescent="0.2">
      <c r="B128" s="14"/>
      <c r="C128" s="9"/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6"/>
        <v>0</v>
      </c>
      <c r="L128" s="4">
        <f t="shared" si="7"/>
        <v>0</v>
      </c>
      <c r="M128" s="31">
        <v>0</v>
      </c>
      <c r="N128" s="32">
        <v>0</v>
      </c>
      <c r="O128" s="33">
        <v>0</v>
      </c>
      <c r="P128" s="2" t="s">
        <v>736</v>
      </c>
      <c r="Q128" s="40" t="s">
        <v>543</v>
      </c>
      <c r="R128" t="s">
        <v>2169</v>
      </c>
      <c r="S128" t="s">
        <v>2346</v>
      </c>
    </row>
    <row r="129" spans="2:20" ht="13.8" x14ac:dyDescent="0.2">
      <c r="B129" s="14"/>
      <c r="C129" s="9"/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6"/>
        <v>0</v>
      </c>
      <c r="L129" s="4">
        <f t="shared" si="7"/>
        <v>0</v>
      </c>
      <c r="M129" s="31">
        <v>0</v>
      </c>
      <c r="N129" s="32">
        <v>0</v>
      </c>
      <c r="O129" s="33">
        <v>0</v>
      </c>
      <c r="P129" s="3" t="s">
        <v>736</v>
      </c>
      <c r="Q129" s="40" t="s">
        <v>544</v>
      </c>
      <c r="R129" t="s">
        <v>1935</v>
      </c>
      <c r="S129" t="s">
        <v>2347</v>
      </c>
      <c r="T129" t="s">
        <v>1937</v>
      </c>
    </row>
    <row r="130" spans="2:20" ht="13.8" x14ac:dyDescent="0.2">
      <c r="B130" s="14"/>
      <c r="C130" s="9"/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6"/>
        <v>0</v>
      </c>
      <c r="L130" s="4">
        <f t="shared" si="7"/>
        <v>0</v>
      </c>
      <c r="M130" s="31">
        <v>0</v>
      </c>
      <c r="N130" s="32">
        <v>0</v>
      </c>
      <c r="O130" s="33">
        <v>0</v>
      </c>
      <c r="P130" s="3" t="s">
        <v>736</v>
      </c>
      <c r="Q130" s="40" t="s">
        <v>545</v>
      </c>
      <c r="R130" t="s">
        <v>1935</v>
      </c>
      <c r="S130" t="s">
        <v>2348</v>
      </c>
      <c r="T130" t="s">
        <v>1937</v>
      </c>
    </row>
    <row r="131" spans="2:20" ht="13.8" x14ac:dyDescent="0.2">
      <c r="B131" s="14"/>
      <c r="C131" s="9"/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6"/>
        <v>0</v>
      </c>
      <c r="L131" s="4">
        <f t="shared" si="7"/>
        <v>0</v>
      </c>
      <c r="M131" s="31">
        <v>0</v>
      </c>
      <c r="N131" s="32">
        <v>0</v>
      </c>
      <c r="O131" s="33">
        <v>0</v>
      </c>
      <c r="P131" s="3" t="s">
        <v>736</v>
      </c>
      <c r="Q131" s="40" t="s">
        <v>547</v>
      </c>
      <c r="R131" t="s">
        <v>1935</v>
      </c>
      <c r="S131" t="s">
        <v>2349</v>
      </c>
      <c r="T131" t="s">
        <v>1937</v>
      </c>
    </row>
    <row r="132" spans="2:20" ht="13.8" x14ac:dyDescent="0.2">
      <c r="B132" s="14"/>
      <c r="C132" s="9"/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6"/>
        <v>0</v>
      </c>
      <c r="L132" s="4">
        <f t="shared" si="7"/>
        <v>0</v>
      </c>
      <c r="M132" s="31">
        <v>0</v>
      </c>
      <c r="N132" s="32">
        <v>0</v>
      </c>
      <c r="O132" s="33">
        <v>0</v>
      </c>
      <c r="P132" s="3" t="s">
        <v>736</v>
      </c>
      <c r="Q132" s="40" t="s">
        <v>550</v>
      </c>
      <c r="R132" t="s">
        <v>1935</v>
      </c>
      <c r="S132" t="s">
        <v>2350</v>
      </c>
      <c r="T132" t="s">
        <v>1937</v>
      </c>
    </row>
    <row r="133" spans="2:20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8">IFERROR(IF((F133+M133+N133)/(E133+M133+N133+O133)=1,"1.00",(F133+M133+N133)/(E133+M133+N133+O133)),0)</f>
        <v>0</v>
      </c>
      <c r="L133" s="4">
        <f t="shared" ref="L133:L134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3" t="s">
        <v>736</v>
      </c>
      <c r="Q133" s="40" t="s">
        <v>552</v>
      </c>
      <c r="R133" t="s">
        <v>1834</v>
      </c>
      <c r="S133" t="s">
        <v>2351</v>
      </c>
      <c r="T133" t="s">
        <v>567</v>
      </c>
    </row>
    <row r="134" spans="2:20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8"/>
        <v>0</v>
      </c>
      <c r="L134" s="4">
        <f t="shared" si="9"/>
        <v>0</v>
      </c>
      <c r="M134" s="31">
        <v>0</v>
      </c>
      <c r="N134" s="32">
        <v>0</v>
      </c>
      <c r="O134" s="33">
        <v>0</v>
      </c>
      <c r="P134" s="3" t="s">
        <v>736</v>
      </c>
      <c r="Q134" s="40" t="s">
        <v>553</v>
      </c>
      <c r="R134" t="s">
        <v>1843</v>
      </c>
      <c r="S134" t="s">
        <v>2352</v>
      </c>
      <c r="T134" t="s">
        <v>567</v>
      </c>
    </row>
    <row r="135" spans="2:20" x14ac:dyDescent="0.2">
      <c r="Q135" s="40" t="s">
        <v>556</v>
      </c>
      <c r="R135" t="s">
        <v>1843</v>
      </c>
      <c r="S135" t="s">
        <v>2353</v>
      </c>
      <c r="T135" t="s">
        <v>567</v>
      </c>
    </row>
    <row r="136" spans="2:20" x14ac:dyDescent="0.2">
      <c r="Q136" s="40" t="s">
        <v>557</v>
      </c>
      <c r="R136" t="s">
        <v>1843</v>
      </c>
      <c r="S136" t="s">
        <v>2354</v>
      </c>
      <c r="T136" t="s">
        <v>567</v>
      </c>
    </row>
    <row r="137" spans="2:20" x14ac:dyDescent="0.2">
      <c r="Q137" s="40" t="s">
        <v>560</v>
      </c>
      <c r="R137" t="s">
        <v>1843</v>
      </c>
      <c r="S137" t="s">
        <v>2355</v>
      </c>
      <c r="T137" t="s">
        <v>567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D052-BD1E-4776-8B88-6642208D664B}">
  <sheetPr codeName="Sheet14"/>
  <dimension ref="B1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16" ht="13.8" customHeight="1" x14ac:dyDescent="0.2"/>
    <row r="2" spans="2:16" ht="13.8" customHeight="1" x14ac:dyDescent="0.2">
      <c r="B2" s="89"/>
      <c r="C2" s="89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0" t="s">
        <v>323</v>
      </c>
    </row>
    <row r="3" spans="2:16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941</v>
      </c>
      <c r="H3" s="17" t="s">
        <v>942</v>
      </c>
      <c r="I3" s="22" t="s">
        <v>2</v>
      </c>
      <c r="J3" s="23" t="s">
        <v>3</v>
      </c>
      <c r="K3" s="30" t="s">
        <v>737</v>
      </c>
      <c r="L3" s="10" t="s">
        <v>943</v>
      </c>
      <c r="M3" s="9" t="s">
        <v>744</v>
      </c>
      <c r="N3" s="9" t="s">
        <v>745</v>
      </c>
      <c r="O3" s="9" t="s">
        <v>743</v>
      </c>
      <c r="P3" s="91"/>
    </row>
    <row r="4" spans="2:16" ht="13.8" x14ac:dyDescent="0.2">
      <c r="B4" s="14" t="s">
        <v>425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736</v>
      </c>
    </row>
    <row r="5" spans="2:16" ht="13.8" x14ac:dyDescent="0.2">
      <c r="B5" s="14">
        <v>0</v>
      </c>
      <c r="C5" s="17" t="s">
        <v>350</v>
      </c>
      <c r="D5" s="15">
        <f t="shared" ref="D5:D68" si="0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1">IFERROR(IF((F5+M5+N5)/(E5+M5+N5+O5)=1,"1.00",(F5+M5+N5)/(E5+M5+N5+O5)),0)</f>
        <v>0</v>
      </c>
      <c r="L5" s="4">
        <f t="shared" ref="L5:L68" si="2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345</v>
      </c>
    </row>
    <row r="6" spans="2:16" ht="13.8" x14ac:dyDescent="0.2">
      <c r="B6" s="14">
        <v>1</v>
      </c>
      <c r="C6" s="17" t="s">
        <v>2223</v>
      </c>
      <c r="D6" s="15">
        <f t="shared" si="0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1"/>
        <v>0</v>
      </c>
      <c r="L6" s="4">
        <f t="shared" si="2"/>
        <v>0</v>
      </c>
      <c r="M6" s="31">
        <v>0</v>
      </c>
      <c r="N6" s="32">
        <v>0</v>
      </c>
      <c r="O6" s="33">
        <v>0</v>
      </c>
      <c r="P6" s="2" t="s">
        <v>944</v>
      </c>
    </row>
    <row r="7" spans="2:16" ht="13.8" x14ac:dyDescent="0.2">
      <c r="B7" s="14">
        <v>2</v>
      </c>
      <c r="C7" s="17" t="s">
        <v>139</v>
      </c>
      <c r="D7" s="15">
        <f t="shared" si="0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1"/>
        <v>0</v>
      </c>
      <c r="L7" s="4">
        <f t="shared" si="2"/>
        <v>0</v>
      </c>
      <c r="M7" s="31">
        <v>0</v>
      </c>
      <c r="N7" s="32">
        <v>0</v>
      </c>
      <c r="O7" s="33">
        <v>0</v>
      </c>
      <c r="P7" s="2" t="s">
        <v>945</v>
      </c>
    </row>
    <row r="8" spans="2:16" ht="13.8" x14ac:dyDescent="0.2">
      <c r="B8" s="14">
        <v>3</v>
      </c>
      <c r="C8" s="17" t="s">
        <v>351</v>
      </c>
      <c r="D8" s="15">
        <f t="shared" si="0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1"/>
        <v>0</v>
      </c>
      <c r="L8" s="4">
        <f t="shared" si="2"/>
        <v>0</v>
      </c>
      <c r="M8" s="31">
        <v>0</v>
      </c>
      <c r="N8" s="32">
        <v>0</v>
      </c>
      <c r="O8" s="33">
        <v>0</v>
      </c>
      <c r="P8" s="2" t="s">
        <v>946</v>
      </c>
    </row>
    <row r="9" spans="2:16" ht="13.8" x14ac:dyDescent="0.2">
      <c r="B9" s="14">
        <v>4</v>
      </c>
      <c r="C9" s="9" t="s">
        <v>719</v>
      </c>
      <c r="D9" s="15">
        <f t="shared" si="0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1"/>
        <v>0</v>
      </c>
      <c r="L9" s="4">
        <f t="shared" si="2"/>
        <v>0</v>
      </c>
      <c r="M9" s="31">
        <v>0</v>
      </c>
      <c r="N9" s="32">
        <v>0</v>
      </c>
      <c r="O9" s="33">
        <v>0</v>
      </c>
      <c r="P9" s="2" t="s">
        <v>346</v>
      </c>
    </row>
    <row r="10" spans="2:16" ht="13.8" x14ac:dyDescent="0.2">
      <c r="B10" s="14">
        <v>5</v>
      </c>
      <c r="C10" s="17" t="s">
        <v>352</v>
      </c>
      <c r="D10" s="15">
        <f t="shared" si="0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1"/>
        <v>0</v>
      </c>
      <c r="L10" s="4">
        <f t="shared" si="2"/>
        <v>0</v>
      </c>
      <c r="M10" s="31">
        <v>0</v>
      </c>
      <c r="N10" s="32">
        <v>0</v>
      </c>
      <c r="O10" s="33">
        <v>0</v>
      </c>
      <c r="P10" s="2" t="s">
        <v>347</v>
      </c>
    </row>
    <row r="11" spans="2:16" ht="13.8" x14ac:dyDescent="0.2">
      <c r="B11" s="14">
        <v>6</v>
      </c>
      <c r="C11" s="17" t="s">
        <v>2215</v>
      </c>
      <c r="D11" s="15">
        <f t="shared" si="0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1"/>
        <v>0</v>
      </c>
      <c r="L11" s="4">
        <f t="shared" si="2"/>
        <v>0</v>
      </c>
      <c r="M11" s="31">
        <v>0</v>
      </c>
      <c r="N11" s="32">
        <v>0</v>
      </c>
      <c r="O11" s="33">
        <v>0</v>
      </c>
      <c r="P11" s="2" t="s">
        <v>2214</v>
      </c>
    </row>
    <row r="12" spans="2:16" ht="13.8" x14ac:dyDescent="0.2">
      <c r="B12" s="14">
        <v>7</v>
      </c>
      <c r="C12" s="17" t="s">
        <v>84</v>
      </c>
      <c r="D12" s="15">
        <f t="shared" si="0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1"/>
        <v>0</v>
      </c>
      <c r="L12" s="4">
        <f t="shared" si="2"/>
        <v>0</v>
      </c>
      <c r="M12" s="31">
        <v>0</v>
      </c>
      <c r="N12" s="32">
        <v>0</v>
      </c>
      <c r="O12" s="33">
        <v>0</v>
      </c>
      <c r="P12" s="2" t="s">
        <v>947</v>
      </c>
    </row>
    <row r="13" spans="2:16" ht="13.8" x14ac:dyDescent="0.2">
      <c r="B13" s="14">
        <v>8</v>
      </c>
      <c r="C13" s="17" t="s">
        <v>353</v>
      </c>
      <c r="D13" s="15">
        <f t="shared" si="0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1"/>
        <v>0</v>
      </c>
      <c r="L13" s="4">
        <f t="shared" si="2"/>
        <v>0</v>
      </c>
      <c r="M13" s="31">
        <v>0</v>
      </c>
      <c r="N13" s="32">
        <v>0</v>
      </c>
      <c r="O13" s="33">
        <v>0</v>
      </c>
      <c r="P13" s="2" t="s">
        <v>948</v>
      </c>
    </row>
    <row r="14" spans="2:16" ht="13.8" x14ac:dyDescent="0.2">
      <c r="B14" s="14">
        <v>9</v>
      </c>
      <c r="C14" s="17" t="s">
        <v>2217</v>
      </c>
      <c r="D14" s="15">
        <f t="shared" si="0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1"/>
        <v>0</v>
      </c>
      <c r="L14" s="4">
        <f t="shared" si="2"/>
        <v>0</v>
      </c>
      <c r="M14" s="31">
        <v>0</v>
      </c>
      <c r="N14" s="32">
        <v>0</v>
      </c>
      <c r="O14" s="33">
        <v>0</v>
      </c>
      <c r="P14" s="2" t="s">
        <v>2216</v>
      </c>
    </row>
    <row r="15" spans="2:16" ht="13.8" x14ac:dyDescent="0.2">
      <c r="B15" s="14">
        <v>10</v>
      </c>
      <c r="C15" s="17"/>
      <c r="D15" s="15">
        <f t="shared" si="0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1"/>
        <v>0</v>
      </c>
      <c r="L15" s="4">
        <f t="shared" si="2"/>
        <v>0</v>
      </c>
      <c r="M15" s="31">
        <v>0</v>
      </c>
      <c r="N15" s="32">
        <v>0</v>
      </c>
      <c r="O15" s="33">
        <v>0</v>
      </c>
      <c r="P15" s="2" t="s">
        <v>736</v>
      </c>
    </row>
    <row r="16" spans="2:16" ht="13.8" x14ac:dyDescent="0.2">
      <c r="B16" s="14">
        <v>11</v>
      </c>
      <c r="C16" s="17" t="s">
        <v>322</v>
      </c>
      <c r="D16" s="15">
        <f t="shared" si="0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1"/>
        <v>0</v>
      </c>
      <c r="L16" s="4">
        <f t="shared" si="2"/>
        <v>0</v>
      </c>
      <c r="M16" s="31">
        <v>0</v>
      </c>
      <c r="N16" s="32">
        <v>0</v>
      </c>
      <c r="O16" s="33">
        <v>0</v>
      </c>
      <c r="P16" s="2" t="s">
        <v>949</v>
      </c>
    </row>
    <row r="17" spans="2:16" ht="13.8" x14ac:dyDescent="0.2">
      <c r="B17" s="14">
        <v>12</v>
      </c>
      <c r="C17" s="17" t="s">
        <v>2218</v>
      </c>
      <c r="D17" s="15">
        <f t="shared" si="0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1"/>
        <v>0</v>
      </c>
      <c r="L17" s="4">
        <f t="shared" si="2"/>
        <v>0</v>
      </c>
      <c r="M17" s="31">
        <v>0</v>
      </c>
      <c r="N17" s="32">
        <v>0</v>
      </c>
      <c r="O17" s="33">
        <v>0</v>
      </c>
      <c r="P17" s="2" t="s">
        <v>2170</v>
      </c>
    </row>
    <row r="18" spans="2:16" ht="13.8" x14ac:dyDescent="0.2">
      <c r="B18" s="14">
        <v>13</v>
      </c>
      <c r="C18" s="9" t="s">
        <v>354</v>
      </c>
      <c r="D18" s="15">
        <f t="shared" si="0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1"/>
        <v>0</v>
      </c>
      <c r="L18" s="4">
        <f t="shared" si="2"/>
        <v>0</v>
      </c>
      <c r="M18" s="31">
        <v>0</v>
      </c>
      <c r="N18" s="32">
        <v>0</v>
      </c>
      <c r="O18" s="33">
        <v>0</v>
      </c>
      <c r="P18" s="2" t="s">
        <v>950</v>
      </c>
    </row>
    <row r="19" spans="2:16" ht="13.8" x14ac:dyDescent="0.2">
      <c r="B19" s="14">
        <v>14</v>
      </c>
      <c r="C19" s="17" t="s">
        <v>355</v>
      </c>
      <c r="D19" s="15">
        <f t="shared" si="0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1"/>
        <v>0</v>
      </c>
      <c r="L19" s="4">
        <f t="shared" si="2"/>
        <v>0</v>
      </c>
      <c r="M19" s="31">
        <v>0</v>
      </c>
      <c r="N19" s="32">
        <v>0</v>
      </c>
      <c r="O19" s="33">
        <v>0</v>
      </c>
      <c r="P19" s="2" t="s">
        <v>951</v>
      </c>
    </row>
    <row r="20" spans="2:16" ht="13.8" x14ac:dyDescent="0.2">
      <c r="B20" s="14">
        <v>15</v>
      </c>
      <c r="C20" s="17"/>
      <c r="D20" s="15">
        <f t="shared" si="0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1"/>
        <v>0</v>
      </c>
      <c r="L20" s="4">
        <f t="shared" si="2"/>
        <v>0</v>
      </c>
      <c r="M20" s="31">
        <v>0</v>
      </c>
      <c r="N20" s="32">
        <v>0</v>
      </c>
      <c r="O20" s="33">
        <v>0</v>
      </c>
      <c r="P20" s="2" t="s">
        <v>736</v>
      </c>
    </row>
    <row r="21" spans="2:16" ht="13.8" x14ac:dyDescent="0.2">
      <c r="B21" s="14">
        <v>16</v>
      </c>
      <c r="C21" s="17" t="s">
        <v>356</v>
      </c>
      <c r="D21" s="15">
        <f t="shared" si="0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1"/>
        <v>0</v>
      </c>
      <c r="L21" s="4">
        <f t="shared" si="2"/>
        <v>0</v>
      </c>
      <c r="M21" s="31">
        <v>0</v>
      </c>
      <c r="N21" s="32">
        <v>0</v>
      </c>
      <c r="O21" s="33">
        <v>0</v>
      </c>
      <c r="P21" s="2" t="s">
        <v>952</v>
      </c>
    </row>
    <row r="22" spans="2:16" ht="13.8" x14ac:dyDescent="0.2">
      <c r="B22" s="14">
        <v>17</v>
      </c>
      <c r="C22" s="17" t="s">
        <v>357</v>
      </c>
      <c r="D22" s="15">
        <f t="shared" si="0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1"/>
        <v>0</v>
      </c>
      <c r="L22" s="4">
        <f t="shared" si="2"/>
        <v>0</v>
      </c>
      <c r="M22" s="31">
        <v>0</v>
      </c>
      <c r="N22" s="32">
        <v>0</v>
      </c>
      <c r="O22" s="33">
        <v>0</v>
      </c>
      <c r="P22" s="2" t="s">
        <v>953</v>
      </c>
    </row>
    <row r="23" spans="2:16" ht="13.8" x14ac:dyDescent="0.2">
      <c r="B23" s="14">
        <v>18</v>
      </c>
      <c r="C23" s="17" t="s">
        <v>720</v>
      </c>
      <c r="D23" s="15">
        <f t="shared" si="0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1"/>
        <v>0</v>
      </c>
      <c r="L23" s="4">
        <f t="shared" si="2"/>
        <v>0</v>
      </c>
      <c r="M23" s="31">
        <v>0</v>
      </c>
      <c r="N23" s="32">
        <v>0</v>
      </c>
      <c r="O23" s="33">
        <v>0</v>
      </c>
      <c r="P23" s="2" t="s">
        <v>954</v>
      </c>
    </row>
    <row r="24" spans="2:16" ht="13.8" x14ac:dyDescent="0.2">
      <c r="B24" s="14">
        <v>19</v>
      </c>
      <c r="C24" s="17"/>
      <c r="D24" s="15">
        <f t="shared" si="0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1"/>
        <v>0</v>
      </c>
      <c r="L24" s="4">
        <f t="shared" si="2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17" t="s">
        <v>358</v>
      </c>
      <c r="D25" s="15">
        <f t="shared" si="0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1"/>
        <v>0</v>
      </c>
      <c r="L25" s="4">
        <f t="shared" si="2"/>
        <v>0</v>
      </c>
      <c r="M25" s="31">
        <v>0</v>
      </c>
      <c r="N25" s="32">
        <v>0</v>
      </c>
      <c r="O25" s="33">
        <v>0</v>
      </c>
      <c r="P25" s="2" t="s">
        <v>955</v>
      </c>
    </row>
    <row r="26" spans="2:16" ht="13.8" x14ac:dyDescent="0.2">
      <c r="B26" s="14">
        <v>21</v>
      </c>
      <c r="C26" s="17" t="s">
        <v>721</v>
      </c>
      <c r="D26" s="15">
        <f t="shared" si="0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1"/>
        <v>0</v>
      </c>
      <c r="L26" s="4">
        <f t="shared" si="2"/>
        <v>0</v>
      </c>
      <c r="M26" s="31">
        <v>0</v>
      </c>
      <c r="N26" s="32">
        <v>0</v>
      </c>
      <c r="O26" s="33">
        <v>0</v>
      </c>
      <c r="P26" s="2" t="s">
        <v>956</v>
      </c>
    </row>
    <row r="27" spans="2:16" ht="13.8" x14ac:dyDescent="0.2">
      <c r="B27" s="14">
        <v>22</v>
      </c>
      <c r="C27" s="17" t="s">
        <v>253</v>
      </c>
      <c r="D27" s="15">
        <f t="shared" si="0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1"/>
        <v>0</v>
      </c>
      <c r="L27" s="4">
        <f t="shared" si="2"/>
        <v>0</v>
      </c>
      <c r="M27" s="31">
        <v>0</v>
      </c>
      <c r="N27" s="32">
        <v>0</v>
      </c>
      <c r="O27" s="33">
        <v>0</v>
      </c>
      <c r="P27" s="2" t="s">
        <v>2213</v>
      </c>
    </row>
    <row r="28" spans="2:16" ht="13.8" x14ac:dyDescent="0.2">
      <c r="B28" s="14">
        <v>23</v>
      </c>
      <c r="C28" s="17" t="s">
        <v>360</v>
      </c>
      <c r="D28" s="15">
        <f t="shared" si="0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1"/>
        <v>0</v>
      </c>
      <c r="L28" s="4">
        <f t="shared" si="2"/>
        <v>0</v>
      </c>
      <c r="M28" s="31">
        <v>0</v>
      </c>
      <c r="N28" s="32">
        <v>0</v>
      </c>
      <c r="O28" s="33">
        <v>0</v>
      </c>
      <c r="P28" s="2" t="s">
        <v>957</v>
      </c>
    </row>
    <row r="29" spans="2:16" ht="13.8" x14ac:dyDescent="0.2">
      <c r="B29" s="14">
        <v>24</v>
      </c>
      <c r="C29" s="2" t="s">
        <v>361</v>
      </c>
      <c r="D29" s="15">
        <f t="shared" si="0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1"/>
        <v>0</v>
      </c>
      <c r="L29" s="4">
        <f t="shared" si="2"/>
        <v>0</v>
      </c>
      <c r="M29" s="31">
        <v>0</v>
      </c>
      <c r="N29" s="32">
        <v>0</v>
      </c>
      <c r="O29" s="33">
        <v>0</v>
      </c>
      <c r="P29" s="2" t="s">
        <v>958</v>
      </c>
    </row>
    <row r="30" spans="2:16" ht="13.8" x14ac:dyDescent="0.2">
      <c r="B30" s="14">
        <v>25</v>
      </c>
      <c r="C30" s="17" t="s">
        <v>722</v>
      </c>
      <c r="D30" s="15">
        <f t="shared" si="0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1"/>
        <v>0</v>
      </c>
      <c r="L30" s="4">
        <f t="shared" si="2"/>
        <v>0</v>
      </c>
      <c r="M30" s="31">
        <v>0</v>
      </c>
      <c r="N30" s="32">
        <v>0</v>
      </c>
      <c r="O30" s="33">
        <v>0</v>
      </c>
      <c r="P30" s="2" t="s">
        <v>959</v>
      </c>
    </row>
    <row r="31" spans="2:16" ht="13.8" x14ac:dyDescent="0.2">
      <c r="B31" s="14">
        <v>26</v>
      </c>
      <c r="C31" s="17" t="s">
        <v>1322</v>
      </c>
      <c r="D31" s="15">
        <f t="shared" si="0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1"/>
        <v>0</v>
      </c>
      <c r="L31" s="4">
        <f t="shared" si="2"/>
        <v>0</v>
      </c>
      <c r="M31" s="31">
        <v>0</v>
      </c>
      <c r="N31" s="32">
        <v>0</v>
      </c>
      <c r="O31" s="33">
        <v>0</v>
      </c>
      <c r="P31" s="2" t="s">
        <v>1323</v>
      </c>
    </row>
    <row r="32" spans="2:16" ht="13.8" x14ac:dyDescent="0.2">
      <c r="B32" s="14">
        <v>27</v>
      </c>
      <c r="C32" s="17" t="s">
        <v>362</v>
      </c>
      <c r="D32" s="15">
        <f t="shared" si="0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1"/>
        <v>0</v>
      </c>
      <c r="L32" s="4">
        <f t="shared" si="2"/>
        <v>0</v>
      </c>
      <c r="M32" s="31">
        <v>0</v>
      </c>
      <c r="N32" s="32">
        <v>0</v>
      </c>
      <c r="O32" s="33">
        <v>0</v>
      </c>
      <c r="P32" s="2" t="s">
        <v>960</v>
      </c>
    </row>
    <row r="33" spans="2:16" ht="13.8" x14ac:dyDescent="0.2">
      <c r="B33" s="14">
        <v>28</v>
      </c>
      <c r="C33" s="17" t="s">
        <v>363</v>
      </c>
      <c r="D33" s="15">
        <f t="shared" si="0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1"/>
        <v>0</v>
      </c>
      <c r="L33" s="4">
        <f t="shared" si="2"/>
        <v>0</v>
      </c>
      <c r="M33" s="31">
        <v>0</v>
      </c>
      <c r="N33" s="32">
        <v>0</v>
      </c>
      <c r="O33" s="33">
        <v>0</v>
      </c>
      <c r="P33" s="2" t="s">
        <v>961</v>
      </c>
    </row>
    <row r="34" spans="2:16" ht="13.8" x14ac:dyDescent="0.2">
      <c r="B34" s="14">
        <v>29</v>
      </c>
      <c r="C34" s="17" t="s">
        <v>723</v>
      </c>
      <c r="D34" s="15">
        <f t="shared" si="0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1"/>
        <v>0</v>
      </c>
      <c r="L34" s="4">
        <f t="shared" si="2"/>
        <v>0</v>
      </c>
      <c r="M34" s="31">
        <v>0</v>
      </c>
      <c r="N34" s="32">
        <v>0</v>
      </c>
      <c r="O34" s="33">
        <v>0</v>
      </c>
      <c r="P34" s="2" t="s">
        <v>962</v>
      </c>
    </row>
    <row r="35" spans="2:16" ht="13.8" x14ac:dyDescent="0.2">
      <c r="B35" s="14">
        <v>30</v>
      </c>
      <c r="C35" s="17" t="s">
        <v>378</v>
      </c>
      <c r="D35" s="15">
        <f t="shared" si="0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1"/>
        <v>0</v>
      </c>
      <c r="L35" s="4">
        <f t="shared" si="2"/>
        <v>0</v>
      </c>
      <c r="M35" s="31">
        <v>0</v>
      </c>
      <c r="N35" s="32">
        <v>0</v>
      </c>
      <c r="O35" s="33">
        <v>0</v>
      </c>
      <c r="P35" s="2" t="s">
        <v>2212</v>
      </c>
    </row>
    <row r="36" spans="2:16" ht="13.8" x14ac:dyDescent="0.2">
      <c r="B36" s="14">
        <v>31</v>
      </c>
      <c r="C36" s="17" t="s">
        <v>365</v>
      </c>
      <c r="D36" s="15">
        <f t="shared" si="0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1"/>
        <v>0</v>
      </c>
      <c r="L36" s="4">
        <f t="shared" si="2"/>
        <v>0</v>
      </c>
      <c r="M36" s="31">
        <v>0</v>
      </c>
      <c r="N36" s="32">
        <v>0</v>
      </c>
      <c r="O36" s="33">
        <v>0</v>
      </c>
      <c r="P36" s="2" t="s">
        <v>963</v>
      </c>
    </row>
    <row r="37" spans="2:16" ht="13.8" x14ac:dyDescent="0.2">
      <c r="B37" s="14">
        <v>32</v>
      </c>
      <c r="C37" s="17" t="s">
        <v>724</v>
      </c>
      <c r="D37" s="15">
        <f t="shared" si="0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1"/>
        <v>0</v>
      </c>
      <c r="L37" s="4">
        <f t="shared" si="2"/>
        <v>0</v>
      </c>
      <c r="M37" s="31">
        <v>0</v>
      </c>
      <c r="N37" s="32">
        <v>0</v>
      </c>
      <c r="O37" s="33">
        <v>0</v>
      </c>
      <c r="P37" s="2" t="s">
        <v>724</v>
      </c>
    </row>
    <row r="38" spans="2:16" ht="13.8" x14ac:dyDescent="0.2">
      <c r="B38" s="14">
        <v>33</v>
      </c>
      <c r="C38" s="17" t="s">
        <v>366</v>
      </c>
      <c r="D38" s="15">
        <f t="shared" si="0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1"/>
        <v>0</v>
      </c>
      <c r="L38" s="4">
        <f t="shared" si="2"/>
        <v>0</v>
      </c>
      <c r="M38" s="31">
        <v>0</v>
      </c>
      <c r="N38" s="32">
        <v>0</v>
      </c>
      <c r="O38" s="33">
        <v>0</v>
      </c>
      <c r="P38" s="2" t="s">
        <v>348</v>
      </c>
    </row>
    <row r="39" spans="2:16" ht="13.8" x14ac:dyDescent="0.2">
      <c r="B39" s="14">
        <v>34</v>
      </c>
      <c r="C39" s="17" t="s">
        <v>367</v>
      </c>
      <c r="D39" s="15">
        <f t="shared" si="0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1"/>
        <v>0</v>
      </c>
      <c r="L39" s="4">
        <f t="shared" si="2"/>
        <v>0</v>
      </c>
      <c r="M39" s="31">
        <v>0</v>
      </c>
      <c r="N39" s="32">
        <v>0</v>
      </c>
      <c r="O39" s="33">
        <v>0</v>
      </c>
      <c r="P39" s="2" t="s">
        <v>964</v>
      </c>
    </row>
    <row r="40" spans="2:16" ht="13.8" x14ac:dyDescent="0.2">
      <c r="B40" s="14">
        <v>35</v>
      </c>
      <c r="C40" s="17" t="s">
        <v>113</v>
      </c>
      <c r="D40" s="15">
        <f t="shared" si="0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1"/>
        <v>0</v>
      </c>
      <c r="L40" s="4">
        <f t="shared" si="2"/>
        <v>0</v>
      </c>
      <c r="M40" s="31">
        <v>0</v>
      </c>
      <c r="N40" s="32">
        <v>0</v>
      </c>
      <c r="O40" s="33">
        <v>0</v>
      </c>
      <c r="P40" s="2" t="s">
        <v>965</v>
      </c>
    </row>
    <row r="41" spans="2:16" ht="13.8" x14ac:dyDescent="0.2">
      <c r="B41" s="14">
        <v>36</v>
      </c>
      <c r="C41" s="17" t="s">
        <v>2219</v>
      </c>
      <c r="D41" s="15">
        <f t="shared" si="0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1"/>
        <v>0</v>
      </c>
      <c r="L41" s="4">
        <f t="shared" si="2"/>
        <v>0</v>
      </c>
      <c r="M41" s="31">
        <v>0</v>
      </c>
      <c r="N41" s="32">
        <v>0</v>
      </c>
      <c r="O41" s="33">
        <v>0</v>
      </c>
      <c r="P41" s="2" t="s">
        <v>2211</v>
      </c>
    </row>
    <row r="42" spans="2:16" ht="13.8" x14ac:dyDescent="0.2">
      <c r="B42" s="14">
        <v>37</v>
      </c>
      <c r="C42" s="17"/>
      <c r="D42" s="15">
        <f t="shared" si="0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1"/>
        <v>0</v>
      </c>
      <c r="L42" s="4">
        <f t="shared" si="2"/>
        <v>0</v>
      </c>
      <c r="M42" s="31">
        <v>0</v>
      </c>
      <c r="N42" s="32">
        <v>0</v>
      </c>
      <c r="O42" s="33">
        <v>0</v>
      </c>
      <c r="P42" s="2" t="s">
        <v>736</v>
      </c>
    </row>
    <row r="43" spans="2:16" ht="13.8" x14ac:dyDescent="0.2">
      <c r="B43" s="14">
        <v>38</v>
      </c>
      <c r="C43" s="17" t="s">
        <v>368</v>
      </c>
      <c r="D43" s="15">
        <f t="shared" si="0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1"/>
        <v>0</v>
      </c>
      <c r="L43" s="4">
        <f t="shared" si="2"/>
        <v>0</v>
      </c>
      <c r="M43" s="31">
        <v>0</v>
      </c>
      <c r="N43" s="32">
        <v>0</v>
      </c>
      <c r="O43" s="33">
        <v>0</v>
      </c>
      <c r="P43" s="2" t="s">
        <v>966</v>
      </c>
    </row>
    <row r="44" spans="2:16" ht="13.8" x14ac:dyDescent="0.2">
      <c r="B44" s="14">
        <v>39</v>
      </c>
      <c r="C44" s="17"/>
      <c r="D44" s="15">
        <f t="shared" si="0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1"/>
        <v>0</v>
      </c>
      <c r="L44" s="4">
        <f t="shared" si="2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17" t="s">
        <v>725</v>
      </c>
      <c r="D45" s="15">
        <f t="shared" si="0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1"/>
        <v>0</v>
      </c>
      <c r="L45" s="4">
        <f t="shared" si="2"/>
        <v>0</v>
      </c>
      <c r="M45" s="31">
        <v>0</v>
      </c>
      <c r="N45" s="32">
        <v>0</v>
      </c>
      <c r="O45" s="33">
        <v>0</v>
      </c>
      <c r="P45" s="2" t="s">
        <v>967</v>
      </c>
    </row>
    <row r="46" spans="2:16" ht="13.8" x14ac:dyDescent="0.2">
      <c r="B46" s="14">
        <v>41</v>
      </c>
      <c r="C46" s="17" t="s">
        <v>359</v>
      </c>
      <c r="D46" s="15">
        <f t="shared" si="0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1"/>
        <v>0</v>
      </c>
      <c r="L46" s="4">
        <f t="shared" si="2"/>
        <v>0</v>
      </c>
      <c r="M46" s="31">
        <v>0</v>
      </c>
      <c r="N46" s="32">
        <v>0</v>
      </c>
      <c r="O46" s="33">
        <v>0</v>
      </c>
      <c r="P46" s="2" t="s">
        <v>968</v>
      </c>
    </row>
    <row r="47" spans="2:16" ht="13.8" x14ac:dyDescent="0.2">
      <c r="B47" s="14">
        <v>42</v>
      </c>
      <c r="C47" s="9" t="s">
        <v>2220</v>
      </c>
      <c r="D47" s="15">
        <f t="shared" si="0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1"/>
        <v>0</v>
      </c>
      <c r="L47" s="4">
        <f t="shared" si="2"/>
        <v>0</v>
      </c>
      <c r="M47" s="31">
        <v>0</v>
      </c>
      <c r="N47" s="32">
        <v>0</v>
      </c>
      <c r="O47" s="33">
        <v>0</v>
      </c>
      <c r="P47" s="2" t="s">
        <v>2171</v>
      </c>
    </row>
    <row r="48" spans="2:16" ht="13.8" x14ac:dyDescent="0.2">
      <c r="B48" s="14">
        <v>43</v>
      </c>
      <c r="C48" s="17" t="s">
        <v>369</v>
      </c>
      <c r="D48" s="15">
        <f t="shared" si="0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1"/>
        <v>0</v>
      </c>
      <c r="L48" s="4">
        <f t="shared" si="2"/>
        <v>0</v>
      </c>
      <c r="M48" s="31">
        <v>0</v>
      </c>
      <c r="N48" s="32">
        <v>0</v>
      </c>
      <c r="O48" s="33">
        <v>0</v>
      </c>
      <c r="P48" s="2" t="s">
        <v>969</v>
      </c>
    </row>
    <row r="49" spans="2:16" ht="13.8" x14ac:dyDescent="0.2">
      <c r="B49" s="14">
        <v>44</v>
      </c>
      <c r="C49" s="17" t="s">
        <v>2221</v>
      </c>
      <c r="D49" s="15">
        <f t="shared" si="0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1"/>
        <v>0</v>
      </c>
      <c r="L49" s="4">
        <f t="shared" si="2"/>
        <v>0</v>
      </c>
      <c r="M49" s="31">
        <v>0</v>
      </c>
      <c r="N49" s="32">
        <v>0</v>
      </c>
      <c r="O49" s="33">
        <v>0</v>
      </c>
      <c r="P49" s="2" t="s">
        <v>2210</v>
      </c>
    </row>
    <row r="50" spans="2:16" ht="13.8" x14ac:dyDescent="0.2">
      <c r="B50" s="14">
        <v>45</v>
      </c>
      <c r="C50" s="17" t="s">
        <v>2222</v>
      </c>
      <c r="D50" s="15">
        <f t="shared" si="0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1"/>
        <v>0</v>
      </c>
      <c r="L50" s="4">
        <f t="shared" si="2"/>
        <v>0</v>
      </c>
      <c r="M50" s="31">
        <v>0</v>
      </c>
      <c r="N50" s="32">
        <v>0</v>
      </c>
      <c r="O50" s="33">
        <v>0</v>
      </c>
      <c r="P50" s="2" t="s">
        <v>2209</v>
      </c>
    </row>
    <row r="51" spans="2:16" ht="13.8" x14ac:dyDescent="0.2">
      <c r="B51" s="14">
        <v>46</v>
      </c>
      <c r="C51" s="17" t="s">
        <v>2224</v>
      </c>
      <c r="D51" s="15">
        <f t="shared" si="0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1"/>
        <v>0</v>
      </c>
      <c r="L51" s="4">
        <f t="shared" si="2"/>
        <v>0</v>
      </c>
      <c r="M51" s="31">
        <v>0</v>
      </c>
      <c r="N51" s="32">
        <v>0</v>
      </c>
      <c r="O51" s="33">
        <v>0</v>
      </c>
      <c r="P51" s="2" t="s">
        <v>2208</v>
      </c>
    </row>
    <row r="52" spans="2:16" ht="13.8" x14ac:dyDescent="0.2">
      <c r="B52" s="14">
        <v>47</v>
      </c>
      <c r="C52" s="17" t="s">
        <v>726</v>
      </c>
      <c r="D52" s="15">
        <f t="shared" si="0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1"/>
        <v>0</v>
      </c>
      <c r="L52" s="4">
        <f t="shared" si="2"/>
        <v>0</v>
      </c>
      <c r="M52" s="31">
        <v>0</v>
      </c>
      <c r="N52" s="32">
        <v>0</v>
      </c>
      <c r="O52" s="33">
        <v>0</v>
      </c>
      <c r="P52" s="2" t="s">
        <v>970</v>
      </c>
    </row>
    <row r="53" spans="2:16" ht="13.8" x14ac:dyDescent="0.2">
      <c r="B53" s="14">
        <v>48</v>
      </c>
      <c r="C53" s="17" t="s">
        <v>370</v>
      </c>
      <c r="D53" s="15">
        <f t="shared" si="0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1"/>
        <v>0</v>
      </c>
      <c r="L53" s="4">
        <f t="shared" si="2"/>
        <v>0</v>
      </c>
      <c r="M53" s="31">
        <v>0</v>
      </c>
      <c r="N53" s="32">
        <v>0</v>
      </c>
      <c r="O53" s="33">
        <v>0</v>
      </c>
      <c r="P53" s="2" t="s">
        <v>971</v>
      </c>
    </row>
    <row r="54" spans="2:16" ht="13.8" x14ac:dyDescent="0.2">
      <c r="B54" s="14">
        <v>49</v>
      </c>
      <c r="C54" s="17" t="s">
        <v>2225</v>
      </c>
      <c r="D54" s="15">
        <f t="shared" si="0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1"/>
        <v>0</v>
      </c>
      <c r="L54" s="4">
        <f t="shared" si="2"/>
        <v>0</v>
      </c>
      <c r="M54" s="31">
        <v>0</v>
      </c>
      <c r="N54" s="32">
        <v>0</v>
      </c>
      <c r="O54" s="33">
        <v>0</v>
      </c>
      <c r="P54" s="2" t="s">
        <v>2207</v>
      </c>
    </row>
    <row r="55" spans="2:16" ht="13.8" x14ac:dyDescent="0.2">
      <c r="B55" s="14">
        <v>50</v>
      </c>
      <c r="C55" s="17" t="s">
        <v>727</v>
      </c>
      <c r="D55" s="15">
        <f t="shared" si="0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1"/>
        <v>0</v>
      </c>
      <c r="L55" s="4">
        <f t="shared" si="2"/>
        <v>0</v>
      </c>
      <c r="M55" s="31">
        <v>0</v>
      </c>
      <c r="N55" s="32">
        <v>0</v>
      </c>
      <c r="O55" s="33">
        <v>0</v>
      </c>
      <c r="P55" s="2" t="s">
        <v>972</v>
      </c>
    </row>
    <row r="56" spans="2:16" ht="13.8" x14ac:dyDescent="0.2">
      <c r="B56" s="14">
        <v>51</v>
      </c>
      <c r="C56" s="17" t="s">
        <v>371</v>
      </c>
      <c r="D56" s="15">
        <f t="shared" si="0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1"/>
        <v>0</v>
      </c>
      <c r="L56" s="4">
        <f t="shared" si="2"/>
        <v>0</v>
      </c>
      <c r="M56" s="31">
        <v>0</v>
      </c>
      <c r="N56" s="32">
        <v>0</v>
      </c>
      <c r="O56" s="33">
        <v>0</v>
      </c>
      <c r="P56" s="2" t="s">
        <v>973</v>
      </c>
    </row>
    <row r="57" spans="2:16" ht="13.8" x14ac:dyDescent="0.2">
      <c r="B57" s="14">
        <v>52</v>
      </c>
      <c r="C57" s="17" t="s">
        <v>372</v>
      </c>
      <c r="D57" s="15">
        <f t="shared" si="0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1"/>
        <v>0</v>
      </c>
      <c r="L57" s="4">
        <f t="shared" si="2"/>
        <v>0</v>
      </c>
      <c r="M57" s="31">
        <v>0</v>
      </c>
      <c r="N57" s="32">
        <v>0</v>
      </c>
      <c r="O57" s="33">
        <v>0</v>
      </c>
      <c r="P57" s="2" t="s">
        <v>349</v>
      </c>
    </row>
    <row r="58" spans="2:16" ht="13.8" x14ac:dyDescent="0.2">
      <c r="B58" s="14">
        <v>53</v>
      </c>
      <c r="C58" s="17" t="s">
        <v>728</v>
      </c>
      <c r="D58" s="15">
        <f t="shared" si="0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1"/>
        <v>0</v>
      </c>
      <c r="L58" s="4">
        <f t="shared" si="2"/>
        <v>0</v>
      </c>
      <c r="M58" s="31">
        <v>0</v>
      </c>
      <c r="N58" s="32">
        <v>0</v>
      </c>
      <c r="O58" s="33">
        <v>0</v>
      </c>
      <c r="P58" s="2" t="s">
        <v>974</v>
      </c>
    </row>
    <row r="59" spans="2:16" ht="13.8" x14ac:dyDescent="0.2">
      <c r="B59" s="14">
        <v>54</v>
      </c>
      <c r="C59" s="17" t="s">
        <v>687</v>
      </c>
      <c r="D59" s="15">
        <f t="shared" si="0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1"/>
        <v>0</v>
      </c>
      <c r="L59" s="4">
        <f t="shared" si="2"/>
        <v>0</v>
      </c>
      <c r="M59" s="31">
        <v>0</v>
      </c>
      <c r="N59" s="32">
        <v>0</v>
      </c>
      <c r="O59" s="33">
        <v>0</v>
      </c>
      <c r="P59" s="2" t="s">
        <v>975</v>
      </c>
    </row>
    <row r="60" spans="2:16" ht="13.8" x14ac:dyDescent="0.2">
      <c r="B60" s="14">
        <v>55</v>
      </c>
      <c r="C60" s="17" t="s">
        <v>2226</v>
      </c>
      <c r="D60" s="15">
        <f t="shared" si="0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1"/>
        <v>0</v>
      </c>
      <c r="L60" s="4">
        <f t="shared" si="2"/>
        <v>0</v>
      </c>
      <c r="M60" s="31">
        <v>0</v>
      </c>
      <c r="N60" s="32">
        <v>0</v>
      </c>
      <c r="O60" s="33">
        <v>0</v>
      </c>
      <c r="P60" s="2" t="s">
        <v>2206</v>
      </c>
    </row>
    <row r="61" spans="2:16" ht="13.8" x14ac:dyDescent="0.2">
      <c r="B61" s="14">
        <v>56</v>
      </c>
      <c r="C61" s="17" t="s">
        <v>238</v>
      </c>
      <c r="D61" s="15">
        <f t="shared" si="0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1"/>
        <v>0</v>
      </c>
      <c r="L61" s="4">
        <f t="shared" si="2"/>
        <v>0</v>
      </c>
      <c r="M61" s="31">
        <v>0</v>
      </c>
      <c r="N61" s="32">
        <v>0</v>
      </c>
      <c r="O61" s="33">
        <v>0</v>
      </c>
      <c r="P61" s="2" t="s">
        <v>976</v>
      </c>
    </row>
    <row r="62" spans="2:16" ht="13.8" x14ac:dyDescent="0.2">
      <c r="B62" s="14">
        <v>57</v>
      </c>
      <c r="C62" s="17" t="s">
        <v>373</v>
      </c>
      <c r="D62" s="15">
        <f t="shared" si="0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1"/>
        <v>0</v>
      </c>
      <c r="L62" s="4">
        <f t="shared" si="2"/>
        <v>0</v>
      </c>
      <c r="M62" s="31">
        <v>0</v>
      </c>
      <c r="N62" s="32">
        <v>0</v>
      </c>
      <c r="O62" s="33">
        <v>0</v>
      </c>
      <c r="P62" s="2" t="s">
        <v>977</v>
      </c>
    </row>
    <row r="63" spans="2:16" ht="13.8" x14ac:dyDescent="0.2">
      <c r="B63" s="14">
        <v>58</v>
      </c>
      <c r="C63" s="17" t="s">
        <v>374</v>
      </c>
      <c r="D63" s="15">
        <f t="shared" si="0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1"/>
        <v>0</v>
      </c>
      <c r="L63" s="4">
        <f t="shared" si="2"/>
        <v>0</v>
      </c>
      <c r="M63" s="31">
        <v>0</v>
      </c>
      <c r="N63" s="32">
        <v>0</v>
      </c>
      <c r="O63" s="33">
        <v>0</v>
      </c>
      <c r="P63" s="2" t="s">
        <v>978</v>
      </c>
    </row>
    <row r="64" spans="2:16" ht="13.8" x14ac:dyDescent="0.2">
      <c r="B64" s="14">
        <v>59</v>
      </c>
      <c r="C64" s="17" t="s">
        <v>2227</v>
      </c>
      <c r="D64" s="15">
        <f t="shared" si="0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1"/>
        <v>0</v>
      </c>
      <c r="L64" s="4">
        <f t="shared" si="2"/>
        <v>0</v>
      </c>
      <c r="M64" s="31">
        <v>0</v>
      </c>
      <c r="N64" s="32">
        <v>0</v>
      </c>
      <c r="O64" s="33">
        <v>0</v>
      </c>
      <c r="P64" s="2" t="s">
        <v>2205</v>
      </c>
    </row>
    <row r="65" spans="2:16" ht="13.8" x14ac:dyDescent="0.2">
      <c r="B65" s="14">
        <v>60</v>
      </c>
      <c r="C65" s="17" t="s">
        <v>155</v>
      </c>
      <c r="D65" s="15">
        <f t="shared" si="0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1"/>
        <v>0</v>
      </c>
      <c r="L65" s="4">
        <f t="shared" si="2"/>
        <v>0</v>
      </c>
      <c r="M65" s="31">
        <v>0</v>
      </c>
      <c r="N65" s="32">
        <v>0</v>
      </c>
      <c r="O65" s="33">
        <v>0</v>
      </c>
      <c r="P65" s="2" t="s">
        <v>979</v>
      </c>
    </row>
    <row r="66" spans="2:16" ht="13.8" x14ac:dyDescent="0.2">
      <c r="B66" s="14">
        <v>61</v>
      </c>
      <c r="C66" s="17" t="s">
        <v>816</v>
      </c>
      <c r="D66" s="15">
        <f t="shared" si="0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1"/>
        <v>0</v>
      </c>
      <c r="L66" s="4">
        <f t="shared" si="2"/>
        <v>0</v>
      </c>
      <c r="M66" s="31">
        <v>0</v>
      </c>
      <c r="N66" s="32">
        <v>0</v>
      </c>
      <c r="O66" s="33">
        <v>0</v>
      </c>
      <c r="P66" s="2" t="s">
        <v>2204</v>
      </c>
    </row>
    <row r="67" spans="2:16" ht="13.8" x14ac:dyDescent="0.2">
      <c r="B67" s="14">
        <v>62</v>
      </c>
      <c r="C67" s="17" t="s">
        <v>375</v>
      </c>
      <c r="D67" s="15">
        <f t="shared" si="0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1"/>
        <v>0</v>
      </c>
      <c r="L67" s="4">
        <f t="shared" si="2"/>
        <v>0</v>
      </c>
      <c r="M67" s="31">
        <v>0</v>
      </c>
      <c r="N67" s="32">
        <v>0</v>
      </c>
      <c r="O67" s="33">
        <v>0</v>
      </c>
      <c r="P67" s="2" t="s">
        <v>980</v>
      </c>
    </row>
    <row r="68" spans="2:16" ht="13.8" x14ac:dyDescent="0.2">
      <c r="B68" s="14">
        <v>63</v>
      </c>
      <c r="C68" s="9" t="s">
        <v>595</v>
      </c>
      <c r="D68" s="15">
        <f t="shared" si="0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1"/>
        <v>0</v>
      </c>
      <c r="L68" s="4">
        <f t="shared" si="2"/>
        <v>0</v>
      </c>
      <c r="M68" s="31">
        <v>0</v>
      </c>
      <c r="N68" s="32">
        <v>0</v>
      </c>
      <c r="O68" s="33">
        <v>0</v>
      </c>
      <c r="P68" s="2" t="s">
        <v>981</v>
      </c>
    </row>
    <row r="69" spans="2:16" ht="13.8" x14ac:dyDescent="0.2">
      <c r="B69" s="14">
        <v>64</v>
      </c>
      <c r="C69" s="17" t="s">
        <v>729</v>
      </c>
      <c r="D69" s="15">
        <f t="shared" ref="D69:D132" si="3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4">IFERROR(IF((F69+M69+N69)/(E69+M69+N69+O69)=1,"1.00",(F69+M69+N69)/(E69+M69+N69+O69)),0)</f>
        <v>0</v>
      </c>
      <c r="L69" s="4">
        <f t="shared" ref="L69:L132" si="5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982</v>
      </c>
    </row>
    <row r="70" spans="2:16" ht="13.8" x14ac:dyDescent="0.2">
      <c r="B70" s="14">
        <v>65</v>
      </c>
      <c r="C70" s="9" t="s">
        <v>260</v>
      </c>
      <c r="D70" s="15">
        <f t="shared" si="3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4"/>
        <v>0</v>
      </c>
      <c r="L70" s="4">
        <f t="shared" si="5"/>
        <v>0</v>
      </c>
      <c r="M70" s="31">
        <v>0</v>
      </c>
      <c r="N70" s="32">
        <v>0</v>
      </c>
      <c r="O70" s="33">
        <v>0</v>
      </c>
      <c r="P70" s="2" t="s">
        <v>983</v>
      </c>
    </row>
    <row r="71" spans="2:16" ht="13.8" x14ac:dyDescent="0.2">
      <c r="B71" s="14">
        <v>66</v>
      </c>
      <c r="C71" s="17" t="s">
        <v>376</v>
      </c>
      <c r="D71" s="15">
        <f t="shared" si="3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4"/>
        <v>0</v>
      </c>
      <c r="L71" s="4">
        <f t="shared" si="5"/>
        <v>0</v>
      </c>
      <c r="M71" s="31">
        <v>0</v>
      </c>
      <c r="N71" s="32">
        <v>0</v>
      </c>
      <c r="O71" s="33">
        <v>0</v>
      </c>
      <c r="P71" s="2" t="s">
        <v>984</v>
      </c>
    </row>
    <row r="72" spans="2:16" ht="13.8" x14ac:dyDescent="0.2">
      <c r="B72" s="14">
        <v>67</v>
      </c>
      <c r="C72" s="17" t="s">
        <v>2228</v>
      </c>
      <c r="D72" s="15">
        <f t="shared" si="3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4"/>
        <v>0</v>
      </c>
      <c r="L72" s="4">
        <f t="shared" si="5"/>
        <v>0</v>
      </c>
      <c r="M72" s="31">
        <v>0</v>
      </c>
      <c r="N72" s="32">
        <v>0</v>
      </c>
      <c r="O72" s="33">
        <v>0</v>
      </c>
      <c r="P72" s="2" t="s">
        <v>2203</v>
      </c>
    </row>
    <row r="73" spans="2:16" ht="13.8" x14ac:dyDescent="0.2">
      <c r="B73" s="14">
        <v>68</v>
      </c>
      <c r="C73" s="17" t="s">
        <v>730</v>
      </c>
      <c r="D73" s="15">
        <f t="shared" si="3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4"/>
        <v>0</v>
      </c>
      <c r="L73" s="4">
        <f t="shared" si="5"/>
        <v>0</v>
      </c>
      <c r="M73" s="31">
        <v>0</v>
      </c>
      <c r="N73" s="32">
        <v>0</v>
      </c>
      <c r="O73" s="33">
        <v>0</v>
      </c>
      <c r="P73" s="2" t="s">
        <v>985</v>
      </c>
    </row>
    <row r="74" spans="2:16" ht="13.8" x14ac:dyDescent="0.2">
      <c r="B74" s="14">
        <v>69</v>
      </c>
      <c r="C74" s="17" t="s">
        <v>731</v>
      </c>
      <c r="D74" s="15">
        <f t="shared" si="3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4"/>
        <v>0</v>
      </c>
      <c r="L74" s="4">
        <f t="shared" si="5"/>
        <v>0</v>
      </c>
      <c r="M74" s="31">
        <v>0</v>
      </c>
      <c r="N74" s="32">
        <v>0</v>
      </c>
      <c r="O74" s="33">
        <v>0</v>
      </c>
      <c r="P74" s="2" t="s">
        <v>986</v>
      </c>
    </row>
    <row r="75" spans="2:16" ht="13.8" x14ac:dyDescent="0.2">
      <c r="B75" s="14">
        <v>70</v>
      </c>
      <c r="C75" s="9" t="s">
        <v>377</v>
      </c>
      <c r="D75" s="15">
        <f t="shared" si="3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4"/>
        <v>0</v>
      </c>
      <c r="L75" s="4">
        <f t="shared" si="5"/>
        <v>0</v>
      </c>
      <c r="M75" s="31">
        <v>0</v>
      </c>
      <c r="N75" s="32">
        <v>0</v>
      </c>
      <c r="O75" s="33">
        <v>0</v>
      </c>
      <c r="P75" s="2" t="s">
        <v>987</v>
      </c>
    </row>
    <row r="76" spans="2:16" ht="13.8" x14ac:dyDescent="0.2">
      <c r="B76" s="14">
        <v>71</v>
      </c>
      <c r="C76" s="17" t="s">
        <v>2229</v>
      </c>
      <c r="D76" s="15">
        <f t="shared" si="3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4"/>
        <v>0</v>
      </c>
      <c r="L76" s="4">
        <f t="shared" si="5"/>
        <v>0</v>
      </c>
      <c r="M76" s="31">
        <v>0</v>
      </c>
      <c r="N76" s="32">
        <v>0</v>
      </c>
      <c r="O76" s="33">
        <v>0</v>
      </c>
      <c r="P76" s="2" t="s">
        <v>2202</v>
      </c>
    </row>
    <row r="77" spans="2:16" ht="13.8" x14ac:dyDescent="0.2">
      <c r="B77" s="14">
        <v>72</v>
      </c>
      <c r="C77" s="8"/>
      <c r="D77" s="15">
        <f t="shared" si="3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4"/>
        <v>0</v>
      </c>
      <c r="L77" s="4">
        <f t="shared" si="5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3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4"/>
        <v>0</v>
      </c>
      <c r="L78" s="4">
        <f t="shared" si="5"/>
        <v>0</v>
      </c>
      <c r="M78" s="31">
        <v>0</v>
      </c>
      <c r="N78" s="32">
        <v>0</v>
      </c>
      <c r="O78" s="33">
        <v>0</v>
      </c>
      <c r="P78" s="2" t="s">
        <v>736</v>
      </c>
    </row>
    <row r="79" spans="2:16" ht="13.8" x14ac:dyDescent="0.2">
      <c r="B79" s="14">
        <v>74</v>
      </c>
      <c r="C79" s="8"/>
      <c r="D79" s="15">
        <f t="shared" si="3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4"/>
        <v>0</v>
      </c>
      <c r="L79" s="4">
        <f t="shared" si="5"/>
        <v>0</v>
      </c>
      <c r="M79" s="31">
        <v>0</v>
      </c>
      <c r="N79" s="32">
        <v>0</v>
      </c>
      <c r="O79" s="33">
        <v>0</v>
      </c>
      <c r="P79" s="2" t="s">
        <v>736</v>
      </c>
    </row>
    <row r="80" spans="2:16" ht="13.8" x14ac:dyDescent="0.2">
      <c r="B80" s="14">
        <v>75</v>
      </c>
      <c r="C80" s="8"/>
      <c r="D80" s="15">
        <f t="shared" si="3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4"/>
        <v>0</v>
      </c>
      <c r="L80" s="4">
        <f t="shared" si="5"/>
        <v>0</v>
      </c>
      <c r="M80" s="31">
        <v>0</v>
      </c>
      <c r="N80" s="32">
        <v>0</v>
      </c>
      <c r="O80" s="33">
        <v>0</v>
      </c>
      <c r="P80" s="2" t="s">
        <v>736</v>
      </c>
    </row>
    <row r="81" spans="2:16" ht="13.8" x14ac:dyDescent="0.2">
      <c r="B81" s="14">
        <v>76</v>
      </c>
      <c r="C81" s="8"/>
      <c r="D81" s="15">
        <f t="shared" si="3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4"/>
        <v>0</v>
      </c>
      <c r="L81" s="4">
        <f t="shared" si="5"/>
        <v>0</v>
      </c>
      <c r="M81" s="31">
        <v>0</v>
      </c>
      <c r="N81" s="32">
        <v>0</v>
      </c>
      <c r="O81" s="33">
        <v>0</v>
      </c>
      <c r="P81" s="2" t="s">
        <v>736</v>
      </c>
    </row>
    <row r="82" spans="2:16" ht="13.8" x14ac:dyDescent="0.2">
      <c r="B82" s="14">
        <v>77</v>
      </c>
      <c r="C82" s="8"/>
      <c r="D82" s="15">
        <f t="shared" si="3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4"/>
        <v>0</v>
      </c>
      <c r="L82" s="4">
        <f t="shared" si="5"/>
        <v>0</v>
      </c>
      <c r="M82" s="31">
        <v>0</v>
      </c>
      <c r="N82" s="32">
        <v>0</v>
      </c>
      <c r="O82" s="33">
        <v>0</v>
      </c>
      <c r="P82" s="2" t="s">
        <v>736</v>
      </c>
    </row>
    <row r="83" spans="2:16" ht="13.8" x14ac:dyDescent="0.2">
      <c r="B83" s="14">
        <v>78</v>
      </c>
      <c r="C83" s="17" t="s">
        <v>817</v>
      </c>
      <c r="D83" s="15">
        <f t="shared" si="3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4"/>
        <v>0</v>
      </c>
      <c r="L83" s="4">
        <f t="shared" si="5"/>
        <v>0</v>
      </c>
      <c r="M83" s="31">
        <v>0</v>
      </c>
      <c r="N83" s="32">
        <v>0</v>
      </c>
      <c r="O83" s="33">
        <v>0</v>
      </c>
      <c r="P83" s="2" t="s">
        <v>988</v>
      </c>
    </row>
    <row r="84" spans="2:16" ht="13.8" x14ac:dyDescent="0.2">
      <c r="B84" s="14">
        <v>79</v>
      </c>
      <c r="C84" s="9" t="s">
        <v>2230</v>
      </c>
      <c r="D84" s="15">
        <f t="shared" si="3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4"/>
        <v>0</v>
      </c>
      <c r="L84" s="4">
        <f t="shared" si="5"/>
        <v>0</v>
      </c>
      <c r="M84" s="31">
        <v>0</v>
      </c>
      <c r="N84" s="32">
        <v>0</v>
      </c>
      <c r="O84" s="33">
        <v>0</v>
      </c>
      <c r="P84" s="2" t="s">
        <v>2201</v>
      </c>
    </row>
    <row r="85" spans="2:16" ht="13.8" x14ac:dyDescent="0.2">
      <c r="B85" s="14">
        <v>80</v>
      </c>
      <c r="C85" s="8"/>
      <c r="D85" s="15">
        <f t="shared" si="3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4"/>
        <v>0</v>
      </c>
      <c r="L85" s="4">
        <f t="shared" si="5"/>
        <v>0</v>
      </c>
      <c r="M85" s="31">
        <v>0</v>
      </c>
      <c r="N85" s="32">
        <v>0</v>
      </c>
      <c r="O85" s="33">
        <v>0</v>
      </c>
      <c r="P85" s="2" t="s">
        <v>736</v>
      </c>
    </row>
    <row r="86" spans="2:16" ht="13.8" x14ac:dyDescent="0.2">
      <c r="B86" s="14">
        <v>81</v>
      </c>
      <c r="C86" s="8"/>
      <c r="D86" s="15">
        <f t="shared" si="3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4"/>
        <v>0</v>
      </c>
      <c r="L86" s="4">
        <f t="shared" si="5"/>
        <v>0</v>
      </c>
      <c r="M86" s="31">
        <v>0</v>
      </c>
      <c r="N86" s="32">
        <v>0</v>
      </c>
      <c r="O86" s="33">
        <v>0</v>
      </c>
      <c r="P86" s="2" t="s">
        <v>736</v>
      </c>
    </row>
    <row r="87" spans="2:16" ht="13.8" x14ac:dyDescent="0.2">
      <c r="B87" s="14">
        <v>82</v>
      </c>
      <c r="C87" s="8"/>
      <c r="D87" s="15">
        <f t="shared" si="3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4"/>
        <v>0</v>
      </c>
      <c r="L87" s="4">
        <f t="shared" si="5"/>
        <v>0</v>
      </c>
      <c r="M87" s="31">
        <v>0</v>
      </c>
      <c r="N87" s="32">
        <v>0</v>
      </c>
      <c r="O87" s="33">
        <v>0</v>
      </c>
      <c r="P87" s="2" t="s">
        <v>736</v>
      </c>
    </row>
    <row r="88" spans="2:16" ht="13.8" x14ac:dyDescent="0.2">
      <c r="B88" s="14">
        <v>83</v>
      </c>
      <c r="C88" s="8"/>
      <c r="D88" s="15">
        <f t="shared" si="3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4"/>
        <v>0</v>
      </c>
      <c r="L88" s="4">
        <f t="shared" si="5"/>
        <v>0</v>
      </c>
      <c r="M88" s="31">
        <v>0</v>
      </c>
      <c r="N88" s="32">
        <v>0</v>
      </c>
      <c r="O88" s="33">
        <v>0</v>
      </c>
      <c r="P88" s="2" t="s">
        <v>736</v>
      </c>
    </row>
    <row r="89" spans="2:16" ht="13.8" x14ac:dyDescent="0.2">
      <c r="B89" s="14">
        <v>84</v>
      </c>
      <c r="C89" s="8"/>
      <c r="D89" s="15">
        <f t="shared" si="3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4"/>
        <v>0</v>
      </c>
      <c r="L89" s="4">
        <f t="shared" si="5"/>
        <v>0</v>
      </c>
      <c r="M89" s="31">
        <v>0</v>
      </c>
      <c r="N89" s="32">
        <v>0</v>
      </c>
      <c r="O89" s="33">
        <v>0</v>
      </c>
      <c r="P89" s="2" t="s">
        <v>736</v>
      </c>
    </row>
    <row r="90" spans="2:16" ht="13.8" x14ac:dyDescent="0.2">
      <c r="B90" s="14">
        <v>85</v>
      </c>
      <c r="C90" s="8"/>
      <c r="D90" s="15">
        <f t="shared" si="3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4"/>
        <v>0</v>
      </c>
      <c r="L90" s="4">
        <f t="shared" si="5"/>
        <v>0</v>
      </c>
      <c r="M90" s="31">
        <v>0</v>
      </c>
      <c r="N90" s="32">
        <v>0</v>
      </c>
      <c r="O90" s="33">
        <v>0</v>
      </c>
      <c r="P90" s="2" t="s">
        <v>736</v>
      </c>
    </row>
    <row r="91" spans="2:16" ht="13.8" x14ac:dyDescent="0.2">
      <c r="B91" s="14">
        <v>86</v>
      </c>
      <c r="C91" s="8"/>
      <c r="D91" s="15">
        <f t="shared" si="3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4"/>
        <v>0</v>
      </c>
      <c r="L91" s="4">
        <f t="shared" si="5"/>
        <v>0</v>
      </c>
      <c r="M91" s="31">
        <v>0</v>
      </c>
      <c r="N91" s="32">
        <v>0</v>
      </c>
      <c r="O91" s="33">
        <v>0</v>
      </c>
      <c r="P91" s="2" t="s">
        <v>736</v>
      </c>
    </row>
    <row r="92" spans="2:16" ht="13.8" x14ac:dyDescent="0.2">
      <c r="B92" s="14">
        <v>87</v>
      </c>
      <c r="C92" s="8"/>
      <c r="D92" s="15">
        <f t="shared" si="3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4"/>
        <v>0</v>
      </c>
      <c r="L92" s="4">
        <f t="shared" si="5"/>
        <v>0</v>
      </c>
      <c r="M92" s="31">
        <v>0</v>
      </c>
      <c r="N92" s="32">
        <v>0</v>
      </c>
      <c r="O92" s="33">
        <v>0</v>
      </c>
      <c r="P92" s="2" t="s">
        <v>736</v>
      </c>
    </row>
    <row r="93" spans="2:16" ht="13.8" x14ac:dyDescent="0.2">
      <c r="B93" s="14">
        <v>88</v>
      </c>
      <c r="C93" s="17"/>
      <c r="D93" s="15">
        <f t="shared" si="3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4"/>
        <v>0</v>
      </c>
      <c r="L93" s="4">
        <f t="shared" si="5"/>
        <v>0</v>
      </c>
      <c r="M93" s="31">
        <v>0</v>
      </c>
      <c r="N93" s="32">
        <v>0</v>
      </c>
      <c r="O93" s="33">
        <v>0</v>
      </c>
      <c r="P93" s="2" t="s">
        <v>736</v>
      </c>
    </row>
    <row r="94" spans="2:16" ht="13.8" x14ac:dyDescent="0.2">
      <c r="B94" s="14">
        <v>89</v>
      </c>
      <c r="C94" s="8"/>
      <c r="D94" s="15">
        <f t="shared" si="3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4"/>
        <v>0</v>
      </c>
      <c r="L94" s="4">
        <f t="shared" si="5"/>
        <v>0</v>
      </c>
      <c r="M94" s="31">
        <v>0</v>
      </c>
      <c r="N94" s="32">
        <v>0</v>
      </c>
      <c r="O94" s="33">
        <v>0</v>
      </c>
      <c r="P94" s="2" t="s">
        <v>736</v>
      </c>
    </row>
    <row r="95" spans="2:16" ht="13.8" x14ac:dyDescent="0.2">
      <c r="B95" s="14">
        <v>90</v>
      </c>
      <c r="C95" s="8"/>
      <c r="D95" s="15">
        <f t="shared" si="3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4"/>
        <v>0</v>
      </c>
      <c r="L95" s="4">
        <f t="shared" si="5"/>
        <v>0</v>
      </c>
      <c r="M95" s="31">
        <v>0</v>
      </c>
      <c r="N95" s="32">
        <v>0</v>
      </c>
      <c r="O95" s="33">
        <v>0</v>
      </c>
      <c r="P95" s="2" t="s">
        <v>736</v>
      </c>
    </row>
    <row r="96" spans="2:16" ht="13.8" x14ac:dyDescent="0.2">
      <c r="B96" s="14">
        <v>91</v>
      </c>
      <c r="C96" s="9"/>
      <c r="D96" s="15">
        <f t="shared" si="3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4"/>
        <v>0</v>
      </c>
      <c r="L96" s="4">
        <f t="shared" si="5"/>
        <v>0</v>
      </c>
      <c r="M96" s="31">
        <v>0</v>
      </c>
      <c r="N96" s="32">
        <v>0</v>
      </c>
      <c r="O96" s="33">
        <v>0</v>
      </c>
      <c r="P96" s="2" t="s">
        <v>736</v>
      </c>
    </row>
    <row r="97" spans="2:16" ht="13.8" x14ac:dyDescent="0.2">
      <c r="B97" s="14">
        <v>92</v>
      </c>
      <c r="C97" s="8"/>
      <c r="D97" s="15">
        <f t="shared" si="3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4"/>
        <v>0</v>
      </c>
      <c r="L97" s="4">
        <f t="shared" si="5"/>
        <v>0</v>
      </c>
      <c r="M97" s="31">
        <v>0</v>
      </c>
      <c r="N97" s="32">
        <v>0</v>
      </c>
      <c r="O97" s="33">
        <v>0</v>
      </c>
      <c r="P97" s="2" t="s">
        <v>736</v>
      </c>
    </row>
    <row r="98" spans="2:16" ht="13.8" x14ac:dyDescent="0.2">
      <c r="B98" s="14">
        <v>93</v>
      </c>
      <c r="C98" s="8"/>
      <c r="D98" s="15">
        <f t="shared" si="3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4"/>
        <v>0</v>
      </c>
      <c r="L98" s="4">
        <f t="shared" si="5"/>
        <v>0</v>
      </c>
      <c r="M98" s="31">
        <v>0</v>
      </c>
      <c r="N98" s="32">
        <v>0</v>
      </c>
      <c r="O98" s="33">
        <v>0</v>
      </c>
      <c r="P98" s="2" t="s">
        <v>736</v>
      </c>
    </row>
    <row r="99" spans="2:16" ht="13.8" x14ac:dyDescent="0.2">
      <c r="B99" s="14">
        <v>94</v>
      </c>
      <c r="C99" s="8"/>
      <c r="D99" s="15">
        <f t="shared" si="3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4"/>
        <v>0</v>
      </c>
      <c r="L99" s="4">
        <f t="shared" si="5"/>
        <v>0</v>
      </c>
      <c r="M99" s="31">
        <v>0</v>
      </c>
      <c r="N99" s="32">
        <v>0</v>
      </c>
      <c r="O99" s="33">
        <v>0</v>
      </c>
      <c r="P99" s="2" t="s">
        <v>736</v>
      </c>
    </row>
    <row r="100" spans="2:16" ht="13.8" x14ac:dyDescent="0.2">
      <c r="B100" s="14">
        <v>95</v>
      </c>
      <c r="C100" s="8"/>
      <c r="D100" s="15">
        <f t="shared" si="3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4"/>
        <v>0</v>
      </c>
      <c r="L100" s="4">
        <f t="shared" si="5"/>
        <v>0</v>
      </c>
      <c r="M100" s="31">
        <v>0</v>
      </c>
      <c r="N100" s="32">
        <v>0</v>
      </c>
      <c r="O100" s="33">
        <v>0</v>
      </c>
      <c r="P100" s="2" t="s">
        <v>736</v>
      </c>
    </row>
    <row r="101" spans="2:16" ht="13.8" x14ac:dyDescent="0.2">
      <c r="B101" s="14">
        <v>96</v>
      </c>
      <c r="C101" s="8"/>
      <c r="D101" s="15">
        <f t="shared" si="3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4"/>
        <v>0</v>
      </c>
      <c r="L101" s="4">
        <f t="shared" si="5"/>
        <v>0</v>
      </c>
      <c r="M101" s="31">
        <v>0</v>
      </c>
      <c r="N101" s="32">
        <v>0</v>
      </c>
      <c r="O101" s="33">
        <v>0</v>
      </c>
      <c r="P101" s="2" t="s">
        <v>736</v>
      </c>
    </row>
    <row r="102" spans="2:16" ht="13.8" x14ac:dyDescent="0.2">
      <c r="B102" s="14">
        <v>97</v>
      </c>
      <c r="C102" s="8"/>
      <c r="D102" s="15">
        <f t="shared" si="3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4"/>
        <v>0</v>
      </c>
      <c r="L102" s="4">
        <f t="shared" si="5"/>
        <v>0</v>
      </c>
      <c r="M102" s="31">
        <v>0</v>
      </c>
      <c r="N102" s="32">
        <v>0</v>
      </c>
      <c r="O102" s="33">
        <v>0</v>
      </c>
      <c r="P102" s="2" t="s">
        <v>736</v>
      </c>
    </row>
    <row r="103" spans="2:16" ht="13.8" x14ac:dyDescent="0.2">
      <c r="B103" s="14">
        <v>98</v>
      </c>
      <c r="C103" s="8"/>
      <c r="D103" s="15">
        <f t="shared" si="3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4"/>
        <v>0</v>
      </c>
      <c r="L103" s="4">
        <f t="shared" si="5"/>
        <v>0</v>
      </c>
      <c r="M103" s="31">
        <v>0</v>
      </c>
      <c r="N103" s="32">
        <v>0</v>
      </c>
      <c r="O103" s="33">
        <v>0</v>
      </c>
      <c r="P103" s="2" t="s">
        <v>736</v>
      </c>
    </row>
    <row r="104" spans="2:16" ht="13.8" x14ac:dyDescent="0.2">
      <c r="B104" s="14">
        <v>99</v>
      </c>
      <c r="C104" s="17"/>
      <c r="D104" s="15">
        <f t="shared" si="3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4"/>
        <v>0</v>
      </c>
      <c r="L104" s="4">
        <f t="shared" si="5"/>
        <v>0</v>
      </c>
      <c r="M104" s="31">
        <v>0</v>
      </c>
      <c r="N104" s="32">
        <v>0</v>
      </c>
      <c r="O104" s="33">
        <v>0</v>
      </c>
      <c r="P104" s="2" t="s">
        <v>736</v>
      </c>
    </row>
    <row r="105" spans="2:16" ht="13.8" x14ac:dyDescent="0.2">
      <c r="B105" s="14" t="s">
        <v>708</v>
      </c>
      <c r="C105" s="18" t="s">
        <v>2187</v>
      </c>
      <c r="D105" s="15">
        <f t="shared" si="3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4"/>
        <v>0</v>
      </c>
      <c r="L105" s="4">
        <f t="shared" si="5"/>
        <v>0</v>
      </c>
      <c r="M105" s="31">
        <v>0</v>
      </c>
      <c r="N105" s="32">
        <v>0</v>
      </c>
      <c r="O105" s="33">
        <v>0</v>
      </c>
      <c r="P105" s="2" t="s">
        <v>2176</v>
      </c>
    </row>
    <row r="106" spans="2:16" ht="13.8" x14ac:dyDescent="0.2">
      <c r="B106" s="14" t="s">
        <v>713</v>
      </c>
      <c r="C106" s="9" t="s">
        <v>2188</v>
      </c>
      <c r="D106" s="15">
        <f t="shared" si="3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4"/>
        <v>0</v>
      </c>
      <c r="L106" s="4">
        <f t="shared" si="5"/>
        <v>0</v>
      </c>
      <c r="M106" s="31">
        <v>0</v>
      </c>
      <c r="N106" s="32">
        <v>0</v>
      </c>
      <c r="O106" s="33">
        <v>0</v>
      </c>
      <c r="P106" s="2" t="s">
        <v>2177</v>
      </c>
    </row>
    <row r="107" spans="2:16" ht="13.8" x14ac:dyDescent="0.2">
      <c r="B107" s="14" t="s">
        <v>715</v>
      </c>
      <c r="C107" s="9" t="s">
        <v>2189</v>
      </c>
      <c r="D107" s="15">
        <f t="shared" si="3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4"/>
        <v>0</v>
      </c>
      <c r="L107" s="4">
        <f t="shared" si="5"/>
        <v>0</v>
      </c>
      <c r="M107" s="31">
        <v>0</v>
      </c>
      <c r="N107" s="32">
        <v>0</v>
      </c>
      <c r="O107" s="33">
        <v>0</v>
      </c>
      <c r="P107" s="2" t="s">
        <v>2178</v>
      </c>
    </row>
    <row r="108" spans="2:16" ht="13.8" x14ac:dyDescent="0.2">
      <c r="B108" s="14" t="s">
        <v>711</v>
      </c>
      <c r="C108" s="9" t="s">
        <v>2190</v>
      </c>
      <c r="D108" s="15">
        <f t="shared" si="3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4"/>
        <v>0</v>
      </c>
      <c r="L108" s="4">
        <f t="shared" si="5"/>
        <v>0</v>
      </c>
      <c r="M108" s="31">
        <v>0</v>
      </c>
      <c r="N108" s="32">
        <v>0</v>
      </c>
      <c r="O108" s="33">
        <v>0</v>
      </c>
      <c r="P108" s="2" t="s">
        <v>2179</v>
      </c>
    </row>
    <row r="109" spans="2:16" ht="13.8" x14ac:dyDescent="0.2">
      <c r="B109" s="14" t="s">
        <v>1472</v>
      </c>
      <c r="C109" s="9" t="s">
        <v>2191</v>
      </c>
      <c r="D109" s="15">
        <f t="shared" si="3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4"/>
        <v>0</v>
      </c>
      <c r="L109" s="4">
        <f t="shared" si="5"/>
        <v>0</v>
      </c>
      <c r="M109" s="31">
        <v>0</v>
      </c>
      <c r="N109" s="32">
        <v>0</v>
      </c>
      <c r="O109" s="33">
        <v>0</v>
      </c>
      <c r="P109" s="2" t="s">
        <v>2180</v>
      </c>
    </row>
    <row r="110" spans="2:16" ht="13.8" x14ac:dyDescent="0.2">
      <c r="B110" s="14" t="s">
        <v>1392</v>
      </c>
      <c r="C110" s="9" t="s">
        <v>2192</v>
      </c>
      <c r="D110" s="15">
        <f t="shared" si="3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4"/>
        <v>0</v>
      </c>
      <c r="L110" s="4">
        <f t="shared" si="5"/>
        <v>0</v>
      </c>
      <c r="M110" s="31">
        <v>0</v>
      </c>
      <c r="N110" s="32">
        <v>0</v>
      </c>
      <c r="O110" s="33">
        <v>0</v>
      </c>
      <c r="P110" s="2" t="s">
        <v>2181</v>
      </c>
    </row>
    <row r="111" spans="2:16" ht="13.8" x14ac:dyDescent="0.2">
      <c r="B111" s="14" t="s">
        <v>554</v>
      </c>
      <c r="C111" s="9" t="s">
        <v>2193</v>
      </c>
      <c r="D111" s="15">
        <f t="shared" si="3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4"/>
        <v>0</v>
      </c>
      <c r="L111" s="4">
        <f t="shared" si="5"/>
        <v>0</v>
      </c>
      <c r="M111" s="31">
        <v>0</v>
      </c>
      <c r="N111" s="32">
        <v>0</v>
      </c>
      <c r="O111" s="33">
        <v>0</v>
      </c>
      <c r="P111" s="2" t="s">
        <v>2182</v>
      </c>
    </row>
    <row r="112" spans="2:16" ht="13.8" x14ac:dyDescent="0.2">
      <c r="B112" s="14" t="s">
        <v>562</v>
      </c>
      <c r="C112" s="9" t="s">
        <v>2194</v>
      </c>
      <c r="D112" s="15">
        <f t="shared" si="3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4"/>
        <v>0</v>
      </c>
      <c r="L112" s="4">
        <f t="shared" si="5"/>
        <v>0</v>
      </c>
      <c r="M112" s="31">
        <v>0</v>
      </c>
      <c r="N112" s="32">
        <v>0</v>
      </c>
      <c r="O112" s="33">
        <v>0</v>
      </c>
      <c r="P112" s="2" t="s">
        <v>2183</v>
      </c>
    </row>
    <row r="113" spans="2:16" ht="13.8" x14ac:dyDescent="0.2">
      <c r="B113" s="14" t="s">
        <v>649</v>
      </c>
      <c r="C113" s="9" t="s">
        <v>2195</v>
      </c>
      <c r="D113" s="15">
        <f t="shared" si="3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4"/>
        <v>0</v>
      </c>
      <c r="L113" s="4">
        <f t="shared" si="5"/>
        <v>0</v>
      </c>
      <c r="M113" s="31">
        <v>0</v>
      </c>
      <c r="N113" s="32">
        <v>0</v>
      </c>
      <c r="O113" s="33">
        <v>0</v>
      </c>
      <c r="P113" s="2" t="s">
        <v>2184</v>
      </c>
    </row>
    <row r="114" spans="2:16" ht="13.8" x14ac:dyDescent="0.2">
      <c r="B114" s="14" t="s">
        <v>652</v>
      </c>
      <c r="C114" s="9" t="s">
        <v>2196</v>
      </c>
      <c r="D114" s="15">
        <f t="shared" si="3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4"/>
        <v>0</v>
      </c>
      <c r="L114" s="4">
        <f t="shared" si="5"/>
        <v>0</v>
      </c>
      <c r="M114" s="31">
        <v>0</v>
      </c>
      <c r="N114" s="32">
        <v>0</v>
      </c>
      <c r="O114" s="33">
        <v>0</v>
      </c>
      <c r="P114" s="2" t="s">
        <v>2185</v>
      </c>
    </row>
    <row r="115" spans="2:16" ht="13.8" x14ac:dyDescent="0.2">
      <c r="B115" s="14" t="s">
        <v>657</v>
      </c>
      <c r="C115" s="9" t="s">
        <v>2172</v>
      </c>
      <c r="D115" s="15">
        <f t="shared" si="3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4"/>
        <v>0</v>
      </c>
      <c r="L115" s="4">
        <f t="shared" si="5"/>
        <v>0</v>
      </c>
      <c r="M115" s="31">
        <v>0</v>
      </c>
      <c r="N115" s="32">
        <v>0</v>
      </c>
      <c r="O115" s="33">
        <v>0</v>
      </c>
      <c r="P115" s="2" t="s">
        <v>2172</v>
      </c>
    </row>
    <row r="116" spans="2:16" ht="13.8" x14ac:dyDescent="0.2">
      <c r="B116" s="14" t="s">
        <v>658</v>
      </c>
      <c r="C116" s="9" t="s">
        <v>2197</v>
      </c>
      <c r="D116" s="15">
        <f t="shared" si="3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4"/>
        <v>0</v>
      </c>
      <c r="L116" s="4">
        <f t="shared" si="5"/>
        <v>0</v>
      </c>
      <c r="M116" s="31">
        <v>0</v>
      </c>
      <c r="N116" s="32">
        <v>0</v>
      </c>
      <c r="O116" s="33">
        <v>0</v>
      </c>
      <c r="P116" s="2" t="s">
        <v>2186</v>
      </c>
    </row>
    <row r="117" spans="2:16" ht="13.8" x14ac:dyDescent="0.2">
      <c r="B117" s="14" t="s">
        <v>659</v>
      </c>
      <c r="C117" s="9" t="s">
        <v>2198</v>
      </c>
      <c r="D117" s="15">
        <f t="shared" si="3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4"/>
        <v>0</v>
      </c>
      <c r="L117" s="4">
        <f t="shared" si="5"/>
        <v>0</v>
      </c>
      <c r="M117" s="31">
        <v>0</v>
      </c>
      <c r="N117" s="32">
        <v>0</v>
      </c>
      <c r="O117" s="33">
        <v>0</v>
      </c>
      <c r="P117" s="2" t="s">
        <v>2175</v>
      </c>
    </row>
    <row r="118" spans="2:16" ht="13.8" x14ac:dyDescent="0.2">
      <c r="B118" s="14" t="s">
        <v>662</v>
      </c>
      <c r="C118" s="9" t="s">
        <v>2199</v>
      </c>
      <c r="D118" s="15">
        <f t="shared" si="3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4"/>
        <v>0</v>
      </c>
      <c r="L118" s="4">
        <f t="shared" si="5"/>
        <v>0</v>
      </c>
      <c r="M118" s="31">
        <v>0</v>
      </c>
      <c r="N118" s="32">
        <v>0</v>
      </c>
      <c r="O118" s="33">
        <v>0</v>
      </c>
      <c r="P118" s="2" t="s">
        <v>2174</v>
      </c>
    </row>
    <row r="119" spans="2:16" ht="13.8" x14ac:dyDescent="0.2">
      <c r="B119" s="14" t="s">
        <v>1752</v>
      </c>
      <c r="C119" s="9" t="s">
        <v>2200</v>
      </c>
      <c r="D119" s="15">
        <f t="shared" si="3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4"/>
        <v>0</v>
      </c>
      <c r="L119" s="4">
        <f t="shared" si="5"/>
        <v>0</v>
      </c>
      <c r="M119" s="31">
        <v>0</v>
      </c>
      <c r="N119" s="32">
        <v>0</v>
      </c>
      <c r="O119" s="33">
        <v>0</v>
      </c>
      <c r="P119" s="2" t="s">
        <v>2173</v>
      </c>
    </row>
    <row r="120" spans="2:16" ht="13.8" x14ac:dyDescent="0.2">
      <c r="B120" s="14"/>
      <c r="C120" s="2"/>
      <c r="D120" s="15">
        <f t="shared" si="3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4"/>
        <v>0</v>
      </c>
      <c r="L120" s="4">
        <f t="shared" si="5"/>
        <v>0</v>
      </c>
      <c r="M120" s="31">
        <v>0</v>
      </c>
      <c r="N120" s="32">
        <v>0</v>
      </c>
      <c r="O120" s="33">
        <v>0</v>
      </c>
      <c r="P120" s="2" t="s">
        <v>736</v>
      </c>
    </row>
    <row r="121" spans="2:16" ht="13.8" x14ac:dyDescent="0.2">
      <c r="B121" s="14"/>
      <c r="C121" s="9"/>
      <c r="D121" s="15">
        <f t="shared" si="3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4"/>
        <v>0</v>
      </c>
      <c r="L121" s="4">
        <f t="shared" si="5"/>
        <v>0</v>
      </c>
      <c r="M121" s="31">
        <v>0</v>
      </c>
      <c r="N121" s="32">
        <v>0</v>
      </c>
      <c r="O121" s="33">
        <v>0</v>
      </c>
      <c r="P121" s="2" t="s">
        <v>736</v>
      </c>
    </row>
    <row r="122" spans="2:16" ht="13.8" x14ac:dyDescent="0.2">
      <c r="B122" s="14"/>
      <c r="C122" s="9"/>
      <c r="D122" s="15">
        <f t="shared" si="3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4"/>
        <v>0</v>
      </c>
      <c r="L122" s="4">
        <f t="shared" si="5"/>
        <v>0</v>
      </c>
      <c r="M122" s="31">
        <v>0</v>
      </c>
      <c r="N122" s="32">
        <v>0</v>
      </c>
      <c r="O122" s="33">
        <v>0</v>
      </c>
      <c r="P122" s="2" t="s">
        <v>736</v>
      </c>
    </row>
    <row r="123" spans="2:16" ht="13.8" x14ac:dyDescent="0.2">
      <c r="B123" s="14"/>
      <c r="C123" s="9"/>
      <c r="D123" s="15">
        <f t="shared" si="3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4"/>
        <v>0</v>
      </c>
      <c r="L123" s="4">
        <f t="shared" si="5"/>
        <v>0</v>
      </c>
      <c r="M123" s="31">
        <v>0</v>
      </c>
      <c r="N123" s="32">
        <v>0</v>
      </c>
      <c r="O123" s="33">
        <v>0</v>
      </c>
      <c r="P123" s="2" t="s">
        <v>736</v>
      </c>
    </row>
    <row r="124" spans="2:16" ht="13.8" x14ac:dyDescent="0.2">
      <c r="B124" s="14"/>
      <c r="C124" s="9"/>
      <c r="D124" s="15">
        <f t="shared" si="3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4"/>
        <v>0</v>
      </c>
      <c r="L124" s="4">
        <f t="shared" si="5"/>
        <v>0</v>
      </c>
      <c r="M124" s="31">
        <v>0</v>
      </c>
      <c r="N124" s="32">
        <v>0</v>
      </c>
      <c r="O124" s="33">
        <v>0</v>
      </c>
      <c r="P124" s="2" t="s">
        <v>736</v>
      </c>
    </row>
    <row r="125" spans="2:16" ht="13.8" x14ac:dyDescent="0.2">
      <c r="B125" s="14"/>
      <c r="C125" s="9"/>
      <c r="D125" s="15">
        <f t="shared" si="3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4"/>
        <v>0</v>
      </c>
      <c r="L125" s="4">
        <f t="shared" si="5"/>
        <v>0</v>
      </c>
      <c r="M125" s="31">
        <v>0</v>
      </c>
      <c r="N125" s="32">
        <v>0</v>
      </c>
      <c r="O125" s="33">
        <v>0</v>
      </c>
      <c r="P125" s="2" t="s">
        <v>736</v>
      </c>
    </row>
    <row r="126" spans="2:16" ht="13.8" x14ac:dyDescent="0.2">
      <c r="B126" s="14"/>
      <c r="C126" s="9"/>
      <c r="D126" s="15">
        <f t="shared" si="3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4"/>
        <v>0</v>
      </c>
      <c r="L126" s="4">
        <f t="shared" si="5"/>
        <v>0</v>
      </c>
      <c r="M126" s="31">
        <v>0</v>
      </c>
      <c r="N126" s="32">
        <v>0</v>
      </c>
      <c r="O126" s="33">
        <v>0</v>
      </c>
      <c r="P126" s="2" t="s">
        <v>736</v>
      </c>
    </row>
    <row r="127" spans="2:16" ht="13.8" x14ac:dyDescent="0.2">
      <c r="B127" s="14"/>
      <c r="C127" s="9"/>
      <c r="D127" s="15">
        <f t="shared" si="3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4"/>
        <v>0</v>
      </c>
      <c r="L127" s="4">
        <f t="shared" si="5"/>
        <v>0</v>
      </c>
      <c r="M127" s="31">
        <v>0</v>
      </c>
      <c r="N127" s="32">
        <v>0</v>
      </c>
      <c r="O127" s="33">
        <v>0</v>
      </c>
      <c r="P127" s="2" t="s">
        <v>736</v>
      </c>
    </row>
    <row r="128" spans="2:16" ht="13.8" x14ac:dyDescent="0.2">
      <c r="B128" s="14"/>
      <c r="C128" s="9"/>
      <c r="D128" s="15">
        <f t="shared" si="3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4"/>
        <v>0</v>
      </c>
      <c r="L128" s="4">
        <f t="shared" si="5"/>
        <v>0</v>
      </c>
      <c r="M128" s="31">
        <v>0</v>
      </c>
      <c r="N128" s="32">
        <v>0</v>
      </c>
      <c r="O128" s="33">
        <v>0</v>
      </c>
      <c r="P128" s="2" t="s">
        <v>736</v>
      </c>
    </row>
    <row r="129" spans="2:16" ht="13.8" x14ac:dyDescent="0.2">
      <c r="B129" s="14"/>
      <c r="C129" s="9"/>
      <c r="D129" s="15">
        <f t="shared" si="3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4"/>
        <v>0</v>
      </c>
      <c r="L129" s="4">
        <f t="shared" si="5"/>
        <v>0</v>
      </c>
      <c r="M129" s="31">
        <v>0</v>
      </c>
      <c r="N129" s="32">
        <v>0</v>
      </c>
      <c r="O129" s="33">
        <v>0</v>
      </c>
      <c r="P129" s="2" t="s">
        <v>736</v>
      </c>
    </row>
    <row r="130" spans="2:16" ht="13.8" x14ac:dyDescent="0.2">
      <c r="B130" s="14"/>
      <c r="C130" s="9"/>
      <c r="D130" s="15">
        <f t="shared" si="3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4"/>
        <v>0</v>
      </c>
      <c r="L130" s="4">
        <f t="shared" si="5"/>
        <v>0</v>
      </c>
      <c r="M130" s="31">
        <v>0</v>
      </c>
      <c r="N130" s="32">
        <v>0</v>
      </c>
      <c r="O130" s="33">
        <v>0</v>
      </c>
      <c r="P130" s="2" t="s">
        <v>736</v>
      </c>
    </row>
    <row r="131" spans="2:16" ht="13.8" x14ac:dyDescent="0.2">
      <c r="B131" s="14"/>
      <c r="C131" s="9"/>
      <c r="D131" s="15">
        <f t="shared" si="3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4"/>
        <v>0</v>
      </c>
      <c r="L131" s="4">
        <f t="shared" si="5"/>
        <v>0</v>
      </c>
      <c r="M131" s="31">
        <v>0</v>
      </c>
      <c r="N131" s="32">
        <v>0</v>
      </c>
      <c r="O131" s="33">
        <v>0</v>
      </c>
      <c r="P131" s="2" t="s">
        <v>736</v>
      </c>
    </row>
    <row r="132" spans="2:16" ht="13.8" x14ac:dyDescent="0.2">
      <c r="B132" s="14"/>
      <c r="C132" s="9"/>
      <c r="D132" s="15">
        <f t="shared" si="3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4"/>
        <v>0</v>
      </c>
      <c r="L132" s="4">
        <f t="shared" si="5"/>
        <v>0</v>
      </c>
      <c r="M132" s="31">
        <v>0</v>
      </c>
      <c r="N132" s="32">
        <v>0</v>
      </c>
      <c r="O132" s="33">
        <v>0</v>
      </c>
      <c r="P132" s="2" t="s">
        <v>736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6">IFERROR(IF((F133+M133+N133)/(E133+M133+N133+O133)=1,"1.00",(F133+M133+N133)/(E133+M133+N133+O133)),0)</f>
        <v>0</v>
      </c>
      <c r="L133" s="4">
        <f t="shared" ref="L133:L134" si="7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736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6"/>
        <v>0</v>
      </c>
      <c r="L134" s="4">
        <f t="shared" si="7"/>
        <v>0</v>
      </c>
      <c r="M134" s="31">
        <v>0</v>
      </c>
      <c r="N134" s="32">
        <v>0</v>
      </c>
      <c r="O134" s="33">
        <v>0</v>
      </c>
      <c r="P134" s="2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81E3D-475E-457C-A39E-A0E1378B3E2E}">
  <sheetPr codeName="Sheet18"/>
  <dimension ref="B1:Q134"/>
  <sheetViews>
    <sheetView zoomScale="130" zoomScaleNormal="130" workbookViewId="0">
      <pane ySplit="3" topLeftCell="A4" activePane="bottomLeft" state="frozen"/>
      <selection pane="bottomLeft" activeCell="B2" sqref="B2:D2"/>
    </sheetView>
  </sheetViews>
  <sheetFormatPr defaultRowHeight="13.2" x14ac:dyDescent="0.2"/>
  <cols>
    <col min="2" max="2" width="6" customWidth="1"/>
    <col min="3" max="3" width="6.109375" customWidth="1"/>
    <col min="4" max="4" width="12.44140625" customWidth="1"/>
    <col min="5" max="16" width="7.21875" customWidth="1"/>
    <col min="17" max="17" width="17.33203125" customWidth="1"/>
  </cols>
  <sheetData>
    <row r="1" spans="2:17" ht="13.8" customHeight="1" x14ac:dyDescent="0.2"/>
    <row r="2" spans="2:17" ht="13.8" customHeight="1" x14ac:dyDescent="0.2">
      <c r="B2" s="88"/>
      <c r="C2" s="88"/>
      <c r="D2" s="88"/>
      <c r="E2" s="4">
        <f>IFERROR(G2/F2,0)</f>
        <v>0.28460407477420707</v>
      </c>
      <c r="F2" s="5">
        <f t="array" ref="F2">SUM(F4:F104)</f>
        <v>4761</v>
      </c>
      <c r="G2" s="5">
        <f t="array" ref="G2">SUM(G4:G104)</f>
        <v>1355</v>
      </c>
      <c r="H2" s="5">
        <f t="array" ref="H2">SUM(H4:H104)</f>
        <v>249</v>
      </c>
      <c r="I2" s="5">
        <f t="array" ref="I2">SUM(I4:I104)</f>
        <v>19</v>
      </c>
      <c r="J2" s="6">
        <f t="array" ref="J2">SUM(J4:J104)</f>
        <v>198</v>
      </c>
      <c r="K2" s="7">
        <f t="array" ref="K2">SUM(K4:K104)</f>
        <v>656</v>
      </c>
      <c r="L2" s="4">
        <f>IFERROR(IF((G2+N2+O2)/(F2+N2+O2+P2)=1,"1.00",(G2+N2+O2)/(F2+N2+O2+P2)),0)</f>
        <v>0.35682242990654206</v>
      </c>
      <c r="M2" s="4">
        <f>IFERROR(SUM(SUM(((G2-H2-I2-J2)*1),H2*2,I2*3,J2*4)/F2,((G2+H2+I2)/(F2+N2+O2+P2))),L2)</f>
        <v>0.77301371933564567</v>
      </c>
      <c r="N2" s="5">
        <f>SUM(N4:N104)</f>
        <v>519</v>
      </c>
      <c r="O2" s="5">
        <f>SUM(O4:O104)</f>
        <v>35</v>
      </c>
      <c r="P2" s="5">
        <f>SUM(P4:P104)</f>
        <v>35</v>
      </c>
      <c r="Q2" s="90" t="s">
        <v>169</v>
      </c>
    </row>
    <row r="3" spans="2:17" ht="13.8" x14ac:dyDescent="0.2">
      <c r="B3" s="2" t="s">
        <v>2416</v>
      </c>
      <c r="C3" s="17" t="s">
        <v>157</v>
      </c>
      <c r="D3" s="17" t="s">
        <v>5</v>
      </c>
      <c r="E3" s="20" t="s">
        <v>158</v>
      </c>
      <c r="F3" s="21" t="s">
        <v>0</v>
      </c>
      <c r="G3" s="17" t="s">
        <v>1</v>
      </c>
      <c r="H3" s="17" t="s">
        <v>941</v>
      </c>
      <c r="I3" s="17" t="s">
        <v>942</v>
      </c>
      <c r="J3" s="22" t="s">
        <v>2</v>
      </c>
      <c r="K3" s="23" t="s">
        <v>3</v>
      </c>
      <c r="L3" s="30" t="s">
        <v>737</v>
      </c>
      <c r="M3" s="10" t="s">
        <v>943</v>
      </c>
      <c r="N3" s="9" t="s">
        <v>744</v>
      </c>
      <c r="O3" s="9" t="s">
        <v>745</v>
      </c>
      <c r="P3" s="9" t="s">
        <v>743</v>
      </c>
      <c r="Q3" s="91"/>
    </row>
    <row r="4" spans="2:17" ht="13.8" x14ac:dyDescent="0.2">
      <c r="B4" s="14" t="s">
        <v>433</v>
      </c>
      <c r="C4" s="14">
        <v>18</v>
      </c>
      <c r="D4" s="8" t="s">
        <v>740</v>
      </c>
      <c r="E4" s="15">
        <f>IFERROR(IF(G4/F4=1,"1.00",G4/F4),0)</f>
        <v>0.16666666666666666</v>
      </c>
      <c r="F4" s="5">
        <v>6</v>
      </c>
      <c r="G4" s="5">
        <v>1</v>
      </c>
      <c r="H4" s="5">
        <v>0</v>
      </c>
      <c r="I4" s="5">
        <v>0</v>
      </c>
      <c r="J4" s="6">
        <v>0</v>
      </c>
      <c r="K4" s="7">
        <v>0</v>
      </c>
      <c r="L4" s="15">
        <f>IFERROR(IF((G4+N4+O4)/(F4+N4+O4+P4)=1,"1.00",(G4+N4+O4)/(F4+N4+O4+P4)),0)</f>
        <v>0.16666666666666666</v>
      </c>
      <c r="M4" s="15">
        <f>IFERROR(SUM(SUM(((G4-H4-I4-J4)*1),H4*2,I4*3,J4*4)/F4,((G4+N4+O4)/(F4+N4+O4+P4))),L4)</f>
        <v>0.33333333333333331</v>
      </c>
      <c r="N4" s="31">
        <v>0</v>
      </c>
      <c r="O4" s="32">
        <v>0</v>
      </c>
      <c r="P4" s="33">
        <v>0</v>
      </c>
      <c r="Q4" s="17" t="s">
        <v>877</v>
      </c>
    </row>
    <row r="5" spans="2:17" ht="13.8" x14ac:dyDescent="0.2">
      <c r="B5" s="14" t="s">
        <v>434</v>
      </c>
      <c r="C5" s="14">
        <v>13</v>
      </c>
      <c r="D5" s="9" t="s">
        <v>1328</v>
      </c>
      <c r="E5" s="15">
        <f>IFERROR(IF(G5/F5=1,"1.00",G5/F5),0)</f>
        <v>0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15">
        <f>IFERROR(IF((G5+N5+O5)/(F5+N5+O5+P5)=1,"1.00",(G5+N5+O5)/(F5+N5+O5+P5)),0)</f>
        <v>0</v>
      </c>
      <c r="M5" s="15">
        <f>IFERROR(SUM(SUM(((G5-H5-I5-J5)*1),H5*2,I5*3,J5*4)/F5,((G5+N5+O5)/(F5+N5+O5+P5))),L5)</f>
        <v>0</v>
      </c>
      <c r="N5" s="31">
        <v>0</v>
      </c>
      <c r="O5" s="32">
        <v>0</v>
      </c>
      <c r="P5" s="33">
        <v>0</v>
      </c>
      <c r="Q5" s="17" t="s">
        <v>1220</v>
      </c>
    </row>
    <row r="6" spans="2:17" ht="13.8" x14ac:dyDescent="0.2">
      <c r="B6" s="14" t="s">
        <v>435</v>
      </c>
      <c r="C6" s="14">
        <v>75</v>
      </c>
      <c r="D6" s="8" t="s">
        <v>794</v>
      </c>
      <c r="E6" s="15">
        <f t="shared" ref="E6:E68" si="0">IFERROR(IF(G6/F6=1,"1.00",G6/F6),0)</f>
        <v>0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15">
        <f t="shared" ref="L6:L68" si="1">IFERROR(IF((G6+N6+O6)/(F6+N6+O6+P6)=1,"1.00",(G6+N6+O6)/(F6+N6+O6+P6)),0)</f>
        <v>0</v>
      </c>
      <c r="M6" s="15">
        <f t="shared" ref="M6:M29" si="2">IFERROR(SUM(SUM(((G6-H6-I6-J6)*1),H6*2,I6*3,J6*4)/F6,((G6+N6+O6)/(F6+N6+O6+P6))),L6)</f>
        <v>0</v>
      </c>
      <c r="N6" s="31">
        <v>0</v>
      </c>
      <c r="O6" s="32">
        <v>0</v>
      </c>
      <c r="P6" s="33">
        <v>0</v>
      </c>
      <c r="Q6" s="17" t="s">
        <v>809</v>
      </c>
    </row>
    <row r="7" spans="2:17" ht="13.8" x14ac:dyDescent="0.2">
      <c r="B7" s="14" t="s">
        <v>436</v>
      </c>
      <c r="C7" s="14">
        <v>17</v>
      </c>
      <c r="D7" s="17" t="s">
        <v>90</v>
      </c>
      <c r="E7" s="15">
        <f t="shared" si="0"/>
        <v>0</v>
      </c>
      <c r="F7" s="5">
        <v>0</v>
      </c>
      <c r="G7" s="16">
        <v>0</v>
      </c>
      <c r="H7" s="16">
        <v>0</v>
      </c>
      <c r="I7" s="16">
        <v>0</v>
      </c>
      <c r="J7" s="6">
        <v>0</v>
      </c>
      <c r="K7" s="7">
        <v>0</v>
      </c>
      <c r="L7" s="4">
        <f t="shared" si="1"/>
        <v>0</v>
      </c>
      <c r="M7" s="4">
        <f t="shared" si="2"/>
        <v>0</v>
      </c>
      <c r="N7" s="31">
        <v>0</v>
      </c>
      <c r="O7" s="32">
        <v>0</v>
      </c>
      <c r="P7" s="33">
        <v>0</v>
      </c>
      <c r="Q7" s="17" t="s">
        <v>1183</v>
      </c>
    </row>
    <row r="8" spans="2:17" ht="13.8" x14ac:dyDescent="0.2">
      <c r="B8" s="14" t="s">
        <v>437</v>
      </c>
      <c r="C8" s="14">
        <v>20</v>
      </c>
      <c r="D8" s="17" t="s">
        <v>429</v>
      </c>
      <c r="E8" s="15">
        <f t="shared" si="0"/>
        <v>0</v>
      </c>
      <c r="F8" s="5">
        <v>0</v>
      </c>
      <c r="G8" s="16">
        <v>0</v>
      </c>
      <c r="H8" s="16">
        <v>0</v>
      </c>
      <c r="I8" s="16">
        <v>0</v>
      </c>
      <c r="J8" s="6">
        <v>0</v>
      </c>
      <c r="K8" s="7">
        <v>0</v>
      </c>
      <c r="L8" s="4">
        <f t="shared" si="1"/>
        <v>0</v>
      </c>
      <c r="M8" s="4">
        <f t="shared" si="2"/>
        <v>0</v>
      </c>
      <c r="N8" s="31">
        <v>0</v>
      </c>
      <c r="O8" s="32">
        <v>0</v>
      </c>
      <c r="P8" s="33">
        <v>0</v>
      </c>
      <c r="Q8" s="2" t="s">
        <v>1315</v>
      </c>
    </row>
    <row r="9" spans="2:17" ht="13.8" x14ac:dyDescent="0.2">
      <c r="B9" s="14" t="s">
        <v>438</v>
      </c>
      <c r="C9" s="14">
        <v>47</v>
      </c>
      <c r="D9" s="17" t="s">
        <v>211</v>
      </c>
      <c r="E9" s="15">
        <f t="shared" si="0"/>
        <v>0</v>
      </c>
      <c r="F9" s="5">
        <v>0</v>
      </c>
      <c r="G9" s="16">
        <v>0</v>
      </c>
      <c r="H9" s="16">
        <v>0</v>
      </c>
      <c r="I9" s="16">
        <v>0</v>
      </c>
      <c r="J9" s="6">
        <v>0</v>
      </c>
      <c r="K9" s="7">
        <v>0</v>
      </c>
      <c r="L9" s="4">
        <f t="shared" si="1"/>
        <v>0</v>
      </c>
      <c r="M9" s="4">
        <f t="shared" si="2"/>
        <v>0</v>
      </c>
      <c r="N9" s="31">
        <v>0</v>
      </c>
      <c r="O9" s="32">
        <v>0</v>
      </c>
      <c r="P9" s="33">
        <v>0</v>
      </c>
      <c r="Q9" s="2" t="s">
        <v>1317</v>
      </c>
    </row>
    <row r="10" spans="2:17" ht="13.8" x14ac:dyDescent="0.2">
      <c r="B10" s="14" t="s">
        <v>439</v>
      </c>
      <c r="C10" s="14">
        <v>49</v>
      </c>
      <c r="D10" s="17" t="s">
        <v>209</v>
      </c>
      <c r="E10" s="15">
        <f t="shared" si="0"/>
        <v>0</v>
      </c>
      <c r="F10" s="5">
        <v>0</v>
      </c>
      <c r="G10" s="16">
        <v>0</v>
      </c>
      <c r="H10" s="16">
        <v>0</v>
      </c>
      <c r="I10" s="16">
        <v>0</v>
      </c>
      <c r="J10" s="6">
        <v>0</v>
      </c>
      <c r="K10" s="7">
        <v>0</v>
      </c>
      <c r="L10" s="4">
        <f t="shared" si="1"/>
        <v>0</v>
      </c>
      <c r="M10" s="4">
        <f t="shared" si="2"/>
        <v>0</v>
      </c>
      <c r="N10" s="31">
        <v>0</v>
      </c>
      <c r="O10" s="32">
        <v>0</v>
      </c>
      <c r="P10" s="33">
        <v>0</v>
      </c>
      <c r="Q10" s="2" t="s">
        <v>209</v>
      </c>
    </row>
    <row r="11" spans="2:17" ht="13.8" x14ac:dyDescent="0.2">
      <c r="B11" s="14" t="s">
        <v>440</v>
      </c>
      <c r="C11" s="14">
        <v>53</v>
      </c>
      <c r="D11" s="17" t="s">
        <v>130</v>
      </c>
      <c r="E11" s="15">
        <f t="shared" si="0"/>
        <v>0</v>
      </c>
      <c r="F11" s="5">
        <v>0</v>
      </c>
      <c r="G11" s="16">
        <v>0</v>
      </c>
      <c r="H11" s="16">
        <v>0</v>
      </c>
      <c r="I11" s="16">
        <v>0</v>
      </c>
      <c r="J11" s="6">
        <v>0</v>
      </c>
      <c r="K11" s="7">
        <v>0</v>
      </c>
      <c r="L11" s="4">
        <f t="shared" si="1"/>
        <v>0</v>
      </c>
      <c r="M11" s="4">
        <f t="shared" si="2"/>
        <v>0</v>
      </c>
      <c r="N11" s="31">
        <v>0</v>
      </c>
      <c r="O11" s="32">
        <v>0</v>
      </c>
      <c r="P11" s="33">
        <v>0</v>
      </c>
      <c r="Q11" s="2" t="s">
        <v>1318</v>
      </c>
    </row>
    <row r="12" spans="2:17" ht="13.8" x14ac:dyDescent="0.2">
      <c r="B12" s="14" t="s">
        <v>441</v>
      </c>
      <c r="C12" s="14">
        <v>50</v>
      </c>
      <c r="D12" s="8" t="s">
        <v>780</v>
      </c>
      <c r="E12" s="15">
        <f t="shared" si="0"/>
        <v>0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15">
        <f t="shared" si="1"/>
        <v>0</v>
      </c>
      <c r="M12" s="15">
        <f t="shared" si="2"/>
        <v>0</v>
      </c>
      <c r="N12" s="31">
        <v>0</v>
      </c>
      <c r="O12" s="32">
        <v>0</v>
      </c>
      <c r="P12" s="33">
        <v>0</v>
      </c>
      <c r="Q12" s="17" t="s">
        <v>1243</v>
      </c>
    </row>
    <row r="13" spans="2:17" ht="13.8" x14ac:dyDescent="0.2">
      <c r="B13" s="14" t="s">
        <v>442</v>
      </c>
      <c r="C13" s="14">
        <v>16</v>
      </c>
      <c r="D13" s="17" t="s">
        <v>101</v>
      </c>
      <c r="E13" s="15">
        <f t="shared" si="0"/>
        <v>0</v>
      </c>
      <c r="F13" s="5">
        <v>0</v>
      </c>
      <c r="G13" s="16">
        <v>0</v>
      </c>
      <c r="H13" s="16">
        <v>0</v>
      </c>
      <c r="I13" s="16">
        <v>0</v>
      </c>
      <c r="J13" s="6">
        <v>0</v>
      </c>
      <c r="K13" s="7">
        <v>0</v>
      </c>
      <c r="L13" s="4">
        <f t="shared" si="1"/>
        <v>0</v>
      </c>
      <c r="M13" s="4">
        <f t="shared" si="2"/>
        <v>0</v>
      </c>
      <c r="N13" s="31">
        <v>0</v>
      </c>
      <c r="O13" s="32">
        <v>0</v>
      </c>
      <c r="P13" s="33">
        <v>0</v>
      </c>
      <c r="Q13" s="17" t="s">
        <v>1182</v>
      </c>
    </row>
    <row r="14" spans="2:17" ht="13.8" x14ac:dyDescent="0.2">
      <c r="B14" s="14" t="s">
        <v>443</v>
      </c>
      <c r="C14" s="14">
        <v>17</v>
      </c>
      <c r="D14" s="17" t="s">
        <v>67</v>
      </c>
      <c r="E14" s="15">
        <f t="shared" si="0"/>
        <v>0</v>
      </c>
      <c r="F14" s="5">
        <v>0</v>
      </c>
      <c r="G14" s="16">
        <v>0</v>
      </c>
      <c r="H14" s="16">
        <v>0</v>
      </c>
      <c r="I14" s="16">
        <v>0</v>
      </c>
      <c r="J14" s="6">
        <v>0</v>
      </c>
      <c r="K14" s="7">
        <v>0</v>
      </c>
      <c r="L14" s="15">
        <f t="shared" si="1"/>
        <v>0</v>
      </c>
      <c r="M14" s="15">
        <f t="shared" si="2"/>
        <v>0</v>
      </c>
      <c r="N14" s="31">
        <v>0</v>
      </c>
      <c r="O14" s="32">
        <v>0</v>
      </c>
      <c r="P14" s="33">
        <v>0</v>
      </c>
      <c r="Q14" s="2" t="s">
        <v>1280</v>
      </c>
    </row>
    <row r="15" spans="2:17" ht="13.8" x14ac:dyDescent="0.2">
      <c r="B15" s="14" t="s">
        <v>444</v>
      </c>
      <c r="C15" s="14">
        <v>19</v>
      </c>
      <c r="D15" s="17" t="s">
        <v>58</v>
      </c>
      <c r="E15" s="15">
        <f t="shared" si="0"/>
        <v>0</v>
      </c>
      <c r="F15" s="5">
        <v>0</v>
      </c>
      <c r="G15" s="16">
        <v>0</v>
      </c>
      <c r="H15" s="16">
        <v>0</v>
      </c>
      <c r="I15" s="16">
        <v>0</v>
      </c>
      <c r="J15" s="6">
        <v>0</v>
      </c>
      <c r="K15" s="7">
        <v>0</v>
      </c>
      <c r="L15" s="15">
        <f t="shared" si="1"/>
        <v>0</v>
      </c>
      <c r="M15" s="15">
        <f t="shared" si="2"/>
        <v>0</v>
      </c>
      <c r="N15" s="31">
        <v>0</v>
      </c>
      <c r="O15" s="32">
        <v>0</v>
      </c>
      <c r="P15" s="33">
        <v>0</v>
      </c>
      <c r="Q15" s="2" t="s">
        <v>1281</v>
      </c>
    </row>
    <row r="16" spans="2:17" ht="13.8" x14ac:dyDescent="0.2">
      <c r="B16" s="14" t="s">
        <v>445</v>
      </c>
      <c r="C16" s="14">
        <v>20</v>
      </c>
      <c r="D16" s="8" t="s">
        <v>741</v>
      </c>
      <c r="E16" s="15">
        <f t="shared" si="0"/>
        <v>0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7">
        <v>0</v>
      </c>
      <c r="L16" s="15">
        <f t="shared" si="1"/>
        <v>0</v>
      </c>
      <c r="M16" s="15">
        <f t="shared" si="2"/>
        <v>0</v>
      </c>
      <c r="N16" s="31">
        <v>0</v>
      </c>
      <c r="O16" s="32">
        <v>0</v>
      </c>
      <c r="P16" s="33">
        <v>0</v>
      </c>
      <c r="Q16" s="17" t="s">
        <v>879</v>
      </c>
    </row>
    <row r="17" spans="2:17" ht="13.8" x14ac:dyDescent="0.2">
      <c r="B17" s="14" t="s">
        <v>446</v>
      </c>
      <c r="C17" s="14">
        <v>17</v>
      </c>
      <c r="D17" s="17" t="s">
        <v>131</v>
      </c>
      <c r="E17" s="15">
        <f t="shared" si="0"/>
        <v>0</v>
      </c>
      <c r="F17" s="5">
        <v>0</v>
      </c>
      <c r="G17" s="16">
        <v>0</v>
      </c>
      <c r="H17" s="16">
        <v>0</v>
      </c>
      <c r="I17" s="16">
        <v>0</v>
      </c>
      <c r="J17" s="6">
        <v>0</v>
      </c>
      <c r="K17" s="7">
        <v>0</v>
      </c>
      <c r="L17" s="4">
        <f t="shared" si="1"/>
        <v>0</v>
      </c>
      <c r="M17" s="4">
        <f t="shared" si="2"/>
        <v>0</v>
      </c>
      <c r="N17" s="31">
        <v>0</v>
      </c>
      <c r="O17" s="32">
        <v>0</v>
      </c>
      <c r="P17" s="33">
        <v>0</v>
      </c>
      <c r="Q17" s="2" t="s">
        <v>1312</v>
      </c>
    </row>
    <row r="18" spans="2:17" ht="13.8" x14ac:dyDescent="0.2">
      <c r="B18" s="14" t="s">
        <v>447</v>
      </c>
      <c r="C18" s="14">
        <v>37</v>
      </c>
      <c r="D18" s="17" t="s">
        <v>134</v>
      </c>
      <c r="E18" s="15">
        <f t="shared" si="0"/>
        <v>0</v>
      </c>
      <c r="F18" s="5">
        <v>0</v>
      </c>
      <c r="G18" s="16">
        <v>0</v>
      </c>
      <c r="H18" s="16">
        <v>0</v>
      </c>
      <c r="I18" s="16">
        <v>0</v>
      </c>
      <c r="J18" s="6">
        <v>0</v>
      </c>
      <c r="K18" s="7">
        <v>0</v>
      </c>
      <c r="L18" s="4">
        <f t="shared" si="1"/>
        <v>0</v>
      </c>
      <c r="M18" s="4">
        <f t="shared" si="2"/>
        <v>0</v>
      </c>
      <c r="N18" s="31">
        <v>0</v>
      </c>
      <c r="O18" s="32">
        <v>0</v>
      </c>
      <c r="P18" s="33">
        <v>0</v>
      </c>
      <c r="Q18" s="2" t="s">
        <v>808</v>
      </c>
    </row>
    <row r="19" spans="2:17" ht="13.8" x14ac:dyDescent="0.2">
      <c r="B19" s="14" t="s">
        <v>448</v>
      </c>
      <c r="C19" s="14">
        <v>2</v>
      </c>
      <c r="D19" s="8" t="s">
        <v>750</v>
      </c>
      <c r="E19" s="15">
        <f t="shared" si="0"/>
        <v>0.24723247232472326</v>
      </c>
      <c r="F19" s="5">
        <v>271</v>
      </c>
      <c r="G19" s="16">
        <v>67</v>
      </c>
      <c r="H19" s="16">
        <v>13</v>
      </c>
      <c r="I19" s="16">
        <v>2</v>
      </c>
      <c r="J19" s="6">
        <v>2</v>
      </c>
      <c r="K19" s="7">
        <v>24</v>
      </c>
      <c r="L19" s="15">
        <f t="shared" si="1"/>
        <v>0.31438127090301005</v>
      </c>
      <c r="M19" s="15">
        <f t="shared" si="2"/>
        <v>0.64648459193622032</v>
      </c>
      <c r="N19" s="31">
        <v>26</v>
      </c>
      <c r="O19" s="32">
        <v>1</v>
      </c>
      <c r="P19" s="33">
        <v>1</v>
      </c>
      <c r="Q19" s="17" t="s">
        <v>746</v>
      </c>
    </row>
    <row r="20" spans="2:17" ht="13.8" x14ac:dyDescent="0.2">
      <c r="B20" s="14" t="s">
        <v>449</v>
      </c>
      <c r="C20" s="14">
        <v>35</v>
      </c>
      <c r="D20" s="17" t="s">
        <v>92</v>
      </c>
      <c r="E20" s="15">
        <f t="shared" si="0"/>
        <v>0.2711864406779661</v>
      </c>
      <c r="F20" s="5">
        <v>236</v>
      </c>
      <c r="G20" s="16">
        <v>64</v>
      </c>
      <c r="H20" s="16">
        <v>13</v>
      </c>
      <c r="I20" s="16">
        <v>0</v>
      </c>
      <c r="J20" s="6">
        <v>7</v>
      </c>
      <c r="K20" s="7">
        <v>26</v>
      </c>
      <c r="L20" s="4">
        <f t="shared" si="1"/>
        <v>0.33716475095785442</v>
      </c>
      <c r="M20" s="4">
        <f t="shared" si="2"/>
        <v>0.75241898824598996</v>
      </c>
      <c r="N20" s="31">
        <v>23</v>
      </c>
      <c r="O20" s="32">
        <v>1</v>
      </c>
      <c r="P20" s="33">
        <v>1</v>
      </c>
      <c r="Q20" s="17" t="s">
        <v>1194</v>
      </c>
    </row>
    <row r="21" spans="2:17" ht="13.8" x14ac:dyDescent="0.2">
      <c r="B21" s="14" t="s">
        <v>450</v>
      </c>
      <c r="C21" s="14">
        <v>2</v>
      </c>
      <c r="D21" s="17" t="s">
        <v>379</v>
      </c>
      <c r="E21" s="15">
        <f t="shared" si="0"/>
        <v>0.29439252336448596</v>
      </c>
      <c r="F21" s="5">
        <v>214</v>
      </c>
      <c r="G21" s="16">
        <v>63</v>
      </c>
      <c r="H21" s="16">
        <v>15</v>
      </c>
      <c r="I21" s="16">
        <v>0</v>
      </c>
      <c r="J21" s="6">
        <v>2</v>
      </c>
      <c r="K21" s="7">
        <v>23</v>
      </c>
      <c r="L21" s="4">
        <f t="shared" si="1"/>
        <v>0.38247011952191234</v>
      </c>
      <c r="M21" s="4">
        <f t="shared" si="2"/>
        <v>0.77499348400789358</v>
      </c>
      <c r="N21" s="31">
        <v>31</v>
      </c>
      <c r="O21" s="32">
        <v>2</v>
      </c>
      <c r="P21" s="33">
        <v>4</v>
      </c>
      <c r="Q21" s="2" t="s">
        <v>1311</v>
      </c>
    </row>
    <row r="22" spans="2:17" ht="13.8" x14ac:dyDescent="0.2">
      <c r="B22" s="14" t="s">
        <v>451</v>
      </c>
      <c r="C22" s="14">
        <v>31</v>
      </c>
      <c r="D22" s="8" t="s">
        <v>768</v>
      </c>
      <c r="E22" s="15">
        <f t="shared" si="0"/>
        <v>0.28368794326241137</v>
      </c>
      <c r="F22" s="5">
        <v>282</v>
      </c>
      <c r="G22" s="16">
        <v>80</v>
      </c>
      <c r="H22" s="16">
        <v>11</v>
      </c>
      <c r="I22" s="16">
        <v>1</v>
      </c>
      <c r="J22" s="6">
        <v>16</v>
      </c>
      <c r="K22" s="7">
        <v>46</v>
      </c>
      <c r="L22" s="15">
        <f t="shared" si="1"/>
        <v>0.4</v>
      </c>
      <c r="M22" s="15">
        <f t="shared" si="2"/>
        <v>0.9</v>
      </c>
      <c r="N22" s="31">
        <v>52</v>
      </c>
      <c r="O22" s="32">
        <v>4</v>
      </c>
      <c r="P22" s="33">
        <v>2</v>
      </c>
      <c r="Q22" s="17" t="s">
        <v>747</v>
      </c>
    </row>
    <row r="23" spans="2:17" ht="13.8" x14ac:dyDescent="0.2">
      <c r="B23" s="14" t="s">
        <v>452</v>
      </c>
      <c r="C23" s="14">
        <v>66</v>
      </c>
      <c r="D23" s="17" t="s">
        <v>96</v>
      </c>
      <c r="E23" s="15">
        <f t="shared" si="0"/>
        <v>0.2951388888888889</v>
      </c>
      <c r="F23" s="5">
        <v>288</v>
      </c>
      <c r="G23" s="16">
        <v>85</v>
      </c>
      <c r="H23" s="16">
        <v>14</v>
      </c>
      <c r="I23" s="16">
        <v>1</v>
      </c>
      <c r="J23" s="6">
        <v>14</v>
      </c>
      <c r="K23" s="7">
        <v>50</v>
      </c>
      <c r="L23" s="4">
        <f t="shared" si="1"/>
        <v>0.34294871794871795</v>
      </c>
      <c r="M23" s="4">
        <f t="shared" si="2"/>
        <v>0.83947649572649574</v>
      </c>
      <c r="N23" s="31">
        <v>18</v>
      </c>
      <c r="O23" s="32">
        <v>4</v>
      </c>
      <c r="P23" s="33">
        <v>2</v>
      </c>
      <c r="Q23" s="17" t="s">
        <v>236</v>
      </c>
    </row>
    <row r="24" spans="2:17" ht="13.8" x14ac:dyDescent="0.2">
      <c r="B24" s="14" t="s">
        <v>453</v>
      </c>
      <c r="C24" s="14">
        <v>1</v>
      </c>
      <c r="D24" s="17" t="s">
        <v>38</v>
      </c>
      <c r="E24" s="15">
        <f t="shared" si="0"/>
        <v>0.26779661016949152</v>
      </c>
      <c r="F24" s="5">
        <v>295</v>
      </c>
      <c r="G24" s="16">
        <v>79</v>
      </c>
      <c r="H24" s="16">
        <v>11</v>
      </c>
      <c r="I24" s="16">
        <v>0</v>
      </c>
      <c r="J24" s="6">
        <v>25</v>
      </c>
      <c r="K24" s="7">
        <v>65</v>
      </c>
      <c r="L24" s="4">
        <f t="shared" si="1"/>
        <v>0.36705202312138729</v>
      </c>
      <c r="M24" s="4">
        <f t="shared" si="2"/>
        <v>0.92637405701969233</v>
      </c>
      <c r="N24" s="31">
        <v>46</v>
      </c>
      <c r="O24" s="32">
        <v>2</v>
      </c>
      <c r="P24" s="33">
        <v>3</v>
      </c>
      <c r="Q24" s="2" t="s">
        <v>1310</v>
      </c>
    </row>
    <row r="25" spans="2:17" ht="13.8" x14ac:dyDescent="0.2">
      <c r="B25" s="14" t="s">
        <v>454</v>
      </c>
      <c r="C25" s="14">
        <v>33</v>
      </c>
      <c r="D25" s="8" t="s">
        <v>742</v>
      </c>
      <c r="E25" s="15">
        <f t="shared" si="0"/>
        <v>0.28819444444444442</v>
      </c>
      <c r="F25" s="5">
        <v>288</v>
      </c>
      <c r="G25" s="5">
        <v>83</v>
      </c>
      <c r="H25" s="5">
        <v>13</v>
      </c>
      <c r="I25" s="5">
        <v>1</v>
      </c>
      <c r="J25" s="6">
        <v>7</v>
      </c>
      <c r="K25" s="7">
        <v>25</v>
      </c>
      <c r="L25" s="15">
        <f t="shared" si="1"/>
        <v>0.33653846153846156</v>
      </c>
      <c r="M25" s="15">
        <f t="shared" si="2"/>
        <v>0.74973290598290598</v>
      </c>
      <c r="N25" s="31">
        <v>22</v>
      </c>
      <c r="O25" s="32">
        <v>0</v>
      </c>
      <c r="P25" s="33">
        <v>2</v>
      </c>
      <c r="Q25" s="17" t="s">
        <v>855</v>
      </c>
    </row>
    <row r="26" spans="2:17" ht="13.8" x14ac:dyDescent="0.2">
      <c r="B26" s="14" t="s">
        <v>455</v>
      </c>
      <c r="C26" s="14">
        <v>55</v>
      </c>
      <c r="D26" s="17" t="s">
        <v>32</v>
      </c>
      <c r="E26" s="15">
        <f t="shared" si="0"/>
        <v>0.25773195876288657</v>
      </c>
      <c r="F26" s="5">
        <v>291</v>
      </c>
      <c r="G26" s="16">
        <v>75</v>
      </c>
      <c r="H26" s="16">
        <v>12</v>
      </c>
      <c r="I26" s="16">
        <v>0</v>
      </c>
      <c r="J26" s="6">
        <v>26</v>
      </c>
      <c r="K26" s="7">
        <v>61</v>
      </c>
      <c r="L26" s="4">
        <f t="shared" si="1"/>
        <v>0.38655462184873951</v>
      </c>
      <c r="M26" s="4">
        <f t="shared" si="2"/>
        <v>0.95356493112708995</v>
      </c>
      <c r="N26" s="31">
        <v>61</v>
      </c>
      <c r="O26" s="32">
        <v>2</v>
      </c>
      <c r="P26" s="33">
        <v>3</v>
      </c>
      <c r="Q26" s="2" t="s">
        <v>1313</v>
      </c>
    </row>
    <row r="27" spans="2:17" ht="13.8" x14ac:dyDescent="0.2">
      <c r="B27" s="14" t="s">
        <v>456</v>
      </c>
      <c r="C27" s="14">
        <v>25</v>
      </c>
      <c r="D27" s="17" t="s">
        <v>23</v>
      </c>
      <c r="E27" s="15">
        <f t="shared" si="0"/>
        <v>0.27070063694267515</v>
      </c>
      <c r="F27" s="5">
        <v>314</v>
      </c>
      <c r="G27" s="16">
        <v>85</v>
      </c>
      <c r="H27" s="16">
        <v>12</v>
      </c>
      <c r="I27" s="16">
        <v>1</v>
      </c>
      <c r="J27" s="6">
        <v>27</v>
      </c>
      <c r="K27" s="7">
        <v>80</v>
      </c>
      <c r="L27" s="4">
        <f t="shared" si="1"/>
        <v>0.33711048158640228</v>
      </c>
      <c r="M27" s="4">
        <f t="shared" si="2"/>
        <v>0.91035888922971431</v>
      </c>
      <c r="N27" s="31">
        <v>30</v>
      </c>
      <c r="O27" s="32">
        <v>4</v>
      </c>
      <c r="P27" s="33">
        <v>5</v>
      </c>
      <c r="Q27" s="2" t="s">
        <v>1316</v>
      </c>
    </row>
    <row r="28" spans="2:17" ht="13.8" x14ac:dyDescent="0.2">
      <c r="B28" s="14" t="s">
        <v>457</v>
      </c>
      <c r="C28" s="14">
        <v>51</v>
      </c>
      <c r="D28" s="8" t="s">
        <v>781</v>
      </c>
      <c r="E28" s="15">
        <f t="shared" si="0"/>
        <v>0.27822580645161288</v>
      </c>
      <c r="F28" s="5">
        <v>248</v>
      </c>
      <c r="G28" s="16">
        <v>69</v>
      </c>
      <c r="H28" s="16">
        <v>8</v>
      </c>
      <c r="I28" s="16">
        <v>2</v>
      </c>
      <c r="J28" s="6">
        <v>1</v>
      </c>
      <c r="K28" s="7">
        <v>17</v>
      </c>
      <c r="L28" s="15">
        <f t="shared" si="1"/>
        <v>0.33210332103321033</v>
      </c>
      <c r="M28" s="15">
        <f t="shared" si="2"/>
        <v>0.67081299845256515</v>
      </c>
      <c r="N28" s="31">
        <v>19</v>
      </c>
      <c r="O28" s="32">
        <v>2</v>
      </c>
      <c r="P28" s="33">
        <v>2</v>
      </c>
      <c r="Q28" s="17" t="s">
        <v>1244</v>
      </c>
    </row>
    <row r="29" spans="2:17" ht="13.8" x14ac:dyDescent="0.2">
      <c r="B29" s="14" t="s">
        <v>458</v>
      </c>
      <c r="C29" s="14">
        <v>6</v>
      </c>
      <c r="D29" s="17" t="s">
        <v>18</v>
      </c>
      <c r="E29" s="15">
        <f t="shared" si="0"/>
        <v>0.27230046948356806</v>
      </c>
      <c r="F29" s="5">
        <v>213</v>
      </c>
      <c r="G29" s="16">
        <v>58</v>
      </c>
      <c r="H29" s="16">
        <v>13</v>
      </c>
      <c r="I29" s="16">
        <v>0</v>
      </c>
      <c r="J29" s="6">
        <v>11</v>
      </c>
      <c r="K29" s="7">
        <v>23</v>
      </c>
      <c r="L29" s="4">
        <f t="shared" si="1"/>
        <v>0.36734693877551022</v>
      </c>
      <c r="M29" s="4">
        <f t="shared" si="2"/>
        <v>0.85560984957363229</v>
      </c>
      <c r="N29" s="31">
        <v>32</v>
      </c>
      <c r="O29" s="32">
        <v>0</v>
      </c>
      <c r="P29" s="33">
        <v>0</v>
      </c>
      <c r="Q29" s="2" t="s">
        <v>1314</v>
      </c>
    </row>
    <row r="30" spans="2:17" ht="13.8" x14ac:dyDescent="0.2">
      <c r="B30" s="14" t="s">
        <v>459</v>
      </c>
      <c r="C30" s="14">
        <v>8</v>
      </c>
      <c r="D30" s="8" t="s">
        <v>755</v>
      </c>
      <c r="E30" s="15">
        <f t="shared" ref="E30:E35" si="3">IFERROR(IF(G30/F30=1,"1.00",G30/F30),0)</f>
        <v>0.26688102893890675</v>
      </c>
      <c r="F30" s="5">
        <v>311</v>
      </c>
      <c r="G30" s="16">
        <v>83</v>
      </c>
      <c r="H30" s="16">
        <v>21</v>
      </c>
      <c r="I30" s="16">
        <v>0</v>
      </c>
      <c r="J30" s="6">
        <v>20</v>
      </c>
      <c r="K30" s="7">
        <v>52</v>
      </c>
      <c r="L30" s="15">
        <f t="shared" ref="L30:L35" si="4">IFERROR(IF((G30+N30+O30)/(F30+N30+O30+P30)=1,"1.00",(G30+N30+O30)/(F30+N30+O30+P30)),0)</f>
        <v>0.30606060606060603</v>
      </c>
      <c r="M30" s="15">
        <f t="shared" ref="M30:M35" si="5">IFERROR(SUM(SUM(((G30-H30-I30-J30)*1),H30*2,I30*3,J30*4)/F30,((G30+N30+O30)/(F30+N30+O30+P30))),L30)</f>
        <v>0.83339179577121691</v>
      </c>
      <c r="N30" s="31">
        <v>16</v>
      </c>
      <c r="O30" s="32">
        <v>2</v>
      </c>
      <c r="P30" s="33">
        <v>1</v>
      </c>
      <c r="Q30" s="17" t="s">
        <v>1218</v>
      </c>
    </row>
    <row r="31" spans="2:17" ht="13.8" x14ac:dyDescent="0.2">
      <c r="B31" s="14" t="s">
        <v>460</v>
      </c>
      <c r="C31" s="14">
        <v>5</v>
      </c>
      <c r="D31" s="8" t="s">
        <v>753</v>
      </c>
      <c r="E31" s="15">
        <f t="shared" si="3"/>
        <v>0.29154518950437319</v>
      </c>
      <c r="F31" s="5">
        <v>343</v>
      </c>
      <c r="G31" s="16">
        <v>100</v>
      </c>
      <c r="H31" s="16">
        <v>17</v>
      </c>
      <c r="I31" s="16">
        <v>4</v>
      </c>
      <c r="J31" s="6">
        <v>6</v>
      </c>
      <c r="K31" s="7">
        <v>31</v>
      </c>
      <c r="L31" s="15">
        <f t="shared" si="4"/>
        <v>0.32782369146005508</v>
      </c>
      <c r="M31" s="15">
        <f t="shared" si="5"/>
        <v>0.74473331245130869</v>
      </c>
      <c r="N31" s="31">
        <v>18</v>
      </c>
      <c r="O31" s="32">
        <v>1</v>
      </c>
      <c r="P31" s="33">
        <v>1</v>
      </c>
      <c r="Q31" s="17" t="s">
        <v>1216</v>
      </c>
    </row>
    <row r="32" spans="2:17" ht="13.8" x14ac:dyDescent="0.2">
      <c r="B32" s="14" t="s">
        <v>461</v>
      </c>
      <c r="C32" s="14">
        <v>1</v>
      </c>
      <c r="D32" s="8" t="s">
        <v>739</v>
      </c>
      <c r="E32" s="15">
        <f t="shared" si="3"/>
        <v>0.30645161290322581</v>
      </c>
      <c r="F32" s="5">
        <v>248</v>
      </c>
      <c r="G32" s="5">
        <v>76</v>
      </c>
      <c r="H32" s="5">
        <v>15</v>
      </c>
      <c r="I32" s="5">
        <v>0</v>
      </c>
      <c r="J32" s="6">
        <v>15</v>
      </c>
      <c r="K32" s="7">
        <v>38</v>
      </c>
      <c r="L32" s="15">
        <f t="shared" si="4"/>
        <v>0.40677966101694918</v>
      </c>
      <c r="M32" s="15">
        <f t="shared" si="5"/>
        <v>0.95516675779114268</v>
      </c>
      <c r="N32" s="31">
        <v>42</v>
      </c>
      <c r="O32" s="32">
        <v>2</v>
      </c>
      <c r="P32" s="33">
        <v>3</v>
      </c>
      <c r="Q32" s="17" t="s">
        <v>849</v>
      </c>
    </row>
    <row r="33" spans="2:17" ht="13.8" x14ac:dyDescent="0.2">
      <c r="B33" s="14" t="s">
        <v>462</v>
      </c>
      <c r="C33" s="14">
        <v>48</v>
      </c>
      <c r="D33" s="17" t="s">
        <v>427</v>
      </c>
      <c r="E33" s="15">
        <f t="shared" si="3"/>
        <v>0.31854838709677419</v>
      </c>
      <c r="F33" s="5">
        <v>248</v>
      </c>
      <c r="G33" s="16">
        <v>79</v>
      </c>
      <c r="H33" s="16">
        <v>21</v>
      </c>
      <c r="I33" s="16">
        <v>0</v>
      </c>
      <c r="J33" s="6">
        <v>10</v>
      </c>
      <c r="K33" s="7">
        <v>40</v>
      </c>
      <c r="L33" s="4">
        <f t="shared" si="4"/>
        <v>0.38768115942028986</v>
      </c>
      <c r="M33" s="4">
        <f t="shared" si="5"/>
        <v>0.91187470780738655</v>
      </c>
      <c r="N33" s="31">
        <v>24</v>
      </c>
      <c r="O33" s="32">
        <v>4</v>
      </c>
      <c r="P33" s="33">
        <v>0</v>
      </c>
      <c r="Q33" s="2" t="s">
        <v>565</v>
      </c>
    </row>
    <row r="34" spans="2:17" ht="13.8" x14ac:dyDescent="0.2">
      <c r="B34" s="14" t="s">
        <v>463</v>
      </c>
      <c r="C34" s="14">
        <v>8</v>
      </c>
      <c r="D34" s="17" t="s">
        <v>99</v>
      </c>
      <c r="E34" s="15">
        <f t="shared" si="3"/>
        <v>0.29729729729729731</v>
      </c>
      <c r="F34" s="5">
        <v>333</v>
      </c>
      <c r="G34" s="16">
        <v>99</v>
      </c>
      <c r="H34" s="16">
        <v>15</v>
      </c>
      <c r="I34" s="16">
        <v>5</v>
      </c>
      <c r="J34" s="6">
        <v>1</v>
      </c>
      <c r="K34" s="7">
        <v>21</v>
      </c>
      <c r="L34" s="4">
        <f t="shared" si="4"/>
        <v>0.34626038781163437</v>
      </c>
      <c r="M34" s="4">
        <f t="shared" si="5"/>
        <v>0.72764176919301571</v>
      </c>
      <c r="N34" s="31">
        <v>25</v>
      </c>
      <c r="O34" s="32">
        <v>1</v>
      </c>
      <c r="P34" s="33">
        <v>2</v>
      </c>
      <c r="Q34" s="17" t="s">
        <v>1177</v>
      </c>
    </row>
    <row r="35" spans="2:17" ht="13.8" x14ac:dyDescent="0.2">
      <c r="B35" s="14" t="s">
        <v>464</v>
      </c>
      <c r="C35" s="14">
        <v>7</v>
      </c>
      <c r="D35" s="17" t="s">
        <v>594</v>
      </c>
      <c r="E35" s="15">
        <f t="shared" si="3"/>
        <v>0.32831325301204817</v>
      </c>
      <c r="F35" s="5">
        <v>332</v>
      </c>
      <c r="G35" s="16">
        <v>109</v>
      </c>
      <c r="H35" s="16">
        <v>25</v>
      </c>
      <c r="I35" s="16">
        <v>2</v>
      </c>
      <c r="J35" s="6">
        <v>8</v>
      </c>
      <c r="K35" s="7">
        <v>34</v>
      </c>
      <c r="L35" s="15">
        <f t="shared" si="4"/>
        <v>0.39247311827956988</v>
      </c>
      <c r="M35" s="15">
        <f t="shared" si="5"/>
        <v>0.8804249255084855</v>
      </c>
      <c r="N35" s="31">
        <v>34</v>
      </c>
      <c r="O35" s="32">
        <v>3</v>
      </c>
      <c r="P35" s="33">
        <v>3</v>
      </c>
      <c r="Q35" s="2" t="s">
        <v>1272</v>
      </c>
    </row>
    <row r="36" spans="2:17" ht="13.8" x14ac:dyDescent="0.2">
      <c r="B36" s="14" t="s">
        <v>465</v>
      </c>
      <c r="C36" s="14"/>
      <c r="D36" s="17"/>
      <c r="E36" s="15">
        <f t="shared" si="0"/>
        <v>0</v>
      </c>
      <c r="F36" s="5">
        <v>0</v>
      </c>
      <c r="G36" s="16">
        <v>0</v>
      </c>
      <c r="H36" s="16">
        <v>0</v>
      </c>
      <c r="I36" s="16">
        <v>0</v>
      </c>
      <c r="J36" s="6">
        <v>0</v>
      </c>
      <c r="K36" s="7">
        <v>0</v>
      </c>
      <c r="L36" s="4">
        <f t="shared" si="1"/>
        <v>0</v>
      </c>
      <c r="M36" s="4">
        <f t="shared" ref="M36:M66" si="6">IFERROR(SUM(SUM(((G36-H36-I36-J36)*1),H36*2,I36*3,J36*4)/F36,((G36+H36+I36)/(F36+N36+O36+P36))),L36)</f>
        <v>0</v>
      </c>
      <c r="N36" s="31">
        <v>0</v>
      </c>
      <c r="O36" s="32">
        <v>0</v>
      </c>
      <c r="P36" s="33">
        <v>0</v>
      </c>
      <c r="Q36" s="2"/>
    </row>
    <row r="37" spans="2:17" ht="13.8" x14ac:dyDescent="0.2">
      <c r="B37" s="14" t="s">
        <v>466</v>
      </c>
      <c r="C37" s="14"/>
      <c r="D37" s="17"/>
      <c r="E37" s="15">
        <f t="shared" si="0"/>
        <v>0</v>
      </c>
      <c r="F37" s="5">
        <v>0</v>
      </c>
      <c r="G37" s="16">
        <v>0</v>
      </c>
      <c r="H37" s="16">
        <v>0</v>
      </c>
      <c r="I37" s="16">
        <v>0</v>
      </c>
      <c r="J37" s="6">
        <v>0</v>
      </c>
      <c r="K37" s="7">
        <v>0</v>
      </c>
      <c r="L37" s="4">
        <f t="shared" si="1"/>
        <v>0</v>
      </c>
      <c r="M37" s="4">
        <f t="shared" si="6"/>
        <v>0</v>
      </c>
      <c r="N37" s="31">
        <v>0</v>
      </c>
      <c r="O37" s="32">
        <v>0</v>
      </c>
      <c r="P37" s="33">
        <v>0</v>
      </c>
      <c r="Q37" s="2"/>
    </row>
    <row r="38" spans="2:17" ht="13.8" x14ac:dyDescent="0.2">
      <c r="B38" s="14" t="s">
        <v>467</v>
      </c>
      <c r="C38" s="14"/>
      <c r="D38" s="17"/>
      <c r="E38" s="15">
        <f t="shared" si="0"/>
        <v>0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1"/>
        <v>0</v>
      </c>
      <c r="M38" s="4">
        <f t="shared" si="6"/>
        <v>0</v>
      </c>
      <c r="N38" s="31">
        <v>0</v>
      </c>
      <c r="O38" s="32">
        <v>0</v>
      </c>
      <c r="P38" s="33">
        <v>0</v>
      </c>
      <c r="Q38" s="2"/>
    </row>
    <row r="39" spans="2:17" ht="13.8" x14ac:dyDescent="0.2">
      <c r="B39" s="14" t="s">
        <v>468</v>
      </c>
      <c r="C39" s="14"/>
      <c r="D39" s="17"/>
      <c r="E39" s="15">
        <f t="shared" si="0"/>
        <v>0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1"/>
        <v>0</v>
      </c>
      <c r="M39" s="4">
        <f t="shared" si="6"/>
        <v>0</v>
      </c>
      <c r="N39" s="31">
        <v>0</v>
      </c>
      <c r="O39" s="32">
        <v>0</v>
      </c>
      <c r="P39" s="33">
        <v>0</v>
      </c>
      <c r="Q39" s="2"/>
    </row>
    <row r="40" spans="2:17" ht="13.8" x14ac:dyDescent="0.2">
      <c r="B40" s="14" t="s">
        <v>469</v>
      </c>
      <c r="C40" s="14"/>
      <c r="D40" s="17"/>
      <c r="E40" s="15">
        <f t="shared" si="0"/>
        <v>0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1"/>
        <v>0</v>
      </c>
      <c r="M40" s="4">
        <f t="shared" si="6"/>
        <v>0</v>
      </c>
      <c r="N40" s="31">
        <v>0</v>
      </c>
      <c r="O40" s="32">
        <v>0</v>
      </c>
      <c r="P40" s="33">
        <v>0</v>
      </c>
      <c r="Q40" s="2"/>
    </row>
    <row r="41" spans="2:17" ht="13.8" x14ac:dyDescent="0.2">
      <c r="B41" s="14" t="s">
        <v>470</v>
      </c>
      <c r="C41" s="14"/>
      <c r="D41" s="17"/>
      <c r="E41" s="15">
        <f t="shared" si="0"/>
        <v>0</v>
      </c>
      <c r="F41" s="5">
        <v>0</v>
      </c>
      <c r="G41" s="16">
        <v>0</v>
      </c>
      <c r="H41" s="16">
        <v>0</v>
      </c>
      <c r="I41" s="16">
        <v>0</v>
      </c>
      <c r="J41" s="6">
        <v>0</v>
      </c>
      <c r="K41" s="7">
        <v>0</v>
      </c>
      <c r="L41" s="4">
        <f t="shared" si="1"/>
        <v>0</v>
      </c>
      <c r="M41" s="4">
        <f t="shared" si="6"/>
        <v>0</v>
      </c>
      <c r="N41" s="31">
        <v>0</v>
      </c>
      <c r="O41" s="32">
        <v>0</v>
      </c>
      <c r="P41" s="33">
        <v>0</v>
      </c>
      <c r="Q41" s="2"/>
    </row>
    <row r="42" spans="2:17" ht="13.8" x14ac:dyDescent="0.2">
      <c r="B42" s="14" t="s">
        <v>471</v>
      </c>
      <c r="C42" s="14"/>
      <c r="D42" s="17"/>
      <c r="E42" s="15">
        <f t="shared" si="0"/>
        <v>0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1"/>
        <v>0</v>
      </c>
      <c r="M42" s="4">
        <f t="shared" si="6"/>
        <v>0</v>
      </c>
      <c r="N42" s="31">
        <v>0</v>
      </c>
      <c r="O42" s="32">
        <v>0</v>
      </c>
      <c r="P42" s="33">
        <v>0</v>
      </c>
      <c r="Q42" s="2"/>
    </row>
    <row r="43" spans="2:17" ht="13.8" x14ac:dyDescent="0.2">
      <c r="B43" s="14" t="s">
        <v>472</v>
      </c>
      <c r="C43" s="14"/>
      <c r="D43" s="17"/>
      <c r="E43" s="15">
        <f t="shared" si="0"/>
        <v>0</v>
      </c>
      <c r="F43" s="5">
        <v>0</v>
      </c>
      <c r="G43" s="16">
        <v>0</v>
      </c>
      <c r="H43" s="16">
        <v>0</v>
      </c>
      <c r="I43" s="16">
        <v>0</v>
      </c>
      <c r="J43" s="6">
        <v>0</v>
      </c>
      <c r="K43" s="7">
        <v>0</v>
      </c>
      <c r="L43" s="4">
        <f t="shared" si="1"/>
        <v>0</v>
      </c>
      <c r="M43" s="4">
        <f t="shared" si="6"/>
        <v>0</v>
      </c>
      <c r="N43" s="31">
        <v>0</v>
      </c>
      <c r="O43" s="32">
        <v>0</v>
      </c>
      <c r="P43" s="33">
        <v>0</v>
      </c>
      <c r="Q43" s="2"/>
    </row>
    <row r="44" spans="2:17" ht="13.8" x14ac:dyDescent="0.2">
      <c r="B44" s="14" t="s">
        <v>473</v>
      </c>
      <c r="C44" s="14"/>
      <c r="D44" s="17"/>
      <c r="E44" s="15">
        <f t="shared" si="0"/>
        <v>0</v>
      </c>
      <c r="F44" s="5">
        <v>0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1"/>
        <v>0</v>
      </c>
      <c r="M44" s="4">
        <f t="shared" si="6"/>
        <v>0</v>
      </c>
      <c r="N44" s="31">
        <v>0</v>
      </c>
      <c r="O44" s="32">
        <v>0</v>
      </c>
      <c r="P44" s="33">
        <v>0</v>
      </c>
      <c r="Q44" s="2"/>
    </row>
    <row r="45" spans="2:17" ht="13.8" x14ac:dyDescent="0.2">
      <c r="B45" s="14" t="s">
        <v>474</v>
      </c>
      <c r="C45" s="14"/>
      <c r="D45" s="17"/>
      <c r="E45" s="15">
        <f t="shared" si="0"/>
        <v>0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1"/>
        <v>0</v>
      </c>
      <c r="M45" s="4">
        <f t="shared" si="6"/>
        <v>0</v>
      </c>
      <c r="N45" s="31">
        <v>0</v>
      </c>
      <c r="O45" s="32">
        <v>0</v>
      </c>
      <c r="P45" s="33">
        <v>0</v>
      </c>
      <c r="Q45" s="2"/>
    </row>
    <row r="46" spans="2:17" ht="13.8" x14ac:dyDescent="0.2">
      <c r="B46" s="14" t="s">
        <v>475</v>
      </c>
      <c r="C46" s="14"/>
      <c r="D46" s="17"/>
      <c r="E46" s="15">
        <f t="shared" si="0"/>
        <v>0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1"/>
        <v>0</v>
      </c>
      <c r="M46" s="4">
        <f t="shared" si="6"/>
        <v>0</v>
      </c>
      <c r="N46" s="31">
        <v>0</v>
      </c>
      <c r="O46" s="32">
        <v>0</v>
      </c>
      <c r="P46" s="33">
        <v>0</v>
      </c>
      <c r="Q46" s="2"/>
    </row>
    <row r="47" spans="2:17" ht="13.8" x14ac:dyDescent="0.2">
      <c r="B47" s="14" t="s">
        <v>476</v>
      </c>
      <c r="C47" s="14"/>
      <c r="D47" s="8"/>
      <c r="E47" s="15">
        <f t="shared" si="0"/>
        <v>0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1"/>
        <v>0</v>
      </c>
      <c r="M47" s="4">
        <f t="shared" si="6"/>
        <v>0</v>
      </c>
      <c r="N47" s="31">
        <v>0</v>
      </c>
      <c r="O47" s="32">
        <v>0</v>
      </c>
      <c r="P47" s="33">
        <v>0</v>
      </c>
      <c r="Q47" s="2"/>
    </row>
    <row r="48" spans="2:17" ht="13.8" x14ac:dyDescent="0.2">
      <c r="B48" s="14" t="s">
        <v>477</v>
      </c>
      <c r="C48" s="14"/>
      <c r="D48" s="17"/>
      <c r="E48" s="15">
        <f t="shared" si="0"/>
        <v>0</v>
      </c>
      <c r="F48" s="5">
        <v>0</v>
      </c>
      <c r="G48" s="16">
        <v>0</v>
      </c>
      <c r="H48" s="16">
        <v>0</v>
      </c>
      <c r="I48" s="16">
        <v>0</v>
      </c>
      <c r="J48" s="6">
        <v>0</v>
      </c>
      <c r="K48" s="7">
        <v>0</v>
      </c>
      <c r="L48" s="4">
        <f t="shared" si="1"/>
        <v>0</v>
      </c>
      <c r="M48" s="4">
        <f t="shared" si="6"/>
        <v>0</v>
      </c>
      <c r="N48" s="31">
        <v>0</v>
      </c>
      <c r="O48" s="32">
        <v>0</v>
      </c>
      <c r="P48" s="33">
        <v>0</v>
      </c>
      <c r="Q48" s="2"/>
    </row>
    <row r="49" spans="2:17" ht="13.8" x14ac:dyDescent="0.2">
      <c r="B49" s="14" t="s">
        <v>478</v>
      </c>
      <c r="C49" s="14"/>
      <c r="D49" s="17"/>
      <c r="E49" s="15">
        <f t="shared" si="0"/>
        <v>0</v>
      </c>
      <c r="F49" s="5">
        <v>0</v>
      </c>
      <c r="G49" s="16">
        <v>0</v>
      </c>
      <c r="H49" s="16">
        <v>0</v>
      </c>
      <c r="I49" s="16">
        <v>0</v>
      </c>
      <c r="J49" s="6">
        <v>0</v>
      </c>
      <c r="K49" s="7">
        <v>0</v>
      </c>
      <c r="L49" s="4">
        <f t="shared" si="1"/>
        <v>0</v>
      </c>
      <c r="M49" s="4">
        <f t="shared" si="6"/>
        <v>0</v>
      </c>
      <c r="N49" s="31">
        <v>0</v>
      </c>
      <c r="O49" s="32">
        <v>0</v>
      </c>
      <c r="P49" s="33">
        <v>0</v>
      </c>
      <c r="Q49" s="2"/>
    </row>
    <row r="50" spans="2:17" ht="13.8" x14ac:dyDescent="0.2">
      <c r="B50" s="14" t="s">
        <v>479</v>
      </c>
      <c r="C50" s="14"/>
      <c r="D50" s="17"/>
      <c r="E50" s="15">
        <f t="shared" si="0"/>
        <v>0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1"/>
        <v>0</v>
      </c>
      <c r="M50" s="4">
        <f t="shared" si="6"/>
        <v>0</v>
      </c>
      <c r="N50" s="31">
        <v>0</v>
      </c>
      <c r="O50" s="32">
        <v>0</v>
      </c>
      <c r="P50" s="33">
        <v>0</v>
      </c>
      <c r="Q50" s="2"/>
    </row>
    <row r="51" spans="2:17" ht="13.8" x14ac:dyDescent="0.2">
      <c r="B51" s="14" t="s">
        <v>480</v>
      </c>
      <c r="C51" s="14"/>
      <c r="D51" s="17"/>
      <c r="E51" s="15">
        <f t="shared" si="0"/>
        <v>0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1"/>
        <v>0</v>
      </c>
      <c r="M51" s="4">
        <f t="shared" si="6"/>
        <v>0</v>
      </c>
      <c r="N51" s="31">
        <v>0</v>
      </c>
      <c r="O51" s="32">
        <v>0</v>
      </c>
      <c r="P51" s="33">
        <v>0</v>
      </c>
      <c r="Q51" s="2"/>
    </row>
    <row r="52" spans="2:17" ht="13.8" x14ac:dyDescent="0.2">
      <c r="B52" s="14" t="s">
        <v>481</v>
      </c>
      <c r="C52" s="14"/>
      <c r="D52" s="17"/>
      <c r="E52" s="15">
        <f t="shared" si="0"/>
        <v>0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1"/>
        <v>0</v>
      </c>
      <c r="M52" s="4">
        <f t="shared" si="6"/>
        <v>0</v>
      </c>
      <c r="N52" s="31">
        <v>0</v>
      </c>
      <c r="O52" s="32">
        <v>0</v>
      </c>
      <c r="P52" s="33">
        <v>0</v>
      </c>
      <c r="Q52" s="2"/>
    </row>
    <row r="53" spans="2:17" ht="13.8" x14ac:dyDescent="0.2">
      <c r="B53" s="14" t="s">
        <v>482</v>
      </c>
      <c r="C53" s="14"/>
      <c r="D53" s="17"/>
      <c r="E53" s="15">
        <f t="shared" si="0"/>
        <v>0</v>
      </c>
      <c r="F53" s="5">
        <v>0</v>
      </c>
      <c r="G53" s="16">
        <v>0</v>
      </c>
      <c r="H53" s="16">
        <v>0</v>
      </c>
      <c r="I53" s="16">
        <v>0</v>
      </c>
      <c r="J53" s="6">
        <v>0</v>
      </c>
      <c r="K53" s="7">
        <v>0</v>
      </c>
      <c r="L53" s="4">
        <f t="shared" si="1"/>
        <v>0</v>
      </c>
      <c r="M53" s="4">
        <f t="shared" si="6"/>
        <v>0</v>
      </c>
      <c r="N53" s="31">
        <v>0</v>
      </c>
      <c r="O53" s="32">
        <v>0</v>
      </c>
      <c r="P53" s="33">
        <v>0</v>
      </c>
      <c r="Q53" s="2"/>
    </row>
    <row r="54" spans="2:17" ht="13.8" x14ac:dyDescent="0.2">
      <c r="B54" s="14" t="s">
        <v>483</v>
      </c>
      <c r="C54" s="14"/>
      <c r="D54" s="17"/>
      <c r="E54" s="15">
        <f t="shared" si="0"/>
        <v>0</v>
      </c>
      <c r="F54" s="5">
        <v>0</v>
      </c>
      <c r="G54" s="16">
        <v>0</v>
      </c>
      <c r="H54" s="16">
        <v>0</v>
      </c>
      <c r="I54" s="16">
        <v>0</v>
      </c>
      <c r="J54" s="6">
        <v>0</v>
      </c>
      <c r="K54" s="7">
        <v>0</v>
      </c>
      <c r="L54" s="4">
        <f t="shared" si="1"/>
        <v>0</v>
      </c>
      <c r="M54" s="4">
        <f t="shared" si="6"/>
        <v>0</v>
      </c>
      <c r="N54" s="31">
        <v>0</v>
      </c>
      <c r="O54" s="32">
        <v>0</v>
      </c>
      <c r="P54" s="33">
        <v>0</v>
      </c>
      <c r="Q54" s="2"/>
    </row>
    <row r="55" spans="2:17" ht="13.8" x14ac:dyDescent="0.2">
      <c r="B55" s="14" t="s">
        <v>484</v>
      </c>
      <c r="C55" s="14"/>
      <c r="D55" s="17"/>
      <c r="E55" s="15">
        <f t="shared" si="0"/>
        <v>0</v>
      </c>
      <c r="F55" s="5">
        <v>0</v>
      </c>
      <c r="G55" s="16">
        <v>0</v>
      </c>
      <c r="H55" s="16">
        <v>0</v>
      </c>
      <c r="I55" s="16">
        <v>0</v>
      </c>
      <c r="J55" s="6">
        <v>0</v>
      </c>
      <c r="K55" s="7">
        <v>0</v>
      </c>
      <c r="L55" s="4">
        <f t="shared" si="1"/>
        <v>0</v>
      </c>
      <c r="M55" s="4">
        <f t="shared" si="6"/>
        <v>0</v>
      </c>
      <c r="N55" s="31">
        <v>0</v>
      </c>
      <c r="O55" s="32">
        <v>0</v>
      </c>
      <c r="P55" s="33">
        <v>0</v>
      </c>
      <c r="Q55" s="2"/>
    </row>
    <row r="56" spans="2:17" ht="13.8" x14ac:dyDescent="0.2">
      <c r="B56" s="14" t="s">
        <v>485</v>
      </c>
      <c r="C56" s="14"/>
      <c r="D56" s="17"/>
      <c r="E56" s="15">
        <f t="shared" si="0"/>
        <v>0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1"/>
        <v>0</v>
      </c>
      <c r="M56" s="4">
        <f t="shared" si="6"/>
        <v>0</v>
      </c>
      <c r="N56" s="31">
        <v>0</v>
      </c>
      <c r="O56" s="32">
        <v>0</v>
      </c>
      <c r="P56" s="33">
        <v>0</v>
      </c>
      <c r="Q56" s="2"/>
    </row>
    <row r="57" spans="2:17" ht="13.8" x14ac:dyDescent="0.2">
      <c r="B57" s="14" t="s">
        <v>486</v>
      </c>
      <c r="C57" s="14"/>
      <c r="D57" s="17"/>
      <c r="E57" s="15">
        <f t="shared" si="0"/>
        <v>0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1"/>
        <v>0</v>
      </c>
      <c r="M57" s="4">
        <f t="shared" si="6"/>
        <v>0</v>
      </c>
      <c r="N57" s="31">
        <v>0</v>
      </c>
      <c r="O57" s="32">
        <v>0</v>
      </c>
      <c r="P57" s="33">
        <v>0</v>
      </c>
      <c r="Q57" s="2"/>
    </row>
    <row r="58" spans="2:17" ht="13.8" x14ac:dyDescent="0.2">
      <c r="B58" s="14" t="s">
        <v>487</v>
      </c>
      <c r="C58" s="14"/>
      <c r="D58" s="17"/>
      <c r="E58" s="15">
        <f t="shared" si="0"/>
        <v>0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1"/>
        <v>0</v>
      </c>
      <c r="M58" s="4">
        <f t="shared" si="6"/>
        <v>0</v>
      </c>
      <c r="N58" s="31">
        <v>0</v>
      </c>
      <c r="O58" s="32">
        <v>0</v>
      </c>
      <c r="P58" s="33">
        <v>0</v>
      </c>
      <c r="Q58" s="2"/>
    </row>
    <row r="59" spans="2:17" ht="13.8" x14ac:dyDescent="0.2">
      <c r="B59" s="14" t="s">
        <v>488</v>
      </c>
      <c r="C59" s="14"/>
      <c r="D59" s="17"/>
      <c r="E59" s="15">
        <f t="shared" si="0"/>
        <v>0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1"/>
        <v>0</v>
      </c>
      <c r="M59" s="4">
        <f t="shared" si="6"/>
        <v>0</v>
      </c>
      <c r="N59" s="31">
        <v>0</v>
      </c>
      <c r="O59" s="32">
        <v>0</v>
      </c>
      <c r="P59" s="33">
        <v>0</v>
      </c>
      <c r="Q59" s="2"/>
    </row>
    <row r="60" spans="2:17" ht="13.8" x14ac:dyDescent="0.2">
      <c r="B60" s="14" t="s">
        <v>489</v>
      </c>
      <c r="C60" s="14"/>
      <c r="D60" s="17"/>
      <c r="E60" s="15">
        <f t="shared" si="0"/>
        <v>0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1"/>
        <v>0</v>
      </c>
      <c r="M60" s="4">
        <f t="shared" si="6"/>
        <v>0</v>
      </c>
      <c r="N60" s="31">
        <v>0</v>
      </c>
      <c r="O60" s="32">
        <v>0</v>
      </c>
      <c r="P60" s="33">
        <v>0</v>
      </c>
      <c r="Q60" s="2"/>
    </row>
    <row r="61" spans="2:17" ht="13.8" x14ac:dyDescent="0.2">
      <c r="B61" s="14" t="s">
        <v>490</v>
      </c>
      <c r="C61" s="14"/>
      <c r="D61" s="17"/>
      <c r="E61" s="15">
        <f t="shared" si="0"/>
        <v>0</v>
      </c>
      <c r="F61" s="5">
        <v>0</v>
      </c>
      <c r="G61" s="16">
        <v>0</v>
      </c>
      <c r="H61" s="16">
        <v>0</v>
      </c>
      <c r="I61" s="16">
        <v>0</v>
      </c>
      <c r="J61" s="6">
        <v>0</v>
      </c>
      <c r="K61" s="7">
        <v>0</v>
      </c>
      <c r="L61" s="4">
        <f t="shared" si="1"/>
        <v>0</v>
      </c>
      <c r="M61" s="4">
        <f t="shared" si="6"/>
        <v>0</v>
      </c>
      <c r="N61" s="31">
        <v>0</v>
      </c>
      <c r="O61" s="32">
        <v>0</v>
      </c>
      <c r="P61" s="33">
        <v>0</v>
      </c>
      <c r="Q61" s="2"/>
    </row>
    <row r="62" spans="2:17" ht="13.8" x14ac:dyDescent="0.2">
      <c r="B62" s="14" t="s">
        <v>491</v>
      </c>
      <c r="C62" s="14"/>
      <c r="D62" s="17"/>
      <c r="E62" s="15">
        <f t="shared" si="0"/>
        <v>0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1"/>
        <v>0</v>
      </c>
      <c r="M62" s="4">
        <f t="shared" si="6"/>
        <v>0</v>
      </c>
      <c r="N62" s="31">
        <v>0</v>
      </c>
      <c r="O62" s="32">
        <v>0</v>
      </c>
      <c r="P62" s="33">
        <v>0</v>
      </c>
      <c r="Q62" s="2"/>
    </row>
    <row r="63" spans="2:17" ht="13.8" x14ac:dyDescent="0.2">
      <c r="B63" s="14" t="s">
        <v>492</v>
      </c>
      <c r="C63" s="14"/>
      <c r="D63" s="17"/>
      <c r="E63" s="15">
        <f t="shared" si="0"/>
        <v>0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1"/>
        <v>0</v>
      </c>
      <c r="M63" s="4">
        <f t="shared" si="6"/>
        <v>0</v>
      </c>
      <c r="N63" s="31">
        <v>0</v>
      </c>
      <c r="O63" s="32">
        <v>0</v>
      </c>
      <c r="P63" s="33">
        <v>0</v>
      </c>
      <c r="Q63" s="2"/>
    </row>
    <row r="64" spans="2:17" ht="13.8" x14ac:dyDescent="0.2">
      <c r="B64" s="14" t="s">
        <v>493</v>
      </c>
      <c r="C64" s="14"/>
      <c r="D64" s="17"/>
      <c r="E64" s="15">
        <f t="shared" si="0"/>
        <v>0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1"/>
        <v>0</v>
      </c>
      <c r="M64" s="4">
        <f t="shared" si="6"/>
        <v>0</v>
      </c>
      <c r="N64" s="31">
        <v>0</v>
      </c>
      <c r="O64" s="32">
        <v>0</v>
      </c>
      <c r="P64" s="33">
        <v>0</v>
      </c>
      <c r="Q64" s="2"/>
    </row>
    <row r="65" spans="2:17" ht="13.8" x14ac:dyDescent="0.2">
      <c r="B65" s="14" t="s">
        <v>494</v>
      </c>
      <c r="C65" s="14"/>
      <c r="D65" s="17"/>
      <c r="E65" s="15">
        <f t="shared" si="0"/>
        <v>0</v>
      </c>
      <c r="F65" s="5">
        <v>0</v>
      </c>
      <c r="G65" s="16">
        <v>0</v>
      </c>
      <c r="H65" s="16">
        <v>0</v>
      </c>
      <c r="I65" s="16">
        <v>0</v>
      </c>
      <c r="J65" s="6">
        <v>0</v>
      </c>
      <c r="K65" s="7">
        <v>0</v>
      </c>
      <c r="L65" s="4">
        <f t="shared" si="1"/>
        <v>0</v>
      </c>
      <c r="M65" s="4">
        <f t="shared" si="6"/>
        <v>0</v>
      </c>
      <c r="N65" s="31">
        <v>0</v>
      </c>
      <c r="O65" s="32">
        <v>0</v>
      </c>
      <c r="P65" s="33">
        <v>0</v>
      </c>
      <c r="Q65" s="2"/>
    </row>
    <row r="66" spans="2:17" ht="13.8" x14ac:dyDescent="0.2">
      <c r="B66" s="14" t="s">
        <v>495</v>
      </c>
      <c r="C66" s="14"/>
      <c r="D66" s="17"/>
      <c r="E66" s="15">
        <f t="shared" si="0"/>
        <v>0</v>
      </c>
      <c r="F66" s="5">
        <v>0</v>
      </c>
      <c r="G66" s="16">
        <v>0</v>
      </c>
      <c r="H66" s="16">
        <v>0</v>
      </c>
      <c r="I66" s="16">
        <v>0</v>
      </c>
      <c r="J66" s="6">
        <v>0</v>
      </c>
      <c r="K66" s="7">
        <v>0</v>
      </c>
      <c r="L66" s="4">
        <f t="shared" si="1"/>
        <v>0</v>
      </c>
      <c r="M66" s="4">
        <f t="shared" si="6"/>
        <v>0</v>
      </c>
      <c r="N66" s="31">
        <v>0</v>
      </c>
      <c r="O66" s="32">
        <v>0</v>
      </c>
      <c r="P66" s="33">
        <v>0</v>
      </c>
      <c r="Q66" s="2"/>
    </row>
    <row r="67" spans="2:17" ht="13.8" x14ac:dyDescent="0.2">
      <c r="B67" s="14" t="s">
        <v>496</v>
      </c>
      <c r="C67" s="14"/>
      <c r="D67" s="17"/>
      <c r="E67" s="15">
        <f t="shared" si="0"/>
        <v>0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1"/>
        <v>0</v>
      </c>
      <c r="M67" s="4">
        <f t="shared" ref="M67:M130" si="7">IFERROR(SUM(SUM(((G67-H67-I67-J67)*1),H67*2,I67*3,J67*4)/F67,((G67+H67+I67)/(F67+N67+O67+P67))),L67)</f>
        <v>0</v>
      </c>
      <c r="N67" s="31">
        <v>0</v>
      </c>
      <c r="O67" s="32">
        <v>0</v>
      </c>
      <c r="P67" s="33">
        <v>0</v>
      </c>
      <c r="Q67" s="2"/>
    </row>
    <row r="68" spans="2:17" ht="13.8" x14ac:dyDescent="0.2">
      <c r="B68" s="14" t="s">
        <v>497</v>
      </c>
      <c r="C68" s="14"/>
      <c r="D68" s="9"/>
      <c r="E68" s="15">
        <f t="shared" si="0"/>
        <v>0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1"/>
        <v>0</v>
      </c>
      <c r="M68" s="4">
        <f t="shared" si="7"/>
        <v>0</v>
      </c>
      <c r="N68" s="31">
        <v>0</v>
      </c>
      <c r="O68" s="32">
        <v>0</v>
      </c>
      <c r="P68" s="33">
        <v>0</v>
      </c>
      <c r="Q68" s="2"/>
    </row>
    <row r="69" spans="2:17" ht="13.8" x14ac:dyDescent="0.2">
      <c r="B69" s="14" t="s">
        <v>498</v>
      </c>
      <c r="C69" s="14"/>
      <c r="D69" s="17"/>
      <c r="E69" s="15">
        <f t="shared" ref="E69:E132" si="8">IFERROR(IF(G69/F69=1,"1.00",G69/F69),0)</f>
        <v>0</v>
      </c>
      <c r="F69" s="5">
        <v>0</v>
      </c>
      <c r="G69" s="16">
        <v>0</v>
      </c>
      <c r="H69" s="16">
        <v>0</v>
      </c>
      <c r="I69" s="16">
        <v>0</v>
      </c>
      <c r="J69" s="6">
        <v>0</v>
      </c>
      <c r="K69" s="7">
        <v>0</v>
      </c>
      <c r="L69" s="4">
        <f t="shared" ref="L69:L132" si="9">IFERROR(IF((G69+N69+O69)/(F69+N69+O69+P69)=1,"1.00",(G69+N69+O69)/(F69+N69+O69+P69)),0)</f>
        <v>0</v>
      </c>
      <c r="M69" s="4">
        <f t="shared" si="7"/>
        <v>0</v>
      </c>
      <c r="N69" s="31">
        <v>0</v>
      </c>
      <c r="O69" s="32">
        <v>0</v>
      </c>
      <c r="P69" s="33">
        <v>0</v>
      </c>
      <c r="Q69" s="2"/>
    </row>
    <row r="70" spans="2:17" ht="13.8" x14ac:dyDescent="0.2">
      <c r="B70" s="14" t="s">
        <v>499</v>
      </c>
      <c r="C70" s="14"/>
      <c r="D70" s="9"/>
      <c r="E70" s="15">
        <f t="shared" si="8"/>
        <v>0</v>
      </c>
      <c r="F70" s="5">
        <v>0</v>
      </c>
      <c r="G70" s="16">
        <v>0</v>
      </c>
      <c r="H70" s="16">
        <v>0</v>
      </c>
      <c r="I70" s="16">
        <v>0</v>
      </c>
      <c r="J70" s="6">
        <v>0</v>
      </c>
      <c r="K70" s="7">
        <v>0</v>
      </c>
      <c r="L70" s="4">
        <f t="shared" si="9"/>
        <v>0</v>
      </c>
      <c r="M70" s="4">
        <f t="shared" si="7"/>
        <v>0</v>
      </c>
      <c r="N70" s="31">
        <v>0</v>
      </c>
      <c r="O70" s="32">
        <v>0</v>
      </c>
      <c r="P70" s="33">
        <v>0</v>
      </c>
      <c r="Q70" s="2"/>
    </row>
    <row r="71" spans="2:17" ht="13.8" x14ac:dyDescent="0.2">
      <c r="B71" s="14" t="s">
        <v>500</v>
      </c>
      <c r="C71" s="14"/>
      <c r="D71" s="17"/>
      <c r="E71" s="15">
        <f t="shared" si="8"/>
        <v>0</v>
      </c>
      <c r="F71" s="5">
        <v>0</v>
      </c>
      <c r="G71" s="16">
        <v>0</v>
      </c>
      <c r="H71" s="16">
        <v>0</v>
      </c>
      <c r="I71" s="16">
        <v>0</v>
      </c>
      <c r="J71" s="6">
        <v>0</v>
      </c>
      <c r="K71" s="7">
        <v>0</v>
      </c>
      <c r="L71" s="4">
        <f t="shared" si="9"/>
        <v>0</v>
      </c>
      <c r="M71" s="4">
        <f t="shared" si="7"/>
        <v>0</v>
      </c>
      <c r="N71" s="31">
        <v>0</v>
      </c>
      <c r="O71" s="32">
        <v>0</v>
      </c>
      <c r="P71" s="33">
        <v>0</v>
      </c>
      <c r="Q71" s="2"/>
    </row>
    <row r="72" spans="2:17" ht="13.8" x14ac:dyDescent="0.2">
      <c r="B72" s="14" t="s">
        <v>501</v>
      </c>
      <c r="C72" s="14"/>
      <c r="D72" s="17"/>
      <c r="E72" s="15">
        <f t="shared" si="8"/>
        <v>0</v>
      </c>
      <c r="F72" s="5">
        <v>0</v>
      </c>
      <c r="G72" s="16">
        <v>0</v>
      </c>
      <c r="H72" s="16">
        <v>0</v>
      </c>
      <c r="I72" s="16">
        <v>0</v>
      </c>
      <c r="J72" s="6">
        <v>0</v>
      </c>
      <c r="K72" s="7">
        <v>0</v>
      </c>
      <c r="L72" s="4">
        <f t="shared" si="9"/>
        <v>0</v>
      </c>
      <c r="M72" s="4">
        <f t="shared" si="7"/>
        <v>0</v>
      </c>
      <c r="N72" s="31">
        <v>0</v>
      </c>
      <c r="O72" s="32">
        <v>0</v>
      </c>
      <c r="P72" s="33">
        <v>0</v>
      </c>
      <c r="Q72" s="2"/>
    </row>
    <row r="73" spans="2:17" ht="13.8" x14ac:dyDescent="0.2">
      <c r="B73" s="14" t="s">
        <v>502</v>
      </c>
      <c r="C73" s="14"/>
      <c r="D73" s="17"/>
      <c r="E73" s="15">
        <f t="shared" si="8"/>
        <v>0</v>
      </c>
      <c r="F73" s="5">
        <v>0</v>
      </c>
      <c r="G73" s="16">
        <v>0</v>
      </c>
      <c r="H73" s="16">
        <v>0</v>
      </c>
      <c r="I73" s="16">
        <v>0</v>
      </c>
      <c r="J73" s="6">
        <v>0</v>
      </c>
      <c r="K73" s="7">
        <v>0</v>
      </c>
      <c r="L73" s="4">
        <f t="shared" si="9"/>
        <v>0</v>
      </c>
      <c r="M73" s="4">
        <f t="shared" si="7"/>
        <v>0</v>
      </c>
      <c r="N73" s="31">
        <v>0</v>
      </c>
      <c r="O73" s="32">
        <v>0</v>
      </c>
      <c r="P73" s="33">
        <v>0</v>
      </c>
      <c r="Q73" s="2"/>
    </row>
    <row r="74" spans="2:17" ht="13.8" x14ac:dyDescent="0.2">
      <c r="B74" s="14" t="s">
        <v>503</v>
      </c>
      <c r="C74" s="14"/>
      <c r="D74" s="17"/>
      <c r="E74" s="15">
        <f t="shared" si="8"/>
        <v>0</v>
      </c>
      <c r="F74" s="5">
        <v>0</v>
      </c>
      <c r="G74" s="16">
        <v>0</v>
      </c>
      <c r="H74" s="16">
        <v>0</v>
      </c>
      <c r="I74" s="16">
        <v>0</v>
      </c>
      <c r="J74" s="6">
        <v>0</v>
      </c>
      <c r="K74" s="7">
        <v>0</v>
      </c>
      <c r="L74" s="4">
        <f t="shared" si="9"/>
        <v>0</v>
      </c>
      <c r="M74" s="4">
        <f t="shared" si="7"/>
        <v>0</v>
      </c>
      <c r="N74" s="31">
        <v>0</v>
      </c>
      <c r="O74" s="32">
        <v>0</v>
      </c>
      <c r="P74" s="33">
        <v>0</v>
      </c>
      <c r="Q74" s="2"/>
    </row>
    <row r="75" spans="2:17" ht="13.8" x14ac:dyDescent="0.2">
      <c r="B75" s="14" t="s">
        <v>504</v>
      </c>
      <c r="C75" s="14"/>
      <c r="D75" s="9"/>
      <c r="E75" s="15">
        <f t="shared" si="8"/>
        <v>0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9"/>
        <v>0</v>
      </c>
      <c r="M75" s="4">
        <f t="shared" si="7"/>
        <v>0</v>
      </c>
      <c r="N75" s="31">
        <v>0</v>
      </c>
      <c r="O75" s="32">
        <v>0</v>
      </c>
      <c r="P75" s="33">
        <v>0</v>
      </c>
      <c r="Q75" s="2"/>
    </row>
    <row r="76" spans="2:17" ht="13.8" x14ac:dyDescent="0.2">
      <c r="B76" s="14" t="s">
        <v>505</v>
      </c>
      <c r="C76" s="14"/>
      <c r="D76" s="17"/>
      <c r="E76" s="15">
        <f t="shared" si="8"/>
        <v>0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9"/>
        <v>0</v>
      </c>
      <c r="M76" s="4">
        <f t="shared" si="7"/>
        <v>0</v>
      </c>
      <c r="N76" s="31">
        <v>0</v>
      </c>
      <c r="O76" s="32">
        <v>0</v>
      </c>
      <c r="P76" s="33">
        <v>0</v>
      </c>
      <c r="Q76" s="2"/>
    </row>
    <row r="77" spans="2:17" ht="13.8" x14ac:dyDescent="0.2">
      <c r="B77" s="14" t="s">
        <v>506</v>
      </c>
      <c r="C77" s="14"/>
      <c r="D77" s="8"/>
      <c r="E77" s="15">
        <f t="shared" si="8"/>
        <v>0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9"/>
        <v>0</v>
      </c>
      <c r="M77" s="4">
        <f t="shared" si="7"/>
        <v>0</v>
      </c>
      <c r="N77" s="31">
        <v>0</v>
      </c>
      <c r="O77" s="32">
        <v>0</v>
      </c>
      <c r="P77" s="33">
        <v>0</v>
      </c>
      <c r="Q77" s="2"/>
    </row>
    <row r="78" spans="2:17" ht="13.8" x14ac:dyDescent="0.2">
      <c r="B78" s="14" t="s">
        <v>507</v>
      </c>
      <c r="C78" s="14"/>
      <c r="D78" s="8"/>
      <c r="E78" s="15">
        <f t="shared" si="8"/>
        <v>0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9"/>
        <v>0</v>
      </c>
      <c r="M78" s="4">
        <f t="shared" si="7"/>
        <v>0</v>
      </c>
      <c r="N78" s="31">
        <v>0</v>
      </c>
      <c r="O78" s="32">
        <v>0</v>
      </c>
      <c r="P78" s="33">
        <v>0</v>
      </c>
      <c r="Q78" s="2"/>
    </row>
    <row r="79" spans="2:17" ht="13.8" x14ac:dyDescent="0.2">
      <c r="B79" s="14" t="s">
        <v>508</v>
      </c>
      <c r="C79" s="14"/>
      <c r="D79" s="8"/>
      <c r="E79" s="15">
        <f t="shared" si="8"/>
        <v>0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9"/>
        <v>0</v>
      </c>
      <c r="M79" s="4">
        <f t="shared" si="7"/>
        <v>0</v>
      </c>
      <c r="N79" s="31">
        <v>0</v>
      </c>
      <c r="O79" s="32">
        <v>0</v>
      </c>
      <c r="P79" s="33">
        <v>0</v>
      </c>
      <c r="Q79" s="2"/>
    </row>
    <row r="80" spans="2:17" ht="13.8" x14ac:dyDescent="0.2">
      <c r="B80" s="14" t="s">
        <v>509</v>
      </c>
      <c r="C80" s="14"/>
      <c r="D80" s="8"/>
      <c r="E80" s="15">
        <f t="shared" si="8"/>
        <v>0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9"/>
        <v>0</v>
      </c>
      <c r="M80" s="4">
        <f t="shared" si="7"/>
        <v>0</v>
      </c>
      <c r="N80" s="31">
        <v>0</v>
      </c>
      <c r="O80" s="32">
        <v>0</v>
      </c>
      <c r="P80" s="33">
        <v>0</v>
      </c>
      <c r="Q80" s="2"/>
    </row>
    <row r="81" spans="2:17" ht="13.8" x14ac:dyDescent="0.2">
      <c r="B81" s="14" t="s">
        <v>510</v>
      </c>
      <c r="C81" s="14"/>
      <c r="D81" s="8"/>
      <c r="E81" s="15">
        <f t="shared" si="8"/>
        <v>0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9"/>
        <v>0</v>
      </c>
      <c r="M81" s="4">
        <f t="shared" si="7"/>
        <v>0</v>
      </c>
      <c r="N81" s="31">
        <v>0</v>
      </c>
      <c r="O81" s="32">
        <v>0</v>
      </c>
      <c r="P81" s="33">
        <v>0</v>
      </c>
      <c r="Q81" s="2"/>
    </row>
    <row r="82" spans="2:17" ht="13.8" x14ac:dyDescent="0.2">
      <c r="B82" s="14" t="s">
        <v>511</v>
      </c>
      <c r="C82" s="14"/>
      <c r="D82" s="8"/>
      <c r="E82" s="15">
        <f t="shared" si="8"/>
        <v>0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9"/>
        <v>0</v>
      </c>
      <c r="M82" s="4">
        <f t="shared" si="7"/>
        <v>0</v>
      </c>
      <c r="N82" s="31">
        <v>0</v>
      </c>
      <c r="O82" s="32">
        <v>0</v>
      </c>
      <c r="P82" s="33">
        <v>0</v>
      </c>
      <c r="Q82" s="2"/>
    </row>
    <row r="83" spans="2:17" ht="13.8" x14ac:dyDescent="0.2">
      <c r="B83" s="14" t="s">
        <v>512</v>
      </c>
      <c r="C83" s="14"/>
      <c r="D83" s="17"/>
      <c r="E83" s="15">
        <f t="shared" si="8"/>
        <v>0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9"/>
        <v>0</v>
      </c>
      <c r="M83" s="4">
        <f t="shared" si="7"/>
        <v>0</v>
      </c>
      <c r="N83" s="31">
        <v>0</v>
      </c>
      <c r="O83" s="32">
        <v>0</v>
      </c>
      <c r="P83" s="33">
        <v>0</v>
      </c>
      <c r="Q83" s="2"/>
    </row>
    <row r="84" spans="2:17" ht="13.8" x14ac:dyDescent="0.2">
      <c r="B84" s="14" t="s">
        <v>513</v>
      </c>
      <c r="C84" s="14"/>
      <c r="D84" s="8"/>
      <c r="E84" s="15">
        <f t="shared" si="8"/>
        <v>0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9"/>
        <v>0</v>
      </c>
      <c r="M84" s="4">
        <f t="shared" si="7"/>
        <v>0</v>
      </c>
      <c r="N84" s="31">
        <v>0</v>
      </c>
      <c r="O84" s="32">
        <v>0</v>
      </c>
      <c r="P84" s="33">
        <v>0</v>
      </c>
      <c r="Q84" s="2"/>
    </row>
    <row r="85" spans="2:17" ht="13.8" x14ac:dyDescent="0.2">
      <c r="B85" s="14" t="s">
        <v>514</v>
      </c>
      <c r="C85" s="14"/>
      <c r="D85" s="8"/>
      <c r="E85" s="15">
        <f t="shared" si="8"/>
        <v>0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9"/>
        <v>0</v>
      </c>
      <c r="M85" s="4">
        <f t="shared" si="7"/>
        <v>0</v>
      </c>
      <c r="N85" s="31">
        <v>0</v>
      </c>
      <c r="O85" s="32">
        <v>0</v>
      </c>
      <c r="P85" s="33">
        <v>0</v>
      </c>
      <c r="Q85" s="2"/>
    </row>
    <row r="86" spans="2:17" ht="13.8" x14ac:dyDescent="0.2">
      <c r="B86" s="14" t="s">
        <v>515</v>
      </c>
      <c r="C86" s="14"/>
      <c r="D86" s="8"/>
      <c r="E86" s="15">
        <f t="shared" si="8"/>
        <v>0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9"/>
        <v>0</v>
      </c>
      <c r="M86" s="4">
        <f t="shared" si="7"/>
        <v>0</v>
      </c>
      <c r="N86" s="31">
        <v>0</v>
      </c>
      <c r="O86" s="32">
        <v>0</v>
      </c>
      <c r="P86" s="33">
        <v>0</v>
      </c>
      <c r="Q86" s="2"/>
    </row>
    <row r="87" spans="2:17" ht="13.8" x14ac:dyDescent="0.2">
      <c r="B87" s="14" t="s">
        <v>516</v>
      </c>
      <c r="C87" s="14"/>
      <c r="D87" s="8"/>
      <c r="E87" s="15">
        <f t="shared" si="8"/>
        <v>0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9"/>
        <v>0</v>
      </c>
      <c r="M87" s="4">
        <f t="shared" si="7"/>
        <v>0</v>
      </c>
      <c r="N87" s="31">
        <v>0</v>
      </c>
      <c r="O87" s="32">
        <v>0</v>
      </c>
      <c r="P87" s="33">
        <v>0</v>
      </c>
      <c r="Q87" s="2"/>
    </row>
    <row r="88" spans="2:17" ht="13.8" x14ac:dyDescent="0.2">
      <c r="B88" s="14" t="s">
        <v>517</v>
      </c>
      <c r="C88" s="14"/>
      <c r="D88" s="8"/>
      <c r="E88" s="15">
        <f t="shared" si="8"/>
        <v>0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9"/>
        <v>0</v>
      </c>
      <c r="M88" s="4">
        <f t="shared" si="7"/>
        <v>0</v>
      </c>
      <c r="N88" s="31">
        <v>0</v>
      </c>
      <c r="O88" s="32">
        <v>0</v>
      </c>
      <c r="P88" s="33">
        <v>0</v>
      </c>
      <c r="Q88" s="2"/>
    </row>
    <row r="89" spans="2:17" ht="13.8" x14ac:dyDescent="0.2">
      <c r="B89" s="14" t="s">
        <v>518</v>
      </c>
      <c r="C89" s="14"/>
      <c r="D89" s="8"/>
      <c r="E89" s="15">
        <f t="shared" si="8"/>
        <v>0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9"/>
        <v>0</v>
      </c>
      <c r="M89" s="4">
        <f t="shared" si="7"/>
        <v>0</v>
      </c>
      <c r="N89" s="31">
        <v>0</v>
      </c>
      <c r="O89" s="32">
        <v>0</v>
      </c>
      <c r="P89" s="33">
        <v>0</v>
      </c>
      <c r="Q89" s="2"/>
    </row>
    <row r="90" spans="2:17" ht="13.8" x14ac:dyDescent="0.2">
      <c r="B90" s="14" t="s">
        <v>519</v>
      </c>
      <c r="C90" s="14"/>
      <c r="D90" s="8"/>
      <c r="E90" s="15">
        <f t="shared" si="8"/>
        <v>0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9"/>
        <v>0</v>
      </c>
      <c r="M90" s="4">
        <f t="shared" si="7"/>
        <v>0</v>
      </c>
      <c r="N90" s="31">
        <v>0</v>
      </c>
      <c r="O90" s="32">
        <v>0</v>
      </c>
      <c r="P90" s="33">
        <v>0</v>
      </c>
      <c r="Q90" s="2"/>
    </row>
    <row r="91" spans="2:17" ht="13.8" x14ac:dyDescent="0.2">
      <c r="B91" s="14" t="s">
        <v>520</v>
      </c>
      <c r="C91" s="14"/>
      <c r="D91" s="8"/>
      <c r="E91" s="15">
        <f t="shared" si="8"/>
        <v>0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9"/>
        <v>0</v>
      </c>
      <c r="M91" s="4">
        <f t="shared" si="7"/>
        <v>0</v>
      </c>
      <c r="N91" s="31">
        <v>0</v>
      </c>
      <c r="O91" s="32">
        <v>0</v>
      </c>
      <c r="P91" s="33">
        <v>0</v>
      </c>
      <c r="Q91" s="2"/>
    </row>
    <row r="92" spans="2:17" ht="13.8" x14ac:dyDescent="0.2">
      <c r="B92" s="14" t="s">
        <v>521</v>
      </c>
      <c r="C92" s="14"/>
      <c r="D92" s="8"/>
      <c r="E92" s="15">
        <f t="shared" si="8"/>
        <v>0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9"/>
        <v>0</v>
      </c>
      <c r="M92" s="4">
        <f t="shared" si="7"/>
        <v>0</v>
      </c>
      <c r="N92" s="31">
        <v>0</v>
      </c>
      <c r="O92" s="32">
        <v>0</v>
      </c>
      <c r="P92" s="33">
        <v>0</v>
      </c>
      <c r="Q92" s="2"/>
    </row>
    <row r="93" spans="2:17" ht="13.8" x14ac:dyDescent="0.2">
      <c r="B93" s="14" t="s">
        <v>522</v>
      </c>
      <c r="C93" s="14"/>
      <c r="D93" s="17"/>
      <c r="E93" s="15">
        <f t="shared" si="8"/>
        <v>0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9"/>
        <v>0</v>
      </c>
      <c r="M93" s="4">
        <f t="shared" si="7"/>
        <v>0</v>
      </c>
      <c r="N93" s="31">
        <v>0</v>
      </c>
      <c r="O93" s="32">
        <v>0</v>
      </c>
      <c r="P93" s="33">
        <v>0</v>
      </c>
      <c r="Q93" s="2"/>
    </row>
    <row r="94" spans="2:17" ht="13.8" x14ac:dyDescent="0.2">
      <c r="B94" s="14" t="s">
        <v>523</v>
      </c>
      <c r="C94" s="14"/>
      <c r="D94" s="8"/>
      <c r="E94" s="15">
        <f t="shared" si="8"/>
        <v>0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9"/>
        <v>0</v>
      </c>
      <c r="M94" s="4">
        <f t="shared" si="7"/>
        <v>0</v>
      </c>
      <c r="N94" s="31">
        <v>0</v>
      </c>
      <c r="O94" s="32">
        <v>0</v>
      </c>
      <c r="P94" s="33">
        <v>0</v>
      </c>
      <c r="Q94" s="2"/>
    </row>
    <row r="95" spans="2:17" ht="13.8" x14ac:dyDescent="0.2">
      <c r="B95" s="14" t="s">
        <v>524</v>
      </c>
      <c r="C95" s="14"/>
      <c r="D95" s="8"/>
      <c r="E95" s="15">
        <f t="shared" si="8"/>
        <v>0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9"/>
        <v>0</v>
      </c>
      <c r="M95" s="4">
        <f t="shared" si="7"/>
        <v>0</v>
      </c>
      <c r="N95" s="31">
        <v>0</v>
      </c>
      <c r="O95" s="32">
        <v>0</v>
      </c>
      <c r="P95" s="33">
        <v>0</v>
      </c>
      <c r="Q95" s="2"/>
    </row>
    <row r="96" spans="2:17" ht="13.8" x14ac:dyDescent="0.2">
      <c r="B96" s="14" t="s">
        <v>525</v>
      </c>
      <c r="C96" s="14"/>
      <c r="D96" s="9"/>
      <c r="E96" s="15">
        <f t="shared" si="8"/>
        <v>0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9"/>
        <v>0</v>
      </c>
      <c r="M96" s="4">
        <f t="shared" si="7"/>
        <v>0</v>
      </c>
      <c r="N96" s="31">
        <v>0</v>
      </c>
      <c r="O96" s="32">
        <v>0</v>
      </c>
      <c r="P96" s="33">
        <v>0</v>
      </c>
      <c r="Q96" s="2"/>
    </row>
    <row r="97" spans="2:17" ht="13.8" x14ac:dyDescent="0.2">
      <c r="B97" s="14" t="s">
        <v>526</v>
      </c>
      <c r="C97" s="14"/>
      <c r="D97" s="8"/>
      <c r="E97" s="15">
        <f t="shared" si="8"/>
        <v>0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9"/>
        <v>0</v>
      </c>
      <c r="M97" s="4">
        <f t="shared" si="7"/>
        <v>0</v>
      </c>
      <c r="N97" s="31">
        <v>0</v>
      </c>
      <c r="O97" s="32">
        <v>0</v>
      </c>
      <c r="P97" s="33">
        <v>0</v>
      </c>
      <c r="Q97" s="2"/>
    </row>
    <row r="98" spans="2:17" ht="13.8" x14ac:dyDescent="0.2">
      <c r="B98" s="14" t="s">
        <v>527</v>
      </c>
      <c r="C98" s="14"/>
      <c r="D98" s="8"/>
      <c r="E98" s="15">
        <f t="shared" si="8"/>
        <v>0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9"/>
        <v>0</v>
      </c>
      <c r="M98" s="4">
        <f t="shared" si="7"/>
        <v>0</v>
      </c>
      <c r="N98" s="31">
        <v>0</v>
      </c>
      <c r="O98" s="32">
        <v>0</v>
      </c>
      <c r="P98" s="33">
        <v>0</v>
      </c>
      <c r="Q98" s="2"/>
    </row>
    <row r="99" spans="2:17" ht="13.8" x14ac:dyDescent="0.2">
      <c r="B99" s="14" t="s">
        <v>528</v>
      </c>
      <c r="C99" s="14"/>
      <c r="D99" s="8"/>
      <c r="E99" s="15">
        <f t="shared" si="8"/>
        <v>0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9"/>
        <v>0</v>
      </c>
      <c r="M99" s="4">
        <f t="shared" si="7"/>
        <v>0</v>
      </c>
      <c r="N99" s="31">
        <v>0</v>
      </c>
      <c r="O99" s="32">
        <v>0</v>
      </c>
      <c r="P99" s="33">
        <v>0</v>
      </c>
      <c r="Q99" s="2"/>
    </row>
    <row r="100" spans="2:17" ht="13.8" x14ac:dyDescent="0.2">
      <c r="B100" s="14" t="s">
        <v>529</v>
      </c>
      <c r="C100" s="14"/>
      <c r="D100" s="8"/>
      <c r="E100" s="15">
        <f t="shared" si="8"/>
        <v>0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9"/>
        <v>0</v>
      </c>
      <c r="M100" s="4">
        <f t="shared" si="7"/>
        <v>0</v>
      </c>
      <c r="N100" s="31">
        <v>0</v>
      </c>
      <c r="O100" s="32">
        <v>0</v>
      </c>
      <c r="P100" s="33">
        <v>0</v>
      </c>
      <c r="Q100" s="2"/>
    </row>
    <row r="101" spans="2:17" ht="13.8" x14ac:dyDescent="0.2">
      <c r="B101" s="14" t="s">
        <v>530</v>
      </c>
      <c r="C101" s="14"/>
      <c r="D101" s="8"/>
      <c r="E101" s="15">
        <f t="shared" si="8"/>
        <v>0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9"/>
        <v>0</v>
      </c>
      <c r="M101" s="4">
        <f t="shared" si="7"/>
        <v>0</v>
      </c>
      <c r="N101" s="31">
        <v>0</v>
      </c>
      <c r="O101" s="32">
        <v>0</v>
      </c>
      <c r="P101" s="33">
        <v>0</v>
      </c>
      <c r="Q101" s="2"/>
    </row>
    <row r="102" spans="2:17" ht="13.8" x14ac:dyDescent="0.2">
      <c r="B102" s="14" t="s">
        <v>531</v>
      </c>
      <c r="C102" s="14"/>
      <c r="D102" s="8"/>
      <c r="E102" s="15">
        <f t="shared" si="8"/>
        <v>0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9"/>
        <v>0</v>
      </c>
      <c r="M102" s="4">
        <f t="shared" si="7"/>
        <v>0</v>
      </c>
      <c r="N102" s="31">
        <v>0</v>
      </c>
      <c r="O102" s="32">
        <v>0</v>
      </c>
      <c r="P102" s="33">
        <v>0</v>
      </c>
      <c r="Q102" s="2"/>
    </row>
    <row r="103" spans="2:17" ht="13.8" x14ac:dyDescent="0.2">
      <c r="B103" s="14" t="s">
        <v>532</v>
      </c>
      <c r="C103" s="14"/>
      <c r="D103" s="8"/>
      <c r="E103" s="15">
        <f t="shared" si="8"/>
        <v>0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9"/>
        <v>0</v>
      </c>
      <c r="M103" s="4">
        <f t="shared" si="7"/>
        <v>0</v>
      </c>
      <c r="N103" s="31">
        <v>0</v>
      </c>
      <c r="O103" s="32">
        <v>0</v>
      </c>
      <c r="P103" s="33">
        <v>0</v>
      </c>
      <c r="Q103" s="2"/>
    </row>
    <row r="104" spans="2:17" ht="13.8" x14ac:dyDescent="0.2">
      <c r="B104" s="14" t="s">
        <v>533</v>
      </c>
      <c r="C104" s="14"/>
      <c r="D104" s="17"/>
      <c r="E104" s="15">
        <f t="shared" si="8"/>
        <v>0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9"/>
        <v>0</v>
      </c>
      <c r="M104" s="4">
        <f t="shared" si="7"/>
        <v>0</v>
      </c>
      <c r="N104" s="31">
        <v>0</v>
      </c>
      <c r="O104" s="32">
        <v>0</v>
      </c>
      <c r="P104" s="33">
        <v>0</v>
      </c>
      <c r="Q104" s="2"/>
    </row>
    <row r="105" spans="2:17" ht="13.8" x14ac:dyDescent="0.2">
      <c r="B105" s="14" t="s">
        <v>534</v>
      </c>
      <c r="C105" s="14"/>
      <c r="D105" s="18"/>
      <c r="E105" s="15">
        <f t="shared" si="8"/>
        <v>0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9"/>
        <v>0</v>
      </c>
      <c r="M105" s="4">
        <f t="shared" si="7"/>
        <v>0</v>
      </c>
      <c r="N105" s="31">
        <v>0</v>
      </c>
      <c r="O105" s="32">
        <v>0</v>
      </c>
      <c r="P105" s="33">
        <v>0</v>
      </c>
      <c r="Q105" s="2"/>
    </row>
    <row r="106" spans="2:17" ht="13.8" x14ac:dyDescent="0.2">
      <c r="B106" s="14" t="s">
        <v>535</v>
      </c>
      <c r="C106" s="14"/>
      <c r="D106" s="9"/>
      <c r="E106" s="15">
        <f t="shared" si="8"/>
        <v>0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9"/>
        <v>0</v>
      </c>
      <c r="M106" s="4">
        <f t="shared" si="7"/>
        <v>0</v>
      </c>
      <c r="N106" s="31">
        <v>0</v>
      </c>
      <c r="O106" s="32">
        <v>0</v>
      </c>
      <c r="P106" s="33">
        <v>0</v>
      </c>
      <c r="Q106" s="2"/>
    </row>
    <row r="107" spans="2:17" ht="13.8" x14ac:dyDescent="0.2">
      <c r="B107" s="14" t="s">
        <v>536</v>
      </c>
      <c r="C107" s="14"/>
      <c r="D107" s="9"/>
      <c r="E107" s="15">
        <f t="shared" si="8"/>
        <v>0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9"/>
        <v>0</v>
      </c>
      <c r="M107" s="4">
        <f t="shared" si="7"/>
        <v>0</v>
      </c>
      <c r="N107" s="31">
        <v>0</v>
      </c>
      <c r="O107" s="32">
        <v>0</v>
      </c>
      <c r="P107" s="33">
        <v>0</v>
      </c>
      <c r="Q107" s="2"/>
    </row>
    <row r="108" spans="2:17" ht="13.8" x14ac:dyDescent="0.2">
      <c r="B108" s="14" t="s">
        <v>537</v>
      </c>
      <c r="C108" s="14"/>
      <c r="D108" s="9"/>
      <c r="E108" s="15">
        <f t="shared" si="8"/>
        <v>0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9"/>
        <v>0</v>
      </c>
      <c r="M108" s="4">
        <f t="shared" si="7"/>
        <v>0</v>
      </c>
      <c r="N108" s="31">
        <v>0</v>
      </c>
      <c r="O108" s="32">
        <v>0</v>
      </c>
      <c r="P108" s="33">
        <v>0</v>
      </c>
      <c r="Q108" s="2"/>
    </row>
    <row r="109" spans="2:17" ht="13.8" x14ac:dyDescent="0.2">
      <c r="B109" s="14" t="s">
        <v>538</v>
      </c>
      <c r="C109" s="14"/>
      <c r="D109" s="9"/>
      <c r="E109" s="15">
        <f t="shared" si="8"/>
        <v>0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9"/>
        <v>0</v>
      </c>
      <c r="M109" s="4">
        <f t="shared" si="7"/>
        <v>0</v>
      </c>
      <c r="N109" s="31">
        <v>0</v>
      </c>
      <c r="O109" s="32">
        <v>0</v>
      </c>
      <c r="P109" s="33">
        <v>0</v>
      </c>
      <c r="Q109" s="2"/>
    </row>
    <row r="110" spans="2:17" ht="13.8" x14ac:dyDescent="0.2">
      <c r="B110" s="14" t="s">
        <v>539</v>
      </c>
      <c r="C110" s="14"/>
      <c r="D110" s="9"/>
      <c r="E110" s="15">
        <f t="shared" si="8"/>
        <v>0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9"/>
        <v>0</v>
      </c>
      <c r="M110" s="4">
        <f t="shared" si="7"/>
        <v>0</v>
      </c>
      <c r="N110" s="31">
        <v>0</v>
      </c>
      <c r="O110" s="32">
        <v>0</v>
      </c>
      <c r="P110" s="33">
        <v>0</v>
      </c>
      <c r="Q110" s="2"/>
    </row>
    <row r="111" spans="2:17" ht="13.8" x14ac:dyDescent="0.2">
      <c r="B111" s="14" t="s">
        <v>540</v>
      </c>
      <c r="C111" s="14"/>
      <c r="D111" s="9"/>
      <c r="E111" s="15">
        <f t="shared" si="8"/>
        <v>0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9"/>
        <v>0</v>
      </c>
      <c r="M111" s="4">
        <f t="shared" si="7"/>
        <v>0</v>
      </c>
      <c r="N111" s="31">
        <v>0</v>
      </c>
      <c r="O111" s="32">
        <v>0</v>
      </c>
      <c r="P111" s="33">
        <v>0</v>
      </c>
      <c r="Q111" s="2"/>
    </row>
    <row r="112" spans="2:17" ht="13.8" x14ac:dyDescent="0.2">
      <c r="B112" s="14" t="s">
        <v>541</v>
      </c>
      <c r="C112" s="14"/>
      <c r="D112" s="9"/>
      <c r="E112" s="15">
        <f t="shared" si="8"/>
        <v>0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9"/>
        <v>0</v>
      </c>
      <c r="M112" s="4">
        <f t="shared" si="7"/>
        <v>0</v>
      </c>
      <c r="N112" s="31">
        <v>0</v>
      </c>
      <c r="O112" s="32">
        <v>0</v>
      </c>
      <c r="P112" s="33">
        <v>0</v>
      </c>
      <c r="Q112" s="2"/>
    </row>
    <row r="113" spans="2:17" ht="13.8" x14ac:dyDescent="0.2">
      <c r="B113" s="14" t="s">
        <v>542</v>
      </c>
      <c r="C113" s="14"/>
      <c r="D113" s="9"/>
      <c r="E113" s="15">
        <f t="shared" si="8"/>
        <v>0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9"/>
        <v>0</v>
      </c>
      <c r="M113" s="4">
        <f t="shared" si="7"/>
        <v>0</v>
      </c>
      <c r="N113" s="31">
        <v>0</v>
      </c>
      <c r="O113" s="32">
        <v>0</v>
      </c>
      <c r="P113" s="33">
        <v>0</v>
      </c>
      <c r="Q113" s="2"/>
    </row>
    <row r="114" spans="2:17" ht="13.8" x14ac:dyDescent="0.2">
      <c r="B114" s="14" t="s">
        <v>543</v>
      </c>
      <c r="C114" s="14"/>
      <c r="D114" s="9"/>
      <c r="E114" s="15">
        <f t="shared" si="8"/>
        <v>0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9"/>
        <v>0</v>
      </c>
      <c r="M114" s="4">
        <f t="shared" si="7"/>
        <v>0</v>
      </c>
      <c r="N114" s="31">
        <v>0</v>
      </c>
      <c r="O114" s="32">
        <v>0</v>
      </c>
      <c r="P114" s="33">
        <v>0</v>
      </c>
      <c r="Q114" s="2"/>
    </row>
    <row r="115" spans="2:17" ht="13.8" x14ac:dyDescent="0.2">
      <c r="B115" s="14" t="s">
        <v>544</v>
      </c>
      <c r="C115" s="14"/>
      <c r="D115" s="9"/>
      <c r="E115" s="15">
        <f t="shared" si="8"/>
        <v>0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9"/>
        <v>0</v>
      </c>
      <c r="M115" s="4">
        <f t="shared" si="7"/>
        <v>0</v>
      </c>
      <c r="N115" s="31">
        <v>0</v>
      </c>
      <c r="O115" s="32">
        <v>0</v>
      </c>
      <c r="P115" s="33">
        <v>0</v>
      </c>
      <c r="Q115" s="2"/>
    </row>
    <row r="116" spans="2:17" ht="13.8" x14ac:dyDescent="0.2">
      <c r="B116" s="14" t="s">
        <v>545</v>
      </c>
      <c r="C116" s="14"/>
      <c r="D116" s="9"/>
      <c r="E116" s="15">
        <f t="shared" si="8"/>
        <v>0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9"/>
        <v>0</v>
      </c>
      <c r="M116" s="4">
        <f t="shared" si="7"/>
        <v>0</v>
      </c>
      <c r="N116" s="31">
        <v>0</v>
      </c>
      <c r="O116" s="32">
        <v>0</v>
      </c>
      <c r="P116" s="33">
        <v>0</v>
      </c>
      <c r="Q116" s="2"/>
    </row>
    <row r="117" spans="2:17" ht="13.8" x14ac:dyDescent="0.2">
      <c r="B117" s="14" t="s">
        <v>546</v>
      </c>
      <c r="C117" s="14"/>
      <c r="D117" s="9"/>
      <c r="E117" s="15">
        <f t="shared" si="8"/>
        <v>0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9"/>
        <v>0</v>
      </c>
      <c r="M117" s="4">
        <f t="shared" si="7"/>
        <v>0</v>
      </c>
      <c r="N117" s="31">
        <v>0</v>
      </c>
      <c r="O117" s="32">
        <v>0</v>
      </c>
      <c r="P117" s="33">
        <v>0</v>
      </c>
      <c r="Q117" s="2"/>
    </row>
    <row r="118" spans="2:17" ht="13.8" x14ac:dyDescent="0.2">
      <c r="B118" s="14" t="s">
        <v>547</v>
      </c>
      <c r="C118" s="14"/>
      <c r="D118" s="9"/>
      <c r="E118" s="15">
        <f t="shared" si="8"/>
        <v>0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9"/>
        <v>0</v>
      </c>
      <c r="M118" s="4">
        <f t="shared" si="7"/>
        <v>0</v>
      </c>
      <c r="N118" s="31">
        <v>0</v>
      </c>
      <c r="O118" s="32">
        <v>0</v>
      </c>
      <c r="P118" s="33">
        <v>0</v>
      </c>
      <c r="Q118" s="2"/>
    </row>
    <row r="119" spans="2:17" ht="13.8" x14ac:dyDescent="0.2">
      <c r="B119" s="14" t="s">
        <v>548</v>
      </c>
      <c r="C119" s="14"/>
      <c r="D119" s="9"/>
      <c r="E119" s="15">
        <f t="shared" si="8"/>
        <v>0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9"/>
        <v>0</v>
      </c>
      <c r="M119" s="4">
        <f t="shared" si="7"/>
        <v>0</v>
      </c>
      <c r="N119" s="31">
        <v>0</v>
      </c>
      <c r="O119" s="32">
        <v>0</v>
      </c>
      <c r="P119" s="33">
        <v>0</v>
      </c>
      <c r="Q119" s="2"/>
    </row>
    <row r="120" spans="2:17" ht="13.8" x14ac:dyDescent="0.2">
      <c r="B120" s="14" t="s">
        <v>549</v>
      </c>
      <c r="C120" s="14"/>
      <c r="D120" s="2"/>
      <c r="E120" s="15">
        <f t="shared" si="8"/>
        <v>0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9"/>
        <v>0</v>
      </c>
      <c r="M120" s="4">
        <f t="shared" si="7"/>
        <v>0</v>
      </c>
      <c r="N120" s="31">
        <v>0</v>
      </c>
      <c r="O120" s="32">
        <v>0</v>
      </c>
      <c r="P120" s="33">
        <v>0</v>
      </c>
      <c r="Q120" s="2"/>
    </row>
    <row r="121" spans="2:17" ht="13.8" x14ac:dyDescent="0.2">
      <c r="B121" s="14" t="s">
        <v>550</v>
      </c>
      <c r="C121" s="14"/>
      <c r="D121" s="9"/>
      <c r="E121" s="15">
        <f t="shared" si="8"/>
        <v>0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9"/>
        <v>0</v>
      </c>
      <c r="M121" s="4">
        <f t="shared" si="7"/>
        <v>0</v>
      </c>
      <c r="N121" s="31">
        <v>0</v>
      </c>
      <c r="O121" s="32">
        <v>0</v>
      </c>
      <c r="P121" s="33">
        <v>0</v>
      </c>
      <c r="Q121" s="2"/>
    </row>
    <row r="122" spans="2:17" ht="13.8" x14ac:dyDescent="0.2">
      <c r="B122" s="14" t="s">
        <v>551</v>
      </c>
      <c r="C122" s="14"/>
      <c r="D122" s="9"/>
      <c r="E122" s="15">
        <f t="shared" si="8"/>
        <v>0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9"/>
        <v>0</v>
      </c>
      <c r="M122" s="4">
        <f t="shared" si="7"/>
        <v>0</v>
      </c>
      <c r="N122" s="31">
        <v>0</v>
      </c>
      <c r="O122" s="32">
        <v>0</v>
      </c>
      <c r="P122" s="33">
        <v>0</v>
      </c>
      <c r="Q122" s="2"/>
    </row>
    <row r="123" spans="2:17" ht="13.8" x14ac:dyDescent="0.2">
      <c r="B123" s="14" t="s">
        <v>552</v>
      </c>
      <c r="C123" s="14"/>
      <c r="D123" s="9"/>
      <c r="E123" s="15">
        <f t="shared" si="8"/>
        <v>0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9"/>
        <v>0</v>
      </c>
      <c r="M123" s="4">
        <f t="shared" si="7"/>
        <v>0</v>
      </c>
      <c r="N123" s="31">
        <v>0</v>
      </c>
      <c r="O123" s="32">
        <v>0</v>
      </c>
      <c r="P123" s="33">
        <v>0</v>
      </c>
      <c r="Q123" s="2"/>
    </row>
    <row r="124" spans="2:17" ht="13.8" x14ac:dyDescent="0.2">
      <c r="B124" s="14" t="s">
        <v>553</v>
      </c>
      <c r="C124" s="14"/>
      <c r="D124" s="9"/>
      <c r="E124" s="15">
        <f t="shared" si="8"/>
        <v>0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9"/>
        <v>0</v>
      </c>
      <c r="M124" s="4">
        <f t="shared" si="7"/>
        <v>0</v>
      </c>
      <c r="N124" s="31">
        <v>0</v>
      </c>
      <c r="O124" s="32">
        <v>0</v>
      </c>
      <c r="P124" s="33">
        <v>0</v>
      </c>
      <c r="Q124" s="2"/>
    </row>
    <row r="125" spans="2:17" ht="13.8" x14ac:dyDescent="0.2">
      <c r="B125" s="14" t="s">
        <v>554</v>
      </c>
      <c r="C125" s="14"/>
      <c r="D125" s="9"/>
      <c r="E125" s="15">
        <f t="shared" si="8"/>
        <v>0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9"/>
        <v>0</v>
      </c>
      <c r="M125" s="4">
        <f t="shared" si="7"/>
        <v>0</v>
      </c>
      <c r="N125" s="31">
        <v>0</v>
      </c>
      <c r="O125" s="32">
        <v>0</v>
      </c>
      <c r="P125" s="33">
        <v>0</v>
      </c>
      <c r="Q125" s="2"/>
    </row>
    <row r="126" spans="2:17" ht="13.8" x14ac:dyDescent="0.2">
      <c r="B126" s="14" t="s">
        <v>555</v>
      </c>
      <c r="C126" s="14"/>
      <c r="D126" s="9"/>
      <c r="E126" s="15">
        <f t="shared" si="8"/>
        <v>0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9"/>
        <v>0</v>
      </c>
      <c r="M126" s="4">
        <f t="shared" si="7"/>
        <v>0</v>
      </c>
      <c r="N126" s="31">
        <v>0</v>
      </c>
      <c r="O126" s="32">
        <v>0</v>
      </c>
      <c r="P126" s="33">
        <v>0</v>
      </c>
      <c r="Q126" s="2"/>
    </row>
    <row r="127" spans="2:17" ht="13.8" x14ac:dyDescent="0.2">
      <c r="B127" s="14" t="s">
        <v>556</v>
      </c>
      <c r="C127" s="14"/>
      <c r="D127" s="9"/>
      <c r="E127" s="15">
        <f t="shared" si="8"/>
        <v>0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9"/>
        <v>0</v>
      </c>
      <c r="M127" s="4">
        <f t="shared" si="7"/>
        <v>0</v>
      </c>
      <c r="N127" s="31">
        <v>0</v>
      </c>
      <c r="O127" s="32">
        <v>0</v>
      </c>
      <c r="P127" s="33">
        <v>0</v>
      </c>
      <c r="Q127" s="2"/>
    </row>
    <row r="128" spans="2:17" ht="13.8" x14ac:dyDescent="0.2">
      <c r="B128" s="14" t="s">
        <v>557</v>
      </c>
      <c r="C128" s="14"/>
      <c r="D128" s="9"/>
      <c r="E128" s="15">
        <f t="shared" si="8"/>
        <v>0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9"/>
        <v>0</v>
      </c>
      <c r="M128" s="4">
        <f t="shared" si="7"/>
        <v>0</v>
      </c>
      <c r="N128" s="31">
        <v>0</v>
      </c>
      <c r="O128" s="32">
        <v>0</v>
      </c>
      <c r="P128" s="33">
        <v>0</v>
      </c>
      <c r="Q128" s="2"/>
    </row>
    <row r="129" spans="2:17" ht="13.8" x14ac:dyDescent="0.2">
      <c r="B129" s="14" t="s">
        <v>558</v>
      </c>
      <c r="C129" s="14"/>
      <c r="D129" s="9"/>
      <c r="E129" s="15">
        <f t="shared" si="8"/>
        <v>0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9"/>
        <v>0</v>
      </c>
      <c r="M129" s="4">
        <f t="shared" si="7"/>
        <v>0</v>
      </c>
      <c r="N129" s="31">
        <v>0</v>
      </c>
      <c r="O129" s="32">
        <v>0</v>
      </c>
      <c r="P129" s="33">
        <v>0</v>
      </c>
      <c r="Q129" s="2"/>
    </row>
    <row r="130" spans="2:17" ht="13.8" x14ac:dyDescent="0.2">
      <c r="B130" s="14" t="s">
        <v>559</v>
      </c>
      <c r="C130" s="14"/>
      <c r="D130" s="9"/>
      <c r="E130" s="15">
        <f t="shared" si="8"/>
        <v>0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9"/>
        <v>0</v>
      </c>
      <c r="M130" s="4">
        <f t="shared" si="7"/>
        <v>0</v>
      </c>
      <c r="N130" s="31">
        <v>0</v>
      </c>
      <c r="O130" s="32">
        <v>0</v>
      </c>
      <c r="P130" s="33">
        <v>0</v>
      </c>
      <c r="Q130" s="2"/>
    </row>
    <row r="131" spans="2:17" ht="13.8" x14ac:dyDescent="0.2">
      <c r="B131" s="14" t="s">
        <v>560</v>
      </c>
      <c r="C131" s="14"/>
      <c r="D131" s="9"/>
      <c r="E131" s="15">
        <f t="shared" si="8"/>
        <v>0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9"/>
        <v>0</v>
      </c>
      <c r="M131" s="4">
        <f>IFERROR(SUM(SUM(((G131-H131-I131-J131)*1),H131*2,I131*3,J131*4)/F131,((G131+H131+I131)/(F131+N131+O131+P131))),L131)</f>
        <v>0</v>
      </c>
      <c r="N131" s="31">
        <v>0</v>
      </c>
      <c r="O131" s="32">
        <v>0</v>
      </c>
      <c r="P131" s="33">
        <v>0</v>
      </c>
      <c r="Q131" s="2"/>
    </row>
    <row r="132" spans="2:17" ht="13.8" x14ac:dyDescent="0.2">
      <c r="B132" s="14" t="s">
        <v>561</v>
      </c>
      <c r="C132" s="14"/>
      <c r="D132" s="9"/>
      <c r="E132" s="15">
        <f t="shared" si="8"/>
        <v>0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9"/>
        <v>0</v>
      </c>
      <c r="M132" s="4">
        <f>IFERROR(SUM(SUM(((G132-H132-I132-J132)*1),H132*2,I132*3,J132*4)/F132,((G132+H132+I132)/(F132+N132+O132+P132))),L132)</f>
        <v>0</v>
      </c>
      <c r="N132" s="31">
        <v>0</v>
      </c>
      <c r="O132" s="32">
        <v>0</v>
      </c>
      <c r="P132" s="33">
        <v>0</v>
      </c>
      <c r="Q132" s="2"/>
    </row>
    <row r="133" spans="2:17" ht="13.8" x14ac:dyDescent="0.2">
      <c r="B133" s="14" t="s">
        <v>562</v>
      </c>
      <c r="C133" s="14"/>
      <c r="D133" s="9"/>
      <c r="E133" s="15">
        <f>IFERROR(IF(G133/F133=1,"1.00",G133/F133),0)</f>
        <v>0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>IFERROR(IF((G133+N133+O133)/(F133+N133+O133+P133)=1,"1.00",(G133+N133+O133)/(F133+N133+O133+P133)),0)</f>
        <v>0</v>
      </c>
      <c r="M133" s="4">
        <f>IFERROR(SUM(SUM(((G133-H133-I133-J133)*1),H133*2,I133*3,J133*4)/F133,((G133+H133+I133)/(F133+N133+O133+P133))),L133)</f>
        <v>0</v>
      </c>
      <c r="N133" s="31">
        <v>0</v>
      </c>
      <c r="O133" s="32">
        <v>0</v>
      </c>
      <c r="P133" s="33">
        <v>0</v>
      </c>
      <c r="Q133" s="2"/>
    </row>
    <row r="134" spans="2:17" ht="13.8" x14ac:dyDescent="0.2">
      <c r="B134" s="14" t="s">
        <v>563</v>
      </c>
      <c r="C134" s="14"/>
      <c r="D134" s="9"/>
      <c r="E134" s="15">
        <f>IFERROR(IF(G134/F134=1,"1.00",G134/F134),0)</f>
        <v>0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>IFERROR(IF((G134+N134+O134)/(F134+N134+O134+P134)=1,"1.00",(G134+N134+O134)/(F134+N134+O134+P134)),0)</f>
        <v>0</v>
      </c>
      <c r="M134" s="4">
        <f>IFERROR(SUM(SUM(((G134-H134-I134-J134)*1),H134*2,I134*3,J134*4)/F134,((G134+H134+I134)/(F134+N134+O134+P134))),L134)</f>
        <v>0</v>
      </c>
      <c r="N134" s="31">
        <v>0</v>
      </c>
      <c r="O134" s="32">
        <v>0</v>
      </c>
      <c r="P134" s="33">
        <v>0</v>
      </c>
      <c r="Q134" s="2"/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L2" 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41FEB-B0A7-48E7-B20F-20E7E7BBE22C}">
  <sheetPr codeName="Sheet19"/>
  <dimension ref="B1:Q134"/>
  <sheetViews>
    <sheetView zoomScale="130" zoomScaleNormal="130" workbookViewId="0">
      <pane ySplit="3" topLeftCell="A4" activePane="bottomLeft" state="frozen"/>
      <selection pane="bottomLeft" activeCell="B2" sqref="B2:D2"/>
    </sheetView>
  </sheetViews>
  <sheetFormatPr defaultRowHeight="13.2" x14ac:dyDescent="0.2"/>
  <cols>
    <col min="2" max="2" width="6" customWidth="1"/>
    <col min="3" max="3" width="6.109375" customWidth="1"/>
    <col min="4" max="4" width="12.44140625" customWidth="1"/>
    <col min="5" max="16" width="7.21875" customWidth="1"/>
    <col min="17" max="17" width="17.33203125" customWidth="1"/>
  </cols>
  <sheetData>
    <row r="1" spans="2:17" ht="13.8" customHeight="1" x14ac:dyDescent="0.2"/>
    <row r="2" spans="2:17" ht="13.8" customHeight="1" x14ac:dyDescent="0.2">
      <c r="B2" s="88"/>
      <c r="C2" s="88"/>
      <c r="D2" s="88"/>
      <c r="E2" s="4">
        <f>IFERROR(G2/F2,0)</f>
        <v>0.27900037299515107</v>
      </c>
      <c r="F2" s="5">
        <f t="array" ref="F2">SUM(F4:F104)</f>
        <v>5362</v>
      </c>
      <c r="G2" s="5">
        <f t="array" ref="G2">SUM(G4:G104)</f>
        <v>1496</v>
      </c>
      <c r="H2" s="5">
        <f t="array" ref="H2">SUM(H4:H104)</f>
        <v>286</v>
      </c>
      <c r="I2" s="5">
        <f t="array" ref="I2">SUM(I4:I104)</f>
        <v>26</v>
      </c>
      <c r="J2" s="6">
        <f t="array" ref="J2">SUM(J4:J104)</f>
        <v>206</v>
      </c>
      <c r="K2" s="7">
        <f t="array" ref="K2">SUM(K4:K104)</f>
        <v>779</v>
      </c>
      <c r="L2" s="4">
        <f>IFERROR(IF((G2+N2+O2)/(F2+N2+O2+P2)=1,"1.00",(G2+N2+O2)/(F2+N2+O2+P2)),0)</f>
        <v>0.36524133462908975</v>
      </c>
      <c r="M2" s="4">
        <f>IFERROR(SUM(SUM(((G2-H2-I2-J2)*1),H2*2,I2*3,J2*4)/F2,((G2+H2+I2)/(F2+N2+O2+P2))),L2)</f>
        <v>0.75013300110545278</v>
      </c>
      <c r="N2" s="5">
        <f>SUM(N4:N104)</f>
        <v>693</v>
      </c>
      <c r="O2" s="5">
        <f>SUM(O4:O104)</f>
        <v>66</v>
      </c>
      <c r="P2" s="5">
        <f>SUM(P4:P104)</f>
        <v>53</v>
      </c>
      <c r="Q2" s="90" t="s">
        <v>169</v>
      </c>
    </row>
    <row r="3" spans="2:17" ht="13.8" x14ac:dyDescent="0.2">
      <c r="B3" s="2" t="s">
        <v>432</v>
      </c>
      <c r="C3" s="17" t="s">
        <v>157</v>
      </c>
      <c r="D3" s="17" t="s">
        <v>5</v>
      </c>
      <c r="E3" s="20" t="s">
        <v>158</v>
      </c>
      <c r="F3" s="21" t="s">
        <v>0</v>
      </c>
      <c r="G3" s="17" t="s">
        <v>1</v>
      </c>
      <c r="H3" s="17" t="s">
        <v>938</v>
      </c>
      <c r="I3" s="17" t="s">
        <v>939</v>
      </c>
      <c r="J3" s="22" t="s">
        <v>2</v>
      </c>
      <c r="K3" s="23" t="s">
        <v>3</v>
      </c>
      <c r="L3" s="30" t="s">
        <v>737</v>
      </c>
      <c r="M3" s="10" t="s">
        <v>940</v>
      </c>
      <c r="N3" s="9" t="s">
        <v>744</v>
      </c>
      <c r="O3" s="9" t="s">
        <v>745</v>
      </c>
      <c r="P3" s="9" t="s">
        <v>743</v>
      </c>
      <c r="Q3" s="91"/>
    </row>
    <row r="4" spans="2:17" ht="13.8" x14ac:dyDescent="0.2">
      <c r="B4" s="14" t="s">
        <v>433</v>
      </c>
      <c r="C4" s="14">
        <v>13</v>
      </c>
      <c r="D4" s="17" t="s">
        <v>269</v>
      </c>
      <c r="E4" s="15">
        <f t="shared" ref="E4:E35" si="0">IFERROR(IF(G4/F4=1,"1.00",G4/F4),0)</f>
        <v>0</v>
      </c>
      <c r="F4" s="5">
        <v>0</v>
      </c>
      <c r="G4" s="16">
        <v>0</v>
      </c>
      <c r="H4" s="16">
        <v>0</v>
      </c>
      <c r="I4" s="16">
        <v>0</v>
      </c>
      <c r="J4" s="6">
        <v>0</v>
      </c>
      <c r="K4" s="7">
        <v>0</v>
      </c>
      <c r="L4" s="4">
        <f t="shared" ref="L4:L35" si="1">IFERROR(IF((G4+N4+O4)/(F4+N4+O4+P4)=1,"1.00",(G4+N4+O4)/(F4+N4+O4+P4)),0)</f>
        <v>0</v>
      </c>
      <c r="M4" s="4">
        <f t="shared" ref="M4:M35" si="2"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2" t="s">
        <v>995</v>
      </c>
    </row>
    <row r="5" spans="2:17" ht="13.8" x14ac:dyDescent="0.2">
      <c r="B5" s="14" t="s">
        <v>434</v>
      </c>
      <c r="C5" s="14">
        <v>61</v>
      </c>
      <c r="D5" s="17" t="s">
        <v>81</v>
      </c>
      <c r="E5" s="15">
        <f t="shared" si="0"/>
        <v>0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4">
        <f t="shared" si="1"/>
        <v>0</v>
      </c>
      <c r="M5" s="4">
        <f t="shared" si="2"/>
        <v>0</v>
      </c>
      <c r="N5" s="31">
        <v>0</v>
      </c>
      <c r="O5" s="32">
        <v>0</v>
      </c>
      <c r="P5" s="33">
        <v>0</v>
      </c>
      <c r="Q5" s="2" t="s">
        <v>1115</v>
      </c>
    </row>
    <row r="6" spans="2:17" ht="13.8" x14ac:dyDescent="0.2">
      <c r="B6" s="14" t="s">
        <v>435</v>
      </c>
      <c r="C6" s="14">
        <v>1</v>
      </c>
      <c r="D6" s="17" t="s">
        <v>127</v>
      </c>
      <c r="E6" s="15">
        <f t="shared" si="0"/>
        <v>0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4">
        <f t="shared" si="1"/>
        <v>0</v>
      </c>
      <c r="M6" s="4">
        <f t="shared" si="2"/>
        <v>0</v>
      </c>
      <c r="N6" s="31">
        <v>0</v>
      </c>
      <c r="O6" s="32">
        <v>0</v>
      </c>
      <c r="P6" s="33">
        <v>0</v>
      </c>
      <c r="Q6" s="2" t="s">
        <v>944</v>
      </c>
    </row>
    <row r="7" spans="2:17" ht="13.8" x14ac:dyDescent="0.2">
      <c r="B7" s="14" t="s">
        <v>436</v>
      </c>
      <c r="C7" s="14">
        <v>18</v>
      </c>
      <c r="D7" s="17" t="s">
        <v>271</v>
      </c>
      <c r="E7" s="15">
        <f t="shared" si="0"/>
        <v>0</v>
      </c>
      <c r="F7" s="5">
        <v>0</v>
      </c>
      <c r="G7" s="16">
        <v>0</v>
      </c>
      <c r="H7" s="16">
        <v>0</v>
      </c>
      <c r="I7" s="16">
        <v>0</v>
      </c>
      <c r="J7" s="6">
        <v>0</v>
      </c>
      <c r="K7" s="7">
        <v>0</v>
      </c>
      <c r="L7" s="4">
        <f t="shared" si="1"/>
        <v>0</v>
      </c>
      <c r="M7" s="4">
        <f t="shared" si="2"/>
        <v>0</v>
      </c>
      <c r="N7" s="31">
        <v>0</v>
      </c>
      <c r="O7" s="32">
        <v>0</v>
      </c>
      <c r="P7" s="33">
        <v>0</v>
      </c>
      <c r="Q7" s="2" t="s">
        <v>998</v>
      </c>
    </row>
    <row r="8" spans="2:17" ht="13.8" x14ac:dyDescent="0.2">
      <c r="B8" s="14" t="s">
        <v>437</v>
      </c>
      <c r="C8" s="14">
        <v>11</v>
      </c>
      <c r="D8" s="17" t="s">
        <v>247</v>
      </c>
      <c r="E8" s="15">
        <f t="shared" si="0"/>
        <v>0</v>
      </c>
      <c r="F8" s="5">
        <v>0</v>
      </c>
      <c r="G8" s="16">
        <v>0</v>
      </c>
      <c r="H8" s="16">
        <v>0</v>
      </c>
      <c r="I8" s="16">
        <v>0</v>
      </c>
      <c r="J8" s="6">
        <v>0</v>
      </c>
      <c r="K8" s="7">
        <v>0</v>
      </c>
      <c r="L8" s="15">
        <f t="shared" si="1"/>
        <v>0</v>
      </c>
      <c r="M8" s="15">
        <f t="shared" si="2"/>
        <v>0</v>
      </c>
      <c r="N8" s="31">
        <v>0</v>
      </c>
      <c r="O8" s="32">
        <v>0</v>
      </c>
      <c r="P8" s="33">
        <v>0</v>
      </c>
      <c r="Q8" s="2" t="s">
        <v>1128</v>
      </c>
    </row>
    <row r="9" spans="2:17" ht="13.8" x14ac:dyDescent="0.2">
      <c r="B9" s="14" t="s">
        <v>438</v>
      </c>
      <c r="C9" s="14">
        <v>11</v>
      </c>
      <c r="D9" s="17" t="s">
        <v>12</v>
      </c>
      <c r="E9" s="15">
        <f t="shared" si="0"/>
        <v>0</v>
      </c>
      <c r="F9" s="5">
        <v>0</v>
      </c>
      <c r="G9" s="16">
        <v>0</v>
      </c>
      <c r="H9" s="16">
        <v>0</v>
      </c>
      <c r="I9" s="16">
        <v>0</v>
      </c>
      <c r="J9" s="6">
        <v>0</v>
      </c>
      <c r="K9" s="7">
        <v>0</v>
      </c>
      <c r="L9" s="4">
        <f t="shared" si="1"/>
        <v>0</v>
      </c>
      <c r="M9" s="4">
        <f t="shared" si="2"/>
        <v>0</v>
      </c>
      <c r="N9" s="31">
        <v>0</v>
      </c>
      <c r="O9" s="32">
        <v>0</v>
      </c>
      <c r="P9" s="33">
        <v>0</v>
      </c>
      <c r="Q9" s="2" t="s">
        <v>380</v>
      </c>
    </row>
    <row r="10" spans="2:17" ht="13.8" x14ac:dyDescent="0.2">
      <c r="B10" s="14" t="s">
        <v>439</v>
      </c>
      <c r="C10" s="14">
        <v>52</v>
      </c>
      <c r="D10" s="17" t="s">
        <v>411</v>
      </c>
      <c r="E10" s="15">
        <f t="shared" si="0"/>
        <v>0</v>
      </c>
      <c r="F10" s="5">
        <v>0</v>
      </c>
      <c r="G10" s="16">
        <v>0</v>
      </c>
      <c r="H10" s="16">
        <v>0</v>
      </c>
      <c r="I10" s="16">
        <v>0</v>
      </c>
      <c r="J10" s="6">
        <v>0</v>
      </c>
      <c r="K10" s="7">
        <v>0</v>
      </c>
      <c r="L10" s="4">
        <f t="shared" si="1"/>
        <v>0</v>
      </c>
      <c r="M10" s="4">
        <f t="shared" si="2"/>
        <v>0</v>
      </c>
      <c r="N10" s="31">
        <v>0</v>
      </c>
      <c r="O10" s="32">
        <v>0</v>
      </c>
      <c r="P10" s="33">
        <v>0</v>
      </c>
      <c r="Q10" s="2" t="s">
        <v>1065</v>
      </c>
    </row>
    <row r="11" spans="2:17" ht="13.8" x14ac:dyDescent="0.2">
      <c r="B11" s="14" t="s">
        <v>440</v>
      </c>
      <c r="C11" s="14">
        <v>11</v>
      </c>
      <c r="D11" s="17" t="s">
        <v>206</v>
      </c>
      <c r="E11" s="15">
        <f t="shared" si="0"/>
        <v>0</v>
      </c>
      <c r="F11" s="5">
        <v>0</v>
      </c>
      <c r="G11" s="16">
        <v>0</v>
      </c>
      <c r="H11" s="16">
        <v>0</v>
      </c>
      <c r="I11" s="16">
        <v>0</v>
      </c>
      <c r="J11" s="6">
        <v>0</v>
      </c>
      <c r="K11" s="7">
        <v>0</v>
      </c>
      <c r="L11" s="4">
        <f t="shared" si="1"/>
        <v>0</v>
      </c>
      <c r="M11" s="4">
        <f t="shared" si="2"/>
        <v>0</v>
      </c>
      <c r="N11" s="31">
        <v>0</v>
      </c>
      <c r="O11" s="32">
        <v>0</v>
      </c>
      <c r="P11" s="33">
        <v>0</v>
      </c>
      <c r="Q11" s="2" t="s">
        <v>1087</v>
      </c>
    </row>
    <row r="12" spans="2:17" ht="13.8" x14ac:dyDescent="0.2">
      <c r="B12" s="14" t="s">
        <v>441</v>
      </c>
      <c r="C12" s="14">
        <v>17</v>
      </c>
      <c r="D12" s="17" t="s">
        <v>141</v>
      </c>
      <c r="E12" s="15">
        <f t="shared" si="0"/>
        <v>0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4">
        <f t="shared" si="1"/>
        <v>0</v>
      </c>
      <c r="M12" s="4">
        <f t="shared" si="2"/>
        <v>0</v>
      </c>
      <c r="N12" s="31">
        <v>0</v>
      </c>
      <c r="O12" s="32">
        <v>0</v>
      </c>
      <c r="P12" s="33">
        <v>0</v>
      </c>
      <c r="Q12" s="2" t="s">
        <v>1091</v>
      </c>
    </row>
    <row r="13" spans="2:17" ht="13.8" x14ac:dyDescent="0.2">
      <c r="B13" s="14" t="s">
        <v>442</v>
      </c>
      <c r="C13" s="14">
        <v>14</v>
      </c>
      <c r="D13" s="17" t="s">
        <v>355</v>
      </c>
      <c r="E13" s="15">
        <f t="shared" si="0"/>
        <v>0</v>
      </c>
      <c r="F13" s="5">
        <v>0</v>
      </c>
      <c r="G13" s="16">
        <v>0</v>
      </c>
      <c r="H13" s="16">
        <v>0</v>
      </c>
      <c r="I13" s="16">
        <v>0</v>
      </c>
      <c r="J13" s="6">
        <v>0</v>
      </c>
      <c r="K13" s="7">
        <v>0</v>
      </c>
      <c r="L13" s="4">
        <f t="shared" si="1"/>
        <v>0</v>
      </c>
      <c r="M13" s="4">
        <f t="shared" si="2"/>
        <v>0</v>
      </c>
      <c r="N13" s="31">
        <v>0</v>
      </c>
      <c r="O13" s="32">
        <v>0</v>
      </c>
      <c r="P13" s="33">
        <v>0</v>
      </c>
      <c r="Q13" s="2" t="s">
        <v>951</v>
      </c>
    </row>
    <row r="14" spans="2:17" ht="13.8" x14ac:dyDescent="0.2">
      <c r="B14" s="14" t="s">
        <v>443</v>
      </c>
      <c r="C14" s="14">
        <v>18</v>
      </c>
      <c r="D14" s="17" t="s">
        <v>720</v>
      </c>
      <c r="E14" s="15">
        <f t="shared" si="0"/>
        <v>0.5</v>
      </c>
      <c r="F14" s="5">
        <v>2</v>
      </c>
      <c r="G14" s="16">
        <v>1</v>
      </c>
      <c r="H14" s="16">
        <v>0</v>
      </c>
      <c r="I14" s="16">
        <v>0</v>
      </c>
      <c r="J14" s="6">
        <v>0</v>
      </c>
      <c r="K14" s="7">
        <v>0</v>
      </c>
      <c r="L14" s="4">
        <f t="shared" si="1"/>
        <v>0.5</v>
      </c>
      <c r="M14" s="4">
        <f t="shared" si="2"/>
        <v>1</v>
      </c>
      <c r="N14" s="31">
        <v>0</v>
      </c>
      <c r="O14" s="32">
        <v>0</v>
      </c>
      <c r="P14" s="33">
        <v>0</v>
      </c>
      <c r="Q14" s="2" t="s">
        <v>954</v>
      </c>
    </row>
    <row r="15" spans="2:17" ht="13.8" x14ac:dyDescent="0.2">
      <c r="B15" s="14" t="s">
        <v>444</v>
      </c>
      <c r="C15" s="14">
        <v>43</v>
      </c>
      <c r="D15" s="17" t="s">
        <v>369</v>
      </c>
      <c r="E15" s="15">
        <f t="shared" si="0"/>
        <v>0</v>
      </c>
      <c r="F15" s="5">
        <v>0</v>
      </c>
      <c r="G15" s="16">
        <v>0</v>
      </c>
      <c r="H15" s="16">
        <v>0</v>
      </c>
      <c r="I15" s="16">
        <v>0</v>
      </c>
      <c r="J15" s="6">
        <v>0</v>
      </c>
      <c r="K15" s="7">
        <v>0</v>
      </c>
      <c r="L15" s="4">
        <f t="shared" si="1"/>
        <v>0</v>
      </c>
      <c r="M15" s="4">
        <f t="shared" si="2"/>
        <v>0</v>
      </c>
      <c r="N15" s="31">
        <v>0</v>
      </c>
      <c r="O15" s="32">
        <v>0</v>
      </c>
      <c r="P15" s="33">
        <v>0</v>
      </c>
      <c r="Q15" s="2" t="s">
        <v>969</v>
      </c>
    </row>
    <row r="16" spans="2:17" ht="13.8" x14ac:dyDescent="0.2">
      <c r="B16" s="14" t="s">
        <v>445</v>
      </c>
      <c r="C16" s="14">
        <v>15</v>
      </c>
      <c r="D16" s="17" t="s">
        <v>327</v>
      </c>
      <c r="E16" s="15">
        <f t="shared" si="0"/>
        <v>0</v>
      </c>
      <c r="F16" s="5">
        <v>0</v>
      </c>
      <c r="G16" s="16">
        <v>0</v>
      </c>
      <c r="H16" s="16">
        <v>0</v>
      </c>
      <c r="I16" s="16">
        <v>0</v>
      </c>
      <c r="J16" s="6">
        <v>0</v>
      </c>
      <c r="K16" s="7">
        <v>0</v>
      </c>
      <c r="L16" s="4">
        <f t="shared" si="1"/>
        <v>0</v>
      </c>
      <c r="M16" s="4">
        <f t="shared" si="2"/>
        <v>0</v>
      </c>
      <c r="N16" s="31">
        <v>0</v>
      </c>
      <c r="O16" s="32">
        <v>0</v>
      </c>
      <c r="P16" s="33">
        <v>0</v>
      </c>
      <c r="Q16" s="2" t="s">
        <v>904</v>
      </c>
    </row>
    <row r="17" spans="2:17" ht="13.8" x14ac:dyDescent="0.2">
      <c r="B17" s="14" t="s">
        <v>446</v>
      </c>
      <c r="C17" s="14">
        <v>10</v>
      </c>
      <c r="D17" s="17" t="s">
        <v>161</v>
      </c>
      <c r="E17" s="15">
        <f t="shared" si="0"/>
        <v>0.304029304029304</v>
      </c>
      <c r="F17" s="5">
        <v>273</v>
      </c>
      <c r="G17" s="16">
        <v>83</v>
      </c>
      <c r="H17" s="16">
        <v>22</v>
      </c>
      <c r="I17" s="16">
        <v>2</v>
      </c>
      <c r="J17" s="6">
        <v>9</v>
      </c>
      <c r="K17" s="7">
        <v>26</v>
      </c>
      <c r="L17" s="4">
        <f t="shared" si="1"/>
        <v>0.40186915887850466</v>
      </c>
      <c r="M17" s="4">
        <f t="shared" si="2"/>
        <v>0.90003765704700278</v>
      </c>
      <c r="N17" s="31">
        <v>42</v>
      </c>
      <c r="O17" s="32">
        <v>4</v>
      </c>
      <c r="P17" s="33">
        <v>2</v>
      </c>
      <c r="Q17" s="2" t="s">
        <v>1086</v>
      </c>
    </row>
    <row r="18" spans="2:17" ht="13.8" x14ac:dyDescent="0.2">
      <c r="B18" s="14" t="s">
        <v>447</v>
      </c>
      <c r="C18" s="14">
        <v>19</v>
      </c>
      <c r="D18" s="17" t="s">
        <v>248</v>
      </c>
      <c r="E18" s="15">
        <f t="shared" si="0"/>
        <v>0.23703703703703705</v>
      </c>
      <c r="F18" s="5">
        <v>270</v>
      </c>
      <c r="G18" s="16">
        <v>64</v>
      </c>
      <c r="H18" s="16">
        <v>10</v>
      </c>
      <c r="I18" s="16">
        <v>0</v>
      </c>
      <c r="J18" s="6">
        <v>8</v>
      </c>
      <c r="K18" s="7">
        <v>32</v>
      </c>
      <c r="L18" s="15">
        <f t="shared" si="1"/>
        <v>0.30897009966777411</v>
      </c>
      <c r="M18" s="15">
        <f t="shared" si="2"/>
        <v>0.67193306263073715</v>
      </c>
      <c r="N18" s="31">
        <v>28</v>
      </c>
      <c r="O18" s="32">
        <v>1</v>
      </c>
      <c r="P18" s="33">
        <v>2</v>
      </c>
      <c r="Q18" s="2" t="s">
        <v>1132</v>
      </c>
    </row>
    <row r="19" spans="2:17" ht="13.8" x14ac:dyDescent="0.2">
      <c r="B19" s="14" t="s">
        <v>448</v>
      </c>
      <c r="C19" s="14">
        <v>31</v>
      </c>
      <c r="D19" s="17" t="s">
        <v>189</v>
      </c>
      <c r="E19" s="15">
        <f t="shared" si="0"/>
        <v>0.27828746177370028</v>
      </c>
      <c r="F19" s="5">
        <v>327</v>
      </c>
      <c r="G19" s="16">
        <v>91</v>
      </c>
      <c r="H19" s="16">
        <v>20</v>
      </c>
      <c r="I19" s="16">
        <v>1</v>
      </c>
      <c r="J19" s="6">
        <v>10</v>
      </c>
      <c r="K19" s="7">
        <v>42</v>
      </c>
      <c r="L19" s="15">
        <f t="shared" si="1"/>
        <v>0.33333333333333331</v>
      </c>
      <c r="M19" s="15">
        <f t="shared" si="2"/>
        <v>0.77064220183486243</v>
      </c>
      <c r="N19" s="31">
        <v>29</v>
      </c>
      <c r="O19" s="32">
        <v>0</v>
      </c>
      <c r="P19" s="33">
        <v>4</v>
      </c>
      <c r="Q19" s="2" t="s">
        <v>1141</v>
      </c>
    </row>
    <row r="20" spans="2:17" ht="13.8" x14ac:dyDescent="0.2">
      <c r="B20" s="14" t="s">
        <v>449</v>
      </c>
      <c r="C20" s="14">
        <v>3</v>
      </c>
      <c r="D20" s="17" t="s">
        <v>309</v>
      </c>
      <c r="E20" s="15">
        <f t="shared" si="0"/>
        <v>0.22222222222222221</v>
      </c>
      <c r="F20" s="5">
        <v>180</v>
      </c>
      <c r="G20" s="16">
        <v>40</v>
      </c>
      <c r="H20" s="16">
        <v>8</v>
      </c>
      <c r="I20" s="16">
        <v>0</v>
      </c>
      <c r="J20" s="6">
        <v>13</v>
      </c>
      <c r="K20" s="7">
        <v>35</v>
      </c>
      <c r="L20" s="4">
        <f t="shared" si="1"/>
        <v>0.33023255813953489</v>
      </c>
      <c r="M20" s="4">
        <f t="shared" si="2"/>
        <v>0.81356589147286829</v>
      </c>
      <c r="N20" s="31">
        <v>25</v>
      </c>
      <c r="O20" s="32">
        <v>6</v>
      </c>
      <c r="P20" s="33">
        <v>4</v>
      </c>
      <c r="Q20" s="2" t="s">
        <v>1080</v>
      </c>
    </row>
    <row r="21" spans="2:17" ht="13.8" x14ac:dyDescent="0.2">
      <c r="B21" s="14" t="s">
        <v>450</v>
      </c>
      <c r="C21" s="14">
        <v>3</v>
      </c>
      <c r="D21" s="17" t="s">
        <v>351</v>
      </c>
      <c r="E21" s="15">
        <f t="shared" si="0"/>
        <v>0.29333333333333333</v>
      </c>
      <c r="F21" s="5">
        <v>300</v>
      </c>
      <c r="G21" s="16">
        <v>88</v>
      </c>
      <c r="H21" s="16">
        <v>14</v>
      </c>
      <c r="I21" s="16">
        <v>1</v>
      </c>
      <c r="J21" s="6">
        <v>10</v>
      </c>
      <c r="K21" s="7">
        <v>43</v>
      </c>
      <c r="L21" s="4">
        <f t="shared" si="1"/>
        <v>0.4270557029177719</v>
      </c>
      <c r="M21" s="4">
        <f t="shared" si="2"/>
        <v>0.8737223695844385</v>
      </c>
      <c r="N21" s="31">
        <v>70</v>
      </c>
      <c r="O21" s="32">
        <v>3</v>
      </c>
      <c r="P21" s="33">
        <v>4</v>
      </c>
      <c r="Q21" s="2" t="s">
        <v>946</v>
      </c>
    </row>
    <row r="22" spans="2:17" ht="13.8" x14ac:dyDescent="0.2">
      <c r="B22" s="14" t="s">
        <v>451</v>
      </c>
      <c r="C22" s="14">
        <v>60</v>
      </c>
      <c r="D22" s="17" t="s">
        <v>1329</v>
      </c>
      <c r="E22" s="15">
        <f t="shared" si="0"/>
        <v>0.27731092436974791</v>
      </c>
      <c r="F22" s="5">
        <v>238</v>
      </c>
      <c r="G22" s="16">
        <v>66</v>
      </c>
      <c r="H22" s="16">
        <v>8</v>
      </c>
      <c r="I22" s="16">
        <v>0</v>
      </c>
      <c r="J22" s="6">
        <v>9</v>
      </c>
      <c r="K22" s="7">
        <v>38</v>
      </c>
      <c r="L22" s="4">
        <f t="shared" si="1"/>
        <v>0.33460076045627374</v>
      </c>
      <c r="M22" s="4">
        <f t="shared" si="2"/>
        <v>0.75897050835543345</v>
      </c>
      <c r="N22" s="31">
        <v>21</v>
      </c>
      <c r="O22" s="32">
        <v>1</v>
      </c>
      <c r="P22" s="33">
        <v>3</v>
      </c>
      <c r="Q22" s="2" t="s">
        <v>1114</v>
      </c>
    </row>
    <row r="23" spans="2:17" ht="13.8" x14ac:dyDescent="0.2">
      <c r="B23" s="14" t="s">
        <v>452</v>
      </c>
      <c r="C23" s="14">
        <v>5</v>
      </c>
      <c r="D23" s="17" t="s">
        <v>180</v>
      </c>
      <c r="E23" s="15">
        <f t="shared" si="0"/>
        <v>0.23272727272727273</v>
      </c>
      <c r="F23" s="5">
        <v>275</v>
      </c>
      <c r="G23" s="16">
        <v>64</v>
      </c>
      <c r="H23" s="16">
        <v>10</v>
      </c>
      <c r="I23" s="16">
        <v>2</v>
      </c>
      <c r="J23" s="6">
        <v>10</v>
      </c>
      <c r="K23" s="7">
        <v>33</v>
      </c>
      <c r="L23" s="15">
        <f t="shared" si="1"/>
        <v>0.28999999999999998</v>
      </c>
      <c r="M23" s="15">
        <f t="shared" si="2"/>
        <v>0.68272727272727263</v>
      </c>
      <c r="N23" s="31">
        <v>22</v>
      </c>
      <c r="O23" s="32">
        <v>1</v>
      </c>
      <c r="P23" s="33">
        <v>2</v>
      </c>
      <c r="Q23" s="2" t="s">
        <v>1123</v>
      </c>
    </row>
    <row r="24" spans="2:17" ht="13.8" x14ac:dyDescent="0.2">
      <c r="B24" s="14" t="s">
        <v>453</v>
      </c>
      <c r="C24" s="14">
        <v>6</v>
      </c>
      <c r="D24" s="17" t="s">
        <v>203</v>
      </c>
      <c r="E24" s="15">
        <f t="shared" si="0"/>
        <v>0.28225806451612906</v>
      </c>
      <c r="F24" s="5">
        <v>248</v>
      </c>
      <c r="G24" s="16">
        <v>70</v>
      </c>
      <c r="H24" s="16">
        <v>9</v>
      </c>
      <c r="I24" s="16">
        <v>5</v>
      </c>
      <c r="J24" s="6">
        <v>1</v>
      </c>
      <c r="K24" s="7">
        <v>15</v>
      </c>
      <c r="L24" s="4">
        <f t="shared" si="1"/>
        <v>0.33703703703703702</v>
      </c>
      <c r="M24" s="4">
        <f t="shared" si="2"/>
        <v>0.7080047789725209</v>
      </c>
      <c r="N24" s="31">
        <v>19</v>
      </c>
      <c r="O24" s="32">
        <v>2</v>
      </c>
      <c r="P24" s="33">
        <v>1</v>
      </c>
      <c r="Q24" s="2" t="s">
        <v>1083</v>
      </c>
    </row>
    <row r="25" spans="2:17" ht="13.8" x14ac:dyDescent="0.2">
      <c r="B25" s="14" t="s">
        <v>454</v>
      </c>
      <c r="C25" s="14">
        <v>8</v>
      </c>
      <c r="D25" s="17" t="s">
        <v>1330</v>
      </c>
      <c r="E25" s="15">
        <f t="shared" si="0"/>
        <v>0.30536912751677853</v>
      </c>
      <c r="F25" s="5">
        <v>298</v>
      </c>
      <c r="G25" s="16">
        <v>91</v>
      </c>
      <c r="H25" s="16">
        <v>22</v>
      </c>
      <c r="I25" s="16">
        <v>1</v>
      </c>
      <c r="J25" s="6">
        <v>6</v>
      </c>
      <c r="K25" s="7">
        <v>50</v>
      </c>
      <c r="L25" s="4">
        <f t="shared" si="1"/>
        <v>0.40336134453781514</v>
      </c>
      <c r="M25" s="4">
        <f t="shared" si="2"/>
        <v>0.84967006937002987</v>
      </c>
      <c r="N25" s="31">
        <v>48</v>
      </c>
      <c r="O25" s="32">
        <v>5</v>
      </c>
      <c r="P25" s="33">
        <v>6</v>
      </c>
      <c r="Q25" s="2" t="s">
        <v>1039</v>
      </c>
    </row>
    <row r="26" spans="2:17" ht="13.8" x14ac:dyDescent="0.2">
      <c r="B26" s="14" t="s">
        <v>455</v>
      </c>
      <c r="C26" s="14">
        <v>39</v>
      </c>
      <c r="D26" s="17" t="s">
        <v>168</v>
      </c>
      <c r="E26" s="15">
        <f t="shared" si="0"/>
        <v>0.27173913043478259</v>
      </c>
      <c r="F26" s="5">
        <v>276</v>
      </c>
      <c r="G26" s="16">
        <v>75</v>
      </c>
      <c r="H26" s="16">
        <v>14</v>
      </c>
      <c r="I26" s="16">
        <v>0</v>
      </c>
      <c r="J26" s="6">
        <v>7</v>
      </c>
      <c r="K26" s="7">
        <v>42</v>
      </c>
      <c r="L26" s="4">
        <f t="shared" si="1"/>
        <v>0.33660130718954251</v>
      </c>
      <c r="M26" s="4">
        <f t="shared" si="2"/>
        <v>0.73515203182722366</v>
      </c>
      <c r="N26" s="31">
        <v>25</v>
      </c>
      <c r="O26" s="32">
        <v>3</v>
      </c>
      <c r="P26" s="33">
        <v>2</v>
      </c>
      <c r="Q26" s="2" t="s">
        <v>1102</v>
      </c>
    </row>
    <row r="27" spans="2:17" ht="13.8" x14ac:dyDescent="0.2">
      <c r="B27" s="14" t="s">
        <v>456</v>
      </c>
      <c r="C27" s="14">
        <v>0</v>
      </c>
      <c r="D27" s="17" t="s">
        <v>350</v>
      </c>
      <c r="E27" s="15">
        <f t="shared" si="0"/>
        <v>0.24832214765100671</v>
      </c>
      <c r="F27" s="5">
        <v>298</v>
      </c>
      <c r="G27" s="16">
        <v>74</v>
      </c>
      <c r="H27" s="16">
        <v>8</v>
      </c>
      <c r="I27" s="16">
        <v>3</v>
      </c>
      <c r="J27" s="6">
        <v>2</v>
      </c>
      <c r="K27" s="7">
        <v>10</v>
      </c>
      <c r="L27" s="4">
        <f t="shared" si="1"/>
        <v>0.32934131736526945</v>
      </c>
      <c r="M27" s="4">
        <f t="shared" si="2"/>
        <v>0.64477755897600764</v>
      </c>
      <c r="N27" s="31">
        <v>34</v>
      </c>
      <c r="O27" s="32">
        <v>2</v>
      </c>
      <c r="P27" s="33">
        <v>0</v>
      </c>
      <c r="Q27" s="2" t="s">
        <v>345</v>
      </c>
    </row>
    <row r="28" spans="2:17" ht="13.8" x14ac:dyDescent="0.2">
      <c r="B28" s="14" t="s">
        <v>457</v>
      </c>
      <c r="C28" s="14">
        <v>34</v>
      </c>
      <c r="D28" s="17" t="s">
        <v>280</v>
      </c>
      <c r="E28" s="15">
        <f t="shared" si="0"/>
        <v>0.34285714285714286</v>
      </c>
      <c r="F28" s="5">
        <v>315</v>
      </c>
      <c r="G28" s="16">
        <v>108</v>
      </c>
      <c r="H28" s="16">
        <v>15</v>
      </c>
      <c r="I28" s="16">
        <v>1</v>
      </c>
      <c r="J28" s="6">
        <v>17</v>
      </c>
      <c r="K28" s="7">
        <v>55</v>
      </c>
      <c r="L28" s="4">
        <f t="shared" si="1"/>
        <v>0.4305177111716621</v>
      </c>
      <c r="M28" s="4">
        <f t="shared" si="2"/>
        <v>0.98924786990182079</v>
      </c>
      <c r="N28" s="31">
        <v>46</v>
      </c>
      <c r="O28" s="32">
        <v>4</v>
      </c>
      <c r="P28" s="33">
        <v>2</v>
      </c>
      <c r="Q28" s="2" t="s">
        <v>1010</v>
      </c>
    </row>
    <row r="29" spans="2:17" ht="13.8" x14ac:dyDescent="0.2">
      <c r="B29" s="14" t="s">
        <v>458</v>
      </c>
      <c r="C29" s="14">
        <v>9</v>
      </c>
      <c r="D29" s="17" t="s">
        <v>183</v>
      </c>
      <c r="E29" s="15">
        <f t="shared" si="0"/>
        <v>0.29607250755287007</v>
      </c>
      <c r="F29" s="5">
        <v>331</v>
      </c>
      <c r="G29" s="16">
        <v>98</v>
      </c>
      <c r="H29" s="16">
        <v>23</v>
      </c>
      <c r="I29" s="16">
        <v>1</v>
      </c>
      <c r="J29" s="6">
        <v>22</v>
      </c>
      <c r="K29" s="7">
        <v>53</v>
      </c>
      <c r="L29" s="15">
        <f t="shared" si="1"/>
        <v>0.37096774193548387</v>
      </c>
      <c r="M29" s="15">
        <f t="shared" si="2"/>
        <v>0.94196472078744764</v>
      </c>
      <c r="N29" s="31">
        <v>37</v>
      </c>
      <c r="O29" s="32">
        <v>3</v>
      </c>
      <c r="P29" s="33">
        <v>1</v>
      </c>
      <c r="Q29" s="2" t="s">
        <v>1127</v>
      </c>
    </row>
    <row r="30" spans="2:17" ht="13.8" x14ac:dyDescent="0.2">
      <c r="B30" s="14" t="s">
        <v>459</v>
      </c>
      <c r="C30" s="14">
        <v>79</v>
      </c>
      <c r="D30" s="17" t="s">
        <v>689</v>
      </c>
      <c r="E30" s="15">
        <f t="shared" si="0"/>
        <v>0.25249169435215946</v>
      </c>
      <c r="F30" s="5">
        <v>301</v>
      </c>
      <c r="G30" s="16">
        <v>76</v>
      </c>
      <c r="H30" s="16">
        <v>21</v>
      </c>
      <c r="I30" s="16">
        <v>0</v>
      </c>
      <c r="J30" s="6">
        <v>21</v>
      </c>
      <c r="K30" s="7">
        <v>58</v>
      </c>
      <c r="L30" s="4">
        <f t="shared" si="1"/>
        <v>0.37016574585635359</v>
      </c>
      <c r="M30" s="4">
        <f t="shared" si="2"/>
        <v>0.90172720765037351</v>
      </c>
      <c r="N30" s="31">
        <v>52</v>
      </c>
      <c r="O30" s="32">
        <v>6</v>
      </c>
      <c r="P30" s="33">
        <v>3</v>
      </c>
      <c r="Q30" s="2" t="s">
        <v>689</v>
      </c>
    </row>
    <row r="31" spans="2:17" ht="13.8" x14ac:dyDescent="0.2">
      <c r="B31" s="14" t="s">
        <v>460</v>
      </c>
      <c r="C31" s="14">
        <v>0</v>
      </c>
      <c r="D31" s="17" t="s">
        <v>383</v>
      </c>
      <c r="E31" s="15">
        <f t="shared" si="0"/>
        <v>0.30678466076696165</v>
      </c>
      <c r="F31" s="5">
        <v>339</v>
      </c>
      <c r="G31" s="16">
        <v>104</v>
      </c>
      <c r="H31" s="16">
        <v>21</v>
      </c>
      <c r="I31" s="16">
        <v>3</v>
      </c>
      <c r="J31" s="6">
        <v>6</v>
      </c>
      <c r="K31" s="7">
        <v>31</v>
      </c>
      <c r="L31" s="4">
        <f t="shared" si="1"/>
        <v>0.36533333333333334</v>
      </c>
      <c r="M31" s="4">
        <f t="shared" si="2"/>
        <v>0.80486135693215344</v>
      </c>
      <c r="N31" s="31">
        <v>27</v>
      </c>
      <c r="O31" s="32">
        <v>6</v>
      </c>
      <c r="P31" s="33">
        <v>3</v>
      </c>
      <c r="Q31" s="2" t="s">
        <v>1034</v>
      </c>
    </row>
    <row r="32" spans="2:17" ht="13.8" x14ac:dyDescent="0.2">
      <c r="B32" s="14" t="s">
        <v>461</v>
      </c>
      <c r="C32" s="14">
        <v>35</v>
      </c>
      <c r="D32" s="17" t="s">
        <v>113</v>
      </c>
      <c r="E32" s="15">
        <f t="shared" si="0"/>
        <v>0.25165562913907286</v>
      </c>
      <c r="F32" s="5">
        <v>302</v>
      </c>
      <c r="G32" s="16">
        <v>76</v>
      </c>
      <c r="H32" s="16">
        <v>21</v>
      </c>
      <c r="I32" s="16">
        <v>3</v>
      </c>
      <c r="J32" s="6">
        <v>12</v>
      </c>
      <c r="K32" s="7">
        <v>66</v>
      </c>
      <c r="L32" s="4">
        <f t="shared" si="1"/>
        <v>0.37158469945355194</v>
      </c>
      <c r="M32" s="4">
        <f t="shared" si="2"/>
        <v>0.83184960011580356</v>
      </c>
      <c r="N32" s="31">
        <v>54</v>
      </c>
      <c r="O32" s="32">
        <v>6</v>
      </c>
      <c r="P32" s="33">
        <v>4</v>
      </c>
      <c r="Q32" s="2" t="s">
        <v>965</v>
      </c>
    </row>
    <row r="33" spans="2:17" ht="13.8" x14ac:dyDescent="0.2">
      <c r="B33" s="14" t="s">
        <v>462</v>
      </c>
      <c r="C33" s="14">
        <v>8</v>
      </c>
      <c r="D33" s="17" t="s">
        <v>132</v>
      </c>
      <c r="E33" s="15">
        <f t="shared" si="0"/>
        <v>0.28174603174603174</v>
      </c>
      <c r="F33" s="5">
        <v>252</v>
      </c>
      <c r="G33" s="16">
        <v>71</v>
      </c>
      <c r="H33" s="16">
        <v>17</v>
      </c>
      <c r="I33" s="16">
        <v>2</v>
      </c>
      <c r="J33" s="6">
        <v>7</v>
      </c>
      <c r="K33" s="7">
        <v>41</v>
      </c>
      <c r="L33" s="4">
        <f t="shared" si="1"/>
        <v>0.41772151898734178</v>
      </c>
      <c r="M33" s="4">
        <f t="shared" si="2"/>
        <v>0.86613421740004015</v>
      </c>
      <c r="N33" s="31">
        <v>58</v>
      </c>
      <c r="O33" s="32">
        <v>3</v>
      </c>
      <c r="P33" s="33">
        <v>3</v>
      </c>
      <c r="Q33" s="2" t="s">
        <v>898</v>
      </c>
    </row>
    <row r="34" spans="2:17" ht="13.8" x14ac:dyDescent="0.2">
      <c r="B34" s="14" t="s">
        <v>463</v>
      </c>
      <c r="C34" s="14">
        <v>99</v>
      </c>
      <c r="D34" s="9" t="s">
        <v>293</v>
      </c>
      <c r="E34" s="15">
        <f t="shared" si="0"/>
        <v>0.29710144927536231</v>
      </c>
      <c r="F34" s="5">
        <v>276</v>
      </c>
      <c r="G34" s="16">
        <v>82</v>
      </c>
      <c r="H34" s="16">
        <v>13</v>
      </c>
      <c r="I34" s="16">
        <v>1</v>
      </c>
      <c r="J34" s="6">
        <v>18</v>
      </c>
      <c r="K34" s="7">
        <v>54</v>
      </c>
      <c r="L34" s="4">
        <f t="shared" si="1"/>
        <v>0.36977491961414793</v>
      </c>
      <c r="M34" s="4">
        <f t="shared" si="2"/>
        <v>0.9168763688895103</v>
      </c>
      <c r="N34" s="31">
        <v>26</v>
      </c>
      <c r="O34" s="32">
        <v>7</v>
      </c>
      <c r="P34" s="33">
        <v>2</v>
      </c>
      <c r="Q34" s="2" t="s">
        <v>262</v>
      </c>
    </row>
    <row r="35" spans="2:17" ht="13.8" x14ac:dyDescent="0.2">
      <c r="B35" s="14" t="s">
        <v>464</v>
      </c>
      <c r="C35" s="14">
        <v>54</v>
      </c>
      <c r="D35" s="17" t="s">
        <v>681</v>
      </c>
      <c r="E35" s="15">
        <f t="shared" si="0"/>
        <v>0.28352490421455939</v>
      </c>
      <c r="F35" s="5">
        <v>261</v>
      </c>
      <c r="G35" s="16">
        <v>74</v>
      </c>
      <c r="H35" s="16">
        <v>10</v>
      </c>
      <c r="I35" s="16">
        <v>0</v>
      </c>
      <c r="J35" s="6">
        <v>18</v>
      </c>
      <c r="K35" s="7">
        <v>55</v>
      </c>
      <c r="L35" s="4">
        <f t="shared" si="1"/>
        <v>0.35785953177257523</v>
      </c>
      <c r="M35" s="4">
        <f t="shared" si="2"/>
        <v>0.8865951639564833</v>
      </c>
      <c r="N35" s="31">
        <v>30</v>
      </c>
      <c r="O35" s="32">
        <v>3</v>
      </c>
      <c r="P35" s="33">
        <v>5</v>
      </c>
      <c r="Q35" s="2" t="s">
        <v>681</v>
      </c>
    </row>
    <row r="36" spans="2:17" ht="13.8" x14ac:dyDescent="0.2">
      <c r="B36" s="14" t="s">
        <v>465</v>
      </c>
      <c r="C36" s="14"/>
      <c r="D36" s="17"/>
      <c r="E36" s="15">
        <f t="shared" ref="E36:E68" si="3">IFERROR(IF(G36/F36=1,"1.00",G36/F36),0)</f>
        <v>0</v>
      </c>
      <c r="F36" s="5">
        <v>0</v>
      </c>
      <c r="G36" s="16">
        <v>0</v>
      </c>
      <c r="H36" s="16">
        <v>0</v>
      </c>
      <c r="I36" s="16">
        <v>0</v>
      </c>
      <c r="J36" s="6">
        <v>0</v>
      </c>
      <c r="K36" s="7">
        <v>0</v>
      </c>
      <c r="L36" s="4">
        <f t="shared" ref="L36:L68" si="4">IFERROR(IF((G36+N36+O36)/(F36+N36+O36+P36)=1,"1.00",(G36+N36+O36)/(F36+N36+O36+P36)),0)</f>
        <v>0</v>
      </c>
      <c r="M36" s="4">
        <f t="shared" ref="M36:M66" si="5">IFERROR(SUM(SUM(((G36-H36-I36-J36)*1),H36*2,I36*3,J36*4)/F36,((G36+H36+I36)/(F36+N36+O36+P36))),L36)</f>
        <v>0</v>
      </c>
      <c r="N36" s="31">
        <v>0</v>
      </c>
      <c r="O36" s="32">
        <v>0</v>
      </c>
      <c r="P36" s="33">
        <v>0</v>
      </c>
      <c r="Q36" s="2"/>
    </row>
    <row r="37" spans="2:17" ht="13.8" x14ac:dyDescent="0.2">
      <c r="B37" s="14" t="s">
        <v>466</v>
      </c>
      <c r="C37" s="14"/>
      <c r="D37" s="17"/>
      <c r="E37" s="15">
        <f t="shared" si="3"/>
        <v>0</v>
      </c>
      <c r="F37" s="5">
        <v>0</v>
      </c>
      <c r="G37" s="16">
        <v>0</v>
      </c>
      <c r="H37" s="16">
        <v>0</v>
      </c>
      <c r="I37" s="16">
        <v>0</v>
      </c>
      <c r="J37" s="6">
        <v>0</v>
      </c>
      <c r="K37" s="7">
        <v>0</v>
      </c>
      <c r="L37" s="4">
        <f t="shared" si="4"/>
        <v>0</v>
      </c>
      <c r="M37" s="4">
        <f t="shared" si="5"/>
        <v>0</v>
      </c>
      <c r="N37" s="31">
        <v>0</v>
      </c>
      <c r="O37" s="32">
        <v>0</v>
      </c>
      <c r="P37" s="33">
        <v>0</v>
      </c>
      <c r="Q37" s="2"/>
    </row>
    <row r="38" spans="2:17" ht="13.8" x14ac:dyDescent="0.2">
      <c r="B38" s="14" t="s">
        <v>467</v>
      </c>
      <c r="C38" s="14"/>
      <c r="D38" s="17"/>
      <c r="E38" s="15">
        <f t="shared" si="3"/>
        <v>0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4"/>
        <v>0</v>
      </c>
      <c r="M38" s="4">
        <f t="shared" si="5"/>
        <v>0</v>
      </c>
      <c r="N38" s="31">
        <v>0</v>
      </c>
      <c r="O38" s="32">
        <v>0</v>
      </c>
      <c r="P38" s="33">
        <v>0</v>
      </c>
      <c r="Q38" s="2"/>
    </row>
    <row r="39" spans="2:17" ht="13.8" x14ac:dyDescent="0.2">
      <c r="B39" s="14" t="s">
        <v>468</v>
      </c>
      <c r="C39" s="14"/>
      <c r="D39" s="17"/>
      <c r="E39" s="15">
        <f t="shared" si="3"/>
        <v>0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4"/>
        <v>0</v>
      </c>
      <c r="M39" s="4">
        <f t="shared" si="5"/>
        <v>0</v>
      </c>
      <c r="N39" s="31">
        <v>0</v>
      </c>
      <c r="O39" s="32">
        <v>0</v>
      </c>
      <c r="P39" s="33">
        <v>0</v>
      </c>
      <c r="Q39" s="2"/>
    </row>
    <row r="40" spans="2:17" ht="13.8" x14ac:dyDescent="0.2">
      <c r="B40" s="14" t="s">
        <v>469</v>
      </c>
      <c r="C40" s="14"/>
      <c r="D40" s="17"/>
      <c r="E40" s="15">
        <f t="shared" si="3"/>
        <v>0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4"/>
        <v>0</v>
      </c>
      <c r="M40" s="4">
        <f t="shared" si="5"/>
        <v>0</v>
      </c>
      <c r="N40" s="31">
        <v>0</v>
      </c>
      <c r="O40" s="32">
        <v>0</v>
      </c>
      <c r="P40" s="33">
        <v>0</v>
      </c>
      <c r="Q40" s="2"/>
    </row>
    <row r="41" spans="2:17" ht="13.8" x14ac:dyDescent="0.2">
      <c r="B41" s="14" t="s">
        <v>470</v>
      </c>
      <c r="C41" s="14"/>
      <c r="D41" s="17"/>
      <c r="E41" s="15">
        <f t="shared" si="3"/>
        <v>0</v>
      </c>
      <c r="F41" s="5">
        <v>0</v>
      </c>
      <c r="G41" s="16">
        <v>0</v>
      </c>
      <c r="H41" s="16">
        <v>0</v>
      </c>
      <c r="I41" s="16">
        <v>0</v>
      </c>
      <c r="J41" s="6">
        <v>0</v>
      </c>
      <c r="K41" s="7">
        <v>0</v>
      </c>
      <c r="L41" s="4">
        <f t="shared" si="4"/>
        <v>0</v>
      </c>
      <c r="M41" s="4">
        <f t="shared" si="5"/>
        <v>0</v>
      </c>
      <c r="N41" s="31">
        <v>0</v>
      </c>
      <c r="O41" s="32">
        <v>0</v>
      </c>
      <c r="P41" s="33">
        <v>0</v>
      </c>
      <c r="Q41" s="2"/>
    </row>
    <row r="42" spans="2:17" ht="13.8" x14ac:dyDescent="0.2">
      <c r="B42" s="14" t="s">
        <v>471</v>
      </c>
      <c r="C42" s="14"/>
      <c r="D42" s="17"/>
      <c r="E42" s="15">
        <f t="shared" si="3"/>
        <v>0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4"/>
        <v>0</v>
      </c>
      <c r="M42" s="4">
        <f t="shared" si="5"/>
        <v>0</v>
      </c>
      <c r="N42" s="31">
        <v>0</v>
      </c>
      <c r="O42" s="32">
        <v>0</v>
      </c>
      <c r="P42" s="33">
        <v>0</v>
      </c>
      <c r="Q42" s="2"/>
    </row>
    <row r="43" spans="2:17" ht="13.8" x14ac:dyDescent="0.2">
      <c r="B43" s="14" t="s">
        <v>472</v>
      </c>
      <c r="C43" s="14"/>
      <c r="D43" s="17"/>
      <c r="E43" s="15">
        <f t="shared" si="3"/>
        <v>0</v>
      </c>
      <c r="F43" s="5">
        <v>0</v>
      </c>
      <c r="G43" s="16">
        <v>0</v>
      </c>
      <c r="H43" s="16">
        <v>0</v>
      </c>
      <c r="I43" s="16">
        <v>0</v>
      </c>
      <c r="J43" s="6">
        <v>0</v>
      </c>
      <c r="K43" s="7">
        <v>0</v>
      </c>
      <c r="L43" s="4">
        <f t="shared" si="4"/>
        <v>0</v>
      </c>
      <c r="M43" s="4">
        <f t="shared" si="5"/>
        <v>0</v>
      </c>
      <c r="N43" s="31">
        <v>0</v>
      </c>
      <c r="O43" s="32">
        <v>0</v>
      </c>
      <c r="P43" s="33">
        <v>0</v>
      </c>
      <c r="Q43" s="2"/>
    </row>
    <row r="44" spans="2:17" ht="13.8" x14ac:dyDescent="0.2">
      <c r="B44" s="14" t="s">
        <v>473</v>
      </c>
      <c r="C44" s="14"/>
      <c r="D44" s="17"/>
      <c r="E44" s="15">
        <f t="shared" si="3"/>
        <v>0</v>
      </c>
      <c r="F44" s="5">
        <v>0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4"/>
        <v>0</v>
      </c>
      <c r="M44" s="4">
        <f t="shared" si="5"/>
        <v>0</v>
      </c>
      <c r="N44" s="31">
        <v>0</v>
      </c>
      <c r="O44" s="32">
        <v>0</v>
      </c>
      <c r="P44" s="33">
        <v>0</v>
      </c>
      <c r="Q44" s="2"/>
    </row>
    <row r="45" spans="2:17" ht="13.8" x14ac:dyDescent="0.2">
      <c r="B45" s="14" t="s">
        <v>474</v>
      </c>
      <c r="C45" s="14"/>
      <c r="D45" s="17"/>
      <c r="E45" s="15">
        <f t="shared" si="3"/>
        <v>0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4"/>
        <v>0</v>
      </c>
      <c r="M45" s="4">
        <f t="shared" si="5"/>
        <v>0</v>
      </c>
      <c r="N45" s="31">
        <v>0</v>
      </c>
      <c r="O45" s="32">
        <v>0</v>
      </c>
      <c r="P45" s="33">
        <v>0</v>
      </c>
      <c r="Q45" s="2"/>
    </row>
    <row r="46" spans="2:17" ht="13.8" x14ac:dyDescent="0.2">
      <c r="B46" s="14" t="s">
        <v>475</v>
      </c>
      <c r="C46" s="14"/>
      <c r="D46" s="17"/>
      <c r="E46" s="15">
        <f t="shared" si="3"/>
        <v>0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4"/>
        <v>0</v>
      </c>
      <c r="M46" s="4">
        <f t="shared" si="5"/>
        <v>0</v>
      </c>
      <c r="N46" s="31">
        <v>0</v>
      </c>
      <c r="O46" s="32">
        <v>0</v>
      </c>
      <c r="P46" s="33">
        <v>0</v>
      </c>
      <c r="Q46" s="2"/>
    </row>
    <row r="47" spans="2:17" ht="13.8" x14ac:dyDescent="0.2">
      <c r="B47" s="14" t="s">
        <v>476</v>
      </c>
      <c r="C47" s="14"/>
      <c r="D47" s="8"/>
      <c r="E47" s="15">
        <f t="shared" si="3"/>
        <v>0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4"/>
        <v>0</v>
      </c>
      <c r="M47" s="4">
        <f t="shared" si="5"/>
        <v>0</v>
      </c>
      <c r="N47" s="31">
        <v>0</v>
      </c>
      <c r="O47" s="32">
        <v>0</v>
      </c>
      <c r="P47" s="33">
        <v>0</v>
      </c>
      <c r="Q47" s="2"/>
    </row>
    <row r="48" spans="2:17" ht="13.8" x14ac:dyDescent="0.2">
      <c r="B48" s="14" t="s">
        <v>477</v>
      </c>
      <c r="C48" s="14"/>
      <c r="D48" s="17"/>
      <c r="E48" s="15">
        <f t="shared" si="3"/>
        <v>0</v>
      </c>
      <c r="F48" s="5">
        <v>0</v>
      </c>
      <c r="G48" s="16">
        <v>0</v>
      </c>
      <c r="H48" s="16">
        <v>0</v>
      </c>
      <c r="I48" s="16">
        <v>0</v>
      </c>
      <c r="J48" s="6">
        <v>0</v>
      </c>
      <c r="K48" s="7">
        <v>0</v>
      </c>
      <c r="L48" s="4">
        <f t="shared" si="4"/>
        <v>0</v>
      </c>
      <c r="M48" s="4">
        <f t="shared" si="5"/>
        <v>0</v>
      </c>
      <c r="N48" s="31">
        <v>0</v>
      </c>
      <c r="O48" s="32">
        <v>0</v>
      </c>
      <c r="P48" s="33">
        <v>0</v>
      </c>
      <c r="Q48" s="2"/>
    </row>
    <row r="49" spans="2:17" ht="13.8" x14ac:dyDescent="0.2">
      <c r="B49" s="14" t="s">
        <v>478</v>
      </c>
      <c r="C49" s="14"/>
      <c r="D49" s="17"/>
      <c r="E49" s="15">
        <f t="shared" si="3"/>
        <v>0</v>
      </c>
      <c r="F49" s="5">
        <v>0</v>
      </c>
      <c r="G49" s="16">
        <v>0</v>
      </c>
      <c r="H49" s="16">
        <v>0</v>
      </c>
      <c r="I49" s="16">
        <v>0</v>
      </c>
      <c r="J49" s="6">
        <v>0</v>
      </c>
      <c r="K49" s="7">
        <v>0</v>
      </c>
      <c r="L49" s="4">
        <f t="shared" si="4"/>
        <v>0</v>
      </c>
      <c r="M49" s="4">
        <f t="shared" si="5"/>
        <v>0</v>
      </c>
      <c r="N49" s="31">
        <v>0</v>
      </c>
      <c r="O49" s="32">
        <v>0</v>
      </c>
      <c r="P49" s="33">
        <v>0</v>
      </c>
      <c r="Q49" s="2"/>
    </row>
    <row r="50" spans="2:17" ht="13.8" x14ac:dyDescent="0.2">
      <c r="B50" s="14" t="s">
        <v>479</v>
      </c>
      <c r="C50" s="14"/>
      <c r="D50" s="17"/>
      <c r="E50" s="15">
        <f t="shared" si="3"/>
        <v>0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4"/>
        <v>0</v>
      </c>
      <c r="M50" s="4">
        <f t="shared" si="5"/>
        <v>0</v>
      </c>
      <c r="N50" s="31">
        <v>0</v>
      </c>
      <c r="O50" s="32">
        <v>0</v>
      </c>
      <c r="P50" s="33">
        <v>0</v>
      </c>
      <c r="Q50" s="2"/>
    </row>
    <row r="51" spans="2:17" ht="13.8" x14ac:dyDescent="0.2">
      <c r="B51" s="14" t="s">
        <v>480</v>
      </c>
      <c r="C51" s="14"/>
      <c r="D51" s="17"/>
      <c r="E51" s="15">
        <f t="shared" si="3"/>
        <v>0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4"/>
        <v>0</v>
      </c>
      <c r="M51" s="4">
        <f t="shared" si="5"/>
        <v>0</v>
      </c>
      <c r="N51" s="31">
        <v>0</v>
      </c>
      <c r="O51" s="32">
        <v>0</v>
      </c>
      <c r="P51" s="33">
        <v>0</v>
      </c>
      <c r="Q51" s="2"/>
    </row>
    <row r="52" spans="2:17" ht="13.8" x14ac:dyDescent="0.2">
      <c r="B52" s="14" t="s">
        <v>481</v>
      </c>
      <c r="C52" s="14"/>
      <c r="D52" s="17"/>
      <c r="E52" s="15">
        <f t="shared" si="3"/>
        <v>0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4"/>
        <v>0</v>
      </c>
      <c r="M52" s="4">
        <f t="shared" si="5"/>
        <v>0</v>
      </c>
      <c r="N52" s="31">
        <v>0</v>
      </c>
      <c r="O52" s="32">
        <v>0</v>
      </c>
      <c r="P52" s="33">
        <v>0</v>
      </c>
      <c r="Q52" s="2"/>
    </row>
    <row r="53" spans="2:17" ht="13.8" x14ac:dyDescent="0.2">
      <c r="B53" s="14" t="s">
        <v>482</v>
      </c>
      <c r="C53" s="14"/>
      <c r="D53" s="17"/>
      <c r="E53" s="15">
        <f t="shared" si="3"/>
        <v>0</v>
      </c>
      <c r="F53" s="5">
        <v>0</v>
      </c>
      <c r="G53" s="16">
        <v>0</v>
      </c>
      <c r="H53" s="16">
        <v>0</v>
      </c>
      <c r="I53" s="16">
        <v>0</v>
      </c>
      <c r="J53" s="6">
        <v>0</v>
      </c>
      <c r="K53" s="7">
        <v>0</v>
      </c>
      <c r="L53" s="4">
        <f t="shared" si="4"/>
        <v>0</v>
      </c>
      <c r="M53" s="4">
        <f t="shared" si="5"/>
        <v>0</v>
      </c>
      <c r="N53" s="31">
        <v>0</v>
      </c>
      <c r="O53" s="32">
        <v>0</v>
      </c>
      <c r="P53" s="33">
        <v>0</v>
      </c>
      <c r="Q53" s="2"/>
    </row>
    <row r="54" spans="2:17" ht="13.8" x14ac:dyDescent="0.2">
      <c r="B54" s="14" t="s">
        <v>483</v>
      </c>
      <c r="C54" s="14"/>
      <c r="D54" s="17"/>
      <c r="E54" s="15">
        <f t="shared" si="3"/>
        <v>0</v>
      </c>
      <c r="F54" s="5">
        <v>0</v>
      </c>
      <c r="G54" s="16">
        <v>0</v>
      </c>
      <c r="H54" s="16">
        <v>0</v>
      </c>
      <c r="I54" s="16">
        <v>0</v>
      </c>
      <c r="J54" s="6">
        <v>0</v>
      </c>
      <c r="K54" s="7">
        <v>0</v>
      </c>
      <c r="L54" s="4">
        <f t="shared" si="4"/>
        <v>0</v>
      </c>
      <c r="M54" s="4">
        <f t="shared" si="5"/>
        <v>0</v>
      </c>
      <c r="N54" s="31">
        <v>0</v>
      </c>
      <c r="O54" s="32">
        <v>0</v>
      </c>
      <c r="P54" s="33">
        <v>0</v>
      </c>
      <c r="Q54" s="2"/>
    </row>
    <row r="55" spans="2:17" ht="13.8" x14ac:dyDescent="0.2">
      <c r="B55" s="14" t="s">
        <v>484</v>
      </c>
      <c r="C55" s="14"/>
      <c r="D55" s="17"/>
      <c r="E55" s="15">
        <f t="shared" si="3"/>
        <v>0</v>
      </c>
      <c r="F55" s="5">
        <v>0</v>
      </c>
      <c r="G55" s="16">
        <v>0</v>
      </c>
      <c r="H55" s="16">
        <v>0</v>
      </c>
      <c r="I55" s="16">
        <v>0</v>
      </c>
      <c r="J55" s="6">
        <v>0</v>
      </c>
      <c r="K55" s="7">
        <v>0</v>
      </c>
      <c r="L55" s="4">
        <f t="shared" si="4"/>
        <v>0</v>
      </c>
      <c r="M55" s="4">
        <f t="shared" si="5"/>
        <v>0</v>
      </c>
      <c r="N55" s="31">
        <v>0</v>
      </c>
      <c r="O55" s="32">
        <v>0</v>
      </c>
      <c r="P55" s="33">
        <v>0</v>
      </c>
      <c r="Q55" s="2"/>
    </row>
    <row r="56" spans="2:17" ht="13.8" x14ac:dyDescent="0.2">
      <c r="B56" s="14" t="s">
        <v>485</v>
      </c>
      <c r="C56" s="14"/>
      <c r="D56" s="17"/>
      <c r="E56" s="15">
        <f t="shared" si="3"/>
        <v>0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4"/>
        <v>0</v>
      </c>
      <c r="M56" s="4">
        <f t="shared" si="5"/>
        <v>0</v>
      </c>
      <c r="N56" s="31">
        <v>0</v>
      </c>
      <c r="O56" s="32">
        <v>0</v>
      </c>
      <c r="P56" s="33">
        <v>0</v>
      </c>
      <c r="Q56" s="2"/>
    </row>
    <row r="57" spans="2:17" ht="13.8" x14ac:dyDescent="0.2">
      <c r="B57" s="14" t="s">
        <v>486</v>
      </c>
      <c r="C57" s="14"/>
      <c r="D57" s="17"/>
      <c r="E57" s="15">
        <f t="shared" si="3"/>
        <v>0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4"/>
        <v>0</v>
      </c>
      <c r="M57" s="4">
        <f t="shared" si="5"/>
        <v>0</v>
      </c>
      <c r="N57" s="31">
        <v>0</v>
      </c>
      <c r="O57" s="32">
        <v>0</v>
      </c>
      <c r="P57" s="33">
        <v>0</v>
      </c>
      <c r="Q57" s="2"/>
    </row>
    <row r="58" spans="2:17" ht="13.8" x14ac:dyDescent="0.2">
      <c r="B58" s="14" t="s">
        <v>487</v>
      </c>
      <c r="C58" s="14"/>
      <c r="D58" s="17"/>
      <c r="E58" s="15">
        <f t="shared" si="3"/>
        <v>0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4"/>
        <v>0</v>
      </c>
      <c r="M58" s="4">
        <f t="shared" si="5"/>
        <v>0</v>
      </c>
      <c r="N58" s="31">
        <v>0</v>
      </c>
      <c r="O58" s="32">
        <v>0</v>
      </c>
      <c r="P58" s="33">
        <v>0</v>
      </c>
      <c r="Q58" s="2"/>
    </row>
    <row r="59" spans="2:17" ht="13.8" x14ac:dyDescent="0.2">
      <c r="B59" s="14" t="s">
        <v>488</v>
      </c>
      <c r="C59" s="14"/>
      <c r="D59" s="17"/>
      <c r="E59" s="15">
        <f t="shared" si="3"/>
        <v>0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4"/>
        <v>0</v>
      </c>
      <c r="M59" s="4">
        <f t="shared" si="5"/>
        <v>0</v>
      </c>
      <c r="N59" s="31">
        <v>0</v>
      </c>
      <c r="O59" s="32">
        <v>0</v>
      </c>
      <c r="P59" s="33">
        <v>0</v>
      </c>
      <c r="Q59" s="2"/>
    </row>
    <row r="60" spans="2:17" ht="13.8" x14ac:dyDescent="0.2">
      <c r="B60" s="14" t="s">
        <v>489</v>
      </c>
      <c r="C60" s="14"/>
      <c r="D60" s="17"/>
      <c r="E60" s="15">
        <f t="shared" si="3"/>
        <v>0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4"/>
        <v>0</v>
      </c>
      <c r="M60" s="4">
        <f t="shared" si="5"/>
        <v>0</v>
      </c>
      <c r="N60" s="31">
        <v>0</v>
      </c>
      <c r="O60" s="32">
        <v>0</v>
      </c>
      <c r="P60" s="33">
        <v>0</v>
      </c>
      <c r="Q60" s="2"/>
    </row>
    <row r="61" spans="2:17" ht="13.8" x14ac:dyDescent="0.2">
      <c r="B61" s="14" t="s">
        <v>490</v>
      </c>
      <c r="C61" s="14"/>
      <c r="D61" s="17"/>
      <c r="E61" s="15">
        <f t="shared" si="3"/>
        <v>0</v>
      </c>
      <c r="F61" s="5">
        <v>0</v>
      </c>
      <c r="G61" s="16">
        <v>0</v>
      </c>
      <c r="H61" s="16">
        <v>0</v>
      </c>
      <c r="I61" s="16">
        <v>0</v>
      </c>
      <c r="J61" s="6">
        <v>0</v>
      </c>
      <c r="K61" s="7">
        <v>0</v>
      </c>
      <c r="L61" s="4">
        <f t="shared" si="4"/>
        <v>0</v>
      </c>
      <c r="M61" s="4">
        <f t="shared" si="5"/>
        <v>0</v>
      </c>
      <c r="N61" s="31">
        <v>0</v>
      </c>
      <c r="O61" s="32">
        <v>0</v>
      </c>
      <c r="P61" s="33">
        <v>0</v>
      </c>
      <c r="Q61" s="2"/>
    </row>
    <row r="62" spans="2:17" ht="13.8" x14ac:dyDescent="0.2">
      <c r="B62" s="14" t="s">
        <v>491</v>
      </c>
      <c r="C62" s="14"/>
      <c r="D62" s="17"/>
      <c r="E62" s="15">
        <f t="shared" si="3"/>
        <v>0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4"/>
        <v>0</v>
      </c>
      <c r="M62" s="4">
        <f t="shared" si="5"/>
        <v>0</v>
      </c>
      <c r="N62" s="31">
        <v>0</v>
      </c>
      <c r="O62" s="32">
        <v>0</v>
      </c>
      <c r="P62" s="33">
        <v>0</v>
      </c>
      <c r="Q62" s="2"/>
    </row>
    <row r="63" spans="2:17" ht="13.8" x14ac:dyDescent="0.2">
      <c r="B63" s="14" t="s">
        <v>492</v>
      </c>
      <c r="C63" s="14"/>
      <c r="D63" s="17"/>
      <c r="E63" s="15">
        <f t="shared" si="3"/>
        <v>0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4"/>
        <v>0</v>
      </c>
      <c r="M63" s="4">
        <f t="shared" si="5"/>
        <v>0</v>
      </c>
      <c r="N63" s="31">
        <v>0</v>
      </c>
      <c r="O63" s="32">
        <v>0</v>
      </c>
      <c r="P63" s="33">
        <v>0</v>
      </c>
      <c r="Q63" s="2"/>
    </row>
    <row r="64" spans="2:17" ht="13.8" x14ac:dyDescent="0.2">
      <c r="B64" s="14" t="s">
        <v>493</v>
      </c>
      <c r="C64" s="14"/>
      <c r="D64" s="17"/>
      <c r="E64" s="15">
        <f t="shared" si="3"/>
        <v>0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4"/>
        <v>0</v>
      </c>
      <c r="M64" s="4">
        <f t="shared" si="5"/>
        <v>0</v>
      </c>
      <c r="N64" s="31">
        <v>0</v>
      </c>
      <c r="O64" s="32">
        <v>0</v>
      </c>
      <c r="P64" s="33">
        <v>0</v>
      </c>
      <c r="Q64" s="2"/>
    </row>
    <row r="65" spans="2:17" ht="13.8" x14ac:dyDescent="0.2">
      <c r="B65" s="14" t="s">
        <v>494</v>
      </c>
      <c r="C65" s="14"/>
      <c r="D65" s="17"/>
      <c r="E65" s="15">
        <f t="shared" si="3"/>
        <v>0</v>
      </c>
      <c r="F65" s="5">
        <v>0</v>
      </c>
      <c r="G65" s="16">
        <v>0</v>
      </c>
      <c r="H65" s="16">
        <v>0</v>
      </c>
      <c r="I65" s="16">
        <v>0</v>
      </c>
      <c r="J65" s="6">
        <v>0</v>
      </c>
      <c r="K65" s="7">
        <v>0</v>
      </c>
      <c r="L65" s="4">
        <f t="shared" si="4"/>
        <v>0</v>
      </c>
      <c r="M65" s="4">
        <f t="shared" si="5"/>
        <v>0</v>
      </c>
      <c r="N65" s="31">
        <v>0</v>
      </c>
      <c r="O65" s="32">
        <v>0</v>
      </c>
      <c r="P65" s="33">
        <v>0</v>
      </c>
      <c r="Q65" s="2"/>
    </row>
    <row r="66" spans="2:17" ht="13.8" x14ac:dyDescent="0.2">
      <c r="B66" s="14" t="s">
        <v>495</v>
      </c>
      <c r="C66" s="14"/>
      <c r="D66" s="17"/>
      <c r="E66" s="15">
        <f t="shared" si="3"/>
        <v>0</v>
      </c>
      <c r="F66" s="5">
        <v>0</v>
      </c>
      <c r="G66" s="16">
        <v>0</v>
      </c>
      <c r="H66" s="16">
        <v>0</v>
      </c>
      <c r="I66" s="16">
        <v>0</v>
      </c>
      <c r="J66" s="6">
        <v>0</v>
      </c>
      <c r="K66" s="7">
        <v>0</v>
      </c>
      <c r="L66" s="4">
        <f t="shared" si="4"/>
        <v>0</v>
      </c>
      <c r="M66" s="4">
        <f t="shared" si="5"/>
        <v>0</v>
      </c>
      <c r="N66" s="31">
        <v>0</v>
      </c>
      <c r="O66" s="32">
        <v>0</v>
      </c>
      <c r="P66" s="33">
        <v>0</v>
      </c>
      <c r="Q66" s="2"/>
    </row>
    <row r="67" spans="2:17" ht="13.8" x14ac:dyDescent="0.2">
      <c r="B67" s="14" t="s">
        <v>496</v>
      </c>
      <c r="C67" s="14"/>
      <c r="D67" s="17"/>
      <c r="E67" s="15">
        <f t="shared" si="3"/>
        <v>0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4"/>
        <v>0</v>
      </c>
      <c r="M67" s="4">
        <f t="shared" ref="M67:M130" si="6">IFERROR(SUM(SUM(((G67-H67-I67-J67)*1),H67*2,I67*3,J67*4)/F67,((G67+H67+I67)/(F67+N67+O67+P67))),L67)</f>
        <v>0</v>
      </c>
      <c r="N67" s="31">
        <v>0</v>
      </c>
      <c r="O67" s="32">
        <v>0</v>
      </c>
      <c r="P67" s="33">
        <v>0</v>
      </c>
      <c r="Q67" s="2"/>
    </row>
    <row r="68" spans="2:17" ht="13.8" x14ac:dyDescent="0.2">
      <c r="B68" s="14" t="s">
        <v>497</v>
      </c>
      <c r="C68" s="14"/>
      <c r="D68" s="9"/>
      <c r="E68" s="15">
        <f t="shared" si="3"/>
        <v>0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4"/>
        <v>0</v>
      </c>
      <c r="M68" s="4">
        <f t="shared" si="6"/>
        <v>0</v>
      </c>
      <c r="N68" s="31">
        <v>0</v>
      </c>
      <c r="O68" s="32">
        <v>0</v>
      </c>
      <c r="P68" s="33">
        <v>0</v>
      </c>
      <c r="Q68" s="2"/>
    </row>
    <row r="69" spans="2:17" ht="13.8" x14ac:dyDescent="0.2">
      <c r="B69" s="14" t="s">
        <v>498</v>
      </c>
      <c r="C69" s="14"/>
      <c r="D69" s="17"/>
      <c r="E69" s="15">
        <f t="shared" ref="E69:E132" si="7">IFERROR(IF(G69/F69=1,"1.00",G69/F69),0)</f>
        <v>0</v>
      </c>
      <c r="F69" s="5">
        <v>0</v>
      </c>
      <c r="G69" s="16">
        <v>0</v>
      </c>
      <c r="H69" s="16">
        <v>0</v>
      </c>
      <c r="I69" s="16">
        <v>0</v>
      </c>
      <c r="J69" s="6">
        <v>0</v>
      </c>
      <c r="K69" s="7">
        <v>0</v>
      </c>
      <c r="L69" s="4">
        <f t="shared" ref="L69:L132" si="8">IFERROR(IF((G69+N69+O69)/(F69+N69+O69+P69)=1,"1.00",(G69+N69+O69)/(F69+N69+O69+P69)),0)</f>
        <v>0</v>
      </c>
      <c r="M69" s="4">
        <f t="shared" si="6"/>
        <v>0</v>
      </c>
      <c r="N69" s="31">
        <v>0</v>
      </c>
      <c r="O69" s="32">
        <v>0</v>
      </c>
      <c r="P69" s="33">
        <v>0</v>
      </c>
      <c r="Q69" s="2"/>
    </row>
    <row r="70" spans="2:17" ht="13.8" x14ac:dyDescent="0.2">
      <c r="B70" s="14" t="s">
        <v>499</v>
      </c>
      <c r="C70" s="14"/>
      <c r="D70" s="9"/>
      <c r="E70" s="15">
        <f t="shared" si="7"/>
        <v>0</v>
      </c>
      <c r="F70" s="5">
        <v>0</v>
      </c>
      <c r="G70" s="16">
        <v>0</v>
      </c>
      <c r="H70" s="16">
        <v>0</v>
      </c>
      <c r="I70" s="16">
        <v>0</v>
      </c>
      <c r="J70" s="6">
        <v>0</v>
      </c>
      <c r="K70" s="7">
        <v>0</v>
      </c>
      <c r="L70" s="4">
        <f t="shared" si="8"/>
        <v>0</v>
      </c>
      <c r="M70" s="4">
        <f t="shared" si="6"/>
        <v>0</v>
      </c>
      <c r="N70" s="31">
        <v>0</v>
      </c>
      <c r="O70" s="32">
        <v>0</v>
      </c>
      <c r="P70" s="33">
        <v>0</v>
      </c>
      <c r="Q70" s="2"/>
    </row>
    <row r="71" spans="2:17" ht="13.8" x14ac:dyDescent="0.2">
      <c r="B71" s="14" t="s">
        <v>500</v>
      </c>
      <c r="C71" s="14"/>
      <c r="D71" s="17"/>
      <c r="E71" s="15">
        <f t="shared" si="7"/>
        <v>0</v>
      </c>
      <c r="F71" s="5">
        <v>0</v>
      </c>
      <c r="G71" s="16">
        <v>0</v>
      </c>
      <c r="H71" s="16">
        <v>0</v>
      </c>
      <c r="I71" s="16">
        <v>0</v>
      </c>
      <c r="J71" s="6">
        <v>0</v>
      </c>
      <c r="K71" s="7">
        <v>0</v>
      </c>
      <c r="L71" s="4">
        <f t="shared" si="8"/>
        <v>0</v>
      </c>
      <c r="M71" s="4">
        <f t="shared" si="6"/>
        <v>0</v>
      </c>
      <c r="N71" s="31">
        <v>0</v>
      </c>
      <c r="O71" s="32">
        <v>0</v>
      </c>
      <c r="P71" s="33">
        <v>0</v>
      </c>
      <c r="Q71" s="2"/>
    </row>
    <row r="72" spans="2:17" ht="13.8" x14ac:dyDescent="0.2">
      <c r="B72" s="14" t="s">
        <v>501</v>
      </c>
      <c r="C72" s="14"/>
      <c r="D72" s="17"/>
      <c r="E72" s="15">
        <f t="shared" si="7"/>
        <v>0</v>
      </c>
      <c r="F72" s="5">
        <v>0</v>
      </c>
      <c r="G72" s="16">
        <v>0</v>
      </c>
      <c r="H72" s="16">
        <v>0</v>
      </c>
      <c r="I72" s="16">
        <v>0</v>
      </c>
      <c r="J72" s="6">
        <v>0</v>
      </c>
      <c r="K72" s="7">
        <v>0</v>
      </c>
      <c r="L72" s="4">
        <f t="shared" si="8"/>
        <v>0</v>
      </c>
      <c r="M72" s="4">
        <f t="shared" si="6"/>
        <v>0</v>
      </c>
      <c r="N72" s="31">
        <v>0</v>
      </c>
      <c r="O72" s="32">
        <v>0</v>
      </c>
      <c r="P72" s="33">
        <v>0</v>
      </c>
      <c r="Q72" s="2"/>
    </row>
    <row r="73" spans="2:17" ht="13.8" x14ac:dyDescent="0.2">
      <c r="B73" s="14" t="s">
        <v>502</v>
      </c>
      <c r="C73" s="14"/>
      <c r="D73" s="17"/>
      <c r="E73" s="15">
        <f t="shared" si="7"/>
        <v>0</v>
      </c>
      <c r="F73" s="5">
        <v>0</v>
      </c>
      <c r="G73" s="16">
        <v>0</v>
      </c>
      <c r="H73" s="16">
        <v>0</v>
      </c>
      <c r="I73" s="16">
        <v>0</v>
      </c>
      <c r="J73" s="6">
        <v>0</v>
      </c>
      <c r="K73" s="7">
        <v>0</v>
      </c>
      <c r="L73" s="4">
        <f t="shared" si="8"/>
        <v>0</v>
      </c>
      <c r="M73" s="4">
        <f t="shared" si="6"/>
        <v>0</v>
      </c>
      <c r="N73" s="31">
        <v>0</v>
      </c>
      <c r="O73" s="32">
        <v>0</v>
      </c>
      <c r="P73" s="33">
        <v>0</v>
      </c>
      <c r="Q73" s="2"/>
    </row>
    <row r="74" spans="2:17" ht="13.8" x14ac:dyDescent="0.2">
      <c r="B74" s="14" t="s">
        <v>503</v>
      </c>
      <c r="C74" s="14"/>
      <c r="D74" s="17"/>
      <c r="E74" s="15">
        <f t="shared" si="7"/>
        <v>0</v>
      </c>
      <c r="F74" s="5">
        <v>0</v>
      </c>
      <c r="G74" s="16">
        <v>0</v>
      </c>
      <c r="H74" s="16">
        <v>0</v>
      </c>
      <c r="I74" s="16">
        <v>0</v>
      </c>
      <c r="J74" s="6">
        <v>0</v>
      </c>
      <c r="K74" s="7">
        <v>0</v>
      </c>
      <c r="L74" s="4">
        <f t="shared" si="8"/>
        <v>0</v>
      </c>
      <c r="M74" s="4">
        <f t="shared" si="6"/>
        <v>0</v>
      </c>
      <c r="N74" s="31">
        <v>0</v>
      </c>
      <c r="O74" s="32">
        <v>0</v>
      </c>
      <c r="P74" s="33">
        <v>0</v>
      </c>
      <c r="Q74" s="2"/>
    </row>
    <row r="75" spans="2:17" ht="13.8" x14ac:dyDescent="0.2">
      <c r="B75" s="14" t="s">
        <v>504</v>
      </c>
      <c r="C75" s="14"/>
      <c r="D75" s="9"/>
      <c r="E75" s="15">
        <f t="shared" si="7"/>
        <v>0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8"/>
        <v>0</v>
      </c>
      <c r="M75" s="4">
        <f t="shared" si="6"/>
        <v>0</v>
      </c>
      <c r="N75" s="31">
        <v>0</v>
      </c>
      <c r="O75" s="32">
        <v>0</v>
      </c>
      <c r="P75" s="33">
        <v>0</v>
      </c>
      <c r="Q75" s="2"/>
    </row>
    <row r="76" spans="2:17" ht="13.8" x14ac:dyDescent="0.2">
      <c r="B76" s="14" t="s">
        <v>505</v>
      </c>
      <c r="C76" s="14"/>
      <c r="D76" s="17"/>
      <c r="E76" s="15">
        <f t="shared" si="7"/>
        <v>0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8"/>
        <v>0</v>
      </c>
      <c r="M76" s="4">
        <f t="shared" si="6"/>
        <v>0</v>
      </c>
      <c r="N76" s="31">
        <v>0</v>
      </c>
      <c r="O76" s="32">
        <v>0</v>
      </c>
      <c r="P76" s="33">
        <v>0</v>
      </c>
      <c r="Q76" s="2"/>
    </row>
    <row r="77" spans="2:17" ht="13.8" x14ac:dyDescent="0.2">
      <c r="B77" s="14" t="s">
        <v>506</v>
      </c>
      <c r="C77" s="14"/>
      <c r="D77" s="8"/>
      <c r="E77" s="15">
        <f t="shared" si="7"/>
        <v>0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8"/>
        <v>0</v>
      </c>
      <c r="M77" s="4">
        <f t="shared" si="6"/>
        <v>0</v>
      </c>
      <c r="N77" s="31">
        <v>0</v>
      </c>
      <c r="O77" s="32">
        <v>0</v>
      </c>
      <c r="P77" s="33">
        <v>0</v>
      </c>
      <c r="Q77" s="2"/>
    </row>
    <row r="78" spans="2:17" ht="13.8" x14ac:dyDescent="0.2">
      <c r="B78" s="14" t="s">
        <v>507</v>
      </c>
      <c r="C78" s="14"/>
      <c r="D78" s="8"/>
      <c r="E78" s="15">
        <f t="shared" si="7"/>
        <v>0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8"/>
        <v>0</v>
      </c>
      <c r="M78" s="4">
        <f t="shared" si="6"/>
        <v>0</v>
      </c>
      <c r="N78" s="31">
        <v>0</v>
      </c>
      <c r="O78" s="32">
        <v>0</v>
      </c>
      <c r="P78" s="33">
        <v>0</v>
      </c>
      <c r="Q78" s="2"/>
    </row>
    <row r="79" spans="2:17" ht="13.8" x14ac:dyDescent="0.2">
      <c r="B79" s="14" t="s">
        <v>508</v>
      </c>
      <c r="C79" s="14"/>
      <c r="D79" s="8"/>
      <c r="E79" s="15">
        <f t="shared" si="7"/>
        <v>0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8"/>
        <v>0</v>
      </c>
      <c r="M79" s="4">
        <f t="shared" si="6"/>
        <v>0</v>
      </c>
      <c r="N79" s="31">
        <v>0</v>
      </c>
      <c r="O79" s="32">
        <v>0</v>
      </c>
      <c r="P79" s="33">
        <v>0</v>
      </c>
      <c r="Q79" s="2"/>
    </row>
    <row r="80" spans="2:17" ht="13.8" x14ac:dyDescent="0.2">
      <c r="B80" s="14" t="s">
        <v>509</v>
      </c>
      <c r="C80" s="14"/>
      <c r="D80" s="8"/>
      <c r="E80" s="15">
        <f t="shared" si="7"/>
        <v>0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8"/>
        <v>0</v>
      </c>
      <c r="M80" s="4">
        <f t="shared" si="6"/>
        <v>0</v>
      </c>
      <c r="N80" s="31">
        <v>0</v>
      </c>
      <c r="O80" s="32">
        <v>0</v>
      </c>
      <c r="P80" s="33">
        <v>0</v>
      </c>
      <c r="Q80" s="2"/>
    </row>
    <row r="81" spans="2:17" ht="13.8" x14ac:dyDescent="0.2">
      <c r="B81" s="14" t="s">
        <v>510</v>
      </c>
      <c r="C81" s="14"/>
      <c r="D81" s="8"/>
      <c r="E81" s="15">
        <f t="shared" si="7"/>
        <v>0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8"/>
        <v>0</v>
      </c>
      <c r="M81" s="4">
        <f t="shared" si="6"/>
        <v>0</v>
      </c>
      <c r="N81" s="31">
        <v>0</v>
      </c>
      <c r="O81" s="32">
        <v>0</v>
      </c>
      <c r="P81" s="33">
        <v>0</v>
      </c>
      <c r="Q81" s="2"/>
    </row>
    <row r="82" spans="2:17" ht="13.8" x14ac:dyDescent="0.2">
      <c r="B82" s="14" t="s">
        <v>511</v>
      </c>
      <c r="C82" s="14"/>
      <c r="D82" s="8"/>
      <c r="E82" s="15">
        <f t="shared" si="7"/>
        <v>0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8"/>
        <v>0</v>
      </c>
      <c r="M82" s="4">
        <f t="shared" si="6"/>
        <v>0</v>
      </c>
      <c r="N82" s="31">
        <v>0</v>
      </c>
      <c r="O82" s="32">
        <v>0</v>
      </c>
      <c r="P82" s="33">
        <v>0</v>
      </c>
      <c r="Q82" s="2"/>
    </row>
    <row r="83" spans="2:17" ht="13.8" x14ac:dyDescent="0.2">
      <c r="B83" s="14" t="s">
        <v>512</v>
      </c>
      <c r="C83" s="14"/>
      <c r="D83" s="17"/>
      <c r="E83" s="15">
        <f t="shared" si="7"/>
        <v>0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8"/>
        <v>0</v>
      </c>
      <c r="M83" s="4">
        <f t="shared" si="6"/>
        <v>0</v>
      </c>
      <c r="N83" s="31">
        <v>0</v>
      </c>
      <c r="O83" s="32">
        <v>0</v>
      </c>
      <c r="P83" s="33">
        <v>0</v>
      </c>
      <c r="Q83" s="2"/>
    </row>
    <row r="84" spans="2:17" ht="13.8" x14ac:dyDescent="0.2">
      <c r="B84" s="14" t="s">
        <v>513</v>
      </c>
      <c r="C84" s="14"/>
      <c r="D84" s="8"/>
      <c r="E84" s="15">
        <f t="shared" si="7"/>
        <v>0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8"/>
        <v>0</v>
      </c>
      <c r="M84" s="4">
        <f t="shared" si="6"/>
        <v>0</v>
      </c>
      <c r="N84" s="31">
        <v>0</v>
      </c>
      <c r="O84" s="32">
        <v>0</v>
      </c>
      <c r="P84" s="33">
        <v>0</v>
      </c>
      <c r="Q84" s="2"/>
    </row>
    <row r="85" spans="2:17" ht="13.8" x14ac:dyDescent="0.2">
      <c r="B85" s="14" t="s">
        <v>514</v>
      </c>
      <c r="C85" s="14"/>
      <c r="D85" s="8"/>
      <c r="E85" s="15">
        <f t="shared" si="7"/>
        <v>0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8"/>
        <v>0</v>
      </c>
      <c r="M85" s="4">
        <f t="shared" si="6"/>
        <v>0</v>
      </c>
      <c r="N85" s="31">
        <v>0</v>
      </c>
      <c r="O85" s="32">
        <v>0</v>
      </c>
      <c r="P85" s="33">
        <v>0</v>
      </c>
      <c r="Q85" s="2"/>
    </row>
    <row r="86" spans="2:17" ht="13.8" x14ac:dyDescent="0.2">
      <c r="B86" s="14" t="s">
        <v>515</v>
      </c>
      <c r="C86" s="14"/>
      <c r="D86" s="8"/>
      <c r="E86" s="15">
        <f t="shared" si="7"/>
        <v>0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8"/>
        <v>0</v>
      </c>
      <c r="M86" s="4">
        <f t="shared" si="6"/>
        <v>0</v>
      </c>
      <c r="N86" s="31">
        <v>0</v>
      </c>
      <c r="O86" s="32">
        <v>0</v>
      </c>
      <c r="P86" s="33">
        <v>0</v>
      </c>
      <c r="Q86" s="2"/>
    </row>
    <row r="87" spans="2:17" ht="13.8" x14ac:dyDescent="0.2">
      <c r="B87" s="14" t="s">
        <v>516</v>
      </c>
      <c r="C87" s="14"/>
      <c r="D87" s="8"/>
      <c r="E87" s="15">
        <f t="shared" si="7"/>
        <v>0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8"/>
        <v>0</v>
      </c>
      <c r="M87" s="4">
        <f t="shared" si="6"/>
        <v>0</v>
      </c>
      <c r="N87" s="31">
        <v>0</v>
      </c>
      <c r="O87" s="32">
        <v>0</v>
      </c>
      <c r="P87" s="33">
        <v>0</v>
      </c>
      <c r="Q87" s="2"/>
    </row>
    <row r="88" spans="2:17" ht="13.8" x14ac:dyDescent="0.2">
      <c r="B88" s="14" t="s">
        <v>517</v>
      </c>
      <c r="C88" s="14"/>
      <c r="D88" s="8"/>
      <c r="E88" s="15">
        <f t="shared" si="7"/>
        <v>0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8"/>
        <v>0</v>
      </c>
      <c r="M88" s="4">
        <f t="shared" si="6"/>
        <v>0</v>
      </c>
      <c r="N88" s="31">
        <v>0</v>
      </c>
      <c r="O88" s="32">
        <v>0</v>
      </c>
      <c r="P88" s="33">
        <v>0</v>
      </c>
      <c r="Q88" s="2"/>
    </row>
    <row r="89" spans="2:17" ht="13.8" x14ac:dyDescent="0.2">
      <c r="B89" s="14" t="s">
        <v>518</v>
      </c>
      <c r="C89" s="14"/>
      <c r="D89" s="8"/>
      <c r="E89" s="15">
        <f t="shared" si="7"/>
        <v>0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8"/>
        <v>0</v>
      </c>
      <c r="M89" s="4">
        <f t="shared" si="6"/>
        <v>0</v>
      </c>
      <c r="N89" s="31">
        <v>0</v>
      </c>
      <c r="O89" s="32">
        <v>0</v>
      </c>
      <c r="P89" s="33">
        <v>0</v>
      </c>
      <c r="Q89" s="2"/>
    </row>
    <row r="90" spans="2:17" ht="13.8" x14ac:dyDescent="0.2">
      <c r="B90" s="14" t="s">
        <v>519</v>
      </c>
      <c r="C90" s="14"/>
      <c r="D90" s="8"/>
      <c r="E90" s="15">
        <f t="shared" si="7"/>
        <v>0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8"/>
        <v>0</v>
      </c>
      <c r="M90" s="4">
        <f t="shared" si="6"/>
        <v>0</v>
      </c>
      <c r="N90" s="31">
        <v>0</v>
      </c>
      <c r="O90" s="32">
        <v>0</v>
      </c>
      <c r="P90" s="33">
        <v>0</v>
      </c>
      <c r="Q90" s="2"/>
    </row>
    <row r="91" spans="2:17" ht="13.8" x14ac:dyDescent="0.2">
      <c r="B91" s="14" t="s">
        <v>520</v>
      </c>
      <c r="C91" s="14"/>
      <c r="D91" s="8"/>
      <c r="E91" s="15">
        <f t="shared" si="7"/>
        <v>0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8"/>
        <v>0</v>
      </c>
      <c r="M91" s="4">
        <f t="shared" si="6"/>
        <v>0</v>
      </c>
      <c r="N91" s="31">
        <v>0</v>
      </c>
      <c r="O91" s="32">
        <v>0</v>
      </c>
      <c r="P91" s="33">
        <v>0</v>
      </c>
      <c r="Q91" s="2"/>
    </row>
    <row r="92" spans="2:17" ht="13.8" x14ac:dyDescent="0.2">
      <c r="B92" s="14" t="s">
        <v>521</v>
      </c>
      <c r="C92" s="14"/>
      <c r="D92" s="8"/>
      <c r="E92" s="15">
        <f t="shared" si="7"/>
        <v>0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8"/>
        <v>0</v>
      </c>
      <c r="M92" s="4">
        <f t="shared" si="6"/>
        <v>0</v>
      </c>
      <c r="N92" s="31">
        <v>0</v>
      </c>
      <c r="O92" s="32">
        <v>0</v>
      </c>
      <c r="P92" s="33">
        <v>0</v>
      </c>
      <c r="Q92" s="2"/>
    </row>
    <row r="93" spans="2:17" ht="13.8" x14ac:dyDescent="0.2">
      <c r="B93" s="14" t="s">
        <v>522</v>
      </c>
      <c r="C93" s="14"/>
      <c r="D93" s="17"/>
      <c r="E93" s="15">
        <f t="shared" si="7"/>
        <v>0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8"/>
        <v>0</v>
      </c>
      <c r="M93" s="4">
        <f t="shared" si="6"/>
        <v>0</v>
      </c>
      <c r="N93" s="31">
        <v>0</v>
      </c>
      <c r="O93" s="32">
        <v>0</v>
      </c>
      <c r="P93" s="33">
        <v>0</v>
      </c>
      <c r="Q93" s="2"/>
    </row>
    <row r="94" spans="2:17" ht="13.8" x14ac:dyDescent="0.2">
      <c r="B94" s="14" t="s">
        <v>523</v>
      </c>
      <c r="C94" s="14"/>
      <c r="D94" s="8"/>
      <c r="E94" s="15">
        <f t="shared" si="7"/>
        <v>0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8"/>
        <v>0</v>
      </c>
      <c r="M94" s="4">
        <f t="shared" si="6"/>
        <v>0</v>
      </c>
      <c r="N94" s="31">
        <v>0</v>
      </c>
      <c r="O94" s="32">
        <v>0</v>
      </c>
      <c r="P94" s="33">
        <v>0</v>
      </c>
      <c r="Q94" s="2"/>
    </row>
    <row r="95" spans="2:17" ht="13.8" x14ac:dyDescent="0.2">
      <c r="B95" s="14" t="s">
        <v>524</v>
      </c>
      <c r="C95" s="14"/>
      <c r="D95" s="8"/>
      <c r="E95" s="15">
        <f t="shared" si="7"/>
        <v>0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8"/>
        <v>0</v>
      </c>
      <c r="M95" s="4">
        <f t="shared" si="6"/>
        <v>0</v>
      </c>
      <c r="N95" s="31">
        <v>0</v>
      </c>
      <c r="O95" s="32">
        <v>0</v>
      </c>
      <c r="P95" s="33">
        <v>0</v>
      </c>
      <c r="Q95" s="2"/>
    </row>
    <row r="96" spans="2:17" ht="13.8" x14ac:dyDescent="0.2">
      <c r="B96" s="14" t="s">
        <v>525</v>
      </c>
      <c r="C96" s="14"/>
      <c r="D96" s="9"/>
      <c r="E96" s="15">
        <f t="shared" si="7"/>
        <v>0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8"/>
        <v>0</v>
      </c>
      <c r="M96" s="4">
        <f t="shared" si="6"/>
        <v>0</v>
      </c>
      <c r="N96" s="31">
        <v>0</v>
      </c>
      <c r="O96" s="32">
        <v>0</v>
      </c>
      <c r="P96" s="33">
        <v>0</v>
      </c>
      <c r="Q96" s="2"/>
    </row>
    <row r="97" spans="2:17" ht="13.8" x14ac:dyDescent="0.2">
      <c r="B97" s="14" t="s">
        <v>526</v>
      </c>
      <c r="C97" s="14"/>
      <c r="D97" s="8"/>
      <c r="E97" s="15">
        <f t="shared" si="7"/>
        <v>0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8"/>
        <v>0</v>
      </c>
      <c r="M97" s="4">
        <f t="shared" si="6"/>
        <v>0</v>
      </c>
      <c r="N97" s="31">
        <v>0</v>
      </c>
      <c r="O97" s="32">
        <v>0</v>
      </c>
      <c r="P97" s="33">
        <v>0</v>
      </c>
      <c r="Q97" s="2"/>
    </row>
    <row r="98" spans="2:17" ht="13.8" x14ac:dyDescent="0.2">
      <c r="B98" s="14" t="s">
        <v>527</v>
      </c>
      <c r="C98" s="14"/>
      <c r="D98" s="8"/>
      <c r="E98" s="15">
        <f t="shared" si="7"/>
        <v>0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8"/>
        <v>0</v>
      </c>
      <c r="M98" s="4">
        <f t="shared" si="6"/>
        <v>0</v>
      </c>
      <c r="N98" s="31">
        <v>0</v>
      </c>
      <c r="O98" s="32">
        <v>0</v>
      </c>
      <c r="P98" s="33">
        <v>0</v>
      </c>
      <c r="Q98" s="2"/>
    </row>
    <row r="99" spans="2:17" ht="13.8" x14ac:dyDescent="0.2">
      <c r="B99" s="14" t="s">
        <v>528</v>
      </c>
      <c r="C99" s="14"/>
      <c r="D99" s="8"/>
      <c r="E99" s="15">
        <f t="shared" si="7"/>
        <v>0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8"/>
        <v>0</v>
      </c>
      <c r="M99" s="4">
        <f t="shared" si="6"/>
        <v>0</v>
      </c>
      <c r="N99" s="31">
        <v>0</v>
      </c>
      <c r="O99" s="32">
        <v>0</v>
      </c>
      <c r="P99" s="33">
        <v>0</v>
      </c>
      <c r="Q99" s="2"/>
    </row>
    <row r="100" spans="2:17" ht="13.8" x14ac:dyDescent="0.2">
      <c r="B100" s="14" t="s">
        <v>529</v>
      </c>
      <c r="C100" s="14"/>
      <c r="D100" s="8"/>
      <c r="E100" s="15">
        <f t="shared" si="7"/>
        <v>0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8"/>
        <v>0</v>
      </c>
      <c r="M100" s="4">
        <f t="shared" si="6"/>
        <v>0</v>
      </c>
      <c r="N100" s="31">
        <v>0</v>
      </c>
      <c r="O100" s="32">
        <v>0</v>
      </c>
      <c r="P100" s="33">
        <v>0</v>
      </c>
      <c r="Q100" s="2"/>
    </row>
    <row r="101" spans="2:17" ht="13.8" x14ac:dyDescent="0.2">
      <c r="B101" s="14" t="s">
        <v>530</v>
      </c>
      <c r="C101" s="14"/>
      <c r="D101" s="8"/>
      <c r="E101" s="15">
        <f t="shared" si="7"/>
        <v>0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8"/>
        <v>0</v>
      </c>
      <c r="M101" s="4">
        <f t="shared" si="6"/>
        <v>0</v>
      </c>
      <c r="N101" s="31">
        <v>0</v>
      </c>
      <c r="O101" s="32">
        <v>0</v>
      </c>
      <c r="P101" s="33">
        <v>0</v>
      </c>
      <c r="Q101" s="2"/>
    </row>
    <row r="102" spans="2:17" ht="13.8" x14ac:dyDescent="0.2">
      <c r="B102" s="14" t="s">
        <v>531</v>
      </c>
      <c r="C102" s="14"/>
      <c r="D102" s="8"/>
      <c r="E102" s="15">
        <f t="shared" si="7"/>
        <v>0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8"/>
        <v>0</v>
      </c>
      <c r="M102" s="4">
        <f t="shared" si="6"/>
        <v>0</v>
      </c>
      <c r="N102" s="31">
        <v>0</v>
      </c>
      <c r="O102" s="32">
        <v>0</v>
      </c>
      <c r="P102" s="33">
        <v>0</v>
      </c>
      <c r="Q102" s="2"/>
    </row>
    <row r="103" spans="2:17" ht="13.8" x14ac:dyDescent="0.2">
      <c r="B103" s="14" t="s">
        <v>532</v>
      </c>
      <c r="C103" s="14"/>
      <c r="D103" s="8"/>
      <c r="E103" s="15">
        <f t="shared" si="7"/>
        <v>0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8"/>
        <v>0</v>
      </c>
      <c r="M103" s="4">
        <f t="shared" si="6"/>
        <v>0</v>
      </c>
      <c r="N103" s="31">
        <v>0</v>
      </c>
      <c r="O103" s="32">
        <v>0</v>
      </c>
      <c r="P103" s="33">
        <v>0</v>
      </c>
      <c r="Q103" s="2"/>
    </row>
    <row r="104" spans="2:17" ht="13.8" x14ac:dyDescent="0.2">
      <c r="B104" s="14" t="s">
        <v>533</v>
      </c>
      <c r="C104" s="14"/>
      <c r="D104" s="17"/>
      <c r="E104" s="15">
        <f t="shared" si="7"/>
        <v>0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8"/>
        <v>0</v>
      </c>
      <c r="M104" s="4">
        <f t="shared" si="6"/>
        <v>0</v>
      </c>
      <c r="N104" s="31">
        <v>0</v>
      </c>
      <c r="O104" s="32">
        <v>0</v>
      </c>
      <c r="P104" s="33">
        <v>0</v>
      </c>
      <c r="Q104" s="2"/>
    </row>
    <row r="105" spans="2:17" ht="13.8" x14ac:dyDescent="0.2">
      <c r="B105" s="14" t="s">
        <v>534</v>
      </c>
      <c r="C105" s="14"/>
      <c r="D105" s="18"/>
      <c r="E105" s="15">
        <f t="shared" si="7"/>
        <v>0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8"/>
        <v>0</v>
      </c>
      <c r="M105" s="4">
        <f t="shared" si="6"/>
        <v>0</v>
      </c>
      <c r="N105" s="31">
        <v>0</v>
      </c>
      <c r="O105" s="32">
        <v>0</v>
      </c>
      <c r="P105" s="33">
        <v>0</v>
      </c>
      <c r="Q105" s="2"/>
    </row>
    <row r="106" spans="2:17" ht="13.8" x14ac:dyDescent="0.2">
      <c r="B106" s="14" t="s">
        <v>535</v>
      </c>
      <c r="C106" s="14"/>
      <c r="D106" s="9"/>
      <c r="E106" s="15">
        <f t="shared" si="7"/>
        <v>0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8"/>
        <v>0</v>
      </c>
      <c r="M106" s="4">
        <f t="shared" si="6"/>
        <v>0</v>
      </c>
      <c r="N106" s="31">
        <v>0</v>
      </c>
      <c r="O106" s="32">
        <v>0</v>
      </c>
      <c r="P106" s="33">
        <v>0</v>
      </c>
      <c r="Q106" s="2"/>
    </row>
    <row r="107" spans="2:17" ht="13.8" x14ac:dyDescent="0.2">
      <c r="B107" s="14" t="s">
        <v>536</v>
      </c>
      <c r="C107" s="14"/>
      <c r="D107" s="9"/>
      <c r="E107" s="15">
        <f t="shared" si="7"/>
        <v>0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8"/>
        <v>0</v>
      </c>
      <c r="M107" s="4">
        <f t="shared" si="6"/>
        <v>0</v>
      </c>
      <c r="N107" s="31">
        <v>0</v>
      </c>
      <c r="O107" s="32">
        <v>0</v>
      </c>
      <c r="P107" s="33">
        <v>0</v>
      </c>
      <c r="Q107" s="2"/>
    </row>
    <row r="108" spans="2:17" ht="13.8" x14ac:dyDescent="0.2">
      <c r="B108" s="14" t="s">
        <v>537</v>
      </c>
      <c r="C108" s="14"/>
      <c r="D108" s="9"/>
      <c r="E108" s="15">
        <f t="shared" si="7"/>
        <v>0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8"/>
        <v>0</v>
      </c>
      <c r="M108" s="4">
        <f t="shared" si="6"/>
        <v>0</v>
      </c>
      <c r="N108" s="31">
        <v>0</v>
      </c>
      <c r="O108" s="32">
        <v>0</v>
      </c>
      <c r="P108" s="33">
        <v>0</v>
      </c>
      <c r="Q108" s="2"/>
    </row>
    <row r="109" spans="2:17" ht="13.8" x14ac:dyDescent="0.2">
      <c r="B109" s="14" t="s">
        <v>538</v>
      </c>
      <c r="C109" s="14"/>
      <c r="D109" s="9"/>
      <c r="E109" s="15">
        <f t="shared" si="7"/>
        <v>0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8"/>
        <v>0</v>
      </c>
      <c r="M109" s="4">
        <f t="shared" si="6"/>
        <v>0</v>
      </c>
      <c r="N109" s="31">
        <v>0</v>
      </c>
      <c r="O109" s="32">
        <v>0</v>
      </c>
      <c r="P109" s="33">
        <v>0</v>
      </c>
      <c r="Q109" s="2"/>
    </row>
    <row r="110" spans="2:17" ht="13.8" x14ac:dyDescent="0.2">
      <c r="B110" s="14" t="s">
        <v>539</v>
      </c>
      <c r="C110" s="14"/>
      <c r="D110" s="9"/>
      <c r="E110" s="15">
        <f t="shared" si="7"/>
        <v>0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8"/>
        <v>0</v>
      </c>
      <c r="M110" s="4">
        <f t="shared" si="6"/>
        <v>0</v>
      </c>
      <c r="N110" s="31">
        <v>0</v>
      </c>
      <c r="O110" s="32">
        <v>0</v>
      </c>
      <c r="P110" s="33">
        <v>0</v>
      </c>
      <c r="Q110" s="2"/>
    </row>
    <row r="111" spans="2:17" ht="13.8" x14ac:dyDescent="0.2">
      <c r="B111" s="14" t="s">
        <v>540</v>
      </c>
      <c r="C111" s="14"/>
      <c r="D111" s="9"/>
      <c r="E111" s="15">
        <f t="shared" si="7"/>
        <v>0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8"/>
        <v>0</v>
      </c>
      <c r="M111" s="4">
        <f t="shared" si="6"/>
        <v>0</v>
      </c>
      <c r="N111" s="31">
        <v>0</v>
      </c>
      <c r="O111" s="32">
        <v>0</v>
      </c>
      <c r="P111" s="33">
        <v>0</v>
      </c>
      <c r="Q111" s="2"/>
    </row>
    <row r="112" spans="2:17" ht="13.8" x14ac:dyDescent="0.2">
      <c r="B112" s="14" t="s">
        <v>541</v>
      </c>
      <c r="C112" s="14"/>
      <c r="D112" s="9"/>
      <c r="E112" s="15">
        <f t="shared" si="7"/>
        <v>0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8"/>
        <v>0</v>
      </c>
      <c r="M112" s="4">
        <f t="shared" si="6"/>
        <v>0</v>
      </c>
      <c r="N112" s="31">
        <v>0</v>
      </c>
      <c r="O112" s="32">
        <v>0</v>
      </c>
      <c r="P112" s="33">
        <v>0</v>
      </c>
      <c r="Q112" s="2"/>
    </row>
    <row r="113" spans="2:17" ht="13.8" x14ac:dyDescent="0.2">
      <c r="B113" s="14" t="s">
        <v>542</v>
      </c>
      <c r="C113" s="14"/>
      <c r="D113" s="9"/>
      <c r="E113" s="15">
        <f t="shared" si="7"/>
        <v>0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8"/>
        <v>0</v>
      </c>
      <c r="M113" s="4">
        <f t="shared" si="6"/>
        <v>0</v>
      </c>
      <c r="N113" s="31">
        <v>0</v>
      </c>
      <c r="O113" s="32">
        <v>0</v>
      </c>
      <c r="P113" s="33">
        <v>0</v>
      </c>
      <c r="Q113" s="2"/>
    </row>
    <row r="114" spans="2:17" ht="13.8" x14ac:dyDescent="0.2">
      <c r="B114" s="14" t="s">
        <v>543</v>
      </c>
      <c r="C114" s="14"/>
      <c r="D114" s="9"/>
      <c r="E114" s="15">
        <f t="shared" si="7"/>
        <v>0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8"/>
        <v>0</v>
      </c>
      <c r="M114" s="4">
        <f t="shared" si="6"/>
        <v>0</v>
      </c>
      <c r="N114" s="31">
        <v>0</v>
      </c>
      <c r="O114" s="32">
        <v>0</v>
      </c>
      <c r="P114" s="33">
        <v>0</v>
      </c>
      <c r="Q114" s="2"/>
    </row>
    <row r="115" spans="2:17" ht="13.8" x14ac:dyDescent="0.2">
      <c r="B115" s="14" t="s">
        <v>544</v>
      </c>
      <c r="C115" s="14"/>
      <c r="D115" s="9"/>
      <c r="E115" s="15">
        <f t="shared" si="7"/>
        <v>0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8"/>
        <v>0</v>
      </c>
      <c r="M115" s="4">
        <f t="shared" si="6"/>
        <v>0</v>
      </c>
      <c r="N115" s="31">
        <v>0</v>
      </c>
      <c r="O115" s="32">
        <v>0</v>
      </c>
      <c r="P115" s="33">
        <v>0</v>
      </c>
      <c r="Q115" s="2"/>
    </row>
    <row r="116" spans="2:17" ht="13.8" x14ac:dyDescent="0.2">
      <c r="B116" s="14" t="s">
        <v>545</v>
      </c>
      <c r="C116" s="14"/>
      <c r="D116" s="9"/>
      <c r="E116" s="15">
        <f t="shared" si="7"/>
        <v>0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8"/>
        <v>0</v>
      </c>
      <c r="M116" s="4">
        <f t="shared" si="6"/>
        <v>0</v>
      </c>
      <c r="N116" s="31">
        <v>0</v>
      </c>
      <c r="O116" s="32">
        <v>0</v>
      </c>
      <c r="P116" s="33">
        <v>0</v>
      </c>
      <c r="Q116" s="2"/>
    </row>
    <row r="117" spans="2:17" ht="13.8" x14ac:dyDescent="0.2">
      <c r="B117" s="14" t="s">
        <v>546</v>
      </c>
      <c r="C117" s="14"/>
      <c r="D117" s="9"/>
      <c r="E117" s="15">
        <f t="shared" si="7"/>
        <v>0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8"/>
        <v>0</v>
      </c>
      <c r="M117" s="4">
        <f t="shared" si="6"/>
        <v>0</v>
      </c>
      <c r="N117" s="31">
        <v>0</v>
      </c>
      <c r="O117" s="32">
        <v>0</v>
      </c>
      <c r="P117" s="33">
        <v>0</v>
      </c>
      <c r="Q117" s="2"/>
    </row>
    <row r="118" spans="2:17" ht="13.8" x14ac:dyDescent="0.2">
      <c r="B118" s="14" t="s">
        <v>547</v>
      </c>
      <c r="C118" s="14"/>
      <c r="D118" s="9"/>
      <c r="E118" s="15">
        <f t="shared" si="7"/>
        <v>0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8"/>
        <v>0</v>
      </c>
      <c r="M118" s="4">
        <f t="shared" si="6"/>
        <v>0</v>
      </c>
      <c r="N118" s="31">
        <v>0</v>
      </c>
      <c r="O118" s="32">
        <v>0</v>
      </c>
      <c r="P118" s="33">
        <v>0</v>
      </c>
      <c r="Q118" s="2"/>
    </row>
    <row r="119" spans="2:17" ht="13.8" x14ac:dyDescent="0.2">
      <c r="B119" s="14" t="s">
        <v>548</v>
      </c>
      <c r="C119" s="14"/>
      <c r="D119" s="9"/>
      <c r="E119" s="15">
        <f t="shared" si="7"/>
        <v>0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8"/>
        <v>0</v>
      </c>
      <c r="M119" s="4">
        <f t="shared" si="6"/>
        <v>0</v>
      </c>
      <c r="N119" s="31">
        <v>0</v>
      </c>
      <c r="O119" s="32">
        <v>0</v>
      </c>
      <c r="P119" s="33">
        <v>0</v>
      </c>
      <c r="Q119" s="2"/>
    </row>
    <row r="120" spans="2:17" ht="13.8" x14ac:dyDescent="0.2">
      <c r="B120" s="14" t="s">
        <v>549</v>
      </c>
      <c r="C120" s="14"/>
      <c r="D120" s="2"/>
      <c r="E120" s="15">
        <f t="shared" si="7"/>
        <v>0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8"/>
        <v>0</v>
      </c>
      <c r="M120" s="4">
        <f t="shared" si="6"/>
        <v>0</v>
      </c>
      <c r="N120" s="31">
        <v>0</v>
      </c>
      <c r="O120" s="32">
        <v>0</v>
      </c>
      <c r="P120" s="33">
        <v>0</v>
      </c>
      <c r="Q120" s="2"/>
    </row>
    <row r="121" spans="2:17" ht="13.8" x14ac:dyDescent="0.2">
      <c r="B121" s="14" t="s">
        <v>550</v>
      </c>
      <c r="C121" s="14"/>
      <c r="D121" s="9"/>
      <c r="E121" s="15">
        <f t="shared" si="7"/>
        <v>0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8"/>
        <v>0</v>
      </c>
      <c r="M121" s="4">
        <f t="shared" si="6"/>
        <v>0</v>
      </c>
      <c r="N121" s="31">
        <v>0</v>
      </c>
      <c r="O121" s="32">
        <v>0</v>
      </c>
      <c r="P121" s="33">
        <v>0</v>
      </c>
      <c r="Q121" s="2"/>
    </row>
    <row r="122" spans="2:17" ht="13.8" x14ac:dyDescent="0.2">
      <c r="B122" s="14" t="s">
        <v>551</v>
      </c>
      <c r="C122" s="14"/>
      <c r="D122" s="9"/>
      <c r="E122" s="15">
        <f t="shared" si="7"/>
        <v>0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8"/>
        <v>0</v>
      </c>
      <c r="M122" s="4">
        <f t="shared" si="6"/>
        <v>0</v>
      </c>
      <c r="N122" s="31">
        <v>0</v>
      </c>
      <c r="O122" s="32">
        <v>0</v>
      </c>
      <c r="P122" s="33">
        <v>0</v>
      </c>
      <c r="Q122" s="2"/>
    </row>
    <row r="123" spans="2:17" ht="13.8" x14ac:dyDescent="0.2">
      <c r="B123" s="14" t="s">
        <v>552</v>
      </c>
      <c r="C123" s="14"/>
      <c r="D123" s="9"/>
      <c r="E123" s="15">
        <f t="shared" si="7"/>
        <v>0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8"/>
        <v>0</v>
      </c>
      <c r="M123" s="4">
        <f t="shared" si="6"/>
        <v>0</v>
      </c>
      <c r="N123" s="31">
        <v>0</v>
      </c>
      <c r="O123" s="32">
        <v>0</v>
      </c>
      <c r="P123" s="33">
        <v>0</v>
      </c>
      <c r="Q123" s="2"/>
    </row>
    <row r="124" spans="2:17" ht="13.8" x14ac:dyDescent="0.2">
      <c r="B124" s="14" t="s">
        <v>553</v>
      </c>
      <c r="C124" s="14"/>
      <c r="D124" s="9"/>
      <c r="E124" s="15">
        <f t="shared" si="7"/>
        <v>0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8"/>
        <v>0</v>
      </c>
      <c r="M124" s="4">
        <f t="shared" si="6"/>
        <v>0</v>
      </c>
      <c r="N124" s="31">
        <v>0</v>
      </c>
      <c r="O124" s="32">
        <v>0</v>
      </c>
      <c r="P124" s="33">
        <v>0</v>
      </c>
      <c r="Q124" s="2"/>
    </row>
    <row r="125" spans="2:17" ht="13.8" x14ac:dyDescent="0.2">
      <c r="B125" s="14" t="s">
        <v>554</v>
      </c>
      <c r="C125" s="14"/>
      <c r="D125" s="9"/>
      <c r="E125" s="15">
        <f t="shared" si="7"/>
        <v>0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8"/>
        <v>0</v>
      </c>
      <c r="M125" s="4">
        <f t="shared" si="6"/>
        <v>0</v>
      </c>
      <c r="N125" s="31">
        <v>0</v>
      </c>
      <c r="O125" s="32">
        <v>0</v>
      </c>
      <c r="P125" s="33">
        <v>0</v>
      </c>
      <c r="Q125" s="2"/>
    </row>
    <row r="126" spans="2:17" ht="13.8" x14ac:dyDescent="0.2">
      <c r="B126" s="14" t="s">
        <v>555</v>
      </c>
      <c r="C126" s="14"/>
      <c r="D126" s="9"/>
      <c r="E126" s="15">
        <f t="shared" si="7"/>
        <v>0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8"/>
        <v>0</v>
      </c>
      <c r="M126" s="4">
        <f t="shared" si="6"/>
        <v>0</v>
      </c>
      <c r="N126" s="31">
        <v>0</v>
      </c>
      <c r="O126" s="32">
        <v>0</v>
      </c>
      <c r="P126" s="33">
        <v>0</v>
      </c>
      <c r="Q126" s="2"/>
    </row>
    <row r="127" spans="2:17" ht="13.8" x14ac:dyDescent="0.2">
      <c r="B127" s="14" t="s">
        <v>556</v>
      </c>
      <c r="C127" s="14"/>
      <c r="D127" s="9"/>
      <c r="E127" s="15">
        <f t="shared" si="7"/>
        <v>0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8"/>
        <v>0</v>
      </c>
      <c r="M127" s="4">
        <f t="shared" si="6"/>
        <v>0</v>
      </c>
      <c r="N127" s="31">
        <v>0</v>
      </c>
      <c r="O127" s="32">
        <v>0</v>
      </c>
      <c r="P127" s="33">
        <v>0</v>
      </c>
      <c r="Q127" s="2"/>
    </row>
    <row r="128" spans="2:17" ht="13.8" x14ac:dyDescent="0.2">
      <c r="B128" s="14" t="s">
        <v>557</v>
      </c>
      <c r="C128" s="14"/>
      <c r="D128" s="9"/>
      <c r="E128" s="15">
        <f t="shared" si="7"/>
        <v>0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8"/>
        <v>0</v>
      </c>
      <c r="M128" s="4">
        <f t="shared" si="6"/>
        <v>0</v>
      </c>
      <c r="N128" s="31">
        <v>0</v>
      </c>
      <c r="O128" s="32">
        <v>0</v>
      </c>
      <c r="P128" s="33">
        <v>0</v>
      </c>
      <c r="Q128" s="2"/>
    </row>
    <row r="129" spans="2:17" ht="13.8" x14ac:dyDescent="0.2">
      <c r="B129" s="14" t="s">
        <v>558</v>
      </c>
      <c r="C129" s="14"/>
      <c r="D129" s="9"/>
      <c r="E129" s="15">
        <f t="shared" si="7"/>
        <v>0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8"/>
        <v>0</v>
      </c>
      <c r="M129" s="4">
        <f t="shared" si="6"/>
        <v>0</v>
      </c>
      <c r="N129" s="31">
        <v>0</v>
      </c>
      <c r="O129" s="32">
        <v>0</v>
      </c>
      <c r="P129" s="33">
        <v>0</v>
      </c>
      <c r="Q129" s="2"/>
    </row>
    <row r="130" spans="2:17" ht="13.8" x14ac:dyDescent="0.2">
      <c r="B130" s="14" t="s">
        <v>559</v>
      </c>
      <c r="C130" s="14"/>
      <c r="D130" s="9"/>
      <c r="E130" s="15">
        <f t="shared" si="7"/>
        <v>0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8"/>
        <v>0</v>
      </c>
      <c r="M130" s="4">
        <f t="shared" si="6"/>
        <v>0</v>
      </c>
      <c r="N130" s="31">
        <v>0</v>
      </c>
      <c r="O130" s="32">
        <v>0</v>
      </c>
      <c r="P130" s="33">
        <v>0</v>
      </c>
      <c r="Q130" s="2"/>
    </row>
    <row r="131" spans="2:17" ht="13.8" x14ac:dyDescent="0.2">
      <c r="B131" s="14" t="s">
        <v>560</v>
      </c>
      <c r="C131" s="14"/>
      <c r="D131" s="9"/>
      <c r="E131" s="15">
        <f t="shared" si="7"/>
        <v>0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8"/>
        <v>0</v>
      </c>
      <c r="M131" s="4">
        <f>IFERROR(SUM(SUM(((G131-H131-I131-J131)*1),H131*2,I131*3,J131*4)/F131,((G131+H131+I131)/(F131+N131+O131+P131))),L131)</f>
        <v>0</v>
      </c>
      <c r="N131" s="31">
        <v>0</v>
      </c>
      <c r="O131" s="32">
        <v>0</v>
      </c>
      <c r="P131" s="33">
        <v>0</v>
      </c>
      <c r="Q131" s="2"/>
    </row>
    <row r="132" spans="2:17" ht="13.8" x14ac:dyDescent="0.2">
      <c r="B132" s="14" t="s">
        <v>561</v>
      </c>
      <c r="C132" s="14"/>
      <c r="D132" s="9"/>
      <c r="E132" s="15">
        <f t="shared" si="7"/>
        <v>0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8"/>
        <v>0</v>
      </c>
      <c r="M132" s="4">
        <f>IFERROR(SUM(SUM(((G132-H132-I132-J132)*1),H132*2,I132*3,J132*4)/F132,((G132+H132+I132)/(F132+N132+O132+P132))),L132)</f>
        <v>0</v>
      </c>
      <c r="N132" s="31">
        <v>0</v>
      </c>
      <c r="O132" s="32">
        <v>0</v>
      </c>
      <c r="P132" s="33">
        <v>0</v>
      </c>
      <c r="Q132" s="2"/>
    </row>
    <row r="133" spans="2:17" ht="13.8" x14ac:dyDescent="0.2">
      <c r="B133" s="14" t="s">
        <v>562</v>
      </c>
      <c r="C133" s="14"/>
      <c r="D133" s="9"/>
      <c r="E133" s="15">
        <f>IFERROR(IF(G133/F133=1,"1.00",G133/F133),0)</f>
        <v>0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>IFERROR(IF((G133+N133+O133)/(F133+N133+O133+P133)=1,"1.00",(G133+N133+O133)/(F133+N133+O133+P133)),0)</f>
        <v>0</v>
      </c>
      <c r="M133" s="4">
        <f>IFERROR(SUM(SUM(((G133-H133-I133-J133)*1),H133*2,I133*3,J133*4)/F133,((G133+H133+I133)/(F133+N133+O133+P133))),L133)</f>
        <v>0</v>
      </c>
      <c r="N133" s="31">
        <v>0</v>
      </c>
      <c r="O133" s="32">
        <v>0</v>
      </c>
      <c r="P133" s="33">
        <v>0</v>
      </c>
      <c r="Q133" s="2"/>
    </row>
    <row r="134" spans="2:17" ht="13.8" x14ac:dyDescent="0.2">
      <c r="B134" s="14" t="s">
        <v>563</v>
      </c>
      <c r="C134" s="14"/>
      <c r="D134" s="9"/>
      <c r="E134" s="15">
        <f>IFERROR(IF(G134/F134=1,"1.00",G134/F134),0)</f>
        <v>0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>IFERROR(IF((G134+N134+O134)/(F134+N134+O134+P134)=1,"1.00",(G134+N134+O134)/(F134+N134+O134+P134)),0)</f>
        <v>0</v>
      </c>
      <c r="M134" s="4">
        <f>IFERROR(SUM(SUM(((G134-H134-I134-J134)*1),H134*2,I134*3,J134*4)/F134,((G134+H134+I134)/(F134+N134+O134+P134))),L134)</f>
        <v>0</v>
      </c>
      <c r="N134" s="31">
        <v>0</v>
      </c>
      <c r="O134" s="32">
        <v>0</v>
      </c>
      <c r="P134" s="33">
        <v>0</v>
      </c>
      <c r="Q134" s="2"/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L2" 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7FB82-644D-442D-8E81-F747FC69EEE9}">
  <sheetPr codeName="Sheet15"/>
  <dimension ref="B2:P134"/>
  <sheetViews>
    <sheetView zoomScale="145" zoomScaleNormal="145" workbookViewId="0">
      <pane ySplit="3" topLeftCell="A4" activePane="bottomLeft" state="frozen"/>
      <selection pane="bottomLef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</cols>
  <sheetData>
    <row r="2" spans="2:16" ht="13.8" customHeight="1" x14ac:dyDescent="0.2">
      <c r="B2" s="89"/>
      <c r="C2" s="89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84" t="s">
        <v>323</v>
      </c>
    </row>
    <row r="3" spans="2:16" ht="13.8" x14ac:dyDescent="0.2">
      <c r="B3" s="8" t="s">
        <v>4</v>
      </c>
      <c r="C3" s="9" t="s">
        <v>5</v>
      </c>
      <c r="D3" s="10" t="s">
        <v>6</v>
      </c>
      <c r="E3" s="11" t="s">
        <v>7</v>
      </c>
      <c r="F3" s="8" t="s">
        <v>8</v>
      </c>
      <c r="G3" s="9" t="s">
        <v>938</v>
      </c>
      <c r="H3" s="9" t="s">
        <v>939</v>
      </c>
      <c r="I3" s="12" t="s">
        <v>9</v>
      </c>
      <c r="J3" s="13" t="s">
        <v>10</v>
      </c>
      <c r="K3" s="30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84"/>
    </row>
    <row r="4" spans="2:16" ht="13.8" x14ac:dyDescent="0.2">
      <c r="B4" s="14" t="s">
        <v>425</v>
      </c>
      <c r="C4" s="17"/>
      <c r="D4" s="15">
        <f>IFERROR(IF(F4/E4=1,"1.00",F4/E4),0)</f>
        <v>0</v>
      </c>
      <c r="E4" s="5">
        <v>0</v>
      </c>
      <c r="F4" s="5">
        <v>0</v>
      </c>
      <c r="G4" s="5">
        <v>0</v>
      </c>
      <c r="H4" s="5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:L66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/>
    </row>
    <row r="5" spans="2:16" ht="13.8" x14ac:dyDescent="0.2">
      <c r="B5" s="14">
        <v>0</v>
      </c>
      <c r="C5" s="9"/>
      <c r="D5" s="15">
        <f t="shared" ref="D5:D68" si="2">IFERROR(IF(F5/E5=1,"1.00",F5/E5),0)</f>
        <v>0</v>
      </c>
      <c r="E5" s="5">
        <v>0</v>
      </c>
      <c r="F5" s="5">
        <v>0</v>
      </c>
      <c r="G5" s="5">
        <v>0</v>
      </c>
      <c r="H5" s="5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si="1"/>
        <v>0</v>
      </c>
      <c r="M5" s="31">
        <v>0</v>
      </c>
      <c r="N5" s="32">
        <v>0</v>
      </c>
      <c r="O5" s="33">
        <v>0</v>
      </c>
      <c r="P5" s="2"/>
    </row>
    <row r="6" spans="2:16" ht="13.8" x14ac:dyDescent="0.2">
      <c r="B6" s="14">
        <v>1</v>
      </c>
      <c r="C6" s="17"/>
      <c r="D6" s="15">
        <f t="shared" si="2"/>
        <v>0</v>
      </c>
      <c r="E6" s="5">
        <v>0</v>
      </c>
      <c r="F6" s="5">
        <v>0</v>
      </c>
      <c r="G6" s="5">
        <v>0</v>
      </c>
      <c r="H6" s="5">
        <v>0</v>
      </c>
      <c r="I6" s="6">
        <v>0</v>
      </c>
      <c r="J6" s="7">
        <v>0</v>
      </c>
      <c r="K6" s="4">
        <f t="shared" si="3"/>
        <v>0</v>
      </c>
      <c r="L6" s="4">
        <f t="shared" si="1"/>
        <v>0</v>
      </c>
      <c r="M6" s="31">
        <v>0</v>
      </c>
      <c r="N6" s="32">
        <v>0</v>
      </c>
      <c r="O6" s="33">
        <v>0</v>
      </c>
      <c r="P6" s="2"/>
    </row>
    <row r="7" spans="2:16" ht="13.8" x14ac:dyDescent="0.2">
      <c r="B7" s="14">
        <v>2</v>
      </c>
      <c r="C7" s="9"/>
      <c r="D7" s="15">
        <f t="shared" si="2"/>
        <v>0</v>
      </c>
      <c r="E7" s="5">
        <v>0</v>
      </c>
      <c r="F7" s="5">
        <v>0</v>
      </c>
      <c r="G7" s="5">
        <v>0</v>
      </c>
      <c r="H7" s="5">
        <v>0</v>
      </c>
      <c r="I7" s="6">
        <v>0</v>
      </c>
      <c r="J7" s="7">
        <v>0</v>
      </c>
      <c r="K7" s="4">
        <f t="shared" si="3"/>
        <v>0</v>
      </c>
      <c r="L7" s="4">
        <f t="shared" si="1"/>
        <v>0</v>
      </c>
      <c r="M7" s="31">
        <v>0</v>
      </c>
      <c r="N7" s="32">
        <v>0</v>
      </c>
      <c r="O7" s="33">
        <v>0</v>
      </c>
      <c r="P7" s="2"/>
    </row>
    <row r="8" spans="2:16" ht="13.8" x14ac:dyDescent="0.2">
      <c r="B8" s="14">
        <v>3</v>
      </c>
      <c r="C8" s="9"/>
      <c r="D8" s="15">
        <f t="shared" si="2"/>
        <v>0</v>
      </c>
      <c r="E8" s="5">
        <v>0</v>
      </c>
      <c r="F8" s="5">
        <v>0</v>
      </c>
      <c r="G8" s="5">
        <v>0</v>
      </c>
      <c r="H8" s="5">
        <v>0</v>
      </c>
      <c r="I8" s="6">
        <v>0</v>
      </c>
      <c r="J8" s="7">
        <v>0</v>
      </c>
      <c r="K8" s="4">
        <f t="shared" si="3"/>
        <v>0</v>
      </c>
      <c r="L8" s="4">
        <f t="shared" si="1"/>
        <v>0</v>
      </c>
      <c r="M8" s="31">
        <v>0</v>
      </c>
      <c r="N8" s="32">
        <v>0</v>
      </c>
      <c r="O8" s="33">
        <v>0</v>
      </c>
      <c r="P8" s="2"/>
    </row>
    <row r="9" spans="2:16" ht="13.8" x14ac:dyDescent="0.2">
      <c r="B9" s="14">
        <v>4</v>
      </c>
      <c r="C9" s="9"/>
      <c r="D9" s="15">
        <f t="shared" si="2"/>
        <v>0</v>
      </c>
      <c r="E9" s="5">
        <v>0</v>
      </c>
      <c r="F9" s="5">
        <v>0</v>
      </c>
      <c r="G9" s="5">
        <v>0</v>
      </c>
      <c r="H9" s="5">
        <v>0</v>
      </c>
      <c r="I9" s="6">
        <v>0</v>
      </c>
      <c r="J9" s="7">
        <v>0</v>
      </c>
      <c r="K9" s="4">
        <f t="shared" si="3"/>
        <v>0</v>
      </c>
      <c r="L9" s="4">
        <f t="shared" si="1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/>
      <c r="D10" s="15">
        <f t="shared" si="2"/>
        <v>0</v>
      </c>
      <c r="E10" s="5">
        <v>0</v>
      </c>
      <c r="F10" s="5">
        <v>0</v>
      </c>
      <c r="G10" s="5">
        <v>0</v>
      </c>
      <c r="H10" s="5">
        <v>0</v>
      </c>
      <c r="I10" s="6">
        <v>0</v>
      </c>
      <c r="J10" s="7">
        <v>0</v>
      </c>
      <c r="K10" s="4">
        <f t="shared" si="3"/>
        <v>0</v>
      </c>
      <c r="L10" s="4">
        <f t="shared" si="1"/>
        <v>0</v>
      </c>
      <c r="M10" s="31">
        <v>0</v>
      </c>
      <c r="N10" s="32">
        <v>0</v>
      </c>
      <c r="O10" s="33">
        <v>0</v>
      </c>
      <c r="P10" s="2"/>
    </row>
    <row r="11" spans="2:16" ht="13.8" x14ac:dyDescent="0.2">
      <c r="B11" s="14">
        <v>6</v>
      </c>
      <c r="C11" s="9"/>
      <c r="D11" s="15">
        <f t="shared" si="2"/>
        <v>0</v>
      </c>
      <c r="E11" s="5">
        <v>0</v>
      </c>
      <c r="F11" s="5">
        <v>0</v>
      </c>
      <c r="G11" s="5">
        <v>0</v>
      </c>
      <c r="H11" s="5">
        <v>0</v>
      </c>
      <c r="I11" s="6">
        <v>0</v>
      </c>
      <c r="J11" s="7">
        <v>0</v>
      </c>
      <c r="K11" s="4">
        <f t="shared" si="3"/>
        <v>0</v>
      </c>
      <c r="L11" s="4">
        <f t="shared" si="1"/>
        <v>0</v>
      </c>
      <c r="M11" s="31">
        <v>0</v>
      </c>
      <c r="N11" s="32">
        <v>0</v>
      </c>
      <c r="O11" s="33">
        <v>0</v>
      </c>
      <c r="P11" s="2"/>
    </row>
    <row r="12" spans="2:16" ht="13.8" x14ac:dyDescent="0.2">
      <c r="B12" s="14">
        <v>7</v>
      </c>
      <c r="C12" s="9"/>
      <c r="D12" s="15">
        <f t="shared" si="2"/>
        <v>0</v>
      </c>
      <c r="E12" s="5">
        <v>0</v>
      </c>
      <c r="F12" s="5">
        <v>0</v>
      </c>
      <c r="G12" s="5">
        <v>0</v>
      </c>
      <c r="H12" s="5">
        <v>0</v>
      </c>
      <c r="I12" s="6">
        <v>0</v>
      </c>
      <c r="J12" s="7">
        <v>0</v>
      </c>
      <c r="K12" s="4">
        <f t="shared" si="3"/>
        <v>0</v>
      </c>
      <c r="L12" s="4">
        <f t="shared" si="1"/>
        <v>0</v>
      </c>
      <c r="M12" s="31">
        <v>0</v>
      </c>
      <c r="N12" s="32">
        <v>0</v>
      </c>
      <c r="O12" s="33">
        <v>0</v>
      </c>
      <c r="P12" s="2"/>
    </row>
    <row r="13" spans="2:16" ht="13.8" x14ac:dyDescent="0.2">
      <c r="B13" s="14">
        <v>8</v>
      </c>
      <c r="C13" s="9"/>
      <c r="D13" s="15">
        <f t="shared" si="2"/>
        <v>0</v>
      </c>
      <c r="E13" s="5">
        <v>0</v>
      </c>
      <c r="F13" s="5">
        <v>0</v>
      </c>
      <c r="G13" s="5">
        <v>0</v>
      </c>
      <c r="H13" s="5">
        <v>0</v>
      </c>
      <c r="I13" s="6">
        <v>0</v>
      </c>
      <c r="J13" s="7">
        <v>0</v>
      </c>
      <c r="K13" s="4">
        <f t="shared" si="3"/>
        <v>0</v>
      </c>
      <c r="L13" s="4">
        <f t="shared" si="1"/>
        <v>0</v>
      </c>
      <c r="M13" s="31">
        <v>0</v>
      </c>
      <c r="N13" s="32">
        <v>0</v>
      </c>
      <c r="O13" s="33">
        <v>0</v>
      </c>
      <c r="P13" s="2"/>
    </row>
    <row r="14" spans="2:16" ht="13.8" x14ac:dyDescent="0.2">
      <c r="B14" s="14">
        <v>9</v>
      </c>
      <c r="C14" s="9"/>
      <c r="D14" s="15">
        <f t="shared" si="2"/>
        <v>0</v>
      </c>
      <c r="E14" s="5">
        <v>0</v>
      </c>
      <c r="F14" s="5">
        <v>0</v>
      </c>
      <c r="G14" s="5">
        <v>0</v>
      </c>
      <c r="H14" s="5">
        <v>0</v>
      </c>
      <c r="I14" s="6">
        <v>0</v>
      </c>
      <c r="J14" s="7">
        <v>0</v>
      </c>
      <c r="K14" s="4">
        <f t="shared" si="3"/>
        <v>0</v>
      </c>
      <c r="L14" s="4">
        <f t="shared" si="1"/>
        <v>0</v>
      </c>
      <c r="M14" s="31">
        <v>0</v>
      </c>
      <c r="N14" s="32">
        <v>0</v>
      </c>
      <c r="O14" s="33">
        <v>0</v>
      </c>
      <c r="P14" s="2"/>
    </row>
    <row r="15" spans="2:16" ht="13.8" x14ac:dyDescent="0.2">
      <c r="B15" s="14">
        <v>10</v>
      </c>
      <c r="C15" s="9"/>
      <c r="D15" s="15">
        <f t="shared" si="2"/>
        <v>0</v>
      </c>
      <c r="E15" s="5">
        <v>0</v>
      </c>
      <c r="F15" s="5">
        <v>0</v>
      </c>
      <c r="G15" s="5">
        <v>0</v>
      </c>
      <c r="H15" s="5">
        <v>0</v>
      </c>
      <c r="I15" s="6">
        <v>0</v>
      </c>
      <c r="J15" s="7">
        <v>0</v>
      </c>
      <c r="K15" s="4">
        <f t="shared" si="3"/>
        <v>0</v>
      </c>
      <c r="L15" s="4">
        <f t="shared" si="1"/>
        <v>0</v>
      </c>
      <c r="M15" s="31">
        <v>0</v>
      </c>
      <c r="N15" s="32">
        <v>0</v>
      </c>
      <c r="O15" s="33">
        <v>0</v>
      </c>
      <c r="P15" s="2"/>
    </row>
    <row r="16" spans="2:16" ht="13.8" x14ac:dyDescent="0.2">
      <c r="B16" s="14">
        <v>11</v>
      </c>
      <c r="C16" s="9"/>
      <c r="D16" s="15">
        <f t="shared" si="2"/>
        <v>0</v>
      </c>
      <c r="E16" s="5">
        <v>0</v>
      </c>
      <c r="F16" s="5">
        <v>0</v>
      </c>
      <c r="G16" s="5">
        <v>0</v>
      </c>
      <c r="H16" s="5">
        <v>0</v>
      </c>
      <c r="I16" s="6">
        <v>0</v>
      </c>
      <c r="J16" s="7">
        <v>0</v>
      </c>
      <c r="K16" s="4">
        <f t="shared" si="3"/>
        <v>0</v>
      </c>
      <c r="L16" s="4">
        <f t="shared" si="1"/>
        <v>0</v>
      </c>
      <c r="M16" s="31">
        <v>0</v>
      </c>
      <c r="N16" s="32">
        <v>0</v>
      </c>
      <c r="O16" s="33">
        <v>0</v>
      </c>
      <c r="P16" s="2"/>
    </row>
    <row r="17" spans="2:16" ht="13.8" x14ac:dyDescent="0.2">
      <c r="B17" s="14">
        <v>12</v>
      </c>
      <c r="C17" s="9"/>
      <c r="D17" s="15">
        <f t="shared" si="2"/>
        <v>0</v>
      </c>
      <c r="E17" s="5">
        <v>0</v>
      </c>
      <c r="F17" s="5">
        <v>0</v>
      </c>
      <c r="G17" s="5">
        <v>0</v>
      </c>
      <c r="H17" s="5">
        <v>0</v>
      </c>
      <c r="I17" s="6">
        <v>0</v>
      </c>
      <c r="J17" s="7">
        <v>0</v>
      </c>
      <c r="K17" s="4">
        <f t="shared" si="3"/>
        <v>0</v>
      </c>
      <c r="L17" s="4">
        <f t="shared" si="1"/>
        <v>0</v>
      </c>
      <c r="M17" s="31">
        <v>0</v>
      </c>
      <c r="N17" s="32">
        <v>0</v>
      </c>
      <c r="O17" s="33">
        <v>0</v>
      </c>
      <c r="P17" s="2"/>
    </row>
    <row r="18" spans="2:16" ht="13.8" x14ac:dyDescent="0.2">
      <c r="B18" s="14">
        <v>13</v>
      </c>
      <c r="C18" s="17"/>
      <c r="D18" s="15">
        <f t="shared" si="2"/>
        <v>0</v>
      </c>
      <c r="E18" s="5">
        <v>0</v>
      </c>
      <c r="F18" s="5">
        <v>0</v>
      </c>
      <c r="G18" s="5">
        <v>0</v>
      </c>
      <c r="H18" s="5">
        <v>0</v>
      </c>
      <c r="I18" s="6">
        <v>0</v>
      </c>
      <c r="J18" s="7">
        <v>0</v>
      </c>
      <c r="K18" s="4">
        <f t="shared" si="3"/>
        <v>0</v>
      </c>
      <c r="L18" s="4">
        <f t="shared" si="1"/>
        <v>0</v>
      </c>
      <c r="M18" s="31">
        <v>0</v>
      </c>
      <c r="N18" s="32">
        <v>0</v>
      </c>
      <c r="O18" s="33">
        <v>0</v>
      </c>
      <c r="P18" s="2"/>
    </row>
    <row r="19" spans="2:16" ht="13.8" x14ac:dyDescent="0.2">
      <c r="B19" s="14">
        <v>14</v>
      </c>
      <c r="C19" s="9"/>
      <c r="D19" s="15">
        <f t="shared" si="2"/>
        <v>0</v>
      </c>
      <c r="E19" s="5">
        <v>0</v>
      </c>
      <c r="F19" s="5">
        <v>0</v>
      </c>
      <c r="G19" s="5">
        <v>0</v>
      </c>
      <c r="H19" s="5">
        <v>0</v>
      </c>
      <c r="I19" s="6">
        <v>0</v>
      </c>
      <c r="J19" s="7">
        <v>0</v>
      </c>
      <c r="K19" s="4">
        <f t="shared" si="3"/>
        <v>0</v>
      </c>
      <c r="L19" s="4">
        <f t="shared" si="1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/>
      <c r="D20" s="15">
        <f t="shared" si="2"/>
        <v>0</v>
      </c>
      <c r="E20" s="5">
        <v>0</v>
      </c>
      <c r="F20" s="5">
        <v>0</v>
      </c>
      <c r="G20" s="5">
        <v>0</v>
      </c>
      <c r="H20" s="5">
        <v>0</v>
      </c>
      <c r="I20" s="6">
        <v>0</v>
      </c>
      <c r="J20" s="7">
        <v>0</v>
      </c>
      <c r="K20" s="4">
        <f t="shared" si="3"/>
        <v>0</v>
      </c>
      <c r="L20" s="4">
        <f t="shared" si="1"/>
        <v>0</v>
      </c>
      <c r="M20" s="31">
        <v>0</v>
      </c>
      <c r="N20" s="32">
        <v>0</v>
      </c>
      <c r="O20" s="33">
        <v>0</v>
      </c>
      <c r="P20" s="2"/>
    </row>
    <row r="21" spans="2:16" ht="13.8" x14ac:dyDescent="0.2">
      <c r="B21" s="14">
        <v>16</v>
      </c>
      <c r="C21" s="9"/>
      <c r="D21" s="15">
        <f t="shared" si="2"/>
        <v>0</v>
      </c>
      <c r="E21" s="5">
        <v>0</v>
      </c>
      <c r="F21" s="5">
        <v>0</v>
      </c>
      <c r="G21" s="5">
        <v>0</v>
      </c>
      <c r="H21" s="5">
        <v>0</v>
      </c>
      <c r="I21" s="6">
        <v>0</v>
      </c>
      <c r="J21" s="7">
        <v>0</v>
      </c>
      <c r="K21" s="4">
        <f t="shared" si="3"/>
        <v>0</v>
      </c>
      <c r="L21" s="4">
        <f t="shared" si="1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9"/>
      <c r="D22" s="15">
        <f t="shared" si="2"/>
        <v>0</v>
      </c>
      <c r="E22" s="5">
        <v>0</v>
      </c>
      <c r="F22" s="5">
        <v>0</v>
      </c>
      <c r="G22" s="5">
        <v>0</v>
      </c>
      <c r="H22" s="5">
        <v>0</v>
      </c>
      <c r="I22" s="6">
        <v>0</v>
      </c>
      <c r="J22" s="7">
        <v>0</v>
      </c>
      <c r="K22" s="4">
        <f t="shared" si="3"/>
        <v>0</v>
      </c>
      <c r="L22" s="4">
        <f t="shared" si="1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9"/>
      <c r="D23" s="15">
        <f t="shared" si="2"/>
        <v>0</v>
      </c>
      <c r="E23" s="5">
        <v>0</v>
      </c>
      <c r="F23" s="5">
        <v>0</v>
      </c>
      <c r="G23" s="5">
        <v>0</v>
      </c>
      <c r="H23" s="5">
        <v>0</v>
      </c>
      <c r="I23" s="6">
        <v>0</v>
      </c>
      <c r="J23" s="7">
        <v>0</v>
      </c>
      <c r="K23" s="4">
        <f t="shared" si="3"/>
        <v>0</v>
      </c>
      <c r="L23" s="4">
        <f t="shared" si="1"/>
        <v>0</v>
      </c>
      <c r="M23" s="31">
        <v>0</v>
      </c>
      <c r="N23" s="32">
        <v>0</v>
      </c>
      <c r="O23" s="33">
        <v>0</v>
      </c>
      <c r="P23" s="2"/>
    </row>
    <row r="24" spans="2:16" ht="13.8" x14ac:dyDescent="0.2">
      <c r="B24" s="14">
        <v>19</v>
      </c>
      <c r="C24" s="9"/>
      <c r="D24" s="15">
        <f t="shared" si="2"/>
        <v>0</v>
      </c>
      <c r="E24" s="5">
        <v>0</v>
      </c>
      <c r="F24" s="5">
        <v>0</v>
      </c>
      <c r="G24" s="5">
        <v>0</v>
      </c>
      <c r="H24" s="5">
        <v>0</v>
      </c>
      <c r="I24" s="6">
        <v>0</v>
      </c>
      <c r="J24" s="7">
        <v>0</v>
      </c>
      <c r="K24" s="4">
        <f t="shared" si="3"/>
        <v>0</v>
      </c>
      <c r="L24" s="4">
        <f t="shared" si="1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9"/>
      <c r="D25" s="15">
        <f t="shared" si="2"/>
        <v>0</v>
      </c>
      <c r="E25" s="5">
        <v>0</v>
      </c>
      <c r="F25" s="5">
        <v>0</v>
      </c>
      <c r="G25" s="5">
        <v>0</v>
      </c>
      <c r="H25" s="5">
        <v>0</v>
      </c>
      <c r="I25" s="6">
        <v>0</v>
      </c>
      <c r="J25" s="7">
        <v>0</v>
      </c>
      <c r="K25" s="4">
        <f t="shared" si="3"/>
        <v>0</v>
      </c>
      <c r="L25" s="4">
        <f t="shared" si="1"/>
        <v>0</v>
      </c>
      <c r="M25" s="31">
        <v>0</v>
      </c>
      <c r="N25" s="32">
        <v>0</v>
      </c>
      <c r="O25" s="33">
        <v>0</v>
      </c>
      <c r="P25" s="2"/>
    </row>
    <row r="26" spans="2:16" ht="13.8" x14ac:dyDescent="0.2">
      <c r="B26" s="14">
        <v>21</v>
      </c>
      <c r="C26" s="9"/>
      <c r="D26" s="15">
        <f t="shared" si="2"/>
        <v>0</v>
      </c>
      <c r="E26" s="5">
        <v>0</v>
      </c>
      <c r="F26" s="5">
        <v>0</v>
      </c>
      <c r="G26" s="5">
        <v>0</v>
      </c>
      <c r="H26" s="5">
        <v>0</v>
      </c>
      <c r="I26" s="6">
        <v>0</v>
      </c>
      <c r="J26" s="7">
        <v>0</v>
      </c>
      <c r="K26" s="4">
        <f t="shared" si="3"/>
        <v>0</v>
      </c>
      <c r="L26" s="4">
        <f t="shared" si="1"/>
        <v>0</v>
      </c>
      <c r="M26" s="31">
        <v>0</v>
      </c>
      <c r="N26" s="32">
        <v>0</v>
      </c>
      <c r="O26" s="33">
        <v>0</v>
      </c>
      <c r="P26" s="2"/>
    </row>
    <row r="27" spans="2:16" ht="13.8" x14ac:dyDescent="0.2">
      <c r="B27" s="14">
        <v>22</v>
      </c>
      <c r="C27" s="9"/>
      <c r="D27" s="15">
        <f t="shared" si="2"/>
        <v>0</v>
      </c>
      <c r="E27" s="5">
        <v>0</v>
      </c>
      <c r="F27" s="5">
        <v>0</v>
      </c>
      <c r="G27" s="5">
        <v>0</v>
      </c>
      <c r="H27" s="5">
        <v>0</v>
      </c>
      <c r="I27" s="6">
        <v>0</v>
      </c>
      <c r="J27" s="7">
        <v>0</v>
      </c>
      <c r="K27" s="4">
        <f t="shared" si="3"/>
        <v>0</v>
      </c>
      <c r="L27" s="4">
        <f t="shared" si="1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9"/>
      <c r="D28" s="15">
        <f t="shared" si="2"/>
        <v>0</v>
      </c>
      <c r="E28" s="5">
        <v>0</v>
      </c>
      <c r="F28" s="5">
        <v>0</v>
      </c>
      <c r="G28" s="5">
        <v>0</v>
      </c>
      <c r="H28" s="5">
        <v>0</v>
      </c>
      <c r="I28" s="6">
        <v>0</v>
      </c>
      <c r="J28" s="7">
        <v>0</v>
      </c>
      <c r="K28" s="4">
        <f t="shared" si="3"/>
        <v>0</v>
      </c>
      <c r="L28" s="4">
        <f t="shared" si="1"/>
        <v>0</v>
      </c>
      <c r="M28" s="31">
        <v>0</v>
      </c>
      <c r="N28" s="32">
        <v>0</v>
      </c>
      <c r="O28" s="33">
        <v>0</v>
      </c>
      <c r="P28" s="2"/>
    </row>
    <row r="29" spans="2:16" ht="13.8" x14ac:dyDescent="0.2">
      <c r="B29" s="14">
        <v>24</v>
      </c>
      <c r="C29" s="17"/>
      <c r="D29" s="15">
        <f t="shared" si="2"/>
        <v>0</v>
      </c>
      <c r="E29" s="5">
        <v>0</v>
      </c>
      <c r="F29" s="5">
        <v>0</v>
      </c>
      <c r="G29" s="5">
        <v>0</v>
      </c>
      <c r="H29" s="5">
        <v>0</v>
      </c>
      <c r="I29" s="6">
        <v>0</v>
      </c>
      <c r="J29" s="7">
        <v>0</v>
      </c>
      <c r="K29" s="4">
        <f t="shared" si="3"/>
        <v>0</v>
      </c>
      <c r="L29" s="4">
        <f t="shared" si="1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9"/>
      <c r="D30" s="15">
        <f t="shared" si="2"/>
        <v>0</v>
      </c>
      <c r="E30" s="5">
        <v>0</v>
      </c>
      <c r="F30" s="5">
        <v>0</v>
      </c>
      <c r="G30" s="5">
        <v>0</v>
      </c>
      <c r="H30" s="5">
        <v>0</v>
      </c>
      <c r="I30" s="6">
        <v>0</v>
      </c>
      <c r="J30" s="7">
        <v>0</v>
      </c>
      <c r="K30" s="4">
        <f t="shared" si="3"/>
        <v>0</v>
      </c>
      <c r="L30" s="4">
        <f t="shared" si="1"/>
        <v>0</v>
      </c>
      <c r="M30" s="31">
        <v>0</v>
      </c>
      <c r="N30" s="32">
        <v>0</v>
      </c>
      <c r="O30" s="33">
        <v>0</v>
      </c>
      <c r="P30" s="2"/>
    </row>
    <row r="31" spans="2:16" ht="13.8" x14ac:dyDescent="0.2">
      <c r="B31" s="14">
        <v>26</v>
      </c>
      <c r="C31" s="9"/>
      <c r="D31" s="15">
        <f t="shared" si="2"/>
        <v>0</v>
      </c>
      <c r="E31" s="5">
        <v>0</v>
      </c>
      <c r="F31" s="5">
        <v>0</v>
      </c>
      <c r="G31" s="5">
        <v>0</v>
      </c>
      <c r="H31" s="5">
        <v>0</v>
      </c>
      <c r="I31" s="6">
        <v>0</v>
      </c>
      <c r="J31" s="7">
        <v>0</v>
      </c>
      <c r="K31" s="4">
        <f t="shared" si="3"/>
        <v>0</v>
      </c>
      <c r="L31" s="4">
        <f t="shared" si="1"/>
        <v>0</v>
      </c>
      <c r="M31" s="31">
        <v>0</v>
      </c>
      <c r="N31" s="32">
        <v>0</v>
      </c>
      <c r="O31" s="33">
        <v>0</v>
      </c>
      <c r="P31" s="2"/>
    </row>
    <row r="32" spans="2:16" ht="13.8" x14ac:dyDescent="0.2">
      <c r="B32" s="14">
        <v>27</v>
      </c>
      <c r="C32" s="9"/>
      <c r="D32" s="15">
        <f t="shared" si="2"/>
        <v>0</v>
      </c>
      <c r="E32" s="5">
        <v>0</v>
      </c>
      <c r="F32" s="5">
        <v>0</v>
      </c>
      <c r="G32" s="5">
        <v>0</v>
      </c>
      <c r="H32" s="5">
        <v>0</v>
      </c>
      <c r="I32" s="6">
        <v>0</v>
      </c>
      <c r="J32" s="7">
        <v>0</v>
      </c>
      <c r="K32" s="4">
        <f t="shared" si="3"/>
        <v>0</v>
      </c>
      <c r="L32" s="4">
        <f t="shared" si="1"/>
        <v>0</v>
      </c>
      <c r="M32" s="31">
        <v>0</v>
      </c>
      <c r="N32" s="32">
        <v>0</v>
      </c>
      <c r="O32" s="33">
        <v>0</v>
      </c>
      <c r="P32" s="2"/>
    </row>
    <row r="33" spans="2:16" ht="13.8" x14ac:dyDescent="0.2">
      <c r="B33" s="14">
        <v>28</v>
      </c>
      <c r="C33" s="17"/>
      <c r="D33" s="15">
        <f t="shared" si="2"/>
        <v>0</v>
      </c>
      <c r="E33" s="5">
        <v>0</v>
      </c>
      <c r="F33" s="5">
        <v>0</v>
      </c>
      <c r="G33" s="5">
        <v>0</v>
      </c>
      <c r="H33" s="5">
        <v>0</v>
      </c>
      <c r="I33" s="6">
        <v>0</v>
      </c>
      <c r="J33" s="7">
        <v>0</v>
      </c>
      <c r="K33" s="4">
        <f t="shared" si="3"/>
        <v>0</v>
      </c>
      <c r="L33" s="4">
        <f t="shared" si="1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9"/>
      <c r="D34" s="15">
        <f t="shared" si="2"/>
        <v>0</v>
      </c>
      <c r="E34" s="5">
        <v>0</v>
      </c>
      <c r="F34" s="5">
        <v>0</v>
      </c>
      <c r="G34" s="5">
        <v>0</v>
      </c>
      <c r="H34" s="5">
        <v>0</v>
      </c>
      <c r="I34" s="6">
        <v>0</v>
      </c>
      <c r="J34" s="7">
        <v>0</v>
      </c>
      <c r="K34" s="4">
        <f t="shared" si="3"/>
        <v>0</v>
      </c>
      <c r="L34" s="4">
        <f t="shared" si="1"/>
        <v>0</v>
      </c>
      <c r="M34" s="31">
        <v>0</v>
      </c>
      <c r="N34" s="32">
        <v>0</v>
      </c>
      <c r="O34" s="33">
        <v>0</v>
      </c>
      <c r="P34" s="2"/>
    </row>
    <row r="35" spans="2:16" ht="13.8" x14ac:dyDescent="0.2">
      <c r="B35" s="14">
        <v>30</v>
      </c>
      <c r="C35" s="9"/>
      <c r="D35" s="15">
        <f t="shared" si="2"/>
        <v>0</v>
      </c>
      <c r="E35" s="5">
        <v>0</v>
      </c>
      <c r="F35" s="5">
        <v>0</v>
      </c>
      <c r="G35" s="5">
        <v>0</v>
      </c>
      <c r="H35" s="5">
        <v>0</v>
      </c>
      <c r="I35" s="6">
        <v>0</v>
      </c>
      <c r="J35" s="7">
        <v>0</v>
      </c>
      <c r="K35" s="4">
        <f t="shared" si="3"/>
        <v>0</v>
      </c>
      <c r="L35" s="4">
        <f t="shared" si="1"/>
        <v>0</v>
      </c>
      <c r="M35" s="31">
        <v>0</v>
      </c>
      <c r="N35" s="32">
        <v>0</v>
      </c>
      <c r="O35" s="33">
        <v>0</v>
      </c>
      <c r="P35" s="2"/>
    </row>
    <row r="36" spans="2:16" ht="13.8" x14ac:dyDescent="0.2">
      <c r="B36" s="14">
        <v>31</v>
      </c>
      <c r="C36" s="9"/>
      <c r="D36" s="15">
        <f t="shared" si="2"/>
        <v>0</v>
      </c>
      <c r="E36" s="5">
        <v>0</v>
      </c>
      <c r="F36" s="5">
        <v>0</v>
      </c>
      <c r="G36" s="5">
        <v>0</v>
      </c>
      <c r="H36" s="5">
        <v>0</v>
      </c>
      <c r="I36" s="6">
        <v>0</v>
      </c>
      <c r="J36" s="7">
        <v>0</v>
      </c>
      <c r="K36" s="4">
        <f t="shared" si="3"/>
        <v>0</v>
      </c>
      <c r="L36" s="4">
        <f t="shared" si="1"/>
        <v>0</v>
      </c>
      <c r="M36" s="31">
        <v>0</v>
      </c>
      <c r="N36" s="32">
        <v>0</v>
      </c>
      <c r="O36" s="33">
        <v>0</v>
      </c>
      <c r="P36" s="2"/>
    </row>
    <row r="37" spans="2:16" ht="13.8" x14ac:dyDescent="0.2">
      <c r="B37" s="14">
        <v>32</v>
      </c>
      <c r="C37" s="9"/>
      <c r="D37" s="15">
        <f t="shared" si="2"/>
        <v>0</v>
      </c>
      <c r="E37" s="5">
        <v>0</v>
      </c>
      <c r="F37" s="5">
        <v>0</v>
      </c>
      <c r="G37" s="5">
        <v>0</v>
      </c>
      <c r="H37" s="5">
        <v>0</v>
      </c>
      <c r="I37" s="6">
        <v>0</v>
      </c>
      <c r="J37" s="7">
        <v>0</v>
      </c>
      <c r="K37" s="4">
        <f t="shared" si="3"/>
        <v>0</v>
      </c>
      <c r="L37" s="4">
        <f t="shared" si="1"/>
        <v>0</v>
      </c>
      <c r="M37" s="31">
        <v>0</v>
      </c>
      <c r="N37" s="32">
        <v>0</v>
      </c>
      <c r="O37" s="33">
        <v>0</v>
      </c>
      <c r="P37" s="2"/>
    </row>
    <row r="38" spans="2:16" ht="13.8" x14ac:dyDescent="0.2">
      <c r="B38" s="14">
        <v>33</v>
      </c>
      <c r="C38" s="9"/>
      <c r="D38" s="15">
        <f t="shared" si="2"/>
        <v>0</v>
      </c>
      <c r="E38" s="5">
        <v>0</v>
      </c>
      <c r="F38" s="5">
        <v>0</v>
      </c>
      <c r="G38" s="5">
        <v>0</v>
      </c>
      <c r="H38" s="5">
        <v>0</v>
      </c>
      <c r="I38" s="6">
        <v>0</v>
      </c>
      <c r="J38" s="7">
        <v>0</v>
      </c>
      <c r="K38" s="4">
        <f t="shared" si="3"/>
        <v>0</v>
      </c>
      <c r="L38" s="4">
        <f t="shared" si="1"/>
        <v>0</v>
      </c>
      <c r="M38" s="31">
        <v>0</v>
      </c>
      <c r="N38" s="32">
        <v>0</v>
      </c>
      <c r="O38" s="33">
        <v>0</v>
      </c>
      <c r="P38" s="2"/>
    </row>
    <row r="39" spans="2:16" ht="13.8" x14ac:dyDescent="0.2">
      <c r="B39" s="14">
        <v>34</v>
      </c>
      <c r="C39" s="17"/>
      <c r="D39" s="15">
        <f t="shared" si="2"/>
        <v>0</v>
      </c>
      <c r="E39" s="5">
        <v>0</v>
      </c>
      <c r="F39" s="5">
        <v>0</v>
      </c>
      <c r="G39" s="5">
        <v>0</v>
      </c>
      <c r="H39" s="5">
        <v>0</v>
      </c>
      <c r="I39" s="6">
        <v>0</v>
      </c>
      <c r="J39" s="7">
        <v>0</v>
      </c>
      <c r="K39" s="4">
        <f t="shared" si="3"/>
        <v>0</v>
      </c>
      <c r="L39" s="4">
        <f t="shared" si="1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9"/>
      <c r="D40" s="15">
        <f t="shared" si="2"/>
        <v>0</v>
      </c>
      <c r="E40" s="5">
        <v>0</v>
      </c>
      <c r="F40" s="5">
        <v>0</v>
      </c>
      <c r="G40" s="5">
        <v>0</v>
      </c>
      <c r="H40" s="5">
        <v>0</v>
      </c>
      <c r="I40" s="6">
        <v>0</v>
      </c>
      <c r="J40" s="7">
        <v>0</v>
      </c>
      <c r="K40" s="4">
        <f t="shared" si="3"/>
        <v>0</v>
      </c>
      <c r="L40" s="4">
        <f t="shared" si="1"/>
        <v>0</v>
      </c>
      <c r="M40" s="31">
        <v>0</v>
      </c>
      <c r="N40" s="32">
        <v>0</v>
      </c>
      <c r="O40" s="33">
        <v>0</v>
      </c>
      <c r="P40" s="2"/>
    </row>
    <row r="41" spans="2:16" ht="13.8" x14ac:dyDescent="0.2">
      <c r="B41" s="14">
        <v>36</v>
      </c>
      <c r="C41" s="9"/>
      <c r="D41" s="15">
        <f t="shared" si="2"/>
        <v>0</v>
      </c>
      <c r="E41" s="5">
        <v>0</v>
      </c>
      <c r="F41" s="5">
        <v>0</v>
      </c>
      <c r="G41" s="5">
        <v>0</v>
      </c>
      <c r="H41" s="5">
        <v>0</v>
      </c>
      <c r="I41" s="6">
        <v>0</v>
      </c>
      <c r="J41" s="7">
        <v>0</v>
      </c>
      <c r="K41" s="4">
        <f t="shared" si="3"/>
        <v>0</v>
      </c>
      <c r="L41" s="4">
        <f t="shared" si="1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9"/>
      <c r="D42" s="15">
        <f t="shared" si="2"/>
        <v>0</v>
      </c>
      <c r="E42" s="5">
        <v>0</v>
      </c>
      <c r="F42" s="5">
        <v>0</v>
      </c>
      <c r="G42" s="5">
        <v>0</v>
      </c>
      <c r="H42" s="5">
        <v>0</v>
      </c>
      <c r="I42" s="6">
        <v>0</v>
      </c>
      <c r="J42" s="7">
        <v>0</v>
      </c>
      <c r="K42" s="4">
        <f t="shared" si="3"/>
        <v>0</v>
      </c>
      <c r="L42" s="4">
        <f t="shared" si="1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9"/>
      <c r="D43" s="15">
        <f t="shared" si="2"/>
        <v>0</v>
      </c>
      <c r="E43" s="5">
        <v>0</v>
      </c>
      <c r="F43" s="5">
        <v>0</v>
      </c>
      <c r="G43" s="5">
        <v>0</v>
      </c>
      <c r="H43" s="5">
        <v>0</v>
      </c>
      <c r="I43" s="6">
        <v>0</v>
      </c>
      <c r="J43" s="7">
        <v>0</v>
      </c>
      <c r="K43" s="4">
        <f t="shared" si="3"/>
        <v>0</v>
      </c>
      <c r="L43" s="4">
        <f t="shared" si="1"/>
        <v>0</v>
      </c>
      <c r="M43" s="31">
        <v>0</v>
      </c>
      <c r="N43" s="32">
        <v>0</v>
      </c>
      <c r="O43" s="33">
        <v>0</v>
      </c>
      <c r="P43" s="2"/>
    </row>
    <row r="44" spans="2:16" ht="13.8" x14ac:dyDescent="0.2">
      <c r="B44" s="14">
        <v>39</v>
      </c>
      <c r="C44" s="9"/>
      <c r="D44" s="15">
        <f t="shared" si="2"/>
        <v>0</v>
      </c>
      <c r="E44" s="5">
        <v>0</v>
      </c>
      <c r="F44" s="5">
        <v>0</v>
      </c>
      <c r="G44" s="5">
        <v>0</v>
      </c>
      <c r="H44" s="5">
        <v>0</v>
      </c>
      <c r="I44" s="6">
        <v>0</v>
      </c>
      <c r="J44" s="7">
        <v>0</v>
      </c>
      <c r="K44" s="4">
        <f t="shared" si="3"/>
        <v>0</v>
      </c>
      <c r="L44" s="4">
        <f t="shared" si="1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9"/>
      <c r="D45" s="15">
        <f t="shared" si="2"/>
        <v>0</v>
      </c>
      <c r="E45" s="5">
        <v>0</v>
      </c>
      <c r="F45" s="5">
        <v>0</v>
      </c>
      <c r="G45" s="5">
        <v>0</v>
      </c>
      <c r="H45" s="5">
        <v>0</v>
      </c>
      <c r="I45" s="6">
        <v>0</v>
      </c>
      <c r="J45" s="7">
        <v>0</v>
      </c>
      <c r="K45" s="4">
        <f t="shared" si="3"/>
        <v>0</v>
      </c>
      <c r="L45" s="4">
        <f t="shared" si="1"/>
        <v>0</v>
      </c>
      <c r="M45" s="31">
        <v>0</v>
      </c>
      <c r="N45" s="32">
        <v>0</v>
      </c>
      <c r="O45" s="33">
        <v>0</v>
      </c>
      <c r="P45" s="2"/>
    </row>
    <row r="46" spans="2:16" ht="13.8" x14ac:dyDescent="0.2">
      <c r="B46" s="14">
        <v>41</v>
      </c>
      <c r="C46" s="9"/>
      <c r="D46" s="15">
        <f t="shared" si="2"/>
        <v>0</v>
      </c>
      <c r="E46" s="5">
        <v>0</v>
      </c>
      <c r="F46" s="5">
        <v>0</v>
      </c>
      <c r="G46" s="5">
        <v>0</v>
      </c>
      <c r="H46" s="5">
        <v>0</v>
      </c>
      <c r="I46" s="6">
        <v>0</v>
      </c>
      <c r="J46" s="7">
        <v>0</v>
      </c>
      <c r="K46" s="4">
        <f t="shared" si="3"/>
        <v>0</v>
      </c>
      <c r="L46" s="4">
        <f t="shared" si="1"/>
        <v>0</v>
      </c>
      <c r="M46" s="31">
        <v>0</v>
      </c>
      <c r="N46" s="32">
        <v>0</v>
      </c>
      <c r="O46" s="33">
        <v>0</v>
      </c>
      <c r="P46" s="2"/>
    </row>
    <row r="47" spans="2:16" ht="13.8" x14ac:dyDescent="0.2">
      <c r="B47" s="14">
        <v>42</v>
      </c>
      <c r="C47" s="9"/>
      <c r="D47" s="15">
        <f t="shared" si="2"/>
        <v>0</v>
      </c>
      <c r="E47" s="5">
        <v>0</v>
      </c>
      <c r="F47" s="5">
        <v>0</v>
      </c>
      <c r="G47" s="5">
        <v>0</v>
      </c>
      <c r="H47" s="5">
        <v>0</v>
      </c>
      <c r="I47" s="6">
        <v>0</v>
      </c>
      <c r="J47" s="7">
        <v>0</v>
      </c>
      <c r="K47" s="4">
        <f t="shared" si="3"/>
        <v>0</v>
      </c>
      <c r="L47" s="4">
        <f t="shared" si="1"/>
        <v>0</v>
      </c>
      <c r="M47" s="31">
        <v>0</v>
      </c>
      <c r="N47" s="32">
        <v>0</v>
      </c>
      <c r="O47" s="33">
        <v>0</v>
      </c>
      <c r="P47" s="2"/>
    </row>
    <row r="48" spans="2:16" ht="13.8" x14ac:dyDescent="0.2">
      <c r="B48" s="14">
        <v>43</v>
      </c>
      <c r="C48" s="9"/>
      <c r="D48" s="15">
        <f t="shared" si="2"/>
        <v>0</v>
      </c>
      <c r="E48" s="5">
        <v>0</v>
      </c>
      <c r="F48" s="5">
        <v>0</v>
      </c>
      <c r="G48" s="5">
        <v>0</v>
      </c>
      <c r="H48" s="5">
        <v>0</v>
      </c>
      <c r="I48" s="6">
        <v>0</v>
      </c>
      <c r="J48" s="7">
        <v>0</v>
      </c>
      <c r="K48" s="4">
        <f t="shared" si="3"/>
        <v>0</v>
      </c>
      <c r="L48" s="4">
        <f t="shared" si="1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9"/>
      <c r="D49" s="15">
        <f t="shared" si="2"/>
        <v>0</v>
      </c>
      <c r="E49" s="5">
        <v>0</v>
      </c>
      <c r="F49" s="5">
        <v>0</v>
      </c>
      <c r="G49" s="5">
        <v>0</v>
      </c>
      <c r="H49" s="5">
        <v>0</v>
      </c>
      <c r="I49" s="6">
        <v>0</v>
      </c>
      <c r="J49" s="7">
        <v>0</v>
      </c>
      <c r="K49" s="4">
        <f t="shared" si="3"/>
        <v>0</v>
      </c>
      <c r="L49" s="4">
        <f t="shared" si="1"/>
        <v>0</v>
      </c>
      <c r="M49" s="31">
        <v>0</v>
      </c>
      <c r="N49" s="32">
        <v>0</v>
      </c>
      <c r="O49" s="33">
        <v>0</v>
      </c>
      <c r="P49" s="2"/>
    </row>
    <row r="50" spans="2:16" ht="13.8" x14ac:dyDescent="0.2">
      <c r="B50" s="14">
        <v>45</v>
      </c>
      <c r="C50" s="9"/>
      <c r="D50" s="15">
        <f t="shared" si="2"/>
        <v>0</v>
      </c>
      <c r="E50" s="5">
        <v>0</v>
      </c>
      <c r="F50" s="5">
        <v>0</v>
      </c>
      <c r="G50" s="5">
        <v>0</v>
      </c>
      <c r="H50" s="5">
        <v>0</v>
      </c>
      <c r="I50" s="6">
        <v>0</v>
      </c>
      <c r="J50" s="7">
        <v>0</v>
      </c>
      <c r="K50" s="4">
        <f t="shared" si="3"/>
        <v>0</v>
      </c>
      <c r="L50" s="4">
        <f t="shared" si="1"/>
        <v>0</v>
      </c>
      <c r="M50" s="31">
        <v>0</v>
      </c>
      <c r="N50" s="32">
        <v>0</v>
      </c>
      <c r="O50" s="33">
        <v>0</v>
      </c>
      <c r="P50" s="2"/>
    </row>
    <row r="51" spans="2:16" ht="13.8" x14ac:dyDescent="0.2">
      <c r="B51" s="14">
        <v>46</v>
      </c>
      <c r="C51" s="9"/>
      <c r="D51" s="15">
        <f t="shared" si="2"/>
        <v>0</v>
      </c>
      <c r="E51" s="5">
        <v>0</v>
      </c>
      <c r="F51" s="5">
        <v>0</v>
      </c>
      <c r="G51" s="5">
        <v>0</v>
      </c>
      <c r="H51" s="5">
        <v>0</v>
      </c>
      <c r="I51" s="6">
        <v>0</v>
      </c>
      <c r="J51" s="7">
        <v>0</v>
      </c>
      <c r="K51" s="4">
        <f t="shared" si="3"/>
        <v>0</v>
      </c>
      <c r="L51" s="4">
        <f t="shared" si="1"/>
        <v>0</v>
      </c>
      <c r="M51" s="31">
        <v>0</v>
      </c>
      <c r="N51" s="32">
        <v>0</v>
      </c>
      <c r="O51" s="33">
        <v>0</v>
      </c>
      <c r="P51" s="2"/>
    </row>
    <row r="52" spans="2:16" ht="13.8" x14ac:dyDescent="0.2">
      <c r="B52" s="14">
        <v>47</v>
      </c>
      <c r="C52" s="9"/>
      <c r="D52" s="15">
        <f t="shared" si="2"/>
        <v>0</v>
      </c>
      <c r="E52" s="5">
        <v>0</v>
      </c>
      <c r="F52" s="5">
        <v>0</v>
      </c>
      <c r="G52" s="5">
        <v>0</v>
      </c>
      <c r="H52" s="5">
        <v>0</v>
      </c>
      <c r="I52" s="6">
        <v>0</v>
      </c>
      <c r="J52" s="7">
        <v>0</v>
      </c>
      <c r="K52" s="4">
        <f t="shared" si="3"/>
        <v>0</v>
      </c>
      <c r="L52" s="4">
        <f t="shared" si="1"/>
        <v>0</v>
      </c>
      <c r="M52" s="31">
        <v>0</v>
      </c>
      <c r="N52" s="32">
        <v>0</v>
      </c>
      <c r="O52" s="33">
        <v>0</v>
      </c>
      <c r="P52" s="2"/>
    </row>
    <row r="53" spans="2:16" ht="13.8" x14ac:dyDescent="0.2">
      <c r="B53" s="14">
        <v>48</v>
      </c>
      <c r="C53" s="17"/>
      <c r="D53" s="15">
        <f t="shared" si="2"/>
        <v>0</v>
      </c>
      <c r="E53" s="5">
        <v>0</v>
      </c>
      <c r="F53" s="5">
        <v>0</v>
      </c>
      <c r="G53" s="5">
        <v>0</v>
      </c>
      <c r="H53" s="5">
        <v>0</v>
      </c>
      <c r="I53" s="6">
        <v>0</v>
      </c>
      <c r="J53" s="7">
        <v>0</v>
      </c>
      <c r="K53" s="4">
        <f t="shared" si="3"/>
        <v>0</v>
      </c>
      <c r="L53" s="4">
        <f t="shared" si="1"/>
        <v>0</v>
      </c>
      <c r="M53" s="31">
        <v>0</v>
      </c>
      <c r="N53" s="32">
        <v>0</v>
      </c>
      <c r="O53" s="33">
        <v>0</v>
      </c>
      <c r="P53" s="2"/>
    </row>
    <row r="54" spans="2:16" ht="13.8" x14ac:dyDescent="0.2">
      <c r="B54" s="14">
        <v>49</v>
      </c>
      <c r="C54" s="9"/>
      <c r="D54" s="15">
        <f t="shared" si="2"/>
        <v>0</v>
      </c>
      <c r="E54" s="5">
        <v>0</v>
      </c>
      <c r="F54" s="5">
        <v>0</v>
      </c>
      <c r="G54" s="5">
        <v>0</v>
      </c>
      <c r="H54" s="5">
        <v>0</v>
      </c>
      <c r="I54" s="6">
        <v>0</v>
      </c>
      <c r="J54" s="7">
        <v>0</v>
      </c>
      <c r="K54" s="4">
        <f t="shared" si="3"/>
        <v>0</v>
      </c>
      <c r="L54" s="4">
        <f t="shared" si="1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9"/>
      <c r="D55" s="15">
        <f t="shared" si="2"/>
        <v>0</v>
      </c>
      <c r="E55" s="5">
        <v>0</v>
      </c>
      <c r="F55" s="5">
        <v>0</v>
      </c>
      <c r="G55" s="5">
        <v>0</v>
      </c>
      <c r="H55" s="5">
        <v>0</v>
      </c>
      <c r="I55" s="6">
        <v>0</v>
      </c>
      <c r="J55" s="7">
        <v>0</v>
      </c>
      <c r="K55" s="4">
        <f t="shared" si="3"/>
        <v>0</v>
      </c>
      <c r="L55" s="4">
        <f t="shared" si="1"/>
        <v>0</v>
      </c>
      <c r="M55" s="31">
        <v>0</v>
      </c>
      <c r="N55" s="32">
        <v>0</v>
      </c>
      <c r="O55" s="33">
        <v>0</v>
      </c>
      <c r="P55" s="2"/>
    </row>
    <row r="56" spans="2:16" ht="13.8" x14ac:dyDescent="0.2">
      <c r="B56" s="14">
        <v>51</v>
      </c>
      <c r="C56" s="9"/>
      <c r="D56" s="15">
        <f t="shared" si="2"/>
        <v>0</v>
      </c>
      <c r="E56" s="5">
        <v>0</v>
      </c>
      <c r="F56" s="5">
        <v>0</v>
      </c>
      <c r="G56" s="5">
        <v>0</v>
      </c>
      <c r="H56" s="5">
        <v>0</v>
      </c>
      <c r="I56" s="6">
        <v>0</v>
      </c>
      <c r="J56" s="7">
        <v>0</v>
      </c>
      <c r="K56" s="4">
        <f t="shared" si="3"/>
        <v>0</v>
      </c>
      <c r="L56" s="4">
        <f t="shared" si="1"/>
        <v>0</v>
      </c>
      <c r="M56" s="31">
        <v>0</v>
      </c>
      <c r="N56" s="32">
        <v>0</v>
      </c>
      <c r="O56" s="33">
        <v>0</v>
      </c>
      <c r="P56" s="2"/>
    </row>
    <row r="57" spans="2:16" ht="13.8" x14ac:dyDescent="0.2">
      <c r="B57" s="14">
        <v>52</v>
      </c>
      <c r="C57" s="9"/>
      <c r="D57" s="15">
        <f t="shared" si="2"/>
        <v>0</v>
      </c>
      <c r="E57" s="5">
        <v>0</v>
      </c>
      <c r="F57" s="5">
        <v>0</v>
      </c>
      <c r="G57" s="5">
        <v>0</v>
      </c>
      <c r="H57" s="5">
        <v>0</v>
      </c>
      <c r="I57" s="6">
        <v>0</v>
      </c>
      <c r="J57" s="7">
        <v>0</v>
      </c>
      <c r="K57" s="4">
        <f t="shared" si="3"/>
        <v>0</v>
      </c>
      <c r="L57" s="4">
        <f t="shared" si="1"/>
        <v>0</v>
      </c>
      <c r="M57" s="31">
        <v>0</v>
      </c>
      <c r="N57" s="32">
        <v>0</v>
      </c>
      <c r="O57" s="33">
        <v>0</v>
      </c>
      <c r="P57" s="2"/>
    </row>
    <row r="58" spans="2:16" ht="13.8" x14ac:dyDescent="0.2">
      <c r="B58" s="14">
        <v>53</v>
      </c>
      <c r="C58" s="9"/>
      <c r="D58" s="15">
        <f t="shared" si="2"/>
        <v>0</v>
      </c>
      <c r="E58" s="5">
        <v>0</v>
      </c>
      <c r="F58" s="5">
        <v>0</v>
      </c>
      <c r="G58" s="5">
        <v>0</v>
      </c>
      <c r="H58" s="5">
        <v>0</v>
      </c>
      <c r="I58" s="6">
        <v>0</v>
      </c>
      <c r="J58" s="7">
        <v>0</v>
      </c>
      <c r="K58" s="4">
        <f t="shared" si="3"/>
        <v>0</v>
      </c>
      <c r="L58" s="4">
        <f t="shared" si="1"/>
        <v>0</v>
      </c>
      <c r="M58" s="31">
        <v>0</v>
      </c>
      <c r="N58" s="32">
        <v>0</v>
      </c>
      <c r="O58" s="33">
        <v>0</v>
      </c>
      <c r="P58" s="2"/>
    </row>
    <row r="59" spans="2:16" ht="13.8" x14ac:dyDescent="0.2">
      <c r="B59" s="14">
        <v>54</v>
      </c>
      <c r="C59" s="9"/>
      <c r="D59" s="15">
        <f t="shared" si="2"/>
        <v>0</v>
      </c>
      <c r="E59" s="5">
        <v>0</v>
      </c>
      <c r="F59" s="5">
        <v>0</v>
      </c>
      <c r="G59" s="5">
        <v>0</v>
      </c>
      <c r="H59" s="5">
        <v>0</v>
      </c>
      <c r="I59" s="6">
        <v>0</v>
      </c>
      <c r="J59" s="7">
        <v>0</v>
      </c>
      <c r="K59" s="4">
        <f t="shared" si="3"/>
        <v>0</v>
      </c>
      <c r="L59" s="4">
        <f t="shared" si="1"/>
        <v>0</v>
      </c>
      <c r="M59" s="31">
        <v>0</v>
      </c>
      <c r="N59" s="32">
        <v>0</v>
      </c>
      <c r="O59" s="33">
        <v>0</v>
      </c>
      <c r="P59" s="2"/>
    </row>
    <row r="60" spans="2:16" ht="13.8" x14ac:dyDescent="0.2">
      <c r="B60" s="14">
        <v>55</v>
      </c>
      <c r="C60" s="17"/>
      <c r="D60" s="15">
        <f t="shared" si="2"/>
        <v>0</v>
      </c>
      <c r="E60" s="5">
        <v>0</v>
      </c>
      <c r="F60" s="5">
        <v>0</v>
      </c>
      <c r="G60" s="5">
        <v>0</v>
      </c>
      <c r="H60" s="5">
        <v>0</v>
      </c>
      <c r="I60" s="6">
        <v>0</v>
      </c>
      <c r="J60" s="7">
        <v>0</v>
      </c>
      <c r="K60" s="4">
        <f t="shared" si="3"/>
        <v>0</v>
      </c>
      <c r="L60" s="4">
        <f t="shared" si="1"/>
        <v>0</v>
      </c>
      <c r="M60" s="31">
        <v>0</v>
      </c>
      <c r="N60" s="32">
        <v>0</v>
      </c>
      <c r="O60" s="33">
        <v>0</v>
      </c>
      <c r="P60" s="2"/>
    </row>
    <row r="61" spans="2:16" ht="13.8" x14ac:dyDescent="0.2">
      <c r="B61" s="14">
        <v>56</v>
      </c>
      <c r="C61" s="9"/>
      <c r="D61" s="15">
        <f t="shared" si="2"/>
        <v>0</v>
      </c>
      <c r="E61" s="5">
        <v>0</v>
      </c>
      <c r="F61" s="5">
        <v>0</v>
      </c>
      <c r="G61" s="5">
        <v>0</v>
      </c>
      <c r="H61" s="5">
        <v>0</v>
      </c>
      <c r="I61" s="6">
        <v>0</v>
      </c>
      <c r="J61" s="7">
        <v>0</v>
      </c>
      <c r="K61" s="4">
        <f t="shared" si="3"/>
        <v>0</v>
      </c>
      <c r="L61" s="4">
        <f t="shared" si="1"/>
        <v>0</v>
      </c>
      <c r="M61" s="31">
        <v>0</v>
      </c>
      <c r="N61" s="32">
        <v>0</v>
      </c>
      <c r="O61" s="33">
        <v>0</v>
      </c>
      <c r="P61" s="2"/>
    </row>
    <row r="62" spans="2:16" ht="13.8" x14ac:dyDescent="0.2">
      <c r="B62" s="14">
        <v>57</v>
      </c>
      <c r="C62" s="9"/>
      <c r="D62" s="15">
        <f t="shared" si="2"/>
        <v>0</v>
      </c>
      <c r="E62" s="5">
        <v>0</v>
      </c>
      <c r="F62" s="5">
        <v>0</v>
      </c>
      <c r="G62" s="5">
        <v>0</v>
      </c>
      <c r="H62" s="5">
        <v>0</v>
      </c>
      <c r="I62" s="6">
        <v>0</v>
      </c>
      <c r="J62" s="7">
        <v>0</v>
      </c>
      <c r="K62" s="4">
        <f t="shared" si="3"/>
        <v>0</v>
      </c>
      <c r="L62" s="4">
        <f t="shared" si="1"/>
        <v>0</v>
      </c>
      <c r="M62" s="31">
        <v>0</v>
      </c>
      <c r="N62" s="32">
        <v>0</v>
      </c>
      <c r="O62" s="33">
        <v>0</v>
      </c>
      <c r="P62" s="2"/>
    </row>
    <row r="63" spans="2:16" ht="13.8" x14ac:dyDescent="0.2">
      <c r="B63" s="14">
        <v>58</v>
      </c>
      <c r="C63" s="9"/>
      <c r="D63" s="15">
        <f t="shared" si="2"/>
        <v>0</v>
      </c>
      <c r="E63" s="5">
        <v>0</v>
      </c>
      <c r="F63" s="5">
        <v>0</v>
      </c>
      <c r="G63" s="5">
        <v>0</v>
      </c>
      <c r="H63" s="5">
        <v>0</v>
      </c>
      <c r="I63" s="6">
        <v>0</v>
      </c>
      <c r="J63" s="7">
        <v>0</v>
      </c>
      <c r="K63" s="4">
        <f t="shared" si="3"/>
        <v>0</v>
      </c>
      <c r="L63" s="4">
        <f t="shared" si="1"/>
        <v>0</v>
      </c>
      <c r="M63" s="31">
        <v>0</v>
      </c>
      <c r="N63" s="32">
        <v>0</v>
      </c>
      <c r="O63" s="33">
        <v>0</v>
      </c>
      <c r="P63" s="2"/>
    </row>
    <row r="64" spans="2:16" ht="13.8" x14ac:dyDescent="0.2">
      <c r="B64" s="14">
        <v>59</v>
      </c>
      <c r="C64" s="9"/>
      <c r="D64" s="15">
        <f t="shared" si="2"/>
        <v>0</v>
      </c>
      <c r="E64" s="5">
        <v>0</v>
      </c>
      <c r="F64" s="5">
        <v>0</v>
      </c>
      <c r="G64" s="5">
        <v>0</v>
      </c>
      <c r="H64" s="5">
        <v>0</v>
      </c>
      <c r="I64" s="6">
        <v>0</v>
      </c>
      <c r="J64" s="7">
        <v>0</v>
      </c>
      <c r="K64" s="4">
        <f t="shared" si="3"/>
        <v>0</v>
      </c>
      <c r="L64" s="4">
        <f t="shared" si="1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9"/>
      <c r="D65" s="15">
        <f t="shared" si="2"/>
        <v>0</v>
      </c>
      <c r="E65" s="5">
        <v>0</v>
      </c>
      <c r="F65" s="5">
        <v>0</v>
      </c>
      <c r="G65" s="5">
        <v>0</v>
      </c>
      <c r="H65" s="5">
        <v>0</v>
      </c>
      <c r="I65" s="6">
        <v>0</v>
      </c>
      <c r="J65" s="7">
        <v>0</v>
      </c>
      <c r="K65" s="4">
        <f t="shared" si="3"/>
        <v>0</v>
      </c>
      <c r="L65" s="4">
        <f t="shared" si="1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/>
      <c r="D66" s="15">
        <f t="shared" si="2"/>
        <v>0</v>
      </c>
      <c r="E66" s="5">
        <v>0</v>
      </c>
      <c r="F66" s="5">
        <v>0</v>
      </c>
      <c r="G66" s="5">
        <v>0</v>
      </c>
      <c r="H66" s="5">
        <v>0</v>
      </c>
      <c r="I66" s="6">
        <v>0</v>
      </c>
      <c r="J66" s="7">
        <v>0</v>
      </c>
      <c r="K66" s="4">
        <f t="shared" si="3"/>
        <v>0</v>
      </c>
      <c r="L66" s="4">
        <f t="shared" si="1"/>
        <v>0</v>
      </c>
      <c r="M66" s="31">
        <v>0</v>
      </c>
      <c r="N66" s="32">
        <v>0</v>
      </c>
      <c r="O66" s="33">
        <v>0</v>
      </c>
      <c r="P66" s="2"/>
    </row>
    <row r="67" spans="2:16" ht="13.8" x14ac:dyDescent="0.2">
      <c r="B67" s="14">
        <v>62</v>
      </c>
      <c r="C67" s="9"/>
      <c r="D67" s="15">
        <f t="shared" si="2"/>
        <v>0</v>
      </c>
      <c r="E67" s="5">
        <v>0</v>
      </c>
      <c r="F67" s="5">
        <v>0</v>
      </c>
      <c r="G67" s="5">
        <v>0</v>
      </c>
      <c r="H67" s="5">
        <v>0</v>
      </c>
      <c r="I67" s="6">
        <v>0</v>
      </c>
      <c r="J67" s="7">
        <v>0</v>
      </c>
      <c r="K67" s="4">
        <f t="shared" si="3"/>
        <v>0</v>
      </c>
      <c r="L67" s="4">
        <f t="shared" ref="L67:L130" si="4">IFERROR(SUM(SUM(((F67-G67-H67-I67)*1),G67*2,H67*3,I67*4)/E67,((F67+M67+N67)/(E67+M67+N67+O67))),K67)</f>
        <v>0</v>
      </c>
      <c r="M67" s="31">
        <v>0</v>
      </c>
      <c r="N67" s="32">
        <v>0</v>
      </c>
      <c r="O67" s="33">
        <v>0</v>
      </c>
      <c r="P67" s="2"/>
    </row>
    <row r="68" spans="2:16" ht="13.8" x14ac:dyDescent="0.2">
      <c r="B68" s="14">
        <v>63</v>
      </c>
      <c r="C68" s="9"/>
      <c r="D68" s="15">
        <f t="shared" si="2"/>
        <v>0</v>
      </c>
      <c r="E68" s="5">
        <v>0</v>
      </c>
      <c r="F68" s="5">
        <v>0</v>
      </c>
      <c r="G68" s="5">
        <v>0</v>
      </c>
      <c r="H68" s="5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/>
    </row>
    <row r="69" spans="2:16" ht="13.8" x14ac:dyDescent="0.2">
      <c r="B69" s="14">
        <v>64</v>
      </c>
      <c r="C69" s="9"/>
      <c r="D69" s="15">
        <f t="shared" ref="D69:D132" si="5">IFERROR(IF(F69/E69=1,"1.00",F69/E69),0)</f>
        <v>0</v>
      </c>
      <c r="E69" s="5">
        <v>0</v>
      </c>
      <c r="F69" s="5">
        <v>0</v>
      </c>
      <c r="G69" s="5">
        <v>0</v>
      </c>
      <c r="H69" s="5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si="4"/>
        <v>0</v>
      </c>
      <c r="M69" s="31">
        <v>0</v>
      </c>
      <c r="N69" s="32">
        <v>0</v>
      </c>
      <c r="O69" s="33">
        <v>0</v>
      </c>
      <c r="P69" s="2"/>
    </row>
    <row r="70" spans="2:16" ht="13.8" x14ac:dyDescent="0.2">
      <c r="B70" s="14">
        <v>65</v>
      </c>
      <c r="C70" s="9"/>
      <c r="D70" s="15">
        <f t="shared" si="5"/>
        <v>0</v>
      </c>
      <c r="E70" s="5">
        <v>0</v>
      </c>
      <c r="F70" s="5">
        <v>0</v>
      </c>
      <c r="G70" s="5">
        <v>0</v>
      </c>
      <c r="H70" s="5">
        <v>0</v>
      </c>
      <c r="I70" s="6">
        <v>0</v>
      </c>
      <c r="J70" s="7">
        <v>0</v>
      </c>
      <c r="K70" s="4">
        <f t="shared" si="6"/>
        <v>0</v>
      </c>
      <c r="L70" s="4">
        <f t="shared" si="4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/>
      <c r="D71" s="15">
        <f t="shared" si="5"/>
        <v>0</v>
      </c>
      <c r="E71" s="5">
        <v>0</v>
      </c>
      <c r="F71" s="5">
        <v>0</v>
      </c>
      <c r="G71" s="5">
        <v>0</v>
      </c>
      <c r="H71" s="5">
        <v>0</v>
      </c>
      <c r="I71" s="6">
        <v>0</v>
      </c>
      <c r="J71" s="7">
        <v>0</v>
      </c>
      <c r="K71" s="4">
        <f t="shared" si="6"/>
        <v>0</v>
      </c>
      <c r="L71" s="4">
        <f t="shared" si="4"/>
        <v>0</v>
      </c>
      <c r="M71" s="31">
        <v>0</v>
      </c>
      <c r="N71" s="32">
        <v>0</v>
      </c>
      <c r="O71" s="33">
        <v>0</v>
      </c>
      <c r="P71" s="2"/>
    </row>
    <row r="72" spans="2:16" ht="13.8" x14ac:dyDescent="0.2">
      <c r="B72" s="14">
        <v>67</v>
      </c>
      <c r="C72" s="9"/>
      <c r="D72" s="15">
        <f t="shared" si="5"/>
        <v>0</v>
      </c>
      <c r="E72" s="5">
        <v>0</v>
      </c>
      <c r="F72" s="5">
        <v>0</v>
      </c>
      <c r="G72" s="5">
        <v>0</v>
      </c>
      <c r="H72" s="5">
        <v>0</v>
      </c>
      <c r="I72" s="6">
        <v>0</v>
      </c>
      <c r="J72" s="7">
        <v>0</v>
      </c>
      <c r="K72" s="4">
        <f t="shared" si="6"/>
        <v>0</v>
      </c>
      <c r="L72" s="4">
        <f t="shared" si="4"/>
        <v>0</v>
      </c>
      <c r="M72" s="31">
        <v>0</v>
      </c>
      <c r="N72" s="32">
        <v>0</v>
      </c>
      <c r="O72" s="33">
        <v>0</v>
      </c>
      <c r="P72" s="2"/>
    </row>
    <row r="73" spans="2:16" ht="13.8" x14ac:dyDescent="0.2">
      <c r="B73" s="14">
        <v>68</v>
      </c>
      <c r="C73" s="9"/>
      <c r="D73" s="15">
        <f t="shared" si="5"/>
        <v>0</v>
      </c>
      <c r="E73" s="5">
        <v>0</v>
      </c>
      <c r="F73" s="5">
        <v>0</v>
      </c>
      <c r="G73" s="5">
        <v>0</v>
      </c>
      <c r="H73" s="5">
        <v>0</v>
      </c>
      <c r="I73" s="6">
        <v>0</v>
      </c>
      <c r="J73" s="7">
        <v>0</v>
      </c>
      <c r="K73" s="4">
        <f t="shared" si="6"/>
        <v>0</v>
      </c>
      <c r="L73" s="4">
        <f t="shared" si="4"/>
        <v>0</v>
      </c>
      <c r="M73" s="31">
        <v>0</v>
      </c>
      <c r="N73" s="32">
        <v>0</v>
      </c>
      <c r="O73" s="33">
        <v>0</v>
      </c>
      <c r="P73" s="2"/>
    </row>
    <row r="74" spans="2:16" ht="13.8" x14ac:dyDescent="0.2">
      <c r="B74" s="14">
        <v>69</v>
      </c>
      <c r="C74" s="9"/>
      <c r="D74" s="15">
        <f t="shared" si="5"/>
        <v>0</v>
      </c>
      <c r="E74" s="5">
        <v>0</v>
      </c>
      <c r="F74" s="5">
        <v>0</v>
      </c>
      <c r="G74" s="5">
        <v>0</v>
      </c>
      <c r="H74" s="5">
        <v>0</v>
      </c>
      <c r="I74" s="6">
        <v>0</v>
      </c>
      <c r="J74" s="7">
        <v>0</v>
      </c>
      <c r="K74" s="4">
        <f t="shared" si="6"/>
        <v>0</v>
      </c>
      <c r="L74" s="4">
        <f t="shared" si="4"/>
        <v>0</v>
      </c>
      <c r="M74" s="31">
        <v>0</v>
      </c>
      <c r="N74" s="32">
        <v>0</v>
      </c>
      <c r="O74" s="33">
        <v>0</v>
      </c>
      <c r="P74" s="2"/>
    </row>
    <row r="75" spans="2:16" ht="13.8" x14ac:dyDescent="0.2">
      <c r="B75" s="14">
        <v>70</v>
      </c>
      <c r="C75" s="17"/>
      <c r="D75" s="15">
        <f t="shared" si="5"/>
        <v>0</v>
      </c>
      <c r="E75" s="5">
        <v>0</v>
      </c>
      <c r="F75" s="5">
        <v>0</v>
      </c>
      <c r="G75" s="5">
        <v>0</v>
      </c>
      <c r="H75" s="5">
        <v>0</v>
      </c>
      <c r="I75" s="6">
        <v>0</v>
      </c>
      <c r="J75" s="7">
        <v>0</v>
      </c>
      <c r="K75" s="4">
        <f t="shared" si="6"/>
        <v>0</v>
      </c>
      <c r="L75" s="4">
        <f t="shared" si="4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5">
        <v>0</v>
      </c>
      <c r="G76" s="5">
        <v>0</v>
      </c>
      <c r="H76" s="5">
        <v>0</v>
      </c>
      <c r="I76" s="6">
        <v>0</v>
      </c>
      <c r="J76" s="7">
        <v>0</v>
      </c>
      <c r="K76" s="4">
        <f t="shared" si="6"/>
        <v>0</v>
      </c>
      <c r="L76" s="4">
        <f t="shared" si="4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5">
        <v>0</v>
      </c>
      <c r="G77" s="5">
        <v>0</v>
      </c>
      <c r="H77" s="5">
        <v>0</v>
      </c>
      <c r="I77" s="6">
        <v>0</v>
      </c>
      <c r="J77" s="7">
        <v>0</v>
      </c>
      <c r="K77" s="4">
        <f t="shared" si="6"/>
        <v>0</v>
      </c>
      <c r="L77" s="4">
        <f t="shared" si="4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5">
        <v>0</v>
      </c>
      <c r="G78" s="5">
        <v>0</v>
      </c>
      <c r="H78" s="5">
        <v>0</v>
      </c>
      <c r="I78" s="6">
        <v>0</v>
      </c>
      <c r="J78" s="7">
        <v>0</v>
      </c>
      <c r="K78" s="4">
        <f t="shared" si="6"/>
        <v>0</v>
      </c>
      <c r="L78" s="4">
        <f t="shared" si="4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5">
        <v>0</v>
      </c>
      <c r="G79" s="5">
        <v>0</v>
      </c>
      <c r="H79" s="5">
        <v>0</v>
      </c>
      <c r="I79" s="6">
        <v>0</v>
      </c>
      <c r="J79" s="7">
        <v>0</v>
      </c>
      <c r="K79" s="4">
        <f t="shared" si="6"/>
        <v>0</v>
      </c>
      <c r="L79" s="4">
        <f t="shared" si="4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5">
        <v>0</v>
      </c>
      <c r="G80" s="5">
        <v>0</v>
      </c>
      <c r="H80" s="5">
        <v>0</v>
      </c>
      <c r="I80" s="6">
        <v>0</v>
      </c>
      <c r="J80" s="7">
        <v>0</v>
      </c>
      <c r="K80" s="4">
        <f t="shared" si="6"/>
        <v>0</v>
      </c>
      <c r="L80" s="4">
        <f t="shared" si="4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5">
        <v>0</v>
      </c>
      <c r="G81" s="5">
        <v>0</v>
      </c>
      <c r="H81" s="5">
        <v>0</v>
      </c>
      <c r="I81" s="6">
        <v>0</v>
      </c>
      <c r="J81" s="7">
        <v>0</v>
      </c>
      <c r="K81" s="4">
        <f t="shared" si="6"/>
        <v>0</v>
      </c>
      <c r="L81" s="4">
        <f t="shared" si="4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5">
        <v>0</v>
      </c>
      <c r="G82" s="5">
        <v>0</v>
      </c>
      <c r="H82" s="5">
        <v>0</v>
      </c>
      <c r="I82" s="6">
        <v>0</v>
      </c>
      <c r="J82" s="7">
        <v>0</v>
      </c>
      <c r="K82" s="4">
        <f t="shared" si="6"/>
        <v>0</v>
      </c>
      <c r="L82" s="4">
        <f t="shared" si="4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5">
        <v>0</v>
      </c>
      <c r="G83" s="5">
        <v>0</v>
      </c>
      <c r="H83" s="5">
        <v>0</v>
      </c>
      <c r="I83" s="6">
        <v>0</v>
      </c>
      <c r="J83" s="7">
        <v>0</v>
      </c>
      <c r="K83" s="4">
        <f t="shared" si="6"/>
        <v>0</v>
      </c>
      <c r="L83" s="4">
        <f t="shared" si="4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5">
        <v>0</v>
      </c>
      <c r="G84" s="5">
        <v>0</v>
      </c>
      <c r="H84" s="5">
        <v>0</v>
      </c>
      <c r="I84" s="6">
        <v>0</v>
      </c>
      <c r="J84" s="7">
        <v>0</v>
      </c>
      <c r="K84" s="4">
        <f t="shared" si="6"/>
        <v>0</v>
      </c>
      <c r="L84" s="4">
        <f t="shared" si="4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5">
        <v>0</v>
      </c>
      <c r="G85" s="5">
        <v>0</v>
      </c>
      <c r="H85" s="5">
        <v>0</v>
      </c>
      <c r="I85" s="6">
        <v>0</v>
      </c>
      <c r="J85" s="7">
        <v>0</v>
      </c>
      <c r="K85" s="4">
        <f t="shared" si="6"/>
        <v>0</v>
      </c>
      <c r="L85" s="4">
        <f t="shared" si="4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5">
        <v>0</v>
      </c>
      <c r="G86" s="5">
        <v>0</v>
      </c>
      <c r="H86" s="5">
        <v>0</v>
      </c>
      <c r="I86" s="6">
        <v>0</v>
      </c>
      <c r="J86" s="7">
        <v>0</v>
      </c>
      <c r="K86" s="4">
        <f t="shared" si="6"/>
        <v>0</v>
      </c>
      <c r="L86" s="4">
        <f t="shared" si="4"/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5">
        <v>0</v>
      </c>
      <c r="G87" s="5">
        <v>0</v>
      </c>
      <c r="H87" s="5">
        <v>0</v>
      </c>
      <c r="I87" s="6">
        <v>0</v>
      </c>
      <c r="J87" s="7">
        <v>0</v>
      </c>
      <c r="K87" s="4">
        <f t="shared" si="6"/>
        <v>0</v>
      </c>
      <c r="L87" s="4">
        <f t="shared" si="4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5">
        <v>0</v>
      </c>
      <c r="G88" s="5">
        <v>0</v>
      </c>
      <c r="H88" s="5">
        <v>0</v>
      </c>
      <c r="I88" s="6">
        <v>0</v>
      </c>
      <c r="J88" s="7">
        <v>0</v>
      </c>
      <c r="K88" s="4">
        <f t="shared" si="6"/>
        <v>0</v>
      </c>
      <c r="L88" s="4">
        <f t="shared" si="4"/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5">
        <v>0</v>
      </c>
      <c r="G89" s="5">
        <v>0</v>
      </c>
      <c r="H89" s="5">
        <v>0</v>
      </c>
      <c r="I89" s="6">
        <v>0</v>
      </c>
      <c r="J89" s="7">
        <v>0</v>
      </c>
      <c r="K89" s="4">
        <f t="shared" si="6"/>
        <v>0</v>
      </c>
      <c r="L89" s="4">
        <f t="shared" si="4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5">
        <v>0</v>
      </c>
      <c r="G90" s="5">
        <v>0</v>
      </c>
      <c r="H90" s="5">
        <v>0</v>
      </c>
      <c r="I90" s="6">
        <v>0</v>
      </c>
      <c r="J90" s="7">
        <v>0</v>
      </c>
      <c r="K90" s="4">
        <f t="shared" si="6"/>
        <v>0</v>
      </c>
      <c r="L90" s="4">
        <f t="shared" si="4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5">
        <v>0</v>
      </c>
      <c r="G91" s="5">
        <v>0</v>
      </c>
      <c r="H91" s="5">
        <v>0</v>
      </c>
      <c r="I91" s="6">
        <v>0</v>
      </c>
      <c r="J91" s="7">
        <v>0</v>
      </c>
      <c r="K91" s="4">
        <f t="shared" si="6"/>
        <v>0</v>
      </c>
      <c r="L91" s="4">
        <f t="shared" si="4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5">
        <v>0</v>
      </c>
      <c r="G92" s="5">
        <v>0</v>
      </c>
      <c r="H92" s="5">
        <v>0</v>
      </c>
      <c r="I92" s="6">
        <v>0</v>
      </c>
      <c r="J92" s="7">
        <v>0</v>
      </c>
      <c r="K92" s="4">
        <f t="shared" si="6"/>
        <v>0</v>
      </c>
      <c r="L92" s="4">
        <f t="shared" si="4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5">
        <v>0</v>
      </c>
      <c r="G93" s="5">
        <v>0</v>
      </c>
      <c r="H93" s="5">
        <v>0</v>
      </c>
      <c r="I93" s="6">
        <v>0</v>
      </c>
      <c r="J93" s="7">
        <v>0</v>
      </c>
      <c r="K93" s="4">
        <f t="shared" si="6"/>
        <v>0</v>
      </c>
      <c r="L93" s="4">
        <f t="shared" si="4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5">
        <v>0</v>
      </c>
      <c r="G94" s="5">
        <v>0</v>
      </c>
      <c r="H94" s="5">
        <v>0</v>
      </c>
      <c r="I94" s="6">
        <v>0</v>
      </c>
      <c r="J94" s="7">
        <v>0</v>
      </c>
      <c r="K94" s="4">
        <f t="shared" si="6"/>
        <v>0</v>
      </c>
      <c r="L94" s="4">
        <f t="shared" si="4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5">
        <v>0</v>
      </c>
      <c r="G95" s="5">
        <v>0</v>
      </c>
      <c r="H95" s="5">
        <v>0</v>
      </c>
      <c r="I95" s="6">
        <v>0</v>
      </c>
      <c r="J95" s="7">
        <v>0</v>
      </c>
      <c r="K95" s="4">
        <f t="shared" si="6"/>
        <v>0</v>
      </c>
      <c r="L95" s="4">
        <f t="shared" si="4"/>
        <v>0</v>
      </c>
      <c r="M95" s="31">
        <v>0</v>
      </c>
      <c r="N95" s="32">
        <v>0</v>
      </c>
      <c r="O95" s="33">
        <v>0</v>
      </c>
      <c r="P95" s="2"/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5">
        <v>0</v>
      </c>
      <c r="G96" s="5">
        <v>0</v>
      </c>
      <c r="H96" s="5">
        <v>0</v>
      </c>
      <c r="I96" s="6">
        <v>0</v>
      </c>
      <c r="J96" s="7">
        <v>0</v>
      </c>
      <c r="K96" s="4">
        <f t="shared" si="6"/>
        <v>0</v>
      </c>
      <c r="L96" s="4">
        <f t="shared" si="4"/>
        <v>0</v>
      </c>
      <c r="M96" s="31">
        <v>0</v>
      </c>
      <c r="N96" s="32">
        <v>0</v>
      </c>
      <c r="O96" s="33">
        <v>0</v>
      </c>
      <c r="P96" s="2"/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5">
        <v>0</v>
      </c>
      <c r="G97" s="5">
        <v>0</v>
      </c>
      <c r="H97" s="5">
        <v>0</v>
      </c>
      <c r="I97" s="6">
        <v>0</v>
      </c>
      <c r="J97" s="7">
        <v>0</v>
      </c>
      <c r="K97" s="4">
        <f t="shared" si="6"/>
        <v>0</v>
      </c>
      <c r="L97" s="4">
        <f t="shared" si="4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5">
        <v>0</v>
      </c>
      <c r="G98" s="5">
        <v>0</v>
      </c>
      <c r="H98" s="5">
        <v>0</v>
      </c>
      <c r="I98" s="6">
        <v>0</v>
      </c>
      <c r="J98" s="7">
        <v>0</v>
      </c>
      <c r="K98" s="4">
        <f t="shared" si="6"/>
        <v>0</v>
      </c>
      <c r="L98" s="4">
        <f t="shared" si="4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5">
        <v>0</v>
      </c>
      <c r="G99" s="5">
        <v>0</v>
      </c>
      <c r="H99" s="5">
        <v>0</v>
      </c>
      <c r="I99" s="6">
        <v>0</v>
      </c>
      <c r="J99" s="7">
        <v>0</v>
      </c>
      <c r="K99" s="4">
        <f t="shared" si="6"/>
        <v>0</v>
      </c>
      <c r="L99" s="4">
        <f t="shared" si="4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17"/>
      <c r="D100" s="15">
        <f t="shared" si="5"/>
        <v>0</v>
      </c>
      <c r="E100" s="5">
        <v>0</v>
      </c>
      <c r="F100" s="5">
        <v>0</v>
      </c>
      <c r="G100" s="5">
        <v>0</v>
      </c>
      <c r="H100" s="5">
        <v>0</v>
      </c>
      <c r="I100" s="6">
        <v>0</v>
      </c>
      <c r="J100" s="7">
        <v>0</v>
      </c>
      <c r="K100" s="4">
        <f t="shared" si="6"/>
        <v>0</v>
      </c>
      <c r="L100" s="4">
        <f t="shared" si="4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 t="shared" si="5"/>
        <v>0</v>
      </c>
      <c r="E101" s="5">
        <v>0</v>
      </c>
      <c r="F101" s="5">
        <v>0</v>
      </c>
      <c r="G101" s="5">
        <v>0</v>
      </c>
      <c r="H101" s="5">
        <v>0</v>
      </c>
      <c r="I101" s="6">
        <v>0</v>
      </c>
      <c r="J101" s="7">
        <v>0</v>
      </c>
      <c r="K101" s="4">
        <f t="shared" si="6"/>
        <v>0</v>
      </c>
      <c r="L101" s="4">
        <f t="shared" si="4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 t="shared" si="5"/>
        <v>0</v>
      </c>
      <c r="E102" s="5">
        <v>0</v>
      </c>
      <c r="F102" s="5">
        <v>0</v>
      </c>
      <c r="G102" s="5">
        <v>0</v>
      </c>
      <c r="H102" s="5">
        <v>0</v>
      </c>
      <c r="I102" s="6">
        <v>0</v>
      </c>
      <c r="J102" s="7">
        <v>0</v>
      </c>
      <c r="K102" s="4">
        <f t="shared" si="6"/>
        <v>0</v>
      </c>
      <c r="L102" s="4">
        <f t="shared" si="4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9"/>
      <c r="D103" s="15">
        <f t="shared" si="5"/>
        <v>0</v>
      </c>
      <c r="E103" s="5">
        <v>0</v>
      </c>
      <c r="F103" s="5">
        <v>0</v>
      </c>
      <c r="G103" s="5">
        <v>0</v>
      </c>
      <c r="H103" s="5">
        <v>0</v>
      </c>
      <c r="I103" s="6">
        <v>0</v>
      </c>
      <c r="J103" s="7">
        <v>0</v>
      </c>
      <c r="K103" s="4">
        <f t="shared" si="6"/>
        <v>0</v>
      </c>
      <c r="L103" s="4">
        <f t="shared" si="4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9"/>
      <c r="D104" s="15">
        <f t="shared" si="5"/>
        <v>0</v>
      </c>
      <c r="E104" s="5">
        <v>0</v>
      </c>
      <c r="F104" s="5">
        <v>0</v>
      </c>
      <c r="G104" s="5">
        <v>0</v>
      </c>
      <c r="H104" s="5">
        <v>0</v>
      </c>
      <c r="I104" s="6">
        <v>0</v>
      </c>
      <c r="J104" s="7">
        <v>0</v>
      </c>
      <c r="K104" s="4">
        <f t="shared" si="6"/>
        <v>0</v>
      </c>
      <c r="L104" s="4">
        <f t="shared" si="4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>
        <v>120</v>
      </c>
      <c r="C105" s="18"/>
      <c r="D105" s="15">
        <f t="shared" si="5"/>
        <v>0</v>
      </c>
      <c r="E105" s="5">
        <v>0</v>
      </c>
      <c r="F105" s="5">
        <v>0</v>
      </c>
      <c r="G105" s="5">
        <v>0</v>
      </c>
      <c r="H105" s="5">
        <v>0</v>
      </c>
      <c r="I105" s="6">
        <v>0</v>
      </c>
      <c r="J105" s="7">
        <v>0</v>
      </c>
      <c r="K105" s="4">
        <f t="shared" si="6"/>
        <v>0</v>
      </c>
      <c r="L105" s="4">
        <f t="shared" si="4"/>
        <v>0</v>
      </c>
      <c r="M105" s="31">
        <v>0</v>
      </c>
      <c r="N105" s="32">
        <v>0</v>
      </c>
      <c r="O105" s="33">
        <v>0</v>
      </c>
      <c r="P105" s="2"/>
    </row>
    <row r="106" spans="2:16" ht="13.8" x14ac:dyDescent="0.2">
      <c r="B106" s="14">
        <v>121</v>
      </c>
      <c r="C106" s="9"/>
      <c r="D106" s="15">
        <f t="shared" si="5"/>
        <v>0</v>
      </c>
      <c r="E106" s="5">
        <v>0</v>
      </c>
      <c r="F106" s="5">
        <v>0</v>
      </c>
      <c r="G106" s="5">
        <v>0</v>
      </c>
      <c r="H106" s="5">
        <v>0</v>
      </c>
      <c r="I106" s="6">
        <v>0</v>
      </c>
      <c r="J106" s="7">
        <v>0</v>
      </c>
      <c r="K106" s="4">
        <f t="shared" si="6"/>
        <v>0</v>
      </c>
      <c r="L106" s="4">
        <f t="shared" si="4"/>
        <v>0</v>
      </c>
      <c r="M106" s="31">
        <v>0</v>
      </c>
      <c r="N106" s="32">
        <v>0</v>
      </c>
      <c r="O106" s="33">
        <v>0</v>
      </c>
      <c r="P106" s="2"/>
    </row>
    <row r="107" spans="2:16" ht="13.8" x14ac:dyDescent="0.2">
      <c r="B107" s="14">
        <v>122</v>
      </c>
      <c r="C107" s="9"/>
      <c r="D107" s="15">
        <f t="shared" si="5"/>
        <v>0</v>
      </c>
      <c r="E107" s="5">
        <v>0</v>
      </c>
      <c r="F107" s="5">
        <v>0</v>
      </c>
      <c r="G107" s="5">
        <v>0</v>
      </c>
      <c r="H107" s="5">
        <v>0</v>
      </c>
      <c r="I107" s="6">
        <v>0</v>
      </c>
      <c r="J107" s="7">
        <v>0</v>
      </c>
      <c r="K107" s="4">
        <f t="shared" si="6"/>
        <v>0</v>
      </c>
      <c r="L107" s="4">
        <f t="shared" si="4"/>
        <v>0</v>
      </c>
      <c r="M107" s="31">
        <v>0</v>
      </c>
      <c r="N107" s="32">
        <v>0</v>
      </c>
      <c r="O107" s="33">
        <v>0</v>
      </c>
      <c r="P107" s="2"/>
    </row>
    <row r="108" spans="2:16" ht="13.8" x14ac:dyDescent="0.2">
      <c r="B108" s="14">
        <v>123</v>
      </c>
      <c r="C108" s="9"/>
      <c r="D108" s="15">
        <f t="shared" si="5"/>
        <v>0</v>
      </c>
      <c r="E108" s="5">
        <v>0</v>
      </c>
      <c r="F108" s="5">
        <v>0</v>
      </c>
      <c r="G108" s="5">
        <v>0</v>
      </c>
      <c r="H108" s="5">
        <v>0</v>
      </c>
      <c r="I108" s="6">
        <v>0</v>
      </c>
      <c r="J108" s="7">
        <v>0</v>
      </c>
      <c r="K108" s="4">
        <f t="shared" si="6"/>
        <v>0</v>
      </c>
      <c r="L108" s="4">
        <f t="shared" si="4"/>
        <v>0</v>
      </c>
      <c r="M108" s="31">
        <v>0</v>
      </c>
      <c r="N108" s="32">
        <v>0</v>
      </c>
      <c r="O108" s="33">
        <v>0</v>
      </c>
      <c r="P108" s="2"/>
    </row>
    <row r="109" spans="2:16" ht="13.8" x14ac:dyDescent="0.2">
      <c r="B109" s="14" t="s">
        <v>114</v>
      </c>
      <c r="C109" s="9"/>
      <c r="D109" s="15">
        <f t="shared" si="5"/>
        <v>0</v>
      </c>
      <c r="E109" s="5">
        <v>0</v>
      </c>
      <c r="F109" s="5">
        <v>0</v>
      </c>
      <c r="G109" s="5">
        <v>0</v>
      </c>
      <c r="H109" s="5">
        <v>0</v>
      </c>
      <c r="I109" s="6">
        <v>0</v>
      </c>
      <c r="J109" s="7">
        <v>0</v>
      </c>
      <c r="K109" s="4">
        <f t="shared" si="6"/>
        <v>0</v>
      </c>
      <c r="L109" s="4">
        <f t="shared" si="4"/>
        <v>0</v>
      </c>
      <c r="M109" s="31">
        <v>0</v>
      </c>
      <c r="N109" s="32">
        <v>0</v>
      </c>
      <c r="O109" s="33">
        <v>0</v>
      </c>
      <c r="P109" s="2"/>
    </row>
    <row r="110" spans="2:16" ht="13.8" x14ac:dyDescent="0.2">
      <c r="B110" s="14" t="s">
        <v>115</v>
      </c>
      <c r="C110" s="9"/>
      <c r="D110" s="15">
        <f t="shared" si="5"/>
        <v>0</v>
      </c>
      <c r="E110" s="5">
        <v>0</v>
      </c>
      <c r="F110" s="5">
        <v>0</v>
      </c>
      <c r="G110" s="5">
        <v>0</v>
      </c>
      <c r="H110" s="5">
        <v>0</v>
      </c>
      <c r="I110" s="6">
        <v>0</v>
      </c>
      <c r="J110" s="7">
        <v>0</v>
      </c>
      <c r="K110" s="4">
        <f t="shared" si="6"/>
        <v>0</v>
      </c>
      <c r="L110" s="4">
        <f t="shared" si="4"/>
        <v>0</v>
      </c>
      <c r="M110" s="31">
        <v>0</v>
      </c>
      <c r="N110" s="32">
        <v>0</v>
      </c>
      <c r="O110" s="33">
        <v>0</v>
      </c>
      <c r="P110" s="2"/>
    </row>
    <row r="111" spans="2:16" ht="13.8" x14ac:dyDescent="0.2">
      <c r="B111" s="14"/>
      <c r="C111" s="9"/>
      <c r="D111" s="15">
        <f t="shared" si="5"/>
        <v>0</v>
      </c>
      <c r="E111" s="5">
        <v>0</v>
      </c>
      <c r="F111" s="5">
        <v>0</v>
      </c>
      <c r="G111" s="5">
        <v>0</v>
      </c>
      <c r="H111" s="5">
        <v>0</v>
      </c>
      <c r="I111" s="6">
        <v>0</v>
      </c>
      <c r="J111" s="7">
        <v>0</v>
      </c>
      <c r="K111" s="4">
        <f t="shared" si="6"/>
        <v>0</v>
      </c>
      <c r="L111" s="4">
        <f t="shared" si="4"/>
        <v>0</v>
      </c>
      <c r="M111" s="31">
        <v>0</v>
      </c>
      <c r="N111" s="32">
        <v>0</v>
      </c>
      <c r="O111" s="33">
        <v>0</v>
      </c>
      <c r="P111" s="2"/>
    </row>
    <row r="112" spans="2:16" ht="13.8" x14ac:dyDescent="0.2">
      <c r="B112" s="14"/>
      <c r="C112" s="9"/>
      <c r="D112" s="15">
        <f t="shared" si="5"/>
        <v>0</v>
      </c>
      <c r="E112" s="5">
        <v>0</v>
      </c>
      <c r="F112" s="5">
        <v>0</v>
      </c>
      <c r="G112" s="5">
        <v>0</v>
      </c>
      <c r="H112" s="5">
        <v>0</v>
      </c>
      <c r="I112" s="6">
        <v>0</v>
      </c>
      <c r="J112" s="7">
        <v>0</v>
      </c>
      <c r="K112" s="4">
        <f t="shared" si="6"/>
        <v>0</v>
      </c>
      <c r="L112" s="4">
        <f t="shared" si="4"/>
        <v>0</v>
      </c>
      <c r="M112" s="31">
        <v>0</v>
      </c>
      <c r="N112" s="32">
        <v>0</v>
      </c>
      <c r="O112" s="33">
        <v>0</v>
      </c>
      <c r="P112" s="2"/>
    </row>
    <row r="113" spans="2:16" ht="13.8" x14ac:dyDescent="0.2">
      <c r="B113" s="14"/>
      <c r="C113" s="9"/>
      <c r="D113" s="15">
        <f t="shared" si="5"/>
        <v>0</v>
      </c>
      <c r="E113" s="5">
        <v>0</v>
      </c>
      <c r="F113" s="5">
        <v>0</v>
      </c>
      <c r="G113" s="5">
        <v>0</v>
      </c>
      <c r="H113" s="5">
        <v>0</v>
      </c>
      <c r="I113" s="6">
        <v>0</v>
      </c>
      <c r="J113" s="7">
        <v>0</v>
      </c>
      <c r="K113" s="4">
        <f t="shared" si="6"/>
        <v>0</v>
      </c>
      <c r="L113" s="4">
        <f t="shared" si="4"/>
        <v>0</v>
      </c>
      <c r="M113" s="31">
        <v>0</v>
      </c>
      <c r="N113" s="32">
        <v>0</v>
      </c>
      <c r="O113" s="33">
        <v>0</v>
      </c>
      <c r="P113" s="2"/>
    </row>
    <row r="114" spans="2:16" ht="13.8" x14ac:dyDescent="0.2">
      <c r="B114" s="14"/>
      <c r="C114" s="9"/>
      <c r="D114" s="15">
        <f t="shared" si="5"/>
        <v>0</v>
      </c>
      <c r="E114" s="5">
        <v>0</v>
      </c>
      <c r="F114" s="5">
        <v>0</v>
      </c>
      <c r="G114" s="5">
        <v>0</v>
      </c>
      <c r="H114" s="5">
        <v>0</v>
      </c>
      <c r="I114" s="6">
        <v>0</v>
      </c>
      <c r="J114" s="7">
        <v>0</v>
      </c>
      <c r="K114" s="4">
        <f t="shared" si="6"/>
        <v>0</v>
      </c>
      <c r="L114" s="4">
        <f t="shared" si="4"/>
        <v>0</v>
      </c>
      <c r="M114" s="31">
        <v>0</v>
      </c>
      <c r="N114" s="32">
        <v>0</v>
      </c>
      <c r="O114" s="33">
        <v>0</v>
      </c>
      <c r="P114" s="2"/>
    </row>
    <row r="115" spans="2:16" ht="13.8" x14ac:dyDescent="0.2">
      <c r="B115" s="14"/>
      <c r="C115" s="9"/>
      <c r="D115" s="15">
        <f t="shared" si="5"/>
        <v>0</v>
      </c>
      <c r="E115" s="5">
        <v>0</v>
      </c>
      <c r="F115" s="5">
        <v>0</v>
      </c>
      <c r="G115" s="5">
        <v>0</v>
      </c>
      <c r="H115" s="5">
        <v>0</v>
      </c>
      <c r="I115" s="6">
        <v>0</v>
      </c>
      <c r="J115" s="7">
        <v>0</v>
      </c>
      <c r="K115" s="4">
        <f t="shared" si="6"/>
        <v>0</v>
      </c>
      <c r="L115" s="4">
        <f t="shared" si="4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5"/>
        <v>0</v>
      </c>
      <c r="E116" s="5">
        <v>0</v>
      </c>
      <c r="F116" s="5">
        <v>0</v>
      </c>
      <c r="G116" s="5">
        <v>0</v>
      </c>
      <c r="H116" s="5">
        <v>0</v>
      </c>
      <c r="I116" s="6">
        <v>0</v>
      </c>
      <c r="J116" s="7">
        <v>0</v>
      </c>
      <c r="K116" s="4">
        <f t="shared" si="6"/>
        <v>0</v>
      </c>
      <c r="L116" s="4">
        <f t="shared" si="4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5"/>
        <v>0</v>
      </c>
      <c r="E117" s="5">
        <v>0</v>
      </c>
      <c r="F117" s="5">
        <v>0</v>
      </c>
      <c r="G117" s="5">
        <v>0</v>
      </c>
      <c r="H117" s="5">
        <v>0</v>
      </c>
      <c r="I117" s="6">
        <v>0</v>
      </c>
      <c r="J117" s="7">
        <v>0</v>
      </c>
      <c r="K117" s="4">
        <f t="shared" si="6"/>
        <v>0</v>
      </c>
      <c r="L117" s="4">
        <f t="shared" si="4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5"/>
        <v>0</v>
      </c>
      <c r="E118" s="5">
        <v>0</v>
      </c>
      <c r="F118" s="5">
        <v>0</v>
      </c>
      <c r="G118" s="5">
        <v>0</v>
      </c>
      <c r="H118" s="5">
        <v>0</v>
      </c>
      <c r="I118" s="6">
        <v>0</v>
      </c>
      <c r="J118" s="7">
        <v>0</v>
      </c>
      <c r="K118" s="4">
        <f t="shared" si="6"/>
        <v>0</v>
      </c>
      <c r="L118" s="4">
        <f t="shared" si="4"/>
        <v>0</v>
      </c>
      <c r="M118" s="31">
        <v>0</v>
      </c>
      <c r="N118" s="32">
        <v>0</v>
      </c>
      <c r="O118" s="33">
        <v>0</v>
      </c>
      <c r="P118" s="2"/>
    </row>
    <row r="119" spans="2:16" ht="13.8" x14ac:dyDescent="0.2">
      <c r="B119" s="14"/>
      <c r="C119" s="9"/>
      <c r="D119" s="15">
        <f t="shared" si="5"/>
        <v>0</v>
      </c>
      <c r="E119" s="5">
        <v>0</v>
      </c>
      <c r="F119" s="5">
        <v>0</v>
      </c>
      <c r="G119" s="5">
        <v>0</v>
      </c>
      <c r="H119" s="5">
        <v>0</v>
      </c>
      <c r="I119" s="6">
        <v>0</v>
      </c>
      <c r="J119" s="7">
        <v>0</v>
      </c>
      <c r="K119" s="4">
        <f t="shared" si="6"/>
        <v>0</v>
      </c>
      <c r="L119" s="4">
        <f t="shared" si="4"/>
        <v>0</v>
      </c>
      <c r="M119" s="31">
        <v>0</v>
      </c>
      <c r="N119" s="32">
        <v>0</v>
      </c>
      <c r="O119" s="33">
        <v>0</v>
      </c>
      <c r="P119" s="2"/>
    </row>
    <row r="120" spans="2:16" ht="13.8" x14ac:dyDescent="0.2">
      <c r="B120" s="14"/>
      <c r="C120" s="9"/>
      <c r="D120" s="15">
        <f t="shared" si="5"/>
        <v>0</v>
      </c>
      <c r="E120" s="5">
        <v>0</v>
      </c>
      <c r="F120" s="5">
        <v>0</v>
      </c>
      <c r="G120" s="5">
        <v>0</v>
      </c>
      <c r="H120" s="5">
        <v>0</v>
      </c>
      <c r="I120" s="6">
        <v>0</v>
      </c>
      <c r="J120" s="7">
        <v>0</v>
      </c>
      <c r="K120" s="4">
        <f t="shared" si="6"/>
        <v>0</v>
      </c>
      <c r="L120" s="4">
        <f t="shared" si="4"/>
        <v>0</v>
      </c>
      <c r="M120" s="31">
        <v>0</v>
      </c>
      <c r="N120" s="32">
        <v>0</v>
      </c>
      <c r="O120" s="33">
        <v>0</v>
      </c>
      <c r="P120" s="2"/>
    </row>
    <row r="121" spans="2:16" ht="13.8" x14ac:dyDescent="0.2">
      <c r="B121" s="14"/>
      <c r="C121" s="9"/>
      <c r="D121" s="15">
        <f t="shared" si="5"/>
        <v>0</v>
      </c>
      <c r="E121" s="5">
        <v>0</v>
      </c>
      <c r="F121" s="5">
        <v>0</v>
      </c>
      <c r="G121" s="5">
        <v>0</v>
      </c>
      <c r="H121" s="5">
        <v>0</v>
      </c>
      <c r="I121" s="6">
        <v>0</v>
      </c>
      <c r="J121" s="7">
        <v>0</v>
      </c>
      <c r="K121" s="4">
        <f t="shared" si="6"/>
        <v>0</v>
      </c>
      <c r="L121" s="4">
        <f t="shared" si="4"/>
        <v>0</v>
      </c>
      <c r="M121" s="31">
        <v>0</v>
      </c>
      <c r="N121" s="32">
        <v>0</v>
      </c>
      <c r="O121" s="33">
        <v>0</v>
      </c>
      <c r="P121" s="2"/>
    </row>
    <row r="122" spans="2:16" ht="13.8" x14ac:dyDescent="0.2">
      <c r="B122" s="14"/>
      <c r="C122" s="9"/>
      <c r="D122" s="15">
        <f t="shared" si="5"/>
        <v>0</v>
      </c>
      <c r="E122" s="5">
        <v>0</v>
      </c>
      <c r="F122" s="5">
        <v>0</v>
      </c>
      <c r="G122" s="5">
        <v>0</v>
      </c>
      <c r="H122" s="5">
        <v>0</v>
      </c>
      <c r="I122" s="6">
        <v>0</v>
      </c>
      <c r="J122" s="7">
        <v>0</v>
      </c>
      <c r="K122" s="4">
        <f t="shared" si="6"/>
        <v>0</v>
      </c>
      <c r="L122" s="4">
        <f t="shared" si="4"/>
        <v>0</v>
      </c>
      <c r="M122" s="31">
        <v>0</v>
      </c>
      <c r="N122" s="32">
        <v>0</v>
      </c>
      <c r="O122" s="33">
        <v>0</v>
      </c>
      <c r="P122" s="2"/>
    </row>
    <row r="123" spans="2:16" ht="13.8" x14ac:dyDescent="0.2">
      <c r="B123" s="14"/>
      <c r="C123" s="9"/>
      <c r="D123" s="15">
        <f t="shared" si="5"/>
        <v>0</v>
      </c>
      <c r="E123" s="5">
        <v>0</v>
      </c>
      <c r="F123" s="5">
        <v>0</v>
      </c>
      <c r="G123" s="5">
        <v>0</v>
      </c>
      <c r="H123" s="5">
        <v>0</v>
      </c>
      <c r="I123" s="6">
        <v>0</v>
      </c>
      <c r="J123" s="7">
        <v>0</v>
      </c>
      <c r="K123" s="4">
        <f t="shared" si="6"/>
        <v>0</v>
      </c>
      <c r="L123" s="4">
        <f t="shared" si="4"/>
        <v>0</v>
      </c>
      <c r="M123" s="31">
        <v>0</v>
      </c>
      <c r="N123" s="32">
        <v>0</v>
      </c>
      <c r="O123" s="33">
        <v>0</v>
      </c>
      <c r="P123" s="2"/>
    </row>
    <row r="124" spans="2:16" ht="13.8" x14ac:dyDescent="0.2">
      <c r="B124" s="14"/>
      <c r="C124" s="9"/>
      <c r="D124" s="15">
        <f t="shared" si="5"/>
        <v>0</v>
      </c>
      <c r="E124" s="5">
        <v>0</v>
      </c>
      <c r="F124" s="5">
        <v>0</v>
      </c>
      <c r="G124" s="5">
        <v>0</v>
      </c>
      <c r="H124" s="5">
        <v>0</v>
      </c>
      <c r="I124" s="6">
        <v>0</v>
      </c>
      <c r="J124" s="7">
        <v>0</v>
      </c>
      <c r="K124" s="4">
        <f t="shared" si="6"/>
        <v>0</v>
      </c>
      <c r="L124" s="4">
        <f t="shared" si="4"/>
        <v>0</v>
      </c>
      <c r="M124" s="31">
        <v>0</v>
      </c>
      <c r="N124" s="32">
        <v>0</v>
      </c>
      <c r="O124" s="33">
        <v>0</v>
      </c>
      <c r="P124" s="2"/>
    </row>
    <row r="125" spans="2:16" ht="13.8" x14ac:dyDescent="0.2">
      <c r="B125" s="14"/>
      <c r="C125" s="9"/>
      <c r="D125" s="15">
        <f t="shared" si="5"/>
        <v>0</v>
      </c>
      <c r="E125" s="5">
        <v>0</v>
      </c>
      <c r="F125" s="5">
        <v>0</v>
      </c>
      <c r="G125" s="5">
        <v>0</v>
      </c>
      <c r="H125" s="5">
        <v>0</v>
      </c>
      <c r="I125" s="6">
        <v>0</v>
      </c>
      <c r="J125" s="7">
        <v>0</v>
      </c>
      <c r="K125" s="4">
        <f t="shared" si="6"/>
        <v>0</v>
      </c>
      <c r="L125" s="4">
        <f t="shared" si="4"/>
        <v>0</v>
      </c>
      <c r="M125" s="31">
        <v>0</v>
      </c>
      <c r="N125" s="32">
        <v>0</v>
      </c>
      <c r="O125" s="33">
        <v>0</v>
      </c>
      <c r="P125" s="2"/>
    </row>
    <row r="126" spans="2:16" ht="13.8" x14ac:dyDescent="0.2">
      <c r="B126" s="14"/>
      <c r="C126" s="9"/>
      <c r="D126" s="15">
        <f t="shared" si="5"/>
        <v>0</v>
      </c>
      <c r="E126" s="5">
        <v>0</v>
      </c>
      <c r="F126" s="5">
        <v>0</v>
      </c>
      <c r="G126" s="5">
        <v>0</v>
      </c>
      <c r="H126" s="5">
        <v>0</v>
      </c>
      <c r="I126" s="6">
        <v>0</v>
      </c>
      <c r="J126" s="7">
        <v>0</v>
      </c>
      <c r="K126" s="4">
        <f t="shared" si="6"/>
        <v>0</v>
      </c>
      <c r="L126" s="4">
        <f t="shared" si="4"/>
        <v>0</v>
      </c>
      <c r="M126" s="31">
        <v>0</v>
      </c>
      <c r="N126" s="32">
        <v>0</v>
      </c>
      <c r="O126" s="33">
        <v>0</v>
      </c>
      <c r="P126" s="2"/>
    </row>
    <row r="127" spans="2:16" ht="13.8" x14ac:dyDescent="0.2">
      <c r="B127" s="14"/>
      <c r="C127" s="9"/>
      <c r="D127" s="15">
        <f t="shared" si="5"/>
        <v>0</v>
      </c>
      <c r="E127" s="5">
        <v>0</v>
      </c>
      <c r="F127" s="5">
        <v>0</v>
      </c>
      <c r="G127" s="5">
        <v>0</v>
      </c>
      <c r="H127" s="5">
        <v>0</v>
      </c>
      <c r="I127" s="6">
        <v>0</v>
      </c>
      <c r="J127" s="7">
        <v>0</v>
      </c>
      <c r="K127" s="4">
        <f t="shared" si="6"/>
        <v>0</v>
      </c>
      <c r="L127" s="4">
        <f t="shared" si="4"/>
        <v>0</v>
      </c>
      <c r="M127" s="31">
        <v>0</v>
      </c>
      <c r="N127" s="32">
        <v>0</v>
      </c>
      <c r="O127" s="33">
        <v>0</v>
      </c>
      <c r="P127" s="2"/>
    </row>
    <row r="128" spans="2:16" ht="13.8" x14ac:dyDescent="0.2">
      <c r="B128" s="14"/>
      <c r="C128" s="9"/>
      <c r="D128" s="15">
        <f t="shared" si="5"/>
        <v>0</v>
      </c>
      <c r="E128" s="5">
        <v>0</v>
      </c>
      <c r="F128" s="5">
        <v>0</v>
      </c>
      <c r="G128" s="5">
        <v>0</v>
      </c>
      <c r="H128" s="5">
        <v>0</v>
      </c>
      <c r="I128" s="6">
        <v>0</v>
      </c>
      <c r="J128" s="7">
        <v>0</v>
      </c>
      <c r="K128" s="4">
        <f t="shared" si="6"/>
        <v>0</v>
      </c>
      <c r="L128" s="4">
        <f t="shared" si="4"/>
        <v>0</v>
      </c>
      <c r="M128" s="31">
        <v>0</v>
      </c>
      <c r="N128" s="32">
        <v>0</v>
      </c>
      <c r="O128" s="33">
        <v>0</v>
      </c>
      <c r="P128" s="2"/>
    </row>
    <row r="129" spans="2:16" ht="13.8" x14ac:dyDescent="0.2">
      <c r="B129" s="14"/>
      <c r="C129" s="9"/>
      <c r="D129" s="15">
        <f t="shared" si="5"/>
        <v>0</v>
      </c>
      <c r="E129" s="5">
        <v>0</v>
      </c>
      <c r="F129" s="5">
        <v>0</v>
      </c>
      <c r="G129" s="5">
        <v>0</v>
      </c>
      <c r="H129" s="5">
        <v>0</v>
      </c>
      <c r="I129" s="6">
        <v>0</v>
      </c>
      <c r="J129" s="7">
        <v>0</v>
      </c>
      <c r="K129" s="4">
        <f t="shared" si="6"/>
        <v>0</v>
      </c>
      <c r="L129" s="4">
        <f t="shared" si="4"/>
        <v>0</v>
      </c>
      <c r="M129" s="31">
        <v>0</v>
      </c>
      <c r="N129" s="32">
        <v>0</v>
      </c>
      <c r="O129" s="33">
        <v>0</v>
      </c>
      <c r="P129" s="2"/>
    </row>
    <row r="130" spans="2:16" ht="13.8" x14ac:dyDescent="0.2">
      <c r="B130" s="14"/>
      <c r="C130" s="9"/>
      <c r="D130" s="15">
        <f t="shared" si="5"/>
        <v>0</v>
      </c>
      <c r="E130" s="5">
        <v>0</v>
      </c>
      <c r="F130" s="5">
        <v>0</v>
      </c>
      <c r="G130" s="5">
        <v>0</v>
      </c>
      <c r="H130" s="5">
        <v>0</v>
      </c>
      <c r="I130" s="6">
        <v>0</v>
      </c>
      <c r="J130" s="7">
        <v>0</v>
      </c>
      <c r="K130" s="4">
        <f t="shared" si="6"/>
        <v>0</v>
      </c>
      <c r="L130" s="4">
        <f t="shared" si="4"/>
        <v>0</v>
      </c>
      <c r="M130" s="31">
        <v>0</v>
      </c>
      <c r="N130" s="32">
        <v>0</v>
      </c>
      <c r="O130" s="33">
        <v>0</v>
      </c>
      <c r="P130" s="2"/>
    </row>
    <row r="131" spans="2:16" ht="13.8" x14ac:dyDescent="0.2">
      <c r="B131" s="14"/>
      <c r="C131" s="9"/>
      <c r="D131" s="15">
        <f t="shared" si="5"/>
        <v>0</v>
      </c>
      <c r="E131" s="5">
        <v>0</v>
      </c>
      <c r="F131" s="5">
        <v>0</v>
      </c>
      <c r="G131" s="5">
        <v>0</v>
      </c>
      <c r="H131" s="5">
        <v>0</v>
      </c>
      <c r="I131" s="6">
        <v>0</v>
      </c>
      <c r="J131" s="7">
        <v>0</v>
      </c>
      <c r="K131" s="4">
        <f t="shared" si="6"/>
        <v>0</v>
      </c>
      <c r="L131" s="4">
        <f>IFERROR(SUM(SUM(((F131-G131-H131-I131)*1),G131*2,H131*3,I131*4)/E131,((F131+M131+N131)/(E131+M131+N131+O131))),K131)</f>
        <v>0</v>
      </c>
      <c r="M131" s="31">
        <v>0</v>
      </c>
      <c r="N131" s="32">
        <v>0</v>
      </c>
      <c r="O131" s="33">
        <v>0</v>
      </c>
      <c r="P131" s="2"/>
    </row>
    <row r="132" spans="2:16" ht="13.8" x14ac:dyDescent="0.2">
      <c r="B132" s="14"/>
      <c r="C132" s="9"/>
      <c r="D132" s="15">
        <f t="shared" si="5"/>
        <v>0</v>
      </c>
      <c r="E132" s="5">
        <v>0</v>
      </c>
      <c r="F132" s="5">
        <v>0</v>
      </c>
      <c r="G132" s="5">
        <v>0</v>
      </c>
      <c r="H132" s="5">
        <v>0</v>
      </c>
      <c r="I132" s="6">
        <v>0</v>
      </c>
      <c r="J132" s="7">
        <v>0</v>
      </c>
      <c r="K132" s="4">
        <f t="shared" si="6"/>
        <v>0</v>
      </c>
      <c r="L132" s="4">
        <f>IFERROR(SUM(SUM(((F132-G132-H132-I132)*1),G132*2,H132*3,I132*4)/E132,((F132+M132+N132)/(E132+M132+N132+O132))),K132)</f>
        <v>0</v>
      </c>
      <c r="M132" s="31">
        <v>0</v>
      </c>
      <c r="N132" s="32">
        <v>0</v>
      </c>
      <c r="O132" s="33">
        <v>0</v>
      </c>
      <c r="P132" s="2"/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5">
        <v>0</v>
      </c>
      <c r="G133" s="5">
        <v>0</v>
      </c>
      <c r="H133" s="5">
        <v>0</v>
      </c>
      <c r="I133" s="6">
        <v>0</v>
      </c>
      <c r="J133" s="7">
        <v>0</v>
      </c>
      <c r="K133" s="4">
        <f>IFERROR(IF((F133+M133+N133)/(E133+M133+N133+O133)=1,"1.00",(F133+M133+N133)/(E133+M133+N133+O133)),0)</f>
        <v>0</v>
      </c>
      <c r="L133" s="4">
        <f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/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5">
        <v>0</v>
      </c>
      <c r="G134" s="5">
        <v>0</v>
      </c>
      <c r="H134" s="5">
        <v>0</v>
      </c>
      <c r="I134" s="6">
        <v>0</v>
      </c>
      <c r="J134" s="7">
        <v>0</v>
      </c>
      <c r="K134" s="4">
        <f>IFERROR(IF((F134+M134+N134)/(E134+M134+N134+O134)=1,"1.00",(F134+M134+N134)/(E134+M134+N134+O134)),0)</f>
        <v>0</v>
      </c>
      <c r="L134" s="4">
        <f>IFERROR(SUM(SUM(((F134-G134-H134-I134)*1),G134*2,H134*3,I134*4)/E134,((F134+M134+N134)/(E134+M134+N134+O134))),K134)</f>
        <v>0</v>
      </c>
      <c r="M134" s="31">
        <v>0</v>
      </c>
      <c r="N134" s="32">
        <v>0</v>
      </c>
      <c r="O134" s="33">
        <v>0</v>
      </c>
      <c r="P134" s="2"/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9DA2-0137-4C54-9B78-B406716C7918}">
  <sheetPr codeName="Sheet16"/>
  <dimension ref="B2:P134"/>
  <sheetViews>
    <sheetView zoomScale="145" zoomScaleNormal="145" workbookViewId="0">
      <pane ySplit="3" topLeftCell="A4" activePane="bottomLeft" state="frozen"/>
      <selection pane="bottomLef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9" max="19" width="17.88671875" customWidth="1"/>
  </cols>
  <sheetData>
    <row r="2" spans="2:16" ht="13.8" customHeight="1" x14ac:dyDescent="0.2">
      <c r="B2" s="89"/>
      <c r="C2" s="89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0"/>
    </row>
    <row r="3" spans="2:16" ht="13.8" x14ac:dyDescent="0.2">
      <c r="B3" s="8" t="s">
        <v>4</v>
      </c>
      <c r="C3" s="9" t="s">
        <v>5</v>
      </c>
      <c r="D3" s="10" t="s">
        <v>6</v>
      </c>
      <c r="E3" s="11" t="s">
        <v>7</v>
      </c>
      <c r="F3" s="8" t="s">
        <v>8</v>
      </c>
      <c r="G3" s="9" t="s">
        <v>938</v>
      </c>
      <c r="H3" s="9" t="s">
        <v>939</v>
      </c>
      <c r="I3" s="12" t="s">
        <v>9</v>
      </c>
      <c r="J3" s="13" t="s">
        <v>10</v>
      </c>
      <c r="K3" s="30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91"/>
    </row>
    <row r="4" spans="2:16" ht="13.8" x14ac:dyDescent="0.2">
      <c r="B4" s="14" t="s">
        <v>11</v>
      </c>
      <c r="C4" s="17"/>
      <c r="D4" s="15">
        <f t="shared" ref="D4:D67" si="1">IFERROR(IF(F4/E4=1,"1.00",F4/E4),0)</f>
        <v>0</v>
      </c>
      <c r="E4" s="5">
        <v>0</v>
      </c>
      <c r="F4" s="5">
        <v>0</v>
      </c>
      <c r="G4" s="5">
        <v>0</v>
      </c>
      <c r="H4" s="5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:L66" si="2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/>
    </row>
    <row r="5" spans="2:16" ht="13.8" x14ac:dyDescent="0.2">
      <c r="B5" s="14">
        <v>0</v>
      </c>
      <c r="C5" s="9"/>
      <c r="D5" s="15">
        <f t="shared" si="1"/>
        <v>0</v>
      </c>
      <c r="E5" s="5">
        <v>0</v>
      </c>
      <c r="F5" s="5">
        <v>0</v>
      </c>
      <c r="G5" s="5">
        <v>0</v>
      </c>
      <c r="H5" s="5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si="2"/>
        <v>0</v>
      </c>
      <c r="M5" s="31">
        <v>0</v>
      </c>
      <c r="N5" s="32">
        <v>0</v>
      </c>
      <c r="O5" s="33">
        <v>0</v>
      </c>
      <c r="P5" s="2"/>
    </row>
    <row r="6" spans="2:16" ht="13.8" x14ac:dyDescent="0.2">
      <c r="B6" s="14">
        <v>1</v>
      </c>
      <c r="C6" s="17"/>
      <c r="D6" s="15">
        <f t="shared" si="1"/>
        <v>0</v>
      </c>
      <c r="E6" s="5">
        <v>0</v>
      </c>
      <c r="F6" s="5">
        <v>0</v>
      </c>
      <c r="G6" s="5">
        <v>0</v>
      </c>
      <c r="H6" s="5">
        <v>0</v>
      </c>
      <c r="I6" s="6">
        <v>0</v>
      </c>
      <c r="J6" s="7">
        <v>0</v>
      </c>
      <c r="K6" s="4">
        <f t="shared" si="3"/>
        <v>0</v>
      </c>
      <c r="L6" s="4">
        <f t="shared" si="2"/>
        <v>0</v>
      </c>
      <c r="M6" s="31">
        <v>0</v>
      </c>
      <c r="N6" s="32">
        <v>0</v>
      </c>
      <c r="O6" s="33">
        <v>0</v>
      </c>
      <c r="P6" s="17"/>
    </row>
    <row r="7" spans="2:16" ht="13.8" x14ac:dyDescent="0.2">
      <c r="B7" s="14">
        <v>2</v>
      </c>
      <c r="C7" s="9"/>
      <c r="D7" s="15">
        <f t="shared" si="1"/>
        <v>0</v>
      </c>
      <c r="E7" s="5">
        <v>0</v>
      </c>
      <c r="F7" s="5">
        <v>0</v>
      </c>
      <c r="G7" s="5">
        <v>0</v>
      </c>
      <c r="H7" s="5">
        <v>0</v>
      </c>
      <c r="I7" s="6">
        <v>0</v>
      </c>
      <c r="J7" s="7">
        <v>0</v>
      </c>
      <c r="K7" s="4">
        <f t="shared" si="3"/>
        <v>0</v>
      </c>
      <c r="L7" s="4">
        <f t="shared" si="2"/>
        <v>0</v>
      </c>
      <c r="M7" s="31">
        <v>0</v>
      </c>
      <c r="N7" s="32">
        <v>0</v>
      </c>
      <c r="O7" s="33">
        <v>0</v>
      </c>
      <c r="P7" s="9"/>
    </row>
    <row r="8" spans="2:16" ht="13.8" x14ac:dyDescent="0.2">
      <c r="B8" s="14">
        <v>3</v>
      </c>
      <c r="C8" s="9"/>
      <c r="D8" s="15">
        <f t="shared" si="1"/>
        <v>0</v>
      </c>
      <c r="E8" s="5">
        <v>0</v>
      </c>
      <c r="F8" s="5">
        <v>0</v>
      </c>
      <c r="G8" s="5">
        <v>0</v>
      </c>
      <c r="H8" s="5">
        <v>0</v>
      </c>
      <c r="I8" s="6">
        <v>0</v>
      </c>
      <c r="J8" s="7">
        <v>0</v>
      </c>
      <c r="K8" s="4">
        <f t="shared" si="3"/>
        <v>0</v>
      </c>
      <c r="L8" s="4">
        <f t="shared" si="2"/>
        <v>0</v>
      </c>
      <c r="M8" s="31">
        <v>0</v>
      </c>
      <c r="N8" s="32">
        <v>0</v>
      </c>
      <c r="O8" s="33">
        <v>0</v>
      </c>
      <c r="P8" s="9"/>
    </row>
    <row r="9" spans="2:16" ht="13.8" x14ac:dyDescent="0.2">
      <c r="B9" s="14">
        <v>4</v>
      </c>
      <c r="C9" s="9"/>
      <c r="D9" s="15">
        <f t="shared" si="1"/>
        <v>0</v>
      </c>
      <c r="E9" s="5">
        <v>0</v>
      </c>
      <c r="F9" s="5">
        <v>0</v>
      </c>
      <c r="G9" s="5">
        <v>0</v>
      </c>
      <c r="H9" s="5">
        <v>0</v>
      </c>
      <c r="I9" s="6">
        <v>0</v>
      </c>
      <c r="J9" s="7">
        <v>0</v>
      </c>
      <c r="K9" s="4">
        <f t="shared" si="3"/>
        <v>0</v>
      </c>
      <c r="L9" s="4">
        <f t="shared" si="2"/>
        <v>0</v>
      </c>
      <c r="M9" s="31">
        <v>0</v>
      </c>
      <c r="N9" s="32">
        <v>0</v>
      </c>
      <c r="O9" s="33">
        <v>0</v>
      </c>
      <c r="P9" s="9"/>
    </row>
    <row r="10" spans="2:16" ht="13.8" x14ac:dyDescent="0.2">
      <c r="B10" s="14">
        <v>5</v>
      </c>
      <c r="C10" s="17"/>
      <c r="D10" s="15">
        <f t="shared" si="1"/>
        <v>0</v>
      </c>
      <c r="E10" s="5">
        <v>0</v>
      </c>
      <c r="F10" s="5">
        <v>0</v>
      </c>
      <c r="G10" s="5">
        <v>0</v>
      </c>
      <c r="H10" s="5">
        <v>0</v>
      </c>
      <c r="I10" s="6">
        <v>0</v>
      </c>
      <c r="J10" s="7">
        <v>0</v>
      </c>
      <c r="K10" s="4">
        <f t="shared" si="3"/>
        <v>0</v>
      </c>
      <c r="L10" s="4">
        <f t="shared" si="2"/>
        <v>0</v>
      </c>
      <c r="M10" s="31">
        <v>0</v>
      </c>
      <c r="N10" s="32">
        <v>0</v>
      </c>
      <c r="O10" s="33">
        <v>0</v>
      </c>
      <c r="P10" s="17"/>
    </row>
    <row r="11" spans="2:16" ht="13.8" x14ac:dyDescent="0.2">
      <c r="B11" s="14">
        <v>6</v>
      </c>
      <c r="C11" s="9"/>
      <c r="D11" s="15">
        <f t="shared" si="1"/>
        <v>0</v>
      </c>
      <c r="E11" s="5">
        <v>0</v>
      </c>
      <c r="F11" s="5">
        <v>0</v>
      </c>
      <c r="G11" s="5">
        <v>0</v>
      </c>
      <c r="H11" s="5">
        <v>0</v>
      </c>
      <c r="I11" s="6">
        <v>0</v>
      </c>
      <c r="J11" s="7">
        <v>0</v>
      </c>
      <c r="K11" s="4">
        <f t="shared" si="3"/>
        <v>0</v>
      </c>
      <c r="L11" s="4">
        <f t="shared" si="2"/>
        <v>0</v>
      </c>
      <c r="M11" s="31">
        <v>0</v>
      </c>
      <c r="N11" s="32">
        <v>0</v>
      </c>
      <c r="O11" s="33">
        <v>0</v>
      </c>
      <c r="P11" s="9"/>
    </row>
    <row r="12" spans="2:16" ht="13.8" x14ac:dyDescent="0.2">
      <c r="B12" s="14">
        <v>7</v>
      </c>
      <c r="C12" s="9"/>
      <c r="D12" s="15">
        <f t="shared" si="1"/>
        <v>0</v>
      </c>
      <c r="E12" s="5">
        <v>0</v>
      </c>
      <c r="F12" s="5">
        <v>0</v>
      </c>
      <c r="G12" s="5">
        <v>0</v>
      </c>
      <c r="H12" s="5">
        <v>0</v>
      </c>
      <c r="I12" s="6">
        <v>0</v>
      </c>
      <c r="J12" s="7">
        <v>0</v>
      </c>
      <c r="K12" s="4">
        <f t="shared" si="3"/>
        <v>0</v>
      </c>
      <c r="L12" s="4">
        <f t="shared" si="2"/>
        <v>0</v>
      </c>
      <c r="M12" s="31">
        <v>0</v>
      </c>
      <c r="N12" s="32">
        <v>0</v>
      </c>
      <c r="O12" s="33">
        <v>0</v>
      </c>
      <c r="P12" s="9"/>
    </row>
    <row r="13" spans="2:16" ht="13.8" x14ac:dyDescent="0.2">
      <c r="B13" s="14">
        <v>8</v>
      </c>
      <c r="C13" s="9"/>
      <c r="D13" s="15">
        <f t="shared" si="1"/>
        <v>0</v>
      </c>
      <c r="E13" s="5">
        <v>0</v>
      </c>
      <c r="F13" s="5">
        <v>0</v>
      </c>
      <c r="G13" s="5">
        <v>0</v>
      </c>
      <c r="H13" s="5">
        <v>0</v>
      </c>
      <c r="I13" s="6">
        <v>0</v>
      </c>
      <c r="J13" s="7">
        <v>0</v>
      </c>
      <c r="K13" s="4">
        <f t="shared" si="3"/>
        <v>0</v>
      </c>
      <c r="L13" s="4">
        <f t="shared" si="2"/>
        <v>0</v>
      </c>
      <c r="M13" s="31">
        <v>0</v>
      </c>
      <c r="N13" s="32">
        <v>0</v>
      </c>
      <c r="O13" s="33">
        <v>0</v>
      </c>
      <c r="P13" s="9"/>
    </row>
    <row r="14" spans="2:16" ht="13.8" x14ac:dyDescent="0.2">
      <c r="B14" s="14">
        <v>9</v>
      </c>
      <c r="C14" s="9"/>
      <c r="D14" s="15">
        <f t="shared" si="1"/>
        <v>0</v>
      </c>
      <c r="E14" s="5">
        <v>0</v>
      </c>
      <c r="F14" s="5">
        <v>0</v>
      </c>
      <c r="G14" s="5">
        <v>0</v>
      </c>
      <c r="H14" s="5">
        <v>0</v>
      </c>
      <c r="I14" s="6">
        <v>0</v>
      </c>
      <c r="J14" s="7">
        <v>0</v>
      </c>
      <c r="K14" s="4">
        <f t="shared" si="3"/>
        <v>0</v>
      </c>
      <c r="L14" s="4">
        <f t="shared" si="2"/>
        <v>0</v>
      </c>
      <c r="M14" s="31">
        <v>0</v>
      </c>
      <c r="N14" s="32">
        <v>0</v>
      </c>
      <c r="O14" s="33">
        <v>0</v>
      </c>
      <c r="P14" s="9"/>
    </row>
    <row r="15" spans="2:16" ht="13.8" x14ac:dyDescent="0.2">
      <c r="B15" s="14">
        <v>10</v>
      </c>
      <c r="C15" s="9"/>
      <c r="D15" s="15">
        <f t="shared" si="1"/>
        <v>0</v>
      </c>
      <c r="E15" s="5">
        <v>0</v>
      </c>
      <c r="F15" s="5">
        <v>0</v>
      </c>
      <c r="G15" s="5">
        <v>0</v>
      </c>
      <c r="H15" s="5">
        <v>0</v>
      </c>
      <c r="I15" s="6">
        <v>0</v>
      </c>
      <c r="J15" s="7">
        <v>0</v>
      </c>
      <c r="K15" s="4">
        <f t="shared" si="3"/>
        <v>0</v>
      </c>
      <c r="L15" s="4">
        <f t="shared" si="2"/>
        <v>0</v>
      </c>
      <c r="M15" s="31">
        <v>0</v>
      </c>
      <c r="N15" s="32">
        <v>0</v>
      </c>
      <c r="O15" s="33">
        <v>0</v>
      </c>
      <c r="P15" s="9"/>
    </row>
    <row r="16" spans="2:16" ht="13.8" x14ac:dyDescent="0.2">
      <c r="B16" s="14">
        <v>11</v>
      </c>
      <c r="C16" s="9"/>
      <c r="D16" s="15">
        <f t="shared" si="1"/>
        <v>0</v>
      </c>
      <c r="E16" s="5">
        <v>0</v>
      </c>
      <c r="F16" s="5">
        <v>0</v>
      </c>
      <c r="G16" s="5">
        <v>0</v>
      </c>
      <c r="H16" s="5">
        <v>0</v>
      </c>
      <c r="I16" s="6">
        <v>0</v>
      </c>
      <c r="J16" s="7">
        <v>0</v>
      </c>
      <c r="K16" s="4">
        <f t="shared" si="3"/>
        <v>0</v>
      </c>
      <c r="L16" s="4">
        <f t="shared" si="2"/>
        <v>0</v>
      </c>
      <c r="M16" s="31">
        <v>0</v>
      </c>
      <c r="N16" s="32">
        <v>0</v>
      </c>
      <c r="O16" s="33">
        <v>0</v>
      </c>
      <c r="P16" s="9"/>
    </row>
    <row r="17" spans="2:16" ht="13.8" x14ac:dyDescent="0.2">
      <c r="B17" s="14">
        <v>12</v>
      </c>
      <c r="C17" s="9"/>
      <c r="D17" s="15">
        <f t="shared" si="1"/>
        <v>0</v>
      </c>
      <c r="E17" s="5">
        <v>0</v>
      </c>
      <c r="F17" s="5">
        <v>0</v>
      </c>
      <c r="G17" s="5">
        <v>0</v>
      </c>
      <c r="H17" s="5">
        <v>0</v>
      </c>
      <c r="I17" s="6">
        <v>0</v>
      </c>
      <c r="J17" s="7">
        <v>0</v>
      </c>
      <c r="K17" s="4">
        <f t="shared" si="3"/>
        <v>0</v>
      </c>
      <c r="L17" s="4">
        <f t="shared" si="2"/>
        <v>0</v>
      </c>
      <c r="M17" s="31">
        <v>0</v>
      </c>
      <c r="N17" s="32">
        <v>0</v>
      </c>
      <c r="O17" s="33">
        <v>0</v>
      </c>
      <c r="P17" s="2"/>
    </row>
    <row r="18" spans="2:16" ht="13.8" x14ac:dyDescent="0.2">
      <c r="B18" s="14">
        <v>13</v>
      </c>
      <c r="C18" s="17"/>
      <c r="D18" s="15">
        <f t="shared" si="1"/>
        <v>0</v>
      </c>
      <c r="E18" s="5">
        <v>0</v>
      </c>
      <c r="F18" s="5">
        <v>0</v>
      </c>
      <c r="G18" s="5">
        <v>0</v>
      </c>
      <c r="H18" s="5">
        <v>0</v>
      </c>
      <c r="I18" s="6">
        <v>0</v>
      </c>
      <c r="J18" s="7">
        <v>0</v>
      </c>
      <c r="K18" s="4">
        <f t="shared" si="3"/>
        <v>0</v>
      </c>
      <c r="L18" s="4">
        <f t="shared" si="2"/>
        <v>0</v>
      </c>
      <c r="M18" s="31">
        <v>0</v>
      </c>
      <c r="N18" s="32">
        <v>0</v>
      </c>
      <c r="O18" s="33">
        <v>0</v>
      </c>
      <c r="P18" s="2"/>
    </row>
    <row r="19" spans="2:16" ht="13.8" x14ac:dyDescent="0.2">
      <c r="B19" s="14">
        <v>14</v>
      </c>
      <c r="C19" s="9"/>
      <c r="D19" s="15">
        <f t="shared" si="1"/>
        <v>0</v>
      </c>
      <c r="E19" s="5">
        <v>0</v>
      </c>
      <c r="F19" s="5">
        <v>0</v>
      </c>
      <c r="G19" s="5">
        <v>0</v>
      </c>
      <c r="H19" s="5">
        <v>0</v>
      </c>
      <c r="I19" s="6">
        <v>0</v>
      </c>
      <c r="J19" s="7">
        <v>0</v>
      </c>
      <c r="K19" s="4">
        <f t="shared" si="3"/>
        <v>0</v>
      </c>
      <c r="L19" s="4">
        <f t="shared" si="2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/>
      <c r="D20" s="15">
        <f t="shared" si="1"/>
        <v>0</v>
      </c>
      <c r="E20" s="5">
        <v>0</v>
      </c>
      <c r="F20" s="5">
        <v>0</v>
      </c>
      <c r="G20" s="5">
        <v>0</v>
      </c>
      <c r="H20" s="5">
        <v>0</v>
      </c>
      <c r="I20" s="6">
        <v>0</v>
      </c>
      <c r="J20" s="7">
        <v>0</v>
      </c>
      <c r="K20" s="4">
        <f t="shared" si="3"/>
        <v>0</v>
      </c>
      <c r="L20" s="4">
        <f t="shared" si="2"/>
        <v>0</v>
      </c>
      <c r="M20" s="31">
        <v>0</v>
      </c>
      <c r="N20" s="32">
        <v>0</v>
      </c>
      <c r="O20" s="33">
        <v>0</v>
      </c>
      <c r="P20" s="2"/>
    </row>
    <row r="21" spans="2:16" ht="13.8" x14ac:dyDescent="0.2">
      <c r="B21" s="14">
        <v>16</v>
      </c>
      <c r="C21" s="9"/>
      <c r="D21" s="15">
        <f t="shared" si="1"/>
        <v>0</v>
      </c>
      <c r="E21" s="5">
        <v>0</v>
      </c>
      <c r="F21" s="5">
        <v>0</v>
      </c>
      <c r="G21" s="5">
        <v>0</v>
      </c>
      <c r="H21" s="5">
        <v>0</v>
      </c>
      <c r="I21" s="6">
        <v>0</v>
      </c>
      <c r="J21" s="7">
        <v>0</v>
      </c>
      <c r="K21" s="4">
        <f t="shared" si="3"/>
        <v>0</v>
      </c>
      <c r="L21" s="4">
        <f t="shared" si="2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9"/>
      <c r="D22" s="15">
        <f t="shared" si="1"/>
        <v>0</v>
      </c>
      <c r="E22" s="5">
        <v>0</v>
      </c>
      <c r="F22" s="5">
        <v>0</v>
      </c>
      <c r="G22" s="5">
        <v>0</v>
      </c>
      <c r="H22" s="5">
        <v>0</v>
      </c>
      <c r="I22" s="6">
        <v>0</v>
      </c>
      <c r="J22" s="7">
        <v>0</v>
      </c>
      <c r="K22" s="4">
        <f t="shared" si="3"/>
        <v>0</v>
      </c>
      <c r="L22" s="4">
        <f t="shared" si="2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9"/>
      <c r="D23" s="15">
        <f t="shared" si="1"/>
        <v>0</v>
      </c>
      <c r="E23" s="5">
        <v>0</v>
      </c>
      <c r="F23" s="5">
        <v>0</v>
      </c>
      <c r="G23" s="5">
        <v>0</v>
      </c>
      <c r="H23" s="5">
        <v>0</v>
      </c>
      <c r="I23" s="6">
        <v>0</v>
      </c>
      <c r="J23" s="7">
        <v>0</v>
      </c>
      <c r="K23" s="4">
        <f t="shared" si="3"/>
        <v>0</v>
      </c>
      <c r="L23" s="4">
        <f t="shared" si="2"/>
        <v>0</v>
      </c>
      <c r="M23" s="31">
        <v>0</v>
      </c>
      <c r="N23" s="32">
        <v>0</v>
      </c>
      <c r="O23" s="33">
        <v>0</v>
      </c>
      <c r="P23" s="2"/>
    </row>
    <row r="24" spans="2:16" ht="13.8" x14ac:dyDescent="0.2">
      <c r="B24" s="14">
        <v>19</v>
      </c>
      <c r="C24" s="9"/>
      <c r="D24" s="15">
        <f t="shared" si="1"/>
        <v>0</v>
      </c>
      <c r="E24" s="5">
        <v>0</v>
      </c>
      <c r="F24" s="5">
        <v>0</v>
      </c>
      <c r="G24" s="5">
        <v>0</v>
      </c>
      <c r="H24" s="5">
        <v>0</v>
      </c>
      <c r="I24" s="6">
        <v>0</v>
      </c>
      <c r="J24" s="7">
        <v>0</v>
      </c>
      <c r="K24" s="4">
        <f t="shared" si="3"/>
        <v>0</v>
      </c>
      <c r="L24" s="4">
        <f t="shared" si="2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9"/>
      <c r="D25" s="15">
        <f t="shared" si="1"/>
        <v>0</v>
      </c>
      <c r="E25" s="5">
        <v>0</v>
      </c>
      <c r="F25" s="5">
        <v>0</v>
      </c>
      <c r="G25" s="5">
        <v>0</v>
      </c>
      <c r="H25" s="5">
        <v>0</v>
      </c>
      <c r="I25" s="6">
        <v>0</v>
      </c>
      <c r="J25" s="7">
        <v>0</v>
      </c>
      <c r="K25" s="4">
        <f t="shared" si="3"/>
        <v>0</v>
      </c>
      <c r="L25" s="4">
        <f t="shared" si="2"/>
        <v>0</v>
      </c>
      <c r="M25" s="31">
        <v>0</v>
      </c>
      <c r="N25" s="32">
        <v>0</v>
      </c>
      <c r="O25" s="33">
        <v>0</v>
      </c>
      <c r="P25" s="2"/>
    </row>
    <row r="26" spans="2:16" ht="13.8" x14ac:dyDescent="0.2">
      <c r="B26" s="14">
        <v>21</v>
      </c>
      <c r="C26" s="9"/>
      <c r="D26" s="15">
        <f t="shared" si="1"/>
        <v>0</v>
      </c>
      <c r="E26" s="5">
        <v>0</v>
      </c>
      <c r="F26" s="5">
        <v>0</v>
      </c>
      <c r="G26" s="5">
        <v>0</v>
      </c>
      <c r="H26" s="5">
        <v>0</v>
      </c>
      <c r="I26" s="6">
        <v>0</v>
      </c>
      <c r="J26" s="7">
        <v>0</v>
      </c>
      <c r="K26" s="4">
        <f t="shared" si="3"/>
        <v>0</v>
      </c>
      <c r="L26" s="4">
        <f t="shared" si="2"/>
        <v>0</v>
      </c>
      <c r="M26" s="31">
        <v>0</v>
      </c>
      <c r="N26" s="32">
        <v>0</v>
      </c>
      <c r="O26" s="33">
        <v>0</v>
      </c>
      <c r="P26" s="2"/>
    </row>
    <row r="27" spans="2:16" ht="13.8" x14ac:dyDescent="0.2">
      <c r="B27" s="14">
        <v>22</v>
      </c>
      <c r="C27" s="9"/>
      <c r="D27" s="15">
        <f t="shared" si="1"/>
        <v>0</v>
      </c>
      <c r="E27" s="5">
        <v>0</v>
      </c>
      <c r="F27" s="5">
        <v>0</v>
      </c>
      <c r="G27" s="5">
        <v>0</v>
      </c>
      <c r="H27" s="5">
        <v>0</v>
      </c>
      <c r="I27" s="6">
        <v>0</v>
      </c>
      <c r="J27" s="7">
        <v>0</v>
      </c>
      <c r="K27" s="4">
        <f t="shared" si="3"/>
        <v>0</v>
      </c>
      <c r="L27" s="4">
        <f t="shared" si="2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9"/>
      <c r="D28" s="15">
        <f t="shared" si="1"/>
        <v>0</v>
      </c>
      <c r="E28" s="5">
        <v>0</v>
      </c>
      <c r="F28" s="5">
        <v>0</v>
      </c>
      <c r="G28" s="5">
        <v>0</v>
      </c>
      <c r="H28" s="5">
        <v>0</v>
      </c>
      <c r="I28" s="6">
        <v>0</v>
      </c>
      <c r="J28" s="7">
        <v>0</v>
      </c>
      <c r="K28" s="4">
        <f t="shared" si="3"/>
        <v>0</v>
      </c>
      <c r="L28" s="4">
        <f t="shared" si="2"/>
        <v>0</v>
      </c>
      <c r="M28" s="31">
        <v>0</v>
      </c>
      <c r="N28" s="32">
        <v>0</v>
      </c>
      <c r="O28" s="33">
        <v>0</v>
      </c>
      <c r="P28" s="2"/>
    </row>
    <row r="29" spans="2:16" ht="13.8" x14ac:dyDescent="0.2">
      <c r="B29" s="14">
        <v>24</v>
      </c>
      <c r="C29" s="17"/>
      <c r="D29" s="15">
        <f t="shared" si="1"/>
        <v>0</v>
      </c>
      <c r="E29" s="5">
        <v>0</v>
      </c>
      <c r="F29" s="5">
        <v>0</v>
      </c>
      <c r="G29" s="5">
        <v>0</v>
      </c>
      <c r="H29" s="5">
        <v>0</v>
      </c>
      <c r="I29" s="6">
        <v>0</v>
      </c>
      <c r="J29" s="7">
        <v>0</v>
      </c>
      <c r="K29" s="4">
        <f t="shared" si="3"/>
        <v>0</v>
      </c>
      <c r="L29" s="4">
        <f t="shared" si="2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9"/>
      <c r="D30" s="15">
        <f t="shared" si="1"/>
        <v>0</v>
      </c>
      <c r="E30" s="5">
        <v>0</v>
      </c>
      <c r="F30" s="5">
        <v>0</v>
      </c>
      <c r="G30" s="5">
        <v>0</v>
      </c>
      <c r="H30" s="5">
        <v>0</v>
      </c>
      <c r="I30" s="6">
        <v>0</v>
      </c>
      <c r="J30" s="7">
        <v>0</v>
      </c>
      <c r="K30" s="4">
        <f t="shared" si="3"/>
        <v>0</v>
      </c>
      <c r="L30" s="4">
        <f t="shared" si="2"/>
        <v>0</v>
      </c>
      <c r="M30" s="31">
        <v>0</v>
      </c>
      <c r="N30" s="32">
        <v>0</v>
      </c>
      <c r="O30" s="33">
        <v>0</v>
      </c>
      <c r="P30" s="2"/>
    </row>
    <row r="31" spans="2:16" ht="13.8" x14ac:dyDescent="0.2">
      <c r="B31" s="14">
        <v>26</v>
      </c>
      <c r="C31" s="9"/>
      <c r="D31" s="15">
        <f t="shared" si="1"/>
        <v>0</v>
      </c>
      <c r="E31" s="5">
        <v>0</v>
      </c>
      <c r="F31" s="5">
        <v>0</v>
      </c>
      <c r="G31" s="5">
        <v>0</v>
      </c>
      <c r="H31" s="5">
        <v>0</v>
      </c>
      <c r="I31" s="6">
        <v>0</v>
      </c>
      <c r="J31" s="7">
        <v>0</v>
      </c>
      <c r="K31" s="4">
        <f t="shared" si="3"/>
        <v>0</v>
      </c>
      <c r="L31" s="4">
        <f t="shared" si="2"/>
        <v>0</v>
      </c>
      <c r="M31" s="31">
        <v>0</v>
      </c>
      <c r="N31" s="32">
        <v>0</v>
      </c>
      <c r="O31" s="33">
        <v>0</v>
      </c>
      <c r="P31" s="2"/>
    </row>
    <row r="32" spans="2:16" ht="13.8" x14ac:dyDescent="0.2">
      <c r="B32" s="14">
        <v>27</v>
      </c>
      <c r="C32" s="9"/>
      <c r="D32" s="15">
        <f t="shared" si="1"/>
        <v>0</v>
      </c>
      <c r="E32" s="5">
        <v>0</v>
      </c>
      <c r="F32" s="5">
        <v>0</v>
      </c>
      <c r="G32" s="5">
        <v>0</v>
      </c>
      <c r="H32" s="5">
        <v>0</v>
      </c>
      <c r="I32" s="6">
        <v>0</v>
      </c>
      <c r="J32" s="7">
        <v>0</v>
      </c>
      <c r="K32" s="4">
        <f t="shared" si="3"/>
        <v>0</v>
      </c>
      <c r="L32" s="4">
        <f t="shared" si="2"/>
        <v>0</v>
      </c>
      <c r="M32" s="31">
        <v>0</v>
      </c>
      <c r="N32" s="32">
        <v>0</v>
      </c>
      <c r="O32" s="33">
        <v>0</v>
      </c>
      <c r="P32" s="2"/>
    </row>
    <row r="33" spans="2:16" ht="13.8" x14ac:dyDescent="0.2">
      <c r="B33" s="14">
        <v>28</v>
      </c>
      <c r="C33" s="17"/>
      <c r="D33" s="15">
        <f t="shared" si="1"/>
        <v>0</v>
      </c>
      <c r="E33" s="5">
        <v>0</v>
      </c>
      <c r="F33" s="5">
        <v>0</v>
      </c>
      <c r="G33" s="5">
        <v>0</v>
      </c>
      <c r="H33" s="5">
        <v>0</v>
      </c>
      <c r="I33" s="6">
        <v>0</v>
      </c>
      <c r="J33" s="7">
        <v>0</v>
      </c>
      <c r="K33" s="4">
        <f t="shared" si="3"/>
        <v>0</v>
      </c>
      <c r="L33" s="4">
        <f t="shared" si="2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9"/>
      <c r="D34" s="15">
        <f t="shared" si="1"/>
        <v>0</v>
      </c>
      <c r="E34" s="5">
        <v>0</v>
      </c>
      <c r="F34" s="5">
        <v>0</v>
      </c>
      <c r="G34" s="5">
        <v>0</v>
      </c>
      <c r="H34" s="5">
        <v>0</v>
      </c>
      <c r="I34" s="6">
        <v>0</v>
      </c>
      <c r="J34" s="7">
        <v>0</v>
      </c>
      <c r="K34" s="4">
        <f t="shared" si="3"/>
        <v>0</v>
      </c>
      <c r="L34" s="4">
        <f t="shared" si="2"/>
        <v>0</v>
      </c>
      <c r="M34" s="31">
        <v>0</v>
      </c>
      <c r="N34" s="32">
        <v>0</v>
      </c>
      <c r="O34" s="33">
        <v>0</v>
      </c>
      <c r="P34" s="2"/>
    </row>
    <row r="35" spans="2:16" ht="13.8" x14ac:dyDescent="0.2">
      <c r="B35" s="14">
        <v>30</v>
      </c>
      <c r="C35" s="9"/>
      <c r="D35" s="15">
        <f t="shared" si="1"/>
        <v>0</v>
      </c>
      <c r="E35" s="5">
        <v>0</v>
      </c>
      <c r="F35" s="5">
        <v>0</v>
      </c>
      <c r="G35" s="5">
        <v>0</v>
      </c>
      <c r="H35" s="5">
        <v>0</v>
      </c>
      <c r="I35" s="6">
        <v>0</v>
      </c>
      <c r="J35" s="7">
        <v>0</v>
      </c>
      <c r="K35" s="4">
        <f t="shared" si="3"/>
        <v>0</v>
      </c>
      <c r="L35" s="4">
        <f t="shared" si="2"/>
        <v>0</v>
      </c>
      <c r="M35" s="31">
        <v>0</v>
      </c>
      <c r="N35" s="32">
        <v>0</v>
      </c>
      <c r="O35" s="33">
        <v>0</v>
      </c>
      <c r="P35" s="2"/>
    </row>
    <row r="36" spans="2:16" ht="13.8" x14ac:dyDescent="0.2">
      <c r="B36" s="14">
        <v>31</v>
      </c>
      <c r="C36" s="9"/>
      <c r="D36" s="15">
        <f t="shared" si="1"/>
        <v>0</v>
      </c>
      <c r="E36" s="5">
        <v>0</v>
      </c>
      <c r="F36" s="5">
        <v>0</v>
      </c>
      <c r="G36" s="5">
        <v>0</v>
      </c>
      <c r="H36" s="5">
        <v>0</v>
      </c>
      <c r="I36" s="6">
        <v>0</v>
      </c>
      <c r="J36" s="7">
        <v>0</v>
      </c>
      <c r="K36" s="4">
        <f t="shared" si="3"/>
        <v>0</v>
      </c>
      <c r="L36" s="4">
        <f t="shared" si="2"/>
        <v>0</v>
      </c>
      <c r="M36" s="31">
        <v>0</v>
      </c>
      <c r="N36" s="32">
        <v>0</v>
      </c>
      <c r="O36" s="33">
        <v>0</v>
      </c>
      <c r="P36" s="2"/>
    </row>
    <row r="37" spans="2:16" ht="13.8" x14ac:dyDescent="0.2">
      <c r="B37" s="14">
        <v>32</v>
      </c>
      <c r="C37" s="9"/>
      <c r="D37" s="15">
        <f t="shared" si="1"/>
        <v>0</v>
      </c>
      <c r="E37" s="5">
        <v>0</v>
      </c>
      <c r="F37" s="5">
        <v>0</v>
      </c>
      <c r="G37" s="5">
        <v>0</v>
      </c>
      <c r="H37" s="5">
        <v>0</v>
      </c>
      <c r="I37" s="6">
        <v>0</v>
      </c>
      <c r="J37" s="7">
        <v>0</v>
      </c>
      <c r="K37" s="4">
        <f t="shared" si="3"/>
        <v>0</v>
      </c>
      <c r="L37" s="4">
        <f t="shared" si="2"/>
        <v>0</v>
      </c>
      <c r="M37" s="31">
        <v>0</v>
      </c>
      <c r="N37" s="32">
        <v>0</v>
      </c>
      <c r="O37" s="33">
        <v>0</v>
      </c>
      <c r="P37" s="2"/>
    </row>
    <row r="38" spans="2:16" ht="13.8" x14ac:dyDescent="0.2">
      <c r="B38" s="14">
        <v>33</v>
      </c>
      <c r="C38" s="9"/>
      <c r="D38" s="15">
        <f t="shared" si="1"/>
        <v>0</v>
      </c>
      <c r="E38" s="5">
        <v>0</v>
      </c>
      <c r="F38" s="5">
        <v>0</v>
      </c>
      <c r="G38" s="5">
        <v>0</v>
      </c>
      <c r="H38" s="5">
        <v>0</v>
      </c>
      <c r="I38" s="6">
        <v>0</v>
      </c>
      <c r="J38" s="7">
        <v>0</v>
      </c>
      <c r="K38" s="4">
        <f t="shared" si="3"/>
        <v>0</v>
      </c>
      <c r="L38" s="4">
        <f t="shared" si="2"/>
        <v>0</v>
      </c>
      <c r="M38" s="31">
        <v>0</v>
      </c>
      <c r="N38" s="32">
        <v>0</v>
      </c>
      <c r="O38" s="33">
        <v>0</v>
      </c>
      <c r="P38" s="2"/>
    </row>
    <row r="39" spans="2:16" ht="13.8" x14ac:dyDescent="0.2">
      <c r="B39" s="14">
        <v>34</v>
      </c>
      <c r="C39" s="17"/>
      <c r="D39" s="15">
        <f t="shared" si="1"/>
        <v>0</v>
      </c>
      <c r="E39" s="5">
        <v>0</v>
      </c>
      <c r="F39" s="5">
        <v>0</v>
      </c>
      <c r="G39" s="5">
        <v>0</v>
      </c>
      <c r="H39" s="5">
        <v>0</v>
      </c>
      <c r="I39" s="6">
        <v>0</v>
      </c>
      <c r="J39" s="7">
        <v>0</v>
      </c>
      <c r="K39" s="4">
        <f t="shared" si="3"/>
        <v>0</v>
      </c>
      <c r="L39" s="4">
        <f t="shared" si="2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9"/>
      <c r="D40" s="15">
        <f t="shared" si="1"/>
        <v>0</v>
      </c>
      <c r="E40" s="5">
        <v>0</v>
      </c>
      <c r="F40" s="5">
        <v>0</v>
      </c>
      <c r="G40" s="5">
        <v>0</v>
      </c>
      <c r="H40" s="5">
        <v>0</v>
      </c>
      <c r="I40" s="6">
        <v>0</v>
      </c>
      <c r="J40" s="7">
        <v>0</v>
      </c>
      <c r="K40" s="4">
        <f t="shared" si="3"/>
        <v>0</v>
      </c>
      <c r="L40" s="4">
        <f t="shared" si="2"/>
        <v>0</v>
      </c>
      <c r="M40" s="31">
        <v>0</v>
      </c>
      <c r="N40" s="32">
        <v>0</v>
      </c>
      <c r="O40" s="33">
        <v>0</v>
      </c>
      <c r="P40" s="2"/>
    </row>
    <row r="41" spans="2:16" ht="13.8" x14ac:dyDescent="0.2">
      <c r="B41" s="14">
        <v>36</v>
      </c>
      <c r="C41" s="9"/>
      <c r="D41" s="15">
        <f t="shared" si="1"/>
        <v>0</v>
      </c>
      <c r="E41" s="5">
        <v>0</v>
      </c>
      <c r="F41" s="5">
        <v>0</v>
      </c>
      <c r="G41" s="5">
        <v>0</v>
      </c>
      <c r="H41" s="5">
        <v>0</v>
      </c>
      <c r="I41" s="6">
        <v>0</v>
      </c>
      <c r="J41" s="7">
        <v>0</v>
      </c>
      <c r="K41" s="4">
        <f t="shared" si="3"/>
        <v>0</v>
      </c>
      <c r="L41" s="4">
        <f t="shared" si="2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9"/>
      <c r="D42" s="15">
        <f t="shared" si="1"/>
        <v>0</v>
      </c>
      <c r="E42" s="5">
        <v>0</v>
      </c>
      <c r="F42" s="5">
        <v>0</v>
      </c>
      <c r="G42" s="5">
        <v>0</v>
      </c>
      <c r="H42" s="5">
        <v>0</v>
      </c>
      <c r="I42" s="6">
        <v>0</v>
      </c>
      <c r="J42" s="7">
        <v>0</v>
      </c>
      <c r="K42" s="4">
        <f t="shared" si="3"/>
        <v>0</v>
      </c>
      <c r="L42" s="4">
        <f t="shared" si="2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9"/>
      <c r="D43" s="15">
        <f t="shared" si="1"/>
        <v>0</v>
      </c>
      <c r="E43" s="5">
        <v>0</v>
      </c>
      <c r="F43" s="5">
        <v>0</v>
      </c>
      <c r="G43" s="5">
        <v>0</v>
      </c>
      <c r="H43" s="5">
        <v>0</v>
      </c>
      <c r="I43" s="6">
        <v>0</v>
      </c>
      <c r="J43" s="7">
        <v>0</v>
      </c>
      <c r="K43" s="4">
        <f t="shared" si="3"/>
        <v>0</v>
      </c>
      <c r="L43" s="4">
        <f t="shared" si="2"/>
        <v>0</v>
      </c>
      <c r="M43" s="31">
        <v>0</v>
      </c>
      <c r="N43" s="32">
        <v>0</v>
      </c>
      <c r="O43" s="33">
        <v>0</v>
      </c>
      <c r="P43" s="2"/>
    </row>
    <row r="44" spans="2:16" ht="13.8" x14ac:dyDescent="0.2">
      <c r="B44" s="14">
        <v>39</v>
      </c>
      <c r="C44" s="9"/>
      <c r="D44" s="15">
        <f t="shared" si="1"/>
        <v>0</v>
      </c>
      <c r="E44" s="5">
        <v>0</v>
      </c>
      <c r="F44" s="5">
        <v>0</v>
      </c>
      <c r="G44" s="5">
        <v>0</v>
      </c>
      <c r="H44" s="5">
        <v>0</v>
      </c>
      <c r="I44" s="6">
        <v>0</v>
      </c>
      <c r="J44" s="7">
        <v>0</v>
      </c>
      <c r="K44" s="4">
        <f t="shared" si="3"/>
        <v>0</v>
      </c>
      <c r="L44" s="4">
        <f t="shared" si="2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9"/>
      <c r="D45" s="15">
        <f t="shared" si="1"/>
        <v>0</v>
      </c>
      <c r="E45" s="5">
        <v>0</v>
      </c>
      <c r="F45" s="5">
        <v>0</v>
      </c>
      <c r="G45" s="5">
        <v>0</v>
      </c>
      <c r="H45" s="5">
        <v>0</v>
      </c>
      <c r="I45" s="6">
        <v>0</v>
      </c>
      <c r="J45" s="7">
        <v>0</v>
      </c>
      <c r="K45" s="4">
        <f t="shared" si="3"/>
        <v>0</v>
      </c>
      <c r="L45" s="4">
        <f t="shared" si="2"/>
        <v>0</v>
      </c>
      <c r="M45" s="31">
        <v>0</v>
      </c>
      <c r="N45" s="32">
        <v>0</v>
      </c>
      <c r="O45" s="33">
        <v>0</v>
      </c>
      <c r="P45" s="2"/>
    </row>
    <row r="46" spans="2:16" ht="13.8" x14ac:dyDescent="0.2">
      <c r="B46" s="14">
        <v>41</v>
      </c>
      <c r="C46" s="9"/>
      <c r="D46" s="15">
        <f t="shared" si="1"/>
        <v>0</v>
      </c>
      <c r="E46" s="5">
        <v>0</v>
      </c>
      <c r="F46" s="5">
        <v>0</v>
      </c>
      <c r="G46" s="5">
        <v>0</v>
      </c>
      <c r="H46" s="5">
        <v>0</v>
      </c>
      <c r="I46" s="6">
        <v>0</v>
      </c>
      <c r="J46" s="7">
        <v>0</v>
      </c>
      <c r="K46" s="4">
        <f t="shared" si="3"/>
        <v>0</v>
      </c>
      <c r="L46" s="4">
        <f t="shared" si="2"/>
        <v>0</v>
      </c>
      <c r="M46" s="31">
        <v>0</v>
      </c>
      <c r="N46" s="32">
        <v>0</v>
      </c>
      <c r="O46" s="33">
        <v>0</v>
      </c>
      <c r="P46" s="2"/>
    </row>
    <row r="47" spans="2:16" ht="13.8" x14ac:dyDescent="0.2">
      <c r="B47" s="14">
        <v>42</v>
      </c>
      <c r="C47" s="8"/>
      <c r="D47" s="15">
        <f t="shared" si="1"/>
        <v>0</v>
      </c>
      <c r="E47" s="5">
        <v>0</v>
      </c>
      <c r="F47" s="5">
        <v>0</v>
      </c>
      <c r="G47" s="5">
        <v>0</v>
      </c>
      <c r="H47" s="5">
        <v>0</v>
      </c>
      <c r="I47" s="6">
        <v>0</v>
      </c>
      <c r="J47" s="7">
        <v>0</v>
      </c>
      <c r="K47" s="4">
        <f t="shared" si="3"/>
        <v>0</v>
      </c>
      <c r="L47" s="4">
        <f t="shared" si="2"/>
        <v>0</v>
      </c>
      <c r="M47" s="31">
        <v>0</v>
      </c>
      <c r="N47" s="32">
        <v>0</v>
      </c>
      <c r="O47" s="33">
        <v>0</v>
      </c>
      <c r="P47" s="2"/>
    </row>
    <row r="48" spans="2:16" ht="13.8" x14ac:dyDescent="0.2">
      <c r="B48" s="14">
        <v>43</v>
      </c>
      <c r="C48" s="9"/>
      <c r="D48" s="15">
        <f t="shared" si="1"/>
        <v>0</v>
      </c>
      <c r="E48" s="5">
        <v>0</v>
      </c>
      <c r="F48" s="5">
        <v>0</v>
      </c>
      <c r="G48" s="5">
        <v>0</v>
      </c>
      <c r="H48" s="5">
        <v>0</v>
      </c>
      <c r="I48" s="6">
        <v>0</v>
      </c>
      <c r="J48" s="7">
        <v>0</v>
      </c>
      <c r="K48" s="4">
        <f t="shared" si="3"/>
        <v>0</v>
      </c>
      <c r="L48" s="4">
        <f t="shared" si="2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9"/>
      <c r="D49" s="15">
        <f t="shared" si="1"/>
        <v>0</v>
      </c>
      <c r="E49" s="5">
        <v>0</v>
      </c>
      <c r="F49" s="5">
        <v>0</v>
      </c>
      <c r="G49" s="5">
        <v>0</v>
      </c>
      <c r="H49" s="5">
        <v>0</v>
      </c>
      <c r="I49" s="6">
        <v>0</v>
      </c>
      <c r="J49" s="7">
        <v>0</v>
      </c>
      <c r="K49" s="4">
        <f t="shared" si="3"/>
        <v>0</v>
      </c>
      <c r="L49" s="4">
        <f t="shared" si="2"/>
        <v>0</v>
      </c>
      <c r="M49" s="31">
        <v>0</v>
      </c>
      <c r="N49" s="32">
        <v>0</v>
      </c>
      <c r="O49" s="33">
        <v>0</v>
      </c>
      <c r="P49" s="2"/>
    </row>
    <row r="50" spans="2:16" ht="13.8" x14ac:dyDescent="0.2">
      <c r="B50" s="14">
        <v>45</v>
      </c>
      <c r="C50" s="9"/>
      <c r="D50" s="15">
        <f t="shared" si="1"/>
        <v>0</v>
      </c>
      <c r="E50" s="5">
        <v>0</v>
      </c>
      <c r="F50" s="5">
        <v>0</v>
      </c>
      <c r="G50" s="5">
        <v>0</v>
      </c>
      <c r="H50" s="5">
        <v>0</v>
      </c>
      <c r="I50" s="6">
        <v>0</v>
      </c>
      <c r="J50" s="7">
        <v>0</v>
      </c>
      <c r="K50" s="4">
        <f t="shared" si="3"/>
        <v>0</v>
      </c>
      <c r="L50" s="4">
        <f t="shared" si="2"/>
        <v>0</v>
      </c>
      <c r="M50" s="31">
        <v>0</v>
      </c>
      <c r="N50" s="32">
        <v>0</v>
      </c>
      <c r="O50" s="33">
        <v>0</v>
      </c>
      <c r="P50" s="2"/>
    </row>
    <row r="51" spans="2:16" ht="13.8" x14ac:dyDescent="0.2">
      <c r="B51" s="14">
        <v>46</v>
      </c>
      <c r="C51" s="9"/>
      <c r="D51" s="15">
        <f t="shared" si="1"/>
        <v>0</v>
      </c>
      <c r="E51" s="5">
        <v>0</v>
      </c>
      <c r="F51" s="5">
        <v>0</v>
      </c>
      <c r="G51" s="5">
        <v>0</v>
      </c>
      <c r="H51" s="5">
        <v>0</v>
      </c>
      <c r="I51" s="6">
        <v>0</v>
      </c>
      <c r="J51" s="7">
        <v>0</v>
      </c>
      <c r="K51" s="4">
        <f t="shared" si="3"/>
        <v>0</v>
      </c>
      <c r="L51" s="4">
        <f t="shared" si="2"/>
        <v>0</v>
      </c>
      <c r="M51" s="31">
        <v>0</v>
      </c>
      <c r="N51" s="32">
        <v>0</v>
      </c>
      <c r="O51" s="33">
        <v>0</v>
      </c>
      <c r="P51" s="2"/>
    </row>
    <row r="52" spans="2:16" ht="13.8" x14ac:dyDescent="0.2">
      <c r="B52" s="14">
        <v>47</v>
      </c>
      <c r="C52" s="9"/>
      <c r="D52" s="15">
        <f t="shared" si="1"/>
        <v>0</v>
      </c>
      <c r="E52" s="5">
        <v>0</v>
      </c>
      <c r="F52" s="5">
        <v>0</v>
      </c>
      <c r="G52" s="5">
        <v>0</v>
      </c>
      <c r="H52" s="5">
        <v>0</v>
      </c>
      <c r="I52" s="6">
        <v>0</v>
      </c>
      <c r="J52" s="7">
        <v>0</v>
      </c>
      <c r="K52" s="4">
        <f t="shared" si="3"/>
        <v>0</v>
      </c>
      <c r="L52" s="4">
        <f t="shared" si="2"/>
        <v>0</v>
      </c>
      <c r="M52" s="31">
        <v>0</v>
      </c>
      <c r="N52" s="32">
        <v>0</v>
      </c>
      <c r="O52" s="33">
        <v>0</v>
      </c>
      <c r="P52" s="2"/>
    </row>
    <row r="53" spans="2:16" ht="13.8" x14ac:dyDescent="0.2">
      <c r="B53" s="14">
        <v>48</v>
      </c>
      <c r="C53" s="17"/>
      <c r="D53" s="15">
        <f t="shared" si="1"/>
        <v>0</v>
      </c>
      <c r="E53" s="5">
        <v>0</v>
      </c>
      <c r="F53" s="5">
        <v>0</v>
      </c>
      <c r="G53" s="5">
        <v>0</v>
      </c>
      <c r="H53" s="5">
        <v>0</v>
      </c>
      <c r="I53" s="6">
        <v>0</v>
      </c>
      <c r="J53" s="7">
        <v>0</v>
      </c>
      <c r="K53" s="4">
        <f t="shared" si="3"/>
        <v>0</v>
      </c>
      <c r="L53" s="4">
        <f t="shared" si="2"/>
        <v>0</v>
      </c>
      <c r="M53" s="31">
        <v>0</v>
      </c>
      <c r="N53" s="32">
        <v>0</v>
      </c>
      <c r="O53" s="33">
        <v>0</v>
      </c>
      <c r="P53" s="2"/>
    </row>
    <row r="54" spans="2:16" ht="13.8" x14ac:dyDescent="0.2">
      <c r="B54" s="14">
        <v>49</v>
      </c>
      <c r="C54" s="9"/>
      <c r="D54" s="15">
        <f t="shared" si="1"/>
        <v>0</v>
      </c>
      <c r="E54" s="5">
        <v>0</v>
      </c>
      <c r="F54" s="5">
        <v>0</v>
      </c>
      <c r="G54" s="5">
        <v>0</v>
      </c>
      <c r="H54" s="5">
        <v>0</v>
      </c>
      <c r="I54" s="6">
        <v>0</v>
      </c>
      <c r="J54" s="7">
        <v>0</v>
      </c>
      <c r="K54" s="4">
        <f t="shared" si="3"/>
        <v>0</v>
      </c>
      <c r="L54" s="4">
        <f t="shared" si="2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9"/>
      <c r="D55" s="15">
        <f t="shared" si="1"/>
        <v>0</v>
      </c>
      <c r="E55" s="5">
        <v>0</v>
      </c>
      <c r="F55" s="5">
        <v>0</v>
      </c>
      <c r="G55" s="5">
        <v>0</v>
      </c>
      <c r="H55" s="5">
        <v>0</v>
      </c>
      <c r="I55" s="6">
        <v>0</v>
      </c>
      <c r="J55" s="7">
        <v>0</v>
      </c>
      <c r="K55" s="4">
        <f t="shared" si="3"/>
        <v>0</v>
      </c>
      <c r="L55" s="4">
        <f t="shared" si="2"/>
        <v>0</v>
      </c>
      <c r="M55" s="31">
        <v>0</v>
      </c>
      <c r="N55" s="32">
        <v>0</v>
      </c>
      <c r="O55" s="33">
        <v>0</v>
      </c>
      <c r="P55" s="2"/>
    </row>
    <row r="56" spans="2:16" ht="13.8" x14ac:dyDescent="0.2">
      <c r="B56" s="14">
        <v>51</v>
      </c>
      <c r="C56" s="9"/>
      <c r="D56" s="15">
        <f t="shared" si="1"/>
        <v>0</v>
      </c>
      <c r="E56" s="5">
        <v>0</v>
      </c>
      <c r="F56" s="5">
        <v>0</v>
      </c>
      <c r="G56" s="5">
        <v>0</v>
      </c>
      <c r="H56" s="5">
        <v>0</v>
      </c>
      <c r="I56" s="6">
        <v>0</v>
      </c>
      <c r="J56" s="7">
        <v>0</v>
      </c>
      <c r="K56" s="4">
        <f t="shared" si="3"/>
        <v>0</v>
      </c>
      <c r="L56" s="4">
        <f t="shared" si="2"/>
        <v>0</v>
      </c>
      <c r="M56" s="31">
        <v>0</v>
      </c>
      <c r="N56" s="32">
        <v>0</v>
      </c>
      <c r="O56" s="33">
        <v>0</v>
      </c>
      <c r="P56" s="2"/>
    </row>
    <row r="57" spans="2:16" ht="13.8" x14ac:dyDescent="0.2">
      <c r="B57" s="14">
        <v>52</v>
      </c>
      <c r="C57" s="9"/>
      <c r="D57" s="15">
        <f t="shared" si="1"/>
        <v>0</v>
      </c>
      <c r="E57" s="5">
        <v>0</v>
      </c>
      <c r="F57" s="5">
        <v>0</v>
      </c>
      <c r="G57" s="5">
        <v>0</v>
      </c>
      <c r="H57" s="5">
        <v>0</v>
      </c>
      <c r="I57" s="6">
        <v>0</v>
      </c>
      <c r="J57" s="7">
        <v>0</v>
      </c>
      <c r="K57" s="4">
        <f t="shared" si="3"/>
        <v>0</v>
      </c>
      <c r="L57" s="4">
        <f t="shared" si="2"/>
        <v>0</v>
      </c>
      <c r="M57" s="31">
        <v>0</v>
      </c>
      <c r="N57" s="32">
        <v>0</v>
      </c>
      <c r="O57" s="33">
        <v>0</v>
      </c>
      <c r="P57" s="2"/>
    </row>
    <row r="58" spans="2:16" ht="13.8" x14ac:dyDescent="0.2">
      <c r="B58" s="14">
        <v>53</v>
      </c>
      <c r="C58" s="9"/>
      <c r="D58" s="15">
        <f t="shared" si="1"/>
        <v>0</v>
      </c>
      <c r="E58" s="5">
        <v>0</v>
      </c>
      <c r="F58" s="5">
        <v>0</v>
      </c>
      <c r="G58" s="5">
        <v>0</v>
      </c>
      <c r="H58" s="5">
        <v>0</v>
      </c>
      <c r="I58" s="6">
        <v>0</v>
      </c>
      <c r="J58" s="7">
        <v>0</v>
      </c>
      <c r="K58" s="4">
        <f t="shared" si="3"/>
        <v>0</v>
      </c>
      <c r="L58" s="4">
        <f t="shared" si="2"/>
        <v>0</v>
      </c>
      <c r="M58" s="31">
        <v>0</v>
      </c>
      <c r="N58" s="32">
        <v>0</v>
      </c>
      <c r="O58" s="33">
        <v>0</v>
      </c>
      <c r="P58" s="2"/>
    </row>
    <row r="59" spans="2:16" ht="13.8" x14ac:dyDescent="0.2">
      <c r="B59" s="14">
        <v>54</v>
      </c>
      <c r="C59" s="9"/>
      <c r="D59" s="15">
        <f t="shared" si="1"/>
        <v>0</v>
      </c>
      <c r="E59" s="5">
        <v>0</v>
      </c>
      <c r="F59" s="5">
        <v>0</v>
      </c>
      <c r="G59" s="5">
        <v>0</v>
      </c>
      <c r="H59" s="5">
        <v>0</v>
      </c>
      <c r="I59" s="6">
        <v>0</v>
      </c>
      <c r="J59" s="7">
        <v>0</v>
      </c>
      <c r="K59" s="4">
        <f t="shared" si="3"/>
        <v>0</v>
      </c>
      <c r="L59" s="4">
        <f t="shared" si="2"/>
        <v>0</v>
      </c>
      <c r="M59" s="31">
        <v>0</v>
      </c>
      <c r="N59" s="32">
        <v>0</v>
      </c>
      <c r="O59" s="33">
        <v>0</v>
      </c>
      <c r="P59" s="2"/>
    </row>
    <row r="60" spans="2:16" ht="13.8" x14ac:dyDescent="0.2">
      <c r="B60" s="14">
        <v>55</v>
      </c>
      <c r="C60" s="17"/>
      <c r="D60" s="15">
        <f t="shared" si="1"/>
        <v>0</v>
      </c>
      <c r="E60" s="5">
        <v>0</v>
      </c>
      <c r="F60" s="5">
        <v>0</v>
      </c>
      <c r="G60" s="5">
        <v>0</v>
      </c>
      <c r="H60" s="5">
        <v>0</v>
      </c>
      <c r="I60" s="6">
        <v>0</v>
      </c>
      <c r="J60" s="7">
        <v>0</v>
      </c>
      <c r="K60" s="4">
        <f t="shared" si="3"/>
        <v>0</v>
      </c>
      <c r="L60" s="4">
        <f t="shared" si="2"/>
        <v>0</v>
      </c>
      <c r="M60" s="31">
        <v>0</v>
      </c>
      <c r="N60" s="32">
        <v>0</v>
      </c>
      <c r="O60" s="33">
        <v>0</v>
      </c>
      <c r="P60" s="2"/>
    </row>
    <row r="61" spans="2:16" ht="13.8" x14ac:dyDescent="0.2">
      <c r="B61" s="14">
        <v>56</v>
      </c>
      <c r="C61" s="9"/>
      <c r="D61" s="15">
        <f t="shared" si="1"/>
        <v>0</v>
      </c>
      <c r="E61" s="5">
        <v>0</v>
      </c>
      <c r="F61" s="5">
        <v>0</v>
      </c>
      <c r="G61" s="5">
        <v>0</v>
      </c>
      <c r="H61" s="5">
        <v>0</v>
      </c>
      <c r="I61" s="6">
        <v>0</v>
      </c>
      <c r="J61" s="7">
        <v>0</v>
      </c>
      <c r="K61" s="4">
        <f t="shared" si="3"/>
        <v>0</v>
      </c>
      <c r="L61" s="4">
        <f t="shared" si="2"/>
        <v>0</v>
      </c>
      <c r="M61" s="31">
        <v>0</v>
      </c>
      <c r="N61" s="32">
        <v>0</v>
      </c>
      <c r="O61" s="33">
        <v>0</v>
      </c>
      <c r="P61" s="2"/>
    </row>
    <row r="62" spans="2:16" ht="13.8" x14ac:dyDescent="0.2">
      <c r="B62" s="14">
        <v>57</v>
      </c>
      <c r="C62" s="9"/>
      <c r="D62" s="15">
        <f t="shared" si="1"/>
        <v>0</v>
      </c>
      <c r="E62" s="5">
        <v>0</v>
      </c>
      <c r="F62" s="5">
        <v>0</v>
      </c>
      <c r="G62" s="5">
        <v>0</v>
      </c>
      <c r="H62" s="5">
        <v>0</v>
      </c>
      <c r="I62" s="6">
        <v>0</v>
      </c>
      <c r="J62" s="7">
        <v>0</v>
      </c>
      <c r="K62" s="4">
        <f t="shared" si="3"/>
        <v>0</v>
      </c>
      <c r="L62" s="4">
        <f t="shared" si="2"/>
        <v>0</v>
      </c>
      <c r="M62" s="31">
        <v>0</v>
      </c>
      <c r="N62" s="32">
        <v>0</v>
      </c>
      <c r="O62" s="33">
        <v>0</v>
      </c>
      <c r="P62" s="2"/>
    </row>
    <row r="63" spans="2:16" ht="13.8" x14ac:dyDescent="0.2">
      <c r="B63" s="14">
        <v>58</v>
      </c>
      <c r="C63" s="9"/>
      <c r="D63" s="15">
        <f t="shared" si="1"/>
        <v>0</v>
      </c>
      <c r="E63" s="5">
        <v>0</v>
      </c>
      <c r="F63" s="5">
        <v>0</v>
      </c>
      <c r="G63" s="5">
        <v>0</v>
      </c>
      <c r="H63" s="5">
        <v>0</v>
      </c>
      <c r="I63" s="6">
        <v>0</v>
      </c>
      <c r="J63" s="7">
        <v>0</v>
      </c>
      <c r="K63" s="4">
        <f t="shared" si="3"/>
        <v>0</v>
      </c>
      <c r="L63" s="4">
        <f t="shared" si="2"/>
        <v>0</v>
      </c>
      <c r="M63" s="31">
        <v>0</v>
      </c>
      <c r="N63" s="32">
        <v>0</v>
      </c>
      <c r="O63" s="33">
        <v>0</v>
      </c>
      <c r="P63" s="2"/>
    </row>
    <row r="64" spans="2:16" ht="13.8" x14ac:dyDescent="0.2">
      <c r="B64" s="14">
        <v>59</v>
      </c>
      <c r="C64" s="9"/>
      <c r="D64" s="15">
        <f t="shared" si="1"/>
        <v>0</v>
      </c>
      <c r="E64" s="5">
        <v>0</v>
      </c>
      <c r="F64" s="5">
        <v>0</v>
      </c>
      <c r="G64" s="5">
        <v>0</v>
      </c>
      <c r="H64" s="5">
        <v>0</v>
      </c>
      <c r="I64" s="6">
        <v>0</v>
      </c>
      <c r="J64" s="7">
        <v>0</v>
      </c>
      <c r="K64" s="4">
        <f t="shared" si="3"/>
        <v>0</v>
      </c>
      <c r="L64" s="4">
        <f t="shared" si="2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9"/>
      <c r="D65" s="15">
        <f t="shared" si="1"/>
        <v>0</v>
      </c>
      <c r="E65" s="5">
        <v>0</v>
      </c>
      <c r="F65" s="5">
        <v>0</v>
      </c>
      <c r="G65" s="5">
        <v>0</v>
      </c>
      <c r="H65" s="5">
        <v>0</v>
      </c>
      <c r="I65" s="6">
        <v>0</v>
      </c>
      <c r="J65" s="7">
        <v>0</v>
      </c>
      <c r="K65" s="4">
        <f t="shared" si="3"/>
        <v>0</v>
      </c>
      <c r="L65" s="4">
        <f t="shared" si="2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/>
      <c r="D66" s="15">
        <f t="shared" si="1"/>
        <v>0</v>
      </c>
      <c r="E66" s="5">
        <v>0</v>
      </c>
      <c r="F66" s="5">
        <v>0</v>
      </c>
      <c r="G66" s="5">
        <v>0</v>
      </c>
      <c r="H66" s="5">
        <v>0</v>
      </c>
      <c r="I66" s="6">
        <v>0</v>
      </c>
      <c r="J66" s="7">
        <v>0</v>
      </c>
      <c r="K66" s="4">
        <f t="shared" si="3"/>
        <v>0</v>
      </c>
      <c r="L66" s="4">
        <f t="shared" si="2"/>
        <v>0</v>
      </c>
      <c r="M66" s="31">
        <v>0</v>
      </c>
      <c r="N66" s="32">
        <v>0</v>
      </c>
      <c r="O66" s="33">
        <v>0</v>
      </c>
      <c r="P66" s="2"/>
    </row>
    <row r="67" spans="2:16" ht="13.8" x14ac:dyDescent="0.2">
      <c r="B67" s="14">
        <v>62</v>
      </c>
      <c r="C67" s="9"/>
      <c r="D67" s="15">
        <f t="shared" si="1"/>
        <v>0</v>
      </c>
      <c r="E67" s="5">
        <v>0</v>
      </c>
      <c r="F67" s="5">
        <v>0</v>
      </c>
      <c r="G67" s="5">
        <v>0</v>
      </c>
      <c r="H67" s="5">
        <v>0</v>
      </c>
      <c r="I67" s="6">
        <v>0</v>
      </c>
      <c r="J67" s="7">
        <v>0</v>
      </c>
      <c r="K67" s="4">
        <f t="shared" si="3"/>
        <v>0</v>
      </c>
      <c r="L67" s="4">
        <f t="shared" ref="L67:L130" si="4">IFERROR(SUM(SUM(((F67-G67-H67-I67)*1),G67*2,H67*3,I67*4)/E67,((F67+M67+N67)/(E67+M67+N67+O67))),K67)</f>
        <v>0</v>
      </c>
      <c r="M67" s="31">
        <v>0</v>
      </c>
      <c r="N67" s="32">
        <v>0</v>
      </c>
      <c r="O67" s="33">
        <v>0</v>
      </c>
      <c r="P67" s="2"/>
    </row>
    <row r="68" spans="2:16" ht="13.8" x14ac:dyDescent="0.2">
      <c r="B68" s="14">
        <v>63</v>
      </c>
      <c r="C68" s="9"/>
      <c r="D68" s="15">
        <f t="shared" ref="D68:D99" si="5">IFERROR(IF(F68/E68=1,"1.00",F68/E68),0)</f>
        <v>0</v>
      </c>
      <c r="E68" s="5">
        <v>0</v>
      </c>
      <c r="F68" s="5">
        <v>0</v>
      </c>
      <c r="G68" s="5">
        <v>0</v>
      </c>
      <c r="H68" s="5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/>
    </row>
    <row r="69" spans="2:16" ht="13.8" x14ac:dyDescent="0.2">
      <c r="B69" s="14">
        <v>64</v>
      </c>
      <c r="C69" s="9"/>
      <c r="D69" s="15">
        <f t="shared" si="5"/>
        <v>0</v>
      </c>
      <c r="E69" s="5">
        <v>0</v>
      </c>
      <c r="F69" s="5">
        <v>0</v>
      </c>
      <c r="G69" s="5">
        <v>0</v>
      </c>
      <c r="H69" s="5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si="4"/>
        <v>0</v>
      </c>
      <c r="M69" s="31">
        <v>0</v>
      </c>
      <c r="N69" s="32">
        <v>0</v>
      </c>
      <c r="O69" s="33">
        <v>0</v>
      </c>
      <c r="P69" s="2"/>
    </row>
    <row r="70" spans="2:16" ht="13.8" x14ac:dyDescent="0.2">
      <c r="B70" s="14">
        <v>65</v>
      </c>
      <c r="C70" s="9"/>
      <c r="D70" s="15">
        <f t="shared" si="5"/>
        <v>0</v>
      </c>
      <c r="E70" s="5">
        <v>0</v>
      </c>
      <c r="F70" s="5">
        <v>0</v>
      </c>
      <c r="G70" s="5">
        <v>0</v>
      </c>
      <c r="H70" s="5">
        <v>0</v>
      </c>
      <c r="I70" s="6">
        <v>0</v>
      </c>
      <c r="J70" s="7">
        <v>0</v>
      </c>
      <c r="K70" s="4">
        <f t="shared" si="6"/>
        <v>0</v>
      </c>
      <c r="L70" s="4">
        <f t="shared" si="4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/>
      <c r="D71" s="15">
        <f t="shared" si="5"/>
        <v>0</v>
      </c>
      <c r="E71" s="5">
        <v>0</v>
      </c>
      <c r="F71" s="5">
        <v>0</v>
      </c>
      <c r="G71" s="5">
        <v>0</v>
      </c>
      <c r="H71" s="5">
        <v>0</v>
      </c>
      <c r="I71" s="6">
        <v>0</v>
      </c>
      <c r="J71" s="7">
        <v>0</v>
      </c>
      <c r="K71" s="4">
        <f t="shared" si="6"/>
        <v>0</v>
      </c>
      <c r="L71" s="4">
        <f t="shared" si="4"/>
        <v>0</v>
      </c>
      <c r="M71" s="31">
        <v>0</v>
      </c>
      <c r="N71" s="32">
        <v>0</v>
      </c>
      <c r="O71" s="33">
        <v>0</v>
      </c>
      <c r="P71" s="2"/>
    </row>
    <row r="72" spans="2:16" ht="13.8" x14ac:dyDescent="0.2">
      <c r="B72" s="14">
        <v>67</v>
      </c>
      <c r="C72" s="9"/>
      <c r="D72" s="15">
        <f t="shared" si="5"/>
        <v>0</v>
      </c>
      <c r="E72" s="5">
        <v>0</v>
      </c>
      <c r="F72" s="5">
        <v>0</v>
      </c>
      <c r="G72" s="5">
        <v>0</v>
      </c>
      <c r="H72" s="5">
        <v>0</v>
      </c>
      <c r="I72" s="6">
        <v>0</v>
      </c>
      <c r="J72" s="7">
        <v>0</v>
      </c>
      <c r="K72" s="4">
        <f t="shared" si="6"/>
        <v>0</v>
      </c>
      <c r="L72" s="4">
        <f t="shared" si="4"/>
        <v>0</v>
      </c>
      <c r="M72" s="31">
        <v>0</v>
      </c>
      <c r="N72" s="32">
        <v>0</v>
      </c>
      <c r="O72" s="33">
        <v>0</v>
      </c>
      <c r="P72" s="2"/>
    </row>
    <row r="73" spans="2:16" ht="13.8" x14ac:dyDescent="0.2">
      <c r="B73" s="14">
        <v>68</v>
      </c>
      <c r="C73" s="9"/>
      <c r="D73" s="15">
        <f t="shared" si="5"/>
        <v>0</v>
      </c>
      <c r="E73" s="5">
        <v>0</v>
      </c>
      <c r="F73" s="5">
        <v>0</v>
      </c>
      <c r="G73" s="5">
        <v>0</v>
      </c>
      <c r="H73" s="5">
        <v>0</v>
      </c>
      <c r="I73" s="6">
        <v>0</v>
      </c>
      <c r="J73" s="7">
        <v>0</v>
      </c>
      <c r="K73" s="4">
        <f t="shared" si="6"/>
        <v>0</v>
      </c>
      <c r="L73" s="4">
        <f t="shared" si="4"/>
        <v>0</v>
      </c>
      <c r="M73" s="31">
        <v>0</v>
      </c>
      <c r="N73" s="32">
        <v>0</v>
      </c>
      <c r="O73" s="33">
        <v>0</v>
      </c>
      <c r="P73" s="2"/>
    </row>
    <row r="74" spans="2:16" ht="13.8" x14ac:dyDescent="0.2">
      <c r="B74" s="14">
        <v>69</v>
      </c>
      <c r="C74" s="9"/>
      <c r="D74" s="15">
        <f t="shared" si="5"/>
        <v>0</v>
      </c>
      <c r="E74" s="5">
        <v>0</v>
      </c>
      <c r="F74" s="5">
        <v>0</v>
      </c>
      <c r="G74" s="5">
        <v>0</v>
      </c>
      <c r="H74" s="5">
        <v>0</v>
      </c>
      <c r="I74" s="6">
        <v>0</v>
      </c>
      <c r="J74" s="7">
        <v>0</v>
      </c>
      <c r="K74" s="4">
        <f t="shared" si="6"/>
        <v>0</v>
      </c>
      <c r="L74" s="4">
        <f t="shared" si="4"/>
        <v>0</v>
      </c>
      <c r="M74" s="31">
        <v>0</v>
      </c>
      <c r="N74" s="32">
        <v>0</v>
      </c>
      <c r="O74" s="33">
        <v>0</v>
      </c>
      <c r="P74" s="2"/>
    </row>
    <row r="75" spans="2:16" ht="13.8" x14ac:dyDescent="0.2">
      <c r="B75" s="14">
        <v>70</v>
      </c>
      <c r="C75" s="17"/>
      <c r="D75" s="15">
        <f t="shared" si="5"/>
        <v>0</v>
      </c>
      <c r="E75" s="5">
        <v>0</v>
      </c>
      <c r="F75" s="5">
        <v>0</v>
      </c>
      <c r="G75" s="5">
        <v>0</v>
      </c>
      <c r="H75" s="5">
        <v>0</v>
      </c>
      <c r="I75" s="6">
        <v>0</v>
      </c>
      <c r="J75" s="7">
        <v>0</v>
      </c>
      <c r="K75" s="4">
        <f t="shared" si="6"/>
        <v>0</v>
      </c>
      <c r="L75" s="4">
        <f t="shared" si="4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5">
        <v>0</v>
      </c>
      <c r="G76" s="5">
        <v>0</v>
      </c>
      <c r="H76" s="5">
        <v>0</v>
      </c>
      <c r="I76" s="6">
        <v>0</v>
      </c>
      <c r="J76" s="7">
        <v>0</v>
      </c>
      <c r="K76" s="4">
        <f t="shared" si="6"/>
        <v>0</v>
      </c>
      <c r="L76" s="4">
        <f t="shared" si="4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5">
        <v>0</v>
      </c>
      <c r="G77" s="5">
        <v>0</v>
      </c>
      <c r="H77" s="5">
        <v>0</v>
      </c>
      <c r="I77" s="6">
        <v>0</v>
      </c>
      <c r="J77" s="7">
        <v>0</v>
      </c>
      <c r="K77" s="4">
        <f t="shared" si="6"/>
        <v>0</v>
      </c>
      <c r="L77" s="4">
        <f t="shared" si="4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5">
        <v>0</v>
      </c>
      <c r="G78" s="5">
        <v>0</v>
      </c>
      <c r="H78" s="5">
        <v>0</v>
      </c>
      <c r="I78" s="6">
        <v>0</v>
      </c>
      <c r="J78" s="7">
        <v>0</v>
      </c>
      <c r="K78" s="4">
        <f t="shared" si="6"/>
        <v>0</v>
      </c>
      <c r="L78" s="4">
        <f t="shared" si="4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5">
        <v>0</v>
      </c>
      <c r="G79" s="5">
        <v>0</v>
      </c>
      <c r="H79" s="5">
        <v>0</v>
      </c>
      <c r="I79" s="6">
        <v>0</v>
      </c>
      <c r="J79" s="7">
        <v>0</v>
      </c>
      <c r="K79" s="4">
        <f t="shared" si="6"/>
        <v>0</v>
      </c>
      <c r="L79" s="4">
        <f t="shared" si="4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5">
        <v>0</v>
      </c>
      <c r="G80" s="5">
        <v>0</v>
      </c>
      <c r="H80" s="5">
        <v>0</v>
      </c>
      <c r="I80" s="6">
        <v>0</v>
      </c>
      <c r="J80" s="7">
        <v>0</v>
      </c>
      <c r="K80" s="4">
        <f t="shared" si="6"/>
        <v>0</v>
      </c>
      <c r="L80" s="4">
        <f t="shared" si="4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5">
        <v>0</v>
      </c>
      <c r="G81" s="5">
        <v>0</v>
      </c>
      <c r="H81" s="5">
        <v>0</v>
      </c>
      <c r="I81" s="6">
        <v>0</v>
      </c>
      <c r="J81" s="7">
        <v>0</v>
      </c>
      <c r="K81" s="4">
        <f t="shared" si="6"/>
        <v>0</v>
      </c>
      <c r="L81" s="4">
        <f t="shared" si="4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5">
        <v>0</v>
      </c>
      <c r="G82" s="5">
        <v>0</v>
      </c>
      <c r="H82" s="5">
        <v>0</v>
      </c>
      <c r="I82" s="6">
        <v>0</v>
      </c>
      <c r="J82" s="7">
        <v>0</v>
      </c>
      <c r="K82" s="4">
        <f t="shared" si="6"/>
        <v>0</v>
      </c>
      <c r="L82" s="4">
        <f t="shared" si="4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5">
        <v>0</v>
      </c>
      <c r="G83" s="5">
        <v>0</v>
      </c>
      <c r="H83" s="5">
        <v>0</v>
      </c>
      <c r="I83" s="6">
        <v>0</v>
      </c>
      <c r="J83" s="7">
        <v>0</v>
      </c>
      <c r="K83" s="4">
        <f t="shared" si="6"/>
        <v>0</v>
      </c>
      <c r="L83" s="4">
        <f t="shared" si="4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5">
        <v>0</v>
      </c>
      <c r="G84" s="5">
        <v>0</v>
      </c>
      <c r="H84" s="5">
        <v>0</v>
      </c>
      <c r="I84" s="6">
        <v>0</v>
      </c>
      <c r="J84" s="7">
        <v>0</v>
      </c>
      <c r="K84" s="4">
        <f t="shared" si="6"/>
        <v>0</v>
      </c>
      <c r="L84" s="4">
        <f t="shared" si="4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5">
        <v>0</v>
      </c>
      <c r="G85" s="5">
        <v>0</v>
      </c>
      <c r="H85" s="5">
        <v>0</v>
      </c>
      <c r="I85" s="6">
        <v>0</v>
      </c>
      <c r="J85" s="7">
        <v>0</v>
      </c>
      <c r="K85" s="4">
        <f t="shared" si="6"/>
        <v>0</v>
      </c>
      <c r="L85" s="4">
        <f t="shared" si="4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5">
        <v>0</v>
      </c>
      <c r="G86" s="5">
        <v>0</v>
      </c>
      <c r="H86" s="5">
        <v>0</v>
      </c>
      <c r="I86" s="6">
        <v>0</v>
      </c>
      <c r="J86" s="7">
        <v>0</v>
      </c>
      <c r="K86" s="4">
        <f t="shared" si="6"/>
        <v>0</v>
      </c>
      <c r="L86" s="4">
        <f t="shared" si="4"/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5">
        <v>0</v>
      </c>
      <c r="G87" s="5">
        <v>0</v>
      </c>
      <c r="H87" s="5">
        <v>0</v>
      </c>
      <c r="I87" s="6">
        <v>0</v>
      </c>
      <c r="J87" s="7">
        <v>0</v>
      </c>
      <c r="K87" s="4">
        <f t="shared" si="6"/>
        <v>0</v>
      </c>
      <c r="L87" s="4">
        <f t="shared" si="4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5">
        <v>0</v>
      </c>
      <c r="G88" s="5">
        <v>0</v>
      </c>
      <c r="H88" s="5">
        <v>0</v>
      </c>
      <c r="I88" s="6">
        <v>0</v>
      </c>
      <c r="J88" s="7">
        <v>0</v>
      </c>
      <c r="K88" s="4">
        <f t="shared" si="6"/>
        <v>0</v>
      </c>
      <c r="L88" s="4">
        <f t="shared" si="4"/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5">
        <v>0</v>
      </c>
      <c r="G89" s="5">
        <v>0</v>
      </c>
      <c r="H89" s="5">
        <v>0</v>
      </c>
      <c r="I89" s="6">
        <v>0</v>
      </c>
      <c r="J89" s="7">
        <v>0</v>
      </c>
      <c r="K89" s="4">
        <f t="shared" si="6"/>
        <v>0</v>
      </c>
      <c r="L89" s="4">
        <f t="shared" si="4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5">
        <v>0</v>
      </c>
      <c r="G90" s="5">
        <v>0</v>
      </c>
      <c r="H90" s="5">
        <v>0</v>
      </c>
      <c r="I90" s="6">
        <v>0</v>
      </c>
      <c r="J90" s="7">
        <v>0</v>
      </c>
      <c r="K90" s="4">
        <f t="shared" si="6"/>
        <v>0</v>
      </c>
      <c r="L90" s="4">
        <f t="shared" si="4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5">
        <v>0</v>
      </c>
      <c r="G91" s="5">
        <v>0</v>
      </c>
      <c r="H91" s="5">
        <v>0</v>
      </c>
      <c r="I91" s="6">
        <v>0</v>
      </c>
      <c r="J91" s="7">
        <v>0</v>
      </c>
      <c r="K91" s="4">
        <f t="shared" si="6"/>
        <v>0</v>
      </c>
      <c r="L91" s="4">
        <f t="shared" si="4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5">
        <v>0</v>
      </c>
      <c r="G92" s="5">
        <v>0</v>
      </c>
      <c r="H92" s="5">
        <v>0</v>
      </c>
      <c r="I92" s="6">
        <v>0</v>
      </c>
      <c r="J92" s="7">
        <v>0</v>
      </c>
      <c r="K92" s="4">
        <f t="shared" si="6"/>
        <v>0</v>
      </c>
      <c r="L92" s="4">
        <f t="shared" si="4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5">
        <v>0</v>
      </c>
      <c r="G93" s="5">
        <v>0</v>
      </c>
      <c r="H93" s="5">
        <v>0</v>
      </c>
      <c r="I93" s="6">
        <v>0</v>
      </c>
      <c r="J93" s="7">
        <v>0</v>
      </c>
      <c r="K93" s="4">
        <f t="shared" si="6"/>
        <v>0</v>
      </c>
      <c r="L93" s="4">
        <f t="shared" si="4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5">
        <v>0</v>
      </c>
      <c r="G94" s="5">
        <v>0</v>
      </c>
      <c r="H94" s="5">
        <v>0</v>
      </c>
      <c r="I94" s="6">
        <v>0</v>
      </c>
      <c r="J94" s="7">
        <v>0</v>
      </c>
      <c r="K94" s="4">
        <f t="shared" si="6"/>
        <v>0</v>
      </c>
      <c r="L94" s="4">
        <f t="shared" si="4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5">
        <v>0</v>
      </c>
      <c r="G95" s="5">
        <v>0</v>
      </c>
      <c r="H95" s="5">
        <v>0</v>
      </c>
      <c r="I95" s="6">
        <v>0</v>
      </c>
      <c r="J95" s="7">
        <v>0</v>
      </c>
      <c r="K95" s="4">
        <f t="shared" si="6"/>
        <v>0</v>
      </c>
      <c r="L95" s="4">
        <f t="shared" si="4"/>
        <v>0</v>
      </c>
      <c r="M95" s="31">
        <v>0</v>
      </c>
      <c r="N95" s="32">
        <v>0</v>
      </c>
      <c r="O95" s="33">
        <v>0</v>
      </c>
      <c r="P95" s="2"/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5">
        <v>0</v>
      </c>
      <c r="G96" s="5">
        <v>0</v>
      </c>
      <c r="H96" s="5">
        <v>0</v>
      </c>
      <c r="I96" s="6">
        <v>0</v>
      </c>
      <c r="J96" s="7">
        <v>0</v>
      </c>
      <c r="K96" s="4">
        <f t="shared" si="6"/>
        <v>0</v>
      </c>
      <c r="L96" s="4">
        <f t="shared" si="4"/>
        <v>0</v>
      </c>
      <c r="M96" s="31">
        <v>0</v>
      </c>
      <c r="N96" s="32">
        <v>0</v>
      </c>
      <c r="O96" s="33">
        <v>0</v>
      </c>
      <c r="P96" s="2"/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5">
        <v>0</v>
      </c>
      <c r="G97" s="5">
        <v>0</v>
      </c>
      <c r="H97" s="5">
        <v>0</v>
      </c>
      <c r="I97" s="6">
        <v>0</v>
      </c>
      <c r="J97" s="7">
        <v>0</v>
      </c>
      <c r="K97" s="4">
        <f t="shared" si="6"/>
        <v>0</v>
      </c>
      <c r="L97" s="4">
        <f t="shared" si="4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5">
        <v>0</v>
      </c>
      <c r="G98" s="5">
        <v>0</v>
      </c>
      <c r="H98" s="5">
        <v>0</v>
      </c>
      <c r="I98" s="6">
        <v>0</v>
      </c>
      <c r="J98" s="7">
        <v>0</v>
      </c>
      <c r="K98" s="4">
        <f t="shared" si="6"/>
        <v>0</v>
      </c>
      <c r="L98" s="4">
        <f t="shared" si="4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5">
        <v>0</v>
      </c>
      <c r="G99" s="5">
        <v>0</v>
      </c>
      <c r="H99" s="5">
        <v>0</v>
      </c>
      <c r="I99" s="6">
        <v>0</v>
      </c>
      <c r="J99" s="7">
        <v>0</v>
      </c>
      <c r="K99" s="4">
        <f t="shared" si="6"/>
        <v>0</v>
      </c>
      <c r="L99" s="4">
        <f t="shared" si="4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17"/>
      <c r="D100" s="15">
        <f>IFERROR(IF(F100/E100=1,"1.00",F100/E100),0)</f>
        <v>0</v>
      </c>
      <c r="E100" s="5">
        <v>0</v>
      </c>
      <c r="F100" s="5">
        <v>0</v>
      </c>
      <c r="G100" s="5">
        <v>0</v>
      </c>
      <c r="H100" s="5">
        <v>0</v>
      </c>
      <c r="I100" s="6">
        <v>0</v>
      </c>
      <c r="J100" s="7">
        <v>0</v>
      </c>
      <c r="K100" s="4">
        <f t="shared" si="6"/>
        <v>0</v>
      </c>
      <c r="L100" s="4">
        <f t="shared" si="4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>IFERROR(IF(F101/E101=1,"1.00",F101/E101),0)</f>
        <v>0</v>
      </c>
      <c r="E101" s="5">
        <v>0</v>
      </c>
      <c r="F101" s="5">
        <v>0</v>
      </c>
      <c r="G101" s="5">
        <v>0</v>
      </c>
      <c r="H101" s="5">
        <v>0</v>
      </c>
      <c r="I101" s="6">
        <v>0</v>
      </c>
      <c r="J101" s="7">
        <v>0</v>
      </c>
      <c r="K101" s="4">
        <f t="shared" si="6"/>
        <v>0</v>
      </c>
      <c r="L101" s="4">
        <f t="shared" si="4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>IFERROR(IF(F102/E102=1,"1.00",F102/E102),0)</f>
        <v>0</v>
      </c>
      <c r="E102" s="5">
        <v>0</v>
      </c>
      <c r="F102" s="5">
        <v>0</v>
      </c>
      <c r="G102" s="5">
        <v>0</v>
      </c>
      <c r="H102" s="5">
        <v>0</v>
      </c>
      <c r="I102" s="6">
        <v>0</v>
      </c>
      <c r="J102" s="7">
        <v>0</v>
      </c>
      <c r="K102" s="4">
        <f t="shared" si="6"/>
        <v>0</v>
      </c>
      <c r="L102" s="4">
        <f t="shared" si="4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9"/>
      <c r="D103" s="15">
        <f>IFERROR(IF(F103/E103=1,"1.00",F103/E103),0)</f>
        <v>0</v>
      </c>
      <c r="E103" s="5">
        <v>0</v>
      </c>
      <c r="F103" s="5">
        <v>0</v>
      </c>
      <c r="G103" s="5">
        <v>0</v>
      </c>
      <c r="H103" s="5">
        <v>0</v>
      </c>
      <c r="I103" s="6">
        <v>0</v>
      </c>
      <c r="J103" s="7">
        <v>0</v>
      </c>
      <c r="K103" s="4">
        <f t="shared" si="6"/>
        <v>0</v>
      </c>
      <c r="L103" s="4">
        <f t="shared" si="4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9"/>
      <c r="D104" s="15">
        <f>IFERROR(IF(F104/E104=1,"1.00",F104/E104),0)</f>
        <v>0</v>
      </c>
      <c r="E104" s="5">
        <v>0</v>
      </c>
      <c r="F104" s="5">
        <v>0</v>
      </c>
      <c r="G104" s="5">
        <v>0</v>
      </c>
      <c r="H104" s="5">
        <v>0</v>
      </c>
      <c r="I104" s="6">
        <v>0</v>
      </c>
      <c r="J104" s="7">
        <v>0</v>
      </c>
      <c r="K104" s="4">
        <f t="shared" si="6"/>
        <v>0</v>
      </c>
      <c r="L104" s="4">
        <f t="shared" si="4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>
        <v>120</v>
      </c>
      <c r="C105" s="18"/>
      <c r="D105" s="19">
        <f t="shared" ref="D105:D134" si="7">IFERROR(IF(F105/E105=1,"1.00",F105/E105),0)</f>
        <v>0</v>
      </c>
      <c r="E105" s="5">
        <v>0</v>
      </c>
      <c r="F105" s="5">
        <v>0</v>
      </c>
      <c r="G105" s="5">
        <v>0</v>
      </c>
      <c r="H105" s="5">
        <v>0</v>
      </c>
      <c r="I105" s="6">
        <v>0</v>
      </c>
      <c r="J105" s="7">
        <v>0</v>
      </c>
      <c r="K105" s="4">
        <f t="shared" si="6"/>
        <v>0</v>
      </c>
      <c r="L105" s="4">
        <f t="shared" si="4"/>
        <v>0</v>
      </c>
      <c r="M105" s="31">
        <v>0</v>
      </c>
      <c r="N105" s="32">
        <v>0</v>
      </c>
      <c r="O105" s="33">
        <v>0</v>
      </c>
      <c r="P105" s="2"/>
    </row>
    <row r="106" spans="2:16" ht="13.8" x14ac:dyDescent="0.2">
      <c r="B106" s="14">
        <v>121</v>
      </c>
      <c r="C106" s="9"/>
      <c r="D106" s="15">
        <f t="shared" si="7"/>
        <v>0</v>
      </c>
      <c r="E106" s="5">
        <v>0</v>
      </c>
      <c r="F106" s="5">
        <v>0</v>
      </c>
      <c r="G106" s="5">
        <v>0</v>
      </c>
      <c r="H106" s="5">
        <v>0</v>
      </c>
      <c r="I106" s="6">
        <v>0</v>
      </c>
      <c r="J106" s="7">
        <v>0</v>
      </c>
      <c r="K106" s="4">
        <f t="shared" si="6"/>
        <v>0</v>
      </c>
      <c r="L106" s="4">
        <f t="shared" si="4"/>
        <v>0</v>
      </c>
      <c r="M106" s="31">
        <v>0</v>
      </c>
      <c r="N106" s="32">
        <v>0</v>
      </c>
      <c r="O106" s="33">
        <v>0</v>
      </c>
      <c r="P106" s="2"/>
    </row>
    <row r="107" spans="2:16" ht="13.8" x14ac:dyDescent="0.2">
      <c r="B107" s="14">
        <v>122</v>
      </c>
      <c r="C107" s="9"/>
      <c r="D107" s="15">
        <f t="shared" si="7"/>
        <v>0</v>
      </c>
      <c r="E107" s="5">
        <v>0</v>
      </c>
      <c r="F107" s="5">
        <v>0</v>
      </c>
      <c r="G107" s="5">
        <v>0</v>
      </c>
      <c r="H107" s="5">
        <v>0</v>
      </c>
      <c r="I107" s="6">
        <v>0</v>
      </c>
      <c r="J107" s="7">
        <v>0</v>
      </c>
      <c r="K107" s="4">
        <f t="shared" si="6"/>
        <v>0</v>
      </c>
      <c r="L107" s="4">
        <f t="shared" si="4"/>
        <v>0</v>
      </c>
      <c r="M107" s="31">
        <v>0</v>
      </c>
      <c r="N107" s="32">
        <v>0</v>
      </c>
      <c r="O107" s="33">
        <v>0</v>
      </c>
      <c r="P107" s="2"/>
    </row>
    <row r="108" spans="2:16" ht="13.8" x14ac:dyDescent="0.2">
      <c r="B108" s="14">
        <v>123</v>
      </c>
      <c r="C108" s="9"/>
      <c r="D108" s="15">
        <f t="shared" si="7"/>
        <v>0</v>
      </c>
      <c r="E108" s="5">
        <v>0</v>
      </c>
      <c r="F108" s="5">
        <v>0</v>
      </c>
      <c r="G108" s="5">
        <v>0</v>
      </c>
      <c r="H108" s="5">
        <v>0</v>
      </c>
      <c r="I108" s="6">
        <v>0</v>
      </c>
      <c r="J108" s="7">
        <v>0</v>
      </c>
      <c r="K108" s="4">
        <f t="shared" si="6"/>
        <v>0</v>
      </c>
      <c r="L108" s="4">
        <f t="shared" si="4"/>
        <v>0</v>
      </c>
      <c r="M108" s="31">
        <v>0</v>
      </c>
      <c r="N108" s="32">
        <v>0</v>
      </c>
      <c r="O108" s="33">
        <v>0</v>
      </c>
      <c r="P108" s="2"/>
    </row>
    <row r="109" spans="2:16" ht="13.8" x14ac:dyDescent="0.2">
      <c r="B109" s="14" t="s">
        <v>114</v>
      </c>
      <c r="C109" s="9"/>
      <c r="D109" s="15">
        <f t="shared" si="7"/>
        <v>0</v>
      </c>
      <c r="E109" s="5">
        <v>0</v>
      </c>
      <c r="F109" s="5">
        <v>0</v>
      </c>
      <c r="G109" s="5">
        <v>0</v>
      </c>
      <c r="H109" s="5">
        <v>0</v>
      </c>
      <c r="I109" s="6">
        <v>0</v>
      </c>
      <c r="J109" s="7">
        <v>0</v>
      </c>
      <c r="K109" s="4">
        <f t="shared" si="6"/>
        <v>0</v>
      </c>
      <c r="L109" s="4">
        <f t="shared" si="4"/>
        <v>0</v>
      </c>
      <c r="M109" s="31">
        <v>0</v>
      </c>
      <c r="N109" s="32">
        <v>0</v>
      </c>
      <c r="O109" s="33">
        <v>0</v>
      </c>
      <c r="P109" s="2"/>
    </row>
    <row r="110" spans="2:16" ht="13.8" x14ac:dyDescent="0.2">
      <c r="B110" s="14" t="s">
        <v>115</v>
      </c>
      <c r="C110" s="9"/>
      <c r="D110" s="15">
        <f t="shared" si="7"/>
        <v>0</v>
      </c>
      <c r="E110" s="5">
        <v>0</v>
      </c>
      <c r="F110" s="5">
        <v>0</v>
      </c>
      <c r="G110" s="5">
        <v>0</v>
      </c>
      <c r="H110" s="5">
        <v>0</v>
      </c>
      <c r="I110" s="6">
        <v>0</v>
      </c>
      <c r="J110" s="7">
        <v>0</v>
      </c>
      <c r="K110" s="4">
        <f t="shared" si="6"/>
        <v>0</v>
      </c>
      <c r="L110" s="4">
        <f t="shared" si="4"/>
        <v>0</v>
      </c>
      <c r="M110" s="31">
        <v>0</v>
      </c>
      <c r="N110" s="32">
        <v>0</v>
      </c>
      <c r="O110" s="33">
        <v>0</v>
      </c>
      <c r="P110" s="2"/>
    </row>
    <row r="111" spans="2:16" ht="13.8" x14ac:dyDescent="0.2">
      <c r="B111" s="14"/>
      <c r="C111" s="9"/>
      <c r="D111" s="15">
        <f t="shared" si="7"/>
        <v>0</v>
      </c>
      <c r="E111" s="5">
        <v>0</v>
      </c>
      <c r="F111" s="5">
        <v>0</v>
      </c>
      <c r="G111" s="5">
        <v>0</v>
      </c>
      <c r="H111" s="5">
        <v>0</v>
      </c>
      <c r="I111" s="6">
        <v>0</v>
      </c>
      <c r="J111" s="7">
        <v>0</v>
      </c>
      <c r="K111" s="4">
        <f t="shared" si="6"/>
        <v>0</v>
      </c>
      <c r="L111" s="4">
        <f t="shared" si="4"/>
        <v>0</v>
      </c>
      <c r="M111" s="31">
        <v>0</v>
      </c>
      <c r="N111" s="32">
        <v>0</v>
      </c>
      <c r="O111" s="33">
        <v>0</v>
      </c>
      <c r="P111" s="2"/>
    </row>
    <row r="112" spans="2:16" ht="13.8" x14ac:dyDescent="0.2">
      <c r="B112" s="14"/>
      <c r="C112" s="9"/>
      <c r="D112" s="15">
        <f t="shared" si="7"/>
        <v>0</v>
      </c>
      <c r="E112" s="5">
        <v>0</v>
      </c>
      <c r="F112" s="5">
        <v>0</v>
      </c>
      <c r="G112" s="5">
        <v>0</v>
      </c>
      <c r="H112" s="5">
        <v>0</v>
      </c>
      <c r="I112" s="6">
        <v>0</v>
      </c>
      <c r="J112" s="7">
        <v>0</v>
      </c>
      <c r="K112" s="4">
        <f t="shared" si="6"/>
        <v>0</v>
      </c>
      <c r="L112" s="4">
        <f t="shared" si="4"/>
        <v>0</v>
      </c>
      <c r="M112" s="31">
        <v>0</v>
      </c>
      <c r="N112" s="32">
        <v>0</v>
      </c>
      <c r="O112" s="33">
        <v>0</v>
      </c>
      <c r="P112" s="2"/>
    </row>
    <row r="113" spans="2:16" ht="13.8" x14ac:dyDescent="0.2">
      <c r="B113" s="14"/>
      <c r="C113" s="9"/>
      <c r="D113" s="15">
        <f t="shared" si="7"/>
        <v>0</v>
      </c>
      <c r="E113" s="5">
        <v>0</v>
      </c>
      <c r="F113" s="5">
        <v>0</v>
      </c>
      <c r="G113" s="5">
        <v>0</v>
      </c>
      <c r="H113" s="5">
        <v>0</v>
      </c>
      <c r="I113" s="6">
        <v>0</v>
      </c>
      <c r="J113" s="7">
        <v>0</v>
      </c>
      <c r="K113" s="4">
        <f t="shared" si="6"/>
        <v>0</v>
      </c>
      <c r="L113" s="4">
        <f t="shared" si="4"/>
        <v>0</v>
      </c>
      <c r="M113" s="31">
        <v>0</v>
      </c>
      <c r="N113" s="32">
        <v>0</v>
      </c>
      <c r="O113" s="33">
        <v>0</v>
      </c>
      <c r="P113" s="2"/>
    </row>
    <row r="114" spans="2:16" ht="13.8" x14ac:dyDescent="0.2">
      <c r="B114" s="14"/>
      <c r="C114" s="9"/>
      <c r="D114" s="15">
        <f t="shared" si="7"/>
        <v>0</v>
      </c>
      <c r="E114" s="5">
        <v>0</v>
      </c>
      <c r="F114" s="5">
        <v>0</v>
      </c>
      <c r="G114" s="5">
        <v>0</v>
      </c>
      <c r="H114" s="5">
        <v>0</v>
      </c>
      <c r="I114" s="6">
        <v>0</v>
      </c>
      <c r="J114" s="7">
        <v>0</v>
      </c>
      <c r="K114" s="4">
        <f t="shared" si="6"/>
        <v>0</v>
      </c>
      <c r="L114" s="4">
        <f t="shared" si="4"/>
        <v>0</v>
      </c>
      <c r="M114" s="31">
        <v>0</v>
      </c>
      <c r="N114" s="32">
        <v>0</v>
      </c>
      <c r="O114" s="33">
        <v>0</v>
      </c>
      <c r="P114" s="2"/>
    </row>
    <row r="115" spans="2:16" ht="13.8" x14ac:dyDescent="0.2">
      <c r="B115" s="14"/>
      <c r="C115" s="9"/>
      <c r="D115" s="15">
        <f t="shared" si="7"/>
        <v>0</v>
      </c>
      <c r="E115" s="5">
        <v>0</v>
      </c>
      <c r="F115" s="5">
        <v>0</v>
      </c>
      <c r="G115" s="5">
        <v>0</v>
      </c>
      <c r="H115" s="5">
        <v>0</v>
      </c>
      <c r="I115" s="6">
        <v>0</v>
      </c>
      <c r="J115" s="7">
        <v>0</v>
      </c>
      <c r="K115" s="4">
        <f t="shared" si="6"/>
        <v>0</v>
      </c>
      <c r="L115" s="4">
        <f t="shared" si="4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7"/>
        <v>0</v>
      </c>
      <c r="E116" s="5">
        <v>0</v>
      </c>
      <c r="F116" s="5">
        <v>0</v>
      </c>
      <c r="G116" s="5">
        <v>0</v>
      </c>
      <c r="H116" s="5">
        <v>0</v>
      </c>
      <c r="I116" s="6">
        <v>0</v>
      </c>
      <c r="J116" s="7">
        <v>0</v>
      </c>
      <c r="K116" s="4">
        <f t="shared" si="6"/>
        <v>0</v>
      </c>
      <c r="L116" s="4">
        <f t="shared" si="4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7"/>
        <v>0</v>
      </c>
      <c r="E117" s="5">
        <v>0</v>
      </c>
      <c r="F117" s="5">
        <v>0</v>
      </c>
      <c r="G117" s="5">
        <v>0</v>
      </c>
      <c r="H117" s="5">
        <v>0</v>
      </c>
      <c r="I117" s="6">
        <v>0</v>
      </c>
      <c r="J117" s="7">
        <v>0</v>
      </c>
      <c r="K117" s="4">
        <f t="shared" si="6"/>
        <v>0</v>
      </c>
      <c r="L117" s="4">
        <f t="shared" si="4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7"/>
        <v>0</v>
      </c>
      <c r="E118" s="5">
        <v>0</v>
      </c>
      <c r="F118" s="5">
        <v>0</v>
      </c>
      <c r="G118" s="5">
        <v>0</v>
      </c>
      <c r="H118" s="5">
        <v>0</v>
      </c>
      <c r="I118" s="6">
        <v>0</v>
      </c>
      <c r="J118" s="7">
        <v>0</v>
      </c>
      <c r="K118" s="4">
        <f t="shared" si="6"/>
        <v>0</v>
      </c>
      <c r="L118" s="4">
        <f t="shared" si="4"/>
        <v>0</v>
      </c>
      <c r="M118" s="31">
        <v>0</v>
      </c>
      <c r="N118" s="32">
        <v>0</v>
      </c>
      <c r="O118" s="33">
        <v>0</v>
      </c>
      <c r="P118" s="2"/>
    </row>
    <row r="119" spans="2:16" ht="13.8" x14ac:dyDescent="0.2">
      <c r="B119" s="14"/>
      <c r="C119" s="9"/>
      <c r="D119" s="15">
        <f t="shared" si="7"/>
        <v>0</v>
      </c>
      <c r="E119" s="5">
        <v>0</v>
      </c>
      <c r="F119" s="5">
        <v>0</v>
      </c>
      <c r="G119" s="5">
        <v>0</v>
      </c>
      <c r="H119" s="5">
        <v>0</v>
      </c>
      <c r="I119" s="6">
        <v>0</v>
      </c>
      <c r="J119" s="7">
        <v>0</v>
      </c>
      <c r="K119" s="4">
        <f t="shared" si="6"/>
        <v>0</v>
      </c>
      <c r="L119" s="4">
        <f t="shared" si="4"/>
        <v>0</v>
      </c>
      <c r="M119" s="31">
        <v>0</v>
      </c>
      <c r="N119" s="32">
        <v>0</v>
      </c>
      <c r="O119" s="33">
        <v>0</v>
      </c>
      <c r="P119" s="2"/>
    </row>
    <row r="120" spans="2:16" ht="13.8" x14ac:dyDescent="0.2">
      <c r="B120" s="14"/>
      <c r="C120" s="9"/>
      <c r="D120" s="15">
        <f t="shared" si="7"/>
        <v>0</v>
      </c>
      <c r="E120" s="5">
        <v>0</v>
      </c>
      <c r="F120" s="5">
        <v>0</v>
      </c>
      <c r="G120" s="5">
        <v>0</v>
      </c>
      <c r="H120" s="5">
        <v>0</v>
      </c>
      <c r="I120" s="6">
        <v>0</v>
      </c>
      <c r="J120" s="7">
        <v>0</v>
      </c>
      <c r="K120" s="4">
        <f t="shared" si="6"/>
        <v>0</v>
      </c>
      <c r="L120" s="4">
        <f t="shared" si="4"/>
        <v>0</v>
      </c>
      <c r="M120" s="31">
        <v>0</v>
      </c>
      <c r="N120" s="32">
        <v>0</v>
      </c>
      <c r="O120" s="33">
        <v>0</v>
      </c>
      <c r="P120" s="2"/>
    </row>
    <row r="121" spans="2:16" ht="13.8" x14ac:dyDescent="0.2">
      <c r="B121" s="14"/>
      <c r="C121" s="9"/>
      <c r="D121" s="15">
        <f t="shared" si="7"/>
        <v>0</v>
      </c>
      <c r="E121" s="5">
        <v>0</v>
      </c>
      <c r="F121" s="5">
        <v>0</v>
      </c>
      <c r="G121" s="5">
        <v>0</v>
      </c>
      <c r="H121" s="5">
        <v>0</v>
      </c>
      <c r="I121" s="6">
        <v>0</v>
      </c>
      <c r="J121" s="7">
        <v>0</v>
      </c>
      <c r="K121" s="4">
        <f t="shared" si="6"/>
        <v>0</v>
      </c>
      <c r="L121" s="4">
        <f t="shared" si="4"/>
        <v>0</v>
      </c>
      <c r="M121" s="31">
        <v>0</v>
      </c>
      <c r="N121" s="32">
        <v>0</v>
      </c>
      <c r="O121" s="33">
        <v>0</v>
      </c>
      <c r="P121" s="2"/>
    </row>
    <row r="122" spans="2:16" ht="13.8" x14ac:dyDescent="0.2">
      <c r="B122" s="14"/>
      <c r="C122" s="9"/>
      <c r="D122" s="15">
        <f t="shared" si="7"/>
        <v>0</v>
      </c>
      <c r="E122" s="5">
        <v>0</v>
      </c>
      <c r="F122" s="5">
        <v>0</v>
      </c>
      <c r="G122" s="5">
        <v>0</v>
      </c>
      <c r="H122" s="5">
        <v>0</v>
      </c>
      <c r="I122" s="6">
        <v>0</v>
      </c>
      <c r="J122" s="7">
        <v>0</v>
      </c>
      <c r="K122" s="4">
        <f t="shared" si="6"/>
        <v>0</v>
      </c>
      <c r="L122" s="4">
        <f t="shared" si="4"/>
        <v>0</v>
      </c>
      <c r="M122" s="31">
        <v>0</v>
      </c>
      <c r="N122" s="32">
        <v>0</v>
      </c>
      <c r="O122" s="33">
        <v>0</v>
      </c>
      <c r="P122" s="2"/>
    </row>
    <row r="123" spans="2:16" ht="13.8" x14ac:dyDescent="0.2">
      <c r="B123" s="14"/>
      <c r="C123" s="9"/>
      <c r="D123" s="15">
        <f t="shared" si="7"/>
        <v>0</v>
      </c>
      <c r="E123" s="5">
        <v>0</v>
      </c>
      <c r="F123" s="5">
        <v>0</v>
      </c>
      <c r="G123" s="5">
        <v>0</v>
      </c>
      <c r="H123" s="5">
        <v>0</v>
      </c>
      <c r="I123" s="6">
        <v>0</v>
      </c>
      <c r="J123" s="7">
        <v>0</v>
      </c>
      <c r="K123" s="4">
        <f t="shared" si="6"/>
        <v>0</v>
      </c>
      <c r="L123" s="4">
        <f t="shared" si="4"/>
        <v>0</v>
      </c>
      <c r="M123" s="31">
        <v>0</v>
      </c>
      <c r="N123" s="32">
        <v>0</v>
      </c>
      <c r="O123" s="33">
        <v>0</v>
      </c>
      <c r="P123" s="2"/>
    </row>
    <row r="124" spans="2:16" ht="13.8" x14ac:dyDescent="0.2">
      <c r="B124" s="14"/>
      <c r="C124" s="9"/>
      <c r="D124" s="15">
        <f t="shared" si="7"/>
        <v>0</v>
      </c>
      <c r="E124" s="5">
        <v>0</v>
      </c>
      <c r="F124" s="5">
        <v>0</v>
      </c>
      <c r="G124" s="5">
        <v>0</v>
      </c>
      <c r="H124" s="5">
        <v>0</v>
      </c>
      <c r="I124" s="6">
        <v>0</v>
      </c>
      <c r="J124" s="7">
        <v>0</v>
      </c>
      <c r="K124" s="4">
        <f t="shared" si="6"/>
        <v>0</v>
      </c>
      <c r="L124" s="4">
        <f t="shared" si="4"/>
        <v>0</v>
      </c>
      <c r="M124" s="31">
        <v>0</v>
      </c>
      <c r="N124" s="32">
        <v>0</v>
      </c>
      <c r="O124" s="33">
        <v>0</v>
      </c>
      <c r="P124" s="2"/>
    </row>
    <row r="125" spans="2:16" ht="13.8" x14ac:dyDescent="0.2">
      <c r="B125" s="14"/>
      <c r="C125" s="9"/>
      <c r="D125" s="15">
        <f t="shared" si="7"/>
        <v>0</v>
      </c>
      <c r="E125" s="5">
        <v>0</v>
      </c>
      <c r="F125" s="5">
        <v>0</v>
      </c>
      <c r="G125" s="5">
        <v>0</v>
      </c>
      <c r="H125" s="5">
        <v>0</v>
      </c>
      <c r="I125" s="6">
        <v>0</v>
      </c>
      <c r="J125" s="7">
        <v>0</v>
      </c>
      <c r="K125" s="4">
        <f t="shared" si="6"/>
        <v>0</v>
      </c>
      <c r="L125" s="4">
        <f t="shared" si="4"/>
        <v>0</v>
      </c>
      <c r="M125" s="31">
        <v>0</v>
      </c>
      <c r="N125" s="32">
        <v>0</v>
      </c>
      <c r="O125" s="33">
        <v>0</v>
      </c>
      <c r="P125" s="2"/>
    </row>
    <row r="126" spans="2:16" ht="13.8" x14ac:dyDescent="0.2">
      <c r="B126" s="14"/>
      <c r="C126" s="9"/>
      <c r="D126" s="15">
        <f t="shared" si="7"/>
        <v>0</v>
      </c>
      <c r="E126" s="5">
        <v>0</v>
      </c>
      <c r="F126" s="5">
        <v>0</v>
      </c>
      <c r="G126" s="5">
        <v>0</v>
      </c>
      <c r="H126" s="5">
        <v>0</v>
      </c>
      <c r="I126" s="6">
        <v>0</v>
      </c>
      <c r="J126" s="7">
        <v>0</v>
      </c>
      <c r="K126" s="4">
        <f t="shared" si="6"/>
        <v>0</v>
      </c>
      <c r="L126" s="4">
        <f t="shared" si="4"/>
        <v>0</v>
      </c>
      <c r="M126" s="31">
        <v>0</v>
      </c>
      <c r="N126" s="32">
        <v>0</v>
      </c>
      <c r="O126" s="33">
        <v>0</v>
      </c>
      <c r="P126" s="2"/>
    </row>
    <row r="127" spans="2:16" ht="13.8" x14ac:dyDescent="0.2">
      <c r="B127" s="14"/>
      <c r="C127" s="9"/>
      <c r="D127" s="15">
        <f t="shared" si="7"/>
        <v>0</v>
      </c>
      <c r="E127" s="5">
        <v>0</v>
      </c>
      <c r="F127" s="5">
        <v>0</v>
      </c>
      <c r="G127" s="5">
        <v>0</v>
      </c>
      <c r="H127" s="5">
        <v>0</v>
      </c>
      <c r="I127" s="6">
        <v>0</v>
      </c>
      <c r="J127" s="7">
        <v>0</v>
      </c>
      <c r="K127" s="4">
        <f t="shared" si="6"/>
        <v>0</v>
      </c>
      <c r="L127" s="4">
        <f t="shared" si="4"/>
        <v>0</v>
      </c>
      <c r="M127" s="31">
        <v>0</v>
      </c>
      <c r="N127" s="32">
        <v>0</v>
      </c>
      <c r="O127" s="33">
        <v>0</v>
      </c>
      <c r="P127" s="2"/>
    </row>
    <row r="128" spans="2:16" ht="13.8" x14ac:dyDescent="0.2">
      <c r="B128" s="14"/>
      <c r="C128" s="9"/>
      <c r="D128" s="15">
        <f t="shared" si="7"/>
        <v>0</v>
      </c>
      <c r="E128" s="5">
        <v>0</v>
      </c>
      <c r="F128" s="5">
        <v>0</v>
      </c>
      <c r="G128" s="5">
        <v>0</v>
      </c>
      <c r="H128" s="5">
        <v>0</v>
      </c>
      <c r="I128" s="6">
        <v>0</v>
      </c>
      <c r="J128" s="7">
        <v>0</v>
      </c>
      <c r="K128" s="4">
        <f t="shared" si="6"/>
        <v>0</v>
      </c>
      <c r="L128" s="4">
        <f t="shared" si="4"/>
        <v>0</v>
      </c>
      <c r="M128" s="31">
        <v>0</v>
      </c>
      <c r="N128" s="32">
        <v>0</v>
      </c>
      <c r="O128" s="33">
        <v>0</v>
      </c>
      <c r="P128" s="2"/>
    </row>
    <row r="129" spans="2:16" ht="13.8" x14ac:dyDescent="0.2">
      <c r="B129" s="14"/>
      <c r="C129" s="9"/>
      <c r="D129" s="15">
        <f t="shared" si="7"/>
        <v>0</v>
      </c>
      <c r="E129" s="5">
        <v>0</v>
      </c>
      <c r="F129" s="5">
        <v>0</v>
      </c>
      <c r="G129" s="5">
        <v>0</v>
      </c>
      <c r="H129" s="5">
        <v>0</v>
      </c>
      <c r="I129" s="6">
        <v>0</v>
      </c>
      <c r="J129" s="7">
        <v>0</v>
      </c>
      <c r="K129" s="4">
        <f t="shared" si="6"/>
        <v>0</v>
      </c>
      <c r="L129" s="4">
        <f t="shared" si="4"/>
        <v>0</v>
      </c>
      <c r="M129" s="31">
        <v>0</v>
      </c>
      <c r="N129" s="32">
        <v>0</v>
      </c>
      <c r="O129" s="33">
        <v>0</v>
      </c>
      <c r="P129" s="2"/>
    </row>
    <row r="130" spans="2:16" ht="13.8" x14ac:dyDescent="0.2">
      <c r="B130" s="14"/>
      <c r="C130" s="9"/>
      <c r="D130" s="15">
        <f t="shared" si="7"/>
        <v>0</v>
      </c>
      <c r="E130" s="5">
        <v>0</v>
      </c>
      <c r="F130" s="5">
        <v>0</v>
      </c>
      <c r="G130" s="5">
        <v>0</v>
      </c>
      <c r="H130" s="5">
        <v>0</v>
      </c>
      <c r="I130" s="6">
        <v>0</v>
      </c>
      <c r="J130" s="7">
        <v>0</v>
      </c>
      <c r="K130" s="4">
        <f t="shared" si="6"/>
        <v>0</v>
      </c>
      <c r="L130" s="4">
        <f t="shared" si="4"/>
        <v>0</v>
      </c>
      <c r="M130" s="31">
        <v>0</v>
      </c>
      <c r="N130" s="32">
        <v>0</v>
      </c>
      <c r="O130" s="33">
        <v>0</v>
      </c>
      <c r="P130" s="2"/>
    </row>
    <row r="131" spans="2:16" ht="13.8" x14ac:dyDescent="0.2">
      <c r="B131" s="14"/>
      <c r="C131" s="9"/>
      <c r="D131" s="15">
        <f t="shared" si="7"/>
        <v>0</v>
      </c>
      <c r="E131" s="5">
        <v>0</v>
      </c>
      <c r="F131" s="5">
        <v>0</v>
      </c>
      <c r="G131" s="5">
        <v>0</v>
      </c>
      <c r="H131" s="5">
        <v>0</v>
      </c>
      <c r="I131" s="6">
        <v>0</v>
      </c>
      <c r="J131" s="7">
        <v>0</v>
      </c>
      <c r="K131" s="4">
        <f t="shared" si="6"/>
        <v>0</v>
      </c>
      <c r="L131" s="4">
        <f>IFERROR(SUM(SUM(((F131-G131-H131-I131)*1),G131*2,H131*3,I131*4)/E131,((F131+M131+N131)/(E131+M131+N131+O131))),K131)</f>
        <v>0</v>
      </c>
      <c r="M131" s="31">
        <v>0</v>
      </c>
      <c r="N131" s="32">
        <v>0</v>
      </c>
      <c r="O131" s="33">
        <v>0</v>
      </c>
      <c r="P131" s="2"/>
    </row>
    <row r="132" spans="2:16" ht="13.8" x14ac:dyDescent="0.2">
      <c r="B132" s="14"/>
      <c r="C132" s="9"/>
      <c r="D132" s="15">
        <f t="shared" si="7"/>
        <v>0</v>
      </c>
      <c r="E132" s="5">
        <v>0</v>
      </c>
      <c r="F132" s="5">
        <v>0</v>
      </c>
      <c r="G132" s="5">
        <v>0</v>
      </c>
      <c r="H132" s="5">
        <v>0</v>
      </c>
      <c r="I132" s="6">
        <v>0</v>
      </c>
      <c r="J132" s="7">
        <v>0</v>
      </c>
      <c r="K132" s="4">
        <f t="shared" si="6"/>
        <v>0</v>
      </c>
      <c r="L132" s="4">
        <f>IFERROR(SUM(SUM(((F132-G132-H132-I132)*1),G132*2,H132*3,I132*4)/E132,((F132+M132+N132)/(E132+M132+N132+O132))),K132)</f>
        <v>0</v>
      </c>
      <c r="M132" s="31">
        <v>0</v>
      </c>
      <c r="N132" s="32">
        <v>0</v>
      </c>
      <c r="O132" s="33">
        <v>0</v>
      </c>
      <c r="P132" s="2"/>
    </row>
    <row r="133" spans="2:16" ht="13.8" x14ac:dyDescent="0.2">
      <c r="B133" s="14"/>
      <c r="C133" s="9"/>
      <c r="D133" s="15">
        <f t="shared" si="7"/>
        <v>0</v>
      </c>
      <c r="E133" s="5">
        <v>0</v>
      </c>
      <c r="F133" s="5">
        <v>0</v>
      </c>
      <c r="G133" s="5">
        <v>0</v>
      </c>
      <c r="H133" s="5">
        <v>0</v>
      </c>
      <c r="I133" s="6">
        <v>0</v>
      </c>
      <c r="J133" s="7">
        <v>0</v>
      </c>
      <c r="K133" s="4">
        <f>IFERROR(IF((F133+M133+N133)/(E133+M133+N133+O133)=1,"1.00",(F133+M133+N133)/(E133+M133+N133+O133)),0)</f>
        <v>0</v>
      </c>
      <c r="L133" s="4">
        <f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/>
    </row>
    <row r="134" spans="2:16" ht="13.8" x14ac:dyDescent="0.2">
      <c r="B134" s="14"/>
      <c r="C134" s="9"/>
      <c r="D134" s="15">
        <f t="shared" si="7"/>
        <v>0</v>
      </c>
      <c r="E134" s="5">
        <v>0</v>
      </c>
      <c r="F134" s="5">
        <v>0</v>
      </c>
      <c r="G134" s="5">
        <v>0</v>
      </c>
      <c r="H134" s="5">
        <v>0</v>
      </c>
      <c r="I134" s="6">
        <v>0</v>
      </c>
      <c r="J134" s="7">
        <v>0</v>
      </c>
      <c r="K134" s="4">
        <f>IFERROR(IF((F134+M134+N134)/(E134+M134+N134+O134)=1,"1.00",(F134+M134+N134)/(E134+M134+N134+O134)),0)</f>
        <v>0</v>
      </c>
      <c r="L134" s="4">
        <f>IFERROR(SUM(SUM(((F134-G134-H134-I134)*1),G134*2,H134*3,I134*4)/E134,((F134+M134+N134)/(E134+M134+N134+O134))),K134)</f>
        <v>0</v>
      </c>
      <c r="M134" s="31">
        <v>0</v>
      </c>
      <c r="N134" s="32">
        <v>0</v>
      </c>
      <c r="O134" s="33">
        <v>0</v>
      </c>
      <c r="P134" s="2"/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horizontalDpi="300" verticalDpi="300" r:id="rId1"/>
  <ignoredErrors>
    <ignoredError sqref="K2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>
      <selection activeCell="N2" sqref="N2:O2"/>
    </sheetView>
  </sheetViews>
  <sheetFormatPr defaultRowHeight="13.2" x14ac:dyDescent="0.2"/>
  <sheetData>
    <row r="1" spans="2:27" ht="39.6" customHeight="1" x14ac:dyDescent="0.2">
      <c r="B1" s="1" t="s">
        <v>821</v>
      </c>
      <c r="C1" s="1" t="s">
        <v>822</v>
      </c>
      <c r="D1" s="1" t="s">
        <v>823</v>
      </c>
      <c r="E1" s="1" t="s">
        <v>824</v>
      </c>
      <c r="F1" s="1" t="s">
        <v>825</v>
      </c>
      <c r="G1" s="1" t="s">
        <v>826</v>
      </c>
      <c r="H1" s="1" t="s">
        <v>827</v>
      </c>
      <c r="I1" s="1" t="s">
        <v>828</v>
      </c>
      <c r="J1" s="1" t="s">
        <v>829</v>
      </c>
      <c r="K1" s="1" t="s">
        <v>830</v>
      </c>
      <c r="L1" s="1" t="s">
        <v>831</v>
      </c>
      <c r="M1" s="1" t="s">
        <v>832</v>
      </c>
      <c r="N1" s="1" t="s">
        <v>833</v>
      </c>
      <c r="O1" s="1" t="s">
        <v>834</v>
      </c>
      <c r="P1" s="1" t="s">
        <v>835</v>
      </c>
      <c r="Q1" s="1" t="s">
        <v>836</v>
      </c>
      <c r="R1" s="1" t="s">
        <v>837</v>
      </c>
      <c r="S1" s="1" t="s">
        <v>838</v>
      </c>
      <c r="T1" s="1" t="s">
        <v>839</v>
      </c>
      <c r="U1" s="1" t="s">
        <v>840</v>
      </c>
      <c r="V1" s="1" t="s">
        <v>841</v>
      </c>
      <c r="W1" s="1" t="s">
        <v>842</v>
      </c>
      <c r="X1" s="1" t="s">
        <v>843</v>
      </c>
      <c r="Y1" s="1" t="s">
        <v>844</v>
      </c>
      <c r="Z1" s="1" t="s">
        <v>845</v>
      </c>
      <c r="AA1" s="1" t="s">
        <v>846</v>
      </c>
    </row>
    <row r="2" spans="2:27" x14ac:dyDescent="0.2">
      <c r="B2" s="24"/>
      <c r="D2" s="25"/>
      <c r="M2" s="26" t="s">
        <v>732</v>
      </c>
      <c r="N2" s="84"/>
      <c r="O2" s="84"/>
      <c r="W2" s="25"/>
      <c r="X2" s="25"/>
      <c r="Y2" s="25"/>
      <c r="Z2" s="25"/>
      <c r="AA2" s="25"/>
    </row>
    <row r="3" spans="2:27" x14ac:dyDescent="0.2">
      <c r="B3" s="27" t="s">
        <v>733</v>
      </c>
      <c r="D3" s="25"/>
      <c r="F3" t="s">
        <v>734</v>
      </c>
      <c r="W3" s="25"/>
      <c r="X3" s="25"/>
      <c r="Y3" s="25"/>
      <c r="Z3" s="25"/>
      <c r="AA3" s="25"/>
    </row>
    <row r="4" spans="2:27" x14ac:dyDescent="0.2">
      <c r="B4" s="28" t="s">
        <v>735</v>
      </c>
      <c r="D4" s="25"/>
      <c r="W4" s="25"/>
      <c r="X4" s="25"/>
      <c r="Y4" s="25"/>
      <c r="Z4" s="25"/>
      <c r="AA4" s="25"/>
    </row>
    <row r="5" spans="2:27" x14ac:dyDescent="0.2">
      <c r="B5" s="39" t="s">
        <v>736</v>
      </c>
      <c r="C5" t="s">
        <v>736</v>
      </c>
      <c r="D5" s="25" t="s">
        <v>736</v>
      </c>
      <c r="E5" t="s">
        <v>736</v>
      </c>
      <c r="F5" t="s">
        <v>736</v>
      </c>
      <c r="G5" s="38" t="s">
        <v>736</v>
      </c>
      <c r="H5" s="38" t="s">
        <v>736</v>
      </c>
      <c r="I5" s="38" t="s">
        <v>736</v>
      </c>
      <c r="J5" s="38" t="s">
        <v>736</v>
      </c>
      <c r="K5" s="38" t="s">
        <v>736</v>
      </c>
      <c r="L5" t="s">
        <v>736</v>
      </c>
      <c r="M5" s="38" t="s">
        <v>736</v>
      </c>
      <c r="N5" t="s">
        <v>736</v>
      </c>
      <c r="O5" t="s">
        <v>736</v>
      </c>
      <c r="P5" s="38" t="s">
        <v>736</v>
      </c>
      <c r="Q5" s="38" t="s">
        <v>736</v>
      </c>
      <c r="R5" t="s">
        <v>736</v>
      </c>
      <c r="S5" s="38" t="s">
        <v>736</v>
      </c>
      <c r="T5" t="s">
        <v>736</v>
      </c>
      <c r="U5" t="s">
        <v>736</v>
      </c>
      <c r="V5" t="s">
        <v>736</v>
      </c>
      <c r="W5" s="25" t="s">
        <v>736</v>
      </c>
      <c r="X5" s="25" t="s">
        <v>736</v>
      </c>
      <c r="Y5" s="25" t="s">
        <v>736</v>
      </c>
      <c r="Z5" s="25" t="s">
        <v>736</v>
      </c>
      <c r="AA5" s="25" t="s">
        <v>736</v>
      </c>
    </row>
    <row r="6" spans="2:27" x14ac:dyDescent="0.2">
      <c r="B6" s="24" t="s">
        <v>736</v>
      </c>
      <c r="C6" t="s">
        <v>736</v>
      </c>
      <c r="D6" s="25" t="s">
        <v>736</v>
      </c>
      <c r="E6" t="s">
        <v>736</v>
      </c>
      <c r="F6" t="s">
        <v>736</v>
      </c>
      <c r="G6" t="s">
        <v>736</v>
      </c>
      <c r="H6" t="s">
        <v>736</v>
      </c>
      <c r="I6" t="s">
        <v>736</v>
      </c>
      <c r="J6" t="s">
        <v>736</v>
      </c>
      <c r="K6" t="s">
        <v>736</v>
      </c>
      <c r="L6" t="s">
        <v>736</v>
      </c>
      <c r="M6" t="s">
        <v>736</v>
      </c>
      <c r="N6" t="s">
        <v>736</v>
      </c>
      <c r="O6" t="s">
        <v>736</v>
      </c>
      <c r="P6" t="s">
        <v>736</v>
      </c>
      <c r="Q6" t="s">
        <v>736</v>
      </c>
      <c r="R6" t="s">
        <v>736</v>
      </c>
      <c r="S6" t="s">
        <v>736</v>
      </c>
      <c r="T6" t="s">
        <v>736</v>
      </c>
      <c r="U6" t="s">
        <v>736</v>
      </c>
      <c r="V6" t="s">
        <v>736</v>
      </c>
      <c r="W6" s="25" t="s">
        <v>736</v>
      </c>
      <c r="X6" s="25" t="s">
        <v>736</v>
      </c>
      <c r="Y6" s="25" t="s">
        <v>736</v>
      </c>
      <c r="Z6" s="25" t="s">
        <v>736</v>
      </c>
      <c r="AA6" s="25" t="s">
        <v>736</v>
      </c>
    </row>
    <row r="7" spans="2:27" x14ac:dyDescent="0.2">
      <c r="B7" s="24" t="s">
        <v>736</v>
      </c>
      <c r="C7" t="s">
        <v>736</v>
      </c>
      <c r="D7" s="25" t="s">
        <v>736</v>
      </c>
      <c r="E7" t="s">
        <v>736</v>
      </c>
      <c r="F7" t="s">
        <v>736</v>
      </c>
      <c r="G7" t="s">
        <v>736</v>
      </c>
      <c r="H7" t="s">
        <v>736</v>
      </c>
      <c r="I7" t="s">
        <v>736</v>
      </c>
      <c r="J7" t="s">
        <v>736</v>
      </c>
      <c r="K7" t="s">
        <v>736</v>
      </c>
      <c r="L7" t="s">
        <v>736</v>
      </c>
      <c r="M7" t="s">
        <v>736</v>
      </c>
      <c r="N7" t="s">
        <v>736</v>
      </c>
      <c r="O7" t="s">
        <v>736</v>
      </c>
      <c r="P7" t="s">
        <v>736</v>
      </c>
      <c r="Q7" t="s">
        <v>736</v>
      </c>
      <c r="R7" t="s">
        <v>736</v>
      </c>
      <c r="S7" t="s">
        <v>736</v>
      </c>
      <c r="T7" t="s">
        <v>736</v>
      </c>
      <c r="U7" t="s">
        <v>736</v>
      </c>
      <c r="V7" t="s">
        <v>736</v>
      </c>
      <c r="W7" s="25" t="s">
        <v>736</v>
      </c>
      <c r="X7" s="25" t="s">
        <v>736</v>
      </c>
      <c r="Y7" s="25" t="s">
        <v>736</v>
      </c>
      <c r="Z7" s="25" t="s">
        <v>736</v>
      </c>
      <c r="AA7" s="25" t="s">
        <v>736</v>
      </c>
    </row>
    <row r="8" spans="2:27" x14ac:dyDescent="0.2">
      <c r="B8" s="24" t="s">
        <v>736</v>
      </c>
      <c r="C8" t="s">
        <v>736</v>
      </c>
      <c r="D8" s="25" t="s">
        <v>736</v>
      </c>
      <c r="E8" t="s">
        <v>736</v>
      </c>
      <c r="F8" t="s">
        <v>736</v>
      </c>
      <c r="G8" t="s">
        <v>736</v>
      </c>
      <c r="H8" t="s">
        <v>736</v>
      </c>
      <c r="I8" t="s">
        <v>736</v>
      </c>
      <c r="J8" t="s">
        <v>736</v>
      </c>
      <c r="K8" t="s">
        <v>736</v>
      </c>
      <c r="L8" t="s">
        <v>736</v>
      </c>
      <c r="M8" t="s">
        <v>736</v>
      </c>
      <c r="N8" t="s">
        <v>736</v>
      </c>
      <c r="O8" t="s">
        <v>736</v>
      </c>
      <c r="P8" t="s">
        <v>736</v>
      </c>
      <c r="Q8" t="s">
        <v>736</v>
      </c>
      <c r="R8" t="s">
        <v>736</v>
      </c>
      <c r="S8" t="s">
        <v>736</v>
      </c>
      <c r="T8" t="s">
        <v>736</v>
      </c>
      <c r="U8" t="s">
        <v>736</v>
      </c>
      <c r="V8" t="s">
        <v>736</v>
      </c>
      <c r="W8" s="25" t="s">
        <v>736</v>
      </c>
      <c r="X8" s="25" t="s">
        <v>736</v>
      </c>
      <c r="Y8" s="25" t="s">
        <v>736</v>
      </c>
      <c r="Z8" s="25" t="s">
        <v>736</v>
      </c>
      <c r="AA8" s="25" t="s">
        <v>736</v>
      </c>
    </row>
    <row r="9" spans="2:27" x14ac:dyDescent="0.2">
      <c r="B9" s="24" t="s">
        <v>736</v>
      </c>
      <c r="C9" t="s">
        <v>736</v>
      </c>
      <c r="D9" s="25" t="s">
        <v>736</v>
      </c>
      <c r="E9" t="s">
        <v>736</v>
      </c>
      <c r="F9" t="s">
        <v>736</v>
      </c>
      <c r="G9" t="s">
        <v>736</v>
      </c>
      <c r="H9" t="s">
        <v>736</v>
      </c>
      <c r="I9" t="s">
        <v>736</v>
      </c>
      <c r="J9" t="s">
        <v>736</v>
      </c>
      <c r="K9" t="s">
        <v>736</v>
      </c>
      <c r="L9" t="s">
        <v>736</v>
      </c>
      <c r="M9" t="s">
        <v>736</v>
      </c>
      <c r="N9" t="s">
        <v>736</v>
      </c>
      <c r="O9" t="s">
        <v>736</v>
      </c>
      <c r="P9" t="s">
        <v>736</v>
      </c>
      <c r="Q9" t="s">
        <v>736</v>
      </c>
      <c r="R9" t="s">
        <v>736</v>
      </c>
      <c r="S9" t="s">
        <v>736</v>
      </c>
      <c r="T9" t="s">
        <v>736</v>
      </c>
      <c r="U9" t="s">
        <v>736</v>
      </c>
      <c r="V9" t="s">
        <v>736</v>
      </c>
      <c r="W9" s="25" t="s">
        <v>736</v>
      </c>
      <c r="X9" s="25" t="s">
        <v>736</v>
      </c>
      <c r="Y9" s="25" t="s">
        <v>736</v>
      </c>
      <c r="Z9" s="25" t="s">
        <v>736</v>
      </c>
      <c r="AA9" s="25" t="s">
        <v>736</v>
      </c>
    </row>
    <row r="10" spans="2:27" x14ac:dyDescent="0.2">
      <c r="B10" s="24" t="s">
        <v>736</v>
      </c>
      <c r="C10" t="s">
        <v>736</v>
      </c>
      <c r="D10" s="25" t="s">
        <v>736</v>
      </c>
      <c r="E10" t="s">
        <v>736</v>
      </c>
      <c r="F10" t="s">
        <v>736</v>
      </c>
      <c r="G10" t="s">
        <v>736</v>
      </c>
      <c r="H10" t="s">
        <v>736</v>
      </c>
      <c r="I10" t="s">
        <v>736</v>
      </c>
      <c r="J10" t="s">
        <v>736</v>
      </c>
      <c r="K10" t="s">
        <v>736</v>
      </c>
      <c r="L10" t="s">
        <v>736</v>
      </c>
      <c r="M10" t="s">
        <v>736</v>
      </c>
      <c r="N10" t="s">
        <v>736</v>
      </c>
      <c r="O10" t="s">
        <v>736</v>
      </c>
      <c r="P10" t="s">
        <v>736</v>
      </c>
      <c r="Q10" t="s">
        <v>736</v>
      </c>
      <c r="R10" t="s">
        <v>736</v>
      </c>
      <c r="S10" t="s">
        <v>736</v>
      </c>
      <c r="T10" t="s">
        <v>736</v>
      </c>
      <c r="U10" t="s">
        <v>736</v>
      </c>
      <c r="V10" t="s">
        <v>736</v>
      </c>
      <c r="W10" s="25" t="s">
        <v>736</v>
      </c>
      <c r="X10" s="25" t="s">
        <v>736</v>
      </c>
      <c r="Y10" s="25" t="s">
        <v>736</v>
      </c>
      <c r="Z10" s="25" t="s">
        <v>736</v>
      </c>
      <c r="AA10" s="25" t="s">
        <v>736</v>
      </c>
    </row>
    <row r="11" spans="2:27" x14ac:dyDescent="0.2">
      <c r="B11" s="24" t="s">
        <v>736</v>
      </c>
      <c r="C11" t="s">
        <v>736</v>
      </c>
      <c r="D11" s="25" t="s">
        <v>736</v>
      </c>
      <c r="E11" t="s">
        <v>736</v>
      </c>
      <c r="F11" t="s">
        <v>736</v>
      </c>
      <c r="G11" t="s">
        <v>736</v>
      </c>
      <c r="H11" t="s">
        <v>736</v>
      </c>
      <c r="I11" t="s">
        <v>736</v>
      </c>
      <c r="J11" t="s">
        <v>736</v>
      </c>
      <c r="K11" t="s">
        <v>736</v>
      </c>
      <c r="L11" t="s">
        <v>736</v>
      </c>
      <c r="M11" t="s">
        <v>736</v>
      </c>
      <c r="N11" t="s">
        <v>736</v>
      </c>
      <c r="O11" t="s">
        <v>736</v>
      </c>
      <c r="P11" t="s">
        <v>736</v>
      </c>
      <c r="Q11" t="s">
        <v>736</v>
      </c>
      <c r="R11" t="s">
        <v>736</v>
      </c>
      <c r="S11" t="s">
        <v>736</v>
      </c>
      <c r="T11" t="s">
        <v>736</v>
      </c>
      <c r="U11" t="s">
        <v>736</v>
      </c>
      <c r="V11" t="s">
        <v>736</v>
      </c>
      <c r="W11" s="25" t="s">
        <v>736</v>
      </c>
      <c r="X11" s="25" t="s">
        <v>736</v>
      </c>
      <c r="Y11" s="25" t="s">
        <v>736</v>
      </c>
      <c r="Z11" s="25" t="s">
        <v>736</v>
      </c>
      <c r="AA11" s="25" t="s">
        <v>736</v>
      </c>
    </row>
    <row r="12" spans="2:27" x14ac:dyDescent="0.2">
      <c r="B12" s="24" t="s">
        <v>736</v>
      </c>
      <c r="C12" t="s">
        <v>736</v>
      </c>
      <c r="D12" s="25" t="s">
        <v>736</v>
      </c>
      <c r="E12" t="s">
        <v>736</v>
      </c>
      <c r="F12" t="s">
        <v>736</v>
      </c>
      <c r="G12" t="s">
        <v>736</v>
      </c>
      <c r="H12" t="s">
        <v>736</v>
      </c>
      <c r="I12" t="s">
        <v>736</v>
      </c>
      <c r="J12" t="s">
        <v>736</v>
      </c>
      <c r="K12" t="s">
        <v>736</v>
      </c>
      <c r="L12" t="s">
        <v>736</v>
      </c>
      <c r="M12" t="s">
        <v>736</v>
      </c>
      <c r="N12" t="s">
        <v>736</v>
      </c>
      <c r="O12" t="s">
        <v>736</v>
      </c>
      <c r="P12" t="s">
        <v>736</v>
      </c>
      <c r="Q12" t="s">
        <v>736</v>
      </c>
      <c r="R12" t="s">
        <v>736</v>
      </c>
      <c r="S12" t="s">
        <v>736</v>
      </c>
      <c r="T12" t="s">
        <v>736</v>
      </c>
      <c r="U12" t="s">
        <v>736</v>
      </c>
      <c r="V12" t="s">
        <v>736</v>
      </c>
      <c r="W12" s="25" t="s">
        <v>736</v>
      </c>
      <c r="X12" s="25" t="s">
        <v>736</v>
      </c>
      <c r="Y12" s="25" t="s">
        <v>736</v>
      </c>
      <c r="Z12" s="25" t="s">
        <v>736</v>
      </c>
      <c r="AA12" s="25" t="s">
        <v>736</v>
      </c>
    </row>
    <row r="13" spans="2:27" x14ac:dyDescent="0.2">
      <c r="B13" s="24" t="s">
        <v>736</v>
      </c>
      <c r="C13" t="s">
        <v>736</v>
      </c>
      <c r="D13" s="25" t="s">
        <v>736</v>
      </c>
      <c r="E13" t="s">
        <v>736</v>
      </c>
      <c r="F13" t="s">
        <v>736</v>
      </c>
      <c r="G13" t="s">
        <v>736</v>
      </c>
      <c r="H13" t="s">
        <v>736</v>
      </c>
      <c r="I13" t="s">
        <v>736</v>
      </c>
      <c r="J13" t="s">
        <v>736</v>
      </c>
      <c r="K13" t="s">
        <v>736</v>
      </c>
      <c r="L13" t="s">
        <v>736</v>
      </c>
      <c r="M13" t="s">
        <v>736</v>
      </c>
      <c r="N13" t="s">
        <v>736</v>
      </c>
      <c r="O13" t="s">
        <v>736</v>
      </c>
      <c r="P13" t="s">
        <v>736</v>
      </c>
      <c r="Q13" t="s">
        <v>736</v>
      </c>
      <c r="R13" t="s">
        <v>736</v>
      </c>
      <c r="S13" t="s">
        <v>736</v>
      </c>
      <c r="T13" t="s">
        <v>736</v>
      </c>
      <c r="U13" t="s">
        <v>736</v>
      </c>
      <c r="V13" t="s">
        <v>736</v>
      </c>
      <c r="W13" s="25" t="s">
        <v>736</v>
      </c>
      <c r="X13" s="25" t="s">
        <v>736</v>
      </c>
      <c r="Y13" s="25" t="s">
        <v>736</v>
      </c>
      <c r="Z13" s="25" t="s">
        <v>736</v>
      </c>
      <c r="AA13" s="25" t="s">
        <v>736</v>
      </c>
    </row>
    <row r="14" spans="2:27" x14ac:dyDescent="0.2">
      <c r="B14" s="24" t="s">
        <v>736</v>
      </c>
      <c r="C14" t="s">
        <v>736</v>
      </c>
      <c r="D14" s="25" t="s">
        <v>736</v>
      </c>
      <c r="E14" t="s">
        <v>736</v>
      </c>
      <c r="F14" t="s">
        <v>736</v>
      </c>
      <c r="G14" t="s">
        <v>736</v>
      </c>
      <c r="H14" t="s">
        <v>736</v>
      </c>
      <c r="I14" t="s">
        <v>736</v>
      </c>
      <c r="J14" t="s">
        <v>736</v>
      </c>
      <c r="K14" t="s">
        <v>736</v>
      </c>
      <c r="L14" t="s">
        <v>736</v>
      </c>
      <c r="M14" t="s">
        <v>736</v>
      </c>
      <c r="N14" t="s">
        <v>736</v>
      </c>
      <c r="O14" t="s">
        <v>736</v>
      </c>
      <c r="P14" t="s">
        <v>736</v>
      </c>
      <c r="Q14" t="s">
        <v>736</v>
      </c>
      <c r="R14" t="s">
        <v>736</v>
      </c>
      <c r="S14" t="s">
        <v>736</v>
      </c>
      <c r="T14" t="s">
        <v>736</v>
      </c>
      <c r="U14" t="s">
        <v>736</v>
      </c>
      <c r="V14" t="s">
        <v>736</v>
      </c>
      <c r="W14" s="25" t="s">
        <v>736</v>
      </c>
      <c r="X14" s="25" t="s">
        <v>736</v>
      </c>
      <c r="Y14" s="25" t="s">
        <v>736</v>
      </c>
      <c r="Z14" s="25" t="s">
        <v>736</v>
      </c>
      <c r="AA14" s="25" t="s">
        <v>736</v>
      </c>
    </row>
    <row r="15" spans="2:27" x14ac:dyDescent="0.2">
      <c r="B15" s="24" t="s">
        <v>736</v>
      </c>
      <c r="C15" t="s">
        <v>736</v>
      </c>
      <c r="D15" s="25" t="s">
        <v>736</v>
      </c>
      <c r="E15" t="s">
        <v>736</v>
      </c>
      <c r="F15" t="s">
        <v>736</v>
      </c>
      <c r="G15" t="s">
        <v>736</v>
      </c>
      <c r="H15" t="s">
        <v>736</v>
      </c>
      <c r="I15" t="s">
        <v>736</v>
      </c>
      <c r="J15" t="s">
        <v>736</v>
      </c>
      <c r="K15" t="s">
        <v>736</v>
      </c>
      <c r="L15" t="s">
        <v>736</v>
      </c>
      <c r="M15" t="s">
        <v>736</v>
      </c>
      <c r="N15" t="s">
        <v>736</v>
      </c>
      <c r="O15" t="s">
        <v>736</v>
      </c>
      <c r="P15" t="s">
        <v>736</v>
      </c>
      <c r="Q15" t="s">
        <v>736</v>
      </c>
      <c r="R15" t="s">
        <v>736</v>
      </c>
      <c r="S15" t="s">
        <v>736</v>
      </c>
      <c r="T15" t="s">
        <v>736</v>
      </c>
      <c r="U15" t="s">
        <v>736</v>
      </c>
      <c r="V15" t="s">
        <v>736</v>
      </c>
      <c r="W15" s="25" t="s">
        <v>736</v>
      </c>
      <c r="X15" s="25" t="s">
        <v>736</v>
      </c>
      <c r="Y15" s="25" t="s">
        <v>736</v>
      </c>
      <c r="Z15" s="25" t="s">
        <v>736</v>
      </c>
      <c r="AA15" s="25" t="s">
        <v>736</v>
      </c>
    </row>
    <row r="16" spans="2:27" x14ac:dyDescent="0.2">
      <c r="B16" s="24" t="s">
        <v>736</v>
      </c>
      <c r="C16" t="s">
        <v>736</v>
      </c>
      <c r="D16" s="25" t="s">
        <v>736</v>
      </c>
      <c r="E16" t="s">
        <v>736</v>
      </c>
      <c r="F16" t="s">
        <v>736</v>
      </c>
      <c r="G16" t="s">
        <v>736</v>
      </c>
      <c r="H16" t="s">
        <v>736</v>
      </c>
      <c r="I16" t="s">
        <v>736</v>
      </c>
      <c r="J16" t="s">
        <v>736</v>
      </c>
      <c r="K16" t="s">
        <v>736</v>
      </c>
      <c r="L16" t="s">
        <v>736</v>
      </c>
      <c r="M16" t="s">
        <v>736</v>
      </c>
      <c r="N16" t="s">
        <v>736</v>
      </c>
      <c r="O16" t="s">
        <v>736</v>
      </c>
      <c r="P16" t="s">
        <v>736</v>
      </c>
      <c r="Q16" t="s">
        <v>736</v>
      </c>
      <c r="R16" t="s">
        <v>736</v>
      </c>
      <c r="S16" t="s">
        <v>736</v>
      </c>
      <c r="T16" t="s">
        <v>736</v>
      </c>
      <c r="U16" t="s">
        <v>736</v>
      </c>
      <c r="V16" t="s">
        <v>736</v>
      </c>
      <c r="W16" s="25" t="s">
        <v>736</v>
      </c>
      <c r="X16" s="25" t="s">
        <v>736</v>
      </c>
      <c r="Y16" s="25" t="s">
        <v>736</v>
      </c>
      <c r="Z16" s="25" t="s">
        <v>736</v>
      </c>
      <c r="AA16" s="25" t="s">
        <v>736</v>
      </c>
    </row>
    <row r="17" spans="2:27" x14ac:dyDescent="0.2">
      <c r="B17" s="24" t="s">
        <v>736</v>
      </c>
      <c r="C17" t="s">
        <v>736</v>
      </c>
      <c r="D17" s="25" t="s">
        <v>736</v>
      </c>
      <c r="E17" t="s">
        <v>736</v>
      </c>
      <c r="F17" t="s">
        <v>736</v>
      </c>
      <c r="G17" t="s">
        <v>736</v>
      </c>
      <c r="H17" t="s">
        <v>736</v>
      </c>
      <c r="I17" t="s">
        <v>736</v>
      </c>
      <c r="J17" t="s">
        <v>736</v>
      </c>
      <c r="K17" t="s">
        <v>736</v>
      </c>
      <c r="L17" t="s">
        <v>736</v>
      </c>
      <c r="M17" t="s">
        <v>736</v>
      </c>
      <c r="N17" t="s">
        <v>736</v>
      </c>
      <c r="O17" t="s">
        <v>736</v>
      </c>
      <c r="P17" t="s">
        <v>736</v>
      </c>
      <c r="Q17" t="s">
        <v>736</v>
      </c>
      <c r="R17" t="s">
        <v>736</v>
      </c>
      <c r="S17" t="s">
        <v>736</v>
      </c>
      <c r="T17" t="s">
        <v>736</v>
      </c>
      <c r="U17" t="s">
        <v>736</v>
      </c>
      <c r="V17" t="s">
        <v>736</v>
      </c>
      <c r="W17" s="25" t="s">
        <v>736</v>
      </c>
      <c r="X17" s="25" t="s">
        <v>736</v>
      </c>
      <c r="Y17" s="25" t="s">
        <v>736</v>
      </c>
      <c r="Z17" s="25" t="s">
        <v>736</v>
      </c>
      <c r="AA17" s="25" t="s">
        <v>736</v>
      </c>
    </row>
    <row r="18" spans="2:27" x14ac:dyDescent="0.2">
      <c r="B18" s="24" t="s">
        <v>736</v>
      </c>
      <c r="C18" t="s">
        <v>736</v>
      </c>
      <c r="D18" s="25" t="s">
        <v>736</v>
      </c>
      <c r="E18" t="s">
        <v>736</v>
      </c>
      <c r="F18" t="s">
        <v>736</v>
      </c>
      <c r="G18" t="s">
        <v>736</v>
      </c>
      <c r="H18" t="s">
        <v>736</v>
      </c>
      <c r="I18" t="s">
        <v>736</v>
      </c>
      <c r="J18" t="s">
        <v>736</v>
      </c>
      <c r="K18" t="s">
        <v>736</v>
      </c>
      <c r="L18" t="s">
        <v>736</v>
      </c>
      <c r="M18" t="s">
        <v>736</v>
      </c>
      <c r="N18" t="s">
        <v>736</v>
      </c>
      <c r="O18" t="s">
        <v>736</v>
      </c>
      <c r="P18" t="s">
        <v>736</v>
      </c>
      <c r="Q18" t="s">
        <v>736</v>
      </c>
      <c r="R18" t="s">
        <v>736</v>
      </c>
      <c r="S18" t="s">
        <v>736</v>
      </c>
      <c r="T18" t="s">
        <v>736</v>
      </c>
      <c r="U18" t="s">
        <v>736</v>
      </c>
      <c r="V18" t="s">
        <v>736</v>
      </c>
      <c r="W18" s="25" t="s">
        <v>736</v>
      </c>
      <c r="X18" s="25" t="s">
        <v>736</v>
      </c>
      <c r="Y18" s="25" t="s">
        <v>736</v>
      </c>
      <c r="Z18" s="25" t="s">
        <v>736</v>
      </c>
      <c r="AA18" s="25" t="s">
        <v>736</v>
      </c>
    </row>
    <row r="19" spans="2:27" x14ac:dyDescent="0.2">
      <c r="B19" s="24" t="s">
        <v>736</v>
      </c>
      <c r="C19" t="s">
        <v>736</v>
      </c>
      <c r="D19" s="25" t="s">
        <v>736</v>
      </c>
      <c r="E19" t="s">
        <v>736</v>
      </c>
      <c r="F19" t="s">
        <v>736</v>
      </c>
      <c r="G19" t="s">
        <v>736</v>
      </c>
      <c r="H19" t="s">
        <v>736</v>
      </c>
      <c r="I19" t="s">
        <v>736</v>
      </c>
      <c r="J19" t="s">
        <v>736</v>
      </c>
      <c r="K19" t="s">
        <v>736</v>
      </c>
      <c r="L19" t="s">
        <v>736</v>
      </c>
      <c r="M19" t="s">
        <v>736</v>
      </c>
      <c r="N19" t="s">
        <v>736</v>
      </c>
      <c r="O19" t="s">
        <v>736</v>
      </c>
      <c r="P19" t="s">
        <v>736</v>
      </c>
      <c r="Q19" t="s">
        <v>736</v>
      </c>
      <c r="R19" t="s">
        <v>736</v>
      </c>
      <c r="S19" t="s">
        <v>736</v>
      </c>
      <c r="T19" t="s">
        <v>736</v>
      </c>
      <c r="U19" t="s">
        <v>736</v>
      </c>
      <c r="V19" t="s">
        <v>736</v>
      </c>
      <c r="W19" s="25" t="s">
        <v>736</v>
      </c>
      <c r="X19" s="25" t="s">
        <v>736</v>
      </c>
      <c r="Y19" s="25" t="s">
        <v>736</v>
      </c>
      <c r="Z19" s="25" t="s">
        <v>736</v>
      </c>
      <c r="AA19" s="25" t="s">
        <v>736</v>
      </c>
    </row>
    <row r="20" spans="2:27" x14ac:dyDescent="0.2">
      <c r="B20" s="24" t="s">
        <v>736</v>
      </c>
      <c r="C20" t="s">
        <v>736</v>
      </c>
      <c r="D20" s="25" t="s">
        <v>736</v>
      </c>
      <c r="E20" t="s">
        <v>736</v>
      </c>
      <c r="F20" t="s">
        <v>736</v>
      </c>
      <c r="G20" t="s">
        <v>736</v>
      </c>
      <c r="H20" t="s">
        <v>736</v>
      </c>
      <c r="I20" t="s">
        <v>736</v>
      </c>
      <c r="J20" t="s">
        <v>736</v>
      </c>
      <c r="K20" t="s">
        <v>736</v>
      </c>
      <c r="L20" t="s">
        <v>736</v>
      </c>
      <c r="M20" t="s">
        <v>736</v>
      </c>
      <c r="N20" t="s">
        <v>736</v>
      </c>
      <c r="O20" t="s">
        <v>736</v>
      </c>
      <c r="P20" t="s">
        <v>736</v>
      </c>
      <c r="Q20" t="s">
        <v>736</v>
      </c>
      <c r="R20" t="s">
        <v>736</v>
      </c>
      <c r="S20" t="s">
        <v>736</v>
      </c>
      <c r="T20" t="s">
        <v>736</v>
      </c>
      <c r="U20" t="s">
        <v>736</v>
      </c>
      <c r="V20" t="s">
        <v>736</v>
      </c>
      <c r="W20" s="25" t="s">
        <v>736</v>
      </c>
      <c r="X20" s="25" t="s">
        <v>736</v>
      </c>
      <c r="Y20" s="25" t="s">
        <v>736</v>
      </c>
      <c r="Z20" s="25" t="s">
        <v>736</v>
      </c>
      <c r="AA20" s="25" t="s">
        <v>736</v>
      </c>
    </row>
    <row r="21" spans="2:27" x14ac:dyDescent="0.2">
      <c r="B21" s="24" t="s">
        <v>736</v>
      </c>
      <c r="C21" t="s">
        <v>736</v>
      </c>
      <c r="D21" s="25" t="s">
        <v>736</v>
      </c>
      <c r="E21" t="s">
        <v>736</v>
      </c>
      <c r="F21" t="s">
        <v>736</v>
      </c>
      <c r="G21" t="s">
        <v>736</v>
      </c>
      <c r="H21" t="s">
        <v>736</v>
      </c>
      <c r="I21" t="s">
        <v>736</v>
      </c>
      <c r="J21" t="s">
        <v>736</v>
      </c>
      <c r="K21" t="s">
        <v>736</v>
      </c>
      <c r="L21" t="s">
        <v>736</v>
      </c>
      <c r="M21" t="s">
        <v>736</v>
      </c>
      <c r="N21" t="s">
        <v>736</v>
      </c>
      <c r="O21" t="s">
        <v>736</v>
      </c>
      <c r="P21" t="s">
        <v>736</v>
      </c>
      <c r="Q21" t="s">
        <v>736</v>
      </c>
      <c r="R21" t="s">
        <v>736</v>
      </c>
      <c r="S21" t="s">
        <v>736</v>
      </c>
      <c r="T21" t="s">
        <v>736</v>
      </c>
      <c r="U21" t="s">
        <v>736</v>
      </c>
      <c r="V21" t="s">
        <v>736</v>
      </c>
      <c r="W21" s="25" t="s">
        <v>736</v>
      </c>
      <c r="X21" s="25" t="s">
        <v>736</v>
      </c>
      <c r="Y21" s="25" t="s">
        <v>736</v>
      </c>
      <c r="Z21" s="25" t="s">
        <v>736</v>
      </c>
      <c r="AA21" s="25" t="s">
        <v>736</v>
      </c>
    </row>
    <row r="22" spans="2:27" x14ac:dyDescent="0.2">
      <c r="B22" s="24" t="s">
        <v>736</v>
      </c>
      <c r="C22" t="s">
        <v>736</v>
      </c>
      <c r="D22" s="25" t="s">
        <v>736</v>
      </c>
      <c r="E22" t="s">
        <v>736</v>
      </c>
      <c r="F22" t="s">
        <v>736</v>
      </c>
      <c r="G22" t="s">
        <v>736</v>
      </c>
      <c r="H22" t="s">
        <v>736</v>
      </c>
      <c r="I22" t="s">
        <v>736</v>
      </c>
      <c r="J22" t="s">
        <v>736</v>
      </c>
      <c r="K22" t="s">
        <v>736</v>
      </c>
      <c r="L22" t="s">
        <v>736</v>
      </c>
      <c r="M22" t="s">
        <v>736</v>
      </c>
      <c r="N22" t="s">
        <v>736</v>
      </c>
      <c r="O22" t="s">
        <v>736</v>
      </c>
      <c r="P22" t="s">
        <v>736</v>
      </c>
      <c r="Q22" t="s">
        <v>736</v>
      </c>
      <c r="R22" t="s">
        <v>736</v>
      </c>
      <c r="S22" t="s">
        <v>736</v>
      </c>
      <c r="T22" t="s">
        <v>736</v>
      </c>
      <c r="U22" t="s">
        <v>736</v>
      </c>
      <c r="V22" t="s">
        <v>736</v>
      </c>
      <c r="W22" s="25" t="s">
        <v>736</v>
      </c>
      <c r="X22" s="25" t="s">
        <v>736</v>
      </c>
      <c r="Y22" s="25" t="s">
        <v>736</v>
      </c>
      <c r="Z22" s="25" t="s">
        <v>736</v>
      </c>
      <c r="AA22" s="25" t="s">
        <v>736</v>
      </c>
    </row>
    <row r="23" spans="2:27" x14ac:dyDescent="0.2">
      <c r="B23" s="24" t="s">
        <v>736</v>
      </c>
      <c r="C23" t="s">
        <v>736</v>
      </c>
      <c r="D23" s="25" t="s">
        <v>736</v>
      </c>
      <c r="E23" t="s">
        <v>736</v>
      </c>
      <c r="F23" t="s">
        <v>736</v>
      </c>
      <c r="G23" t="s">
        <v>736</v>
      </c>
      <c r="H23" t="s">
        <v>736</v>
      </c>
      <c r="I23" t="s">
        <v>736</v>
      </c>
      <c r="J23" t="s">
        <v>736</v>
      </c>
      <c r="K23" t="s">
        <v>736</v>
      </c>
      <c r="L23" t="s">
        <v>736</v>
      </c>
      <c r="M23" t="s">
        <v>736</v>
      </c>
      <c r="N23" t="s">
        <v>736</v>
      </c>
      <c r="O23" t="s">
        <v>736</v>
      </c>
      <c r="P23" t="s">
        <v>736</v>
      </c>
      <c r="Q23" t="s">
        <v>736</v>
      </c>
      <c r="R23" t="s">
        <v>736</v>
      </c>
      <c r="S23" t="s">
        <v>736</v>
      </c>
      <c r="T23" t="s">
        <v>736</v>
      </c>
      <c r="U23" t="s">
        <v>736</v>
      </c>
      <c r="V23" t="s">
        <v>736</v>
      </c>
      <c r="W23" s="25" t="s">
        <v>736</v>
      </c>
      <c r="X23" s="25" t="s">
        <v>736</v>
      </c>
      <c r="Y23" s="25" t="s">
        <v>736</v>
      </c>
      <c r="Z23" s="25" t="s">
        <v>736</v>
      </c>
      <c r="AA23" s="25" t="s">
        <v>736</v>
      </c>
    </row>
    <row r="24" spans="2:27" x14ac:dyDescent="0.2">
      <c r="B24" s="24" t="s">
        <v>736</v>
      </c>
      <c r="C24" t="s">
        <v>736</v>
      </c>
      <c r="D24" s="25" t="s">
        <v>736</v>
      </c>
      <c r="E24" t="s">
        <v>736</v>
      </c>
      <c r="F24" t="s">
        <v>736</v>
      </c>
      <c r="G24" t="s">
        <v>736</v>
      </c>
      <c r="H24" t="s">
        <v>736</v>
      </c>
      <c r="I24" t="s">
        <v>736</v>
      </c>
      <c r="J24" t="s">
        <v>736</v>
      </c>
      <c r="K24" t="s">
        <v>736</v>
      </c>
      <c r="L24" t="s">
        <v>736</v>
      </c>
      <c r="M24" t="s">
        <v>736</v>
      </c>
      <c r="N24" t="s">
        <v>736</v>
      </c>
      <c r="O24" t="s">
        <v>736</v>
      </c>
      <c r="P24" t="s">
        <v>736</v>
      </c>
      <c r="Q24" t="s">
        <v>736</v>
      </c>
      <c r="R24" t="s">
        <v>736</v>
      </c>
      <c r="S24" t="s">
        <v>736</v>
      </c>
      <c r="T24" t="s">
        <v>736</v>
      </c>
      <c r="U24" t="s">
        <v>736</v>
      </c>
      <c r="V24" t="s">
        <v>736</v>
      </c>
      <c r="W24" s="25" t="s">
        <v>736</v>
      </c>
      <c r="X24" s="25" t="s">
        <v>736</v>
      </c>
      <c r="Y24" s="25" t="s">
        <v>736</v>
      </c>
      <c r="Z24" s="25" t="s">
        <v>736</v>
      </c>
      <c r="AA24" s="25" t="s">
        <v>736</v>
      </c>
    </row>
    <row r="25" spans="2:27" x14ac:dyDescent="0.2">
      <c r="B25" s="24" t="s">
        <v>736</v>
      </c>
      <c r="C25" t="s">
        <v>736</v>
      </c>
      <c r="D25" s="25" t="s">
        <v>736</v>
      </c>
      <c r="E25" t="s">
        <v>736</v>
      </c>
      <c r="F25" t="s">
        <v>736</v>
      </c>
      <c r="G25" t="s">
        <v>736</v>
      </c>
      <c r="H25" t="s">
        <v>736</v>
      </c>
      <c r="I25" t="s">
        <v>736</v>
      </c>
      <c r="J25" t="s">
        <v>736</v>
      </c>
      <c r="K25" t="s">
        <v>736</v>
      </c>
      <c r="L25" t="s">
        <v>736</v>
      </c>
      <c r="M25" t="s">
        <v>736</v>
      </c>
      <c r="N25" t="s">
        <v>736</v>
      </c>
      <c r="O25" t="s">
        <v>736</v>
      </c>
      <c r="P25" t="s">
        <v>736</v>
      </c>
      <c r="Q25" t="s">
        <v>736</v>
      </c>
      <c r="R25" t="s">
        <v>736</v>
      </c>
      <c r="S25" t="s">
        <v>736</v>
      </c>
      <c r="T25" t="s">
        <v>736</v>
      </c>
      <c r="U25" t="s">
        <v>736</v>
      </c>
      <c r="V25" t="s">
        <v>736</v>
      </c>
      <c r="W25" s="25" t="s">
        <v>736</v>
      </c>
      <c r="X25" s="25" t="s">
        <v>736</v>
      </c>
      <c r="Y25" s="25" t="s">
        <v>736</v>
      </c>
      <c r="Z25" s="25" t="s">
        <v>736</v>
      </c>
      <c r="AA25" s="25" t="s">
        <v>736</v>
      </c>
    </row>
    <row r="26" spans="2:27" x14ac:dyDescent="0.2">
      <c r="B26" s="24" t="s">
        <v>736</v>
      </c>
      <c r="C26" t="s">
        <v>736</v>
      </c>
      <c r="D26" s="25" t="s">
        <v>736</v>
      </c>
      <c r="E26" t="s">
        <v>736</v>
      </c>
      <c r="F26" t="s">
        <v>736</v>
      </c>
      <c r="G26" t="s">
        <v>736</v>
      </c>
      <c r="H26" t="s">
        <v>736</v>
      </c>
      <c r="I26" t="s">
        <v>736</v>
      </c>
      <c r="J26" t="s">
        <v>736</v>
      </c>
      <c r="K26" t="s">
        <v>736</v>
      </c>
      <c r="L26" t="s">
        <v>736</v>
      </c>
      <c r="M26" t="s">
        <v>736</v>
      </c>
      <c r="N26" t="s">
        <v>736</v>
      </c>
      <c r="O26" t="s">
        <v>736</v>
      </c>
      <c r="P26" t="s">
        <v>736</v>
      </c>
      <c r="Q26" t="s">
        <v>736</v>
      </c>
      <c r="R26" t="s">
        <v>736</v>
      </c>
      <c r="S26" t="s">
        <v>736</v>
      </c>
      <c r="T26" t="s">
        <v>736</v>
      </c>
      <c r="U26" t="s">
        <v>736</v>
      </c>
      <c r="V26" t="s">
        <v>736</v>
      </c>
      <c r="W26" s="25" t="s">
        <v>736</v>
      </c>
      <c r="X26" s="25" t="s">
        <v>736</v>
      </c>
      <c r="Y26" s="25" t="s">
        <v>736</v>
      </c>
      <c r="Z26" s="25" t="s">
        <v>736</v>
      </c>
      <c r="AA26" s="25" t="s">
        <v>736</v>
      </c>
    </row>
    <row r="27" spans="2:27" x14ac:dyDescent="0.2">
      <c r="B27" s="24" t="s">
        <v>736</v>
      </c>
      <c r="C27" t="s">
        <v>736</v>
      </c>
      <c r="D27" s="25" t="s">
        <v>736</v>
      </c>
      <c r="E27" t="s">
        <v>736</v>
      </c>
      <c r="F27" t="s">
        <v>736</v>
      </c>
      <c r="G27" t="s">
        <v>736</v>
      </c>
      <c r="H27" t="s">
        <v>736</v>
      </c>
      <c r="I27" t="s">
        <v>736</v>
      </c>
      <c r="J27" t="s">
        <v>736</v>
      </c>
      <c r="K27" t="s">
        <v>736</v>
      </c>
      <c r="L27" t="s">
        <v>736</v>
      </c>
      <c r="M27" t="s">
        <v>736</v>
      </c>
      <c r="N27" t="s">
        <v>736</v>
      </c>
      <c r="O27" t="s">
        <v>736</v>
      </c>
      <c r="P27" t="s">
        <v>736</v>
      </c>
      <c r="Q27" t="s">
        <v>736</v>
      </c>
      <c r="R27" t="s">
        <v>736</v>
      </c>
      <c r="S27" t="s">
        <v>736</v>
      </c>
      <c r="T27" t="s">
        <v>736</v>
      </c>
      <c r="U27" t="s">
        <v>736</v>
      </c>
      <c r="V27" t="s">
        <v>736</v>
      </c>
      <c r="W27" s="25" t="s">
        <v>736</v>
      </c>
      <c r="X27" s="25" t="s">
        <v>736</v>
      </c>
      <c r="Y27" s="25" t="s">
        <v>736</v>
      </c>
      <c r="Z27" s="25" t="s">
        <v>736</v>
      </c>
      <c r="AA27" s="25" t="s">
        <v>736</v>
      </c>
    </row>
    <row r="28" spans="2:27" x14ac:dyDescent="0.2">
      <c r="B28" s="24" t="s">
        <v>736</v>
      </c>
      <c r="C28" t="s">
        <v>736</v>
      </c>
      <c r="D28" s="25" t="s">
        <v>736</v>
      </c>
      <c r="E28" t="s">
        <v>736</v>
      </c>
      <c r="F28" t="s">
        <v>736</v>
      </c>
      <c r="G28" t="s">
        <v>736</v>
      </c>
      <c r="H28" t="s">
        <v>736</v>
      </c>
      <c r="I28" t="s">
        <v>736</v>
      </c>
      <c r="J28" t="s">
        <v>736</v>
      </c>
      <c r="K28" t="s">
        <v>736</v>
      </c>
      <c r="L28" t="s">
        <v>736</v>
      </c>
      <c r="M28" t="s">
        <v>736</v>
      </c>
      <c r="N28" t="s">
        <v>736</v>
      </c>
      <c r="O28" t="s">
        <v>736</v>
      </c>
      <c r="P28" t="s">
        <v>736</v>
      </c>
      <c r="Q28" t="s">
        <v>736</v>
      </c>
      <c r="R28" t="s">
        <v>736</v>
      </c>
      <c r="S28" t="s">
        <v>736</v>
      </c>
      <c r="T28" t="s">
        <v>736</v>
      </c>
      <c r="U28" t="s">
        <v>736</v>
      </c>
      <c r="V28" t="s">
        <v>736</v>
      </c>
      <c r="W28" s="25" t="s">
        <v>736</v>
      </c>
      <c r="X28" s="25" t="s">
        <v>736</v>
      </c>
      <c r="Y28" s="25" t="s">
        <v>736</v>
      </c>
      <c r="Z28" s="25" t="s">
        <v>736</v>
      </c>
      <c r="AA28" s="25" t="s">
        <v>736</v>
      </c>
    </row>
    <row r="29" spans="2:27" x14ac:dyDescent="0.2">
      <c r="B29" s="24" t="s">
        <v>736</v>
      </c>
      <c r="C29" t="s">
        <v>736</v>
      </c>
      <c r="D29" s="25" t="s">
        <v>736</v>
      </c>
      <c r="E29" t="s">
        <v>736</v>
      </c>
      <c r="F29" t="s">
        <v>736</v>
      </c>
      <c r="G29" t="s">
        <v>736</v>
      </c>
      <c r="H29" t="s">
        <v>736</v>
      </c>
      <c r="I29" t="s">
        <v>736</v>
      </c>
      <c r="J29" t="s">
        <v>736</v>
      </c>
      <c r="K29" t="s">
        <v>736</v>
      </c>
      <c r="L29" t="s">
        <v>736</v>
      </c>
      <c r="M29" t="s">
        <v>736</v>
      </c>
      <c r="N29" t="s">
        <v>736</v>
      </c>
      <c r="O29" t="s">
        <v>736</v>
      </c>
      <c r="P29" t="s">
        <v>736</v>
      </c>
      <c r="Q29" t="s">
        <v>736</v>
      </c>
      <c r="R29" t="s">
        <v>736</v>
      </c>
      <c r="S29" t="s">
        <v>736</v>
      </c>
      <c r="T29" t="s">
        <v>736</v>
      </c>
      <c r="U29" t="s">
        <v>736</v>
      </c>
      <c r="V29" t="s">
        <v>736</v>
      </c>
      <c r="W29" s="25" t="s">
        <v>736</v>
      </c>
      <c r="X29" s="25" t="s">
        <v>736</v>
      </c>
      <c r="Y29" s="25" t="s">
        <v>736</v>
      </c>
      <c r="Z29" s="25" t="s">
        <v>736</v>
      </c>
      <c r="AA29" s="25" t="s">
        <v>736</v>
      </c>
    </row>
    <row r="30" spans="2:27" x14ac:dyDescent="0.2">
      <c r="B30" s="24" t="s">
        <v>736</v>
      </c>
      <c r="C30" t="s">
        <v>736</v>
      </c>
      <c r="D30" s="25" t="s">
        <v>736</v>
      </c>
      <c r="E30" t="s">
        <v>736</v>
      </c>
      <c r="F30" t="s">
        <v>736</v>
      </c>
      <c r="G30" t="s">
        <v>736</v>
      </c>
      <c r="H30" t="s">
        <v>736</v>
      </c>
      <c r="I30" t="s">
        <v>736</v>
      </c>
      <c r="J30" t="s">
        <v>736</v>
      </c>
      <c r="K30" t="s">
        <v>736</v>
      </c>
      <c r="L30" t="s">
        <v>736</v>
      </c>
      <c r="M30" t="s">
        <v>736</v>
      </c>
      <c r="N30" t="s">
        <v>736</v>
      </c>
      <c r="O30" t="s">
        <v>736</v>
      </c>
      <c r="P30" t="s">
        <v>736</v>
      </c>
      <c r="Q30" t="s">
        <v>736</v>
      </c>
      <c r="R30" t="s">
        <v>736</v>
      </c>
      <c r="S30" t="s">
        <v>736</v>
      </c>
      <c r="T30" t="s">
        <v>736</v>
      </c>
      <c r="U30" t="s">
        <v>736</v>
      </c>
      <c r="V30" t="s">
        <v>736</v>
      </c>
      <c r="W30" s="25" t="s">
        <v>736</v>
      </c>
      <c r="X30" s="25" t="s">
        <v>736</v>
      </c>
      <c r="Y30" s="25" t="s">
        <v>736</v>
      </c>
      <c r="Z30" s="25" t="s">
        <v>736</v>
      </c>
      <c r="AA30" s="25" t="s">
        <v>736</v>
      </c>
    </row>
    <row r="31" spans="2:27" x14ac:dyDescent="0.2">
      <c r="B31" s="24" t="s">
        <v>736</v>
      </c>
      <c r="C31" t="s">
        <v>736</v>
      </c>
      <c r="D31" s="25" t="s">
        <v>736</v>
      </c>
      <c r="E31" t="s">
        <v>736</v>
      </c>
      <c r="F31" t="s">
        <v>736</v>
      </c>
      <c r="G31" t="s">
        <v>736</v>
      </c>
      <c r="H31" t="s">
        <v>736</v>
      </c>
      <c r="I31" t="s">
        <v>736</v>
      </c>
      <c r="J31" t="s">
        <v>736</v>
      </c>
      <c r="K31" t="s">
        <v>736</v>
      </c>
      <c r="L31" t="s">
        <v>736</v>
      </c>
      <c r="M31" t="s">
        <v>736</v>
      </c>
      <c r="N31" t="s">
        <v>736</v>
      </c>
      <c r="O31" t="s">
        <v>736</v>
      </c>
      <c r="P31" t="s">
        <v>736</v>
      </c>
      <c r="Q31" t="s">
        <v>736</v>
      </c>
      <c r="R31" t="s">
        <v>736</v>
      </c>
      <c r="S31" t="s">
        <v>736</v>
      </c>
      <c r="T31" t="s">
        <v>736</v>
      </c>
      <c r="U31" t="s">
        <v>736</v>
      </c>
      <c r="V31" t="s">
        <v>736</v>
      </c>
      <c r="W31" s="25" t="s">
        <v>736</v>
      </c>
      <c r="X31" s="25" t="s">
        <v>736</v>
      </c>
      <c r="Y31" s="25" t="s">
        <v>736</v>
      </c>
      <c r="Z31" s="25" t="s">
        <v>736</v>
      </c>
      <c r="AA31" s="25" t="s">
        <v>736</v>
      </c>
    </row>
    <row r="32" spans="2:27" x14ac:dyDescent="0.2">
      <c r="B32" s="24" t="s">
        <v>736</v>
      </c>
      <c r="C32" t="s">
        <v>736</v>
      </c>
      <c r="D32" s="25" t="s">
        <v>736</v>
      </c>
      <c r="E32" t="s">
        <v>736</v>
      </c>
      <c r="F32" t="s">
        <v>736</v>
      </c>
      <c r="G32" t="s">
        <v>736</v>
      </c>
      <c r="H32" t="s">
        <v>736</v>
      </c>
      <c r="I32" t="s">
        <v>736</v>
      </c>
      <c r="J32" t="s">
        <v>736</v>
      </c>
      <c r="K32" t="s">
        <v>736</v>
      </c>
      <c r="L32" t="s">
        <v>736</v>
      </c>
      <c r="M32" t="s">
        <v>736</v>
      </c>
      <c r="N32" t="s">
        <v>736</v>
      </c>
      <c r="O32" t="s">
        <v>736</v>
      </c>
      <c r="P32" t="s">
        <v>736</v>
      </c>
      <c r="Q32" t="s">
        <v>736</v>
      </c>
      <c r="R32" t="s">
        <v>736</v>
      </c>
      <c r="S32" t="s">
        <v>736</v>
      </c>
      <c r="T32" t="s">
        <v>736</v>
      </c>
      <c r="U32" t="s">
        <v>736</v>
      </c>
      <c r="V32" t="s">
        <v>736</v>
      </c>
      <c r="W32" s="25" t="s">
        <v>736</v>
      </c>
      <c r="X32" s="25" t="s">
        <v>736</v>
      </c>
      <c r="Y32" s="25" t="s">
        <v>736</v>
      </c>
      <c r="Z32" s="25" t="s">
        <v>736</v>
      </c>
      <c r="AA32" s="25" t="s">
        <v>736</v>
      </c>
    </row>
    <row r="33" spans="2:27" x14ac:dyDescent="0.2">
      <c r="B33" s="24" t="s">
        <v>736</v>
      </c>
      <c r="C33" t="s">
        <v>736</v>
      </c>
      <c r="D33" s="25" t="s">
        <v>736</v>
      </c>
      <c r="E33" t="s">
        <v>736</v>
      </c>
      <c r="F33" t="s">
        <v>736</v>
      </c>
      <c r="G33" t="s">
        <v>736</v>
      </c>
      <c r="H33" t="s">
        <v>736</v>
      </c>
      <c r="I33" t="s">
        <v>736</v>
      </c>
      <c r="J33" t="s">
        <v>736</v>
      </c>
      <c r="K33" t="s">
        <v>736</v>
      </c>
      <c r="L33" t="s">
        <v>736</v>
      </c>
      <c r="M33" t="s">
        <v>736</v>
      </c>
      <c r="N33" t="s">
        <v>736</v>
      </c>
      <c r="O33" t="s">
        <v>736</v>
      </c>
      <c r="P33" t="s">
        <v>736</v>
      </c>
      <c r="Q33" t="s">
        <v>736</v>
      </c>
      <c r="R33" t="s">
        <v>736</v>
      </c>
      <c r="S33" t="s">
        <v>736</v>
      </c>
      <c r="T33" t="s">
        <v>736</v>
      </c>
      <c r="U33" t="s">
        <v>736</v>
      </c>
      <c r="V33" t="s">
        <v>736</v>
      </c>
      <c r="W33" s="25" t="s">
        <v>736</v>
      </c>
      <c r="X33" s="25" t="s">
        <v>736</v>
      </c>
      <c r="Y33" s="25" t="s">
        <v>736</v>
      </c>
      <c r="Z33" s="25" t="s">
        <v>736</v>
      </c>
      <c r="AA33" s="25" t="s">
        <v>736</v>
      </c>
    </row>
    <row r="34" spans="2:27" x14ac:dyDescent="0.2">
      <c r="B34" s="24" t="s">
        <v>736</v>
      </c>
      <c r="C34" t="s">
        <v>736</v>
      </c>
      <c r="D34" s="25" t="s">
        <v>736</v>
      </c>
      <c r="E34" t="s">
        <v>736</v>
      </c>
      <c r="F34" t="s">
        <v>736</v>
      </c>
      <c r="G34" t="s">
        <v>736</v>
      </c>
      <c r="H34" t="s">
        <v>736</v>
      </c>
      <c r="I34" t="s">
        <v>736</v>
      </c>
      <c r="J34" t="s">
        <v>736</v>
      </c>
      <c r="K34" t="s">
        <v>736</v>
      </c>
      <c r="L34" t="s">
        <v>736</v>
      </c>
      <c r="M34" t="s">
        <v>736</v>
      </c>
      <c r="N34" t="s">
        <v>736</v>
      </c>
      <c r="O34" t="s">
        <v>736</v>
      </c>
      <c r="P34" t="s">
        <v>736</v>
      </c>
      <c r="Q34" t="s">
        <v>736</v>
      </c>
      <c r="R34" t="s">
        <v>736</v>
      </c>
      <c r="S34" t="s">
        <v>736</v>
      </c>
      <c r="T34" t="s">
        <v>736</v>
      </c>
      <c r="U34" t="s">
        <v>736</v>
      </c>
      <c r="V34" t="s">
        <v>736</v>
      </c>
      <c r="W34" s="25" t="s">
        <v>736</v>
      </c>
      <c r="X34" s="25" t="s">
        <v>736</v>
      </c>
      <c r="Y34" s="25" t="s">
        <v>736</v>
      </c>
      <c r="Z34" s="25" t="s">
        <v>736</v>
      </c>
      <c r="AA34" s="25" t="s">
        <v>736</v>
      </c>
    </row>
    <row r="35" spans="2:27" x14ac:dyDescent="0.2">
      <c r="B35" s="24" t="s">
        <v>736</v>
      </c>
      <c r="C35" t="s">
        <v>736</v>
      </c>
      <c r="D35" s="25" t="s">
        <v>736</v>
      </c>
      <c r="E35" t="s">
        <v>736</v>
      </c>
      <c r="F35" t="s">
        <v>736</v>
      </c>
      <c r="G35" t="s">
        <v>736</v>
      </c>
      <c r="H35" t="s">
        <v>736</v>
      </c>
      <c r="I35" t="s">
        <v>736</v>
      </c>
      <c r="J35" t="s">
        <v>736</v>
      </c>
      <c r="K35" t="s">
        <v>736</v>
      </c>
      <c r="L35" t="s">
        <v>736</v>
      </c>
      <c r="M35" t="s">
        <v>736</v>
      </c>
      <c r="N35" t="s">
        <v>736</v>
      </c>
      <c r="O35" t="s">
        <v>736</v>
      </c>
      <c r="P35" t="s">
        <v>736</v>
      </c>
      <c r="Q35" t="s">
        <v>736</v>
      </c>
      <c r="R35" t="s">
        <v>736</v>
      </c>
      <c r="S35" t="s">
        <v>736</v>
      </c>
      <c r="T35" t="s">
        <v>736</v>
      </c>
      <c r="U35" t="s">
        <v>736</v>
      </c>
      <c r="V35" t="s">
        <v>736</v>
      </c>
      <c r="W35" s="25" t="s">
        <v>736</v>
      </c>
      <c r="X35" s="25" t="s">
        <v>736</v>
      </c>
      <c r="Y35" s="25" t="s">
        <v>736</v>
      </c>
      <c r="Z35" s="25" t="s">
        <v>736</v>
      </c>
      <c r="AA35" s="25" t="s">
        <v>736</v>
      </c>
    </row>
    <row r="36" spans="2:27" x14ac:dyDescent="0.2">
      <c r="B36" s="24" t="s">
        <v>736</v>
      </c>
      <c r="C36" t="s">
        <v>736</v>
      </c>
      <c r="D36" s="25" t="s">
        <v>736</v>
      </c>
      <c r="E36" t="s">
        <v>736</v>
      </c>
      <c r="F36" t="s">
        <v>736</v>
      </c>
      <c r="G36" t="s">
        <v>736</v>
      </c>
      <c r="H36" t="s">
        <v>736</v>
      </c>
      <c r="I36" t="s">
        <v>736</v>
      </c>
      <c r="J36" t="s">
        <v>736</v>
      </c>
      <c r="K36" t="s">
        <v>736</v>
      </c>
      <c r="L36" t="s">
        <v>736</v>
      </c>
      <c r="M36" t="s">
        <v>736</v>
      </c>
      <c r="N36" t="s">
        <v>736</v>
      </c>
      <c r="O36" t="s">
        <v>736</v>
      </c>
      <c r="P36" t="s">
        <v>736</v>
      </c>
      <c r="Q36" t="s">
        <v>736</v>
      </c>
      <c r="R36" t="s">
        <v>736</v>
      </c>
      <c r="S36" t="s">
        <v>736</v>
      </c>
      <c r="T36" t="s">
        <v>736</v>
      </c>
      <c r="U36" t="s">
        <v>736</v>
      </c>
      <c r="V36" t="s">
        <v>736</v>
      </c>
      <c r="W36" s="25" t="s">
        <v>736</v>
      </c>
      <c r="X36" s="25" t="s">
        <v>736</v>
      </c>
      <c r="Y36" s="25" t="s">
        <v>736</v>
      </c>
      <c r="Z36" s="25" t="s">
        <v>736</v>
      </c>
      <c r="AA36" s="25" t="s">
        <v>736</v>
      </c>
    </row>
    <row r="37" spans="2:27" x14ac:dyDescent="0.2">
      <c r="B37" s="24" t="s">
        <v>736</v>
      </c>
      <c r="C37" t="s">
        <v>736</v>
      </c>
      <c r="D37" s="25" t="s">
        <v>736</v>
      </c>
      <c r="E37" t="s">
        <v>736</v>
      </c>
      <c r="F37" t="s">
        <v>736</v>
      </c>
      <c r="G37" t="s">
        <v>736</v>
      </c>
      <c r="H37" t="s">
        <v>736</v>
      </c>
      <c r="I37" t="s">
        <v>736</v>
      </c>
      <c r="J37" t="s">
        <v>736</v>
      </c>
      <c r="K37" t="s">
        <v>736</v>
      </c>
      <c r="L37" t="s">
        <v>736</v>
      </c>
      <c r="M37" t="s">
        <v>736</v>
      </c>
      <c r="N37" t="s">
        <v>736</v>
      </c>
      <c r="O37" t="s">
        <v>736</v>
      </c>
      <c r="P37" t="s">
        <v>736</v>
      </c>
      <c r="Q37" t="s">
        <v>736</v>
      </c>
      <c r="R37" t="s">
        <v>736</v>
      </c>
      <c r="S37" t="s">
        <v>736</v>
      </c>
      <c r="T37" t="s">
        <v>736</v>
      </c>
      <c r="U37" t="s">
        <v>736</v>
      </c>
      <c r="V37" t="s">
        <v>736</v>
      </c>
      <c r="W37" s="25" t="s">
        <v>736</v>
      </c>
      <c r="X37" s="25" t="s">
        <v>736</v>
      </c>
      <c r="Y37" s="25" t="s">
        <v>736</v>
      </c>
      <c r="Z37" s="25" t="s">
        <v>736</v>
      </c>
      <c r="AA37" s="25" t="s">
        <v>736</v>
      </c>
    </row>
    <row r="38" spans="2:27" x14ac:dyDescent="0.2">
      <c r="B38" s="24" t="s">
        <v>736</v>
      </c>
      <c r="C38" t="s">
        <v>736</v>
      </c>
      <c r="D38" s="25" t="s">
        <v>736</v>
      </c>
      <c r="E38" t="s">
        <v>736</v>
      </c>
      <c r="F38" t="s">
        <v>736</v>
      </c>
      <c r="G38" t="s">
        <v>736</v>
      </c>
      <c r="H38" t="s">
        <v>736</v>
      </c>
      <c r="I38" t="s">
        <v>736</v>
      </c>
      <c r="J38" t="s">
        <v>736</v>
      </c>
      <c r="K38" t="s">
        <v>736</v>
      </c>
      <c r="L38" t="s">
        <v>736</v>
      </c>
      <c r="M38" t="s">
        <v>736</v>
      </c>
      <c r="N38" t="s">
        <v>736</v>
      </c>
      <c r="O38" t="s">
        <v>736</v>
      </c>
      <c r="P38" t="s">
        <v>736</v>
      </c>
      <c r="Q38" t="s">
        <v>736</v>
      </c>
      <c r="R38" t="s">
        <v>736</v>
      </c>
      <c r="S38" t="s">
        <v>736</v>
      </c>
      <c r="T38" t="s">
        <v>736</v>
      </c>
      <c r="U38" t="s">
        <v>736</v>
      </c>
      <c r="V38" t="s">
        <v>736</v>
      </c>
      <c r="W38" s="25" t="s">
        <v>736</v>
      </c>
      <c r="X38" s="25" t="s">
        <v>736</v>
      </c>
      <c r="Y38" s="25" t="s">
        <v>736</v>
      </c>
      <c r="Z38" s="25" t="s">
        <v>736</v>
      </c>
      <c r="AA38" s="25" t="s">
        <v>736</v>
      </c>
    </row>
    <row r="39" spans="2:27" x14ac:dyDescent="0.2">
      <c r="B39" s="24" t="s">
        <v>736</v>
      </c>
      <c r="C39" t="s">
        <v>736</v>
      </c>
      <c r="D39" s="25" t="s">
        <v>736</v>
      </c>
      <c r="E39" t="s">
        <v>736</v>
      </c>
      <c r="F39" t="s">
        <v>736</v>
      </c>
      <c r="G39" t="s">
        <v>736</v>
      </c>
      <c r="H39" t="s">
        <v>736</v>
      </c>
      <c r="I39" t="s">
        <v>736</v>
      </c>
      <c r="J39" t="s">
        <v>736</v>
      </c>
      <c r="K39" t="s">
        <v>736</v>
      </c>
      <c r="L39" t="s">
        <v>736</v>
      </c>
      <c r="M39" t="s">
        <v>736</v>
      </c>
      <c r="N39" t="s">
        <v>736</v>
      </c>
      <c r="O39" t="s">
        <v>736</v>
      </c>
      <c r="P39" t="s">
        <v>736</v>
      </c>
      <c r="Q39" t="s">
        <v>736</v>
      </c>
      <c r="R39" t="s">
        <v>736</v>
      </c>
      <c r="S39" t="s">
        <v>736</v>
      </c>
      <c r="T39" t="s">
        <v>736</v>
      </c>
      <c r="U39" t="s">
        <v>736</v>
      </c>
      <c r="V39" t="s">
        <v>736</v>
      </c>
      <c r="W39" s="25" t="s">
        <v>736</v>
      </c>
      <c r="X39" s="25" t="s">
        <v>736</v>
      </c>
      <c r="Y39" s="25" t="s">
        <v>736</v>
      </c>
      <c r="Z39" s="25" t="s">
        <v>736</v>
      </c>
      <c r="AA39" s="25" t="s">
        <v>736</v>
      </c>
    </row>
    <row r="40" spans="2:27" x14ac:dyDescent="0.2">
      <c r="B40" s="24" t="s">
        <v>736</v>
      </c>
      <c r="C40" t="s">
        <v>736</v>
      </c>
      <c r="D40" s="25" t="s">
        <v>736</v>
      </c>
      <c r="E40" t="s">
        <v>736</v>
      </c>
      <c r="F40" t="s">
        <v>736</v>
      </c>
      <c r="G40" t="s">
        <v>736</v>
      </c>
      <c r="H40" t="s">
        <v>736</v>
      </c>
      <c r="I40" t="s">
        <v>736</v>
      </c>
      <c r="J40" t="s">
        <v>736</v>
      </c>
      <c r="K40" t="s">
        <v>736</v>
      </c>
      <c r="L40" t="s">
        <v>736</v>
      </c>
      <c r="M40" t="s">
        <v>736</v>
      </c>
      <c r="N40" t="s">
        <v>736</v>
      </c>
      <c r="O40" t="s">
        <v>736</v>
      </c>
      <c r="P40" t="s">
        <v>736</v>
      </c>
      <c r="Q40" t="s">
        <v>736</v>
      </c>
      <c r="R40" t="s">
        <v>736</v>
      </c>
      <c r="S40" t="s">
        <v>736</v>
      </c>
      <c r="T40" t="s">
        <v>736</v>
      </c>
      <c r="U40" t="s">
        <v>736</v>
      </c>
      <c r="V40" t="s">
        <v>736</v>
      </c>
      <c r="W40" s="25" t="s">
        <v>736</v>
      </c>
      <c r="X40" s="25" t="s">
        <v>736</v>
      </c>
      <c r="Y40" s="25" t="s">
        <v>736</v>
      </c>
      <c r="Z40" s="25" t="s">
        <v>736</v>
      </c>
      <c r="AA40" s="25" t="s">
        <v>736</v>
      </c>
    </row>
    <row r="41" spans="2:27" x14ac:dyDescent="0.2">
      <c r="B41" s="24" t="s">
        <v>736</v>
      </c>
      <c r="C41" t="s">
        <v>736</v>
      </c>
      <c r="D41" s="25" t="s">
        <v>736</v>
      </c>
      <c r="E41" t="s">
        <v>736</v>
      </c>
      <c r="F41" t="s">
        <v>736</v>
      </c>
      <c r="G41" t="s">
        <v>736</v>
      </c>
      <c r="H41" t="s">
        <v>736</v>
      </c>
      <c r="I41" t="s">
        <v>736</v>
      </c>
      <c r="J41" t="s">
        <v>736</v>
      </c>
      <c r="K41" t="s">
        <v>736</v>
      </c>
      <c r="L41" t="s">
        <v>736</v>
      </c>
      <c r="M41" t="s">
        <v>736</v>
      </c>
      <c r="N41" t="s">
        <v>736</v>
      </c>
      <c r="O41" t="s">
        <v>736</v>
      </c>
      <c r="P41" t="s">
        <v>736</v>
      </c>
      <c r="Q41" t="s">
        <v>736</v>
      </c>
      <c r="R41" t="s">
        <v>736</v>
      </c>
      <c r="S41" t="s">
        <v>736</v>
      </c>
      <c r="T41" t="s">
        <v>736</v>
      </c>
      <c r="U41" t="s">
        <v>736</v>
      </c>
      <c r="V41" t="s">
        <v>736</v>
      </c>
      <c r="W41" s="25" t="s">
        <v>736</v>
      </c>
      <c r="X41" s="25" t="s">
        <v>736</v>
      </c>
      <c r="Y41" s="25" t="s">
        <v>736</v>
      </c>
      <c r="Z41" s="25" t="s">
        <v>736</v>
      </c>
      <c r="AA41" s="25" t="s">
        <v>736</v>
      </c>
    </row>
    <row r="42" spans="2:27" x14ac:dyDescent="0.2">
      <c r="B42" s="24" t="s">
        <v>736</v>
      </c>
      <c r="C42" t="s">
        <v>736</v>
      </c>
      <c r="D42" s="25" t="s">
        <v>736</v>
      </c>
      <c r="E42" t="s">
        <v>736</v>
      </c>
      <c r="F42" t="s">
        <v>736</v>
      </c>
      <c r="G42" t="s">
        <v>736</v>
      </c>
      <c r="H42" t="s">
        <v>736</v>
      </c>
      <c r="I42" t="s">
        <v>736</v>
      </c>
      <c r="J42" t="s">
        <v>736</v>
      </c>
      <c r="K42" t="s">
        <v>736</v>
      </c>
      <c r="L42" t="s">
        <v>736</v>
      </c>
      <c r="M42" t="s">
        <v>736</v>
      </c>
      <c r="N42" t="s">
        <v>736</v>
      </c>
      <c r="O42" t="s">
        <v>736</v>
      </c>
      <c r="P42" t="s">
        <v>736</v>
      </c>
      <c r="Q42" t="s">
        <v>736</v>
      </c>
      <c r="R42" t="s">
        <v>736</v>
      </c>
      <c r="S42" t="s">
        <v>736</v>
      </c>
      <c r="T42" t="s">
        <v>736</v>
      </c>
      <c r="U42" t="s">
        <v>736</v>
      </c>
      <c r="V42" t="s">
        <v>736</v>
      </c>
      <c r="W42" s="25" t="s">
        <v>736</v>
      </c>
      <c r="X42" s="25" t="s">
        <v>736</v>
      </c>
      <c r="Y42" s="25" t="s">
        <v>736</v>
      </c>
      <c r="Z42" s="25" t="s">
        <v>736</v>
      </c>
      <c r="AA42" s="25" t="s">
        <v>736</v>
      </c>
    </row>
    <row r="43" spans="2:27" x14ac:dyDescent="0.2">
      <c r="B43" s="24" t="s">
        <v>736</v>
      </c>
      <c r="C43" t="s">
        <v>736</v>
      </c>
      <c r="D43" s="25" t="s">
        <v>736</v>
      </c>
      <c r="E43" t="s">
        <v>736</v>
      </c>
      <c r="F43" t="s">
        <v>736</v>
      </c>
      <c r="G43" t="s">
        <v>736</v>
      </c>
      <c r="H43" t="s">
        <v>736</v>
      </c>
      <c r="I43" t="s">
        <v>736</v>
      </c>
      <c r="J43" t="s">
        <v>736</v>
      </c>
      <c r="K43" t="s">
        <v>736</v>
      </c>
      <c r="L43" t="s">
        <v>736</v>
      </c>
      <c r="M43" t="s">
        <v>736</v>
      </c>
      <c r="N43" t="s">
        <v>736</v>
      </c>
      <c r="O43" t="s">
        <v>736</v>
      </c>
      <c r="P43" t="s">
        <v>736</v>
      </c>
      <c r="Q43" t="s">
        <v>736</v>
      </c>
      <c r="R43" t="s">
        <v>736</v>
      </c>
      <c r="S43" t="s">
        <v>736</v>
      </c>
      <c r="T43" t="s">
        <v>736</v>
      </c>
      <c r="U43" t="s">
        <v>736</v>
      </c>
      <c r="V43" t="s">
        <v>736</v>
      </c>
      <c r="W43" s="25" t="s">
        <v>736</v>
      </c>
      <c r="X43" s="25" t="s">
        <v>736</v>
      </c>
      <c r="Y43" s="25" t="s">
        <v>736</v>
      </c>
      <c r="Z43" s="25" t="s">
        <v>736</v>
      </c>
      <c r="AA43" s="25" t="s">
        <v>736</v>
      </c>
    </row>
    <row r="44" spans="2:27" x14ac:dyDescent="0.2">
      <c r="B44" s="24" t="s">
        <v>736</v>
      </c>
      <c r="C44" t="s">
        <v>736</v>
      </c>
      <c r="D44" s="25" t="s">
        <v>736</v>
      </c>
      <c r="E44" t="s">
        <v>736</v>
      </c>
      <c r="F44" t="s">
        <v>736</v>
      </c>
      <c r="G44" t="s">
        <v>736</v>
      </c>
      <c r="H44" t="s">
        <v>736</v>
      </c>
      <c r="I44" t="s">
        <v>736</v>
      </c>
      <c r="J44" t="s">
        <v>736</v>
      </c>
      <c r="K44" t="s">
        <v>736</v>
      </c>
      <c r="L44" t="s">
        <v>736</v>
      </c>
      <c r="M44" t="s">
        <v>736</v>
      </c>
      <c r="N44" t="s">
        <v>736</v>
      </c>
      <c r="O44" t="s">
        <v>736</v>
      </c>
      <c r="P44" t="s">
        <v>736</v>
      </c>
      <c r="Q44" t="s">
        <v>736</v>
      </c>
      <c r="R44" t="s">
        <v>736</v>
      </c>
      <c r="S44" t="s">
        <v>736</v>
      </c>
      <c r="T44" t="s">
        <v>736</v>
      </c>
      <c r="U44" t="s">
        <v>736</v>
      </c>
      <c r="V44" t="s">
        <v>736</v>
      </c>
      <c r="W44" s="25" t="s">
        <v>736</v>
      </c>
      <c r="X44" s="25" t="s">
        <v>736</v>
      </c>
      <c r="Y44" s="25" t="s">
        <v>736</v>
      </c>
      <c r="Z44" s="25" t="s">
        <v>736</v>
      </c>
      <c r="AA44" s="25" t="s">
        <v>736</v>
      </c>
    </row>
    <row r="45" spans="2:27" x14ac:dyDescent="0.2">
      <c r="B45" s="24" t="s">
        <v>736</v>
      </c>
      <c r="C45" t="s">
        <v>736</v>
      </c>
      <c r="D45" s="25" t="s">
        <v>736</v>
      </c>
      <c r="E45" t="s">
        <v>736</v>
      </c>
      <c r="F45" t="s">
        <v>736</v>
      </c>
      <c r="G45" t="s">
        <v>736</v>
      </c>
      <c r="H45" t="s">
        <v>736</v>
      </c>
      <c r="I45" t="s">
        <v>736</v>
      </c>
      <c r="J45" t="s">
        <v>736</v>
      </c>
      <c r="K45" t="s">
        <v>736</v>
      </c>
      <c r="L45" t="s">
        <v>736</v>
      </c>
      <c r="M45" t="s">
        <v>736</v>
      </c>
      <c r="N45" t="s">
        <v>736</v>
      </c>
      <c r="O45" t="s">
        <v>736</v>
      </c>
      <c r="P45" t="s">
        <v>736</v>
      </c>
      <c r="Q45" t="s">
        <v>736</v>
      </c>
      <c r="R45" t="s">
        <v>736</v>
      </c>
      <c r="S45" t="s">
        <v>736</v>
      </c>
      <c r="T45" t="s">
        <v>736</v>
      </c>
      <c r="U45" t="s">
        <v>736</v>
      </c>
      <c r="V45" t="s">
        <v>736</v>
      </c>
      <c r="W45" s="25" t="s">
        <v>736</v>
      </c>
      <c r="X45" s="25" t="s">
        <v>736</v>
      </c>
      <c r="Y45" s="25" t="s">
        <v>736</v>
      </c>
      <c r="Z45" s="25" t="s">
        <v>736</v>
      </c>
      <c r="AA45" s="25" t="s">
        <v>736</v>
      </c>
    </row>
    <row r="46" spans="2:27" x14ac:dyDescent="0.2">
      <c r="B46" s="24" t="s">
        <v>736</v>
      </c>
      <c r="C46" t="s">
        <v>736</v>
      </c>
      <c r="D46" s="25" t="s">
        <v>736</v>
      </c>
      <c r="E46" t="s">
        <v>736</v>
      </c>
      <c r="F46" t="s">
        <v>736</v>
      </c>
      <c r="G46" t="s">
        <v>736</v>
      </c>
      <c r="H46" t="s">
        <v>736</v>
      </c>
      <c r="I46" t="s">
        <v>736</v>
      </c>
      <c r="J46" t="s">
        <v>736</v>
      </c>
      <c r="K46" t="s">
        <v>736</v>
      </c>
      <c r="L46" t="s">
        <v>736</v>
      </c>
      <c r="M46" t="s">
        <v>736</v>
      </c>
      <c r="N46" t="s">
        <v>736</v>
      </c>
      <c r="O46" t="s">
        <v>736</v>
      </c>
      <c r="P46" t="s">
        <v>736</v>
      </c>
      <c r="Q46" t="s">
        <v>736</v>
      </c>
      <c r="R46" t="s">
        <v>736</v>
      </c>
      <c r="S46" t="s">
        <v>736</v>
      </c>
      <c r="T46" t="s">
        <v>736</v>
      </c>
      <c r="U46" t="s">
        <v>736</v>
      </c>
      <c r="V46" t="s">
        <v>736</v>
      </c>
      <c r="W46" s="25" t="s">
        <v>736</v>
      </c>
      <c r="X46" s="25" t="s">
        <v>736</v>
      </c>
      <c r="Y46" s="25" t="s">
        <v>736</v>
      </c>
      <c r="Z46" s="25" t="s">
        <v>736</v>
      </c>
      <c r="AA46" s="25" t="s">
        <v>736</v>
      </c>
    </row>
    <row r="47" spans="2:27" x14ac:dyDescent="0.2">
      <c r="B47" s="24" t="s">
        <v>736</v>
      </c>
      <c r="C47" t="s">
        <v>736</v>
      </c>
      <c r="D47" s="25" t="s">
        <v>736</v>
      </c>
      <c r="E47" t="s">
        <v>736</v>
      </c>
      <c r="F47" t="s">
        <v>736</v>
      </c>
      <c r="G47" t="s">
        <v>736</v>
      </c>
      <c r="H47" t="s">
        <v>736</v>
      </c>
      <c r="I47" t="s">
        <v>736</v>
      </c>
      <c r="J47" t="s">
        <v>736</v>
      </c>
      <c r="K47" t="s">
        <v>736</v>
      </c>
      <c r="L47" t="s">
        <v>736</v>
      </c>
      <c r="M47" t="s">
        <v>736</v>
      </c>
      <c r="N47" t="s">
        <v>736</v>
      </c>
      <c r="O47" t="s">
        <v>736</v>
      </c>
      <c r="P47" t="s">
        <v>736</v>
      </c>
      <c r="Q47" t="s">
        <v>736</v>
      </c>
      <c r="R47" t="s">
        <v>736</v>
      </c>
      <c r="S47" t="s">
        <v>736</v>
      </c>
      <c r="T47" t="s">
        <v>736</v>
      </c>
      <c r="U47" t="s">
        <v>736</v>
      </c>
      <c r="V47" t="s">
        <v>736</v>
      </c>
      <c r="W47" s="25" t="s">
        <v>736</v>
      </c>
      <c r="X47" s="25" t="s">
        <v>736</v>
      </c>
      <c r="Y47" s="25" t="s">
        <v>736</v>
      </c>
      <c r="Z47" s="25" t="s">
        <v>736</v>
      </c>
      <c r="AA47" s="25" t="s">
        <v>736</v>
      </c>
    </row>
    <row r="48" spans="2:27" x14ac:dyDescent="0.2">
      <c r="B48" s="24" t="s">
        <v>736</v>
      </c>
      <c r="C48" t="s">
        <v>736</v>
      </c>
      <c r="D48" s="25" t="s">
        <v>736</v>
      </c>
      <c r="E48" t="s">
        <v>736</v>
      </c>
      <c r="F48" t="s">
        <v>736</v>
      </c>
      <c r="G48" t="s">
        <v>736</v>
      </c>
      <c r="H48" t="s">
        <v>736</v>
      </c>
      <c r="I48" t="s">
        <v>736</v>
      </c>
      <c r="J48" t="s">
        <v>736</v>
      </c>
      <c r="K48" t="s">
        <v>736</v>
      </c>
      <c r="L48" t="s">
        <v>736</v>
      </c>
      <c r="M48" t="s">
        <v>736</v>
      </c>
      <c r="N48" t="s">
        <v>736</v>
      </c>
      <c r="O48" t="s">
        <v>736</v>
      </c>
      <c r="P48" t="s">
        <v>736</v>
      </c>
      <c r="Q48" t="s">
        <v>736</v>
      </c>
      <c r="R48" t="s">
        <v>736</v>
      </c>
      <c r="S48" t="s">
        <v>736</v>
      </c>
      <c r="T48" t="s">
        <v>736</v>
      </c>
      <c r="U48" t="s">
        <v>736</v>
      </c>
      <c r="V48" t="s">
        <v>736</v>
      </c>
      <c r="W48" s="25" t="s">
        <v>736</v>
      </c>
      <c r="X48" s="25" t="s">
        <v>736</v>
      </c>
      <c r="Y48" s="25" t="s">
        <v>736</v>
      </c>
      <c r="Z48" s="25" t="s">
        <v>736</v>
      </c>
      <c r="AA48" s="25" t="s">
        <v>736</v>
      </c>
    </row>
    <row r="49" spans="2:27" x14ac:dyDescent="0.2">
      <c r="B49" s="24" t="s">
        <v>736</v>
      </c>
      <c r="C49" t="s">
        <v>736</v>
      </c>
      <c r="D49" s="25" t="s">
        <v>736</v>
      </c>
      <c r="E49" t="s">
        <v>736</v>
      </c>
      <c r="F49" t="s">
        <v>736</v>
      </c>
      <c r="G49" t="s">
        <v>736</v>
      </c>
      <c r="H49" t="s">
        <v>736</v>
      </c>
      <c r="I49" t="s">
        <v>736</v>
      </c>
      <c r="J49" t="s">
        <v>736</v>
      </c>
      <c r="K49" t="s">
        <v>736</v>
      </c>
      <c r="L49" t="s">
        <v>736</v>
      </c>
      <c r="M49" t="s">
        <v>736</v>
      </c>
      <c r="N49" t="s">
        <v>736</v>
      </c>
      <c r="O49" t="s">
        <v>736</v>
      </c>
      <c r="P49" t="s">
        <v>736</v>
      </c>
      <c r="Q49" t="s">
        <v>736</v>
      </c>
      <c r="R49" t="s">
        <v>736</v>
      </c>
      <c r="S49" t="s">
        <v>736</v>
      </c>
      <c r="T49" t="s">
        <v>736</v>
      </c>
      <c r="U49" t="s">
        <v>736</v>
      </c>
      <c r="V49" t="s">
        <v>736</v>
      </c>
      <c r="W49" s="25" t="s">
        <v>736</v>
      </c>
      <c r="X49" s="25" t="s">
        <v>736</v>
      </c>
      <c r="Y49" s="25" t="s">
        <v>736</v>
      </c>
      <c r="Z49" s="25" t="s">
        <v>736</v>
      </c>
      <c r="AA49" s="25" t="s">
        <v>736</v>
      </c>
    </row>
    <row r="50" spans="2:27" x14ac:dyDescent="0.2">
      <c r="B50" s="24" t="s">
        <v>736</v>
      </c>
      <c r="C50" t="s">
        <v>736</v>
      </c>
      <c r="D50" s="25" t="s">
        <v>736</v>
      </c>
      <c r="E50" t="s">
        <v>736</v>
      </c>
      <c r="F50" t="s">
        <v>736</v>
      </c>
      <c r="G50" t="s">
        <v>736</v>
      </c>
      <c r="H50" t="s">
        <v>736</v>
      </c>
      <c r="I50" t="s">
        <v>736</v>
      </c>
      <c r="J50" t="s">
        <v>736</v>
      </c>
      <c r="K50" t="s">
        <v>736</v>
      </c>
      <c r="L50" t="s">
        <v>736</v>
      </c>
      <c r="M50" t="s">
        <v>736</v>
      </c>
      <c r="N50" t="s">
        <v>736</v>
      </c>
      <c r="O50" t="s">
        <v>736</v>
      </c>
      <c r="P50" t="s">
        <v>736</v>
      </c>
      <c r="Q50" t="s">
        <v>736</v>
      </c>
      <c r="R50" t="s">
        <v>736</v>
      </c>
      <c r="S50" t="s">
        <v>736</v>
      </c>
      <c r="T50" t="s">
        <v>736</v>
      </c>
      <c r="U50" t="s">
        <v>736</v>
      </c>
      <c r="V50" t="s">
        <v>736</v>
      </c>
      <c r="W50" s="25" t="s">
        <v>736</v>
      </c>
      <c r="X50" s="25" t="s">
        <v>736</v>
      </c>
      <c r="Y50" s="25" t="s">
        <v>736</v>
      </c>
      <c r="Z50" s="25" t="s">
        <v>736</v>
      </c>
      <c r="AA50" s="25" t="s">
        <v>736</v>
      </c>
    </row>
    <row r="51" spans="2:27" x14ac:dyDescent="0.2">
      <c r="B51" s="24" t="s">
        <v>736</v>
      </c>
      <c r="C51" t="s">
        <v>736</v>
      </c>
      <c r="D51" s="25" t="s">
        <v>736</v>
      </c>
      <c r="E51" t="s">
        <v>736</v>
      </c>
      <c r="F51" t="s">
        <v>736</v>
      </c>
      <c r="G51" t="s">
        <v>736</v>
      </c>
      <c r="H51" t="s">
        <v>736</v>
      </c>
      <c r="I51" t="s">
        <v>736</v>
      </c>
      <c r="J51" t="s">
        <v>736</v>
      </c>
      <c r="K51" t="s">
        <v>736</v>
      </c>
      <c r="L51" t="s">
        <v>736</v>
      </c>
      <c r="M51" t="s">
        <v>736</v>
      </c>
      <c r="N51" t="s">
        <v>736</v>
      </c>
      <c r="O51" t="s">
        <v>736</v>
      </c>
      <c r="P51" t="s">
        <v>736</v>
      </c>
      <c r="Q51" t="s">
        <v>736</v>
      </c>
      <c r="R51" t="s">
        <v>736</v>
      </c>
      <c r="S51" t="s">
        <v>736</v>
      </c>
      <c r="T51" t="s">
        <v>736</v>
      </c>
      <c r="U51" t="s">
        <v>736</v>
      </c>
      <c r="V51" t="s">
        <v>736</v>
      </c>
      <c r="W51" s="25" t="s">
        <v>736</v>
      </c>
      <c r="X51" s="25" t="s">
        <v>736</v>
      </c>
      <c r="Y51" s="25" t="s">
        <v>736</v>
      </c>
      <c r="Z51" s="25" t="s">
        <v>736</v>
      </c>
      <c r="AA51" s="25" t="s">
        <v>736</v>
      </c>
    </row>
    <row r="52" spans="2:27" x14ac:dyDescent="0.2">
      <c r="B52" s="24" t="s">
        <v>736</v>
      </c>
      <c r="C52" t="s">
        <v>736</v>
      </c>
      <c r="D52" s="25" t="s">
        <v>736</v>
      </c>
      <c r="E52" t="s">
        <v>736</v>
      </c>
      <c r="F52" t="s">
        <v>736</v>
      </c>
      <c r="G52" t="s">
        <v>736</v>
      </c>
      <c r="H52" t="s">
        <v>736</v>
      </c>
      <c r="I52" t="s">
        <v>736</v>
      </c>
      <c r="J52" t="s">
        <v>736</v>
      </c>
      <c r="K52" t="s">
        <v>736</v>
      </c>
      <c r="L52" t="s">
        <v>736</v>
      </c>
      <c r="M52" t="s">
        <v>736</v>
      </c>
      <c r="N52" t="s">
        <v>736</v>
      </c>
      <c r="O52" t="s">
        <v>736</v>
      </c>
      <c r="P52" t="s">
        <v>736</v>
      </c>
      <c r="Q52" t="s">
        <v>736</v>
      </c>
      <c r="R52" t="s">
        <v>736</v>
      </c>
      <c r="S52" t="s">
        <v>736</v>
      </c>
      <c r="T52" t="s">
        <v>736</v>
      </c>
      <c r="U52" t="s">
        <v>736</v>
      </c>
      <c r="V52" t="s">
        <v>736</v>
      </c>
      <c r="W52" s="25" t="s">
        <v>736</v>
      </c>
      <c r="X52" s="25" t="s">
        <v>736</v>
      </c>
      <c r="Y52" s="25" t="s">
        <v>736</v>
      </c>
      <c r="Z52" s="25" t="s">
        <v>736</v>
      </c>
      <c r="AA52" s="25" t="s">
        <v>736</v>
      </c>
    </row>
    <row r="53" spans="2:27" x14ac:dyDescent="0.2">
      <c r="B53" s="24" t="s">
        <v>736</v>
      </c>
      <c r="C53" t="s">
        <v>736</v>
      </c>
      <c r="D53" s="25" t="s">
        <v>736</v>
      </c>
      <c r="E53" t="s">
        <v>736</v>
      </c>
      <c r="F53" t="s">
        <v>736</v>
      </c>
      <c r="G53" t="s">
        <v>736</v>
      </c>
      <c r="H53" t="s">
        <v>736</v>
      </c>
      <c r="I53" t="s">
        <v>736</v>
      </c>
      <c r="J53" t="s">
        <v>736</v>
      </c>
      <c r="K53" t="s">
        <v>736</v>
      </c>
      <c r="L53" t="s">
        <v>736</v>
      </c>
      <c r="M53" t="s">
        <v>736</v>
      </c>
      <c r="N53" t="s">
        <v>736</v>
      </c>
      <c r="O53" t="s">
        <v>736</v>
      </c>
      <c r="P53" t="s">
        <v>736</v>
      </c>
      <c r="Q53" t="s">
        <v>736</v>
      </c>
      <c r="R53" t="s">
        <v>736</v>
      </c>
      <c r="S53" t="s">
        <v>736</v>
      </c>
      <c r="T53" t="s">
        <v>736</v>
      </c>
      <c r="U53" t="s">
        <v>736</v>
      </c>
      <c r="V53" t="s">
        <v>736</v>
      </c>
      <c r="W53" s="25" t="s">
        <v>736</v>
      </c>
      <c r="X53" s="25" t="s">
        <v>736</v>
      </c>
      <c r="Y53" s="25" t="s">
        <v>736</v>
      </c>
      <c r="Z53" s="25" t="s">
        <v>736</v>
      </c>
      <c r="AA53" s="25" t="s">
        <v>736</v>
      </c>
    </row>
    <row r="54" spans="2:27" x14ac:dyDescent="0.2">
      <c r="B54" s="24" t="s">
        <v>736</v>
      </c>
      <c r="C54" t="s">
        <v>736</v>
      </c>
      <c r="D54" s="25" t="s">
        <v>736</v>
      </c>
      <c r="E54" t="s">
        <v>736</v>
      </c>
      <c r="F54" t="s">
        <v>736</v>
      </c>
      <c r="G54" t="s">
        <v>736</v>
      </c>
      <c r="H54" t="s">
        <v>736</v>
      </c>
      <c r="I54" t="s">
        <v>736</v>
      </c>
      <c r="J54" t="s">
        <v>736</v>
      </c>
      <c r="K54" t="s">
        <v>736</v>
      </c>
      <c r="L54" t="s">
        <v>736</v>
      </c>
      <c r="M54" t="s">
        <v>736</v>
      </c>
      <c r="N54" t="s">
        <v>736</v>
      </c>
      <c r="O54" t="s">
        <v>736</v>
      </c>
      <c r="P54" t="s">
        <v>736</v>
      </c>
      <c r="Q54" t="s">
        <v>736</v>
      </c>
      <c r="R54" t="s">
        <v>736</v>
      </c>
      <c r="S54" t="s">
        <v>736</v>
      </c>
      <c r="T54" t="s">
        <v>736</v>
      </c>
      <c r="U54" t="s">
        <v>736</v>
      </c>
      <c r="V54" t="s">
        <v>736</v>
      </c>
      <c r="W54" s="25" t="s">
        <v>736</v>
      </c>
      <c r="X54" s="25" t="s">
        <v>736</v>
      </c>
      <c r="Y54" s="25" t="s">
        <v>736</v>
      </c>
      <c r="Z54" s="25" t="s">
        <v>736</v>
      </c>
      <c r="AA54" s="25" t="s">
        <v>736</v>
      </c>
    </row>
    <row r="55" spans="2:27" x14ac:dyDescent="0.2">
      <c r="B55" s="24" t="s">
        <v>736</v>
      </c>
      <c r="C55" t="s">
        <v>736</v>
      </c>
      <c r="D55" s="25" t="s">
        <v>736</v>
      </c>
      <c r="E55" t="s">
        <v>736</v>
      </c>
      <c r="F55" t="s">
        <v>736</v>
      </c>
      <c r="G55" t="s">
        <v>736</v>
      </c>
      <c r="H55" t="s">
        <v>736</v>
      </c>
      <c r="I55" t="s">
        <v>736</v>
      </c>
      <c r="J55" t="s">
        <v>736</v>
      </c>
      <c r="K55" t="s">
        <v>736</v>
      </c>
      <c r="L55" t="s">
        <v>736</v>
      </c>
      <c r="M55" t="s">
        <v>736</v>
      </c>
      <c r="N55" t="s">
        <v>736</v>
      </c>
      <c r="O55" t="s">
        <v>736</v>
      </c>
      <c r="P55" t="s">
        <v>736</v>
      </c>
      <c r="Q55" t="s">
        <v>736</v>
      </c>
      <c r="R55" t="s">
        <v>736</v>
      </c>
      <c r="S55" t="s">
        <v>736</v>
      </c>
      <c r="T55" t="s">
        <v>736</v>
      </c>
      <c r="U55" t="s">
        <v>736</v>
      </c>
      <c r="V55" t="s">
        <v>736</v>
      </c>
      <c r="W55" s="25" t="s">
        <v>736</v>
      </c>
      <c r="X55" s="25" t="s">
        <v>736</v>
      </c>
      <c r="Y55" s="25" t="s">
        <v>736</v>
      </c>
      <c r="Z55" s="25" t="s">
        <v>736</v>
      </c>
      <c r="AA55" s="25" t="s">
        <v>736</v>
      </c>
    </row>
    <row r="56" spans="2:27" x14ac:dyDescent="0.2">
      <c r="B56" s="24" t="s">
        <v>736</v>
      </c>
      <c r="C56" t="s">
        <v>736</v>
      </c>
      <c r="D56" s="25" t="s">
        <v>736</v>
      </c>
      <c r="E56" t="s">
        <v>736</v>
      </c>
      <c r="F56" t="s">
        <v>736</v>
      </c>
      <c r="G56" t="s">
        <v>736</v>
      </c>
      <c r="H56" t="s">
        <v>736</v>
      </c>
      <c r="I56" t="s">
        <v>736</v>
      </c>
      <c r="J56" t="s">
        <v>736</v>
      </c>
      <c r="K56" t="s">
        <v>736</v>
      </c>
      <c r="L56" t="s">
        <v>736</v>
      </c>
      <c r="M56" t="s">
        <v>736</v>
      </c>
      <c r="N56" t="s">
        <v>736</v>
      </c>
      <c r="O56" t="s">
        <v>736</v>
      </c>
      <c r="P56" t="s">
        <v>736</v>
      </c>
      <c r="Q56" t="s">
        <v>736</v>
      </c>
      <c r="R56" t="s">
        <v>736</v>
      </c>
      <c r="S56" t="s">
        <v>736</v>
      </c>
      <c r="T56" t="s">
        <v>736</v>
      </c>
      <c r="U56" t="s">
        <v>736</v>
      </c>
      <c r="V56" t="s">
        <v>736</v>
      </c>
      <c r="W56" s="25" t="s">
        <v>736</v>
      </c>
      <c r="X56" s="25" t="s">
        <v>736</v>
      </c>
      <c r="Y56" s="25" t="s">
        <v>736</v>
      </c>
      <c r="Z56" s="25" t="s">
        <v>736</v>
      </c>
      <c r="AA56" s="25" t="s">
        <v>736</v>
      </c>
    </row>
    <row r="57" spans="2:27" x14ac:dyDescent="0.2">
      <c r="B57" s="24" t="s">
        <v>736</v>
      </c>
      <c r="C57" t="s">
        <v>736</v>
      </c>
      <c r="D57" s="25" t="s">
        <v>736</v>
      </c>
      <c r="E57" t="s">
        <v>736</v>
      </c>
      <c r="F57" t="s">
        <v>736</v>
      </c>
      <c r="G57" t="s">
        <v>736</v>
      </c>
      <c r="H57" t="s">
        <v>736</v>
      </c>
      <c r="I57" t="s">
        <v>736</v>
      </c>
      <c r="J57" t="s">
        <v>736</v>
      </c>
      <c r="K57" t="s">
        <v>736</v>
      </c>
      <c r="L57" t="s">
        <v>736</v>
      </c>
      <c r="M57" t="s">
        <v>736</v>
      </c>
      <c r="N57" t="s">
        <v>736</v>
      </c>
      <c r="O57" t="s">
        <v>736</v>
      </c>
      <c r="P57" t="s">
        <v>736</v>
      </c>
      <c r="Q57" t="s">
        <v>736</v>
      </c>
      <c r="R57" t="s">
        <v>736</v>
      </c>
      <c r="S57" t="s">
        <v>736</v>
      </c>
      <c r="T57" t="s">
        <v>736</v>
      </c>
      <c r="U57" t="s">
        <v>736</v>
      </c>
      <c r="V57" t="s">
        <v>736</v>
      </c>
      <c r="W57" s="25" t="s">
        <v>736</v>
      </c>
      <c r="X57" s="25" t="s">
        <v>736</v>
      </c>
      <c r="Y57" s="25" t="s">
        <v>736</v>
      </c>
      <c r="Z57" s="25" t="s">
        <v>736</v>
      </c>
      <c r="AA57" s="25" t="s">
        <v>736</v>
      </c>
    </row>
    <row r="58" spans="2:27" x14ac:dyDescent="0.2">
      <c r="B58" s="24" t="s">
        <v>736</v>
      </c>
      <c r="C58" t="s">
        <v>736</v>
      </c>
      <c r="D58" s="25" t="s">
        <v>736</v>
      </c>
      <c r="E58" t="s">
        <v>736</v>
      </c>
      <c r="F58" t="s">
        <v>736</v>
      </c>
      <c r="G58" t="s">
        <v>736</v>
      </c>
      <c r="H58" t="s">
        <v>736</v>
      </c>
      <c r="I58" t="s">
        <v>736</v>
      </c>
      <c r="J58" t="s">
        <v>736</v>
      </c>
      <c r="K58" t="s">
        <v>736</v>
      </c>
      <c r="L58" t="s">
        <v>736</v>
      </c>
      <c r="M58" t="s">
        <v>736</v>
      </c>
      <c r="N58" t="s">
        <v>736</v>
      </c>
      <c r="O58" t="s">
        <v>736</v>
      </c>
      <c r="P58" t="s">
        <v>736</v>
      </c>
      <c r="Q58" t="s">
        <v>736</v>
      </c>
      <c r="R58" t="s">
        <v>736</v>
      </c>
      <c r="S58" t="s">
        <v>736</v>
      </c>
      <c r="T58" t="s">
        <v>736</v>
      </c>
      <c r="U58" t="s">
        <v>736</v>
      </c>
      <c r="V58" t="s">
        <v>736</v>
      </c>
      <c r="W58" s="25" t="s">
        <v>736</v>
      </c>
      <c r="X58" s="25" t="s">
        <v>736</v>
      </c>
      <c r="Y58" s="25" t="s">
        <v>736</v>
      </c>
      <c r="Z58" s="25" t="s">
        <v>736</v>
      </c>
      <c r="AA58" s="25" t="s">
        <v>736</v>
      </c>
    </row>
    <row r="59" spans="2:27" x14ac:dyDescent="0.2">
      <c r="B59" s="24" t="s">
        <v>736</v>
      </c>
      <c r="C59" t="s">
        <v>736</v>
      </c>
      <c r="D59" s="25" t="s">
        <v>736</v>
      </c>
      <c r="E59" t="s">
        <v>736</v>
      </c>
      <c r="F59" t="s">
        <v>736</v>
      </c>
      <c r="G59" t="s">
        <v>736</v>
      </c>
      <c r="H59" t="s">
        <v>736</v>
      </c>
      <c r="I59" t="s">
        <v>736</v>
      </c>
      <c r="J59" t="s">
        <v>736</v>
      </c>
      <c r="K59" t="s">
        <v>736</v>
      </c>
      <c r="L59" t="s">
        <v>736</v>
      </c>
      <c r="M59" t="s">
        <v>736</v>
      </c>
      <c r="N59" t="s">
        <v>736</v>
      </c>
      <c r="O59" t="s">
        <v>736</v>
      </c>
      <c r="P59" t="s">
        <v>736</v>
      </c>
      <c r="Q59" t="s">
        <v>736</v>
      </c>
      <c r="R59" t="s">
        <v>736</v>
      </c>
      <c r="S59" t="s">
        <v>736</v>
      </c>
      <c r="T59" t="s">
        <v>736</v>
      </c>
      <c r="U59" t="s">
        <v>736</v>
      </c>
      <c r="V59" t="s">
        <v>736</v>
      </c>
      <c r="W59" s="25" t="s">
        <v>736</v>
      </c>
      <c r="X59" s="25" t="s">
        <v>736</v>
      </c>
      <c r="Y59" s="25" t="s">
        <v>736</v>
      </c>
      <c r="Z59" s="25" t="s">
        <v>736</v>
      </c>
      <c r="AA59" s="25" t="s">
        <v>736</v>
      </c>
    </row>
    <row r="60" spans="2:27" x14ac:dyDescent="0.2">
      <c r="B60" s="24" t="s">
        <v>736</v>
      </c>
      <c r="C60" t="s">
        <v>736</v>
      </c>
      <c r="D60" s="25" t="s">
        <v>736</v>
      </c>
      <c r="E60" t="s">
        <v>736</v>
      </c>
      <c r="F60" t="s">
        <v>736</v>
      </c>
      <c r="G60" t="s">
        <v>736</v>
      </c>
      <c r="H60" t="s">
        <v>736</v>
      </c>
      <c r="I60" t="s">
        <v>736</v>
      </c>
      <c r="J60" t="s">
        <v>736</v>
      </c>
      <c r="K60" t="s">
        <v>736</v>
      </c>
      <c r="L60" t="s">
        <v>736</v>
      </c>
      <c r="M60" t="s">
        <v>736</v>
      </c>
      <c r="N60" t="s">
        <v>736</v>
      </c>
      <c r="O60" t="s">
        <v>736</v>
      </c>
      <c r="P60" t="s">
        <v>736</v>
      </c>
      <c r="Q60" t="s">
        <v>736</v>
      </c>
      <c r="R60" t="s">
        <v>736</v>
      </c>
      <c r="S60" t="s">
        <v>736</v>
      </c>
      <c r="T60" t="s">
        <v>736</v>
      </c>
      <c r="U60" t="s">
        <v>736</v>
      </c>
      <c r="V60" t="s">
        <v>736</v>
      </c>
      <c r="W60" s="25" t="s">
        <v>736</v>
      </c>
      <c r="X60" s="25" t="s">
        <v>736</v>
      </c>
      <c r="Y60" s="25" t="s">
        <v>736</v>
      </c>
      <c r="Z60" s="25" t="s">
        <v>736</v>
      </c>
      <c r="AA60" s="25" t="s">
        <v>736</v>
      </c>
    </row>
    <row r="61" spans="2:27" x14ac:dyDescent="0.2">
      <c r="B61" s="24" t="s">
        <v>736</v>
      </c>
      <c r="C61" t="s">
        <v>736</v>
      </c>
      <c r="D61" s="25" t="s">
        <v>736</v>
      </c>
      <c r="E61" t="s">
        <v>736</v>
      </c>
      <c r="F61" t="s">
        <v>736</v>
      </c>
      <c r="G61" t="s">
        <v>736</v>
      </c>
      <c r="H61" t="s">
        <v>736</v>
      </c>
      <c r="I61" t="s">
        <v>736</v>
      </c>
      <c r="J61" t="s">
        <v>736</v>
      </c>
      <c r="K61" t="s">
        <v>736</v>
      </c>
      <c r="L61" t="s">
        <v>736</v>
      </c>
      <c r="M61" t="s">
        <v>736</v>
      </c>
      <c r="N61" t="s">
        <v>736</v>
      </c>
      <c r="O61" t="s">
        <v>736</v>
      </c>
      <c r="P61" t="s">
        <v>736</v>
      </c>
      <c r="Q61" t="s">
        <v>736</v>
      </c>
      <c r="R61" t="s">
        <v>736</v>
      </c>
      <c r="S61" t="s">
        <v>736</v>
      </c>
      <c r="T61" t="s">
        <v>736</v>
      </c>
      <c r="U61" t="s">
        <v>736</v>
      </c>
      <c r="V61" t="s">
        <v>736</v>
      </c>
      <c r="W61" s="25" t="s">
        <v>736</v>
      </c>
      <c r="X61" s="25" t="s">
        <v>736</v>
      </c>
      <c r="Y61" s="25" t="s">
        <v>736</v>
      </c>
      <c r="Z61" s="25" t="s">
        <v>736</v>
      </c>
      <c r="AA61" s="25" t="s">
        <v>736</v>
      </c>
    </row>
    <row r="62" spans="2:27" x14ac:dyDescent="0.2">
      <c r="B62" s="24" t="s">
        <v>736</v>
      </c>
      <c r="C62" t="s">
        <v>736</v>
      </c>
      <c r="D62" s="25" t="s">
        <v>736</v>
      </c>
      <c r="E62" t="s">
        <v>736</v>
      </c>
      <c r="F62" t="s">
        <v>736</v>
      </c>
      <c r="G62" t="s">
        <v>736</v>
      </c>
      <c r="H62" t="s">
        <v>736</v>
      </c>
      <c r="I62" t="s">
        <v>736</v>
      </c>
      <c r="J62" t="s">
        <v>736</v>
      </c>
      <c r="K62" t="s">
        <v>736</v>
      </c>
      <c r="L62" t="s">
        <v>736</v>
      </c>
      <c r="M62" t="s">
        <v>736</v>
      </c>
      <c r="N62" t="s">
        <v>736</v>
      </c>
      <c r="O62" t="s">
        <v>736</v>
      </c>
      <c r="P62" t="s">
        <v>736</v>
      </c>
      <c r="Q62" t="s">
        <v>736</v>
      </c>
      <c r="R62" t="s">
        <v>736</v>
      </c>
      <c r="S62" t="s">
        <v>736</v>
      </c>
      <c r="T62" t="s">
        <v>736</v>
      </c>
      <c r="U62" t="s">
        <v>736</v>
      </c>
      <c r="V62" t="s">
        <v>736</v>
      </c>
      <c r="W62" s="25" t="s">
        <v>736</v>
      </c>
      <c r="X62" s="25" t="s">
        <v>736</v>
      </c>
      <c r="Y62" s="25" t="s">
        <v>736</v>
      </c>
      <c r="Z62" s="25" t="s">
        <v>736</v>
      </c>
      <c r="AA62" s="25" t="s">
        <v>736</v>
      </c>
    </row>
    <row r="63" spans="2:27" x14ac:dyDescent="0.2">
      <c r="B63" s="24" t="s">
        <v>736</v>
      </c>
      <c r="C63" t="s">
        <v>736</v>
      </c>
      <c r="D63" s="25" t="s">
        <v>736</v>
      </c>
      <c r="E63" t="s">
        <v>736</v>
      </c>
      <c r="F63" t="s">
        <v>736</v>
      </c>
      <c r="G63" t="s">
        <v>736</v>
      </c>
      <c r="H63" t="s">
        <v>736</v>
      </c>
      <c r="I63" t="s">
        <v>736</v>
      </c>
      <c r="J63" t="s">
        <v>736</v>
      </c>
      <c r="K63" t="s">
        <v>736</v>
      </c>
      <c r="L63" t="s">
        <v>736</v>
      </c>
      <c r="M63" t="s">
        <v>736</v>
      </c>
      <c r="N63" t="s">
        <v>736</v>
      </c>
      <c r="O63" t="s">
        <v>736</v>
      </c>
      <c r="P63" t="s">
        <v>736</v>
      </c>
      <c r="Q63" t="s">
        <v>736</v>
      </c>
      <c r="R63" t="s">
        <v>736</v>
      </c>
      <c r="S63" t="s">
        <v>736</v>
      </c>
      <c r="T63" t="s">
        <v>736</v>
      </c>
      <c r="U63" t="s">
        <v>736</v>
      </c>
      <c r="V63" t="s">
        <v>736</v>
      </c>
      <c r="W63" s="25" t="s">
        <v>736</v>
      </c>
      <c r="X63" s="25" t="s">
        <v>736</v>
      </c>
      <c r="Y63" s="25" t="s">
        <v>736</v>
      </c>
      <c r="Z63" s="25" t="s">
        <v>736</v>
      </c>
      <c r="AA63" s="25" t="s">
        <v>736</v>
      </c>
    </row>
    <row r="64" spans="2:27" x14ac:dyDescent="0.2">
      <c r="B64" s="24" t="s">
        <v>736</v>
      </c>
      <c r="C64" t="s">
        <v>736</v>
      </c>
      <c r="D64" s="25" t="s">
        <v>736</v>
      </c>
      <c r="E64" t="s">
        <v>736</v>
      </c>
      <c r="F64" t="s">
        <v>736</v>
      </c>
      <c r="G64" t="s">
        <v>736</v>
      </c>
      <c r="H64" t="s">
        <v>736</v>
      </c>
      <c r="I64" t="s">
        <v>736</v>
      </c>
      <c r="J64" t="s">
        <v>736</v>
      </c>
      <c r="K64" t="s">
        <v>736</v>
      </c>
      <c r="L64" t="s">
        <v>736</v>
      </c>
      <c r="M64" t="s">
        <v>736</v>
      </c>
      <c r="N64" t="s">
        <v>736</v>
      </c>
      <c r="O64" t="s">
        <v>736</v>
      </c>
      <c r="P64" t="s">
        <v>736</v>
      </c>
      <c r="Q64" t="s">
        <v>736</v>
      </c>
      <c r="R64" t="s">
        <v>736</v>
      </c>
      <c r="S64" t="s">
        <v>736</v>
      </c>
      <c r="T64" t="s">
        <v>736</v>
      </c>
      <c r="U64" t="s">
        <v>736</v>
      </c>
      <c r="V64" t="s">
        <v>736</v>
      </c>
      <c r="W64" s="25" t="s">
        <v>736</v>
      </c>
      <c r="X64" s="25" t="s">
        <v>736</v>
      </c>
      <c r="Y64" s="25" t="s">
        <v>736</v>
      </c>
      <c r="Z64" s="25" t="s">
        <v>736</v>
      </c>
      <c r="AA64" s="25" t="s">
        <v>736</v>
      </c>
    </row>
    <row r="65" spans="2:27" x14ac:dyDescent="0.2">
      <c r="B65" s="24" t="s">
        <v>736</v>
      </c>
      <c r="C65" t="s">
        <v>736</v>
      </c>
      <c r="D65" s="25" t="s">
        <v>736</v>
      </c>
      <c r="E65" t="s">
        <v>736</v>
      </c>
      <c r="F65" t="s">
        <v>736</v>
      </c>
      <c r="G65" t="s">
        <v>736</v>
      </c>
      <c r="H65" t="s">
        <v>736</v>
      </c>
      <c r="I65" t="s">
        <v>736</v>
      </c>
      <c r="J65" t="s">
        <v>736</v>
      </c>
      <c r="K65" t="s">
        <v>736</v>
      </c>
      <c r="L65" t="s">
        <v>736</v>
      </c>
      <c r="M65" t="s">
        <v>736</v>
      </c>
      <c r="N65" t="s">
        <v>736</v>
      </c>
      <c r="O65" t="s">
        <v>736</v>
      </c>
      <c r="P65" t="s">
        <v>736</v>
      </c>
      <c r="Q65" t="s">
        <v>736</v>
      </c>
      <c r="R65" t="s">
        <v>736</v>
      </c>
      <c r="S65" t="s">
        <v>736</v>
      </c>
      <c r="T65" t="s">
        <v>736</v>
      </c>
      <c r="U65" t="s">
        <v>736</v>
      </c>
      <c r="V65" t="s">
        <v>736</v>
      </c>
      <c r="W65" s="25" t="s">
        <v>736</v>
      </c>
      <c r="X65" s="25" t="s">
        <v>736</v>
      </c>
      <c r="Y65" s="25" t="s">
        <v>736</v>
      </c>
      <c r="Z65" s="25" t="s">
        <v>736</v>
      </c>
      <c r="AA65" s="25" t="s">
        <v>736</v>
      </c>
    </row>
    <row r="66" spans="2:27" x14ac:dyDescent="0.2">
      <c r="B66" s="24" t="s">
        <v>736</v>
      </c>
      <c r="C66" t="s">
        <v>736</v>
      </c>
      <c r="D66" s="25" t="s">
        <v>736</v>
      </c>
      <c r="E66" t="s">
        <v>736</v>
      </c>
      <c r="F66" t="s">
        <v>736</v>
      </c>
      <c r="G66" t="s">
        <v>736</v>
      </c>
      <c r="H66" t="s">
        <v>736</v>
      </c>
      <c r="I66" t="s">
        <v>736</v>
      </c>
      <c r="J66" t="s">
        <v>736</v>
      </c>
      <c r="K66" t="s">
        <v>736</v>
      </c>
      <c r="L66" t="s">
        <v>736</v>
      </c>
      <c r="M66" t="s">
        <v>736</v>
      </c>
      <c r="N66" t="s">
        <v>736</v>
      </c>
      <c r="O66" t="s">
        <v>736</v>
      </c>
      <c r="P66" t="s">
        <v>736</v>
      </c>
      <c r="Q66" t="s">
        <v>736</v>
      </c>
      <c r="R66" t="s">
        <v>736</v>
      </c>
      <c r="S66" t="s">
        <v>736</v>
      </c>
      <c r="T66" t="s">
        <v>736</v>
      </c>
      <c r="U66" t="s">
        <v>736</v>
      </c>
      <c r="V66" t="s">
        <v>736</v>
      </c>
      <c r="W66" s="25" t="s">
        <v>736</v>
      </c>
      <c r="X66" s="25" t="s">
        <v>736</v>
      </c>
      <c r="Y66" s="25" t="s">
        <v>736</v>
      </c>
      <c r="Z66" s="25" t="s">
        <v>736</v>
      </c>
      <c r="AA66" s="25" t="s">
        <v>736</v>
      </c>
    </row>
    <row r="67" spans="2:27" x14ac:dyDescent="0.2">
      <c r="B67" s="24" t="s">
        <v>736</v>
      </c>
      <c r="C67" t="s">
        <v>736</v>
      </c>
      <c r="D67" s="25" t="s">
        <v>736</v>
      </c>
      <c r="E67" t="s">
        <v>736</v>
      </c>
      <c r="F67" t="s">
        <v>736</v>
      </c>
      <c r="G67" t="s">
        <v>736</v>
      </c>
      <c r="H67" t="s">
        <v>736</v>
      </c>
      <c r="I67" t="s">
        <v>736</v>
      </c>
      <c r="J67" t="s">
        <v>736</v>
      </c>
      <c r="K67" t="s">
        <v>736</v>
      </c>
      <c r="L67" t="s">
        <v>736</v>
      </c>
      <c r="M67" t="s">
        <v>736</v>
      </c>
      <c r="N67" t="s">
        <v>736</v>
      </c>
      <c r="O67" t="s">
        <v>736</v>
      </c>
      <c r="P67" t="s">
        <v>736</v>
      </c>
      <c r="Q67" t="s">
        <v>736</v>
      </c>
      <c r="R67" t="s">
        <v>736</v>
      </c>
      <c r="S67" t="s">
        <v>736</v>
      </c>
      <c r="T67" t="s">
        <v>736</v>
      </c>
      <c r="U67" t="s">
        <v>736</v>
      </c>
      <c r="V67" t="s">
        <v>736</v>
      </c>
      <c r="W67" s="25" t="s">
        <v>736</v>
      </c>
      <c r="X67" s="25" t="s">
        <v>736</v>
      </c>
      <c r="Y67" s="25" t="s">
        <v>736</v>
      </c>
      <c r="Z67" s="25" t="s">
        <v>736</v>
      </c>
      <c r="AA67" s="25" t="s">
        <v>736</v>
      </c>
    </row>
    <row r="68" spans="2:27" x14ac:dyDescent="0.2">
      <c r="B68" s="24" t="s">
        <v>736</v>
      </c>
      <c r="C68" t="s">
        <v>736</v>
      </c>
      <c r="D68" s="25" t="s">
        <v>736</v>
      </c>
      <c r="E68" t="s">
        <v>736</v>
      </c>
      <c r="F68" t="s">
        <v>736</v>
      </c>
      <c r="G68" t="s">
        <v>736</v>
      </c>
      <c r="H68" t="s">
        <v>736</v>
      </c>
      <c r="I68" t="s">
        <v>736</v>
      </c>
      <c r="J68" t="s">
        <v>736</v>
      </c>
      <c r="K68" t="s">
        <v>736</v>
      </c>
      <c r="L68" t="s">
        <v>736</v>
      </c>
      <c r="M68" t="s">
        <v>736</v>
      </c>
      <c r="N68" t="s">
        <v>736</v>
      </c>
      <c r="O68" t="s">
        <v>736</v>
      </c>
      <c r="P68" t="s">
        <v>736</v>
      </c>
      <c r="Q68" t="s">
        <v>736</v>
      </c>
      <c r="R68" t="s">
        <v>736</v>
      </c>
      <c r="S68" t="s">
        <v>736</v>
      </c>
      <c r="T68" t="s">
        <v>736</v>
      </c>
      <c r="U68" t="s">
        <v>736</v>
      </c>
      <c r="V68" t="s">
        <v>736</v>
      </c>
      <c r="W68" s="25" t="s">
        <v>736</v>
      </c>
      <c r="X68" s="25" t="s">
        <v>736</v>
      </c>
      <c r="Y68" s="25" t="s">
        <v>736</v>
      </c>
      <c r="Z68" s="25" t="s">
        <v>736</v>
      </c>
      <c r="AA68" s="25" t="s">
        <v>736</v>
      </c>
    </row>
    <row r="69" spans="2:27" x14ac:dyDescent="0.2">
      <c r="B69" s="24" t="s">
        <v>736</v>
      </c>
      <c r="C69" t="s">
        <v>736</v>
      </c>
      <c r="D69" s="25" t="s">
        <v>736</v>
      </c>
      <c r="E69" t="s">
        <v>736</v>
      </c>
      <c r="F69" t="s">
        <v>736</v>
      </c>
      <c r="G69" t="s">
        <v>736</v>
      </c>
      <c r="H69" t="s">
        <v>736</v>
      </c>
      <c r="I69" t="s">
        <v>736</v>
      </c>
      <c r="J69" t="s">
        <v>736</v>
      </c>
      <c r="K69" t="s">
        <v>736</v>
      </c>
      <c r="L69" t="s">
        <v>736</v>
      </c>
      <c r="M69" t="s">
        <v>736</v>
      </c>
      <c r="N69" t="s">
        <v>736</v>
      </c>
      <c r="O69" t="s">
        <v>736</v>
      </c>
      <c r="P69" t="s">
        <v>736</v>
      </c>
      <c r="Q69" t="s">
        <v>736</v>
      </c>
      <c r="R69" t="s">
        <v>736</v>
      </c>
      <c r="S69" t="s">
        <v>736</v>
      </c>
      <c r="T69" t="s">
        <v>736</v>
      </c>
      <c r="U69" t="s">
        <v>736</v>
      </c>
      <c r="V69" t="s">
        <v>736</v>
      </c>
      <c r="W69" s="25" t="s">
        <v>736</v>
      </c>
      <c r="X69" s="25" t="s">
        <v>736</v>
      </c>
      <c r="Y69" s="25" t="s">
        <v>736</v>
      </c>
      <c r="Z69" s="25" t="s">
        <v>736</v>
      </c>
      <c r="AA69" s="25" t="s">
        <v>736</v>
      </c>
    </row>
    <row r="70" spans="2:27" x14ac:dyDescent="0.2">
      <c r="B70" s="24" t="s">
        <v>736</v>
      </c>
      <c r="C70" t="s">
        <v>736</v>
      </c>
      <c r="D70" s="25" t="s">
        <v>736</v>
      </c>
      <c r="E70" t="s">
        <v>736</v>
      </c>
      <c r="F70" t="s">
        <v>736</v>
      </c>
      <c r="G70" t="s">
        <v>736</v>
      </c>
      <c r="H70" t="s">
        <v>736</v>
      </c>
      <c r="I70" t="s">
        <v>736</v>
      </c>
      <c r="J70" t="s">
        <v>736</v>
      </c>
      <c r="K70" t="s">
        <v>736</v>
      </c>
      <c r="L70" t="s">
        <v>736</v>
      </c>
      <c r="M70" t="s">
        <v>736</v>
      </c>
      <c r="N70" t="s">
        <v>736</v>
      </c>
      <c r="O70" t="s">
        <v>736</v>
      </c>
      <c r="P70" t="s">
        <v>736</v>
      </c>
      <c r="Q70" t="s">
        <v>736</v>
      </c>
      <c r="R70" t="s">
        <v>736</v>
      </c>
      <c r="S70" t="s">
        <v>736</v>
      </c>
      <c r="T70" t="s">
        <v>736</v>
      </c>
      <c r="U70" t="s">
        <v>736</v>
      </c>
      <c r="V70" t="s">
        <v>736</v>
      </c>
      <c r="W70" s="25" t="s">
        <v>736</v>
      </c>
      <c r="X70" s="25" t="s">
        <v>736</v>
      </c>
      <c r="Y70" s="25" t="s">
        <v>736</v>
      </c>
      <c r="Z70" s="25" t="s">
        <v>736</v>
      </c>
      <c r="AA70" s="25" t="s">
        <v>736</v>
      </c>
    </row>
    <row r="71" spans="2:27" x14ac:dyDescent="0.2">
      <c r="B71" s="24" t="s">
        <v>736</v>
      </c>
      <c r="C71" t="s">
        <v>736</v>
      </c>
      <c r="D71" s="25" t="s">
        <v>736</v>
      </c>
      <c r="E71" t="s">
        <v>736</v>
      </c>
      <c r="F71" t="s">
        <v>736</v>
      </c>
      <c r="G71" t="s">
        <v>736</v>
      </c>
      <c r="H71" t="s">
        <v>736</v>
      </c>
      <c r="I71" t="s">
        <v>736</v>
      </c>
      <c r="J71" t="s">
        <v>736</v>
      </c>
      <c r="K71" t="s">
        <v>736</v>
      </c>
      <c r="L71" t="s">
        <v>736</v>
      </c>
      <c r="M71" t="s">
        <v>736</v>
      </c>
      <c r="N71" t="s">
        <v>736</v>
      </c>
      <c r="O71" t="s">
        <v>736</v>
      </c>
      <c r="P71" t="s">
        <v>736</v>
      </c>
      <c r="Q71" t="s">
        <v>736</v>
      </c>
      <c r="R71" t="s">
        <v>736</v>
      </c>
      <c r="S71" t="s">
        <v>736</v>
      </c>
      <c r="T71" t="s">
        <v>736</v>
      </c>
      <c r="U71" t="s">
        <v>736</v>
      </c>
      <c r="V71" t="s">
        <v>736</v>
      </c>
      <c r="W71" s="25" t="s">
        <v>736</v>
      </c>
      <c r="X71" s="25" t="s">
        <v>736</v>
      </c>
      <c r="Y71" s="25" t="s">
        <v>736</v>
      </c>
      <c r="Z71" s="25" t="s">
        <v>736</v>
      </c>
      <c r="AA71" s="25" t="s">
        <v>736</v>
      </c>
    </row>
    <row r="72" spans="2:27" x14ac:dyDescent="0.2">
      <c r="B72" s="24" t="s">
        <v>736</v>
      </c>
      <c r="C72" t="s">
        <v>736</v>
      </c>
      <c r="D72" s="25" t="s">
        <v>736</v>
      </c>
      <c r="E72" t="s">
        <v>736</v>
      </c>
      <c r="F72" t="s">
        <v>736</v>
      </c>
      <c r="G72" t="s">
        <v>736</v>
      </c>
      <c r="H72" t="s">
        <v>736</v>
      </c>
      <c r="I72" t="s">
        <v>736</v>
      </c>
      <c r="J72" t="s">
        <v>736</v>
      </c>
      <c r="K72" t="s">
        <v>736</v>
      </c>
      <c r="L72" t="s">
        <v>736</v>
      </c>
      <c r="M72" t="s">
        <v>736</v>
      </c>
      <c r="N72" t="s">
        <v>736</v>
      </c>
      <c r="O72" t="s">
        <v>736</v>
      </c>
      <c r="P72" t="s">
        <v>736</v>
      </c>
      <c r="Q72" t="s">
        <v>736</v>
      </c>
      <c r="R72" t="s">
        <v>736</v>
      </c>
      <c r="S72" t="s">
        <v>736</v>
      </c>
      <c r="T72" t="s">
        <v>736</v>
      </c>
      <c r="U72" t="s">
        <v>736</v>
      </c>
      <c r="V72" t="s">
        <v>736</v>
      </c>
      <c r="W72" s="25" t="s">
        <v>736</v>
      </c>
      <c r="X72" s="25" t="s">
        <v>736</v>
      </c>
      <c r="Y72" s="25" t="s">
        <v>736</v>
      </c>
      <c r="Z72" s="25" t="s">
        <v>736</v>
      </c>
      <c r="AA72" s="25" t="s">
        <v>736</v>
      </c>
    </row>
    <row r="73" spans="2:27" x14ac:dyDescent="0.2">
      <c r="B73" s="24" t="s">
        <v>736</v>
      </c>
      <c r="C73" t="s">
        <v>736</v>
      </c>
      <c r="D73" s="25" t="s">
        <v>736</v>
      </c>
      <c r="E73" t="s">
        <v>736</v>
      </c>
      <c r="F73" t="s">
        <v>736</v>
      </c>
      <c r="G73" t="s">
        <v>736</v>
      </c>
      <c r="H73" t="s">
        <v>736</v>
      </c>
      <c r="I73" t="s">
        <v>736</v>
      </c>
      <c r="J73" t="s">
        <v>736</v>
      </c>
      <c r="K73" t="s">
        <v>736</v>
      </c>
      <c r="L73" t="s">
        <v>736</v>
      </c>
      <c r="M73" t="s">
        <v>736</v>
      </c>
      <c r="N73" t="s">
        <v>736</v>
      </c>
      <c r="O73" t="s">
        <v>736</v>
      </c>
      <c r="P73" t="s">
        <v>736</v>
      </c>
      <c r="Q73" t="s">
        <v>736</v>
      </c>
      <c r="R73" t="s">
        <v>736</v>
      </c>
      <c r="S73" t="s">
        <v>736</v>
      </c>
      <c r="T73" t="s">
        <v>736</v>
      </c>
      <c r="U73" t="s">
        <v>736</v>
      </c>
      <c r="V73" t="s">
        <v>736</v>
      </c>
      <c r="W73" s="25" t="s">
        <v>736</v>
      </c>
      <c r="X73" s="25" t="s">
        <v>736</v>
      </c>
      <c r="Y73" s="25" t="s">
        <v>736</v>
      </c>
      <c r="Z73" s="25" t="s">
        <v>736</v>
      </c>
      <c r="AA73" s="25" t="s">
        <v>736</v>
      </c>
    </row>
    <row r="74" spans="2:27" x14ac:dyDescent="0.2">
      <c r="B74" s="24" t="s">
        <v>736</v>
      </c>
      <c r="C74" t="s">
        <v>736</v>
      </c>
      <c r="D74" s="25" t="s">
        <v>736</v>
      </c>
      <c r="E74" t="s">
        <v>736</v>
      </c>
      <c r="F74" t="s">
        <v>736</v>
      </c>
      <c r="G74" t="s">
        <v>736</v>
      </c>
      <c r="H74" t="s">
        <v>736</v>
      </c>
      <c r="I74" t="s">
        <v>736</v>
      </c>
      <c r="J74" t="s">
        <v>736</v>
      </c>
      <c r="K74" t="s">
        <v>736</v>
      </c>
      <c r="L74" t="s">
        <v>736</v>
      </c>
      <c r="M74" t="s">
        <v>736</v>
      </c>
      <c r="N74" t="s">
        <v>736</v>
      </c>
      <c r="O74" t="s">
        <v>736</v>
      </c>
      <c r="P74" t="s">
        <v>736</v>
      </c>
      <c r="Q74" t="s">
        <v>736</v>
      </c>
      <c r="R74" t="s">
        <v>736</v>
      </c>
      <c r="S74" t="s">
        <v>736</v>
      </c>
      <c r="T74" t="s">
        <v>736</v>
      </c>
      <c r="U74" t="s">
        <v>736</v>
      </c>
      <c r="V74" t="s">
        <v>736</v>
      </c>
      <c r="W74" s="25" t="s">
        <v>736</v>
      </c>
      <c r="X74" s="25" t="s">
        <v>736</v>
      </c>
      <c r="Y74" s="25" t="s">
        <v>736</v>
      </c>
      <c r="Z74" s="25" t="s">
        <v>736</v>
      </c>
      <c r="AA74" s="25" t="s">
        <v>736</v>
      </c>
    </row>
    <row r="75" spans="2:27" x14ac:dyDescent="0.2">
      <c r="B75" s="24" t="s">
        <v>736</v>
      </c>
      <c r="C75" t="s">
        <v>736</v>
      </c>
      <c r="D75" s="25" t="s">
        <v>736</v>
      </c>
      <c r="E75" t="s">
        <v>736</v>
      </c>
      <c r="F75" t="s">
        <v>736</v>
      </c>
      <c r="G75" t="s">
        <v>736</v>
      </c>
      <c r="H75" t="s">
        <v>736</v>
      </c>
      <c r="I75" t="s">
        <v>736</v>
      </c>
      <c r="J75" t="s">
        <v>736</v>
      </c>
      <c r="K75" t="s">
        <v>736</v>
      </c>
      <c r="L75" t="s">
        <v>736</v>
      </c>
      <c r="M75" t="s">
        <v>736</v>
      </c>
      <c r="N75" t="s">
        <v>736</v>
      </c>
      <c r="O75" t="s">
        <v>736</v>
      </c>
      <c r="P75" t="s">
        <v>736</v>
      </c>
      <c r="Q75" t="s">
        <v>736</v>
      </c>
      <c r="R75" t="s">
        <v>736</v>
      </c>
      <c r="S75" t="s">
        <v>736</v>
      </c>
      <c r="T75" t="s">
        <v>736</v>
      </c>
      <c r="U75" t="s">
        <v>736</v>
      </c>
      <c r="V75" t="s">
        <v>736</v>
      </c>
      <c r="W75" s="25" t="s">
        <v>736</v>
      </c>
      <c r="X75" s="25" t="s">
        <v>736</v>
      </c>
      <c r="Y75" s="25" t="s">
        <v>736</v>
      </c>
      <c r="Z75" s="25" t="s">
        <v>736</v>
      </c>
      <c r="AA75" s="25" t="s">
        <v>736</v>
      </c>
    </row>
    <row r="76" spans="2:27" x14ac:dyDescent="0.2">
      <c r="B76" s="24"/>
      <c r="D76" s="25"/>
      <c r="W76" s="25"/>
      <c r="X76" s="25"/>
      <c r="Y76" s="25"/>
      <c r="Z76" s="25"/>
      <c r="AA76" s="25"/>
    </row>
    <row r="77" spans="2:27" x14ac:dyDescent="0.2">
      <c r="B77" s="24"/>
      <c r="D77" s="25"/>
      <c r="W77" s="25"/>
      <c r="X77" s="25"/>
      <c r="Y77" s="25"/>
      <c r="Z77" s="25"/>
      <c r="AA77" s="25"/>
    </row>
    <row r="78" spans="2:27" x14ac:dyDescent="0.2">
      <c r="B78" s="24"/>
      <c r="D78" s="25"/>
      <c r="W78" s="25"/>
      <c r="X78" s="25"/>
      <c r="Y78" s="25"/>
      <c r="Z78" s="25"/>
      <c r="AA78" s="25"/>
    </row>
    <row r="79" spans="2:27" x14ac:dyDescent="0.2">
      <c r="B79" s="24"/>
      <c r="D79" s="25"/>
      <c r="W79" s="25"/>
      <c r="X79" s="25"/>
      <c r="Y79" s="25"/>
      <c r="Z79" s="25"/>
      <c r="AA79" s="25"/>
    </row>
    <row r="80" spans="2:27" x14ac:dyDescent="0.2">
      <c r="B80" s="24"/>
      <c r="D80" s="25"/>
      <c r="W80" s="25"/>
      <c r="X80" s="25"/>
      <c r="Y80" s="25"/>
      <c r="Z80" s="25"/>
      <c r="AA80" s="25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設定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owner</cp:lastModifiedBy>
  <cp:lastPrinted>2019-09-01T06:09:10Z</cp:lastPrinted>
  <dcterms:created xsi:type="dcterms:W3CDTF">2019-09-01T05:04:12Z</dcterms:created>
  <dcterms:modified xsi:type="dcterms:W3CDTF">2023-07-03T14:47:10Z</dcterms:modified>
</cp:coreProperties>
</file>